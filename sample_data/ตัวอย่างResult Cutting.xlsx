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kforging-my.sharepoint.com/personal/arnon_ju_tskforging_com/Documents/Desktop/"/>
    </mc:Choice>
  </mc:AlternateContent>
  <xr:revisionPtr revIDLastSave="50" documentId="13_ncr:1_{20B90FBE-9569-4B7F-9CB1-E89E37DE288E}" xr6:coauthVersionLast="47" xr6:coauthVersionMax="47" xr10:uidLastSave="{5EAF4830-6EB6-46DD-B297-7923F2F866B1}"/>
  <bookViews>
    <workbookView xWindow="-110" yWindow="-110" windowWidth="19420" windowHeight="10300" xr2:uid="{78F241C6-1735-4C51-A3F2-32C4FA9C7928}"/>
  </bookViews>
  <sheets>
    <sheet name="Jan-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xlfn_BAHTTEXT">#N/A</definedName>
    <definedName name="________SCM420">#REF!</definedName>
    <definedName name="________SCR415">#REF!</definedName>
    <definedName name="________xlfn_BAHTTEXT">#N/A</definedName>
    <definedName name="_______SCM420">#REF!</definedName>
    <definedName name="_______SCR415">#REF!</definedName>
    <definedName name="_______xlfn_BAHTTEXT">#N/A</definedName>
    <definedName name="______SCM420">#REF!</definedName>
    <definedName name="______SCR415">#REF!</definedName>
    <definedName name="______xlfn_BAHTTEXT">#N/A</definedName>
    <definedName name="_____SCM420">#REF!</definedName>
    <definedName name="_____SCR415">#REF!</definedName>
    <definedName name="_____xlfn_BAHTTEXT">#N/A</definedName>
    <definedName name="____SCM420">#REF!</definedName>
    <definedName name="____SCR415">#REF!</definedName>
    <definedName name="____xlfn_BAHTTEXT">#N/A</definedName>
    <definedName name="___SCM420">#REF!</definedName>
    <definedName name="___SCR415">#REF!</definedName>
    <definedName name="___xlfn_BAHTTEXT">#N/A</definedName>
    <definedName name="__IntlFixup" hidden="1">TRUE</definedName>
    <definedName name="__IntlFixupTable" hidden="1">#REF!</definedName>
    <definedName name="__SCM420">#REF!</definedName>
    <definedName name="__SCR415">#REF!</definedName>
    <definedName name="__xlfn_BAHTTEXT">#N/A</definedName>
    <definedName name="_0010">#REF!</definedName>
    <definedName name="_0081">#REF!</definedName>
    <definedName name="_1_26">#REF!</definedName>
    <definedName name="_10_1">#REF!</definedName>
    <definedName name="_10_18">#REF!</definedName>
    <definedName name="_10_31">#REF!</definedName>
    <definedName name="_11_1">#REF!</definedName>
    <definedName name="_11_10">#REF!</definedName>
    <definedName name="_11_11">#REF!</definedName>
    <definedName name="_11_13">#REF!</definedName>
    <definedName name="_11_14">#REF!</definedName>
    <definedName name="_11_16">#REF!</definedName>
    <definedName name="_11_17">#REF!</definedName>
    <definedName name="_11_18">#REF!</definedName>
    <definedName name="_11_2">#REF!</definedName>
    <definedName name="_11_20">#REF!</definedName>
    <definedName name="_11_21">#REF!</definedName>
    <definedName name="_11_22">#REF!</definedName>
    <definedName name="_11_23">#REF!</definedName>
    <definedName name="_11_25">#REF!</definedName>
    <definedName name="_11_27">#REF!</definedName>
    <definedName name="_11_28">#REF!</definedName>
    <definedName name="_11_29">#REF!</definedName>
    <definedName name="_11_3">#REF!</definedName>
    <definedName name="_11_6">#REF!</definedName>
    <definedName name="_11_8">#REF!</definedName>
    <definedName name="_11_9">#REF!</definedName>
    <definedName name="_12_1">#REF!</definedName>
    <definedName name="_12_12">#REF!</definedName>
    <definedName name="_12_2">#REF!</definedName>
    <definedName name="_12_4">#REF!</definedName>
    <definedName name="_12_9">#REF!</definedName>
    <definedName name="_14.25X193.00">#REF!</definedName>
    <definedName name="_14_25X193_00">#REF!</definedName>
    <definedName name="_2_9">#REF!</definedName>
    <definedName name="_20.00X134.20">#REF!</definedName>
    <definedName name="_20_00X134_20">#REF!</definedName>
    <definedName name="_28.00X6000">#REF!</definedName>
    <definedName name="_28.00X6900">#REF!</definedName>
    <definedName name="_28_00X6000">#REF!</definedName>
    <definedName name="_28_00X6900">#REF!</definedName>
    <definedName name="_3_1">#REF!</definedName>
    <definedName name="_323721_21010">#REF!</definedName>
    <definedName name="_4_19">#REF!</definedName>
    <definedName name="_5_20">#REF!</definedName>
    <definedName name="_6_1">#REF!</definedName>
    <definedName name="_6_16">#REF!</definedName>
    <definedName name="_6_27">#REF!</definedName>
    <definedName name="_6_5">#REF!</definedName>
    <definedName name="_7.72XC">#REF!</definedName>
    <definedName name="_7.80XC">#REF!</definedName>
    <definedName name="_7.98XC">#REF!</definedName>
    <definedName name="_7_1">#REF!</definedName>
    <definedName name="_7_22">#REF!</definedName>
    <definedName name="_7_72XC">#REF!</definedName>
    <definedName name="_7_80XC">#REF!</definedName>
    <definedName name="_7_98XC">#REF!</definedName>
    <definedName name="_8_22">#REF!</definedName>
    <definedName name="_9.25XC">#REF!</definedName>
    <definedName name="_9_1">#REF!</definedName>
    <definedName name="_9_10">#REF!</definedName>
    <definedName name="_9_14">#REF!</definedName>
    <definedName name="_9_15">#REF!</definedName>
    <definedName name="_9_16">#REF!</definedName>
    <definedName name="_9_17">#REF!</definedName>
    <definedName name="_9_2">#REF!</definedName>
    <definedName name="_9_21">#REF!</definedName>
    <definedName name="_9_22">#REF!</definedName>
    <definedName name="_9_25XC">#REF!</definedName>
    <definedName name="_9_27">#REF!</definedName>
    <definedName name="_9_28">#REF!</definedName>
    <definedName name="_9_30">#REF!</definedName>
    <definedName name="_9_4">#REF!</definedName>
    <definedName name="_9_6">#REF!</definedName>
    <definedName name="_9_7">#REF!</definedName>
    <definedName name="_9_8">#REF!</definedName>
    <definedName name="_9_9">#REF!</definedName>
    <definedName name="_xlnm._FilterDatabase" localSheetId="0" hidden="1">'Jan-26'!$C$4:$AX$1784</definedName>
    <definedName name="_Order1" hidden="1">0</definedName>
    <definedName name="_SCM420">#REF!</definedName>
    <definedName name="_SCR415">#REF!</definedName>
    <definedName name="A">#N/A</definedName>
    <definedName name="AA.Report.Files" hidden="1">#REF!</definedName>
    <definedName name="AA.Reports.Available" hidden="1">#REF!</definedName>
    <definedName name="AISIN">#REF!</definedName>
    <definedName name="AMEC">#REF!</definedName>
    <definedName name="ART">#REF!</definedName>
    <definedName name="ATC">#REF!</definedName>
    <definedName name="ATT">#REF!</definedName>
    <definedName name="B">#REF!</definedName>
    <definedName name="B_K">#REF!</definedName>
    <definedName name="B_P">#REF!</definedName>
    <definedName name="BB">#REF!</definedName>
    <definedName name="BC">#REF!</definedName>
    <definedName name="BOI_NON">#REF!</definedName>
    <definedName name="BRT">#REF!</definedName>
    <definedName name="CC">#REF!</definedName>
    <definedName name="CH10R">#REF!</definedName>
    <definedName name="CH10R_SA">#REF!</definedName>
    <definedName name="CHIP">#REF!</definedName>
    <definedName name="CSTMR">#REF!</definedName>
    <definedName name="D">#REF!</definedName>
    <definedName name="Data.Dump" localSheetId="0" hidden="1">OFFSET([0]!Data.Top.Left,1,0)</definedName>
    <definedName name="Data.Dump" hidden="1">OFFSET([0]!Data.Top.Left,1,0)</definedName>
    <definedName name="DATA_01" hidden="1">'[1]Sales Seasonality by Month'!$B$4</definedName>
    <definedName name="DATA_02" hidden="1">'[1]Sales Seasonality by Month'!$B$9</definedName>
    <definedName name="DATA_03" hidden="1">'[1]Sales Seasonality by Month'!$C$9:$C$20</definedName>
    <definedName name="DATA_04" hidden="1">'[1]Sales Seasonality by Month'!$F$9:$F$20</definedName>
    <definedName name="data01code">[2]data!$C$4</definedName>
    <definedName name="data01complete">OFFSET(data01ulfirst,1,0,COUNTA([2]inputinspec!$B:$B)-1,19)</definedName>
    <definedName name="data01date">[2]data!$C$2</definedName>
    <definedName name="data01docno">[2]data!$C$3</definedName>
    <definedName name="data01item">[2]data!$C$5</definedName>
    <definedName name="data01nodata">[2]data!$C$1</definedName>
    <definedName name="data01quantity">[2]data!$C$6</definedName>
    <definedName name="data01ulfirst">[2]data!$A$10</definedName>
    <definedName name="data01weight">[2]data!$C$7</definedName>
    <definedName name="data02code">[2]data!$W$5</definedName>
    <definedName name="data02complete">OFFSET(data02ulfirst,1,0,COUNTA([2]inputsale!$B:$B)-1,21)</definedName>
    <definedName name="data02customer">[2]data!$W$4</definedName>
    <definedName name="data02date">[2]data!$W$3</definedName>
    <definedName name="data02docno">[2]data!$W$2</definedName>
    <definedName name="data02nodata">[2]data!$W$1</definedName>
    <definedName name="data02ulfirst">[2]data!$U$10</definedName>
    <definedName name="Database.File" hidden="1">#REF!</definedName>
    <definedName name="datainspec01areapastecode1">OFFSET(datainspec01ulfirst,1,2,COUNTA([2]datainspec!$A:$A)-1,2)</definedName>
    <definedName name="datainspec01areapivot">OFFSET(datainspec01ulfirst,0,0,COUNTA([2]datainspec!$A:$A)-0,19)</definedName>
    <definedName name="datainspec01columnsfirst">[2]datainspec!$B$10</definedName>
    <definedName name="datainspec01columnsfirst1">[2]datainspec!$C$10</definedName>
    <definedName name="datainspec01columnsfirst2">[2]datainspec!$D$10</definedName>
    <definedName name="datainspec01copycode">[2]datainspec!$B$5</definedName>
    <definedName name="datainspec01copycode1">[2]datainspec!$C$5</definedName>
    <definedName name="datainspec01copycode2">[2]datainspec!$D$5</definedName>
    <definedName name="datainspec01lastrecord">OFFSET(datainspec01ulfirst,COUNTA([2]datainspec!$A:$A)-1,0)</definedName>
    <definedName name="datainspec01lastrecord1">OFFSET(datainspec01ulfirst,COUNTA([2]datainspec!$A:$A)-1,1)</definedName>
    <definedName name="datainspec01lastrow">OFFSET(datainspec01ulfirst,COUNTA([2]datainspec!$A:$A)-0,0)</definedName>
    <definedName name="datainspec01ulfirst">[2]datainspec!$A$10</definedName>
    <definedName name="datasale01areapivot">OFFSET(datasale01ulfirst,0,0,COUNTA([2]datasale!$A:$A)-0,21)</definedName>
    <definedName name="datasale01columnsfirst">[2]datasale!$B$10</definedName>
    <definedName name="datasale01copycode">[2]datasale!$B$5</definedName>
    <definedName name="datasale01lastrecord">OFFSET(datasale01ulfirst,COUNTA([2]datasale!$A:$A)-1,0)</definedName>
    <definedName name="datasale01lastrecord1">OFFSET(datasale01ulfirst,COUNTA([2]datasale!$A:$A)-1,1)</definedName>
    <definedName name="datasale01lastrow">OFFSET(datasale01ulfirst,COUNTA([2]datasale!$A:$A)-0,0)</definedName>
    <definedName name="datasale01ulfirst">[2]datasale!$A$10</definedName>
    <definedName name="DATE">#REF!</definedName>
    <definedName name="DAYORNIGHT" localSheetId="0">[3]DATABASE!$F$2:$F$3</definedName>
    <definedName name="DAYORNIGHT">[4]DATABASE!$F$2:$F$3</definedName>
    <definedName name="DNTH">#REF!</definedName>
    <definedName name="DS">#REF!</definedName>
    <definedName name="DTH">#REF!</definedName>
    <definedName name="ER">#REF!</definedName>
    <definedName name="Excel_BuiltIn_Print_Area">#REF!</definedName>
    <definedName name="EXP_LOC">#REF!</definedName>
    <definedName name="File.Type" hidden="1">#REF!</definedName>
    <definedName name="FINAL">#N/A</definedName>
    <definedName name="FLOW0">#REF!</definedName>
    <definedName name="FORMRESULT" localSheetId="0">OFFSET('Jan-26'!#REF!,0,0,COUNTA('Jan-26'!$A:$A),COUNTA('Jan-26'!#REF!))</definedName>
    <definedName name="FORMRESULT">OFFSET('[4]Jan-25'!$A$1,0,0,COUNTA('[4]Jan-25'!$A:$A),COUNTA('[4]Jan-25'!$1:$1))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IN">#REF!</definedName>
    <definedName name="inputinspec01copy">[2]inputinspec!$G$7:$K$7</definedName>
    <definedName name="inputinspec01date">[2]inputinspec!$K$1</definedName>
    <definedName name="inputinspec01delete1">OFFSET(inputinspec01ulfirst,1,1,COUNTA([2]inputinspec!$B:$B)-1,5)</definedName>
    <definedName name="inputinspec01delete2">[2]inputinspec!$L$11:$Q$25</definedName>
    <definedName name="inputinspec01docno">[2]inputinspec!$K$3</definedName>
    <definedName name="inputinspec01first">[2]inputinspec!$B$11</definedName>
    <definedName name="inputinspec01firstrecord">OFFSET(inputinspec01ulfirst,COUNTA([2]inputinspec!$B:$B)-0,1)</definedName>
    <definedName name="inputinspec01lastrecord">OFFSET(inputinspec01ulfirst,COUNTA([2]inputinspec!$B:$B)-1,2)</definedName>
    <definedName name="inputinspec01lock1">OFFSET(inputinspec01ulfirst,0,2,COUNTA([2]inputinspec!$B:$B)-1,15)</definedName>
    <definedName name="inputinspec01lock2">OFFSET(inputinspec01ulfirst,COUNTA([2]inputinspec!$A:$A)-1,1)</definedName>
    <definedName name="inputinspec01paste">[2]inputinspec!$G$11:$K$25</definedName>
    <definedName name="inputinspec01quantity">OFFSET(inputinspec01ulfirst,COUNTA([2]inputinspec!$B:$B)-1,3)</definedName>
    <definedName name="inputinspec01ulfirst">[2]inputinspec!$A$10</definedName>
    <definedName name="inputinspec01unlock1">OFFSET(inputinspec01ulfirst,1,1,COUNTA([2]inputinspec!$B:$B)-1,16)</definedName>
    <definedName name="inputinspec01unlock2">OFFSET(inputinspec01ulfirst,COUNTA([2]inputinspec!$B:$B)-0,1)</definedName>
    <definedName name="inputinspec01weight">OFFSET(inputinspec01ulfirst,COUNTA([2]inputinspec!$B:$B)-1,4)</definedName>
    <definedName name="inputsale01copy">[2]inputsale!$C$4:$L$4</definedName>
    <definedName name="inputsale01customer">[2]inputsale!$C$6</definedName>
    <definedName name="inputsale01date">[2]inputsale!$J$2</definedName>
    <definedName name="inputsale01delete">OFFSET(inputsale01ulfirst,1,1,COUNTA([2]inputsale!$B:$B)-1,1)</definedName>
    <definedName name="inputsale01docno">[2]inputsale!$J$1</definedName>
    <definedName name="inputsale01first">[2]inputsale!$B$11</definedName>
    <definedName name="inputsale01firstrecord">OFFSET(inputsale01ulfirst,COUNTA([2]inputsale!$B:$B)-0,1)</definedName>
    <definedName name="inputsale01lastrecord">OFFSET(inputsale01ulfirst,COUNTA([2]inputsale!$B:$B)-1,2)</definedName>
    <definedName name="inputsale01lock1">OFFSET(inputsale01ulfirst,0,2,COUNTA([2]inputsale!$B:$B)-1,10)</definedName>
    <definedName name="inputsale01lock2">OFFSET(inputsale01ulfirst,COUNTA([2]inputsale!$A:$A)-1,1)</definedName>
    <definedName name="inputsale01paste">[2]inputsale!$C$11:$L$40</definedName>
    <definedName name="inputsale01pastecustomer">[2]inputsale!$C$6</definedName>
    <definedName name="inputsale01ulfirst">[2]inputsale!$A$10</definedName>
    <definedName name="inputsale01unlock1">OFFSET(inputsale01ulfirst,1,1,COUNTA([2]inputsale!$B:$B)-1,11)</definedName>
    <definedName name="inputsale01unlock2">OFFSET(inputsale01ulfirst,COUNTA([2]inputsale!$B:$B)-0,1)</definedName>
    <definedName name="inputsale02copycustomer">[2]inputsale!$N$1</definedName>
    <definedName name="ioo">#REF!</definedName>
    <definedName name="issnndc">OFFSET(ulissnndc,0,0,COUNTA(#REF!)-2,19)</definedName>
    <definedName name="Jun_00">#REF!</definedName>
    <definedName name="K">#REF!</definedName>
    <definedName name="L">#REF!</definedName>
    <definedName name="LABOR_TAX" hidden="1">'[5]Service Invoice'!$G$15</definedName>
    <definedName name="MACHINE" localSheetId="0">[3]DATABASE!$A$2:$A$41</definedName>
    <definedName name="MACHINE">[4]DATABASE!$A$2:$A$41</definedName>
    <definedName name="MachineLoad">'[6]Cutting Revise (Stop watch)'!$X$8:$AI$114</definedName>
    <definedName name="Macro1">#N/A</definedName>
    <definedName name="Macro2">#N/A</definedName>
    <definedName name="NGMODE" localSheetId="0">[3]DATABASE!$B$2:$B$40</definedName>
    <definedName name="NGMODE">[4]DATABASE!$B$2:$B$40</definedName>
    <definedName name="nndc">OFFSET(ulnndc,0,0,COUNTA(#REF!)-1,29)</definedName>
    <definedName name="NR">#REF!</definedName>
    <definedName name="NSC">'[7]wire-stock'!#REF!</definedName>
    <definedName name="nyk">OFFSET(ulnyk,0,0,COUNTA(#REF!),COUNTA(#REF!))</definedName>
    <definedName name="Ownership" localSheetId="0" hidden="1">OFFSET([0]!Data.Top.Left,1,0)</definedName>
    <definedName name="Ownership" hidden="1">OFFSET([0]!Data.Top.Left,1,0)</definedName>
    <definedName name="P">#REF!</definedName>
    <definedName name="PARTS_TAX" hidden="1">'[5]Service Invoice'!$D$15</definedName>
    <definedName name="PIN">#REF!</definedName>
    <definedName name="PISTON">#REF!</definedName>
    <definedName name="pivot01areapivot">OFFSET(pivot01ulfirst,0,0,COUNTA([2]pivot!$A:$A)-0,8)</definedName>
    <definedName name="pivot01ulfirst">[2]pivot!$A$6</definedName>
    <definedName name="pivot02areapivot">OFFSET(pivot02ulfirst,0,0,COUNTA([2]pivot!$K:$K)-3,5)</definedName>
    <definedName name="pivot02ulfirst">[2]pivot!$K$6</definedName>
    <definedName name="pivot03areapivot">OFFSET(pivot03ulfirst,0,0,COUNTA([2]pivot!$R:$R)-2,3)</definedName>
    <definedName name="pivot03ulfirst">[2]pivot!$R$6</definedName>
    <definedName name="pivot04areapivot">OFFSET(pivot04ulfirst,0,0,COUNTA([2]pivot!$W:$W)-2,3)</definedName>
    <definedName name="pivot04ulfirst">[2]pivot!$W$6</definedName>
    <definedName name="_xlnm.Print_Area">#REF!</definedName>
    <definedName name="PROCESS">#REF!</definedName>
    <definedName name="Route_operations_V2" localSheetId="0">[3]DATABASE!#REF!</definedName>
    <definedName name="Route_operations_V2">[4]DATABASE!#REF!</definedName>
    <definedName name="S">#REF!</definedName>
    <definedName name="S25C">#REF!</definedName>
    <definedName name="S45C">#REF!</definedName>
    <definedName name="SALES">#REF!</definedName>
    <definedName name="SALES_HOW">#REF!</definedName>
    <definedName name="SC">#REF!</definedName>
    <definedName name="SHIFT" localSheetId="0">[3]DATABASE!$E$2:$E$3</definedName>
    <definedName name="SHIFT">[4]DATABASE!$E$2:$E$3</definedName>
    <definedName name="Show.Acct.Update.Warning" hidden="1">#REF!</definedName>
    <definedName name="Show.MDB.Update.Warning" hidden="1">#REF!</definedName>
    <definedName name="SIZE">#REF!</definedName>
    <definedName name="SP">#REF!</definedName>
    <definedName name="SPEC">#REF!</definedName>
    <definedName name="stock">OFFSET(ulstock,0,0,COUNTA([8]STOCK!$A:$A)-0,29)</definedName>
    <definedName name="STOPMC" localSheetId="0">[3]DATABASE!$C$2:$C$27</definedName>
    <definedName name="STOPMC">[4]DATABASE!$C$2:$C$27</definedName>
    <definedName name="STOPTIME" localSheetId="0">[3]DATABASE!$D$2:$D$11</definedName>
    <definedName name="STOPTIME">[4]DATABASE!$D$2:$D$11</definedName>
    <definedName name="T2.18">#REF!</definedName>
    <definedName name="T2_18">#REF!</definedName>
    <definedName name="T4.7">#REF!</definedName>
    <definedName name="T4_7">#REF!</definedName>
    <definedName name="TASKW">#REF!</definedName>
    <definedName name="tskissuedbar">OFFSET(ultskissuedbar,0,0,COUNTA(#REF!)-2,20)</definedName>
    <definedName name="tskissuedcoil">OFFSET(ultskissuedcoil,0,0,COUNTA(#REF!)-2,20)</definedName>
    <definedName name="ulissnndc">#REF!</definedName>
    <definedName name="ulnndc">#REF!</definedName>
    <definedName name="ulnyk">#REF!</definedName>
    <definedName name="ulstock">[8]STOCK!$A$8</definedName>
    <definedName name="ultskissuedbar">#REF!</definedName>
    <definedName name="ultskissuedcoil">#REF!</definedName>
    <definedName name="Z_9794CC47_0F18_4BA8_B4F2_F347BF169D90_.wvu.FilterData" localSheetId="0" hidden="1">'Jan-26'!$C$4:$AW$4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84" i="1" l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N1764" i="1"/>
  <c r="M1764" i="1"/>
  <c r="H1764" i="1"/>
  <c r="N1763" i="1"/>
  <c r="M1763" i="1"/>
  <c r="H1763" i="1"/>
  <c r="N1762" i="1"/>
  <c r="M1762" i="1"/>
  <c r="H1762" i="1"/>
  <c r="N1761" i="1"/>
  <c r="M1761" i="1"/>
  <c r="H1761" i="1"/>
  <c r="N1760" i="1"/>
  <c r="M1760" i="1"/>
  <c r="H1760" i="1"/>
  <c r="N1759" i="1"/>
  <c r="M1759" i="1"/>
  <c r="H1759" i="1"/>
  <c r="N1758" i="1"/>
  <c r="M1758" i="1"/>
  <c r="H1758" i="1"/>
  <c r="N1757" i="1"/>
  <c r="M1757" i="1"/>
  <c r="H1757" i="1"/>
  <c r="N1756" i="1"/>
  <c r="M1756" i="1"/>
  <c r="H1756" i="1"/>
  <c r="N1755" i="1"/>
  <c r="M1755" i="1"/>
  <c r="H1755" i="1"/>
  <c r="N1754" i="1"/>
  <c r="M1754" i="1"/>
  <c r="H1754" i="1"/>
  <c r="N1753" i="1"/>
  <c r="M1753" i="1"/>
  <c r="H1753" i="1"/>
  <c r="N1752" i="1"/>
  <c r="M1752" i="1"/>
  <c r="H1752" i="1"/>
  <c r="N1751" i="1"/>
  <c r="M1751" i="1"/>
  <c r="H1751" i="1"/>
  <c r="N1750" i="1"/>
  <c r="M1750" i="1"/>
  <c r="H1750" i="1"/>
  <c r="N1749" i="1"/>
  <c r="M1749" i="1"/>
  <c r="H1749" i="1"/>
  <c r="N1748" i="1"/>
  <c r="M1748" i="1"/>
  <c r="H1748" i="1"/>
  <c r="N1747" i="1"/>
  <c r="M1747" i="1"/>
  <c r="H1747" i="1"/>
  <c r="N1746" i="1"/>
  <c r="M1746" i="1"/>
  <c r="H1746" i="1"/>
  <c r="N1745" i="1"/>
  <c r="M1745" i="1"/>
  <c r="H1745" i="1"/>
  <c r="N1744" i="1"/>
  <c r="M1744" i="1"/>
  <c r="H1744" i="1"/>
  <c r="N1743" i="1"/>
  <c r="M1743" i="1"/>
  <c r="H1743" i="1"/>
  <c r="N1742" i="1"/>
  <c r="M1742" i="1"/>
  <c r="H1742" i="1"/>
  <c r="N1741" i="1"/>
  <c r="M1741" i="1"/>
  <c r="H1741" i="1"/>
  <c r="N1740" i="1"/>
  <c r="M1740" i="1"/>
  <c r="H1740" i="1"/>
  <c r="N1739" i="1"/>
  <c r="M1739" i="1"/>
  <c r="H1739" i="1"/>
  <c r="N1738" i="1"/>
  <c r="M1738" i="1"/>
  <c r="H1738" i="1"/>
  <c r="N1737" i="1"/>
  <c r="M1737" i="1"/>
  <c r="H1737" i="1"/>
  <c r="N1736" i="1"/>
  <c r="M1736" i="1"/>
  <c r="H1736" i="1"/>
  <c r="N1735" i="1"/>
  <c r="M1735" i="1"/>
  <c r="H1735" i="1"/>
  <c r="N1734" i="1"/>
  <c r="M1734" i="1"/>
  <c r="H1734" i="1"/>
  <c r="N1733" i="1"/>
  <c r="M1733" i="1"/>
  <c r="H1733" i="1"/>
  <c r="N1732" i="1"/>
  <c r="M1732" i="1"/>
  <c r="H1732" i="1"/>
  <c r="N1731" i="1"/>
  <c r="M1731" i="1"/>
  <c r="H1731" i="1"/>
  <c r="N1730" i="1"/>
  <c r="M1730" i="1"/>
  <c r="H1730" i="1"/>
  <c r="N1729" i="1"/>
  <c r="M1729" i="1"/>
  <c r="H1729" i="1"/>
  <c r="N1728" i="1"/>
  <c r="M1728" i="1"/>
  <c r="H1728" i="1"/>
  <c r="N1727" i="1"/>
  <c r="M1727" i="1"/>
  <c r="H1727" i="1"/>
  <c r="N1726" i="1"/>
  <c r="M1726" i="1"/>
  <c r="H1726" i="1"/>
  <c r="N1725" i="1"/>
  <c r="M1725" i="1"/>
  <c r="H1725" i="1"/>
  <c r="N1724" i="1"/>
  <c r="M1724" i="1"/>
  <c r="H1724" i="1"/>
  <c r="N1723" i="1"/>
  <c r="M1723" i="1"/>
  <c r="H1723" i="1"/>
  <c r="N1722" i="1"/>
  <c r="M1722" i="1"/>
  <c r="H1722" i="1"/>
  <c r="N1721" i="1"/>
  <c r="M1721" i="1"/>
  <c r="H1721" i="1"/>
  <c r="N1720" i="1"/>
  <c r="M1720" i="1"/>
  <c r="H1720" i="1"/>
  <c r="N1719" i="1"/>
  <c r="M1719" i="1"/>
  <c r="H1719" i="1"/>
  <c r="N1718" i="1"/>
  <c r="M1718" i="1"/>
  <c r="H1718" i="1"/>
  <c r="N1717" i="1"/>
  <c r="M1717" i="1"/>
  <c r="H1717" i="1"/>
  <c r="N1716" i="1"/>
  <c r="M1716" i="1"/>
  <c r="H1716" i="1"/>
  <c r="N1715" i="1"/>
  <c r="M1715" i="1"/>
  <c r="H1715" i="1"/>
  <c r="N1714" i="1"/>
  <c r="M1714" i="1"/>
  <c r="H1714" i="1"/>
  <c r="N1713" i="1"/>
  <c r="M1713" i="1"/>
  <c r="H1713" i="1"/>
  <c r="N1712" i="1"/>
  <c r="M1712" i="1"/>
  <c r="H1712" i="1"/>
  <c r="N1711" i="1"/>
  <c r="M1711" i="1"/>
  <c r="H1711" i="1"/>
  <c r="N1710" i="1"/>
  <c r="M1710" i="1"/>
  <c r="H1710" i="1"/>
  <c r="N1709" i="1"/>
  <c r="M1709" i="1"/>
  <c r="H1709" i="1"/>
  <c r="N1708" i="1"/>
  <c r="M1708" i="1"/>
  <c r="H1708" i="1"/>
  <c r="N1707" i="1"/>
  <c r="M1707" i="1"/>
  <c r="H1707" i="1"/>
  <c r="N1706" i="1"/>
  <c r="M1706" i="1"/>
  <c r="H1706" i="1"/>
  <c r="N1705" i="1"/>
  <c r="M1705" i="1"/>
  <c r="H1705" i="1"/>
  <c r="N1704" i="1"/>
  <c r="M1704" i="1"/>
  <c r="H1704" i="1"/>
  <c r="N1703" i="1"/>
  <c r="M1703" i="1"/>
  <c r="H1703" i="1"/>
  <c r="N1702" i="1"/>
  <c r="M1702" i="1"/>
  <c r="H1702" i="1"/>
  <c r="N1701" i="1"/>
  <c r="M1701" i="1"/>
  <c r="H1701" i="1"/>
  <c r="N1700" i="1"/>
  <c r="M1700" i="1"/>
  <c r="H1700" i="1"/>
  <c r="N1699" i="1"/>
  <c r="M1699" i="1"/>
  <c r="H1699" i="1"/>
  <c r="N1698" i="1"/>
  <c r="M1698" i="1"/>
  <c r="H1698" i="1"/>
  <c r="N1697" i="1"/>
  <c r="M1697" i="1"/>
  <c r="H1697" i="1"/>
  <c r="N1696" i="1"/>
  <c r="M1696" i="1"/>
  <c r="H1696" i="1"/>
  <c r="N1695" i="1"/>
  <c r="M1695" i="1"/>
  <c r="H1695" i="1"/>
  <c r="N1694" i="1"/>
  <c r="M1694" i="1"/>
  <c r="H1694" i="1"/>
  <c r="N1693" i="1"/>
  <c r="M1693" i="1"/>
  <c r="H1693" i="1"/>
  <c r="N1692" i="1"/>
  <c r="M1692" i="1"/>
  <c r="H1692" i="1"/>
  <c r="N1691" i="1"/>
  <c r="M1691" i="1"/>
  <c r="H1691" i="1"/>
  <c r="N1690" i="1"/>
  <c r="M1690" i="1"/>
  <c r="H1690" i="1"/>
  <c r="N1689" i="1"/>
  <c r="M1689" i="1"/>
  <c r="H1689" i="1"/>
  <c r="N1688" i="1"/>
  <c r="M1688" i="1"/>
  <c r="H1688" i="1"/>
  <c r="N1687" i="1"/>
  <c r="M1687" i="1"/>
  <c r="H1687" i="1"/>
  <c r="N1686" i="1"/>
  <c r="M1686" i="1"/>
  <c r="H1686" i="1"/>
  <c r="N1685" i="1"/>
  <c r="M1685" i="1"/>
  <c r="H1685" i="1"/>
  <c r="N1684" i="1"/>
  <c r="M1684" i="1"/>
  <c r="H1684" i="1"/>
  <c r="N1683" i="1"/>
  <c r="M1683" i="1"/>
  <c r="H1683" i="1"/>
  <c r="N1682" i="1"/>
  <c r="M1682" i="1"/>
  <c r="H1682" i="1"/>
  <c r="N1681" i="1"/>
  <c r="M1681" i="1"/>
  <c r="H1681" i="1"/>
  <c r="N1680" i="1"/>
  <c r="M1680" i="1"/>
  <c r="H1680" i="1"/>
  <c r="N1679" i="1"/>
  <c r="M1679" i="1"/>
  <c r="H1679" i="1"/>
  <c r="N1678" i="1"/>
  <c r="M1678" i="1"/>
  <c r="H1678" i="1"/>
  <c r="N1677" i="1"/>
  <c r="M1677" i="1"/>
  <c r="H1677" i="1"/>
  <c r="N1676" i="1"/>
  <c r="M1676" i="1"/>
  <c r="H1676" i="1"/>
  <c r="N1675" i="1"/>
  <c r="M1675" i="1"/>
  <c r="H1675" i="1"/>
  <c r="N1674" i="1"/>
  <c r="M1674" i="1"/>
  <c r="H1674" i="1"/>
  <c r="N1673" i="1"/>
  <c r="M1673" i="1"/>
  <c r="H1673" i="1"/>
  <c r="N1672" i="1"/>
  <c r="M1672" i="1"/>
  <c r="H1672" i="1"/>
  <c r="N1671" i="1"/>
  <c r="M1671" i="1"/>
  <c r="H1671" i="1"/>
  <c r="N1670" i="1"/>
  <c r="M1670" i="1"/>
  <c r="H1670" i="1"/>
  <c r="N1669" i="1"/>
  <c r="M1669" i="1"/>
  <c r="H1669" i="1"/>
  <c r="N1668" i="1"/>
  <c r="M1668" i="1"/>
  <c r="H1668" i="1"/>
  <c r="N1667" i="1"/>
  <c r="M1667" i="1"/>
  <c r="H1667" i="1"/>
  <c r="N1666" i="1"/>
  <c r="M1666" i="1"/>
  <c r="H1666" i="1"/>
  <c r="N1665" i="1"/>
  <c r="M1665" i="1"/>
  <c r="H1665" i="1"/>
  <c r="N1664" i="1"/>
  <c r="M1664" i="1"/>
  <c r="H1664" i="1"/>
  <c r="N1663" i="1"/>
  <c r="M1663" i="1"/>
  <c r="H1663" i="1"/>
  <c r="N1662" i="1"/>
  <c r="M1662" i="1"/>
  <c r="H1662" i="1"/>
  <c r="N1661" i="1"/>
  <c r="M1661" i="1"/>
  <c r="H1661" i="1"/>
  <c r="N1660" i="1"/>
  <c r="M1660" i="1"/>
  <c r="H1660" i="1"/>
  <c r="N1659" i="1"/>
  <c r="M1659" i="1"/>
  <c r="H1659" i="1"/>
  <c r="N1658" i="1"/>
  <c r="M1658" i="1"/>
  <c r="H1658" i="1"/>
  <c r="N1657" i="1"/>
  <c r="M1657" i="1"/>
  <c r="H1657" i="1"/>
  <c r="N1656" i="1"/>
  <c r="M1656" i="1"/>
  <c r="H1656" i="1"/>
  <c r="N1655" i="1"/>
  <c r="M1655" i="1"/>
  <c r="H1655" i="1"/>
  <c r="N1654" i="1"/>
  <c r="M1654" i="1"/>
  <c r="H1654" i="1"/>
  <c r="N1653" i="1"/>
  <c r="M1653" i="1"/>
  <c r="H1653" i="1"/>
  <c r="N1652" i="1"/>
  <c r="M1652" i="1"/>
  <c r="H1652" i="1"/>
  <c r="N1651" i="1"/>
  <c r="M1651" i="1"/>
  <c r="H1651" i="1"/>
  <c r="N1650" i="1"/>
  <c r="M1650" i="1"/>
  <c r="H1650" i="1"/>
  <c r="N1649" i="1"/>
  <c r="M1649" i="1"/>
  <c r="H1649" i="1"/>
  <c r="N1648" i="1"/>
  <c r="M1648" i="1"/>
  <c r="H1648" i="1"/>
  <c r="N1647" i="1"/>
  <c r="M1647" i="1"/>
  <c r="H1647" i="1"/>
  <c r="N1646" i="1"/>
  <c r="M1646" i="1"/>
  <c r="H1646" i="1"/>
  <c r="N1645" i="1"/>
  <c r="M1645" i="1"/>
  <c r="H1645" i="1"/>
  <c r="N1644" i="1"/>
  <c r="M1644" i="1"/>
  <c r="H1644" i="1"/>
  <c r="N1643" i="1"/>
  <c r="M1643" i="1"/>
  <c r="H1643" i="1"/>
  <c r="N1642" i="1"/>
  <c r="M1642" i="1"/>
  <c r="H1642" i="1"/>
  <c r="N1641" i="1"/>
  <c r="M1641" i="1"/>
  <c r="H1641" i="1"/>
  <c r="N1640" i="1"/>
  <c r="M1640" i="1"/>
  <c r="H1640" i="1"/>
  <c r="N1639" i="1"/>
  <c r="M1639" i="1"/>
  <c r="H1639" i="1"/>
  <c r="N1638" i="1"/>
  <c r="M1638" i="1"/>
  <c r="H1638" i="1"/>
  <c r="N1637" i="1"/>
  <c r="M1637" i="1"/>
  <c r="H1637" i="1"/>
  <c r="N1636" i="1"/>
  <c r="M1636" i="1"/>
  <c r="H1636" i="1"/>
  <c r="N1635" i="1"/>
  <c r="M1635" i="1"/>
  <c r="H1635" i="1"/>
  <c r="N1634" i="1"/>
  <c r="M1634" i="1"/>
  <c r="H1634" i="1"/>
  <c r="N1633" i="1"/>
  <c r="M1633" i="1"/>
  <c r="H1633" i="1"/>
  <c r="N1632" i="1"/>
  <c r="M1632" i="1"/>
  <c r="H1632" i="1"/>
  <c r="N1631" i="1"/>
  <c r="M1631" i="1"/>
  <c r="H1631" i="1"/>
  <c r="N1630" i="1"/>
  <c r="M1630" i="1"/>
  <c r="H1630" i="1"/>
  <c r="N1629" i="1"/>
  <c r="M1629" i="1"/>
  <c r="H1629" i="1"/>
  <c r="N1628" i="1"/>
  <c r="M1628" i="1"/>
  <c r="H1628" i="1"/>
  <c r="N1627" i="1"/>
  <c r="M1627" i="1"/>
  <c r="H1627" i="1"/>
  <c r="N1626" i="1"/>
  <c r="M1626" i="1"/>
  <c r="H1626" i="1"/>
  <c r="N1625" i="1"/>
  <c r="M1625" i="1"/>
  <c r="H1625" i="1"/>
  <c r="N1624" i="1"/>
  <c r="M1624" i="1"/>
  <c r="H1624" i="1"/>
  <c r="N1623" i="1"/>
  <c r="M1623" i="1"/>
  <c r="H1623" i="1"/>
  <c r="N1622" i="1"/>
  <c r="M1622" i="1"/>
  <c r="H1622" i="1"/>
  <c r="N1621" i="1"/>
  <c r="M1621" i="1"/>
  <c r="H1621" i="1"/>
  <c r="N1620" i="1"/>
  <c r="M1620" i="1"/>
  <c r="H1620" i="1"/>
  <c r="N1619" i="1"/>
  <c r="M1619" i="1"/>
  <c r="H1619" i="1"/>
  <c r="N1618" i="1"/>
  <c r="M1618" i="1"/>
  <c r="H1618" i="1"/>
  <c r="N1617" i="1"/>
  <c r="M1617" i="1"/>
  <c r="H1617" i="1"/>
  <c r="N1616" i="1"/>
  <c r="M1616" i="1"/>
  <c r="H1616" i="1"/>
  <c r="N1615" i="1"/>
  <c r="M1615" i="1"/>
  <c r="H1615" i="1"/>
  <c r="N1614" i="1"/>
  <c r="M1614" i="1"/>
  <c r="H1614" i="1"/>
  <c r="N1613" i="1"/>
  <c r="M1613" i="1"/>
  <c r="H1613" i="1"/>
  <c r="N1612" i="1"/>
  <c r="M1612" i="1"/>
  <c r="H1612" i="1"/>
  <c r="N1611" i="1"/>
  <c r="M1611" i="1"/>
  <c r="H1611" i="1"/>
  <c r="N1610" i="1"/>
  <c r="M1610" i="1"/>
  <c r="H1610" i="1"/>
  <c r="N1609" i="1"/>
  <c r="M1609" i="1"/>
  <c r="H1609" i="1"/>
  <c r="N1608" i="1"/>
  <c r="M1608" i="1"/>
  <c r="H1608" i="1"/>
  <c r="N1607" i="1"/>
  <c r="M1607" i="1"/>
  <c r="H1607" i="1"/>
  <c r="N1606" i="1"/>
  <c r="M1606" i="1"/>
  <c r="H1606" i="1"/>
  <c r="N1605" i="1"/>
  <c r="M1605" i="1"/>
  <c r="H1605" i="1"/>
  <c r="N1604" i="1"/>
  <c r="M1604" i="1"/>
  <c r="H1604" i="1"/>
  <c r="N1603" i="1"/>
  <c r="M1603" i="1"/>
  <c r="H1603" i="1"/>
  <c r="N1602" i="1"/>
  <c r="M1602" i="1"/>
  <c r="H1602" i="1"/>
  <c r="N1601" i="1"/>
  <c r="M1601" i="1"/>
  <c r="H1601" i="1"/>
  <c r="N1600" i="1"/>
  <c r="M1600" i="1"/>
  <c r="H1600" i="1"/>
  <c r="N1599" i="1"/>
  <c r="M1599" i="1"/>
  <c r="H1599" i="1"/>
  <c r="N1598" i="1"/>
  <c r="M1598" i="1"/>
  <c r="H1598" i="1"/>
  <c r="N1597" i="1"/>
  <c r="M1597" i="1"/>
  <c r="H1597" i="1"/>
  <c r="N1596" i="1"/>
  <c r="M1596" i="1"/>
  <c r="H1596" i="1"/>
  <c r="N1595" i="1"/>
  <c r="M1595" i="1"/>
  <c r="H1595" i="1"/>
  <c r="N1594" i="1"/>
  <c r="M1594" i="1"/>
  <c r="H1594" i="1"/>
  <c r="N1593" i="1"/>
  <c r="M1593" i="1"/>
  <c r="H1593" i="1"/>
  <c r="N1592" i="1"/>
  <c r="M1592" i="1"/>
  <c r="H1592" i="1"/>
  <c r="N1591" i="1"/>
  <c r="M1591" i="1"/>
  <c r="H1591" i="1"/>
  <c r="N1590" i="1"/>
  <c r="M1590" i="1"/>
  <c r="H1590" i="1"/>
  <c r="N1589" i="1"/>
  <c r="M1589" i="1"/>
  <c r="H1589" i="1"/>
  <c r="N1588" i="1"/>
  <c r="M1588" i="1"/>
  <c r="H1588" i="1"/>
  <c r="N1587" i="1"/>
  <c r="M1587" i="1"/>
  <c r="H1587" i="1"/>
  <c r="Z1586" i="1"/>
  <c r="Q1586" i="1"/>
  <c r="Q1587" i="1" s="1"/>
  <c r="N1586" i="1"/>
  <c r="M1586" i="1"/>
  <c r="H1586" i="1"/>
  <c r="Y1585" i="1"/>
  <c r="X1585" i="1"/>
  <c r="Q1585" i="1"/>
  <c r="N1585" i="1"/>
  <c r="M1585" i="1"/>
  <c r="H1585" i="1"/>
  <c r="X1584" i="1"/>
  <c r="N1584" i="1"/>
  <c r="M1584" i="1"/>
  <c r="L1584" i="1" a="1"/>
  <c r="L1584" i="1" s="1"/>
  <c r="K1584" i="1"/>
  <c r="J1584" i="1"/>
  <c r="H1584" i="1" s="1"/>
  <c r="I1584" i="1"/>
  <c r="B1584" i="1"/>
  <c r="X1583" i="1"/>
  <c r="N1583" i="1"/>
  <c r="M1583" i="1"/>
  <c r="L1583" i="1" a="1"/>
  <c r="L1583" i="1" s="1"/>
  <c r="K1583" i="1"/>
  <c r="J1583" i="1"/>
  <c r="H1583" i="1" s="1"/>
  <c r="I1583" i="1"/>
  <c r="B1583" i="1"/>
  <c r="X1582" i="1"/>
  <c r="N1582" i="1"/>
  <c r="M1582" i="1"/>
  <c r="L1582" i="1" a="1"/>
  <c r="L1582" i="1" s="1"/>
  <c r="K1582" i="1"/>
  <c r="J1582" i="1"/>
  <c r="H1582" i="1" s="1"/>
  <c r="I1582" i="1"/>
  <c r="B1582" i="1"/>
  <c r="X1581" i="1"/>
  <c r="N1581" i="1"/>
  <c r="M1581" i="1"/>
  <c r="L1581" i="1" a="1"/>
  <c r="L1581" i="1" s="1"/>
  <c r="K1581" i="1"/>
  <c r="J1581" i="1"/>
  <c r="H1581" i="1" s="1"/>
  <c r="I1581" i="1"/>
  <c r="B1581" i="1"/>
  <c r="X1580" i="1"/>
  <c r="N1580" i="1"/>
  <c r="M1580" i="1"/>
  <c r="L1580" i="1" a="1"/>
  <c r="L1580" i="1" s="1"/>
  <c r="K1580" i="1"/>
  <c r="J1580" i="1"/>
  <c r="H1580" i="1" s="1"/>
  <c r="I1580" i="1"/>
  <c r="B1580" i="1"/>
  <c r="X1579" i="1"/>
  <c r="N1579" i="1"/>
  <c r="M1579" i="1"/>
  <c r="L1579" i="1" a="1"/>
  <c r="L1579" i="1" s="1"/>
  <c r="K1579" i="1"/>
  <c r="J1579" i="1"/>
  <c r="H1579" i="1" s="1"/>
  <c r="I1579" i="1"/>
  <c r="B1579" i="1"/>
  <c r="X1578" i="1"/>
  <c r="N1578" i="1"/>
  <c r="M1578" i="1"/>
  <c r="L1578" i="1" a="1"/>
  <c r="L1578" i="1" s="1"/>
  <c r="K1578" i="1"/>
  <c r="J1578" i="1"/>
  <c r="H1578" i="1" s="1"/>
  <c r="I1578" i="1"/>
  <c r="B1578" i="1"/>
  <c r="X1577" i="1"/>
  <c r="N1577" i="1"/>
  <c r="M1577" i="1"/>
  <c r="L1577" i="1" a="1"/>
  <c r="L1577" i="1" s="1"/>
  <c r="K1577" i="1"/>
  <c r="J1577" i="1"/>
  <c r="I1577" i="1"/>
  <c r="H1577" i="1"/>
  <c r="B1577" i="1"/>
  <c r="X1576" i="1"/>
  <c r="N1576" i="1"/>
  <c r="M1576" i="1"/>
  <c r="L1576" i="1" a="1"/>
  <c r="L1576" i="1" s="1"/>
  <c r="K1576" i="1"/>
  <c r="J1576" i="1"/>
  <c r="H1576" i="1" s="1"/>
  <c r="I1576" i="1"/>
  <c r="B1576" i="1"/>
  <c r="X1575" i="1"/>
  <c r="N1575" i="1"/>
  <c r="M1575" i="1"/>
  <c r="L1575" i="1" a="1"/>
  <c r="L1575" i="1" s="1"/>
  <c r="K1575" i="1"/>
  <c r="J1575" i="1"/>
  <c r="H1575" i="1" s="1"/>
  <c r="I1575" i="1"/>
  <c r="B1575" i="1"/>
  <c r="X1574" i="1"/>
  <c r="N1574" i="1"/>
  <c r="M1574" i="1"/>
  <c r="L1574" i="1" a="1"/>
  <c r="L1574" i="1" s="1"/>
  <c r="K1574" i="1"/>
  <c r="J1574" i="1"/>
  <c r="H1574" i="1" s="1"/>
  <c r="I1574" i="1"/>
  <c r="B1574" i="1"/>
  <c r="X1573" i="1"/>
  <c r="N1573" i="1"/>
  <c r="M1573" i="1"/>
  <c r="L1573" i="1" a="1"/>
  <c r="L1573" i="1" s="1"/>
  <c r="K1573" i="1"/>
  <c r="J1573" i="1"/>
  <c r="H1573" i="1" s="1"/>
  <c r="I1573" i="1"/>
  <c r="B1573" i="1"/>
  <c r="X1572" i="1"/>
  <c r="N1572" i="1"/>
  <c r="M1572" i="1"/>
  <c r="L1572" i="1" a="1"/>
  <c r="L1572" i="1" s="1"/>
  <c r="K1572" i="1"/>
  <c r="J1572" i="1"/>
  <c r="H1572" i="1" s="1"/>
  <c r="I1572" i="1"/>
  <c r="B1572" i="1"/>
  <c r="X1571" i="1"/>
  <c r="N1571" i="1"/>
  <c r="M1571" i="1"/>
  <c r="L1571" i="1" a="1"/>
  <c r="L1571" i="1" s="1"/>
  <c r="K1571" i="1"/>
  <c r="J1571" i="1"/>
  <c r="H1571" i="1" s="1"/>
  <c r="I1571" i="1"/>
  <c r="B1571" i="1"/>
  <c r="X1570" i="1"/>
  <c r="N1570" i="1"/>
  <c r="M1570" i="1"/>
  <c r="L1570" i="1"/>
  <c r="L1570" i="1" a="1"/>
  <c r="K1570" i="1"/>
  <c r="J1570" i="1"/>
  <c r="H1570" i="1" s="1"/>
  <c r="I1570" i="1"/>
  <c r="B1570" i="1"/>
  <c r="X1569" i="1"/>
  <c r="N1569" i="1"/>
  <c r="M1569" i="1"/>
  <c r="L1569" i="1" a="1"/>
  <c r="L1569" i="1" s="1"/>
  <c r="K1569" i="1"/>
  <c r="J1569" i="1"/>
  <c r="H1569" i="1" s="1"/>
  <c r="I1569" i="1"/>
  <c r="B1569" i="1"/>
  <c r="X1568" i="1"/>
  <c r="N1568" i="1"/>
  <c r="M1568" i="1"/>
  <c r="L1568" i="1" a="1"/>
  <c r="L1568" i="1" s="1"/>
  <c r="K1568" i="1"/>
  <c r="J1568" i="1"/>
  <c r="H1568" i="1" s="1"/>
  <c r="I1568" i="1"/>
  <c r="B1568" i="1"/>
  <c r="X1567" i="1"/>
  <c r="N1567" i="1"/>
  <c r="M1567" i="1"/>
  <c r="L1567" i="1" a="1"/>
  <c r="L1567" i="1" s="1"/>
  <c r="K1567" i="1"/>
  <c r="J1567" i="1"/>
  <c r="H1567" i="1" s="1"/>
  <c r="I1567" i="1"/>
  <c r="B1567" i="1"/>
  <c r="X1566" i="1"/>
  <c r="N1566" i="1"/>
  <c r="M1566" i="1"/>
  <c r="L1566" i="1" a="1"/>
  <c r="L1566" i="1" s="1"/>
  <c r="K1566" i="1"/>
  <c r="J1566" i="1"/>
  <c r="H1566" i="1" s="1"/>
  <c r="I1566" i="1"/>
  <c r="B1566" i="1"/>
  <c r="X1565" i="1"/>
  <c r="N1565" i="1"/>
  <c r="M1565" i="1"/>
  <c r="L1565" i="1" a="1"/>
  <c r="L1565" i="1" s="1"/>
  <c r="K1565" i="1"/>
  <c r="J1565" i="1"/>
  <c r="H1565" i="1" s="1"/>
  <c r="I1565" i="1"/>
  <c r="B1565" i="1"/>
  <c r="X1564" i="1"/>
  <c r="N1564" i="1"/>
  <c r="M1564" i="1"/>
  <c r="L1564" i="1" a="1"/>
  <c r="L1564" i="1" s="1"/>
  <c r="K1564" i="1"/>
  <c r="J1564" i="1"/>
  <c r="H1564" i="1" s="1"/>
  <c r="I1564" i="1"/>
  <c r="B1564" i="1"/>
  <c r="X1563" i="1"/>
  <c r="N1563" i="1"/>
  <c r="M1563" i="1"/>
  <c r="L1563" i="1" a="1"/>
  <c r="L1563" i="1" s="1"/>
  <c r="K1563" i="1"/>
  <c r="J1563" i="1"/>
  <c r="H1563" i="1" s="1"/>
  <c r="I1563" i="1"/>
  <c r="B1563" i="1"/>
  <c r="X1562" i="1"/>
  <c r="N1562" i="1"/>
  <c r="M1562" i="1"/>
  <c r="L1562" i="1" a="1"/>
  <c r="L1562" i="1" s="1"/>
  <c r="K1562" i="1"/>
  <c r="J1562" i="1"/>
  <c r="H1562" i="1" s="1"/>
  <c r="I1562" i="1"/>
  <c r="B1562" i="1"/>
  <c r="X1561" i="1"/>
  <c r="N1561" i="1"/>
  <c r="M1561" i="1"/>
  <c r="L1561" i="1" a="1"/>
  <c r="L1561" i="1" s="1"/>
  <c r="K1561" i="1"/>
  <c r="J1561" i="1"/>
  <c r="I1561" i="1"/>
  <c r="H1561" i="1"/>
  <c r="B1561" i="1"/>
  <c r="X1560" i="1"/>
  <c r="N1560" i="1"/>
  <c r="M1560" i="1"/>
  <c r="L1560" i="1" a="1"/>
  <c r="L1560" i="1" s="1"/>
  <c r="K1560" i="1"/>
  <c r="J1560" i="1"/>
  <c r="I1560" i="1"/>
  <c r="H1560" i="1"/>
  <c r="B1560" i="1"/>
  <c r="X1559" i="1"/>
  <c r="N1559" i="1"/>
  <c r="M1559" i="1"/>
  <c r="L1559" i="1" a="1"/>
  <c r="L1559" i="1" s="1"/>
  <c r="K1559" i="1"/>
  <c r="J1559" i="1"/>
  <c r="H1559" i="1" s="1"/>
  <c r="I1559" i="1"/>
  <c r="B1559" i="1"/>
  <c r="X1558" i="1"/>
  <c r="N1558" i="1"/>
  <c r="M1558" i="1"/>
  <c r="L1558" i="1" a="1"/>
  <c r="L1558" i="1" s="1"/>
  <c r="K1558" i="1"/>
  <c r="J1558" i="1"/>
  <c r="H1558" i="1" s="1"/>
  <c r="I1558" i="1"/>
  <c r="B1558" i="1"/>
  <c r="X1557" i="1"/>
  <c r="N1557" i="1"/>
  <c r="M1557" i="1"/>
  <c r="L1557" i="1" a="1"/>
  <c r="L1557" i="1" s="1"/>
  <c r="K1557" i="1"/>
  <c r="J1557" i="1"/>
  <c r="H1557" i="1" s="1"/>
  <c r="I1557" i="1"/>
  <c r="B1557" i="1"/>
  <c r="X1556" i="1"/>
  <c r="N1556" i="1"/>
  <c r="M1556" i="1"/>
  <c r="L1556" i="1" a="1"/>
  <c r="L1556" i="1" s="1"/>
  <c r="K1556" i="1"/>
  <c r="J1556" i="1"/>
  <c r="H1556" i="1" s="1"/>
  <c r="I1556" i="1"/>
  <c r="B1556" i="1"/>
  <c r="X1555" i="1"/>
  <c r="N1555" i="1"/>
  <c r="M1555" i="1"/>
  <c r="L1555" i="1" a="1"/>
  <c r="L1555" i="1" s="1"/>
  <c r="K1555" i="1"/>
  <c r="J1555" i="1"/>
  <c r="H1555" i="1" s="1"/>
  <c r="I1555" i="1"/>
  <c r="B1555" i="1"/>
  <c r="X1554" i="1"/>
  <c r="N1554" i="1"/>
  <c r="M1554" i="1"/>
  <c r="L1554" i="1" a="1"/>
  <c r="L1554" i="1" s="1"/>
  <c r="K1554" i="1"/>
  <c r="J1554" i="1"/>
  <c r="H1554" i="1" s="1"/>
  <c r="I1554" i="1"/>
  <c r="B1554" i="1"/>
  <c r="X1553" i="1"/>
  <c r="N1553" i="1"/>
  <c r="M1553" i="1"/>
  <c r="L1553" i="1" a="1"/>
  <c r="L1553" i="1" s="1"/>
  <c r="K1553" i="1"/>
  <c r="J1553" i="1"/>
  <c r="H1553" i="1" s="1"/>
  <c r="I1553" i="1"/>
  <c r="B1553" i="1"/>
  <c r="X1552" i="1"/>
  <c r="N1552" i="1"/>
  <c r="M1552" i="1"/>
  <c r="L1552" i="1" a="1"/>
  <c r="L1552" i="1" s="1"/>
  <c r="K1552" i="1"/>
  <c r="J1552" i="1"/>
  <c r="H1552" i="1" s="1"/>
  <c r="I1552" i="1"/>
  <c r="B1552" i="1"/>
  <c r="X1551" i="1"/>
  <c r="N1551" i="1"/>
  <c r="M1551" i="1"/>
  <c r="L1551" i="1" a="1"/>
  <c r="L1551" i="1" s="1"/>
  <c r="K1551" i="1"/>
  <c r="J1551" i="1"/>
  <c r="H1551" i="1" s="1"/>
  <c r="I1551" i="1"/>
  <c r="B1551" i="1"/>
  <c r="X1550" i="1"/>
  <c r="N1550" i="1"/>
  <c r="M1550" i="1"/>
  <c r="L1550" i="1" a="1"/>
  <c r="L1550" i="1" s="1"/>
  <c r="K1550" i="1"/>
  <c r="J1550" i="1"/>
  <c r="H1550" i="1" s="1"/>
  <c r="I1550" i="1"/>
  <c r="B1550" i="1"/>
  <c r="X1549" i="1"/>
  <c r="N1549" i="1"/>
  <c r="M1549" i="1"/>
  <c r="L1549" i="1" a="1"/>
  <c r="L1549" i="1" s="1"/>
  <c r="K1549" i="1"/>
  <c r="J1549" i="1"/>
  <c r="H1549" i="1" s="1"/>
  <c r="I1549" i="1"/>
  <c r="B1549" i="1"/>
  <c r="X1548" i="1"/>
  <c r="N1548" i="1"/>
  <c r="M1548" i="1"/>
  <c r="L1548" i="1" a="1"/>
  <c r="L1548" i="1" s="1"/>
  <c r="K1548" i="1"/>
  <c r="J1548" i="1"/>
  <c r="H1548" i="1" s="1"/>
  <c r="I1548" i="1"/>
  <c r="B1548" i="1"/>
  <c r="X1547" i="1"/>
  <c r="N1547" i="1"/>
  <c r="M1547" i="1"/>
  <c r="L1547" i="1" a="1"/>
  <c r="L1547" i="1" s="1"/>
  <c r="K1547" i="1"/>
  <c r="J1547" i="1"/>
  <c r="H1547" i="1" s="1"/>
  <c r="I1547" i="1"/>
  <c r="B1547" i="1"/>
  <c r="X1546" i="1"/>
  <c r="N1546" i="1"/>
  <c r="M1546" i="1"/>
  <c r="L1546" i="1" a="1"/>
  <c r="L1546" i="1" s="1"/>
  <c r="K1546" i="1"/>
  <c r="J1546" i="1"/>
  <c r="H1546" i="1" s="1"/>
  <c r="I1546" i="1"/>
  <c r="B1546" i="1"/>
  <c r="X1545" i="1"/>
  <c r="N1545" i="1"/>
  <c r="M1545" i="1"/>
  <c r="L1545" i="1" a="1"/>
  <c r="L1545" i="1" s="1"/>
  <c r="K1545" i="1"/>
  <c r="J1545" i="1"/>
  <c r="H1545" i="1" s="1"/>
  <c r="I1545" i="1"/>
  <c r="B1545" i="1"/>
  <c r="X1544" i="1"/>
  <c r="N1544" i="1"/>
  <c r="M1544" i="1"/>
  <c r="L1544" i="1" a="1"/>
  <c r="L1544" i="1" s="1"/>
  <c r="K1544" i="1"/>
  <c r="J1544" i="1"/>
  <c r="H1544" i="1" s="1"/>
  <c r="I1544" i="1"/>
  <c r="B1544" i="1"/>
  <c r="X1543" i="1"/>
  <c r="N1543" i="1"/>
  <c r="M1543" i="1"/>
  <c r="L1543" i="1" a="1"/>
  <c r="L1543" i="1" s="1"/>
  <c r="K1543" i="1"/>
  <c r="J1543" i="1"/>
  <c r="H1543" i="1" s="1"/>
  <c r="I1543" i="1"/>
  <c r="B1543" i="1"/>
  <c r="X1542" i="1"/>
  <c r="N1542" i="1"/>
  <c r="M1542" i="1"/>
  <c r="L1542" i="1" a="1"/>
  <c r="L1542" i="1" s="1"/>
  <c r="K1542" i="1"/>
  <c r="J1542" i="1"/>
  <c r="H1542" i="1" s="1"/>
  <c r="I1542" i="1"/>
  <c r="B1542" i="1"/>
  <c r="X1541" i="1"/>
  <c r="N1541" i="1"/>
  <c r="M1541" i="1"/>
  <c r="L1541" i="1" a="1"/>
  <c r="L1541" i="1" s="1"/>
  <c r="K1541" i="1"/>
  <c r="J1541" i="1"/>
  <c r="H1541" i="1" s="1"/>
  <c r="I1541" i="1"/>
  <c r="B1541" i="1"/>
  <c r="X1540" i="1"/>
  <c r="N1540" i="1"/>
  <c r="M1540" i="1"/>
  <c r="L1540" i="1" a="1"/>
  <c r="L1540" i="1" s="1"/>
  <c r="K1540" i="1"/>
  <c r="J1540" i="1"/>
  <c r="H1540" i="1" s="1"/>
  <c r="I1540" i="1"/>
  <c r="B1540" i="1"/>
  <c r="X1539" i="1"/>
  <c r="N1539" i="1"/>
  <c r="M1539" i="1"/>
  <c r="L1539" i="1" a="1"/>
  <c r="L1539" i="1" s="1"/>
  <c r="K1539" i="1"/>
  <c r="J1539" i="1"/>
  <c r="H1539" i="1" s="1"/>
  <c r="I1539" i="1"/>
  <c r="B1539" i="1"/>
  <c r="X1538" i="1"/>
  <c r="N1538" i="1"/>
  <c r="M1538" i="1"/>
  <c r="L1538" i="1" a="1"/>
  <c r="L1538" i="1" s="1"/>
  <c r="K1538" i="1"/>
  <c r="J1538" i="1"/>
  <c r="H1538" i="1" s="1"/>
  <c r="I1538" i="1"/>
  <c r="B1538" i="1"/>
  <c r="X1537" i="1"/>
  <c r="N1537" i="1"/>
  <c r="M1537" i="1"/>
  <c r="L1537" i="1" a="1"/>
  <c r="L1537" i="1" s="1"/>
  <c r="K1537" i="1"/>
  <c r="J1537" i="1"/>
  <c r="I1537" i="1"/>
  <c r="H1537" i="1"/>
  <c r="B1537" i="1"/>
  <c r="X1536" i="1"/>
  <c r="N1536" i="1"/>
  <c r="M1536" i="1"/>
  <c r="L1536" i="1" a="1"/>
  <c r="L1536" i="1" s="1"/>
  <c r="K1536" i="1"/>
  <c r="J1536" i="1"/>
  <c r="H1536" i="1" s="1"/>
  <c r="I1536" i="1"/>
  <c r="B1536" i="1"/>
  <c r="X1535" i="1"/>
  <c r="N1535" i="1"/>
  <c r="M1535" i="1"/>
  <c r="L1535" i="1" a="1"/>
  <c r="L1535" i="1" s="1"/>
  <c r="K1535" i="1"/>
  <c r="J1535" i="1"/>
  <c r="H1535" i="1" s="1"/>
  <c r="I1535" i="1"/>
  <c r="B1535" i="1"/>
  <c r="X1534" i="1"/>
  <c r="N1534" i="1"/>
  <c r="M1534" i="1"/>
  <c r="L1534" i="1" a="1"/>
  <c r="L1534" i="1" s="1"/>
  <c r="K1534" i="1"/>
  <c r="J1534" i="1"/>
  <c r="I1534" i="1"/>
  <c r="H1534" i="1"/>
  <c r="B1534" i="1"/>
  <c r="X1533" i="1"/>
  <c r="N1533" i="1"/>
  <c r="M1533" i="1"/>
  <c r="L1533" i="1" a="1"/>
  <c r="L1533" i="1" s="1"/>
  <c r="K1533" i="1"/>
  <c r="J1533" i="1"/>
  <c r="H1533" i="1" s="1"/>
  <c r="I1533" i="1"/>
  <c r="B1533" i="1"/>
  <c r="X1532" i="1"/>
  <c r="N1532" i="1"/>
  <c r="M1532" i="1"/>
  <c r="L1532" i="1" a="1"/>
  <c r="L1532" i="1" s="1"/>
  <c r="K1532" i="1"/>
  <c r="J1532" i="1"/>
  <c r="H1532" i="1" s="1"/>
  <c r="I1532" i="1"/>
  <c r="B1532" i="1"/>
  <c r="X1531" i="1"/>
  <c r="N1531" i="1"/>
  <c r="M1531" i="1"/>
  <c r="L1531" i="1" a="1"/>
  <c r="L1531" i="1" s="1"/>
  <c r="K1531" i="1"/>
  <c r="J1531" i="1"/>
  <c r="H1531" i="1" s="1"/>
  <c r="I1531" i="1"/>
  <c r="B1531" i="1"/>
  <c r="X1530" i="1"/>
  <c r="N1530" i="1"/>
  <c r="M1530" i="1"/>
  <c r="L1530" i="1" a="1"/>
  <c r="L1530" i="1" s="1"/>
  <c r="K1530" i="1"/>
  <c r="J1530" i="1"/>
  <c r="I1530" i="1"/>
  <c r="H1530" i="1"/>
  <c r="B1530" i="1"/>
  <c r="X1529" i="1"/>
  <c r="N1529" i="1"/>
  <c r="M1529" i="1"/>
  <c r="L1529" i="1" a="1"/>
  <c r="L1529" i="1" s="1"/>
  <c r="K1529" i="1"/>
  <c r="J1529" i="1"/>
  <c r="H1529" i="1" s="1"/>
  <c r="I1529" i="1"/>
  <c r="B1529" i="1"/>
  <c r="X1528" i="1"/>
  <c r="N1528" i="1"/>
  <c r="M1528" i="1"/>
  <c r="L1528" i="1" a="1"/>
  <c r="L1528" i="1" s="1"/>
  <c r="K1528" i="1"/>
  <c r="J1528" i="1"/>
  <c r="H1528" i="1" s="1"/>
  <c r="I1528" i="1"/>
  <c r="B1528" i="1"/>
  <c r="X1527" i="1"/>
  <c r="N1527" i="1"/>
  <c r="M1527" i="1"/>
  <c r="L1527" i="1" a="1"/>
  <c r="L1527" i="1" s="1"/>
  <c r="K1527" i="1"/>
  <c r="J1527" i="1"/>
  <c r="H1527" i="1" s="1"/>
  <c r="I1527" i="1"/>
  <c r="B1527" i="1"/>
  <c r="X1526" i="1"/>
  <c r="N1526" i="1"/>
  <c r="M1526" i="1"/>
  <c r="L1526" i="1" a="1"/>
  <c r="L1526" i="1" s="1"/>
  <c r="K1526" i="1"/>
  <c r="J1526" i="1"/>
  <c r="H1526" i="1" s="1"/>
  <c r="I1526" i="1"/>
  <c r="B1526" i="1"/>
  <c r="X1525" i="1"/>
  <c r="N1525" i="1"/>
  <c r="M1525" i="1"/>
  <c r="L1525" i="1" a="1"/>
  <c r="L1525" i="1" s="1"/>
  <c r="K1525" i="1"/>
  <c r="J1525" i="1"/>
  <c r="H1525" i="1" s="1"/>
  <c r="I1525" i="1"/>
  <c r="B1525" i="1"/>
  <c r="X1524" i="1"/>
  <c r="N1524" i="1"/>
  <c r="M1524" i="1"/>
  <c r="L1524" i="1" a="1"/>
  <c r="L1524" i="1" s="1"/>
  <c r="K1524" i="1"/>
  <c r="J1524" i="1"/>
  <c r="H1524" i="1" s="1"/>
  <c r="I1524" i="1"/>
  <c r="B1524" i="1"/>
  <c r="X1523" i="1"/>
  <c r="N1523" i="1"/>
  <c r="M1523" i="1"/>
  <c r="L1523" i="1" a="1"/>
  <c r="L1523" i="1" s="1"/>
  <c r="K1523" i="1"/>
  <c r="J1523" i="1"/>
  <c r="H1523" i="1" s="1"/>
  <c r="I1523" i="1"/>
  <c r="B1523" i="1"/>
  <c r="X1522" i="1"/>
  <c r="N1522" i="1"/>
  <c r="M1522" i="1"/>
  <c r="L1522" i="1" a="1"/>
  <c r="L1522" i="1" s="1"/>
  <c r="K1522" i="1"/>
  <c r="J1522" i="1"/>
  <c r="H1522" i="1" s="1"/>
  <c r="I1522" i="1"/>
  <c r="B1522" i="1"/>
  <c r="X1521" i="1"/>
  <c r="N1521" i="1"/>
  <c r="M1521" i="1"/>
  <c r="L1521" i="1" a="1"/>
  <c r="L1521" i="1" s="1"/>
  <c r="K1521" i="1"/>
  <c r="J1521" i="1"/>
  <c r="I1521" i="1"/>
  <c r="H1521" i="1"/>
  <c r="B1521" i="1"/>
  <c r="X1520" i="1"/>
  <c r="N1520" i="1"/>
  <c r="M1520" i="1"/>
  <c r="L1520" i="1" a="1"/>
  <c r="L1520" i="1" s="1"/>
  <c r="K1520" i="1"/>
  <c r="J1520" i="1"/>
  <c r="H1520" i="1" s="1"/>
  <c r="I1520" i="1"/>
  <c r="B1520" i="1"/>
  <c r="X1519" i="1"/>
  <c r="N1519" i="1"/>
  <c r="M1519" i="1"/>
  <c r="L1519" i="1" a="1"/>
  <c r="L1519" i="1" s="1"/>
  <c r="K1519" i="1"/>
  <c r="J1519" i="1"/>
  <c r="H1519" i="1" s="1"/>
  <c r="I1519" i="1"/>
  <c r="B1519" i="1"/>
  <c r="X1518" i="1"/>
  <c r="N1518" i="1"/>
  <c r="M1518" i="1"/>
  <c r="L1518" i="1" a="1"/>
  <c r="L1518" i="1" s="1"/>
  <c r="K1518" i="1"/>
  <c r="J1518" i="1"/>
  <c r="H1518" i="1" s="1"/>
  <c r="I1518" i="1"/>
  <c r="B1518" i="1"/>
  <c r="X1517" i="1"/>
  <c r="N1517" i="1"/>
  <c r="M1517" i="1"/>
  <c r="L1517" i="1" a="1"/>
  <c r="L1517" i="1" s="1"/>
  <c r="K1517" i="1"/>
  <c r="J1517" i="1"/>
  <c r="H1517" i="1" s="1"/>
  <c r="I1517" i="1"/>
  <c r="B1517" i="1"/>
  <c r="X1516" i="1"/>
  <c r="N1516" i="1"/>
  <c r="M1516" i="1"/>
  <c r="L1516" i="1" a="1"/>
  <c r="L1516" i="1" s="1"/>
  <c r="K1516" i="1"/>
  <c r="J1516" i="1"/>
  <c r="H1516" i="1" s="1"/>
  <c r="I1516" i="1"/>
  <c r="B1516" i="1"/>
  <c r="X1515" i="1"/>
  <c r="N1515" i="1"/>
  <c r="M1515" i="1"/>
  <c r="L1515" i="1" a="1"/>
  <c r="L1515" i="1" s="1"/>
  <c r="K1515" i="1"/>
  <c r="J1515" i="1"/>
  <c r="H1515" i="1" s="1"/>
  <c r="I1515" i="1"/>
  <c r="B1515" i="1"/>
  <c r="X1514" i="1"/>
  <c r="N1514" i="1"/>
  <c r="M1514" i="1"/>
  <c r="L1514" i="1"/>
  <c r="L1514" i="1" a="1"/>
  <c r="K1514" i="1"/>
  <c r="J1514" i="1"/>
  <c r="H1514" i="1" s="1"/>
  <c r="I1514" i="1"/>
  <c r="B1514" i="1"/>
  <c r="X1513" i="1"/>
  <c r="N1513" i="1"/>
  <c r="M1513" i="1"/>
  <c r="L1513" i="1" a="1"/>
  <c r="L1513" i="1" s="1"/>
  <c r="K1513" i="1"/>
  <c r="J1513" i="1"/>
  <c r="I1513" i="1"/>
  <c r="H1513" i="1"/>
  <c r="B1513" i="1"/>
  <c r="X1512" i="1"/>
  <c r="N1512" i="1"/>
  <c r="M1512" i="1"/>
  <c r="L1512" i="1" a="1"/>
  <c r="L1512" i="1" s="1"/>
  <c r="K1512" i="1"/>
  <c r="J1512" i="1"/>
  <c r="I1512" i="1"/>
  <c r="H1512" i="1"/>
  <c r="B1512" i="1"/>
  <c r="X1511" i="1"/>
  <c r="N1511" i="1"/>
  <c r="M1511" i="1"/>
  <c r="L1511" i="1" a="1"/>
  <c r="L1511" i="1" s="1"/>
  <c r="K1511" i="1"/>
  <c r="J1511" i="1"/>
  <c r="H1511" i="1" s="1"/>
  <c r="I1511" i="1"/>
  <c r="B1511" i="1"/>
  <c r="X1510" i="1"/>
  <c r="N1510" i="1"/>
  <c r="M1510" i="1"/>
  <c r="L1510" i="1" a="1"/>
  <c r="L1510" i="1" s="1"/>
  <c r="K1510" i="1"/>
  <c r="J1510" i="1"/>
  <c r="H1510" i="1" s="1"/>
  <c r="I1510" i="1"/>
  <c r="B1510" i="1"/>
  <c r="X1509" i="1"/>
  <c r="N1509" i="1"/>
  <c r="M1509" i="1"/>
  <c r="L1509" i="1" a="1"/>
  <c r="L1509" i="1" s="1"/>
  <c r="K1509" i="1"/>
  <c r="J1509" i="1"/>
  <c r="H1509" i="1" s="1"/>
  <c r="I1509" i="1"/>
  <c r="B1509" i="1"/>
  <c r="X1508" i="1"/>
  <c r="N1508" i="1"/>
  <c r="M1508" i="1"/>
  <c r="L1508" i="1" a="1"/>
  <c r="L1508" i="1" s="1"/>
  <c r="K1508" i="1"/>
  <c r="J1508" i="1"/>
  <c r="H1508" i="1" s="1"/>
  <c r="I1508" i="1"/>
  <c r="B1508" i="1"/>
  <c r="X1507" i="1"/>
  <c r="N1507" i="1"/>
  <c r="M1507" i="1"/>
  <c r="L1507" i="1" a="1"/>
  <c r="L1507" i="1" s="1"/>
  <c r="K1507" i="1"/>
  <c r="J1507" i="1"/>
  <c r="H1507" i="1" s="1"/>
  <c r="I1507" i="1"/>
  <c r="B1507" i="1"/>
  <c r="X1506" i="1"/>
  <c r="N1506" i="1"/>
  <c r="M1506" i="1"/>
  <c r="L1506" i="1" a="1"/>
  <c r="L1506" i="1" s="1"/>
  <c r="K1506" i="1"/>
  <c r="J1506" i="1"/>
  <c r="H1506" i="1" s="1"/>
  <c r="I1506" i="1"/>
  <c r="B1506" i="1"/>
  <c r="X1505" i="1"/>
  <c r="N1505" i="1"/>
  <c r="M1505" i="1"/>
  <c r="L1505" i="1" a="1"/>
  <c r="L1505" i="1" s="1"/>
  <c r="K1505" i="1"/>
  <c r="J1505" i="1"/>
  <c r="H1505" i="1" s="1"/>
  <c r="I1505" i="1"/>
  <c r="B1505" i="1"/>
  <c r="X1504" i="1"/>
  <c r="N1504" i="1"/>
  <c r="M1504" i="1"/>
  <c r="L1504" i="1" a="1"/>
  <c r="L1504" i="1" s="1"/>
  <c r="K1504" i="1"/>
  <c r="J1504" i="1"/>
  <c r="H1504" i="1" s="1"/>
  <c r="I1504" i="1"/>
  <c r="B1504" i="1"/>
  <c r="X1503" i="1"/>
  <c r="N1503" i="1"/>
  <c r="M1503" i="1"/>
  <c r="L1503" i="1" a="1"/>
  <c r="L1503" i="1" s="1"/>
  <c r="K1503" i="1"/>
  <c r="J1503" i="1"/>
  <c r="H1503" i="1" s="1"/>
  <c r="I1503" i="1"/>
  <c r="B1503" i="1"/>
  <c r="X1502" i="1"/>
  <c r="N1502" i="1"/>
  <c r="M1502" i="1"/>
  <c r="L1502" i="1" a="1"/>
  <c r="L1502" i="1" s="1"/>
  <c r="K1502" i="1"/>
  <c r="J1502" i="1"/>
  <c r="H1502" i="1" s="1"/>
  <c r="I1502" i="1"/>
  <c r="B1502" i="1"/>
  <c r="X1501" i="1"/>
  <c r="N1501" i="1"/>
  <c r="M1501" i="1"/>
  <c r="L1501" i="1" a="1"/>
  <c r="L1501" i="1" s="1"/>
  <c r="K1501" i="1"/>
  <c r="J1501" i="1"/>
  <c r="H1501" i="1" s="1"/>
  <c r="I1501" i="1"/>
  <c r="B1501" i="1"/>
  <c r="AW1500" i="1"/>
  <c r="X1500" i="1"/>
  <c r="N1500" i="1"/>
  <c r="M1500" i="1"/>
  <c r="L1500" i="1" a="1"/>
  <c r="L1500" i="1" s="1"/>
  <c r="K1500" i="1"/>
  <c r="J1500" i="1"/>
  <c r="I1500" i="1"/>
  <c r="H1500" i="1"/>
  <c r="B1500" i="1"/>
  <c r="AW1499" i="1"/>
  <c r="X1499" i="1"/>
  <c r="N1499" i="1"/>
  <c r="M1499" i="1"/>
  <c r="L1499" i="1" a="1"/>
  <c r="L1499" i="1" s="1"/>
  <c r="K1499" i="1"/>
  <c r="J1499" i="1"/>
  <c r="I1499" i="1"/>
  <c r="H1499" i="1"/>
  <c r="B1499" i="1"/>
  <c r="AW1498" i="1"/>
  <c r="X1498" i="1"/>
  <c r="N1498" i="1"/>
  <c r="M1498" i="1"/>
  <c r="L1498" i="1" a="1"/>
  <c r="L1498" i="1" s="1"/>
  <c r="K1498" i="1"/>
  <c r="J1498" i="1"/>
  <c r="H1498" i="1" s="1"/>
  <c r="I1498" i="1"/>
  <c r="B1498" i="1"/>
  <c r="AW1497" i="1"/>
  <c r="X1497" i="1"/>
  <c r="N1497" i="1"/>
  <c r="M1497" i="1"/>
  <c r="L1497" i="1" a="1"/>
  <c r="L1497" i="1" s="1"/>
  <c r="K1497" i="1"/>
  <c r="J1497" i="1"/>
  <c r="H1497" i="1" s="1"/>
  <c r="I1497" i="1"/>
  <c r="B1497" i="1"/>
  <c r="AW1496" i="1"/>
  <c r="X1496" i="1"/>
  <c r="N1496" i="1"/>
  <c r="M1496" i="1"/>
  <c r="L1496" i="1" a="1"/>
  <c r="L1496" i="1" s="1"/>
  <c r="K1496" i="1"/>
  <c r="J1496" i="1"/>
  <c r="H1496" i="1" s="1"/>
  <c r="I1496" i="1"/>
  <c r="B1496" i="1"/>
  <c r="AW1495" i="1"/>
  <c r="X1495" i="1"/>
  <c r="N1495" i="1"/>
  <c r="M1495" i="1"/>
  <c r="L1495" i="1" a="1"/>
  <c r="L1495" i="1" s="1"/>
  <c r="K1495" i="1"/>
  <c r="J1495" i="1"/>
  <c r="H1495" i="1" s="1"/>
  <c r="I1495" i="1"/>
  <c r="B1495" i="1"/>
  <c r="AW1494" i="1"/>
  <c r="X1494" i="1"/>
  <c r="N1494" i="1"/>
  <c r="M1494" i="1"/>
  <c r="L1494" i="1" a="1"/>
  <c r="L1494" i="1" s="1"/>
  <c r="K1494" i="1"/>
  <c r="J1494" i="1"/>
  <c r="H1494" i="1" s="1"/>
  <c r="I1494" i="1"/>
  <c r="B1494" i="1"/>
  <c r="AW1493" i="1"/>
  <c r="X1493" i="1"/>
  <c r="N1493" i="1"/>
  <c r="M1493" i="1"/>
  <c r="L1493" i="1" a="1"/>
  <c r="L1493" i="1" s="1"/>
  <c r="K1493" i="1"/>
  <c r="J1493" i="1"/>
  <c r="H1493" i="1" s="1"/>
  <c r="I1493" i="1"/>
  <c r="B1493" i="1"/>
  <c r="AW1492" i="1"/>
  <c r="X1492" i="1"/>
  <c r="N1492" i="1"/>
  <c r="M1492" i="1"/>
  <c r="L1492" i="1" a="1"/>
  <c r="L1492" i="1" s="1"/>
  <c r="K1492" i="1"/>
  <c r="J1492" i="1"/>
  <c r="H1492" i="1" s="1"/>
  <c r="I1492" i="1"/>
  <c r="B1492" i="1"/>
  <c r="AW1491" i="1"/>
  <c r="X1491" i="1"/>
  <c r="N1491" i="1"/>
  <c r="M1491" i="1"/>
  <c r="L1491" i="1"/>
  <c r="L1491" i="1" a="1"/>
  <c r="K1491" i="1"/>
  <c r="J1491" i="1"/>
  <c r="H1491" i="1" s="1"/>
  <c r="I1491" i="1"/>
  <c r="B1491" i="1"/>
  <c r="AW1490" i="1"/>
  <c r="X1490" i="1"/>
  <c r="N1490" i="1"/>
  <c r="M1490" i="1"/>
  <c r="L1490" i="1" a="1"/>
  <c r="L1490" i="1" s="1"/>
  <c r="K1490" i="1"/>
  <c r="J1490" i="1"/>
  <c r="H1490" i="1" s="1"/>
  <c r="I1490" i="1"/>
  <c r="B1490" i="1"/>
  <c r="AW1489" i="1"/>
  <c r="X1489" i="1"/>
  <c r="N1489" i="1"/>
  <c r="M1489" i="1"/>
  <c r="L1489" i="1" a="1"/>
  <c r="L1489" i="1" s="1"/>
  <c r="K1489" i="1"/>
  <c r="J1489" i="1"/>
  <c r="H1489" i="1" s="1"/>
  <c r="I1489" i="1"/>
  <c r="B1489" i="1"/>
  <c r="AW1488" i="1"/>
  <c r="X1488" i="1"/>
  <c r="N1488" i="1"/>
  <c r="M1488" i="1"/>
  <c r="L1488" i="1" a="1"/>
  <c r="L1488" i="1" s="1"/>
  <c r="K1488" i="1"/>
  <c r="J1488" i="1"/>
  <c r="H1488" i="1" s="1"/>
  <c r="I1488" i="1"/>
  <c r="B1488" i="1"/>
  <c r="AW1487" i="1"/>
  <c r="X1487" i="1"/>
  <c r="N1487" i="1"/>
  <c r="M1487" i="1"/>
  <c r="L1487" i="1" a="1"/>
  <c r="L1487" i="1" s="1"/>
  <c r="K1487" i="1"/>
  <c r="J1487" i="1"/>
  <c r="H1487" i="1" s="1"/>
  <c r="I1487" i="1"/>
  <c r="B1487" i="1"/>
  <c r="AW1486" i="1"/>
  <c r="X1486" i="1"/>
  <c r="N1486" i="1"/>
  <c r="M1486" i="1"/>
  <c r="L1486" i="1" a="1"/>
  <c r="L1486" i="1" s="1"/>
  <c r="K1486" i="1"/>
  <c r="J1486" i="1"/>
  <c r="H1486" i="1" s="1"/>
  <c r="I1486" i="1"/>
  <c r="B1486" i="1"/>
  <c r="AW1485" i="1"/>
  <c r="X1485" i="1"/>
  <c r="N1485" i="1"/>
  <c r="M1485" i="1"/>
  <c r="L1485" i="1" a="1"/>
  <c r="L1485" i="1" s="1"/>
  <c r="K1485" i="1"/>
  <c r="J1485" i="1"/>
  <c r="H1485" i="1" s="1"/>
  <c r="I1485" i="1"/>
  <c r="B1485" i="1"/>
  <c r="AW1484" i="1"/>
  <c r="X1484" i="1"/>
  <c r="N1484" i="1"/>
  <c r="M1484" i="1"/>
  <c r="L1484" i="1" a="1"/>
  <c r="L1484" i="1" s="1"/>
  <c r="K1484" i="1"/>
  <c r="J1484" i="1"/>
  <c r="H1484" i="1" s="1"/>
  <c r="I1484" i="1"/>
  <c r="B1484" i="1"/>
  <c r="AW1483" i="1"/>
  <c r="X1483" i="1"/>
  <c r="N1483" i="1"/>
  <c r="M1483" i="1"/>
  <c r="L1483" i="1" a="1"/>
  <c r="L1483" i="1" s="1"/>
  <c r="K1483" i="1"/>
  <c r="J1483" i="1"/>
  <c r="H1483" i="1" s="1"/>
  <c r="I1483" i="1"/>
  <c r="B1483" i="1"/>
  <c r="AW1482" i="1"/>
  <c r="X1482" i="1"/>
  <c r="N1482" i="1"/>
  <c r="M1482" i="1"/>
  <c r="L1482" i="1" a="1"/>
  <c r="L1482" i="1" s="1"/>
  <c r="K1482" i="1"/>
  <c r="J1482" i="1"/>
  <c r="I1482" i="1"/>
  <c r="H1482" i="1"/>
  <c r="B1482" i="1"/>
  <c r="AW1481" i="1"/>
  <c r="X1481" i="1"/>
  <c r="N1481" i="1"/>
  <c r="M1481" i="1"/>
  <c r="L1481" i="1" a="1"/>
  <c r="L1481" i="1" s="1"/>
  <c r="K1481" i="1"/>
  <c r="J1481" i="1"/>
  <c r="H1481" i="1" s="1"/>
  <c r="I1481" i="1"/>
  <c r="B1481" i="1"/>
  <c r="AW1480" i="1"/>
  <c r="X1480" i="1"/>
  <c r="N1480" i="1"/>
  <c r="M1480" i="1"/>
  <c r="L1480" i="1" a="1"/>
  <c r="L1480" i="1" s="1"/>
  <c r="K1480" i="1"/>
  <c r="J1480" i="1"/>
  <c r="H1480" i="1" s="1"/>
  <c r="I1480" i="1"/>
  <c r="B1480" i="1"/>
  <c r="AW1479" i="1"/>
  <c r="X1479" i="1"/>
  <c r="N1479" i="1"/>
  <c r="M1479" i="1"/>
  <c r="L1479" i="1" a="1"/>
  <c r="L1479" i="1" s="1"/>
  <c r="K1479" i="1"/>
  <c r="J1479" i="1"/>
  <c r="H1479" i="1" s="1"/>
  <c r="I1479" i="1"/>
  <c r="B1479" i="1"/>
  <c r="AW1478" i="1"/>
  <c r="X1478" i="1"/>
  <c r="N1478" i="1"/>
  <c r="M1478" i="1"/>
  <c r="L1478" i="1" a="1"/>
  <c r="L1478" i="1" s="1"/>
  <c r="K1478" i="1"/>
  <c r="J1478" i="1"/>
  <c r="H1478" i="1" s="1"/>
  <c r="I1478" i="1"/>
  <c r="B1478" i="1"/>
  <c r="AW1477" i="1"/>
  <c r="X1477" i="1"/>
  <c r="N1477" i="1"/>
  <c r="M1477" i="1"/>
  <c r="L1477" i="1" a="1"/>
  <c r="L1477" i="1" s="1"/>
  <c r="K1477" i="1"/>
  <c r="J1477" i="1"/>
  <c r="H1477" i="1" s="1"/>
  <c r="I1477" i="1"/>
  <c r="B1477" i="1"/>
  <c r="AW1476" i="1"/>
  <c r="X1476" i="1"/>
  <c r="N1476" i="1"/>
  <c r="M1476" i="1"/>
  <c r="L1476" i="1" a="1"/>
  <c r="L1476" i="1" s="1"/>
  <c r="K1476" i="1"/>
  <c r="J1476" i="1"/>
  <c r="I1476" i="1"/>
  <c r="H1476" i="1"/>
  <c r="B1476" i="1"/>
  <c r="AW1475" i="1"/>
  <c r="X1475" i="1"/>
  <c r="N1475" i="1"/>
  <c r="M1475" i="1"/>
  <c r="L1475" i="1" a="1"/>
  <c r="L1475" i="1" s="1"/>
  <c r="K1475" i="1"/>
  <c r="J1475" i="1"/>
  <c r="H1475" i="1" s="1"/>
  <c r="I1475" i="1"/>
  <c r="B1475" i="1"/>
  <c r="AW1474" i="1"/>
  <c r="X1474" i="1"/>
  <c r="N1474" i="1"/>
  <c r="M1474" i="1"/>
  <c r="L1474" i="1" a="1"/>
  <c r="L1474" i="1" s="1"/>
  <c r="K1474" i="1"/>
  <c r="J1474" i="1"/>
  <c r="H1474" i="1" s="1"/>
  <c r="I1474" i="1"/>
  <c r="B1474" i="1"/>
  <c r="AW1473" i="1"/>
  <c r="X1473" i="1"/>
  <c r="N1473" i="1"/>
  <c r="M1473" i="1"/>
  <c r="L1473" i="1" a="1"/>
  <c r="L1473" i="1" s="1"/>
  <c r="K1473" i="1"/>
  <c r="J1473" i="1"/>
  <c r="H1473" i="1" s="1"/>
  <c r="I1473" i="1"/>
  <c r="B1473" i="1"/>
  <c r="AW1472" i="1"/>
  <c r="X1472" i="1"/>
  <c r="N1472" i="1"/>
  <c r="M1472" i="1"/>
  <c r="L1472" i="1" a="1"/>
  <c r="L1472" i="1" s="1"/>
  <c r="K1472" i="1"/>
  <c r="J1472" i="1"/>
  <c r="I1472" i="1"/>
  <c r="H1472" i="1"/>
  <c r="B1472" i="1"/>
  <c r="AW1471" i="1"/>
  <c r="X1471" i="1"/>
  <c r="N1471" i="1"/>
  <c r="M1471" i="1"/>
  <c r="L1471" i="1" a="1"/>
  <c r="L1471" i="1" s="1"/>
  <c r="K1471" i="1"/>
  <c r="J1471" i="1"/>
  <c r="H1471" i="1" s="1"/>
  <c r="I1471" i="1"/>
  <c r="B1471" i="1"/>
  <c r="AW1470" i="1"/>
  <c r="N1470" i="1"/>
  <c r="M1470" i="1"/>
  <c r="L1470" i="1" a="1"/>
  <c r="L1470" i="1" s="1"/>
  <c r="K1470" i="1"/>
  <c r="J1470" i="1"/>
  <c r="H1470" i="1" s="1"/>
  <c r="I1470" i="1"/>
  <c r="AW1469" i="1"/>
  <c r="N1469" i="1"/>
  <c r="M1469" i="1"/>
  <c r="L1469" i="1" a="1"/>
  <c r="L1469" i="1" s="1"/>
  <c r="K1469" i="1"/>
  <c r="J1469" i="1"/>
  <c r="H1469" i="1" s="1"/>
  <c r="I1469" i="1"/>
  <c r="AW1468" i="1"/>
  <c r="N1468" i="1"/>
  <c r="M1468" i="1"/>
  <c r="L1468" i="1" a="1"/>
  <c r="L1468" i="1" s="1"/>
  <c r="K1468" i="1"/>
  <c r="J1468" i="1"/>
  <c r="H1468" i="1" s="1"/>
  <c r="I1468" i="1"/>
  <c r="AW1467" i="1"/>
  <c r="N1467" i="1"/>
  <c r="M1467" i="1"/>
  <c r="L1467" i="1" a="1"/>
  <c r="L1467" i="1" s="1"/>
  <c r="K1467" i="1"/>
  <c r="J1467" i="1"/>
  <c r="H1467" i="1" s="1"/>
  <c r="I1467" i="1"/>
  <c r="AW1466" i="1"/>
  <c r="N1466" i="1"/>
  <c r="M1466" i="1"/>
  <c r="L1466" i="1" a="1"/>
  <c r="L1466" i="1" s="1"/>
  <c r="K1466" i="1"/>
  <c r="J1466" i="1"/>
  <c r="I1466" i="1"/>
  <c r="H1466" i="1"/>
  <c r="AW1465" i="1"/>
  <c r="N1465" i="1"/>
  <c r="M1465" i="1"/>
  <c r="L1465" i="1" a="1"/>
  <c r="L1465" i="1" s="1"/>
  <c r="K1465" i="1"/>
  <c r="J1465" i="1"/>
  <c r="H1465" i="1" s="1"/>
  <c r="I1465" i="1"/>
  <c r="AW1464" i="1"/>
  <c r="N1464" i="1"/>
  <c r="M1464" i="1"/>
  <c r="L1464" i="1" a="1"/>
  <c r="L1464" i="1" s="1"/>
  <c r="K1464" i="1"/>
  <c r="J1464" i="1"/>
  <c r="H1464" i="1" s="1"/>
  <c r="I1464" i="1"/>
  <c r="AW1463" i="1"/>
  <c r="N1463" i="1"/>
  <c r="M1463" i="1"/>
  <c r="L1463" i="1" a="1"/>
  <c r="L1463" i="1" s="1"/>
  <c r="K1463" i="1"/>
  <c r="J1463" i="1"/>
  <c r="H1463" i="1" s="1"/>
  <c r="I1463" i="1"/>
  <c r="AW1462" i="1"/>
  <c r="N1462" i="1"/>
  <c r="M1462" i="1"/>
  <c r="L1462" i="1" a="1"/>
  <c r="L1462" i="1" s="1"/>
  <c r="K1462" i="1"/>
  <c r="J1462" i="1"/>
  <c r="H1462" i="1" s="1"/>
  <c r="I1462" i="1"/>
  <c r="AW1461" i="1"/>
  <c r="N1461" i="1"/>
  <c r="M1461" i="1"/>
  <c r="L1461" i="1" a="1"/>
  <c r="L1461" i="1" s="1"/>
  <c r="K1461" i="1"/>
  <c r="J1461" i="1"/>
  <c r="H1461" i="1" s="1"/>
  <c r="I1461" i="1"/>
  <c r="AW1460" i="1"/>
  <c r="N1460" i="1"/>
  <c r="M1460" i="1"/>
  <c r="L1460" i="1" a="1"/>
  <c r="L1460" i="1" s="1"/>
  <c r="K1460" i="1"/>
  <c r="J1460" i="1"/>
  <c r="H1460" i="1" s="1"/>
  <c r="I1460" i="1"/>
  <c r="AW1459" i="1"/>
  <c r="N1459" i="1"/>
  <c r="M1459" i="1"/>
  <c r="L1459" i="1" a="1"/>
  <c r="L1459" i="1" s="1"/>
  <c r="K1459" i="1"/>
  <c r="J1459" i="1"/>
  <c r="H1459" i="1" s="1"/>
  <c r="I1459" i="1"/>
  <c r="AW1458" i="1"/>
  <c r="N1458" i="1"/>
  <c r="M1458" i="1"/>
  <c r="L1458" i="1" a="1"/>
  <c r="L1458" i="1" s="1"/>
  <c r="K1458" i="1"/>
  <c r="J1458" i="1"/>
  <c r="H1458" i="1" s="1"/>
  <c r="I1458" i="1"/>
  <c r="AW1457" i="1"/>
  <c r="N1457" i="1"/>
  <c r="M1457" i="1"/>
  <c r="L1457" i="1" a="1"/>
  <c r="L1457" i="1" s="1"/>
  <c r="K1457" i="1"/>
  <c r="J1457" i="1"/>
  <c r="H1457" i="1" s="1"/>
  <c r="I1457" i="1"/>
  <c r="AW1456" i="1"/>
  <c r="N1456" i="1"/>
  <c r="M1456" i="1"/>
  <c r="L1456" i="1" a="1"/>
  <c r="L1456" i="1" s="1"/>
  <c r="K1456" i="1"/>
  <c r="J1456" i="1"/>
  <c r="H1456" i="1" s="1"/>
  <c r="I1456" i="1"/>
  <c r="AW1455" i="1"/>
  <c r="N1455" i="1"/>
  <c r="M1455" i="1"/>
  <c r="L1455" i="1" a="1"/>
  <c r="L1455" i="1" s="1"/>
  <c r="K1455" i="1"/>
  <c r="J1455" i="1"/>
  <c r="H1455" i="1" s="1"/>
  <c r="I1455" i="1"/>
  <c r="AW1454" i="1"/>
  <c r="N1454" i="1"/>
  <c r="M1454" i="1"/>
  <c r="L1454" i="1" a="1"/>
  <c r="L1454" i="1" s="1"/>
  <c r="K1454" i="1"/>
  <c r="J1454" i="1"/>
  <c r="H1454" i="1" s="1"/>
  <c r="I1454" i="1"/>
  <c r="AW1453" i="1"/>
  <c r="N1453" i="1"/>
  <c r="M1453" i="1"/>
  <c r="L1453" i="1" a="1"/>
  <c r="L1453" i="1" s="1"/>
  <c r="K1453" i="1"/>
  <c r="J1453" i="1"/>
  <c r="I1453" i="1"/>
  <c r="H1453" i="1"/>
  <c r="AW1452" i="1"/>
  <c r="N1452" i="1"/>
  <c r="M1452" i="1"/>
  <c r="L1452" i="1" a="1"/>
  <c r="L1452" i="1" s="1"/>
  <c r="K1452" i="1"/>
  <c r="J1452" i="1"/>
  <c r="I1452" i="1"/>
  <c r="H1452" i="1"/>
  <c r="AW1451" i="1"/>
  <c r="N1451" i="1"/>
  <c r="M1451" i="1"/>
  <c r="L1451" i="1" a="1"/>
  <c r="L1451" i="1" s="1"/>
  <c r="K1451" i="1"/>
  <c r="J1451" i="1"/>
  <c r="H1451" i="1" s="1"/>
  <c r="I1451" i="1"/>
  <c r="AW1450" i="1"/>
  <c r="N1450" i="1"/>
  <c r="M1450" i="1"/>
  <c r="L1450" i="1" a="1"/>
  <c r="L1450" i="1" s="1"/>
  <c r="K1450" i="1"/>
  <c r="J1450" i="1"/>
  <c r="I1450" i="1"/>
  <c r="H1450" i="1"/>
  <c r="AW1449" i="1"/>
  <c r="N1449" i="1"/>
  <c r="M1449" i="1"/>
  <c r="L1449" i="1" a="1"/>
  <c r="L1449" i="1" s="1"/>
  <c r="K1449" i="1"/>
  <c r="J1449" i="1"/>
  <c r="H1449" i="1" s="1"/>
  <c r="I1449" i="1"/>
  <c r="AW1448" i="1"/>
  <c r="N1448" i="1"/>
  <c r="M1448" i="1"/>
  <c r="L1448" i="1" a="1"/>
  <c r="L1448" i="1" s="1"/>
  <c r="K1448" i="1"/>
  <c r="J1448" i="1"/>
  <c r="I1448" i="1"/>
  <c r="H1448" i="1"/>
  <c r="AW1447" i="1"/>
  <c r="N1447" i="1"/>
  <c r="M1447" i="1"/>
  <c r="L1447" i="1" a="1"/>
  <c r="L1447" i="1" s="1"/>
  <c r="K1447" i="1"/>
  <c r="J1447" i="1"/>
  <c r="H1447" i="1" s="1"/>
  <c r="I1447" i="1"/>
  <c r="AW1446" i="1"/>
  <c r="N1446" i="1"/>
  <c r="M1446" i="1"/>
  <c r="L1446" i="1" a="1"/>
  <c r="L1446" i="1" s="1"/>
  <c r="K1446" i="1"/>
  <c r="J1446" i="1"/>
  <c r="H1446" i="1" s="1"/>
  <c r="I1446" i="1"/>
  <c r="AW1445" i="1"/>
  <c r="N1445" i="1"/>
  <c r="M1445" i="1"/>
  <c r="L1445" i="1" a="1"/>
  <c r="L1445" i="1" s="1"/>
  <c r="K1445" i="1"/>
  <c r="J1445" i="1"/>
  <c r="H1445" i="1" s="1"/>
  <c r="I1445" i="1"/>
  <c r="AW1444" i="1"/>
  <c r="N1444" i="1"/>
  <c r="M1444" i="1"/>
  <c r="L1444" i="1" a="1"/>
  <c r="L1444" i="1" s="1"/>
  <c r="K1444" i="1"/>
  <c r="J1444" i="1"/>
  <c r="H1444" i="1" s="1"/>
  <c r="I1444" i="1"/>
  <c r="AW1443" i="1"/>
  <c r="N1443" i="1"/>
  <c r="M1443" i="1"/>
  <c r="L1443" i="1" a="1"/>
  <c r="L1443" i="1" s="1"/>
  <c r="K1443" i="1"/>
  <c r="J1443" i="1"/>
  <c r="H1443" i="1" s="1"/>
  <c r="I1443" i="1"/>
  <c r="AW1442" i="1"/>
  <c r="N1442" i="1"/>
  <c r="M1442" i="1"/>
  <c r="L1442" i="1" a="1"/>
  <c r="L1442" i="1" s="1"/>
  <c r="K1442" i="1"/>
  <c r="J1442" i="1"/>
  <c r="I1442" i="1"/>
  <c r="H1442" i="1"/>
  <c r="AW1441" i="1"/>
  <c r="N1441" i="1"/>
  <c r="M1441" i="1"/>
  <c r="L1441" i="1" a="1"/>
  <c r="L1441" i="1" s="1"/>
  <c r="K1441" i="1"/>
  <c r="J1441" i="1"/>
  <c r="H1441" i="1" s="1"/>
  <c r="I1441" i="1"/>
  <c r="AW1440" i="1"/>
  <c r="N1440" i="1"/>
  <c r="M1440" i="1"/>
  <c r="L1440" i="1" a="1"/>
  <c r="L1440" i="1" s="1"/>
  <c r="K1440" i="1"/>
  <c r="J1440" i="1"/>
  <c r="H1440" i="1" s="1"/>
  <c r="I1440" i="1"/>
  <c r="AW1439" i="1"/>
  <c r="N1439" i="1"/>
  <c r="M1439" i="1"/>
  <c r="L1439" i="1" a="1"/>
  <c r="L1439" i="1" s="1"/>
  <c r="K1439" i="1"/>
  <c r="J1439" i="1"/>
  <c r="H1439" i="1" s="1"/>
  <c r="I1439" i="1"/>
  <c r="AW1438" i="1"/>
  <c r="N1438" i="1"/>
  <c r="M1438" i="1"/>
  <c r="L1438" i="1" a="1"/>
  <c r="L1438" i="1" s="1"/>
  <c r="K1438" i="1"/>
  <c r="J1438" i="1"/>
  <c r="H1438" i="1" s="1"/>
  <c r="I1438" i="1"/>
  <c r="AW1437" i="1"/>
  <c r="N1437" i="1"/>
  <c r="M1437" i="1"/>
  <c r="L1437" i="1" a="1"/>
  <c r="L1437" i="1" s="1"/>
  <c r="K1437" i="1"/>
  <c r="J1437" i="1"/>
  <c r="H1437" i="1" s="1"/>
  <c r="I1437" i="1"/>
  <c r="AW1436" i="1"/>
  <c r="N1436" i="1"/>
  <c r="M1436" i="1"/>
  <c r="L1436" i="1" a="1"/>
  <c r="L1436" i="1" s="1"/>
  <c r="K1436" i="1"/>
  <c r="J1436" i="1"/>
  <c r="H1436" i="1" s="1"/>
  <c r="I1436" i="1"/>
  <c r="AW1435" i="1"/>
  <c r="N1435" i="1"/>
  <c r="M1435" i="1"/>
  <c r="L1435" i="1" a="1"/>
  <c r="L1435" i="1" s="1"/>
  <c r="K1435" i="1"/>
  <c r="J1435" i="1"/>
  <c r="H1435" i="1" s="1"/>
  <c r="I1435" i="1"/>
  <c r="AW1434" i="1"/>
  <c r="N1434" i="1"/>
  <c r="M1434" i="1"/>
  <c r="L1434" i="1" a="1"/>
  <c r="L1434" i="1" s="1"/>
  <c r="K1434" i="1"/>
  <c r="J1434" i="1"/>
  <c r="H1434" i="1" s="1"/>
  <c r="I1434" i="1"/>
  <c r="AW1433" i="1"/>
  <c r="N1433" i="1"/>
  <c r="M1433" i="1"/>
  <c r="L1433" i="1" a="1"/>
  <c r="L1433" i="1" s="1"/>
  <c r="K1433" i="1"/>
  <c r="J1433" i="1"/>
  <c r="H1433" i="1" s="1"/>
  <c r="I1433" i="1"/>
  <c r="AW1432" i="1"/>
  <c r="N1432" i="1"/>
  <c r="M1432" i="1"/>
  <c r="L1432" i="1" a="1"/>
  <c r="L1432" i="1" s="1"/>
  <c r="K1432" i="1"/>
  <c r="J1432" i="1"/>
  <c r="H1432" i="1" s="1"/>
  <c r="I1432" i="1"/>
  <c r="AW1431" i="1"/>
  <c r="N1431" i="1"/>
  <c r="M1431" i="1"/>
  <c r="L1431" i="1" a="1"/>
  <c r="L1431" i="1" s="1"/>
  <c r="K1431" i="1"/>
  <c r="J1431" i="1"/>
  <c r="H1431" i="1" s="1"/>
  <c r="I1431" i="1"/>
  <c r="AW1430" i="1"/>
  <c r="N1430" i="1"/>
  <c r="M1430" i="1"/>
  <c r="L1430" i="1" a="1"/>
  <c r="L1430" i="1" s="1"/>
  <c r="K1430" i="1"/>
  <c r="J1430" i="1"/>
  <c r="H1430" i="1" s="1"/>
  <c r="I1430" i="1"/>
  <c r="AW1429" i="1"/>
  <c r="N1429" i="1"/>
  <c r="M1429" i="1"/>
  <c r="L1429" i="1" a="1"/>
  <c r="L1429" i="1" s="1"/>
  <c r="K1429" i="1"/>
  <c r="J1429" i="1"/>
  <c r="H1429" i="1" s="1"/>
  <c r="I1429" i="1"/>
  <c r="AW1428" i="1"/>
  <c r="N1428" i="1"/>
  <c r="M1428" i="1"/>
  <c r="L1428" i="1" a="1"/>
  <c r="L1428" i="1" s="1"/>
  <c r="K1428" i="1"/>
  <c r="J1428" i="1"/>
  <c r="H1428" i="1" s="1"/>
  <c r="I1428" i="1"/>
  <c r="AW1427" i="1"/>
  <c r="N1427" i="1"/>
  <c r="M1427" i="1"/>
  <c r="L1427" i="1" a="1"/>
  <c r="L1427" i="1" s="1"/>
  <c r="K1427" i="1"/>
  <c r="J1427" i="1"/>
  <c r="H1427" i="1" s="1"/>
  <c r="I1427" i="1"/>
  <c r="AW1426" i="1"/>
  <c r="N1426" i="1"/>
  <c r="M1426" i="1"/>
  <c r="L1426" i="1" a="1"/>
  <c r="L1426" i="1" s="1"/>
  <c r="K1426" i="1"/>
  <c r="J1426" i="1"/>
  <c r="H1426" i="1" s="1"/>
  <c r="I1426" i="1"/>
  <c r="AW1425" i="1"/>
  <c r="N1425" i="1"/>
  <c r="M1425" i="1"/>
  <c r="L1425" i="1" a="1"/>
  <c r="L1425" i="1" s="1"/>
  <c r="K1425" i="1"/>
  <c r="J1425" i="1"/>
  <c r="H1425" i="1" s="1"/>
  <c r="I1425" i="1"/>
  <c r="AW1424" i="1"/>
  <c r="N1424" i="1"/>
  <c r="M1424" i="1"/>
  <c r="L1424" i="1" a="1"/>
  <c r="L1424" i="1" s="1"/>
  <c r="K1424" i="1"/>
  <c r="J1424" i="1"/>
  <c r="I1424" i="1"/>
  <c r="H1424" i="1"/>
  <c r="AW1423" i="1"/>
  <c r="N1423" i="1"/>
  <c r="M1423" i="1"/>
  <c r="L1423" i="1" a="1"/>
  <c r="L1423" i="1" s="1"/>
  <c r="K1423" i="1"/>
  <c r="J1423" i="1"/>
  <c r="H1423" i="1" s="1"/>
  <c r="I1423" i="1"/>
  <c r="AW1422" i="1"/>
  <c r="N1422" i="1"/>
  <c r="M1422" i="1"/>
  <c r="L1422" i="1" a="1"/>
  <c r="L1422" i="1" s="1"/>
  <c r="K1422" i="1"/>
  <c r="J1422" i="1"/>
  <c r="H1422" i="1" s="1"/>
  <c r="I1422" i="1"/>
  <c r="AW1421" i="1"/>
  <c r="N1421" i="1"/>
  <c r="M1421" i="1"/>
  <c r="L1421" i="1" a="1"/>
  <c r="L1421" i="1" s="1"/>
  <c r="K1421" i="1"/>
  <c r="J1421" i="1"/>
  <c r="H1421" i="1" s="1"/>
  <c r="I1421" i="1"/>
  <c r="AW1420" i="1"/>
  <c r="N1420" i="1"/>
  <c r="M1420" i="1"/>
  <c r="L1420" i="1" a="1"/>
  <c r="L1420" i="1" s="1"/>
  <c r="K1420" i="1"/>
  <c r="J1420" i="1"/>
  <c r="H1420" i="1" s="1"/>
  <c r="I1420" i="1"/>
  <c r="AW1419" i="1"/>
  <c r="N1419" i="1"/>
  <c r="M1419" i="1"/>
  <c r="L1419" i="1" a="1"/>
  <c r="L1419" i="1" s="1"/>
  <c r="K1419" i="1"/>
  <c r="J1419" i="1"/>
  <c r="H1419" i="1" s="1"/>
  <c r="I1419" i="1"/>
  <c r="AW1418" i="1"/>
  <c r="N1418" i="1"/>
  <c r="M1418" i="1"/>
  <c r="L1418" i="1" a="1"/>
  <c r="L1418" i="1" s="1"/>
  <c r="K1418" i="1"/>
  <c r="J1418" i="1"/>
  <c r="H1418" i="1" s="1"/>
  <c r="I1418" i="1"/>
  <c r="AW1417" i="1"/>
  <c r="N1417" i="1"/>
  <c r="M1417" i="1"/>
  <c r="L1417" i="1" a="1"/>
  <c r="L1417" i="1" s="1"/>
  <c r="K1417" i="1"/>
  <c r="J1417" i="1"/>
  <c r="H1417" i="1" s="1"/>
  <c r="I1417" i="1"/>
  <c r="AW1416" i="1"/>
  <c r="N1416" i="1"/>
  <c r="M1416" i="1"/>
  <c r="L1416" i="1"/>
  <c r="L1416" i="1" a="1"/>
  <c r="K1416" i="1"/>
  <c r="J1416" i="1"/>
  <c r="I1416" i="1"/>
  <c r="H1416" i="1"/>
  <c r="AW1415" i="1"/>
  <c r="N1415" i="1"/>
  <c r="M1415" i="1"/>
  <c r="L1415" i="1" a="1"/>
  <c r="L1415" i="1" s="1"/>
  <c r="K1415" i="1"/>
  <c r="J1415" i="1"/>
  <c r="H1415" i="1" s="1"/>
  <c r="I1415" i="1"/>
  <c r="AW1414" i="1"/>
  <c r="N1414" i="1"/>
  <c r="M1414" i="1"/>
  <c r="L1414" i="1" a="1"/>
  <c r="L1414" i="1" s="1"/>
  <c r="K1414" i="1"/>
  <c r="J1414" i="1"/>
  <c r="H1414" i="1" s="1"/>
  <c r="I1414" i="1"/>
  <c r="AW1413" i="1"/>
  <c r="N1413" i="1"/>
  <c r="M1413" i="1"/>
  <c r="L1413" i="1" a="1"/>
  <c r="L1413" i="1" s="1"/>
  <c r="K1413" i="1"/>
  <c r="J1413" i="1"/>
  <c r="H1413" i="1" s="1"/>
  <c r="I1413" i="1"/>
  <c r="AW1412" i="1"/>
  <c r="N1412" i="1"/>
  <c r="M1412" i="1"/>
  <c r="L1412" i="1"/>
  <c r="L1412" i="1" a="1"/>
  <c r="K1412" i="1"/>
  <c r="J1412" i="1"/>
  <c r="H1412" i="1" s="1"/>
  <c r="I1412" i="1"/>
  <c r="AW1411" i="1"/>
  <c r="N1411" i="1"/>
  <c r="M1411" i="1"/>
  <c r="L1411" i="1" a="1"/>
  <c r="L1411" i="1" s="1"/>
  <c r="K1411" i="1"/>
  <c r="J1411" i="1"/>
  <c r="H1411" i="1" s="1"/>
  <c r="I1411" i="1"/>
  <c r="AW1410" i="1"/>
  <c r="N1410" i="1"/>
  <c r="M1410" i="1"/>
  <c r="L1410" i="1" a="1"/>
  <c r="L1410" i="1" s="1"/>
  <c r="K1410" i="1"/>
  <c r="J1410" i="1"/>
  <c r="H1410" i="1" s="1"/>
  <c r="I1410" i="1"/>
  <c r="AW1409" i="1"/>
  <c r="N1409" i="1"/>
  <c r="M1409" i="1"/>
  <c r="L1409" i="1" a="1"/>
  <c r="L1409" i="1" s="1"/>
  <c r="K1409" i="1"/>
  <c r="J1409" i="1"/>
  <c r="H1409" i="1" s="1"/>
  <c r="I1409" i="1"/>
  <c r="AW1408" i="1"/>
  <c r="N1408" i="1"/>
  <c r="M1408" i="1"/>
  <c r="L1408" i="1" a="1"/>
  <c r="L1408" i="1" s="1"/>
  <c r="K1408" i="1"/>
  <c r="J1408" i="1"/>
  <c r="H1408" i="1" s="1"/>
  <c r="I1408" i="1"/>
  <c r="AW1407" i="1"/>
  <c r="N1407" i="1"/>
  <c r="M1407" i="1"/>
  <c r="L1407" i="1" a="1"/>
  <c r="L1407" i="1" s="1"/>
  <c r="K1407" i="1"/>
  <c r="J1407" i="1"/>
  <c r="H1407" i="1" s="1"/>
  <c r="I1407" i="1"/>
  <c r="AW1406" i="1"/>
  <c r="N1406" i="1"/>
  <c r="M1406" i="1"/>
  <c r="L1406" i="1"/>
  <c r="L1406" i="1" a="1"/>
  <c r="K1406" i="1"/>
  <c r="J1406" i="1"/>
  <c r="H1406" i="1" s="1"/>
  <c r="I1406" i="1"/>
  <c r="AW1405" i="1"/>
  <c r="N1405" i="1"/>
  <c r="M1405" i="1"/>
  <c r="L1405" i="1" a="1"/>
  <c r="L1405" i="1" s="1"/>
  <c r="K1405" i="1"/>
  <c r="J1405" i="1"/>
  <c r="H1405" i="1" s="1"/>
  <c r="I1405" i="1"/>
  <c r="AW1404" i="1"/>
  <c r="N1404" i="1"/>
  <c r="M1404" i="1"/>
  <c r="L1404" i="1"/>
  <c r="L1404" i="1" a="1"/>
  <c r="K1404" i="1"/>
  <c r="J1404" i="1"/>
  <c r="H1404" i="1" s="1"/>
  <c r="I1404" i="1"/>
  <c r="AW1403" i="1"/>
  <c r="N1403" i="1"/>
  <c r="M1403" i="1"/>
  <c r="L1403" i="1" a="1"/>
  <c r="L1403" i="1" s="1"/>
  <c r="K1403" i="1"/>
  <c r="J1403" i="1"/>
  <c r="H1403" i="1" s="1"/>
  <c r="I1403" i="1"/>
  <c r="AW1402" i="1"/>
  <c r="N1402" i="1"/>
  <c r="M1402" i="1"/>
  <c r="L1402" i="1"/>
  <c r="L1402" i="1" a="1"/>
  <c r="K1402" i="1"/>
  <c r="J1402" i="1"/>
  <c r="H1402" i="1" s="1"/>
  <c r="I1402" i="1"/>
  <c r="AW1401" i="1"/>
  <c r="N1401" i="1"/>
  <c r="M1401" i="1"/>
  <c r="L1401" i="1" a="1"/>
  <c r="L1401" i="1" s="1"/>
  <c r="K1401" i="1"/>
  <c r="J1401" i="1"/>
  <c r="H1401" i="1" s="1"/>
  <c r="I1401" i="1"/>
  <c r="AW1400" i="1"/>
  <c r="N1400" i="1"/>
  <c r="M1400" i="1"/>
  <c r="L1400" i="1" a="1"/>
  <c r="L1400" i="1" s="1"/>
  <c r="K1400" i="1"/>
  <c r="J1400" i="1"/>
  <c r="H1400" i="1" s="1"/>
  <c r="I1400" i="1"/>
  <c r="AW1399" i="1"/>
  <c r="N1399" i="1"/>
  <c r="M1399" i="1"/>
  <c r="L1399" i="1" a="1"/>
  <c r="L1399" i="1" s="1"/>
  <c r="K1399" i="1"/>
  <c r="J1399" i="1"/>
  <c r="H1399" i="1" s="1"/>
  <c r="I1399" i="1"/>
  <c r="AW1398" i="1"/>
  <c r="N1398" i="1"/>
  <c r="M1398" i="1"/>
  <c r="L1398" i="1" a="1"/>
  <c r="L1398" i="1" s="1"/>
  <c r="K1398" i="1"/>
  <c r="J1398" i="1"/>
  <c r="H1398" i="1" s="1"/>
  <c r="I1398" i="1"/>
  <c r="AW1397" i="1"/>
  <c r="N1397" i="1"/>
  <c r="M1397" i="1"/>
  <c r="L1397" i="1" a="1"/>
  <c r="L1397" i="1" s="1"/>
  <c r="K1397" i="1"/>
  <c r="J1397" i="1"/>
  <c r="H1397" i="1" s="1"/>
  <c r="I1397" i="1"/>
  <c r="AW1396" i="1"/>
  <c r="N1396" i="1"/>
  <c r="M1396" i="1"/>
  <c r="L1396" i="1" a="1"/>
  <c r="L1396" i="1" s="1"/>
  <c r="K1396" i="1"/>
  <c r="J1396" i="1"/>
  <c r="H1396" i="1" s="1"/>
  <c r="I1396" i="1"/>
  <c r="AW1395" i="1"/>
  <c r="N1395" i="1"/>
  <c r="M1395" i="1"/>
  <c r="L1395" i="1" a="1"/>
  <c r="L1395" i="1" s="1"/>
  <c r="K1395" i="1"/>
  <c r="J1395" i="1"/>
  <c r="H1395" i="1" s="1"/>
  <c r="I1395" i="1"/>
  <c r="AW1394" i="1"/>
  <c r="N1394" i="1"/>
  <c r="M1394" i="1"/>
  <c r="L1394" i="1" a="1"/>
  <c r="L1394" i="1" s="1"/>
  <c r="K1394" i="1"/>
  <c r="J1394" i="1"/>
  <c r="H1394" i="1" s="1"/>
  <c r="I1394" i="1"/>
  <c r="AW1393" i="1"/>
  <c r="N1393" i="1"/>
  <c r="M1393" i="1"/>
  <c r="L1393" i="1" a="1"/>
  <c r="L1393" i="1" s="1"/>
  <c r="K1393" i="1"/>
  <c r="J1393" i="1"/>
  <c r="H1393" i="1" s="1"/>
  <c r="I1393" i="1"/>
  <c r="AW1392" i="1"/>
  <c r="N1392" i="1"/>
  <c r="M1392" i="1"/>
  <c r="L1392" i="1" a="1"/>
  <c r="L1392" i="1" s="1"/>
  <c r="K1392" i="1"/>
  <c r="J1392" i="1"/>
  <c r="H1392" i="1" s="1"/>
  <c r="I1392" i="1"/>
  <c r="AW1391" i="1"/>
  <c r="N1391" i="1"/>
  <c r="M1391" i="1"/>
  <c r="L1391" i="1" a="1"/>
  <c r="L1391" i="1" s="1"/>
  <c r="K1391" i="1"/>
  <c r="J1391" i="1"/>
  <c r="H1391" i="1" s="1"/>
  <c r="I1391" i="1"/>
  <c r="AW1390" i="1"/>
  <c r="N1390" i="1"/>
  <c r="M1390" i="1"/>
  <c r="L1390" i="1" a="1"/>
  <c r="L1390" i="1" s="1"/>
  <c r="K1390" i="1"/>
  <c r="J1390" i="1"/>
  <c r="H1390" i="1" s="1"/>
  <c r="I1390" i="1"/>
  <c r="AW1389" i="1"/>
  <c r="N1389" i="1"/>
  <c r="M1389" i="1"/>
  <c r="L1389" i="1" a="1"/>
  <c r="L1389" i="1" s="1"/>
  <c r="K1389" i="1"/>
  <c r="J1389" i="1"/>
  <c r="H1389" i="1" s="1"/>
  <c r="I1389" i="1"/>
  <c r="AW1388" i="1"/>
  <c r="N1388" i="1"/>
  <c r="M1388" i="1"/>
  <c r="L1388" i="1" a="1"/>
  <c r="L1388" i="1" s="1"/>
  <c r="K1388" i="1"/>
  <c r="J1388" i="1"/>
  <c r="H1388" i="1" s="1"/>
  <c r="I1388" i="1"/>
  <c r="AW1387" i="1"/>
  <c r="N1387" i="1"/>
  <c r="M1387" i="1"/>
  <c r="L1387" i="1" a="1"/>
  <c r="L1387" i="1" s="1"/>
  <c r="K1387" i="1"/>
  <c r="J1387" i="1"/>
  <c r="H1387" i="1" s="1"/>
  <c r="I1387" i="1"/>
  <c r="AW1386" i="1"/>
  <c r="N1386" i="1"/>
  <c r="M1386" i="1"/>
  <c r="L1386" i="1" a="1"/>
  <c r="L1386" i="1" s="1"/>
  <c r="K1386" i="1"/>
  <c r="J1386" i="1"/>
  <c r="H1386" i="1" s="1"/>
  <c r="I1386" i="1"/>
  <c r="AW1385" i="1"/>
  <c r="N1385" i="1"/>
  <c r="M1385" i="1"/>
  <c r="L1385" i="1" a="1"/>
  <c r="L1385" i="1" s="1"/>
  <c r="K1385" i="1"/>
  <c r="J1385" i="1"/>
  <c r="I1385" i="1"/>
  <c r="H1385" i="1"/>
  <c r="AW1384" i="1"/>
  <c r="N1384" i="1"/>
  <c r="M1384" i="1"/>
  <c r="L1384" i="1" a="1"/>
  <c r="L1384" i="1" s="1"/>
  <c r="K1384" i="1"/>
  <c r="J1384" i="1"/>
  <c r="H1384" i="1" s="1"/>
  <c r="I1384" i="1"/>
  <c r="AW1383" i="1"/>
  <c r="N1383" i="1"/>
  <c r="M1383" i="1"/>
  <c r="L1383" i="1" a="1"/>
  <c r="L1383" i="1" s="1"/>
  <c r="K1383" i="1"/>
  <c r="J1383" i="1"/>
  <c r="I1383" i="1"/>
  <c r="H1383" i="1"/>
  <c r="AW1382" i="1"/>
  <c r="N1382" i="1"/>
  <c r="M1382" i="1"/>
  <c r="L1382" i="1" a="1"/>
  <c r="L1382" i="1" s="1"/>
  <c r="K1382" i="1"/>
  <c r="J1382" i="1"/>
  <c r="H1382" i="1" s="1"/>
  <c r="I1382" i="1"/>
  <c r="AW1381" i="1"/>
  <c r="N1381" i="1"/>
  <c r="M1381" i="1"/>
  <c r="L1381" i="1" a="1"/>
  <c r="L1381" i="1" s="1"/>
  <c r="K1381" i="1"/>
  <c r="J1381" i="1"/>
  <c r="H1381" i="1" s="1"/>
  <c r="I1381" i="1"/>
  <c r="AW1380" i="1"/>
  <c r="N1380" i="1"/>
  <c r="M1380" i="1"/>
  <c r="L1380" i="1" a="1"/>
  <c r="L1380" i="1" s="1"/>
  <c r="K1380" i="1"/>
  <c r="J1380" i="1"/>
  <c r="H1380" i="1" s="1"/>
  <c r="I1380" i="1"/>
  <c r="AW1379" i="1"/>
  <c r="N1379" i="1"/>
  <c r="M1379" i="1"/>
  <c r="L1379" i="1"/>
  <c r="L1379" i="1" a="1"/>
  <c r="K1379" i="1"/>
  <c r="J1379" i="1"/>
  <c r="I1379" i="1"/>
  <c r="H1379" i="1"/>
  <c r="AW1378" i="1"/>
  <c r="N1378" i="1"/>
  <c r="M1378" i="1"/>
  <c r="L1378" i="1" a="1"/>
  <c r="L1378" i="1" s="1"/>
  <c r="K1378" i="1"/>
  <c r="J1378" i="1"/>
  <c r="H1378" i="1" s="1"/>
  <c r="I1378" i="1"/>
  <c r="AW1377" i="1"/>
  <c r="N1377" i="1"/>
  <c r="M1377" i="1"/>
  <c r="L1377" i="1"/>
  <c r="L1377" i="1" a="1"/>
  <c r="K1377" i="1"/>
  <c r="J1377" i="1"/>
  <c r="H1377" i="1" s="1"/>
  <c r="I1377" i="1"/>
  <c r="AW1376" i="1"/>
  <c r="N1376" i="1"/>
  <c r="M1376" i="1"/>
  <c r="L1376" i="1" a="1"/>
  <c r="L1376" i="1" s="1"/>
  <c r="K1376" i="1"/>
  <c r="J1376" i="1"/>
  <c r="H1376" i="1" s="1"/>
  <c r="I1376" i="1"/>
  <c r="AW1375" i="1"/>
  <c r="N1375" i="1"/>
  <c r="M1375" i="1"/>
  <c r="L1375" i="1" a="1"/>
  <c r="L1375" i="1" s="1"/>
  <c r="K1375" i="1"/>
  <c r="J1375" i="1"/>
  <c r="H1375" i="1" s="1"/>
  <c r="I1375" i="1"/>
  <c r="AW1374" i="1"/>
  <c r="N1374" i="1"/>
  <c r="M1374" i="1"/>
  <c r="L1374" i="1" a="1"/>
  <c r="L1374" i="1" s="1"/>
  <c r="K1374" i="1"/>
  <c r="J1374" i="1"/>
  <c r="H1374" i="1" s="1"/>
  <c r="I1374" i="1"/>
  <c r="AW1373" i="1"/>
  <c r="N1373" i="1"/>
  <c r="M1373" i="1"/>
  <c r="L1373" i="1" a="1"/>
  <c r="L1373" i="1" s="1"/>
  <c r="K1373" i="1"/>
  <c r="J1373" i="1"/>
  <c r="H1373" i="1" s="1"/>
  <c r="I1373" i="1"/>
  <c r="AW1372" i="1"/>
  <c r="N1372" i="1"/>
  <c r="M1372" i="1"/>
  <c r="L1372" i="1" a="1"/>
  <c r="L1372" i="1" s="1"/>
  <c r="K1372" i="1"/>
  <c r="J1372" i="1"/>
  <c r="H1372" i="1" s="1"/>
  <c r="I1372" i="1"/>
  <c r="AW1371" i="1"/>
  <c r="N1371" i="1"/>
  <c r="M1371" i="1"/>
  <c r="L1371" i="1" a="1"/>
  <c r="L1371" i="1" s="1"/>
  <c r="K1371" i="1"/>
  <c r="J1371" i="1"/>
  <c r="H1371" i="1" s="1"/>
  <c r="I1371" i="1"/>
  <c r="AW1370" i="1"/>
  <c r="N1370" i="1"/>
  <c r="M1370" i="1"/>
  <c r="L1370" i="1" a="1"/>
  <c r="L1370" i="1" s="1"/>
  <c r="K1370" i="1"/>
  <c r="J1370" i="1"/>
  <c r="H1370" i="1" s="1"/>
  <c r="I1370" i="1"/>
  <c r="AW1369" i="1"/>
  <c r="N1369" i="1"/>
  <c r="M1369" i="1"/>
  <c r="L1369" i="1" a="1"/>
  <c r="L1369" i="1" s="1"/>
  <c r="K1369" i="1"/>
  <c r="J1369" i="1"/>
  <c r="I1369" i="1"/>
  <c r="H1369" i="1"/>
  <c r="AW1368" i="1"/>
  <c r="N1368" i="1"/>
  <c r="M1368" i="1"/>
  <c r="L1368" i="1" a="1"/>
  <c r="L1368" i="1" s="1"/>
  <c r="K1368" i="1"/>
  <c r="J1368" i="1"/>
  <c r="H1368" i="1" s="1"/>
  <c r="I1368" i="1"/>
  <c r="AW1367" i="1"/>
  <c r="N1367" i="1"/>
  <c r="M1367" i="1"/>
  <c r="L1367" i="1" a="1"/>
  <c r="L1367" i="1" s="1"/>
  <c r="K1367" i="1"/>
  <c r="J1367" i="1"/>
  <c r="H1367" i="1" s="1"/>
  <c r="I1367" i="1"/>
  <c r="AW1366" i="1"/>
  <c r="N1366" i="1"/>
  <c r="M1366" i="1"/>
  <c r="L1366" i="1" a="1"/>
  <c r="L1366" i="1" s="1"/>
  <c r="K1366" i="1"/>
  <c r="J1366" i="1"/>
  <c r="H1366" i="1" s="1"/>
  <c r="I1366" i="1"/>
  <c r="AW1365" i="1"/>
  <c r="N1365" i="1"/>
  <c r="M1365" i="1"/>
  <c r="L1365" i="1" a="1"/>
  <c r="L1365" i="1" s="1"/>
  <c r="K1365" i="1"/>
  <c r="J1365" i="1"/>
  <c r="H1365" i="1" s="1"/>
  <c r="I1365" i="1"/>
  <c r="AW1364" i="1"/>
  <c r="N1364" i="1"/>
  <c r="M1364" i="1"/>
  <c r="L1364" i="1" a="1"/>
  <c r="L1364" i="1" s="1"/>
  <c r="K1364" i="1"/>
  <c r="J1364" i="1"/>
  <c r="H1364" i="1" s="1"/>
  <c r="I1364" i="1"/>
  <c r="AW1363" i="1"/>
  <c r="N1363" i="1"/>
  <c r="M1363" i="1"/>
  <c r="L1363" i="1" a="1"/>
  <c r="L1363" i="1" s="1"/>
  <c r="K1363" i="1"/>
  <c r="J1363" i="1"/>
  <c r="H1363" i="1" s="1"/>
  <c r="I1363" i="1"/>
  <c r="AW1362" i="1"/>
  <c r="N1362" i="1"/>
  <c r="M1362" i="1"/>
  <c r="L1362" i="1" a="1"/>
  <c r="L1362" i="1" s="1"/>
  <c r="K1362" i="1"/>
  <c r="J1362" i="1"/>
  <c r="H1362" i="1" s="1"/>
  <c r="I1362" i="1"/>
  <c r="AW1361" i="1"/>
  <c r="N1361" i="1"/>
  <c r="M1361" i="1"/>
  <c r="L1361" i="1" a="1"/>
  <c r="L1361" i="1" s="1"/>
  <c r="K1361" i="1"/>
  <c r="J1361" i="1"/>
  <c r="H1361" i="1" s="1"/>
  <c r="I1361" i="1"/>
  <c r="AW1360" i="1"/>
  <c r="N1360" i="1"/>
  <c r="M1360" i="1"/>
  <c r="L1360" i="1" a="1"/>
  <c r="L1360" i="1" s="1"/>
  <c r="K1360" i="1"/>
  <c r="J1360" i="1"/>
  <c r="H1360" i="1" s="1"/>
  <c r="I1360" i="1"/>
  <c r="AW1359" i="1"/>
  <c r="N1359" i="1"/>
  <c r="M1359" i="1"/>
  <c r="L1359" i="1" a="1"/>
  <c r="L1359" i="1" s="1"/>
  <c r="K1359" i="1"/>
  <c r="J1359" i="1"/>
  <c r="H1359" i="1" s="1"/>
  <c r="I1359" i="1"/>
  <c r="AW1358" i="1"/>
  <c r="N1358" i="1"/>
  <c r="M1358" i="1"/>
  <c r="L1358" i="1" a="1"/>
  <c r="L1358" i="1" s="1"/>
  <c r="K1358" i="1"/>
  <c r="J1358" i="1"/>
  <c r="H1358" i="1" s="1"/>
  <c r="I1358" i="1"/>
  <c r="AW1357" i="1"/>
  <c r="N1357" i="1"/>
  <c r="M1357" i="1"/>
  <c r="L1357" i="1" a="1"/>
  <c r="L1357" i="1" s="1"/>
  <c r="K1357" i="1"/>
  <c r="J1357" i="1"/>
  <c r="I1357" i="1"/>
  <c r="H1357" i="1"/>
  <c r="AW1356" i="1"/>
  <c r="N1356" i="1"/>
  <c r="M1356" i="1"/>
  <c r="L1356" i="1" a="1"/>
  <c r="L1356" i="1" s="1"/>
  <c r="K1356" i="1"/>
  <c r="J1356" i="1"/>
  <c r="H1356" i="1" s="1"/>
  <c r="I1356" i="1"/>
  <c r="AW1355" i="1"/>
  <c r="N1355" i="1"/>
  <c r="M1355" i="1"/>
  <c r="L1355" i="1" a="1"/>
  <c r="L1355" i="1" s="1"/>
  <c r="K1355" i="1"/>
  <c r="J1355" i="1"/>
  <c r="H1355" i="1" s="1"/>
  <c r="I1355" i="1"/>
  <c r="AW1354" i="1"/>
  <c r="N1354" i="1"/>
  <c r="M1354" i="1"/>
  <c r="L1354" i="1" a="1"/>
  <c r="L1354" i="1" s="1"/>
  <c r="K1354" i="1"/>
  <c r="J1354" i="1"/>
  <c r="H1354" i="1" s="1"/>
  <c r="I1354" i="1"/>
  <c r="AW1353" i="1"/>
  <c r="N1353" i="1"/>
  <c r="M1353" i="1"/>
  <c r="L1353" i="1" a="1"/>
  <c r="L1353" i="1" s="1"/>
  <c r="K1353" i="1"/>
  <c r="J1353" i="1"/>
  <c r="H1353" i="1" s="1"/>
  <c r="I1353" i="1"/>
  <c r="AW1352" i="1"/>
  <c r="N1352" i="1"/>
  <c r="M1352" i="1"/>
  <c r="L1352" i="1" a="1"/>
  <c r="L1352" i="1" s="1"/>
  <c r="K1352" i="1"/>
  <c r="J1352" i="1"/>
  <c r="H1352" i="1" s="1"/>
  <c r="I1352" i="1"/>
  <c r="AW1351" i="1"/>
  <c r="N1351" i="1"/>
  <c r="M1351" i="1"/>
  <c r="L1351" i="1" a="1"/>
  <c r="L1351" i="1" s="1"/>
  <c r="K1351" i="1"/>
  <c r="J1351" i="1"/>
  <c r="H1351" i="1" s="1"/>
  <c r="I1351" i="1"/>
  <c r="AW1350" i="1"/>
  <c r="N1350" i="1"/>
  <c r="M1350" i="1"/>
  <c r="L1350" i="1" a="1"/>
  <c r="L1350" i="1" s="1"/>
  <c r="K1350" i="1"/>
  <c r="J1350" i="1"/>
  <c r="H1350" i="1" s="1"/>
  <c r="I1350" i="1"/>
  <c r="AW1349" i="1"/>
  <c r="N1349" i="1"/>
  <c r="M1349" i="1"/>
  <c r="L1349" i="1" a="1"/>
  <c r="L1349" i="1" s="1"/>
  <c r="K1349" i="1"/>
  <c r="J1349" i="1"/>
  <c r="I1349" i="1"/>
  <c r="H1349" i="1"/>
  <c r="AW1348" i="1"/>
  <c r="N1348" i="1"/>
  <c r="M1348" i="1"/>
  <c r="L1348" i="1" a="1"/>
  <c r="L1348" i="1" s="1"/>
  <c r="K1348" i="1"/>
  <c r="J1348" i="1"/>
  <c r="H1348" i="1" s="1"/>
  <c r="I1348" i="1"/>
  <c r="AW1347" i="1"/>
  <c r="N1347" i="1"/>
  <c r="M1347" i="1"/>
  <c r="L1347" i="1" a="1"/>
  <c r="L1347" i="1" s="1"/>
  <c r="K1347" i="1"/>
  <c r="J1347" i="1"/>
  <c r="H1347" i="1" s="1"/>
  <c r="I1347" i="1"/>
  <c r="AW1346" i="1"/>
  <c r="N1346" i="1"/>
  <c r="M1346" i="1"/>
  <c r="L1346" i="1" a="1"/>
  <c r="L1346" i="1" s="1"/>
  <c r="K1346" i="1"/>
  <c r="J1346" i="1"/>
  <c r="I1346" i="1"/>
  <c r="H1346" i="1"/>
  <c r="AW1345" i="1"/>
  <c r="N1345" i="1"/>
  <c r="M1345" i="1"/>
  <c r="L1345" i="1" a="1"/>
  <c r="L1345" i="1" s="1"/>
  <c r="K1345" i="1"/>
  <c r="J1345" i="1"/>
  <c r="H1345" i="1" s="1"/>
  <c r="I1345" i="1"/>
  <c r="AW1344" i="1"/>
  <c r="N1344" i="1"/>
  <c r="M1344" i="1"/>
  <c r="L1344" i="1" a="1"/>
  <c r="L1344" i="1" s="1"/>
  <c r="K1344" i="1"/>
  <c r="J1344" i="1"/>
  <c r="H1344" i="1" s="1"/>
  <c r="I1344" i="1"/>
  <c r="AW1343" i="1"/>
  <c r="N1343" i="1"/>
  <c r="M1343" i="1"/>
  <c r="L1343" i="1" a="1"/>
  <c r="L1343" i="1" s="1"/>
  <c r="K1343" i="1"/>
  <c r="J1343" i="1"/>
  <c r="H1343" i="1" s="1"/>
  <c r="I1343" i="1"/>
  <c r="AW1342" i="1"/>
  <c r="N1342" i="1"/>
  <c r="M1342" i="1"/>
  <c r="L1342" i="1" a="1"/>
  <c r="L1342" i="1" s="1"/>
  <c r="K1342" i="1"/>
  <c r="J1342" i="1"/>
  <c r="H1342" i="1" s="1"/>
  <c r="I1342" i="1"/>
  <c r="AW1341" i="1"/>
  <c r="N1341" i="1"/>
  <c r="M1341" i="1"/>
  <c r="L1341" i="1" a="1"/>
  <c r="L1341" i="1" s="1"/>
  <c r="K1341" i="1"/>
  <c r="J1341" i="1"/>
  <c r="H1341" i="1" s="1"/>
  <c r="I1341" i="1"/>
  <c r="AW1340" i="1"/>
  <c r="N1340" i="1"/>
  <c r="M1340" i="1"/>
  <c r="L1340" i="1" a="1"/>
  <c r="L1340" i="1" s="1"/>
  <c r="K1340" i="1"/>
  <c r="J1340" i="1"/>
  <c r="H1340" i="1" s="1"/>
  <c r="I1340" i="1"/>
  <c r="AW1339" i="1"/>
  <c r="N1339" i="1"/>
  <c r="M1339" i="1"/>
  <c r="L1339" i="1" a="1"/>
  <c r="L1339" i="1" s="1"/>
  <c r="K1339" i="1"/>
  <c r="J1339" i="1"/>
  <c r="H1339" i="1" s="1"/>
  <c r="I1339" i="1"/>
  <c r="AW1338" i="1"/>
  <c r="N1338" i="1"/>
  <c r="M1338" i="1"/>
  <c r="L1338" i="1" a="1"/>
  <c r="L1338" i="1" s="1"/>
  <c r="K1338" i="1"/>
  <c r="J1338" i="1"/>
  <c r="H1338" i="1" s="1"/>
  <c r="I1338" i="1"/>
  <c r="AW1337" i="1"/>
  <c r="N1337" i="1"/>
  <c r="M1337" i="1"/>
  <c r="L1337" i="1" a="1"/>
  <c r="L1337" i="1" s="1"/>
  <c r="K1337" i="1"/>
  <c r="J1337" i="1"/>
  <c r="I1337" i="1"/>
  <c r="H1337" i="1"/>
  <c r="AW1336" i="1"/>
  <c r="N1336" i="1"/>
  <c r="M1336" i="1"/>
  <c r="L1336" i="1" a="1"/>
  <c r="L1336" i="1" s="1"/>
  <c r="K1336" i="1"/>
  <c r="J1336" i="1"/>
  <c r="H1336" i="1" s="1"/>
  <c r="I1336" i="1"/>
  <c r="AW1335" i="1"/>
  <c r="N1335" i="1"/>
  <c r="M1335" i="1"/>
  <c r="L1335" i="1" a="1"/>
  <c r="L1335" i="1" s="1"/>
  <c r="K1335" i="1"/>
  <c r="J1335" i="1"/>
  <c r="H1335" i="1" s="1"/>
  <c r="I1335" i="1"/>
  <c r="AW1334" i="1"/>
  <c r="N1334" i="1"/>
  <c r="M1334" i="1"/>
  <c r="L1334" i="1" a="1"/>
  <c r="L1334" i="1" s="1"/>
  <c r="K1334" i="1"/>
  <c r="J1334" i="1"/>
  <c r="H1334" i="1" s="1"/>
  <c r="I1334" i="1"/>
  <c r="AW1333" i="1"/>
  <c r="N1333" i="1"/>
  <c r="M1333" i="1"/>
  <c r="L1333" i="1" a="1"/>
  <c r="L1333" i="1" s="1"/>
  <c r="K1333" i="1"/>
  <c r="J1333" i="1"/>
  <c r="H1333" i="1" s="1"/>
  <c r="I1333" i="1"/>
  <c r="AW1332" i="1"/>
  <c r="N1332" i="1"/>
  <c r="M1332" i="1"/>
  <c r="L1332" i="1"/>
  <c r="L1332" i="1" a="1"/>
  <c r="K1332" i="1"/>
  <c r="J1332" i="1"/>
  <c r="H1332" i="1" s="1"/>
  <c r="I1332" i="1"/>
  <c r="AW1331" i="1"/>
  <c r="N1331" i="1"/>
  <c r="M1331" i="1"/>
  <c r="L1331" i="1" a="1"/>
  <c r="L1331" i="1" s="1"/>
  <c r="K1331" i="1"/>
  <c r="J1331" i="1"/>
  <c r="H1331" i="1" s="1"/>
  <c r="I1331" i="1"/>
  <c r="AW1330" i="1"/>
  <c r="N1330" i="1"/>
  <c r="M1330" i="1"/>
  <c r="L1330" i="1"/>
  <c r="L1330" i="1" a="1"/>
  <c r="K1330" i="1"/>
  <c r="J1330" i="1"/>
  <c r="H1330" i="1" s="1"/>
  <c r="I1330" i="1"/>
  <c r="AW1329" i="1"/>
  <c r="N1329" i="1"/>
  <c r="M1329" i="1"/>
  <c r="L1329" i="1" a="1"/>
  <c r="L1329" i="1" s="1"/>
  <c r="K1329" i="1"/>
  <c r="J1329" i="1"/>
  <c r="H1329" i="1" s="1"/>
  <c r="I1329" i="1"/>
  <c r="AW1328" i="1"/>
  <c r="N1328" i="1"/>
  <c r="M1328" i="1"/>
  <c r="L1328" i="1" a="1"/>
  <c r="L1328" i="1" s="1"/>
  <c r="K1328" i="1"/>
  <c r="J1328" i="1"/>
  <c r="H1328" i="1" s="1"/>
  <c r="I1328" i="1"/>
  <c r="AW1327" i="1"/>
  <c r="N1327" i="1"/>
  <c r="M1327" i="1"/>
  <c r="L1327" i="1" a="1"/>
  <c r="L1327" i="1" s="1"/>
  <c r="K1327" i="1"/>
  <c r="J1327" i="1"/>
  <c r="H1327" i="1" s="1"/>
  <c r="I1327" i="1"/>
  <c r="AW1326" i="1"/>
  <c r="N1326" i="1"/>
  <c r="M1326" i="1"/>
  <c r="L1326" i="1" a="1"/>
  <c r="L1326" i="1" s="1"/>
  <c r="K1326" i="1"/>
  <c r="J1326" i="1"/>
  <c r="H1326" i="1" s="1"/>
  <c r="I1326" i="1"/>
  <c r="AW1325" i="1"/>
  <c r="N1325" i="1"/>
  <c r="M1325" i="1"/>
  <c r="L1325" i="1" a="1"/>
  <c r="L1325" i="1" s="1"/>
  <c r="K1325" i="1"/>
  <c r="J1325" i="1"/>
  <c r="H1325" i="1" s="1"/>
  <c r="I1325" i="1"/>
  <c r="AW1324" i="1"/>
  <c r="N1324" i="1"/>
  <c r="M1324" i="1"/>
  <c r="L1324" i="1" a="1"/>
  <c r="L1324" i="1" s="1"/>
  <c r="K1324" i="1"/>
  <c r="J1324" i="1"/>
  <c r="H1324" i="1" s="1"/>
  <c r="I1324" i="1"/>
  <c r="AW1323" i="1"/>
  <c r="N1323" i="1"/>
  <c r="M1323" i="1"/>
  <c r="L1323" i="1" a="1"/>
  <c r="L1323" i="1" s="1"/>
  <c r="K1323" i="1"/>
  <c r="J1323" i="1"/>
  <c r="H1323" i="1" s="1"/>
  <c r="I1323" i="1"/>
  <c r="AW1322" i="1"/>
  <c r="N1322" i="1"/>
  <c r="M1322" i="1"/>
  <c r="L1322" i="1" a="1"/>
  <c r="L1322" i="1" s="1"/>
  <c r="K1322" i="1"/>
  <c r="J1322" i="1"/>
  <c r="H1322" i="1" s="1"/>
  <c r="I1322" i="1"/>
  <c r="AW1321" i="1"/>
  <c r="N1321" i="1"/>
  <c r="M1321" i="1"/>
  <c r="L1321" i="1" a="1"/>
  <c r="L1321" i="1" s="1"/>
  <c r="K1321" i="1"/>
  <c r="J1321" i="1"/>
  <c r="H1321" i="1" s="1"/>
  <c r="I1321" i="1"/>
  <c r="AW1320" i="1"/>
  <c r="N1320" i="1"/>
  <c r="M1320" i="1"/>
  <c r="L1320" i="1" a="1"/>
  <c r="L1320" i="1" s="1"/>
  <c r="K1320" i="1"/>
  <c r="J1320" i="1"/>
  <c r="H1320" i="1" s="1"/>
  <c r="I1320" i="1"/>
  <c r="AW1319" i="1"/>
  <c r="N1319" i="1"/>
  <c r="M1319" i="1"/>
  <c r="L1319" i="1" a="1"/>
  <c r="L1319" i="1" s="1"/>
  <c r="K1319" i="1"/>
  <c r="J1319" i="1"/>
  <c r="H1319" i="1" s="1"/>
  <c r="I1319" i="1"/>
  <c r="AW1318" i="1"/>
  <c r="N1318" i="1"/>
  <c r="M1318" i="1"/>
  <c r="L1318" i="1" a="1"/>
  <c r="L1318" i="1" s="1"/>
  <c r="K1318" i="1"/>
  <c r="J1318" i="1"/>
  <c r="H1318" i="1" s="1"/>
  <c r="I1318" i="1"/>
  <c r="AW1317" i="1"/>
  <c r="N1317" i="1"/>
  <c r="M1317" i="1"/>
  <c r="L1317" i="1" a="1"/>
  <c r="L1317" i="1" s="1"/>
  <c r="K1317" i="1"/>
  <c r="J1317" i="1"/>
  <c r="H1317" i="1" s="1"/>
  <c r="I1317" i="1"/>
  <c r="AW1316" i="1"/>
  <c r="N1316" i="1"/>
  <c r="M1316" i="1"/>
  <c r="L1316" i="1" a="1"/>
  <c r="L1316" i="1" s="1"/>
  <c r="K1316" i="1"/>
  <c r="J1316" i="1"/>
  <c r="H1316" i="1" s="1"/>
  <c r="I1316" i="1"/>
  <c r="AW1315" i="1"/>
  <c r="N1315" i="1"/>
  <c r="M1315" i="1"/>
  <c r="L1315" i="1" a="1"/>
  <c r="L1315" i="1" s="1"/>
  <c r="K1315" i="1"/>
  <c r="J1315" i="1"/>
  <c r="H1315" i="1" s="1"/>
  <c r="I1315" i="1"/>
  <c r="AW1314" i="1"/>
  <c r="N1314" i="1"/>
  <c r="M1314" i="1"/>
  <c r="L1314" i="1" a="1"/>
  <c r="L1314" i="1" s="1"/>
  <c r="K1314" i="1"/>
  <c r="J1314" i="1"/>
  <c r="I1314" i="1"/>
  <c r="H1314" i="1"/>
  <c r="AW1313" i="1"/>
  <c r="N1313" i="1"/>
  <c r="M1313" i="1"/>
  <c r="L1313" i="1" a="1"/>
  <c r="L1313" i="1" s="1"/>
  <c r="K1313" i="1"/>
  <c r="J1313" i="1"/>
  <c r="H1313" i="1" s="1"/>
  <c r="I1313" i="1"/>
  <c r="AW1312" i="1"/>
  <c r="N1312" i="1"/>
  <c r="M1312" i="1"/>
  <c r="L1312" i="1" a="1"/>
  <c r="L1312" i="1" s="1"/>
  <c r="K1312" i="1"/>
  <c r="J1312" i="1"/>
  <c r="H1312" i="1" s="1"/>
  <c r="I1312" i="1"/>
  <c r="AW1311" i="1"/>
  <c r="N1311" i="1"/>
  <c r="M1311" i="1"/>
  <c r="L1311" i="1" a="1"/>
  <c r="L1311" i="1" s="1"/>
  <c r="K1311" i="1"/>
  <c r="J1311" i="1"/>
  <c r="H1311" i="1" s="1"/>
  <c r="I1311" i="1"/>
  <c r="AW1310" i="1"/>
  <c r="N1310" i="1"/>
  <c r="M1310" i="1"/>
  <c r="L1310" i="1" a="1"/>
  <c r="L1310" i="1" s="1"/>
  <c r="K1310" i="1"/>
  <c r="J1310" i="1"/>
  <c r="H1310" i="1" s="1"/>
  <c r="I1310" i="1"/>
  <c r="AW1309" i="1"/>
  <c r="N1309" i="1"/>
  <c r="M1309" i="1"/>
  <c r="L1309" i="1" a="1"/>
  <c r="L1309" i="1" s="1"/>
  <c r="K1309" i="1"/>
  <c r="J1309" i="1"/>
  <c r="H1309" i="1" s="1"/>
  <c r="I1309" i="1"/>
  <c r="AW1308" i="1"/>
  <c r="N1308" i="1"/>
  <c r="M1308" i="1"/>
  <c r="L1308" i="1" a="1"/>
  <c r="L1308" i="1" s="1"/>
  <c r="K1308" i="1"/>
  <c r="J1308" i="1"/>
  <c r="H1308" i="1" s="1"/>
  <c r="I1308" i="1"/>
  <c r="AW1307" i="1"/>
  <c r="N1307" i="1"/>
  <c r="M1307" i="1"/>
  <c r="L1307" i="1" a="1"/>
  <c r="L1307" i="1" s="1"/>
  <c r="K1307" i="1"/>
  <c r="J1307" i="1"/>
  <c r="H1307" i="1" s="1"/>
  <c r="I1307" i="1"/>
  <c r="AW1306" i="1"/>
  <c r="N1306" i="1"/>
  <c r="M1306" i="1"/>
  <c r="L1306" i="1" a="1"/>
  <c r="L1306" i="1" s="1"/>
  <c r="K1306" i="1"/>
  <c r="J1306" i="1"/>
  <c r="H1306" i="1" s="1"/>
  <c r="I1306" i="1"/>
  <c r="AW1305" i="1"/>
  <c r="N1305" i="1"/>
  <c r="M1305" i="1"/>
  <c r="L1305" i="1" a="1"/>
  <c r="L1305" i="1" s="1"/>
  <c r="K1305" i="1"/>
  <c r="J1305" i="1"/>
  <c r="H1305" i="1" s="1"/>
  <c r="I1305" i="1"/>
  <c r="AW1304" i="1"/>
  <c r="N1304" i="1"/>
  <c r="M1304" i="1"/>
  <c r="L1304" i="1" a="1"/>
  <c r="L1304" i="1" s="1"/>
  <c r="K1304" i="1"/>
  <c r="J1304" i="1"/>
  <c r="H1304" i="1" s="1"/>
  <c r="I1304" i="1"/>
  <c r="AW1303" i="1"/>
  <c r="N1303" i="1"/>
  <c r="M1303" i="1"/>
  <c r="L1303" i="1" a="1"/>
  <c r="L1303" i="1" s="1"/>
  <c r="K1303" i="1"/>
  <c r="J1303" i="1"/>
  <c r="H1303" i="1" s="1"/>
  <c r="I1303" i="1"/>
  <c r="AW1302" i="1"/>
  <c r="N1302" i="1"/>
  <c r="M1302" i="1"/>
  <c r="L1302" i="1" a="1"/>
  <c r="L1302" i="1" s="1"/>
  <c r="K1302" i="1"/>
  <c r="J1302" i="1"/>
  <c r="H1302" i="1" s="1"/>
  <c r="I1302" i="1"/>
  <c r="AW1301" i="1"/>
  <c r="N1301" i="1"/>
  <c r="M1301" i="1"/>
  <c r="L1301" i="1" a="1"/>
  <c r="L1301" i="1" s="1"/>
  <c r="K1301" i="1"/>
  <c r="J1301" i="1"/>
  <c r="H1301" i="1" s="1"/>
  <c r="I1301" i="1"/>
  <c r="AW1300" i="1"/>
  <c r="N1300" i="1"/>
  <c r="M1300" i="1"/>
  <c r="L1300" i="1" a="1"/>
  <c r="L1300" i="1" s="1"/>
  <c r="K1300" i="1"/>
  <c r="J1300" i="1"/>
  <c r="H1300" i="1" s="1"/>
  <c r="I1300" i="1"/>
  <c r="AW1299" i="1"/>
  <c r="N1299" i="1"/>
  <c r="M1299" i="1"/>
  <c r="L1299" i="1" a="1"/>
  <c r="L1299" i="1" s="1"/>
  <c r="K1299" i="1"/>
  <c r="J1299" i="1"/>
  <c r="H1299" i="1" s="1"/>
  <c r="I1299" i="1"/>
  <c r="AW1298" i="1"/>
  <c r="N1298" i="1"/>
  <c r="M1298" i="1"/>
  <c r="L1298" i="1" a="1"/>
  <c r="L1298" i="1" s="1"/>
  <c r="K1298" i="1"/>
  <c r="J1298" i="1"/>
  <c r="H1298" i="1" s="1"/>
  <c r="I1298" i="1"/>
  <c r="AW1297" i="1"/>
  <c r="N1297" i="1"/>
  <c r="M1297" i="1"/>
  <c r="L1297" i="1" a="1"/>
  <c r="L1297" i="1" s="1"/>
  <c r="K1297" i="1"/>
  <c r="J1297" i="1"/>
  <c r="H1297" i="1" s="1"/>
  <c r="I1297" i="1"/>
  <c r="AW1296" i="1"/>
  <c r="N1296" i="1"/>
  <c r="M1296" i="1"/>
  <c r="L1296" i="1" a="1"/>
  <c r="L1296" i="1" s="1"/>
  <c r="K1296" i="1"/>
  <c r="J1296" i="1"/>
  <c r="H1296" i="1" s="1"/>
  <c r="I1296" i="1"/>
  <c r="AW1295" i="1"/>
  <c r="N1295" i="1"/>
  <c r="M1295" i="1"/>
  <c r="L1295" i="1" a="1"/>
  <c r="L1295" i="1" s="1"/>
  <c r="K1295" i="1"/>
  <c r="J1295" i="1"/>
  <c r="H1295" i="1" s="1"/>
  <c r="I1295" i="1"/>
  <c r="AW1294" i="1"/>
  <c r="N1294" i="1"/>
  <c r="M1294" i="1"/>
  <c r="L1294" i="1" a="1"/>
  <c r="L1294" i="1" s="1"/>
  <c r="K1294" i="1"/>
  <c r="J1294" i="1"/>
  <c r="H1294" i="1" s="1"/>
  <c r="I1294" i="1"/>
  <c r="AW1293" i="1"/>
  <c r="N1293" i="1"/>
  <c r="M1293" i="1"/>
  <c r="L1293" i="1" a="1"/>
  <c r="L1293" i="1" s="1"/>
  <c r="K1293" i="1"/>
  <c r="J1293" i="1"/>
  <c r="H1293" i="1" s="1"/>
  <c r="I1293" i="1"/>
  <c r="AW1292" i="1"/>
  <c r="N1292" i="1"/>
  <c r="M1292" i="1"/>
  <c r="L1292" i="1"/>
  <c r="L1292" i="1" a="1"/>
  <c r="K1292" i="1"/>
  <c r="J1292" i="1"/>
  <c r="H1292" i="1" s="1"/>
  <c r="I1292" i="1"/>
  <c r="AW1291" i="1"/>
  <c r="N1291" i="1"/>
  <c r="M1291" i="1"/>
  <c r="L1291" i="1" a="1"/>
  <c r="L1291" i="1" s="1"/>
  <c r="K1291" i="1"/>
  <c r="J1291" i="1"/>
  <c r="H1291" i="1" s="1"/>
  <c r="I1291" i="1"/>
  <c r="AW1290" i="1"/>
  <c r="N1290" i="1"/>
  <c r="M1290" i="1"/>
  <c r="L1290" i="1" a="1"/>
  <c r="L1290" i="1" s="1"/>
  <c r="K1290" i="1"/>
  <c r="J1290" i="1"/>
  <c r="H1290" i="1" s="1"/>
  <c r="I1290" i="1"/>
  <c r="AW1289" i="1"/>
  <c r="N1289" i="1"/>
  <c r="M1289" i="1"/>
  <c r="L1289" i="1" a="1"/>
  <c r="L1289" i="1" s="1"/>
  <c r="K1289" i="1"/>
  <c r="J1289" i="1"/>
  <c r="H1289" i="1" s="1"/>
  <c r="I1289" i="1"/>
  <c r="AW1288" i="1"/>
  <c r="N1288" i="1"/>
  <c r="M1288" i="1"/>
  <c r="L1288" i="1" a="1"/>
  <c r="L1288" i="1" s="1"/>
  <c r="K1288" i="1"/>
  <c r="J1288" i="1"/>
  <c r="H1288" i="1" s="1"/>
  <c r="I1288" i="1"/>
  <c r="AW1287" i="1"/>
  <c r="N1287" i="1"/>
  <c r="M1287" i="1"/>
  <c r="L1287" i="1" a="1"/>
  <c r="L1287" i="1" s="1"/>
  <c r="K1287" i="1"/>
  <c r="J1287" i="1"/>
  <c r="H1287" i="1" s="1"/>
  <c r="I1287" i="1"/>
  <c r="AW1286" i="1"/>
  <c r="N1286" i="1"/>
  <c r="M1286" i="1"/>
  <c r="L1286" i="1" a="1"/>
  <c r="L1286" i="1" s="1"/>
  <c r="K1286" i="1"/>
  <c r="J1286" i="1"/>
  <c r="H1286" i="1" s="1"/>
  <c r="I1286" i="1"/>
  <c r="AW1285" i="1"/>
  <c r="N1285" i="1"/>
  <c r="M1285" i="1"/>
  <c r="L1285" i="1" a="1"/>
  <c r="L1285" i="1" s="1"/>
  <c r="K1285" i="1"/>
  <c r="J1285" i="1"/>
  <c r="H1285" i="1" s="1"/>
  <c r="I1285" i="1"/>
  <c r="AW1284" i="1"/>
  <c r="N1284" i="1"/>
  <c r="M1284" i="1"/>
  <c r="L1284" i="1" a="1"/>
  <c r="L1284" i="1" s="1"/>
  <c r="K1284" i="1"/>
  <c r="J1284" i="1"/>
  <c r="H1284" i="1" s="1"/>
  <c r="I1284" i="1"/>
  <c r="AW1283" i="1"/>
  <c r="N1283" i="1"/>
  <c r="M1283" i="1"/>
  <c r="L1283" i="1" a="1"/>
  <c r="L1283" i="1" s="1"/>
  <c r="K1283" i="1"/>
  <c r="J1283" i="1"/>
  <c r="I1283" i="1"/>
  <c r="H1283" i="1"/>
  <c r="AW1282" i="1"/>
  <c r="N1282" i="1"/>
  <c r="M1282" i="1"/>
  <c r="L1282" i="1" a="1"/>
  <c r="L1282" i="1" s="1"/>
  <c r="K1282" i="1"/>
  <c r="J1282" i="1"/>
  <c r="H1282" i="1" s="1"/>
  <c r="I1282" i="1"/>
  <c r="AW1281" i="1"/>
  <c r="N1281" i="1"/>
  <c r="M1281" i="1"/>
  <c r="L1281" i="1" a="1"/>
  <c r="L1281" i="1" s="1"/>
  <c r="K1281" i="1"/>
  <c r="J1281" i="1"/>
  <c r="H1281" i="1" s="1"/>
  <c r="I1281" i="1"/>
  <c r="AW1280" i="1"/>
  <c r="N1280" i="1"/>
  <c r="M1280" i="1"/>
  <c r="L1280" i="1" a="1"/>
  <c r="L1280" i="1" s="1"/>
  <c r="K1280" i="1"/>
  <c r="J1280" i="1"/>
  <c r="I1280" i="1"/>
  <c r="H1280" i="1"/>
  <c r="AW1279" i="1"/>
  <c r="N1279" i="1"/>
  <c r="M1279" i="1"/>
  <c r="L1279" i="1" a="1"/>
  <c r="L1279" i="1" s="1"/>
  <c r="K1279" i="1"/>
  <c r="J1279" i="1"/>
  <c r="H1279" i="1" s="1"/>
  <c r="I1279" i="1"/>
  <c r="AW1278" i="1"/>
  <c r="N1278" i="1"/>
  <c r="M1278" i="1"/>
  <c r="L1278" i="1" a="1"/>
  <c r="L1278" i="1" s="1"/>
  <c r="K1278" i="1"/>
  <c r="J1278" i="1"/>
  <c r="H1278" i="1" s="1"/>
  <c r="I1278" i="1"/>
  <c r="AW1277" i="1"/>
  <c r="N1277" i="1"/>
  <c r="M1277" i="1"/>
  <c r="L1277" i="1" a="1"/>
  <c r="L1277" i="1" s="1"/>
  <c r="K1277" i="1"/>
  <c r="J1277" i="1"/>
  <c r="H1277" i="1" s="1"/>
  <c r="I1277" i="1"/>
  <c r="AW1276" i="1"/>
  <c r="N1276" i="1"/>
  <c r="M1276" i="1"/>
  <c r="L1276" i="1" a="1"/>
  <c r="L1276" i="1" s="1"/>
  <c r="K1276" i="1"/>
  <c r="J1276" i="1"/>
  <c r="H1276" i="1" s="1"/>
  <c r="I1276" i="1"/>
  <c r="AW1275" i="1"/>
  <c r="N1275" i="1"/>
  <c r="M1275" i="1"/>
  <c r="L1275" i="1" a="1"/>
  <c r="L1275" i="1" s="1"/>
  <c r="K1275" i="1"/>
  <c r="J1275" i="1"/>
  <c r="I1275" i="1"/>
  <c r="H1275" i="1"/>
  <c r="AW1274" i="1"/>
  <c r="N1274" i="1"/>
  <c r="M1274" i="1"/>
  <c r="L1274" i="1" a="1"/>
  <c r="L1274" i="1" s="1"/>
  <c r="K1274" i="1"/>
  <c r="J1274" i="1"/>
  <c r="H1274" i="1" s="1"/>
  <c r="I1274" i="1"/>
  <c r="AW1273" i="1"/>
  <c r="N1273" i="1"/>
  <c r="M1273" i="1"/>
  <c r="L1273" i="1" a="1"/>
  <c r="L1273" i="1" s="1"/>
  <c r="K1273" i="1"/>
  <c r="J1273" i="1"/>
  <c r="I1273" i="1"/>
  <c r="H1273" i="1"/>
  <c r="AW1272" i="1"/>
  <c r="N1272" i="1"/>
  <c r="M1272" i="1"/>
  <c r="L1272" i="1" a="1"/>
  <c r="L1272" i="1" s="1"/>
  <c r="K1272" i="1"/>
  <c r="J1272" i="1"/>
  <c r="H1272" i="1" s="1"/>
  <c r="I1272" i="1"/>
  <c r="AW1271" i="1"/>
  <c r="N1271" i="1"/>
  <c r="M1271" i="1"/>
  <c r="L1271" i="1" a="1"/>
  <c r="L1271" i="1" s="1"/>
  <c r="K1271" i="1"/>
  <c r="J1271" i="1"/>
  <c r="H1271" i="1" s="1"/>
  <c r="I1271" i="1"/>
  <c r="AW1270" i="1"/>
  <c r="N1270" i="1"/>
  <c r="M1270" i="1"/>
  <c r="L1270" i="1" a="1"/>
  <c r="L1270" i="1" s="1"/>
  <c r="K1270" i="1"/>
  <c r="J1270" i="1"/>
  <c r="I1270" i="1"/>
  <c r="H1270" i="1"/>
  <c r="AW1269" i="1"/>
  <c r="N1269" i="1"/>
  <c r="M1269" i="1"/>
  <c r="L1269" i="1" a="1"/>
  <c r="L1269" i="1" s="1"/>
  <c r="K1269" i="1"/>
  <c r="J1269" i="1"/>
  <c r="H1269" i="1" s="1"/>
  <c r="I1269" i="1"/>
  <c r="AW1268" i="1"/>
  <c r="N1268" i="1"/>
  <c r="M1268" i="1"/>
  <c r="L1268" i="1" a="1"/>
  <c r="L1268" i="1" s="1"/>
  <c r="K1268" i="1"/>
  <c r="J1268" i="1"/>
  <c r="H1268" i="1" s="1"/>
  <c r="I1268" i="1"/>
  <c r="AW1267" i="1"/>
  <c r="N1267" i="1"/>
  <c r="M1267" i="1"/>
  <c r="L1267" i="1" a="1"/>
  <c r="L1267" i="1" s="1"/>
  <c r="K1267" i="1"/>
  <c r="J1267" i="1"/>
  <c r="H1267" i="1" s="1"/>
  <c r="I1267" i="1"/>
  <c r="AW1266" i="1"/>
  <c r="N1266" i="1"/>
  <c r="M1266" i="1"/>
  <c r="L1266" i="1" a="1"/>
  <c r="L1266" i="1" s="1"/>
  <c r="K1266" i="1"/>
  <c r="J1266" i="1"/>
  <c r="H1266" i="1" s="1"/>
  <c r="I1266" i="1"/>
  <c r="AW1265" i="1"/>
  <c r="N1265" i="1"/>
  <c r="M1265" i="1"/>
  <c r="L1265" i="1" a="1"/>
  <c r="L1265" i="1" s="1"/>
  <c r="K1265" i="1"/>
  <c r="J1265" i="1"/>
  <c r="H1265" i="1" s="1"/>
  <c r="I1265" i="1"/>
  <c r="AW1264" i="1"/>
  <c r="N1264" i="1"/>
  <c r="M1264" i="1"/>
  <c r="L1264" i="1" a="1"/>
  <c r="L1264" i="1" s="1"/>
  <c r="K1264" i="1"/>
  <c r="J1264" i="1"/>
  <c r="H1264" i="1" s="1"/>
  <c r="I1264" i="1"/>
  <c r="AW1263" i="1"/>
  <c r="N1263" i="1"/>
  <c r="M1263" i="1"/>
  <c r="L1263" i="1" a="1"/>
  <c r="L1263" i="1" s="1"/>
  <c r="K1263" i="1"/>
  <c r="J1263" i="1"/>
  <c r="H1263" i="1" s="1"/>
  <c r="I1263" i="1"/>
  <c r="AW1262" i="1"/>
  <c r="N1262" i="1"/>
  <c r="M1262" i="1"/>
  <c r="L1262" i="1" a="1"/>
  <c r="L1262" i="1" s="1"/>
  <c r="K1262" i="1"/>
  <c r="J1262" i="1"/>
  <c r="H1262" i="1" s="1"/>
  <c r="I1262" i="1"/>
  <c r="AW1261" i="1"/>
  <c r="N1261" i="1"/>
  <c r="M1261" i="1"/>
  <c r="L1261" i="1" a="1"/>
  <c r="L1261" i="1" s="1"/>
  <c r="K1261" i="1"/>
  <c r="J1261" i="1"/>
  <c r="H1261" i="1" s="1"/>
  <c r="I1261" i="1"/>
  <c r="AW1260" i="1"/>
  <c r="N1260" i="1"/>
  <c r="M1260" i="1"/>
  <c r="L1260" i="1" a="1"/>
  <c r="L1260" i="1" s="1"/>
  <c r="K1260" i="1"/>
  <c r="J1260" i="1"/>
  <c r="H1260" i="1" s="1"/>
  <c r="I1260" i="1"/>
  <c r="AW1259" i="1"/>
  <c r="N1259" i="1"/>
  <c r="M1259" i="1"/>
  <c r="L1259" i="1" a="1"/>
  <c r="L1259" i="1" s="1"/>
  <c r="K1259" i="1"/>
  <c r="J1259" i="1"/>
  <c r="H1259" i="1" s="1"/>
  <c r="I1259" i="1"/>
  <c r="AW1258" i="1"/>
  <c r="N1258" i="1"/>
  <c r="M1258" i="1"/>
  <c r="L1258" i="1" a="1"/>
  <c r="L1258" i="1" s="1"/>
  <c r="K1258" i="1"/>
  <c r="J1258" i="1"/>
  <c r="H1258" i="1" s="1"/>
  <c r="I1258" i="1"/>
  <c r="AW1257" i="1"/>
  <c r="N1257" i="1"/>
  <c r="M1257" i="1"/>
  <c r="L1257" i="1" a="1"/>
  <c r="L1257" i="1" s="1"/>
  <c r="K1257" i="1"/>
  <c r="J1257" i="1"/>
  <c r="H1257" i="1" s="1"/>
  <c r="I1257" i="1"/>
  <c r="AW1256" i="1"/>
  <c r="N1256" i="1"/>
  <c r="M1256" i="1"/>
  <c r="L1256" i="1" a="1"/>
  <c r="L1256" i="1" s="1"/>
  <c r="K1256" i="1"/>
  <c r="J1256" i="1"/>
  <c r="H1256" i="1" s="1"/>
  <c r="I1256" i="1"/>
  <c r="AW1255" i="1"/>
  <c r="N1255" i="1"/>
  <c r="M1255" i="1"/>
  <c r="L1255" i="1" a="1"/>
  <c r="L1255" i="1" s="1"/>
  <c r="K1255" i="1"/>
  <c r="J1255" i="1"/>
  <c r="H1255" i="1" s="1"/>
  <c r="I1255" i="1"/>
  <c r="AW1254" i="1"/>
  <c r="N1254" i="1"/>
  <c r="M1254" i="1"/>
  <c r="L1254" i="1" a="1"/>
  <c r="L1254" i="1" s="1"/>
  <c r="K1254" i="1"/>
  <c r="J1254" i="1"/>
  <c r="H1254" i="1" s="1"/>
  <c r="I1254" i="1"/>
  <c r="AW1253" i="1"/>
  <c r="N1253" i="1"/>
  <c r="M1253" i="1"/>
  <c r="L1253" i="1" a="1"/>
  <c r="L1253" i="1" s="1"/>
  <c r="K1253" i="1"/>
  <c r="J1253" i="1"/>
  <c r="H1253" i="1" s="1"/>
  <c r="I1253" i="1"/>
  <c r="AW1252" i="1"/>
  <c r="N1252" i="1"/>
  <c r="M1252" i="1"/>
  <c r="L1252" i="1" a="1"/>
  <c r="L1252" i="1" s="1"/>
  <c r="K1252" i="1"/>
  <c r="J1252" i="1"/>
  <c r="H1252" i="1" s="1"/>
  <c r="I1252" i="1"/>
  <c r="AW1251" i="1"/>
  <c r="N1251" i="1"/>
  <c r="M1251" i="1"/>
  <c r="L1251" i="1" a="1"/>
  <c r="L1251" i="1" s="1"/>
  <c r="K1251" i="1"/>
  <c r="J1251" i="1"/>
  <c r="I1251" i="1"/>
  <c r="H1251" i="1"/>
  <c r="AW1250" i="1"/>
  <c r="N1250" i="1"/>
  <c r="M1250" i="1"/>
  <c r="L1250" i="1" a="1"/>
  <c r="L1250" i="1" s="1"/>
  <c r="K1250" i="1"/>
  <c r="J1250" i="1"/>
  <c r="H1250" i="1" s="1"/>
  <c r="I1250" i="1"/>
  <c r="AW1249" i="1"/>
  <c r="N1249" i="1"/>
  <c r="M1249" i="1"/>
  <c r="L1249" i="1" a="1"/>
  <c r="L1249" i="1" s="1"/>
  <c r="K1249" i="1"/>
  <c r="J1249" i="1"/>
  <c r="H1249" i="1" s="1"/>
  <c r="I1249" i="1"/>
  <c r="AW1248" i="1"/>
  <c r="N1248" i="1"/>
  <c r="M1248" i="1"/>
  <c r="L1248" i="1" a="1"/>
  <c r="L1248" i="1" s="1"/>
  <c r="K1248" i="1"/>
  <c r="J1248" i="1"/>
  <c r="I1248" i="1"/>
  <c r="H1248" i="1"/>
  <c r="AW1247" i="1"/>
  <c r="N1247" i="1"/>
  <c r="M1247" i="1"/>
  <c r="L1247" i="1" a="1"/>
  <c r="L1247" i="1" s="1"/>
  <c r="K1247" i="1"/>
  <c r="J1247" i="1"/>
  <c r="H1247" i="1" s="1"/>
  <c r="I1247" i="1"/>
  <c r="AW1246" i="1"/>
  <c r="N1246" i="1"/>
  <c r="M1246" i="1"/>
  <c r="L1246" i="1" a="1"/>
  <c r="L1246" i="1" s="1"/>
  <c r="K1246" i="1"/>
  <c r="J1246" i="1"/>
  <c r="H1246" i="1" s="1"/>
  <c r="I1246" i="1"/>
  <c r="AW1245" i="1"/>
  <c r="N1245" i="1"/>
  <c r="M1245" i="1"/>
  <c r="L1245" i="1" a="1"/>
  <c r="L1245" i="1" s="1"/>
  <c r="K1245" i="1"/>
  <c r="J1245" i="1"/>
  <c r="H1245" i="1" s="1"/>
  <c r="I1245" i="1"/>
  <c r="AW1244" i="1"/>
  <c r="N1244" i="1"/>
  <c r="M1244" i="1"/>
  <c r="L1244" i="1"/>
  <c r="L1244" i="1" a="1"/>
  <c r="K1244" i="1"/>
  <c r="J1244" i="1"/>
  <c r="H1244" i="1" s="1"/>
  <c r="I1244" i="1"/>
  <c r="AW1243" i="1"/>
  <c r="N1243" i="1"/>
  <c r="M1243" i="1"/>
  <c r="L1243" i="1" a="1"/>
  <c r="L1243" i="1" s="1"/>
  <c r="K1243" i="1"/>
  <c r="J1243" i="1"/>
  <c r="H1243" i="1" s="1"/>
  <c r="I1243" i="1"/>
  <c r="AW1242" i="1"/>
  <c r="N1242" i="1"/>
  <c r="M1242" i="1"/>
  <c r="L1242" i="1" a="1"/>
  <c r="L1242" i="1" s="1"/>
  <c r="K1242" i="1"/>
  <c r="J1242" i="1"/>
  <c r="H1242" i="1" s="1"/>
  <c r="I1242" i="1"/>
  <c r="AW1241" i="1"/>
  <c r="N1241" i="1"/>
  <c r="M1241" i="1"/>
  <c r="L1241" i="1" a="1"/>
  <c r="L1241" i="1" s="1"/>
  <c r="K1241" i="1"/>
  <c r="J1241" i="1"/>
  <c r="H1241" i="1" s="1"/>
  <c r="I1241" i="1"/>
  <c r="AW1240" i="1"/>
  <c r="N1240" i="1"/>
  <c r="M1240" i="1"/>
  <c r="L1240" i="1" a="1"/>
  <c r="L1240" i="1" s="1"/>
  <c r="K1240" i="1"/>
  <c r="J1240" i="1"/>
  <c r="H1240" i="1" s="1"/>
  <c r="I1240" i="1"/>
  <c r="AW1239" i="1"/>
  <c r="N1239" i="1"/>
  <c r="M1239" i="1"/>
  <c r="L1239" i="1" a="1"/>
  <c r="L1239" i="1" s="1"/>
  <c r="K1239" i="1"/>
  <c r="J1239" i="1"/>
  <c r="H1239" i="1" s="1"/>
  <c r="I1239" i="1"/>
  <c r="AW1238" i="1"/>
  <c r="N1238" i="1"/>
  <c r="M1238" i="1"/>
  <c r="L1238" i="1" a="1"/>
  <c r="L1238" i="1" s="1"/>
  <c r="K1238" i="1"/>
  <c r="J1238" i="1"/>
  <c r="H1238" i="1" s="1"/>
  <c r="I1238" i="1"/>
  <c r="AW1237" i="1"/>
  <c r="N1237" i="1"/>
  <c r="M1237" i="1"/>
  <c r="L1237" i="1" a="1"/>
  <c r="L1237" i="1" s="1"/>
  <c r="K1237" i="1"/>
  <c r="J1237" i="1"/>
  <c r="H1237" i="1" s="1"/>
  <c r="I1237" i="1"/>
  <c r="AW1236" i="1"/>
  <c r="N1236" i="1"/>
  <c r="M1236" i="1"/>
  <c r="L1236" i="1" a="1"/>
  <c r="L1236" i="1" s="1"/>
  <c r="K1236" i="1"/>
  <c r="J1236" i="1"/>
  <c r="H1236" i="1" s="1"/>
  <c r="I1236" i="1"/>
  <c r="AW1235" i="1"/>
  <c r="N1235" i="1"/>
  <c r="M1235" i="1"/>
  <c r="L1235" i="1" a="1"/>
  <c r="L1235" i="1" s="1"/>
  <c r="K1235" i="1"/>
  <c r="J1235" i="1"/>
  <c r="H1235" i="1" s="1"/>
  <c r="I1235" i="1"/>
  <c r="AW1234" i="1"/>
  <c r="N1234" i="1"/>
  <c r="M1234" i="1"/>
  <c r="L1234" i="1" a="1"/>
  <c r="L1234" i="1" s="1"/>
  <c r="K1234" i="1"/>
  <c r="J1234" i="1"/>
  <c r="H1234" i="1" s="1"/>
  <c r="I1234" i="1"/>
  <c r="AW1233" i="1"/>
  <c r="N1233" i="1"/>
  <c r="M1233" i="1"/>
  <c r="L1233" i="1" a="1"/>
  <c r="L1233" i="1" s="1"/>
  <c r="K1233" i="1"/>
  <c r="J1233" i="1"/>
  <c r="H1233" i="1" s="1"/>
  <c r="I1233" i="1"/>
  <c r="AW1232" i="1"/>
  <c r="N1232" i="1"/>
  <c r="M1232" i="1"/>
  <c r="L1232" i="1" a="1"/>
  <c r="L1232" i="1" s="1"/>
  <c r="K1232" i="1"/>
  <c r="J1232" i="1"/>
  <c r="H1232" i="1" s="1"/>
  <c r="I1232" i="1"/>
  <c r="AW1231" i="1"/>
  <c r="N1231" i="1"/>
  <c r="M1231" i="1"/>
  <c r="L1231" i="1" a="1"/>
  <c r="L1231" i="1" s="1"/>
  <c r="K1231" i="1"/>
  <c r="J1231" i="1"/>
  <c r="H1231" i="1" s="1"/>
  <c r="I1231" i="1"/>
  <c r="AW1230" i="1"/>
  <c r="N1230" i="1"/>
  <c r="M1230" i="1"/>
  <c r="L1230" i="1" a="1"/>
  <c r="L1230" i="1" s="1"/>
  <c r="K1230" i="1"/>
  <c r="J1230" i="1"/>
  <c r="H1230" i="1" s="1"/>
  <c r="I1230" i="1"/>
  <c r="AW1229" i="1"/>
  <c r="N1229" i="1"/>
  <c r="M1229" i="1"/>
  <c r="L1229" i="1" a="1"/>
  <c r="L1229" i="1" s="1"/>
  <c r="K1229" i="1"/>
  <c r="J1229" i="1"/>
  <c r="H1229" i="1" s="1"/>
  <c r="I1229" i="1"/>
  <c r="AW1228" i="1"/>
  <c r="N1228" i="1"/>
  <c r="M1228" i="1"/>
  <c r="L1228" i="1" a="1"/>
  <c r="L1228" i="1" s="1"/>
  <c r="K1228" i="1"/>
  <c r="J1228" i="1"/>
  <c r="H1228" i="1" s="1"/>
  <c r="I1228" i="1"/>
  <c r="AW1227" i="1"/>
  <c r="N1227" i="1"/>
  <c r="M1227" i="1"/>
  <c r="L1227" i="1" a="1"/>
  <c r="L1227" i="1" s="1"/>
  <c r="K1227" i="1"/>
  <c r="J1227" i="1"/>
  <c r="I1227" i="1"/>
  <c r="H1227" i="1"/>
  <c r="AW1226" i="1"/>
  <c r="N1226" i="1"/>
  <c r="M1226" i="1"/>
  <c r="L1226" i="1" a="1"/>
  <c r="L1226" i="1" s="1"/>
  <c r="K1226" i="1"/>
  <c r="J1226" i="1"/>
  <c r="H1226" i="1" s="1"/>
  <c r="I1226" i="1"/>
  <c r="AW1225" i="1"/>
  <c r="N1225" i="1"/>
  <c r="M1225" i="1"/>
  <c r="L1225" i="1" a="1"/>
  <c r="L1225" i="1" s="1"/>
  <c r="K1225" i="1"/>
  <c r="J1225" i="1"/>
  <c r="I1225" i="1"/>
  <c r="H1225" i="1"/>
  <c r="AW1224" i="1"/>
  <c r="N1224" i="1"/>
  <c r="M1224" i="1"/>
  <c r="L1224" i="1"/>
  <c r="L1224" i="1" a="1"/>
  <c r="K1224" i="1"/>
  <c r="J1224" i="1"/>
  <c r="H1224" i="1" s="1"/>
  <c r="I1224" i="1"/>
  <c r="AW1223" i="1"/>
  <c r="N1223" i="1"/>
  <c r="M1223" i="1"/>
  <c r="L1223" i="1" a="1"/>
  <c r="L1223" i="1" s="1"/>
  <c r="K1223" i="1"/>
  <c r="J1223" i="1"/>
  <c r="H1223" i="1" s="1"/>
  <c r="I1223" i="1"/>
  <c r="AW1222" i="1"/>
  <c r="N1222" i="1"/>
  <c r="M1222" i="1"/>
  <c r="L1222" i="1" a="1"/>
  <c r="L1222" i="1" s="1"/>
  <c r="K1222" i="1"/>
  <c r="J1222" i="1"/>
  <c r="H1222" i="1" s="1"/>
  <c r="I1222" i="1"/>
  <c r="AW1221" i="1"/>
  <c r="N1221" i="1"/>
  <c r="M1221" i="1"/>
  <c r="L1221" i="1" a="1"/>
  <c r="L1221" i="1" s="1"/>
  <c r="K1221" i="1"/>
  <c r="J1221" i="1"/>
  <c r="H1221" i="1" s="1"/>
  <c r="I1221" i="1"/>
  <c r="AW1220" i="1"/>
  <c r="N1220" i="1"/>
  <c r="M1220" i="1"/>
  <c r="L1220" i="1"/>
  <c r="L1220" i="1" a="1"/>
  <c r="K1220" i="1"/>
  <c r="J1220" i="1"/>
  <c r="H1220" i="1" s="1"/>
  <c r="I1220" i="1"/>
  <c r="AW1219" i="1"/>
  <c r="N1219" i="1"/>
  <c r="M1219" i="1"/>
  <c r="L1219" i="1" a="1"/>
  <c r="L1219" i="1" s="1"/>
  <c r="K1219" i="1"/>
  <c r="J1219" i="1"/>
  <c r="H1219" i="1" s="1"/>
  <c r="I1219" i="1"/>
  <c r="AW1218" i="1"/>
  <c r="N1218" i="1"/>
  <c r="M1218" i="1"/>
  <c r="L1218" i="1" a="1"/>
  <c r="L1218" i="1" s="1"/>
  <c r="K1218" i="1"/>
  <c r="J1218" i="1"/>
  <c r="H1218" i="1" s="1"/>
  <c r="I1218" i="1"/>
  <c r="AW1217" i="1"/>
  <c r="N1217" i="1"/>
  <c r="M1217" i="1"/>
  <c r="L1217" i="1" a="1"/>
  <c r="L1217" i="1" s="1"/>
  <c r="K1217" i="1"/>
  <c r="J1217" i="1"/>
  <c r="H1217" i="1" s="1"/>
  <c r="I1217" i="1"/>
  <c r="AW1216" i="1"/>
  <c r="N1216" i="1"/>
  <c r="M1216" i="1"/>
  <c r="L1216" i="1" a="1"/>
  <c r="L1216" i="1" s="1"/>
  <c r="K1216" i="1"/>
  <c r="J1216" i="1"/>
  <c r="H1216" i="1" s="1"/>
  <c r="I1216" i="1"/>
  <c r="AW1215" i="1"/>
  <c r="N1215" i="1"/>
  <c r="M1215" i="1"/>
  <c r="L1215" i="1" a="1"/>
  <c r="L1215" i="1" s="1"/>
  <c r="K1215" i="1"/>
  <c r="J1215" i="1"/>
  <c r="H1215" i="1" s="1"/>
  <c r="I1215" i="1"/>
  <c r="AW1214" i="1"/>
  <c r="N1214" i="1"/>
  <c r="M1214" i="1"/>
  <c r="L1214" i="1" a="1"/>
  <c r="L1214" i="1" s="1"/>
  <c r="K1214" i="1"/>
  <c r="J1214" i="1"/>
  <c r="H1214" i="1" s="1"/>
  <c r="I1214" i="1"/>
  <c r="AW1213" i="1"/>
  <c r="N1213" i="1"/>
  <c r="M1213" i="1"/>
  <c r="L1213" i="1" a="1"/>
  <c r="L1213" i="1" s="1"/>
  <c r="K1213" i="1"/>
  <c r="J1213" i="1"/>
  <c r="H1213" i="1" s="1"/>
  <c r="I1213" i="1"/>
  <c r="AW1212" i="1"/>
  <c r="N1212" i="1"/>
  <c r="M1212" i="1"/>
  <c r="L1212" i="1" a="1"/>
  <c r="L1212" i="1" s="1"/>
  <c r="K1212" i="1"/>
  <c r="J1212" i="1"/>
  <c r="H1212" i="1" s="1"/>
  <c r="I1212" i="1"/>
  <c r="AW1211" i="1"/>
  <c r="N1211" i="1"/>
  <c r="M1211" i="1"/>
  <c r="L1211" i="1" a="1"/>
  <c r="L1211" i="1" s="1"/>
  <c r="K1211" i="1"/>
  <c r="J1211" i="1"/>
  <c r="H1211" i="1" s="1"/>
  <c r="I1211" i="1"/>
  <c r="AW1210" i="1"/>
  <c r="N1210" i="1"/>
  <c r="M1210" i="1"/>
  <c r="L1210" i="1" a="1"/>
  <c r="L1210" i="1" s="1"/>
  <c r="K1210" i="1"/>
  <c r="J1210" i="1"/>
  <c r="H1210" i="1" s="1"/>
  <c r="I1210" i="1"/>
  <c r="AW1209" i="1"/>
  <c r="N1209" i="1"/>
  <c r="M1209" i="1"/>
  <c r="L1209" i="1" a="1"/>
  <c r="L1209" i="1" s="1"/>
  <c r="K1209" i="1"/>
  <c r="J1209" i="1"/>
  <c r="H1209" i="1" s="1"/>
  <c r="I1209" i="1"/>
  <c r="AW1208" i="1"/>
  <c r="N1208" i="1"/>
  <c r="M1208" i="1"/>
  <c r="L1208" i="1" a="1"/>
  <c r="L1208" i="1" s="1"/>
  <c r="K1208" i="1"/>
  <c r="J1208" i="1"/>
  <c r="H1208" i="1" s="1"/>
  <c r="I1208" i="1"/>
  <c r="AW1207" i="1"/>
  <c r="N1207" i="1"/>
  <c r="M1207" i="1"/>
  <c r="L1207" i="1" a="1"/>
  <c r="L1207" i="1" s="1"/>
  <c r="K1207" i="1"/>
  <c r="J1207" i="1"/>
  <c r="H1207" i="1" s="1"/>
  <c r="I1207" i="1"/>
  <c r="AW1206" i="1"/>
  <c r="N1206" i="1"/>
  <c r="M1206" i="1"/>
  <c r="L1206" i="1" a="1"/>
  <c r="L1206" i="1" s="1"/>
  <c r="K1206" i="1"/>
  <c r="J1206" i="1"/>
  <c r="H1206" i="1" s="1"/>
  <c r="I1206" i="1"/>
  <c r="AW1205" i="1"/>
  <c r="N1205" i="1"/>
  <c r="M1205" i="1"/>
  <c r="L1205" i="1" a="1"/>
  <c r="L1205" i="1" s="1"/>
  <c r="K1205" i="1"/>
  <c r="J1205" i="1"/>
  <c r="H1205" i="1" s="1"/>
  <c r="I1205" i="1"/>
  <c r="AW1204" i="1"/>
  <c r="N1204" i="1"/>
  <c r="M1204" i="1"/>
  <c r="L1204" i="1" a="1"/>
  <c r="L1204" i="1" s="1"/>
  <c r="K1204" i="1"/>
  <c r="J1204" i="1"/>
  <c r="H1204" i="1" s="1"/>
  <c r="I1204" i="1"/>
  <c r="AW1203" i="1"/>
  <c r="N1203" i="1"/>
  <c r="M1203" i="1"/>
  <c r="L1203" i="1" a="1"/>
  <c r="L1203" i="1" s="1"/>
  <c r="K1203" i="1"/>
  <c r="J1203" i="1"/>
  <c r="H1203" i="1" s="1"/>
  <c r="I1203" i="1"/>
  <c r="AW1202" i="1"/>
  <c r="N1202" i="1"/>
  <c r="M1202" i="1"/>
  <c r="L1202" i="1" a="1"/>
  <c r="L1202" i="1" s="1"/>
  <c r="K1202" i="1"/>
  <c r="J1202" i="1"/>
  <c r="H1202" i="1" s="1"/>
  <c r="I1202" i="1"/>
  <c r="AW1201" i="1"/>
  <c r="N1201" i="1"/>
  <c r="M1201" i="1"/>
  <c r="L1201" i="1" a="1"/>
  <c r="L1201" i="1" s="1"/>
  <c r="K1201" i="1"/>
  <c r="J1201" i="1"/>
  <c r="I1201" i="1"/>
  <c r="H1201" i="1"/>
  <c r="AW1200" i="1"/>
  <c r="N1200" i="1"/>
  <c r="M1200" i="1"/>
  <c r="L1200" i="1" a="1"/>
  <c r="L1200" i="1" s="1"/>
  <c r="K1200" i="1"/>
  <c r="J1200" i="1"/>
  <c r="H1200" i="1" s="1"/>
  <c r="I1200" i="1"/>
  <c r="AW1199" i="1"/>
  <c r="N1199" i="1"/>
  <c r="M1199" i="1"/>
  <c r="L1199" i="1" a="1"/>
  <c r="L1199" i="1" s="1"/>
  <c r="K1199" i="1"/>
  <c r="J1199" i="1"/>
  <c r="I1199" i="1"/>
  <c r="H1199" i="1"/>
  <c r="AW1198" i="1"/>
  <c r="N1198" i="1"/>
  <c r="M1198" i="1"/>
  <c r="L1198" i="1" a="1"/>
  <c r="L1198" i="1" s="1"/>
  <c r="K1198" i="1"/>
  <c r="J1198" i="1"/>
  <c r="H1198" i="1" s="1"/>
  <c r="I1198" i="1"/>
  <c r="AW1197" i="1"/>
  <c r="N1197" i="1"/>
  <c r="M1197" i="1"/>
  <c r="L1197" i="1" a="1"/>
  <c r="L1197" i="1" s="1"/>
  <c r="K1197" i="1"/>
  <c r="J1197" i="1"/>
  <c r="I1197" i="1"/>
  <c r="H1197" i="1"/>
  <c r="AW1196" i="1"/>
  <c r="N1196" i="1"/>
  <c r="M1196" i="1"/>
  <c r="L1196" i="1" a="1"/>
  <c r="L1196" i="1" s="1"/>
  <c r="K1196" i="1"/>
  <c r="J1196" i="1"/>
  <c r="H1196" i="1" s="1"/>
  <c r="I1196" i="1"/>
  <c r="AW1195" i="1"/>
  <c r="N1195" i="1"/>
  <c r="M1195" i="1"/>
  <c r="L1195" i="1" a="1"/>
  <c r="L1195" i="1" s="1"/>
  <c r="K1195" i="1"/>
  <c r="J1195" i="1"/>
  <c r="I1195" i="1"/>
  <c r="H1195" i="1"/>
  <c r="AW1194" i="1"/>
  <c r="N1194" i="1"/>
  <c r="M1194" i="1"/>
  <c r="L1194" i="1" a="1"/>
  <c r="L1194" i="1" s="1"/>
  <c r="K1194" i="1"/>
  <c r="J1194" i="1"/>
  <c r="H1194" i="1" s="1"/>
  <c r="I1194" i="1"/>
  <c r="AW1193" i="1"/>
  <c r="N1193" i="1"/>
  <c r="M1193" i="1"/>
  <c r="L1193" i="1" a="1"/>
  <c r="L1193" i="1" s="1"/>
  <c r="K1193" i="1"/>
  <c r="J1193" i="1"/>
  <c r="H1193" i="1" s="1"/>
  <c r="I1193" i="1"/>
  <c r="AW1192" i="1"/>
  <c r="N1192" i="1"/>
  <c r="M1192" i="1"/>
  <c r="L1192" i="1" a="1"/>
  <c r="L1192" i="1" s="1"/>
  <c r="K1192" i="1"/>
  <c r="J1192" i="1"/>
  <c r="H1192" i="1" s="1"/>
  <c r="I1192" i="1"/>
  <c r="AW1191" i="1"/>
  <c r="N1191" i="1"/>
  <c r="M1191" i="1"/>
  <c r="L1191" i="1" a="1"/>
  <c r="L1191" i="1" s="1"/>
  <c r="K1191" i="1"/>
  <c r="J1191" i="1"/>
  <c r="H1191" i="1" s="1"/>
  <c r="I1191" i="1"/>
  <c r="AW1190" i="1"/>
  <c r="N1190" i="1"/>
  <c r="M1190" i="1"/>
  <c r="L1190" i="1" a="1"/>
  <c r="L1190" i="1" s="1"/>
  <c r="K1190" i="1"/>
  <c r="J1190" i="1"/>
  <c r="H1190" i="1" s="1"/>
  <c r="I1190" i="1"/>
  <c r="AW1189" i="1"/>
  <c r="N1189" i="1"/>
  <c r="M1189" i="1"/>
  <c r="L1189" i="1" a="1"/>
  <c r="L1189" i="1" s="1"/>
  <c r="K1189" i="1"/>
  <c r="J1189" i="1"/>
  <c r="H1189" i="1" s="1"/>
  <c r="I1189" i="1"/>
  <c r="AW1188" i="1"/>
  <c r="N1188" i="1"/>
  <c r="M1188" i="1"/>
  <c r="L1188" i="1" a="1"/>
  <c r="L1188" i="1" s="1"/>
  <c r="K1188" i="1"/>
  <c r="J1188" i="1"/>
  <c r="H1188" i="1" s="1"/>
  <c r="I1188" i="1"/>
  <c r="AW1187" i="1"/>
  <c r="N1187" i="1"/>
  <c r="M1187" i="1"/>
  <c r="L1187" i="1" a="1"/>
  <c r="L1187" i="1" s="1"/>
  <c r="K1187" i="1"/>
  <c r="J1187" i="1"/>
  <c r="H1187" i="1" s="1"/>
  <c r="I1187" i="1"/>
  <c r="AW1186" i="1"/>
  <c r="N1186" i="1"/>
  <c r="M1186" i="1"/>
  <c r="L1186" i="1" a="1"/>
  <c r="L1186" i="1" s="1"/>
  <c r="K1186" i="1"/>
  <c r="J1186" i="1"/>
  <c r="H1186" i="1" s="1"/>
  <c r="I1186" i="1"/>
  <c r="AW1185" i="1"/>
  <c r="N1185" i="1"/>
  <c r="M1185" i="1"/>
  <c r="L1185" i="1" a="1"/>
  <c r="L1185" i="1" s="1"/>
  <c r="K1185" i="1"/>
  <c r="J1185" i="1"/>
  <c r="H1185" i="1" s="1"/>
  <c r="I1185" i="1"/>
  <c r="AW1184" i="1"/>
  <c r="N1184" i="1"/>
  <c r="M1184" i="1"/>
  <c r="L1184" i="1" a="1"/>
  <c r="L1184" i="1" s="1"/>
  <c r="K1184" i="1"/>
  <c r="J1184" i="1"/>
  <c r="H1184" i="1" s="1"/>
  <c r="I1184" i="1"/>
  <c r="AW1183" i="1"/>
  <c r="N1183" i="1"/>
  <c r="M1183" i="1"/>
  <c r="L1183" i="1" a="1"/>
  <c r="L1183" i="1" s="1"/>
  <c r="K1183" i="1"/>
  <c r="J1183" i="1"/>
  <c r="H1183" i="1" s="1"/>
  <c r="I1183" i="1"/>
  <c r="AW1182" i="1"/>
  <c r="N1182" i="1"/>
  <c r="M1182" i="1"/>
  <c r="L1182" i="1" a="1"/>
  <c r="L1182" i="1" s="1"/>
  <c r="K1182" i="1"/>
  <c r="J1182" i="1"/>
  <c r="H1182" i="1" s="1"/>
  <c r="I1182" i="1"/>
  <c r="AW1181" i="1"/>
  <c r="N1181" i="1"/>
  <c r="M1181" i="1"/>
  <c r="L1181" i="1" a="1"/>
  <c r="L1181" i="1" s="1"/>
  <c r="K1181" i="1"/>
  <c r="J1181" i="1"/>
  <c r="H1181" i="1" s="1"/>
  <c r="I1181" i="1"/>
  <c r="AW1180" i="1"/>
  <c r="N1180" i="1"/>
  <c r="M1180" i="1"/>
  <c r="L1180" i="1" a="1"/>
  <c r="L1180" i="1" s="1"/>
  <c r="K1180" i="1"/>
  <c r="J1180" i="1"/>
  <c r="H1180" i="1" s="1"/>
  <c r="I1180" i="1"/>
  <c r="AW1179" i="1"/>
  <c r="N1179" i="1"/>
  <c r="M1179" i="1"/>
  <c r="L1179" i="1" a="1"/>
  <c r="L1179" i="1" s="1"/>
  <c r="K1179" i="1"/>
  <c r="J1179" i="1"/>
  <c r="H1179" i="1" s="1"/>
  <c r="I1179" i="1"/>
  <c r="AW1178" i="1"/>
  <c r="N1178" i="1"/>
  <c r="M1178" i="1"/>
  <c r="L1178" i="1" a="1"/>
  <c r="L1178" i="1" s="1"/>
  <c r="K1178" i="1"/>
  <c r="J1178" i="1"/>
  <c r="H1178" i="1" s="1"/>
  <c r="I1178" i="1"/>
  <c r="AW1177" i="1"/>
  <c r="N1177" i="1"/>
  <c r="M1177" i="1"/>
  <c r="L1177" i="1" a="1"/>
  <c r="L1177" i="1" s="1"/>
  <c r="K1177" i="1"/>
  <c r="J1177" i="1"/>
  <c r="I1177" i="1"/>
  <c r="H1177" i="1"/>
  <c r="AW1176" i="1"/>
  <c r="N1176" i="1"/>
  <c r="M1176" i="1"/>
  <c r="L1176" i="1" a="1"/>
  <c r="L1176" i="1" s="1"/>
  <c r="K1176" i="1"/>
  <c r="J1176" i="1"/>
  <c r="H1176" i="1" s="1"/>
  <c r="I1176" i="1"/>
  <c r="AW1175" i="1"/>
  <c r="N1175" i="1"/>
  <c r="M1175" i="1"/>
  <c r="L1175" i="1" a="1"/>
  <c r="L1175" i="1" s="1"/>
  <c r="K1175" i="1"/>
  <c r="J1175" i="1"/>
  <c r="H1175" i="1" s="1"/>
  <c r="I1175" i="1"/>
  <c r="AW1174" i="1"/>
  <c r="N1174" i="1"/>
  <c r="M1174" i="1"/>
  <c r="L1174" i="1" a="1"/>
  <c r="L1174" i="1" s="1"/>
  <c r="K1174" i="1"/>
  <c r="J1174" i="1"/>
  <c r="H1174" i="1" s="1"/>
  <c r="I1174" i="1"/>
  <c r="AW1173" i="1"/>
  <c r="N1173" i="1"/>
  <c r="M1173" i="1"/>
  <c r="L1173" i="1" a="1"/>
  <c r="L1173" i="1" s="1"/>
  <c r="K1173" i="1"/>
  <c r="J1173" i="1"/>
  <c r="H1173" i="1" s="1"/>
  <c r="I1173" i="1"/>
  <c r="AW1172" i="1"/>
  <c r="N1172" i="1"/>
  <c r="M1172" i="1"/>
  <c r="L1172" i="1" a="1"/>
  <c r="L1172" i="1" s="1"/>
  <c r="K1172" i="1"/>
  <c r="J1172" i="1"/>
  <c r="H1172" i="1" s="1"/>
  <c r="I1172" i="1"/>
  <c r="AW1171" i="1"/>
  <c r="N1171" i="1"/>
  <c r="M1171" i="1"/>
  <c r="L1171" i="1" a="1"/>
  <c r="L1171" i="1" s="1"/>
  <c r="K1171" i="1"/>
  <c r="J1171" i="1"/>
  <c r="H1171" i="1" s="1"/>
  <c r="I1171" i="1"/>
  <c r="AW1170" i="1"/>
  <c r="N1170" i="1"/>
  <c r="M1170" i="1"/>
  <c r="L1170" i="1" a="1"/>
  <c r="L1170" i="1" s="1"/>
  <c r="K1170" i="1"/>
  <c r="J1170" i="1"/>
  <c r="H1170" i="1" s="1"/>
  <c r="I1170" i="1"/>
  <c r="AW1169" i="1"/>
  <c r="N1169" i="1"/>
  <c r="M1169" i="1"/>
  <c r="L1169" i="1" a="1"/>
  <c r="L1169" i="1" s="1"/>
  <c r="K1169" i="1"/>
  <c r="J1169" i="1"/>
  <c r="H1169" i="1" s="1"/>
  <c r="I1169" i="1"/>
  <c r="AW1168" i="1"/>
  <c r="N1168" i="1"/>
  <c r="M1168" i="1"/>
  <c r="L1168" i="1" a="1"/>
  <c r="L1168" i="1" s="1"/>
  <c r="K1168" i="1"/>
  <c r="J1168" i="1"/>
  <c r="H1168" i="1" s="1"/>
  <c r="I1168" i="1"/>
  <c r="AW1167" i="1"/>
  <c r="N1167" i="1"/>
  <c r="M1167" i="1"/>
  <c r="L1167" i="1" a="1"/>
  <c r="L1167" i="1" s="1"/>
  <c r="K1167" i="1"/>
  <c r="J1167" i="1"/>
  <c r="H1167" i="1" s="1"/>
  <c r="I1167" i="1"/>
  <c r="AW1166" i="1"/>
  <c r="N1166" i="1"/>
  <c r="M1166" i="1"/>
  <c r="L1166" i="1" a="1"/>
  <c r="L1166" i="1" s="1"/>
  <c r="K1166" i="1"/>
  <c r="J1166" i="1"/>
  <c r="H1166" i="1" s="1"/>
  <c r="I1166" i="1"/>
  <c r="AW1165" i="1"/>
  <c r="N1165" i="1"/>
  <c r="M1165" i="1"/>
  <c r="L1165" i="1" a="1"/>
  <c r="L1165" i="1" s="1"/>
  <c r="K1165" i="1"/>
  <c r="J1165" i="1"/>
  <c r="H1165" i="1" s="1"/>
  <c r="I1165" i="1"/>
  <c r="AW1164" i="1"/>
  <c r="N1164" i="1"/>
  <c r="M1164" i="1"/>
  <c r="L1164" i="1" a="1"/>
  <c r="L1164" i="1" s="1"/>
  <c r="K1164" i="1"/>
  <c r="J1164" i="1"/>
  <c r="H1164" i="1" s="1"/>
  <c r="I1164" i="1"/>
  <c r="AW1163" i="1"/>
  <c r="N1163" i="1"/>
  <c r="M1163" i="1"/>
  <c r="L1163" i="1" a="1"/>
  <c r="L1163" i="1" s="1"/>
  <c r="K1163" i="1"/>
  <c r="J1163" i="1"/>
  <c r="H1163" i="1" s="1"/>
  <c r="I1163" i="1"/>
  <c r="AW1162" i="1"/>
  <c r="N1162" i="1"/>
  <c r="M1162" i="1"/>
  <c r="L1162" i="1" a="1"/>
  <c r="L1162" i="1" s="1"/>
  <c r="K1162" i="1"/>
  <c r="J1162" i="1"/>
  <c r="H1162" i="1" s="1"/>
  <c r="I1162" i="1"/>
  <c r="AW1161" i="1"/>
  <c r="N1161" i="1"/>
  <c r="M1161" i="1"/>
  <c r="L1161" i="1" a="1"/>
  <c r="L1161" i="1" s="1"/>
  <c r="K1161" i="1"/>
  <c r="J1161" i="1"/>
  <c r="H1161" i="1" s="1"/>
  <c r="I1161" i="1"/>
  <c r="AW1160" i="1"/>
  <c r="N1160" i="1"/>
  <c r="M1160" i="1"/>
  <c r="L1160" i="1" a="1"/>
  <c r="L1160" i="1" s="1"/>
  <c r="K1160" i="1"/>
  <c r="J1160" i="1"/>
  <c r="H1160" i="1" s="1"/>
  <c r="I1160" i="1"/>
  <c r="AW1159" i="1"/>
  <c r="N1159" i="1"/>
  <c r="M1159" i="1"/>
  <c r="L1159" i="1" a="1"/>
  <c r="L1159" i="1" s="1"/>
  <c r="K1159" i="1"/>
  <c r="J1159" i="1"/>
  <c r="I1159" i="1"/>
  <c r="H1159" i="1"/>
  <c r="AW1158" i="1"/>
  <c r="N1158" i="1"/>
  <c r="M1158" i="1"/>
  <c r="L1158" i="1" a="1"/>
  <c r="L1158" i="1" s="1"/>
  <c r="K1158" i="1"/>
  <c r="J1158" i="1"/>
  <c r="I1158" i="1"/>
  <c r="H1158" i="1"/>
  <c r="AW1157" i="1"/>
  <c r="N1157" i="1"/>
  <c r="M1157" i="1"/>
  <c r="L1157" i="1" a="1"/>
  <c r="L1157" i="1" s="1"/>
  <c r="K1157" i="1"/>
  <c r="J1157" i="1"/>
  <c r="I1157" i="1"/>
  <c r="H1157" i="1"/>
  <c r="AW1156" i="1"/>
  <c r="N1156" i="1"/>
  <c r="M1156" i="1"/>
  <c r="L1156" i="1" a="1"/>
  <c r="L1156" i="1" s="1"/>
  <c r="K1156" i="1"/>
  <c r="J1156" i="1"/>
  <c r="H1156" i="1" s="1"/>
  <c r="I1156" i="1"/>
  <c r="AW1155" i="1"/>
  <c r="N1155" i="1"/>
  <c r="M1155" i="1"/>
  <c r="L1155" i="1" a="1"/>
  <c r="L1155" i="1" s="1"/>
  <c r="K1155" i="1"/>
  <c r="J1155" i="1"/>
  <c r="H1155" i="1" s="1"/>
  <c r="I1155" i="1"/>
  <c r="AW1154" i="1"/>
  <c r="N1154" i="1"/>
  <c r="M1154" i="1"/>
  <c r="L1154" i="1" a="1"/>
  <c r="L1154" i="1" s="1"/>
  <c r="K1154" i="1"/>
  <c r="J1154" i="1"/>
  <c r="H1154" i="1" s="1"/>
  <c r="I1154" i="1"/>
  <c r="AW1153" i="1"/>
  <c r="N1153" i="1"/>
  <c r="M1153" i="1"/>
  <c r="L1153" i="1"/>
  <c r="L1153" i="1" a="1"/>
  <c r="K1153" i="1"/>
  <c r="J1153" i="1"/>
  <c r="H1153" i="1" s="1"/>
  <c r="I1153" i="1"/>
  <c r="AW1152" i="1"/>
  <c r="N1152" i="1"/>
  <c r="M1152" i="1"/>
  <c r="L1152" i="1" a="1"/>
  <c r="L1152" i="1" s="1"/>
  <c r="K1152" i="1"/>
  <c r="J1152" i="1"/>
  <c r="H1152" i="1" s="1"/>
  <c r="I1152" i="1"/>
  <c r="AW1151" i="1"/>
  <c r="N1151" i="1"/>
  <c r="M1151" i="1"/>
  <c r="L1151" i="1" a="1"/>
  <c r="L1151" i="1" s="1"/>
  <c r="K1151" i="1"/>
  <c r="J1151" i="1"/>
  <c r="H1151" i="1" s="1"/>
  <c r="I1151" i="1"/>
  <c r="AW1150" i="1"/>
  <c r="N1150" i="1"/>
  <c r="M1150" i="1"/>
  <c r="L1150" i="1" a="1"/>
  <c r="L1150" i="1" s="1"/>
  <c r="K1150" i="1"/>
  <c r="J1150" i="1"/>
  <c r="H1150" i="1" s="1"/>
  <c r="I1150" i="1"/>
  <c r="AW1149" i="1"/>
  <c r="N1149" i="1"/>
  <c r="M1149" i="1"/>
  <c r="L1149" i="1" a="1"/>
  <c r="L1149" i="1" s="1"/>
  <c r="K1149" i="1"/>
  <c r="J1149" i="1"/>
  <c r="H1149" i="1" s="1"/>
  <c r="I1149" i="1"/>
  <c r="AW1148" i="1"/>
  <c r="N1148" i="1"/>
  <c r="M1148" i="1"/>
  <c r="L1148" i="1" a="1"/>
  <c r="L1148" i="1" s="1"/>
  <c r="K1148" i="1"/>
  <c r="J1148" i="1"/>
  <c r="H1148" i="1" s="1"/>
  <c r="I1148" i="1"/>
  <c r="AW1147" i="1"/>
  <c r="N1147" i="1"/>
  <c r="M1147" i="1"/>
  <c r="L1147" i="1" a="1"/>
  <c r="L1147" i="1" s="1"/>
  <c r="K1147" i="1"/>
  <c r="J1147" i="1"/>
  <c r="H1147" i="1" s="1"/>
  <c r="I1147" i="1"/>
  <c r="AW1146" i="1"/>
  <c r="N1146" i="1"/>
  <c r="M1146" i="1"/>
  <c r="L1146" i="1" a="1"/>
  <c r="L1146" i="1" s="1"/>
  <c r="K1146" i="1"/>
  <c r="J1146" i="1"/>
  <c r="H1146" i="1" s="1"/>
  <c r="I1146" i="1"/>
  <c r="AW1145" i="1"/>
  <c r="N1145" i="1"/>
  <c r="M1145" i="1"/>
  <c r="L1145" i="1" a="1"/>
  <c r="L1145" i="1" s="1"/>
  <c r="K1145" i="1"/>
  <c r="J1145" i="1"/>
  <c r="H1145" i="1" s="1"/>
  <c r="I1145" i="1"/>
  <c r="AW1144" i="1"/>
  <c r="N1144" i="1"/>
  <c r="M1144" i="1"/>
  <c r="L1144" i="1" a="1"/>
  <c r="L1144" i="1" s="1"/>
  <c r="K1144" i="1"/>
  <c r="J1144" i="1"/>
  <c r="H1144" i="1" s="1"/>
  <c r="I1144" i="1"/>
  <c r="AW1143" i="1"/>
  <c r="N1143" i="1"/>
  <c r="M1143" i="1"/>
  <c r="L1143" i="1" a="1"/>
  <c r="L1143" i="1" s="1"/>
  <c r="K1143" i="1"/>
  <c r="J1143" i="1"/>
  <c r="H1143" i="1" s="1"/>
  <c r="I1143" i="1"/>
  <c r="AW1142" i="1"/>
  <c r="N1142" i="1"/>
  <c r="M1142" i="1"/>
  <c r="L1142" i="1" a="1"/>
  <c r="L1142" i="1" s="1"/>
  <c r="K1142" i="1"/>
  <c r="J1142" i="1"/>
  <c r="H1142" i="1" s="1"/>
  <c r="I1142" i="1"/>
  <c r="AW1141" i="1"/>
  <c r="N1141" i="1"/>
  <c r="M1141" i="1"/>
  <c r="L1141" i="1" a="1"/>
  <c r="L1141" i="1" s="1"/>
  <c r="K1141" i="1"/>
  <c r="J1141" i="1"/>
  <c r="H1141" i="1" s="1"/>
  <c r="I1141" i="1"/>
  <c r="AW1140" i="1"/>
  <c r="N1140" i="1"/>
  <c r="M1140" i="1"/>
  <c r="L1140" i="1" a="1"/>
  <c r="L1140" i="1" s="1"/>
  <c r="K1140" i="1"/>
  <c r="J1140" i="1"/>
  <c r="H1140" i="1" s="1"/>
  <c r="I1140" i="1"/>
  <c r="AW1139" i="1"/>
  <c r="N1139" i="1"/>
  <c r="M1139" i="1"/>
  <c r="L1139" i="1" a="1"/>
  <c r="L1139" i="1" s="1"/>
  <c r="K1139" i="1"/>
  <c r="J1139" i="1"/>
  <c r="H1139" i="1" s="1"/>
  <c r="I1139" i="1"/>
  <c r="AW1138" i="1"/>
  <c r="N1138" i="1"/>
  <c r="M1138" i="1"/>
  <c r="L1138" i="1" a="1"/>
  <c r="L1138" i="1" s="1"/>
  <c r="K1138" i="1"/>
  <c r="J1138" i="1"/>
  <c r="H1138" i="1" s="1"/>
  <c r="I1138" i="1"/>
  <c r="AW1137" i="1"/>
  <c r="N1137" i="1"/>
  <c r="M1137" i="1"/>
  <c r="L1137" i="1" a="1"/>
  <c r="L1137" i="1" s="1"/>
  <c r="K1137" i="1"/>
  <c r="J1137" i="1"/>
  <c r="H1137" i="1" s="1"/>
  <c r="I1137" i="1"/>
  <c r="AW1136" i="1"/>
  <c r="N1136" i="1"/>
  <c r="M1136" i="1"/>
  <c r="L1136" i="1" a="1"/>
  <c r="L1136" i="1" s="1"/>
  <c r="K1136" i="1"/>
  <c r="J1136" i="1"/>
  <c r="H1136" i="1" s="1"/>
  <c r="I1136" i="1"/>
  <c r="AW1135" i="1"/>
  <c r="N1135" i="1"/>
  <c r="M1135" i="1"/>
  <c r="L1135" i="1" a="1"/>
  <c r="L1135" i="1" s="1"/>
  <c r="K1135" i="1"/>
  <c r="J1135" i="1"/>
  <c r="H1135" i="1" s="1"/>
  <c r="I1135" i="1"/>
  <c r="AW1134" i="1"/>
  <c r="N1134" i="1"/>
  <c r="M1134" i="1"/>
  <c r="L1134" i="1" a="1"/>
  <c r="L1134" i="1" s="1"/>
  <c r="K1134" i="1"/>
  <c r="J1134" i="1"/>
  <c r="H1134" i="1" s="1"/>
  <c r="I1134" i="1"/>
  <c r="AW1133" i="1"/>
  <c r="N1133" i="1"/>
  <c r="M1133" i="1"/>
  <c r="L1133" i="1" a="1"/>
  <c r="L1133" i="1" s="1"/>
  <c r="K1133" i="1"/>
  <c r="J1133" i="1"/>
  <c r="H1133" i="1" s="1"/>
  <c r="I1133" i="1"/>
  <c r="AW1132" i="1"/>
  <c r="N1132" i="1"/>
  <c r="M1132" i="1"/>
  <c r="L1132" i="1" a="1"/>
  <c r="L1132" i="1" s="1"/>
  <c r="K1132" i="1"/>
  <c r="J1132" i="1"/>
  <c r="H1132" i="1" s="1"/>
  <c r="I1132" i="1"/>
  <c r="AW1131" i="1"/>
  <c r="N1131" i="1"/>
  <c r="M1131" i="1"/>
  <c r="L1131" i="1" a="1"/>
  <c r="L1131" i="1" s="1"/>
  <c r="K1131" i="1"/>
  <c r="J1131" i="1"/>
  <c r="H1131" i="1" s="1"/>
  <c r="I1131" i="1"/>
  <c r="AW1130" i="1"/>
  <c r="N1130" i="1"/>
  <c r="M1130" i="1"/>
  <c r="L1130" i="1" a="1"/>
  <c r="L1130" i="1" s="1"/>
  <c r="K1130" i="1"/>
  <c r="J1130" i="1"/>
  <c r="H1130" i="1" s="1"/>
  <c r="I1130" i="1"/>
  <c r="AW1129" i="1"/>
  <c r="N1129" i="1"/>
  <c r="M1129" i="1"/>
  <c r="L1129" i="1" a="1"/>
  <c r="L1129" i="1" s="1"/>
  <c r="K1129" i="1"/>
  <c r="J1129" i="1"/>
  <c r="H1129" i="1" s="1"/>
  <c r="I1129" i="1"/>
  <c r="AW1128" i="1"/>
  <c r="N1128" i="1"/>
  <c r="M1128" i="1"/>
  <c r="L1128" i="1" a="1"/>
  <c r="L1128" i="1" s="1"/>
  <c r="K1128" i="1"/>
  <c r="J1128" i="1"/>
  <c r="H1128" i="1" s="1"/>
  <c r="I1128" i="1"/>
  <c r="AW1127" i="1"/>
  <c r="N1127" i="1"/>
  <c r="M1127" i="1"/>
  <c r="L1127" i="1" a="1"/>
  <c r="L1127" i="1" s="1"/>
  <c r="K1127" i="1"/>
  <c r="J1127" i="1"/>
  <c r="H1127" i="1" s="1"/>
  <c r="I1127" i="1"/>
  <c r="AW1126" i="1"/>
  <c r="N1126" i="1"/>
  <c r="M1126" i="1"/>
  <c r="L1126" i="1" a="1"/>
  <c r="L1126" i="1" s="1"/>
  <c r="K1126" i="1"/>
  <c r="J1126" i="1"/>
  <c r="H1126" i="1" s="1"/>
  <c r="I1126" i="1"/>
  <c r="AW1125" i="1"/>
  <c r="N1125" i="1"/>
  <c r="M1125" i="1"/>
  <c r="L1125" i="1" a="1"/>
  <c r="L1125" i="1" s="1"/>
  <c r="K1125" i="1"/>
  <c r="J1125" i="1"/>
  <c r="H1125" i="1" s="1"/>
  <c r="I1125" i="1"/>
  <c r="AW1124" i="1"/>
  <c r="N1124" i="1"/>
  <c r="M1124" i="1"/>
  <c r="L1124" i="1" a="1"/>
  <c r="L1124" i="1" s="1"/>
  <c r="K1124" i="1"/>
  <c r="J1124" i="1"/>
  <c r="H1124" i="1" s="1"/>
  <c r="I1124" i="1"/>
  <c r="AW1123" i="1"/>
  <c r="N1123" i="1"/>
  <c r="M1123" i="1"/>
  <c r="L1123" i="1"/>
  <c r="L1123" i="1" a="1"/>
  <c r="K1123" i="1"/>
  <c r="J1123" i="1"/>
  <c r="I1123" i="1"/>
  <c r="H1123" i="1"/>
  <c r="AW1122" i="1"/>
  <c r="N1122" i="1"/>
  <c r="M1122" i="1"/>
  <c r="L1122" i="1" a="1"/>
  <c r="L1122" i="1" s="1"/>
  <c r="K1122" i="1"/>
  <c r="J1122" i="1"/>
  <c r="I1122" i="1"/>
  <c r="H1122" i="1"/>
  <c r="AW1121" i="1"/>
  <c r="N1121" i="1"/>
  <c r="M1121" i="1"/>
  <c r="L1121" i="1" a="1"/>
  <c r="L1121" i="1" s="1"/>
  <c r="K1121" i="1"/>
  <c r="J1121" i="1"/>
  <c r="H1121" i="1" s="1"/>
  <c r="I1121" i="1"/>
  <c r="AW1120" i="1"/>
  <c r="N1120" i="1"/>
  <c r="M1120" i="1"/>
  <c r="L1120" i="1" a="1"/>
  <c r="L1120" i="1" s="1"/>
  <c r="K1120" i="1"/>
  <c r="J1120" i="1"/>
  <c r="H1120" i="1" s="1"/>
  <c r="I1120" i="1"/>
  <c r="AW1119" i="1"/>
  <c r="N1119" i="1"/>
  <c r="M1119" i="1"/>
  <c r="L1119" i="1" a="1"/>
  <c r="L1119" i="1" s="1"/>
  <c r="K1119" i="1"/>
  <c r="J1119" i="1"/>
  <c r="H1119" i="1" s="1"/>
  <c r="I1119" i="1"/>
  <c r="AW1118" i="1"/>
  <c r="N1118" i="1"/>
  <c r="M1118" i="1"/>
  <c r="L1118" i="1" a="1"/>
  <c r="L1118" i="1" s="1"/>
  <c r="K1118" i="1"/>
  <c r="J1118" i="1"/>
  <c r="I1118" i="1"/>
  <c r="H1118" i="1"/>
  <c r="AW1117" i="1"/>
  <c r="N1117" i="1"/>
  <c r="M1117" i="1"/>
  <c r="L1117" i="1" a="1"/>
  <c r="L1117" i="1" s="1"/>
  <c r="K1117" i="1"/>
  <c r="J1117" i="1"/>
  <c r="H1117" i="1" s="1"/>
  <c r="I1117" i="1"/>
  <c r="AW1116" i="1"/>
  <c r="N1116" i="1"/>
  <c r="M1116" i="1"/>
  <c r="L1116" i="1" a="1"/>
  <c r="L1116" i="1" s="1"/>
  <c r="K1116" i="1"/>
  <c r="J1116" i="1"/>
  <c r="H1116" i="1" s="1"/>
  <c r="I1116" i="1"/>
  <c r="AW1115" i="1"/>
  <c r="N1115" i="1"/>
  <c r="M1115" i="1"/>
  <c r="L1115" i="1" a="1"/>
  <c r="L1115" i="1" s="1"/>
  <c r="K1115" i="1"/>
  <c r="J1115" i="1"/>
  <c r="H1115" i="1" s="1"/>
  <c r="I1115" i="1"/>
  <c r="AW1114" i="1"/>
  <c r="N1114" i="1"/>
  <c r="M1114" i="1"/>
  <c r="L1114" i="1" a="1"/>
  <c r="L1114" i="1" s="1"/>
  <c r="K1114" i="1"/>
  <c r="J1114" i="1"/>
  <c r="H1114" i="1" s="1"/>
  <c r="I1114" i="1"/>
  <c r="AW1113" i="1"/>
  <c r="N1113" i="1"/>
  <c r="M1113" i="1"/>
  <c r="L1113" i="1" a="1"/>
  <c r="L1113" i="1" s="1"/>
  <c r="K1113" i="1"/>
  <c r="J1113" i="1"/>
  <c r="H1113" i="1" s="1"/>
  <c r="I1113" i="1"/>
  <c r="AW1112" i="1"/>
  <c r="N1112" i="1"/>
  <c r="M1112" i="1"/>
  <c r="L1112" i="1" a="1"/>
  <c r="L1112" i="1" s="1"/>
  <c r="K1112" i="1"/>
  <c r="J1112" i="1"/>
  <c r="H1112" i="1" s="1"/>
  <c r="I1112" i="1"/>
  <c r="AW1111" i="1"/>
  <c r="N1111" i="1"/>
  <c r="M1111" i="1"/>
  <c r="L1111" i="1" a="1"/>
  <c r="L1111" i="1" s="1"/>
  <c r="K1111" i="1"/>
  <c r="J1111" i="1"/>
  <c r="H1111" i="1" s="1"/>
  <c r="I1111" i="1"/>
  <c r="AW1110" i="1"/>
  <c r="N1110" i="1"/>
  <c r="M1110" i="1"/>
  <c r="L1110" i="1" a="1"/>
  <c r="L1110" i="1" s="1"/>
  <c r="K1110" i="1"/>
  <c r="J1110" i="1"/>
  <c r="H1110" i="1" s="1"/>
  <c r="I1110" i="1"/>
  <c r="AW1109" i="1"/>
  <c r="N1109" i="1"/>
  <c r="M1109" i="1"/>
  <c r="L1109" i="1" a="1"/>
  <c r="L1109" i="1" s="1"/>
  <c r="K1109" i="1"/>
  <c r="J1109" i="1"/>
  <c r="H1109" i="1" s="1"/>
  <c r="I1109" i="1"/>
  <c r="AW1108" i="1"/>
  <c r="N1108" i="1"/>
  <c r="M1108" i="1"/>
  <c r="L1108" i="1"/>
  <c r="L1108" i="1" a="1"/>
  <c r="K1108" i="1"/>
  <c r="J1108" i="1"/>
  <c r="H1108" i="1" s="1"/>
  <c r="I1108" i="1"/>
  <c r="AW1107" i="1"/>
  <c r="N1107" i="1"/>
  <c r="M1107" i="1"/>
  <c r="L1107" i="1" a="1"/>
  <c r="L1107" i="1" s="1"/>
  <c r="K1107" i="1"/>
  <c r="J1107" i="1"/>
  <c r="H1107" i="1" s="1"/>
  <c r="I1107" i="1"/>
  <c r="AW1106" i="1"/>
  <c r="N1106" i="1"/>
  <c r="M1106" i="1"/>
  <c r="L1106" i="1" a="1"/>
  <c r="L1106" i="1" s="1"/>
  <c r="K1106" i="1"/>
  <c r="J1106" i="1"/>
  <c r="H1106" i="1" s="1"/>
  <c r="I1106" i="1"/>
  <c r="AW1105" i="1"/>
  <c r="N1105" i="1"/>
  <c r="M1105" i="1"/>
  <c r="L1105" i="1" a="1"/>
  <c r="L1105" i="1" s="1"/>
  <c r="K1105" i="1"/>
  <c r="J1105" i="1"/>
  <c r="H1105" i="1" s="1"/>
  <c r="I1105" i="1"/>
  <c r="AW1104" i="1"/>
  <c r="N1104" i="1"/>
  <c r="M1104" i="1"/>
  <c r="L1104" i="1" a="1"/>
  <c r="L1104" i="1" s="1"/>
  <c r="K1104" i="1"/>
  <c r="J1104" i="1"/>
  <c r="H1104" i="1" s="1"/>
  <c r="I1104" i="1"/>
  <c r="AW1103" i="1"/>
  <c r="N1103" i="1"/>
  <c r="M1103" i="1"/>
  <c r="L1103" i="1" a="1"/>
  <c r="L1103" i="1" s="1"/>
  <c r="K1103" i="1"/>
  <c r="J1103" i="1"/>
  <c r="H1103" i="1" s="1"/>
  <c r="I1103" i="1"/>
  <c r="AW1102" i="1"/>
  <c r="N1102" i="1"/>
  <c r="M1102" i="1"/>
  <c r="L1102" i="1" a="1"/>
  <c r="L1102" i="1" s="1"/>
  <c r="K1102" i="1"/>
  <c r="J1102" i="1"/>
  <c r="H1102" i="1" s="1"/>
  <c r="I1102" i="1"/>
  <c r="AW1101" i="1"/>
  <c r="N1101" i="1"/>
  <c r="M1101" i="1"/>
  <c r="L1101" i="1" a="1"/>
  <c r="L1101" i="1" s="1"/>
  <c r="K1101" i="1"/>
  <c r="J1101" i="1"/>
  <c r="H1101" i="1" s="1"/>
  <c r="I1101" i="1"/>
  <c r="AW1100" i="1"/>
  <c r="N1100" i="1"/>
  <c r="M1100" i="1"/>
  <c r="L1100" i="1" a="1"/>
  <c r="L1100" i="1" s="1"/>
  <c r="K1100" i="1"/>
  <c r="J1100" i="1"/>
  <c r="H1100" i="1" s="1"/>
  <c r="I1100" i="1"/>
  <c r="AW1099" i="1"/>
  <c r="N1099" i="1"/>
  <c r="M1099" i="1"/>
  <c r="L1099" i="1" a="1"/>
  <c r="L1099" i="1" s="1"/>
  <c r="K1099" i="1"/>
  <c r="J1099" i="1"/>
  <c r="H1099" i="1" s="1"/>
  <c r="I1099" i="1"/>
  <c r="AW1098" i="1"/>
  <c r="N1098" i="1"/>
  <c r="M1098" i="1"/>
  <c r="L1098" i="1" a="1"/>
  <c r="L1098" i="1" s="1"/>
  <c r="K1098" i="1"/>
  <c r="J1098" i="1"/>
  <c r="H1098" i="1" s="1"/>
  <c r="I1098" i="1"/>
  <c r="AW1097" i="1"/>
  <c r="N1097" i="1"/>
  <c r="M1097" i="1"/>
  <c r="L1097" i="1" a="1"/>
  <c r="L1097" i="1" s="1"/>
  <c r="K1097" i="1"/>
  <c r="J1097" i="1"/>
  <c r="H1097" i="1" s="1"/>
  <c r="I1097" i="1"/>
  <c r="AW1096" i="1"/>
  <c r="N1096" i="1"/>
  <c r="M1096" i="1"/>
  <c r="L1096" i="1" a="1"/>
  <c r="L1096" i="1" s="1"/>
  <c r="K1096" i="1"/>
  <c r="J1096" i="1"/>
  <c r="H1096" i="1" s="1"/>
  <c r="I1096" i="1"/>
  <c r="AW1095" i="1"/>
  <c r="N1095" i="1"/>
  <c r="M1095" i="1"/>
  <c r="L1095" i="1" a="1"/>
  <c r="L1095" i="1" s="1"/>
  <c r="K1095" i="1"/>
  <c r="J1095" i="1"/>
  <c r="H1095" i="1" s="1"/>
  <c r="I1095" i="1"/>
  <c r="AW1094" i="1"/>
  <c r="N1094" i="1"/>
  <c r="M1094" i="1"/>
  <c r="L1094" i="1" a="1"/>
  <c r="L1094" i="1" s="1"/>
  <c r="K1094" i="1"/>
  <c r="J1094" i="1"/>
  <c r="I1094" i="1"/>
  <c r="H1094" i="1"/>
  <c r="AW1093" i="1"/>
  <c r="N1093" i="1"/>
  <c r="M1093" i="1"/>
  <c r="L1093" i="1" a="1"/>
  <c r="L1093" i="1" s="1"/>
  <c r="K1093" i="1"/>
  <c r="J1093" i="1"/>
  <c r="H1093" i="1" s="1"/>
  <c r="I1093" i="1"/>
  <c r="AW1092" i="1"/>
  <c r="N1092" i="1"/>
  <c r="M1092" i="1"/>
  <c r="L1092" i="1" a="1"/>
  <c r="L1092" i="1" s="1"/>
  <c r="K1092" i="1"/>
  <c r="J1092" i="1"/>
  <c r="H1092" i="1" s="1"/>
  <c r="I1092" i="1"/>
  <c r="AW1091" i="1"/>
  <c r="N1091" i="1"/>
  <c r="M1091" i="1"/>
  <c r="L1091" i="1" a="1"/>
  <c r="L1091" i="1" s="1"/>
  <c r="K1091" i="1"/>
  <c r="J1091" i="1"/>
  <c r="H1091" i="1" s="1"/>
  <c r="I1091" i="1"/>
  <c r="AW1090" i="1"/>
  <c r="N1090" i="1"/>
  <c r="M1090" i="1"/>
  <c r="L1090" i="1" a="1"/>
  <c r="L1090" i="1" s="1"/>
  <c r="K1090" i="1"/>
  <c r="J1090" i="1"/>
  <c r="H1090" i="1" s="1"/>
  <c r="I1090" i="1"/>
  <c r="AW1089" i="1"/>
  <c r="N1089" i="1"/>
  <c r="M1089" i="1"/>
  <c r="L1089" i="1" a="1"/>
  <c r="L1089" i="1" s="1"/>
  <c r="K1089" i="1"/>
  <c r="J1089" i="1"/>
  <c r="H1089" i="1" s="1"/>
  <c r="I1089" i="1"/>
  <c r="AW1088" i="1"/>
  <c r="N1088" i="1"/>
  <c r="M1088" i="1"/>
  <c r="L1088" i="1" a="1"/>
  <c r="L1088" i="1" s="1"/>
  <c r="K1088" i="1"/>
  <c r="J1088" i="1"/>
  <c r="H1088" i="1" s="1"/>
  <c r="I1088" i="1"/>
  <c r="AW1087" i="1"/>
  <c r="N1087" i="1"/>
  <c r="M1087" i="1"/>
  <c r="L1087" i="1" a="1"/>
  <c r="L1087" i="1" s="1"/>
  <c r="K1087" i="1"/>
  <c r="J1087" i="1"/>
  <c r="H1087" i="1" s="1"/>
  <c r="I1087" i="1"/>
  <c r="AW1086" i="1"/>
  <c r="N1086" i="1"/>
  <c r="M1086" i="1"/>
  <c r="L1086" i="1" a="1"/>
  <c r="L1086" i="1" s="1"/>
  <c r="K1086" i="1"/>
  <c r="J1086" i="1"/>
  <c r="H1086" i="1" s="1"/>
  <c r="I1086" i="1"/>
  <c r="AW1085" i="1"/>
  <c r="N1085" i="1"/>
  <c r="M1085" i="1"/>
  <c r="L1085" i="1" a="1"/>
  <c r="L1085" i="1" s="1"/>
  <c r="K1085" i="1"/>
  <c r="J1085" i="1"/>
  <c r="H1085" i="1" s="1"/>
  <c r="I1085" i="1"/>
  <c r="AW1084" i="1"/>
  <c r="N1084" i="1"/>
  <c r="M1084" i="1"/>
  <c r="L1084" i="1" a="1"/>
  <c r="L1084" i="1" s="1"/>
  <c r="K1084" i="1"/>
  <c r="J1084" i="1"/>
  <c r="H1084" i="1" s="1"/>
  <c r="I1084" i="1"/>
  <c r="AW1083" i="1"/>
  <c r="N1083" i="1"/>
  <c r="M1083" i="1"/>
  <c r="L1083" i="1" a="1"/>
  <c r="L1083" i="1" s="1"/>
  <c r="K1083" i="1"/>
  <c r="J1083" i="1"/>
  <c r="I1083" i="1"/>
  <c r="H1083" i="1"/>
  <c r="AW1082" i="1"/>
  <c r="N1082" i="1"/>
  <c r="M1082" i="1"/>
  <c r="L1082" i="1" a="1"/>
  <c r="L1082" i="1" s="1"/>
  <c r="K1082" i="1"/>
  <c r="J1082" i="1"/>
  <c r="H1082" i="1" s="1"/>
  <c r="I1082" i="1"/>
  <c r="AW1081" i="1"/>
  <c r="N1081" i="1"/>
  <c r="M1081" i="1"/>
  <c r="L1081" i="1" a="1"/>
  <c r="L1081" i="1" s="1"/>
  <c r="K1081" i="1"/>
  <c r="J1081" i="1"/>
  <c r="H1081" i="1" s="1"/>
  <c r="I1081" i="1"/>
  <c r="AW1080" i="1"/>
  <c r="N1080" i="1"/>
  <c r="M1080" i="1"/>
  <c r="L1080" i="1" a="1"/>
  <c r="L1080" i="1" s="1"/>
  <c r="K1080" i="1"/>
  <c r="J1080" i="1"/>
  <c r="H1080" i="1" s="1"/>
  <c r="I1080" i="1"/>
  <c r="AW1079" i="1"/>
  <c r="N1079" i="1"/>
  <c r="M1079" i="1"/>
  <c r="L1079" i="1" a="1"/>
  <c r="L1079" i="1" s="1"/>
  <c r="K1079" i="1"/>
  <c r="J1079" i="1"/>
  <c r="H1079" i="1" s="1"/>
  <c r="I1079" i="1"/>
  <c r="AW1078" i="1"/>
  <c r="N1078" i="1"/>
  <c r="M1078" i="1"/>
  <c r="L1078" i="1" a="1"/>
  <c r="L1078" i="1" s="1"/>
  <c r="K1078" i="1"/>
  <c r="J1078" i="1"/>
  <c r="H1078" i="1" s="1"/>
  <c r="I1078" i="1"/>
  <c r="AW1077" i="1"/>
  <c r="N1077" i="1"/>
  <c r="M1077" i="1"/>
  <c r="L1077" i="1" a="1"/>
  <c r="L1077" i="1" s="1"/>
  <c r="K1077" i="1"/>
  <c r="J1077" i="1"/>
  <c r="H1077" i="1" s="1"/>
  <c r="I1077" i="1"/>
  <c r="AW1076" i="1"/>
  <c r="N1076" i="1"/>
  <c r="M1076" i="1"/>
  <c r="L1076" i="1" a="1"/>
  <c r="L1076" i="1" s="1"/>
  <c r="K1076" i="1"/>
  <c r="J1076" i="1"/>
  <c r="H1076" i="1" s="1"/>
  <c r="I1076" i="1"/>
  <c r="AW1075" i="1"/>
  <c r="N1075" i="1"/>
  <c r="M1075" i="1"/>
  <c r="L1075" i="1" a="1"/>
  <c r="L1075" i="1" s="1"/>
  <c r="K1075" i="1"/>
  <c r="J1075" i="1"/>
  <c r="H1075" i="1" s="1"/>
  <c r="I1075" i="1"/>
  <c r="AW1074" i="1"/>
  <c r="N1074" i="1"/>
  <c r="M1074" i="1"/>
  <c r="L1074" i="1" a="1"/>
  <c r="L1074" i="1" s="1"/>
  <c r="K1074" i="1"/>
  <c r="J1074" i="1"/>
  <c r="H1074" i="1" s="1"/>
  <c r="I1074" i="1"/>
  <c r="AW1073" i="1"/>
  <c r="N1073" i="1"/>
  <c r="M1073" i="1"/>
  <c r="L1073" i="1" a="1"/>
  <c r="L1073" i="1" s="1"/>
  <c r="K1073" i="1"/>
  <c r="J1073" i="1"/>
  <c r="H1073" i="1" s="1"/>
  <c r="I1073" i="1"/>
  <c r="AW1072" i="1"/>
  <c r="N1072" i="1"/>
  <c r="M1072" i="1"/>
  <c r="L1072" i="1" a="1"/>
  <c r="L1072" i="1" s="1"/>
  <c r="K1072" i="1"/>
  <c r="J1072" i="1"/>
  <c r="H1072" i="1" s="1"/>
  <c r="I1072" i="1"/>
  <c r="AW1071" i="1"/>
  <c r="N1071" i="1"/>
  <c r="M1071" i="1"/>
  <c r="L1071" i="1" a="1"/>
  <c r="L1071" i="1" s="1"/>
  <c r="K1071" i="1"/>
  <c r="J1071" i="1"/>
  <c r="H1071" i="1" s="1"/>
  <c r="I1071" i="1"/>
  <c r="AW1070" i="1"/>
  <c r="N1070" i="1"/>
  <c r="M1070" i="1"/>
  <c r="L1070" i="1" a="1"/>
  <c r="L1070" i="1" s="1"/>
  <c r="K1070" i="1"/>
  <c r="J1070" i="1"/>
  <c r="I1070" i="1"/>
  <c r="H1070" i="1"/>
  <c r="AW1069" i="1"/>
  <c r="N1069" i="1"/>
  <c r="M1069" i="1"/>
  <c r="L1069" i="1" a="1"/>
  <c r="L1069" i="1" s="1"/>
  <c r="K1069" i="1"/>
  <c r="J1069" i="1"/>
  <c r="H1069" i="1" s="1"/>
  <c r="I1069" i="1"/>
  <c r="AW1068" i="1"/>
  <c r="N1068" i="1"/>
  <c r="M1068" i="1"/>
  <c r="L1068" i="1" a="1"/>
  <c r="L1068" i="1" s="1"/>
  <c r="K1068" i="1"/>
  <c r="J1068" i="1"/>
  <c r="H1068" i="1" s="1"/>
  <c r="I1068" i="1"/>
  <c r="AW1067" i="1"/>
  <c r="N1067" i="1"/>
  <c r="M1067" i="1"/>
  <c r="L1067" i="1" a="1"/>
  <c r="L1067" i="1" s="1"/>
  <c r="K1067" i="1"/>
  <c r="J1067" i="1"/>
  <c r="H1067" i="1" s="1"/>
  <c r="I1067" i="1"/>
  <c r="AW1066" i="1"/>
  <c r="N1066" i="1"/>
  <c r="M1066" i="1"/>
  <c r="L1066" i="1" a="1"/>
  <c r="L1066" i="1" s="1"/>
  <c r="K1066" i="1"/>
  <c r="J1066" i="1"/>
  <c r="H1066" i="1" s="1"/>
  <c r="I1066" i="1"/>
  <c r="AW1065" i="1"/>
  <c r="N1065" i="1"/>
  <c r="M1065" i="1"/>
  <c r="L1065" i="1"/>
  <c r="L1065" i="1" a="1"/>
  <c r="K1065" i="1"/>
  <c r="J1065" i="1"/>
  <c r="H1065" i="1" s="1"/>
  <c r="I1065" i="1"/>
  <c r="AW1064" i="1"/>
  <c r="N1064" i="1"/>
  <c r="M1064" i="1"/>
  <c r="L1064" i="1" a="1"/>
  <c r="L1064" i="1" s="1"/>
  <c r="K1064" i="1"/>
  <c r="J1064" i="1"/>
  <c r="H1064" i="1" s="1"/>
  <c r="I1064" i="1"/>
  <c r="AW1063" i="1"/>
  <c r="N1063" i="1"/>
  <c r="M1063" i="1"/>
  <c r="L1063" i="1" a="1"/>
  <c r="L1063" i="1" s="1"/>
  <c r="K1063" i="1"/>
  <c r="J1063" i="1"/>
  <c r="H1063" i="1" s="1"/>
  <c r="I1063" i="1"/>
  <c r="AW1062" i="1"/>
  <c r="N1062" i="1"/>
  <c r="M1062" i="1"/>
  <c r="L1062" i="1" a="1"/>
  <c r="L1062" i="1" s="1"/>
  <c r="K1062" i="1"/>
  <c r="J1062" i="1"/>
  <c r="H1062" i="1" s="1"/>
  <c r="I1062" i="1"/>
  <c r="AW1061" i="1"/>
  <c r="N1061" i="1"/>
  <c r="M1061" i="1"/>
  <c r="L1061" i="1" a="1"/>
  <c r="L1061" i="1" s="1"/>
  <c r="K1061" i="1"/>
  <c r="J1061" i="1"/>
  <c r="I1061" i="1"/>
  <c r="H1061" i="1"/>
  <c r="AW1060" i="1"/>
  <c r="N1060" i="1"/>
  <c r="M1060" i="1"/>
  <c r="L1060" i="1" a="1"/>
  <c r="L1060" i="1" s="1"/>
  <c r="K1060" i="1"/>
  <c r="J1060" i="1"/>
  <c r="H1060" i="1" s="1"/>
  <c r="I1060" i="1"/>
  <c r="AW1059" i="1"/>
  <c r="N1059" i="1"/>
  <c r="M1059" i="1"/>
  <c r="L1059" i="1" a="1"/>
  <c r="L1059" i="1" s="1"/>
  <c r="K1059" i="1"/>
  <c r="J1059" i="1"/>
  <c r="H1059" i="1" s="1"/>
  <c r="I1059" i="1"/>
  <c r="AW1058" i="1"/>
  <c r="N1058" i="1"/>
  <c r="M1058" i="1"/>
  <c r="L1058" i="1" a="1"/>
  <c r="L1058" i="1" s="1"/>
  <c r="K1058" i="1"/>
  <c r="J1058" i="1"/>
  <c r="H1058" i="1" s="1"/>
  <c r="I1058" i="1"/>
  <c r="AW1057" i="1"/>
  <c r="N1057" i="1"/>
  <c r="M1057" i="1"/>
  <c r="L1057" i="1" a="1"/>
  <c r="L1057" i="1" s="1"/>
  <c r="K1057" i="1"/>
  <c r="J1057" i="1"/>
  <c r="I1057" i="1"/>
  <c r="H1057" i="1"/>
  <c r="AW1056" i="1"/>
  <c r="N1056" i="1"/>
  <c r="M1056" i="1"/>
  <c r="L1056" i="1" a="1"/>
  <c r="L1056" i="1" s="1"/>
  <c r="K1056" i="1"/>
  <c r="J1056" i="1"/>
  <c r="H1056" i="1" s="1"/>
  <c r="I1056" i="1"/>
  <c r="AW1055" i="1"/>
  <c r="N1055" i="1"/>
  <c r="M1055" i="1"/>
  <c r="L1055" i="1" a="1"/>
  <c r="L1055" i="1" s="1"/>
  <c r="K1055" i="1"/>
  <c r="J1055" i="1"/>
  <c r="H1055" i="1" s="1"/>
  <c r="I1055" i="1"/>
  <c r="AW1054" i="1"/>
  <c r="N1054" i="1"/>
  <c r="M1054" i="1"/>
  <c r="L1054" i="1" a="1"/>
  <c r="L1054" i="1" s="1"/>
  <c r="K1054" i="1"/>
  <c r="J1054" i="1"/>
  <c r="I1054" i="1"/>
  <c r="H1054" i="1"/>
  <c r="AW1053" i="1"/>
  <c r="N1053" i="1"/>
  <c r="M1053" i="1"/>
  <c r="L1053" i="1" a="1"/>
  <c r="L1053" i="1" s="1"/>
  <c r="K1053" i="1"/>
  <c r="J1053" i="1"/>
  <c r="H1053" i="1" s="1"/>
  <c r="I1053" i="1"/>
  <c r="AW1052" i="1"/>
  <c r="N1052" i="1"/>
  <c r="M1052" i="1"/>
  <c r="L1052" i="1" a="1"/>
  <c r="L1052" i="1" s="1"/>
  <c r="K1052" i="1"/>
  <c r="J1052" i="1"/>
  <c r="H1052" i="1" s="1"/>
  <c r="I1052" i="1"/>
  <c r="AW1051" i="1"/>
  <c r="N1051" i="1"/>
  <c r="M1051" i="1"/>
  <c r="L1051" i="1" a="1"/>
  <c r="L1051" i="1" s="1"/>
  <c r="K1051" i="1"/>
  <c r="J1051" i="1"/>
  <c r="I1051" i="1"/>
  <c r="H1051" i="1"/>
  <c r="AW1050" i="1"/>
  <c r="N1050" i="1"/>
  <c r="M1050" i="1"/>
  <c r="L1050" i="1" a="1"/>
  <c r="L1050" i="1" s="1"/>
  <c r="K1050" i="1"/>
  <c r="J1050" i="1"/>
  <c r="I1050" i="1"/>
  <c r="H1050" i="1"/>
  <c r="AW1049" i="1"/>
  <c r="N1049" i="1"/>
  <c r="M1049" i="1"/>
  <c r="L1049" i="1" a="1"/>
  <c r="L1049" i="1" s="1"/>
  <c r="K1049" i="1"/>
  <c r="J1049" i="1"/>
  <c r="H1049" i="1" s="1"/>
  <c r="I1049" i="1"/>
  <c r="AW1048" i="1"/>
  <c r="N1048" i="1"/>
  <c r="M1048" i="1"/>
  <c r="L1048" i="1" a="1"/>
  <c r="L1048" i="1" s="1"/>
  <c r="K1048" i="1"/>
  <c r="J1048" i="1"/>
  <c r="H1048" i="1" s="1"/>
  <c r="I1048" i="1"/>
  <c r="AW1047" i="1"/>
  <c r="N1047" i="1"/>
  <c r="M1047" i="1"/>
  <c r="L1047" i="1" a="1"/>
  <c r="L1047" i="1" s="1"/>
  <c r="K1047" i="1"/>
  <c r="J1047" i="1"/>
  <c r="H1047" i="1" s="1"/>
  <c r="I1047" i="1"/>
  <c r="AW1046" i="1"/>
  <c r="N1046" i="1"/>
  <c r="M1046" i="1"/>
  <c r="L1046" i="1" a="1"/>
  <c r="L1046" i="1" s="1"/>
  <c r="K1046" i="1"/>
  <c r="J1046" i="1"/>
  <c r="H1046" i="1" s="1"/>
  <c r="I1046" i="1"/>
  <c r="AW1045" i="1"/>
  <c r="N1045" i="1"/>
  <c r="M1045" i="1"/>
  <c r="L1045" i="1" a="1"/>
  <c r="L1045" i="1" s="1"/>
  <c r="K1045" i="1"/>
  <c r="J1045" i="1"/>
  <c r="H1045" i="1" s="1"/>
  <c r="I1045" i="1"/>
  <c r="AW1044" i="1"/>
  <c r="N1044" i="1"/>
  <c r="M1044" i="1"/>
  <c r="L1044" i="1" a="1"/>
  <c r="L1044" i="1" s="1"/>
  <c r="K1044" i="1"/>
  <c r="J1044" i="1"/>
  <c r="H1044" i="1" s="1"/>
  <c r="I1044" i="1"/>
  <c r="AW1043" i="1"/>
  <c r="N1043" i="1"/>
  <c r="M1043" i="1"/>
  <c r="L1043" i="1" a="1"/>
  <c r="L1043" i="1" s="1"/>
  <c r="K1043" i="1"/>
  <c r="J1043" i="1"/>
  <c r="H1043" i="1" s="1"/>
  <c r="I1043" i="1"/>
  <c r="AW1042" i="1"/>
  <c r="N1042" i="1"/>
  <c r="M1042" i="1"/>
  <c r="L1042" i="1" a="1"/>
  <c r="L1042" i="1" s="1"/>
  <c r="K1042" i="1"/>
  <c r="J1042" i="1"/>
  <c r="H1042" i="1" s="1"/>
  <c r="I1042" i="1"/>
  <c r="AW1041" i="1"/>
  <c r="N1041" i="1"/>
  <c r="M1041" i="1"/>
  <c r="L1041" i="1" a="1"/>
  <c r="L1041" i="1" s="1"/>
  <c r="K1041" i="1"/>
  <c r="J1041" i="1"/>
  <c r="H1041" i="1" s="1"/>
  <c r="I1041" i="1"/>
  <c r="AW1040" i="1"/>
  <c r="N1040" i="1"/>
  <c r="M1040" i="1"/>
  <c r="L1040" i="1" a="1"/>
  <c r="L1040" i="1" s="1"/>
  <c r="K1040" i="1"/>
  <c r="J1040" i="1"/>
  <c r="H1040" i="1" s="1"/>
  <c r="I1040" i="1"/>
  <c r="AW1039" i="1"/>
  <c r="N1039" i="1"/>
  <c r="M1039" i="1"/>
  <c r="L1039" i="1" a="1"/>
  <c r="L1039" i="1" s="1"/>
  <c r="K1039" i="1"/>
  <c r="J1039" i="1"/>
  <c r="H1039" i="1" s="1"/>
  <c r="I1039" i="1"/>
  <c r="AW1038" i="1"/>
  <c r="N1038" i="1"/>
  <c r="M1038" i="1"/>
  <c r="L1038" i="1" a="1"/>
  <c r="L1038" i="1" s="1"/>
  <c r="K1038" i="1"/>
  <c r="J1038" i="1"/>
  <c r="H1038" i="1" s="1"/>
  <c r="I1038" i="1"/>
  <c r="AW1037" i="1"/>
  <c r="N1037" i="1"/>
  <c r="M1037" i="1"/>
  <c r="L1037" i="1" a="1"/>
  <c r="L1037" i="1" s="1"/>
  <c r="K1037" i="1"/>
  <c r="J1037" i="1"/>
  <c r="I1037" i="1"/>
  <c r="H1037" i="1"/>
  <c r="AW1036" i="1"/>
  <c r="N1036" i="1"/>
  <c r="M1036" i="1"/>
  <c r="L1036" i="1" a="1"/>
  <c r="L1036" i="1" s="1"/>
  <c r="K1036" i="1"/>
  <c r="J1036" i="1"/>
  <c r="H1036" i="1" s="1"/>
  <c r="I1036" i="1"/>
  <c r="AW1035" i="1"/>
  <c r="N1035" i="1"/>
  <c r="M1035" i="1"/>
  <c r="L1035" i="1" a="1"/>
  <c r="L1035" i="1" s="1"/>
  <c r="K1035" i="1"/>
  <c r="J1035" i="1"/>
  <c r="I1035" i="1"/>
  <c r="H1035" i="1"/>
  <c r="AW1034" i="1"/>
  <c r="N1034" i="1"/>
  <c r="M1034" i="1"/>
  <c r="L1034" i="1" a="1"/>
  <c r="L1034" i="1" s="1"/>
  <c r="K1034" i="1"/>
  <c r="J1034" i="1"/>
  <c r="H1034" i="1" s="1"/>
  <c r="I1034" i="1"/>
  <c r="AW1033" i="1"/>
  <c r="N1033" i="1"/>
  <c r="M1033" i="1"/>
  <c r="L1033" i="1" a="1"/>
  <c r="L1033" i="1" s="1"/>
  <c r="K1033" i="1"/>
  <c r="J1033" i="1"/>
  <c r="H1033" i="1" s="1"/>
  <c r="I1033" i="1"/>
  <c r="AW1032" i="1"/>
  <c r="N1032" i="1"/>
  <c r="M1032" i="1"/>
  <c r="L1032" i="1" a="1"/>
  <c r="L1032" i="1" s="1"/>
  <c r="K1032" i="1"/>
  <c r="J1032" i="1"/>
  <c r="H1032" i="1" s="1"/>
  <c r="I1032" i="1"/>
  <c r="AW1031" i="1"/>
  <c r="N1031" i="1"/>
  <c r="M1031" i="1"/>
  <c r="L1031" i="1" a="1"/>
  <c r="L1031" i="1" s="1"/>
  <c r="K1031" i="1"/>
  <c r="J1031" i="1"/>
  <c r="H1031" i="1" s="1"/>
  <c r="I1031" i="1"/>
  <c r="AW1030" i="1"/>
  <c r="N1030" i="1"/>
  <c r="M1030" i="1"/>
  <c r="L1030" i="1" a="1"/>
  <c r="L1030" i="1" s="1"/>
  <c r="K1030" i="1"/>
  <c r="J1030" i="1"/>
  <c r="H1030" i="1" s="1"/>
  <c r="I1030" i="1"/>
  <c r="AW1029" i="1"/>
  <c r="N1029" i="1"/>
  <c r="M1029" i="1"/>
  <c r="L1029" i="1" a="1"/>
  <c r="L1029" i="1" s="1"/>
  <c r="K1029" i="1"/>
  <c r="J1029" i="1"/>
  <c r="H1029" i="1" s="1"/>
  <c r="I1029" i="1"/>
  <c r="AW1028" i="1"/>
  <c r="N1028" i="1"/>
  <c r="M1028" i="1"/>
  <c r="L1028" i="1" a="1"/>
  <c r="L1028" i="1" s="1"/>
  <c r="K1028" i="1"/>
  <c r="J1028" i="1"/>
  <c r="H1028" i="1" s="1"/>
  <c r="I1028" i="1"/>
  <c r="AW1027" i="1"/>
  <c r="N1027" i="1"/>
  <c r="M1027" i="1"/>
  <c r="L1027" i="1" a="1"/>
  <c r="L1027" i="1" s="1"/>
  <c r="K1027" i="1"/>
  <c r="J1027" i="1"/>
  <c r="H1027" i="1" s="1"/>
  <c r="I1027" i="1"/>
  <c r="AW1026" i="1"/>
  <c r="N1026" i="1"/>
  <c r="M1026" i="1"/>
  <c r="L1026" i="1" a="1"/>
  <c r="L1026" i="1" s="1"/>
  <c r="K1026" i="1"/>
  <c r="J1026" i="1"/>
  <c r="I1026" i="1"/>
  <c r="H1026" i="1"/>
  <c r="AW1025" i="1"/>
  <c r="N1025" i="1"/>
  <c r="M1025" i="1"/>
  <c r="L1025" i="1" a="1"/>
  <c r="L1025" i="1" s="1"/>
  <c r="K1025" i="1"/>
  <c r="J1025" i="1"/>
  <c r="H1025" i="1" s="1"/>
  <c r="I1025" i="1"/>
  <c r="AW1024" i="1"/>
  <c r="N1024" i="1"/>
  <c r="M1024" i="1"/>
  <c r="L1024" i="1" a="1"/>
  <c r="L1024" i="1" s="1"/>
  <c r="K1024" i="1"/>
  <c r="J1024" i="1"/>
  <c r="H1024" i="1" s="1"/>
  <c r="I1024" i="1"/>
  <c r="AW1023" i="1"/>
  <c r="N1023" i="1"/>
  <c r="M1023" i="1"/>
  <c r="L1023" i="1" a="1"/>
  <c r="L1023" i="1" s="1"/>
  <c r="K1023" i="1"/>
  <c r="J1023" i="1"/>
  <c r="H1023" i="1" s="1"/>
  <c r="I1023" i="1"/>
  <c r="AW1022" i="1"/>
  <c r="N1022" i="1"/>
  <c r="M1022" i="1"/>
  <c r="L1022" i="1" a="1"/>
  <c r="L1022" i="1" s="1"/>
  <c r="K1022" i="1"/>
  <c r="J1022" i="1"/>
  <c r="H1022" i="1" s="1"/>
  <c r="I1022" i="1"/>
  <c r="AW1021" i="1"/>
  <c r="N1021" i="1"/>
  <c r="M1021" i="1"/>
  <c r="L1021" i="1" a="1"/>
  <c r="L1021" i="1" s="1"/>
  <c r="K1021" i="1"/>
  <c r="J1021" i="1"/>
  <c r="H1021" i="1" s="1"/>
  <c r="I1021" i="1"/>
  <c r="AW1020" i="1"/>
  <c r="N1020" i="1"/>
  <c r="M1020" i="1"/>
  <c r="L1020" i="1" a="1"/>
  <c r="L1020" i="1" s="1"/>
  <c r="K1020" i="1"/>
  <c r="J1020" i="1"/>
  <c r="H1020" i="1" s="1"/>
  <c r="I1020" i="1"/>
  <c r="AW1019" i="1"/>
  <c r="N1019" i="1"/>
  <c r="M1019" i="1"/>
  <c r="L1019" i="1" a="1"/>
  <c r="L1019" i="1" s="1"/>
  <c r="K1019" i="1"/>
  <c r="J1019" i="1"/>
  <c r="H1019" i="1" s="1"/>
  <c r="I1019" i="1"/>
  <c r="AW1018" i="1"/>
  <c r="N1018" i="1"/>
  <c r="M1018" i="1"/>
  <c r="L1018" i="1" a="1"/>
  <c r="L1018" i="1" s="1"/>
  <c r="K1018" i="1"/>
  <c r="J1018" i="1"/>
  <c r="H1018" i="1" s="1"/>
  <c r="I1018" i="1"/>
  <c r="AW1017" i="1"/>
  <c r="N1017" i="1"/>
  <c r="M1017" i="1"/>
  <c r="L1017" i="1" a="1"/>
  <c r="L1017" i="1" s="1"/>
  <c r="K1017" i="1"/>
  <c r="J1017" i="1"/>
  <c r="I1017" i="1"/>
  <c r="H1017" i="1"/>
  <c r="AW1016" i="1"/>
  <c r="N1016" i="1"/>
  <c r="M1016" i="1"/>
  <c r="L1016" i="1" a="1"/>
  <c r="L1016" i="1" s="1"/>
  <c r="K1016" i="1"/>
  <c r="J1016" i="1"/>
  <c r="H1016" i="1" s="1"/>
  <c r="I1016" i="1"/>
  <c r="AW1015" i="1"/>
  <c r="N1015" i="1"/>
  <c r="M1015" i="1"/>
  <c r="L1015" i="1" a="1"/>
  <c r="L1015" i="1" s="1"/>
  <c r="K1015" i="1"/>
  <c r="J1015" i="1"/>
  <c r="H1015" i="1" s="1"/>
  <c r="I1015" i="1"/>
  <c r="AW1014" i="1"/>
  <c r="N1014" i="1"/>
  <c r="M1014" i="1"/>
  <c r="L1014" i="1" a="1"/>
  <c r="L1014" i="1" s="1"/>
  <c r="K1014" i="1"/>
  <c r="J1014" i="1"/>
  <c r="H1014" i="1" s="1"/>
  <c r="I1014" i="1"/>
  <c r="AW1013" i="1"/>
  <c r="N1013" i="1"/>
  <c r="M1013" i="1"/>
  <c r="L1013" i="1" a="1"/>
  <c r="L1013" i="1" s="1"/>
  <c r="K1013" i="1"/>
  <c r="J1013" i="1"/>
  <c r="H1013" i="1" s="1"/>
  <c r="I1013" i="1"/>
  <c r="AW1012" i="1"/>
  <c r="N1012" i="1"/>
  <c r="M1012" i="1"/>
  <c r="L1012" i="1" a="1"/>
  <c r="L1012" i="1" s="1"/>
  <c r="K1012" i="1"/>
  <c r="J1012" i="1"/>
  <c r="H1012" i="1" s="1"/>
  <c r="I1012" i="1"/>
  <c r="AW1011" i="1"/>
  <c r="N1011" i="1"/>
  <c r="M1011" i="1"/>
  <c r="L1011" i="1" a="1"/>
  <c r="L1011" i="1" s="1"/>
  <c r="K1011" i="1"/>
  <c r="J1011" i="1"/>
  <c r="H1011" i="1" s="1"/>
  <c r="I1011" i="1"/>
  <c r="AW1010" i="1"/>
  <c r="N1010" i="1"/>
  <c r="M1010" i="1"/>
  <c r="L1010" i="1" a="1"/>
  <c r="L1010" i="1" s="1"/>
  <c r="K1010" i="1"/>
  <c r="J1010" i="1"/>
  <c r="H1010" i="1" s="1"/>
  <c r="I1010" i="1"/>
  <c r="AW1009" i="1"/>
  <c r="N1009" i="1"/>
  <c r="M1009" i="1"/>
  <c r="L1009" i="1" a="1"/>
  <c r="L1009" i="1" s="1"/>
  <c r="K1009" i="1"/>
  <c r="J1009" i="1"/>
  <c r="I1009" i="1"/>
  <c r="H1009" i="1"/>
  <c r="AW1008" i="1"/>
  <c r="N1008" i="1"/>
  <c r="M1008" i="1"/>
  <c r="L1008" i="1" a="1"/>
  <c r="L1008" i="1" s="1"/>
  <c r="K1008" i="1"/>
  <c r="J1008" i="1"/>
  <c r="H1008" i="1" s="1"/>
  <c r="I1008" i="1"/>
  <c r="C1008" i="1"/>
  <c r="AW1007" i="1"/>
  <c r="N1007" i="1"/>
  <c r="M1007" i="1"/>
  <c r="L1007" i="1" a="1"/>
  <c r="L1007" i="1" s="1"/>
  <c r="K1007" i="1"/>
  <c r="J1007" i="1"/>
  <c r="I1007" i="1"/>
  <c r="H1007" i="1"/>
  <c r="C1007" i="1"/>
  <c r="AW1006" i="1"/>
  <c r="N1006" i="1"/>
  <c r="M1006" i="1"/>
  <c r="L1006" i="1" a="1"/>
  <c r="L1006" i="1" s="1"/>
  <c r="K1006" i="1"/>
  <c r="J1006" i="1"/>
  <c r="H1006" i="1" s="1"/>
  <c r="I1006" i="1"/>
  <c r="C1006" i="1"/>
  <c r="AW1005" i="1"/>
  <c r="N1005" i="1"/>
  <c r="M1005" i="1"/>
  <c r="L1005" i="1" a="1"/>
  <c r="L1005" i="1" s="1"/>
  <c r="K1005" i="1"/>
  <c r="J1005" i="1"/>
  <c r="H1005" i="1" s="1"/>
  <c r="I1005" i="1"/>
  <c r="C1005" i="1"/>
  <c r="AW1004" i="1"/>
  <c r="M1004" i="1"/>
  <c r="L1004" i="1" a="1"/>
  <c r="L1004" i="1" s="1"/>
  <c r="K1004" i="1"/>
  <c r="J1004" i="1"/>
  <c r="H1004" i="1" s="1"/>
  <c r="I1004" i="1"/>
  <c r="C1004" i="1"/>
  <c r="AW1003" i="1"/>
  <c r="N1003" i="1"/>
  <c r="M1003" i="1"/>
  <c r="L1003" i="1"/>
  <c r="L1003" i="1" a="1"/>
  <c r="K1003" i="1"/>
  <c r="J1003" i="1"/>
  <c r="H1003" i="1" s="1"/>
  <c r="I1003" i="1"/>
  <c r="C1003" i="1"/>
  <c r="AW1002" i="1"/>
  <c r="N1002" i="1"/>
  <c r="M1002" i="1"/>
  <c r="L1002" i="1" a="1"/>
  <c r="L1002" i="1" s="1"/>
  <c r="K1002" i="1"/>
  <c r="J1002" i="1"/>
  <c r="I1002" i="1"/>
  <c r="H1002" i="1"/>
  <c r="C1002" i="1"/>
  <c r="AW1001" i="1"/>
  <c r="N1001" i="1"/>
  <c r="M1001" i="1"/>
  <c r="L1001" i="1" a="1"/>
  <c r="L1001" i="1" s="1"/>
  <c r="K1001" i="1"/>
  <c r="J1001" i="1"/>
  <c r="H1001" i="1" s="1"/>
  <c r="I1001" i="1"/>
  <c r="C1001" i="1"/>
  <c r="AW1000" i="1"/>
  <c r="N1000" i="1"/>
  <c r="M1000" i="1"/>
  <c r="L1000" i="1" a="1"/>
  <c r="L1000" i="1" s="1"/>
  <c r="K1000" i="1"/>
  <c r="J1000" i="1"/>
  <c r="I1000" i="1"/>
  <c r="H1000" i="1"/>
  <c r="C1000" i="1"/>
  <c r="AW999" i="1"/>
  <c r="N999" i="1"/>
  <c r="M999" i="1"/>
  <c r="L999" i="1" a="1"/>
  <c r="L999" i="1" s="1"/>
  <c r="K999" i="1"/>
  <c r="J999" i="1"/>
  <c r="H999" i="1" s="1"/>
  <c r="I999" i="1"/>
  <c r="C999" i="1"/>
  <c r="AW998" i="1"/>
  <c r="N998" i="1"/>
  <c r="M998" i="1"/>
  <c r="L998" i="1" a="1"/>
  <c r="L998" i="1" s="1"/>
  <c r="K998" i="1"/>
  <c r="J998" i="1"/>
  <c r="H998" i="1" s="1"/>
  <c r="I998" i="1"/>
  <c r="C998" i="1"/>
  <c r="AW997" i="1"/>
  <c r="N997" i="1"/>
  <c r="M997" i="1"/>
  <c r="L997" i="1" a="1"/>
  <c r="L997" i="1" s="1"/>
  <c r="K997" i="1"/>
  <c r="J997" i="1"/>
  <c r="H997" i="1" s="1"/>
  <c r="I997" i="1"/>
  <c r="C997" i="1"/>
  <c r="AW996" i="1"/>
  <c r="N996" i="1"/>
  <c r="M996" i="1"/>
  <c r="L996" i="1" a="1"/>
  <c r="L996" i="1" s="1"/>
  <c r="K996" i="1"/>
  <c r="J996" i="1"/>
  <c r="H996" i="1" s="1"/>
  <c r="I996" i="1"/>
  <c r="C996" i="1"/>
  <c r="AW995" i="1"/>
  <c r="N995" i="1"/>
  <c r="M995" i="1"/>
  <c r="L995" i="1" a="1"/>
  <c r="L995" i="1" s="1"/>
  <c r="K995" i="1"/>
  <c r="J995" i="1"/>
  <c r="H995" i="1" s="1"/>
  <c r="I995" i="1"/>
  <c r="C995" i="1"/>
  <c r="AW994" i="1"/>
  <c r="N994" i="1"/>
  <c r="M994" i="1"/>
  <c r="L994" i="1" a="1"/>
  <c r="L994" i="1" s="1"/>
  <c r="K994" i="1"/>
  <c r="J994" i="1"/>
  <c r="H994" i="1" s="1"/>
  <c r="I994" i="1"/>
  <c r="C994" i="1"/>
  <c r="AW993" i="1"/>
  <c r="N993" i="1"/>
  <c r="M993" i="1"/>
  <c r="L993" i="1" a="1"/>
  <c r="L993" i="1" s="1"/>
  <c r="K993" i="1"/>
  <c r="J993" i="1"/>
  <c r="H993" i="1" s="1"/>
  <c r="I993" i="1"/>
  <c r="C993" i="1"/>
  <c r="AW992" i="1"/>
  <c r="X992" i="1" s="1"/>
  <c r="N992" i="1"/>
  <c r="M992" i="1"/>
  <c r="L992" i="1" a="1"/>
  <c r="L992" i="1" s="1"/>
  <c r="K992" i="1"/>
  <c r="J992" i="1"/>
  <c r="H992" i="1" s="1"/>
  <c r="I992" i="1"/>
  <c r="AW991" i="1"/>
  <c r="X991" i="1"/>
  <c r="N991" i="1"/>
  <c r="M991" i="1"/>
  <c r="L991" i="1" a="1"/>
  <c r="L991" i="1" s="1"/>
  <c r="K991" i="1"/>
  <c r="J991" i="1"/>
  <c r="H991" i="1" s="1"/>
  <c r="I991" i="1"/>
  <c r="AW990" i="1"/>
  <c r="X990" i="1"/>
  <c r="N990" i="1"/>
  <c r="M990" i="1"/>
  <c r="L990" i="1" a="1"/>
  <c r="L990" i="1" s="1"/>
  <c r="K990" i="1"/>
  <c r="J990" i="1"/>
  <c r="H990" i="1" s="1"/>
  <c r="I990" i="1"/>
  <c r="AW989" i="1"/>
  <c r="X989" i="1"/>
  <c r="N989" i="1"/>
  <c r="M989" i="1"/>
  <c r="L989" i="1" a="1"/>
  <c r="L989" i="1" s="1"/>
  <c r="K989" i="1"/>
  <c r="J989" i="1"/>
  <c r="H989" i="1" s="1"/>
  <c r="I989" i="1"/>
  <c r="AW988" i="1"/>
  <c r="X988" i="1"/>
  <c r="N988" i="1"/>
  <c r="M988" i="1"/>
  <c r="L988" i="1" a="1"/>
  <c r="L988" i="1" s="1"/>
  <c r="K988" i="1"/>
  <c r="J988" i="1"/>
  <c r="H988" i="1" s="1"/>
  <c r="I988" i="1"/>
  <c r="AW987" i="1"/>
  <c r="X987" i="1" s="1"/>
  <c r="N987" i="1"/>
  <c r="M987" i="1"/>
  <c r="L987" i="1" a="1"/>
  <c r="L987" i="1" s="1"/>
  <c r="K987" i="1"/>
  <c r="J987" i="1"/>
  <c r="I987" i="1"/>
  <c r="H987" i="1"/>
  <c r="AW986" i="1"/>
  <c r="X986" i="1" s="1"/>
  <c r="N986" i="1"/>
  <c r="M986" i="1"/>
  <c r="L986" i="1" a="1"/>
  <c r="L986" i="1" s="1"/>
  <c r="K986" i="1"/>
  <c r="J986" i="1"/>
  <c r="H986" i="1" s="1"/>
  <c r="I986" i="1"/>
  <c r="AW985" i="1"/>
  <c r="X985" i="1"/>
  <c r="N985" i="1"/>
  <c r="M985" i="1"/>
  <c r="L985" i="1" a="1"/>
  <c r="L985" i="1" s="1"/>
  <c r="K985" i="1"/>
  <c r="J985" i="1"/>
  <c r="H985" i="1" s="1"/>
  <c r="I985" i="1"/>
  <c r="AW984" i="1"/>
  <c r="X984" i="1"/>
  <c r="N984" i="1"/>
  <c r="M984" i="1"/>
  <c r="L984" i="1" a="1"/>
  <c r="L984" i="1" s="1"/>
  <c r="K984" i="1"/>
  <c r="J984" i="1"/>
  <c r="H984" i="1" s="1"/>
  <c r="I984" i="1"/>
  <c r="AW983" i="1"/>
  <c r="X983" i="1"/>
  <c r="N983" i="1"/>
  <c r="M983" i="1"/>
  <c r="L983" i="1"/>
  <c r="L983" i="1" a="1"/>
  <c r="K983" i="1"/>
  <c r="J983" i="1"/>
  <c r="H983" i="1" s="1"/>
  <c r="I983" i="1"/>
  <c r="AW982" i="1"/>
  <c r="X982" i="1"/>
  <c r="N982" i="1"/>
  <c r="M982" i="1"/>
  <c r="L982" i="1" a="1"/>
  <c r="L982" i="1" s="1"/>
  <c r="K982" i="1"/>
  <c r="J982" i="1"/>
  <c r="H982" i="1" s="1"/>
  <c r="I982" i="1"/>
  <c r="AW981" i="1"/>
  <c r="X981" i="1"/>
  <c r="N981" i="1"/>
  <c r="M981" i="1"/>
  <c r="L981" i="1" a="1"/>
  <c r="L981" i="1" s="1"/>
  <c r="K981" i="1"/>
  <c r="J981" i="1"/>
  <c r="H981" i="1" s="1"/>
  <c r="I981" i="1"/>
  <c r="AW980" i="1"/>
  <c r="X980" i="1"/>
  <c r="N980" i="1"/>
  <c r="M980" i="1"/>
  <c r="L980" i="1" a="1"/>
  <c r="L980" i="1" s="1"/>
  <c r="K980" i="1"/>
  <c r="J980" i="1"/>
  <c r="H980" i="1" s="1"/>
  <c r="I980" i="1"/>
  <c r="AW979" i="1"/>
  <c r="X979" i="1" s="1"/>
  <c r="Y979" i="1" s="1"/>
  <c r="W979" i="1"/>
  <c r="N979" i="1"/>
  <c r="M979" i="1"/>
  <c r="L979" i="1" a="1"/>
  <c r="L979" i="1" s="1"/>
  <c r="K979" i="1"/>
  <c r="J979" i="1"/>
  <c r="H979" i="1" s="1"/>
  <c r="I979" i="1"/>
  <c r="AW978" i="1"/>
  <c r="X978" i="1"/>
  <c r="Y978" i="1" s="1"/>
  <c r="W978" i="1"/>
  <c r="N978" i="1"/>
  <c r="M978" i="1"/>
  <c r="L978" i="1" a="1"/>
  <c r="L978" i="1" s="1"/>
  <c r="K978" i="1"/>
  <c r="J978" i="1"/>
  <c r="H978" i="1" s="1"/>
  <c r="I978" i="1"/>
  <c r="AW977" i="1"/>
  <c r="X977" i="1" s="1"/>
  <c r="Y977" i="1" s="1"/>
  <c r="W977" i="1"/>
  <c r="N977" i="1"/>
  <c r="M977" i="1"/>
  <c r="L977" i="1" a="1"/>
  <c r="L977" i="1" s="1"/>
  <c r="K977" i="1"/>
  <c r="J977" i="1"/>
  <c r="H977" i="1" s="1"/>
  <c r="I977" i="1"/>
  <c r="AW976" i="1"/>
  <c r="X976" i="1"/>
  <c r="Y976" i="1" s="1"/>
  <c r="W976" i="1"/>
  <c r="N976" i="1"/>
  <c r="M976" i="1"/>
  <c r="L976" i="1" a="1"/>
  <c r="L976" i="1" s="1"/>
  <c r="K976" i="1"/>
  <c r="J976" i="1"/>
  <c r="I976" i="1"/>
  <c r="H976" i="1"/>
  <c r="AW975" i="1"/>
  <c r="X975" i="1"/>
  <c r="Y975" i="1" s="1"/>
  <c r="W975" i="1"/>
  <c r="N975" i="1"/>
  <c r="M975" i="1"/>
  <c r="L975" i="1" a="1"/>
  <c r="L975" i="1" s="1"/>
  <c r="K975" i="1"/>
  <c r="J975" i="1"/>
  <c r="H975" i="1" s="1"/>
  <c r="I975" i="1"/>
  <c r="AW974" i="1"/>
  <c r="X974" i="1"/>
  <c r="Y974" i="1" s="1"/>
  <c r="W974" i="1"/>
  <c r="N974" i="1"/>
  <c r="M974" i="1"/>
  <c r="L974" i="1" a="1"/>
  <c r="L974" i="1" s="1"/>
  <c r="K974" i="1"/>
  <c r="J974" i="1"/>
  <c r="H974" i="1" s="1"/>
  <c r="I974" i="1"/>
  <c r="AW973" i="1"/>
  <c r="X973" i="1"/>
  <c r="Y973" i="1" s="1"/>
  <c r="W973" i="1"/>
  <c r="N973" i="1"/>
  <c r="M973" i="1"/>
  <c r="L973" i="1" a="1"/>
  <c r="L973" i="1" s="1"/>
  <c r="K973" i="1"/>
  <c r="J973" i="1"/>
  <c r="H973" i="1" s="1"/>
  <c r="I973" i="1"/>
  <c r="AW972" i="1"/>
  <c r="X972" i="1" s="1"/>
  <c r="Y972" i="1" s="1"/>
  <c r="W972" i="1"/>
  <c r="N972" i="1"/>
  <c r="M972" i="1"/>
  <c r="L972" i="1" a="1"/>
  <c r="L972" i="1" s="1"/>
  <c r="K972" i="1"/>
  <c r="J972" i="1"/>
  <c r="H972" i="1" s="1"/>
  <c r="I972" i="1"/>
  <c r="AW971" i="1"/>
  <c r="X971" i="1"/>
  <c r="Y971" i="1" s="1"/>
  <c r="W971" i="1"/>
  <c r="N971" i="1"/>
  <c r="M971" i="1"/>
  <c r="L971" i="1" a="1"/>
  <c r="L971" i="1" s="1"/>
  <c r="K971" i="1"/>
  <c r="J971" i="1"/>
  <c r="H971" i="1" s="1"/>
  <c r="I971" i="1"/>
  <c r="AW970" i="1"/>
  <c r="X970" i="1"/>
  <c r="Y970" i="1" s="1"/>
  <c r="W970" i="1"/>
  <c r="N970" i="1"/>
  <c r="M970" i="1"/>
  <c r="L970" i="1" a="1"/>
  <c r="L970" i="1" s="1"/>
  <c r="K970" i="1"/>
  <c r="J970" i="1"/>
  <c r="H970" i="1" s="1"/>
  <c r="I970" i="1"/>
  <c r="AW969" i="1"/>
  <c r="X969" i="1"/>
  <c r="Y969" i="1" s="1"/>
  <c r="W969" i="1"/>
  <c r="N969" i="1"/>
  <c r="M969" i="1"/>
  <c r="L969" i="1" a="1"/>
  <c r="L969" i="1" s="1"/>
  <c r="K969" i="1"/>
  <c r="J969" i="1"/>
  <c r="H969" i="1" s="1"/>
  <c r="I969" i="1"/>
  <c r="AW968" i="1"/>
  <c r="X968" i="1"/>
  <c r="Y968" i="1" s="1"/>
  <c r="W968" i="1"/>
  <c r="N968" i="1"/>
  <c r="M968" i="1"/>
  <c r="L968" i="1" a="1"/>
  <c r="L968" i="1" s="1"/>
  <c r="K968" i="1"/>
  <c r="J968" i="1"/>
  <c r="H968" i="1" s="1"/>
  <c r="I968" i="1"/>
  <c r="AW967" i="1"/>
  <c r="X967" i="1" s="1"/>
  <c r="Y967" i="1" s="1"/>
  <c r="W967" i="1"/>
  <c r="N967" i="1"/>
  <c r="M967" i="1"/>
  <c r="L967" i="1" a="1"/>
  <c r="L967" i="1" s="1"/>
  <c r="K967" i="1"/>
  <c r="J967" i="1"/>
  <c r="H967" i="1" s="1"/>
  <c r="I967" i="1"/>
  <c r="AW966" i="1"/>
  <c r="X966" i="1"/>
  <c r="Y966" i="1" s="1"/>
  <c r="W966" i="1"/>
  <c r="N966" i="1"/>
  <c r="M966" i="1"/>
  <c r="L966" i="1" a="1"/>
  <c r="L966" i="1" s="1"/>
  <c r="K966" i="1"/>
  <c r="J966" i="1"/>
  <c r="H966" i="1" s="1"/>
  <c r="I966" i="1"/>
  <c r="AW965" i="1"/>
  <c r="X965" i="1"/>
  <c r="Y965" i="1" s="1"/>
  <c r="W965" i="1"/>
  <c r="N965" i="1"/>
  <c r="M965" i="1"/>
  <c r="L965" i="1" a="1"/>
  <c r="L965" i="1" s="1"/>
  <c r="K965" i="1"/>
  <c r="J965" i="1"/>
  <c r="H965" i="1" s="1"/>
  <c r="I965" i="1"/>
  <c r="AW964" i="1"/>
  <c r="X964" i="1" s="1"/>
  <c r="Y964" i="1" s="1"/>
  <c r="W964" i="1"/>
  <c r="N964" i="1"/>
  <c r="M964" i="1"/>
  <c r="L964" i="1" a="1"/>
  <c r="L964" i="1" s="1"/>
  <c r="K964" i="1"/>
  <c r="J964" i="1"/>
  <c r="H964" i="1" s="1"/>
  <c r="I964" i="1"/>
  <c r="AW963" i="1"/>
  <c r="X963" i="1"/>
  <c r="Y963" i="1" s="1"/>
  <c r="W963" i="1"/>
  <c r="N963" i="1"/>
  <c r="M963" i="1"/>
  <c r="L963" i="1" a="1"/>
  <c r="L963" i="1" s="1"/>
  <c r="K963" i="1"/>
  <c r="J963" i="1"/>
  <c r="H963" i="1" s="1"/>
  <c r="I963" i="1"/>
  <c r="AW962" i="1"/>
  <c r="X962" i="1" s="1"/>
  <c r="Y962" i="1" s="1"/>
  <c r="W962" i="1"/>
  <c r="N962" i="1"/>
  <c r="M962" i="1"/>
  <c r="L962" i="1" a="1"/>
  <c r="L962" i="1" s="1"/>
  <c r="K962" i="1"/>
  <c r="J962" i="1"/>
  <c r="H962" i="1" s="1"/>
  <c r="I962" i="1"/>
  <c r="AW961" i="1"/>
  <c r="X961" i="1"/>
  <c r="Y961" i="1" s="1"/>
  <c r="W961" i="1"/>
  <c r="N961" i="1"/>
  <c r="M961" i="1"/>
  <c r="L961" i="1" a="1"/>
  <c r="L961" i="1" s="1"/>
  <c r="K961" i="1"/>
  <c r="J961" i="1"/>
  <c r="H961" i="1" s="1"/>
  <c r="I961" i="1"/>
  <c r="AW960" i="1"/>
  <c r="X960" i="1"/>
  <c r="Y960" i="1" s="1"/>
  <c r="W960" i="1"/>
  <c r="N960" i="1"/>
  <c r="M960" i="1"/>
  <c r="L960" i="1" a="1"/>
  <c r="L960" i="1" s="1"/>
  <c r="K960" i="1"/>
  <c r="J960" i="1"/>
  <c r="H960" i="1" s="1"/>
  <c r="I960" i="1"/>
  <c r="AW959" i="1"/>
  <c r="X959" i="1" s="1"/>
  <c r="Y959" i="1" s="1"/>
  <c r="W959" i="1"/>
  <c r="N959" i="1"/>
  <c r="M959" i="1"/>
  <c r="L959" i="1" a="1"/>
  <c r="L959" i="1" s="1"/>
  <c r="K959" i="1"/>
  <c r="J959" i="1"/>
  <c r="H959" i="1" s="1"/>
  <c r="I959" i="1"/>
  <c r="AW958" i="1"/>
  <c r="X958" i="1"/>
  <c r="Y958" i="1" s="1"/>
  <c r="W958" i="1"/>
  <c r="N958" i="1"/>
  <c r="M958" i="1"/>
  <c r="L958" i="1" a="1"/>
  <c r="L958" i="1" s="1"/>
  <c r="K958" i="1"/>
  <c r="J958" i="1"/>
  <c r="I958" i="1"/>
  <c r="H958" i="1"/>
  <c r="AW957" i="1"/>
  <c r="X957" i="1"/>
  <c r="Y957" i="1" s="1"/>
  <c r="W957" i="1"/>
  <c r="N957" i="1"/>
  <c r="M957" i="1"/>
  <c r="L957" i="1" a="1"/>
  <c r="L957" i="1" s="1"/>
  <c r="K957" i="1"/>
  <c r="J957" i="1"/>
  <c r="H957" i="1" s="1"/>
  <c r="I957" i="1"/>
  <c r="AW956" i="1"/>
  <c r="X956" i="1"/>
  <c r="Y956" i="1" s="1"/>
  <c r="W956" i="1"/>
  <c r="N956" i="1"/>
  <c r="M956" i="1"/>
  <c r="L956" i="1" a="1"/>
  <c r="L956" i="1" s="1"/>
  <c r="K956" i="1"/>
  <c r="J956" i="1"/>
  <c r="H956" i="1" s="1"/>
  <c r="I956" i="1"/>
  <c r="AW955" i="1"/>
  <c r="X955" i="1"/>
  <c r="Y955" i="1" s="1"/>
  <c r="W955" i="1"/>
  <c r="N955" i="1"/>
  <c r="M955" i="1"/>
  <c r="L955" i="1"/>
  <c r="L955" i="1" a="1"/>
  <c r="K955" i="1"/>
  <c r="J955" i="1"/>
  <c r="H955" i="1" s="1"/>
  <c r="I955" i="1"/>
  <c r="AW954" i="1"/>
  <c r="X954" i="1"/>
  <c r="Y954" i="1" s="1"/>
  <c r="W954" i="1"/>
  <c r="N954" i="1"/>
  <c r="M954" i="1"/>
  <c r="L954" i="1" a="1"/>
  <c r="L954" i="1" s="1"/>
  <c r="K954" i="1"/>
  <c r="J954" i="1"/>
  <c r="H954" i="1" s="1"/>
  <c r="I954" i="1"/>
  <c r="AW953" i="1"/>
  <c r="X953" i="1" s="1"/>
  <c r="Y953" i="1" s="1"/>
  <c r="W953" i="1"/>
  <c r="N953" i="1"/>
  <c r="M953" i="1"/>
  <c r="L953" i="1" a="1"/>
  <c r="L953" i="1" s="1"/>
  <c r="K953" i="1"/>
  <c r="J953" i="1"/>
  <c r="I953" i="1"/>
  <c r="H953" i="1"/>
  <c r="AW952" i="1"/>
  <c r="X952" i="1" s="1"/>
  <c r="Y952" i="1" s="1"/>
  <c r="W952" i="1"/>
  <c r="N952" i="1"/>
  <c r="M952" i="1"/>
  <c r="L952" i="1" a="1"/>
  <c r="L952" i="1" s="1"/>
  <c r="K952" i="1"/>
  <c r="J952" i="1"/>
  <c r="H952" i="1" s="1"/>
  <c r="I952" i="1"/>
  <c r="AW951" i="1"/>
  <c r="X951" i="1"/>
  <c r="Y951" i="1" s="1"/>
  <c r="W951" i="1"/>
  <c r="N951" i="1"/>
  <c r="M951" i="1"/>
  <c r="L951" i="1" a="1"/>
  <c r="L951" i="1" s="1"/>
  <c r="K951" i="1"/>
  <c r="J951" i="1"/>
  <c r="H951" i="1" s="1"/>
  <c r="I951" i="1"/>
  <c r="AW950" i="1"/>
  <c r="X950" i="1" s="1"/>
  <c r="Y950" i="1" s="1"/>
  <c r="W950" i="1"/>
  <c r="N950" i="1"/>
  <c r="M950" i="1"/>
  <c r="L950" i="1" a="1"/>
  <c r="L950" i="1" s="1"/>
  <c r="K950" i="1"/>
  <c r="J950" i="1"/>
  <c r="H950" i="1" s="1"/>
  <c r="I950" i="1"/>
  <c r="AW949" i="1"/>
  <c r="X949" i="1"/>
  <c r="Y949" i="1" s="1"/>
  <c r="W949" i="1"/>
  <c r="N949" i="1"/>
  <c r="M949" i="1"/>
  <c r="L949" i="1" a="1"/>
  <c r="L949" i="1" s="1"/>
  <c r="K949" i="1"/>
  <c r="J949" i="1"/>
  <c r="H949" i="1" s="1"/>
  <c r="I949" i="1"/>
  <c r="AW948" i="1"/>
  <c r="X948" i="1"/>
  <c r="Y948" i="1" s="1"/>
  <c r="W948" i="1"/>
  <c r="N948" i="1"/>
  <c r="M948" i="1"/>
  <c r="L948" i="1" a="1"/>
  <c r="L948" i="1" s="1"/>
  <c r="K948" i="1"/>
  <c r="J948" i="1"/>
  <c r="H948" i="1" s="1"/>
  <c r="I948" i="1"/>
  <c r="AW947" i="1"/>
  <c r="X947" i="1"/>
  <c r="Y947" i="1" s="1"/>
  <c r="W947" i="1"/>
  <c r="N947" i="1"/>
  <c r="M947" i="1"/>
  <c r="L947" i="1"/>
  <c r="L947" i="1" a="1"/>
  <c r="K947" i="1"/>
  <c r="J947" i="1"/>
  <c r="H947" i="1" s="1"/>
  <c r="I947" i="1"/>
  <c r="AW946" i="1"/>
  <c r="X946" i="1" s="1"/>
  <c r="Y946" i="1" s="1"/>
  <c r="W946" i="1"/>
  <c r="N946" i="1"/>
  <c r="M946" i="1"/>
  <c r="L946" i="1" a="1"/>
  <c r="L946" i="1" s="1"/>
  <c r="K946" i="1"/>
  <c r="J946" i="1"/>
  <c r="H946" i="1" s="1"/>
  <c r="I946" i="1"/>
  <c r="AW945" i="1"/>
  <c r="X945" i="1"/>
  <c r="Y945" i="1" s="1"/>
  <c r="W945" i="1"/>
  <c r="N945" i="1"/>
  <c r="M945" i="1"/>
  <c r="L945" i="1" a="1"/>
  <c r="L945" i="1" s="1"/>
  <c r="K945" i="1"/>
  <c r="J945" i="1"/>
  <c r="H945" i="1" s="1"/>
  <c r="I945" i="1"/>
  <c r="AW944" i="1"/>
  <c r="X944" i="1"/>
  <c r="Y944" i="1" s="1"/>
  <c r="W944" i="1"/>
  <c r="N944" i="1"/>
  <c r="M944" i="1"/>
  <c r="L944" i="1" a="1"/>
  <c r="L944" i="1" s="1"/>
  <c r="K944" i="1"/>
  <c r="J944" i="1"/>
  <c r="H944" i="1" s="1"/>
  <c r="I944" i="1"/>
  <c r="AW943" i="1"/>
  <c r="X943" i="1"/>
  <c r="Y943" i="1" s="1"/>
  <c r="W943" i="1"/>
  <c r="N943" i="1"/>
  <c r="M943" i="1"/>
  <c r="L943" i="1" a="1"/>
  <c r="L943" i="1" s="1"/>
  <c r="K943" i="1"/>
  <c r="J943" i="1"/>
  <c r="H943" i="1" s="1"/>
  <c r="I943" i="1"/>
  <c r="AW942" i="1"/>
  <c r="X942" i="1"/>
  <c r="Y942" i="1" s="1"/>
  <c r="W942" i="1"/>
  <c r="N942" i="1"/>
  <c r="M942" i="1"/>
  <c r="L942" i="1" a="1"/>
  <c r="L942" i="1" s="1"/>
  <c r="K942" i="1"/>
  <c r="J942" i="1"/>
  <c r="H942" i="1" s="1"/>
  <c r="I942" i="1"/>
  <c r="AW941" i="1"/>
  <c r="X941" i="1"/>
  <c r="Y941" i="1" s="1"/>
  <c r="W941" i="1"/>
  <c r="N941" i="1"/>
  <c r="M941" i="1"/>
  <c r="L941" i="1" a="1"/>
  <c r="L941" i="1" s="1"/>
  <c r="K941" i="1"/>
  <c r="J941" i="1"/>
  <c r="H941" i="1" s="1"/>
  <c r="I941" i="1"/>
  <c r="AW940" i="1"/>
  <c r="Y940" i="1"/>
  <c r="X940" i="1"/>
  <c r="W940" i="1"/>
  <c r="N940" i="1"/>
  <c r="M940" i="1"/>
  <c r="L940" i="1" a="1"/>
  <c r="L940" i="1" s="1"/>
  <c r="K940" i="1"/>
  <c r="J940" i="1"/>
  <c r="H940" i="1" s="1"/>
  <c r="I940" i="1"/>
  <c r="AW939" i="1"/>
  <c r="X939" i="1"/>
  <c r="Y939" i="1" s="1"/>
  <c r="W939" i="1"/>
  <c r="N939" i="1"/>
  <c r="M939" i="1"/>
  <c r="L939" i="1" a="1"/>
  <c r="L939" i="1" s="1"/>
  <c r="K939" i="1"/>
  <c r="J939" i="1"/>
  <c r="H939" i="1" s="1"/>
  <c r="I939" i="1"/>
  <c r="AW938" i="1"/>
  <c r="X938" i="1" s="1"/>
  <c r="Y938" i="1" s="1"/>
  <c r="W938" i="1"/>
  <c r="N938" i="1"/>
  <c r="M938" i="1"/>
  <c r="L938" i="1" a="1"/>
  <c r="L938" i="1" s="1"/>
  <c r="K938" i="1"/>
  <c r="J938" i="1"/>
  <c r="H938" i="1" s="1"/>
  <c r="I938" i="1"/>
  <c r="AW937" i="1"/>
  <c r="X937" i="1"/>
  <c r="Y937" i="1" s="1"/>
  <c r="W937" i="1"/>
  <c r="N937" i="1"/>
  <c r="M937" i="1"/>
  <c r="L937" i="1" a="1"/>
  <c r="L937" i="1" s="1"/>
  <c r="K937" i="1"/>
  <c r="J937" i="1"/>
  <c r="H937" i="1" s="1"/>
  <c r="I937" i="1"/>
  <c r="AW936" i="1"/>
  <c r="X936" i="1" s="1"/>
  <c r="Y936" i="1" s="1"/>
  <c r="W936" i="1"/>
  <c r="N936" i="1"/>
  <c r="M936" i="1"/>
  <c r="L936" i="1" a="1"/>
  <c r="L936" i="1" s="1"/>
  <c r="K936" i="1"/>
  <c r="J936" i="1"/>
  <c r="H936" i="1" s="1"/>
  <c r="I936" i="1"/>
  <c r="AW935" i="1"/>
  <c r="X935" i="1"/>
  <c r="Y935" i="1" s="1"/>
  <c r="W935" i="1"/>
  <c r="N935" i="1"/>
  <c r="M935" i="1"/>
  <c r="L935" i="1"/>
  <c r="L935" i="1" a="1"/>
  <c r="K935" i="1"/>
  <c r="J935" i="1"/>
  <c r="H935" i="1" s="1"/>
  <c r="I935" i="1"/>
  <c r="AW934" i="1"/>
  <c r="X934" i="1"/>
  <c r="Y934" i="1" s="1"/>
  <c r="W934" i="1"/>
  <c r="N934" i="1"/>
  <c r="M934" i="1"/>
  <c r="L934" i="1" a="1"/>
  <c r="L934" i="1" s="1"/>
  <c r="K934" i="1"/>
  <c r="J934" i="1"/>
  <c r="H934" i="1" s="1"/>
  <c r="I934" i="1"/>
  <c r="AW933" i="1"/>
  <c r="X933" i="1" s="1"/>
  <c r="Y933" i="1" s="1"/>
  <c r="W933" i="1"/>
  <c r="N933" i="1"/>
  <c r="M933" i="1"/>
  <c r="L933" i="1" a="1"/>
  <c r="L933" i="1" s="1"/>
  <c r="K933" i="1"/>
  <c r="J933" i="1"/>
  <c r="H933" i="1" s="1"/>
  <c r="I933" i="1"/>
  <c r="AW932" i="1"/>
  <c r="X932" i="1"/>
  <c r="Y932" i="1" s="1"/>
  <c r="W932" i="1"/>
  <c r="N932" i="1"/>
  <c r="M932" i="1"/>
  <c r="L932" i="1" a="1"/>
  <c r="L932" i="1" s="1"/>
  <c r="K932" i="1"/>
  <c r="J932" i="1"/>
  <c r="H932" i="1" s="1"/>
  <c r="I932" i="1"/>
  <c r="AW931" i="1"/>
  <c r="X931" i="1"/>
  <c r="Y931" i="1" s="1"/>
  <c r="W931" i="1"/>
  <c r="N931" i="1"/>
  <c r="M931" i="1"/>
  <c r="L931" i="1" a="1"/>
  <c r="L931" i="1" s="1"/>
  <c r="K931" i="1"/>
  <c r="J931" i="1"/>
  <c r="H931" i="1" s="1"/>
  <c r="I931" i="1"/>
  <c r="AW930" i="1"/>
  <c r="X930" i="1"/>
  <c r="Y930" i="1" s="1"/>
  <c r="W930" i="1"/>
  <c r="N930" i="1"/>
  <c r="M930" i="1"/>
  <c r="L930" i="1" a="1"/>
  <c r="L930" i="1" s="1"/>
  <c r="K930" i="1"/>
  <c r="J930" i="1"/>
  <c r="H930" i="1" s="1"/>
  <c r="I930" i="1"/>
  <c r="AW929" i="1"/>
  <c r="X929" i="1" s="1"/>
  <c r="Y929" i="1" s="1"/>
  <c r="W929" i="1"/>
  <c r="N929" i="1"/>
  <c r="M929" i="1"/>
  <c r="L929" i="1" a="1"/>
  <c r="L929" i="1" s="1"/>
  <c r="K929" i="1"/>
  <c r="J929" i="1"/>
  <c r="H929" i="1" s="1"/>
  <c r="I929" i="1"/>
  <c r="AW928" i="1"/>
  <c r="X928" i="1"/>
  <c r="Y928" i="1" s="1"/>
  <c r="W928" i="1"/>
  <c r="N928" i="1"/>
  <c r="M928" i="1"/>
  <c r="L928" i="1" a="1"/>
  <c r="L928" i="1" s="1"/>
  <c r="K928" i="1"/>
  <c r="J928" i="1"/>
  <c r="H928" i="1" s="1"/>
  <c r="I928" i="1"/>
  <c r="AW927" i="1"/>
  <c r="X927" i="1"/>
  <c r="Y927" i="1" s="1"/>
  <c r="W927" i="1"/>
  <c r="N927" i="1"/>
  <c r="M927" i="1"/>
  <c r="L927" i="1" a="1"/>
  <c r="L927" i="1" s="1"/>
  <c r="K927" i="1"/>
  <c r="J927" i="1"/>
  <c r="I927" i="1"/>
  <c r="H927" i="1"/>
  <c r="AW926" i="1"/>
  <c r="X926" i="1"/>
  <c r="Y926" i="1" s="1"/>
  <c r="W926" i="1"/>
  <c r="N926" i="1"/>
  <c r="M926" i="1"/>
  <c r="L926" i="1" a="1"/>
  <c r="L926" i="1" s="1"/>
  <c r="K926" i="1"/>
  <c r="J926" i="1"/>
  <c r="H926" i="1" s="1"/>
  <c r="I926" i="1"/>
  <c r="AW925" i="1"/>
  <c r="X925" i="1"/>
  <c r="Y925" i="1" s="1"/>
  <c r="W925" i="1"/>
  <c r="N925" i="1"/>
  <c r="M925" i="1"/>
  <c r="L925" i="1" a="1"/>
  <c r="L925" i="1" s="1"/>
  <c r="K925" i="1"/>
  <c r="J925" i="1"/>
  <c r="H925" i="1" s="1"/>
  <c r="I925" i="1"/>
  <c r="AW924" i="1"/>
  <c r="X924" i="1"/>
  <c r="Y924" i="1" s="1"/>
  <c r="W924" i="1"/>
  <c r="N924" i="1"/>
  <c r="M924" i="1"/>
  <c r="L924" i="1" a="1"/>
  <c r="L924" i="1" s="1"/>
  <c r="K924" i="1"/>
  <c r="J924" i="1"/>
  <c r="H924" i="1" s="1"/>
  <c r="I924" i="1"/>
  <c r="AW923" i="1"/>
  <c r="X923" i="1" s="1"/>
  <c r="Y923" i="1" s="1"/>
  <c r="W923" i="1"/>
  <c r="N923" i="1"/>
  <c r="M923" i="1"/>
  <c r="L923" i="1" a="1"/>
  <c r="L923" i="1" s="1"/>
  <c r="K923" i="1"/>
  <c r="J923" i="1"/>
  <c r="H923" i="1" s="1"/>
  <c r="I923" i="1"/>
  <c r="AW922" i="1"/>
  <c r="X922" i="1"/>
  <c r="Y922" i="1" s="1"/>
  <c r="W922" i="1"/>
  <c r="N922" i="1"/>
  <c r="M922" i="1"/>
  <c r="L922" i="1" a="1"/>
  <c r="L922" i="1" s="1"/>
  <c r="K922" i="1"/>
  <c r="J922" i="1"/>
  <c r="H922" i="1" s="1"/>
  <c r="I922" i="1"/>
  <c r="AW921" i="1"/>
  <c r="X921" i="1"/>
  <c r="Y921" i="1" s="1"/>
  <c r="W921" i="1"/>
  <c r="N921" i="1"/>
  <c r="M921" i="1"/>
  <c r="L921" i="1" a="1"/>
  <c r="L921" i="1" s="1"/>
  <c r="K921" i="1"/>
  <c r="J921" i="1"/>
  <c r="H921" i="1" s="1"/>
  <c r="I921" i="1"/>
  <c r="AW920" i="1"/>
  <c r="X920" i="1"/>
  <c r="Y920" i="1" s="1"/>
  <c r="W920" i="1"/>
  <c r="N920" i="1"/>
  <c r="M920" i="1"/>
  <c r="L920" i="1" a="1"/>
  <c r="L920" i="1" s="1"/>
  <c r="K920" i="1"/>
  <c r="J920" i="1"/>
  <c r="H920" i="1" s="1"/>
  <c r="I920" i="1"/>
  <c r="AW919" i="1"/>
  <c r="X919" i="1"/>
  <c r="Y919" i="1" s="1"/>
  <c r="W919" i="1"/>
  <c r="N919" i="1"/>
  <c r="M919" i="1"/>
  <c r="L919" i="1" a="1"/>
  <c r="L919" i="1" s="1"/>
  <c r="K919" i="1"/>
  <c r="J919" i="1"/>
  <c r="H919" i="1" s="1"/>
  <c r="I919" i="1"/>
  <c r="AW918" i="1"/>
  <c r="X918" i="1"/>
  <c r="Y918" i="1" s="1"/>
  <c r="W918" i="1"/>
  <c r="N918" i="1"/>
  <c r="M918" i="1"/>
  <c r="L918" i="1" a="1"/>
  <c r="L918" i="1" s="1"/>
  <c r="K918" i="1"/>
  <c r="J918" i="1"/>
  <c r="H918" i="1" s="1"/>
  <c r="I918" i="1"/>
  <c r="AW917" i="1"/>
  <c r="X917" i="1" s="1"/>
  <c r="Y917" i="1" s="1"/>
  <c r="W917" i="1"/>
  <c r="N917" i="1"/>
  <c r="M917" i="1"/>
  <c r="L917" i="1" a="1"/>
  <c r="L917" i="1" s="1"/>
  <c r="K917" i="1"/>
  <c r="J917" i="1"/>
  <c r="I917" i="1"/>
  <c r="H917" i="1"/>
  <c r="AW916" i="1"/>
  <c r="X916" i="1"/>
  <c r="Y916" i="1" s="1"/>
  <c r="W916" i="1"/>
  <c r="N916" i="1"/>
  <c r="M916" i="1"/>
  <c r="L916" i="1" a="1"/>
  <c r="L916" i="1" s="1"/>
  <c r="K916" i="1"/>
  <c r="J916" i="1"/>
  <c r="H916" i="1" s="1"/>
  <c r="I916" i="1"/>
  <c r="AW915" i="1"/>
  <c r="X915" i="1"/>
  <c r="Y915" i="1" s="1"/>
  <c r="W915" i="1"/>
  <c r="N915" i="1"/>
  <c r="M915" i="1"/>
  <c r="L915" i="1" a="1"/>
  <c r="L915" i="1" s="1"/>
  <c r="K915" i="1"/>
  <c r="J915" i="1"/>
  <c r="H915" i="1" s="1"/>
  <c r="I915" i="1"/>
  <c r="AW914" i="1"/>
  <c r="X914" i="1"/>
  <c r="Y914" i="1" s="1"/>
  <c r="W914" i="1"/>
  <c r="N914" i="1"/>
  <c r="M914" i="1"/>
  <c r="L914" i="1" a="1"/>
  <c r="L914" i="1" s="1"/>
  <c r="K914" i="1"/>
  <c r="J914" i="1"/>
  <c r="H914" i="1" s="1"/>
  <c r="I914" i="1"/>
  <c r="AW913" i="1"/>
  <c r="X913" i="1" s="1"/>
  <c r="Y913" i="1" s="1"/>
  <c r="W913" i="1"/>
  <c r="N913" i="1"/>
  <c r="M913" i="1"/>
  <c r="L913" i="1" a="1"/>
  <c r="L913" i="1" s="1"/>
  <c r="K913" i="1"/>
  <c r="J913" i="1"/>
  <c r="H913" i="1" s="1"/>
  <c r="I913" i="1"/>
  <c r="AW912" i="1"/>
  <c r="X912" i="1" s="1"/>
  <c r="Y912" i="1" s="1"/>
  <c r="W912" i="1"/>
  <c r="N912" i="1"/>
  <c r="M912" i="1"/>
  <c r="L912" i="1" a="1"/>
  <c r="L912" i="1" s="1"/>
  <c r="K912" i="1"/>
  <c r="J912" i="1"/>
  <c r="I912" i="1"/>
  <c r="H912" i="1"/>
  <c r="AW911" i="1"/>
  <c r="X911" i="1" s="1"/>
  <c r="Y911" i="1" s="1"/>
  <c r="W911" i="1"/>
  <c r="N911" i="1"/>
  <c r="M911" i="1"/>
  <c r="L911" i="1" a="1"/>
  <c r="L911" i="1" s="1"/>
  <c r="K911" i="1"/>
  <c r="J911" i="1"/>
  <c r="H911" i="1" s="1"/>
  <c r="I911" i="1"/>
  <c r="AW910" i="1"/>
  <c r="X910" i="1" s="1"/>
  <c r="Y910" i="1" s="1"/>
  <c r="W910" i="1"/>
  <c r="N910" i="1"/>
  <c r="M910" i="1"/>
  <c r="L910" i="1" a="1"/>
  <c r="L910" i="1" s="1"/>
  <c r="K910" i="1"/>
  <c r="J910" i="1"/>
  <c r="H910" i="1" s="1"/>
  <c r="I910" i="1"/>
  <c r="AW909" i="1"/>
  <c r="X909" i="1"/>
  <c r="Y909" i="1" s="1"/>
  <c r="W909" i="1"/>
  <c r="N909" i="1"/>
  <c r="M909" i="1"/>
  <c r="L909" i="1" a="1"/>
  <c r="L909" i="1" s="1"/>
  <c r="K909" i="1"/>
  <c r="J909" i="1"/>
  <c r="H909" i="1" s="1"/>
  <c r="I909" i="1"/>
  <c r="AW908" i="1"/>
  <c r="X908" i="1" s="1"/>
  <c r="Y908" i="1" s="1"/>
  <c r="W908" i="1"/>
  <c r="N908" i="1"/>
  <c r="M908" i="1"/>
  <c r="L908" i="1" a="1"/>
  <c r="L908" i="1" s="1"/>
  <c r="K908" i="1"/>
  <c r="J908" i="1"/>
  <c r="H908" i="1" s="1"/>
  <c r="I908" i="1"/>
  <c r="AW907" i="1"/>
  <c r="X907" i="1"/>
  <c r="Y907" i="1" s="1"/>
  <c r="W907" i="1"/>
  <c r="N907" i="1"/>
  <c r="M907" i="1"/>
  <c r="L907" i="1" a="1"/>
  <c r="L907" i="1" s="1"/>
  <c r="K907" i="1"/>
  <c r="J907" i="1"/>
  <c r="I907" i="1"/>
  <c r="H907" i="1"/>
  <c r="AW906" i="1"/>
  <c r="X906" i="1" s="1"/>
  <c r="Y906" i="1" s="1"/>
  <c r="W906" i="1"/>
  <c r="N906" i="1"/>
  <c r="M906" i="1"/>
  <c r="L906" i="1" a="1"/>
  <c r="L906" i="1" s="1"/>
  <c r="K906" i="1"/>
  <c r="J906" i="1"/>
  <c r="H906" i="1" s="1"/>
  <c r="I906" i="1"/>
  <c r="AW905" i="1"/>
  <c r="X905" i="1" s="1"/>
  <c r="Y905" i="1" s="1"/>
  <c r="W905" i="1"/>
  <c r="N905" i="1"/>
  <c r="M905" i="1"/>
  <c r="L905" i="1" a="1"/>
  <c r="L905" i="1" s="1"/>
  <c r="K905" i="1"/>
  <c r="J905" i="1"/>
  <c r="I905" i="1"/>
  <c r="H905" i="1"/>
  <c r="AW904" i="1"/>
  <c r="X904" i="1"/>
  <c r="Y904" i="1" s="1"/>
  <c r="W904" i="1"/>
  <c r="N904" i="1"/>
  <c r="M904" i="1"/>
  <c r="L904" i="1" a="1"/>
  <c r="L904" i="1" s="1"/>
  <c r="K904" i="1"/>
  <c r="J904" i="1"/>
  <c r="H904" i="1" s="1"/>
  <c r="I904" i="1"/>
  <c r="AW903" i="1"/>
  <c r="X903" i="1"/>
  <c r="Y903" i="1" s="1"/>
  <c r="W903" i="1"/>
  <c r="N903" i="1"/>
  <c r="M903" i="1"/>
  <c r="L903" i="1" a="1"/>
  <c r="L903" i="1" s="1"/>
  <c r="K903" i="1"/>
  <c r="J903" i="1"/>
  <c r="H903" i="1" s="1"/>
  <c r="I903" i="1"/>
  <c r="AW902" i="1"/>
  <c r="X902" i="1"/>
  <c r="Y902" i="1" s="1"/>
  <c r="W902" i="1"/>
  <c r="N902" i="1"/>
  <c r="M902" i="1"/>
  <c r="L902" i="1" a="1"/>
  <c r="L902" i="1" s="1"/>
  <c r="K902" i="1"/>
  <c r="J902" i="1"/>
  <c r="H902" i="1" s="1"/>
  <c r="I902" i="1"/>
  <c r="AW901" i="1"/>
  <c r="X901" i="1"/>
  <c r="Y901" i="1" s="1"/>
  <c r="W901" i="1"/>
  <c r="N901" i="1"/>
  <c r="M901" i="1"/>
  <c r="L901" i="1" a="1"/>
  <c r="L901" i="1" s="1"/>
  <c r="K901" i="1"/>
  <c r="J901" i="1"/>
  <c r="H901" i="1" s="1"/>
  <c r="I901" i="1"/>
  <c r="AW900" i="1"/>
  <c r="X900" i="1" s="1"/>
  <c r="Y900" i="1" s="1"/>
  <c r="W900" i="1"/>
  <c r="N900" i="1"/>
  <c r="M900" i="1"/>
  <c r="L900" i="1" a="1"/>
  <c r="L900" i="1" s="1"/>
  <c r="K900" i="1"/>
  <c r="J900" i="1"/>
  <c r="H900" i="1" s="1"/>
  <c r="I900" i="1"/>
  <c r="AW899" i="1"/>
  <c r="X899" i="1"/>
  <c r="Y899" i="1" s="1"/>
  <c r="W899" i="1"/>
  <c r="N899" i="1"/>
  <c r="M899" i="1"/>
  <c r="L899" i="1" a="1"/>
  <c r="L899" i="1" s="1"/>
  <c r="K899" i="1"/>
  <c r="J899" i="1"/>
  <c r="H899" i="1" s="1"/>
  <c r="I899" i="1"/>
  <c r="AW898" i="1"/>
  <c r="X898" i="1"/>
  <c r="Y898" i="1" s="1"/>
  <c r="W898" i="1"/>
  <c r="N898" i="1"/>
  <c r="M898" i="1"/>
  <c r="L898" i="1" a="1"/>
  <c r="L898" i="1" s="1"/>
  <c r="K898" i="1"/>
  <c r="J898" i="1"/>
  <c r="H898" i="1" s="1"/>
  <c r="I898" i="1"/>
  <c r="AW897" i="1"/>
  <c r="X897" i="1"/>
  <c r="Y897" i="1" s="1"/>
  <c r="W897" i="1"/>
  <c r="N897" i="1"/>
  <c r="M897" i="1"/>
  <c r="L897" i="1" a="1"/>
  <c r="L897" i="1" s="1"/>
  <c r="K897" i="1"/>
  <c r="J897" i="1"/>
  <c r="H897" i="1" s="1"/>
  <c r="I897" i="1"/>
  <c r="AW896" i="1"/>
  <c r="X896" i="1" s="1"/>
  <c r="Y896" i="1" s="1"/>
  <c r="W896" i="1"/>
  <c r="N896" i="1"/>
  <c r="M896" i="1"/>
  <c r="L896" i="1" a="1"/>
  <c r="L896" i="1" s="1"/>
  <c r="K896" i="1"/>
  <c r="J896" i="1"/>
  <c r="H896" i="1" s="1"/>
  <c r="I896" i="1"/>
  <c r="AW895" i="1"/>
  <c r="X895" i="1" s="1"/>
  <c r="Y895" i="1" s="1"/>
  <c r="W895" i="1"/>
  <c r="N895" i="1"/>
  <c r="M895" i="1"/>
  <c r="L895" i="1" a="1"/>
  <c r="L895" i="1" s="1"/>
  <c r="K895" i="1"/>
  <c r="J895" i="1"/>
  <c r="I895" i="1"/>
  <c r="H895" i="1"/>
  <c r="AW894" i="1"/>
  <c r="X894" i="1" s="1"/>
  <c r="Y894" i="1" s="1"/>
  <c r="W894" i="1"/>
  <c r="N894" i="1"/>
  <c r="M894" i="1"/>
  <c r="L894" i="1" a="1"/>
  <c r="L894" i="1" s="1"/>
  <c r="K894" i="1"/>
  <c r="J894" i="1"/>
  <c r="H894" i="1" s="1"/>
  <c r="I894" i="1"/>
  <c r="AW893" i="1"/>
  <c r="X893" i="1"/>
  <c r="Y893" i="1" s="1"/>
  <c r="W893" i="1"/>
  <c r="N893" i="1"/>
  <c r="M893" i="1"/>
  <c r="L893" i="1" a="1"/>
  <c r="L893" i="1" s="1"/>
  <c r="K893" i="1"/>
  <c r="J893" i="1"/>
  <c r="H893" i="1" s="1"/>
  <c r="I893" i="1"/>
  <c r="AW892" i="1"/>
  <c r="X892" i="1"/>
  <c r="Y892" i="1" s="1"/>
  <c r="W892" i="1"/>
  <c r="N892" i="1"/>
  <c r="M892" i="1"/>
  <c r="L892" i="1" a="1"/>
  <c r="L892" i="1" s="1"/>
  <c r="K892" i="1"/>
  <c r="J892" i="1"/>
  <c r="H892" i="1" s="1"/>
  <c r="I892" i="1"/>
  <c r="AW891" i="1"/>
  <c r="X891" i="1"/>
  <c r="Y891" i="1" s="1"/>
  <c r="W891" i="1"/>
  <c r="N891" i="1"/>
  <c r="M891" i="1"/>
  <c r="L891" i="1" a="1"/>
  <c r="L891" i="1" s="1"/>
  <c r="K891" i="1"/>
  <c r="J891" i="1"/>
  <c r="H891" i="1" s="1"/>
  <c r="I891" i="1"/>
  <c r="AW890" i="1"/>
  <c r="X890" i="1"/>
  <c r="Y890" i="1" s="1"/>
  <c r="W890" i="1"/>
  <c r="N890" i="1"/>
  <c r="M890" i="1"/>
  <c r="L890" i="1" a="1"/>
  <c r="L890" i="1" s="1"/>
  <c r="K890" i="1"/>
  <c r="J890" i="1"/>
  <c r="H890" i="1" s="1"/>
  <c r="I890" i="1"/>
  <c r="AW889" i="1"/>
  <c r="X889" i="1" s="1"/>
  <c r="Y889" i="1" s="1"/>
  <c r="W889" i="1"/>
  <c r="N889" i="1"/>
  <c r="M889" i="1"/>
  <c r="L889" i="1" a="1"/>
  <c r="L889" i="1" s="1"/>
  <c r="K889" i="1"/>
  <c r="J889" i="1"/>
  <c r="I889" i="1"/>
  <c r="H889" i="1"/>
  <c r="AW888" i="1"/>
  <c r="X888" i="1"/>
  <c r="Y888" i="1" s="1"/>
  <c r="W888" i="1"/>
  <c r="N888" i="1"/>
  <c r="M888" i="1"/>
  <c r="L888" i="1" a="1"/>
  <c r="L888" i="1" s="1"/>
  <c r="K888" i="1"/>
  <c r="I888" i="1"/>
  <c r="H888" i="1"/>
  <c r="AW887" i="1"/>
  <c r="X887" i="1"/>
  <c r="Y887" i="1" s="1"/>
  <c r="W887" i="1"/>
  <c r="N887" i="1"/>
  <c r="M887" i="1"/>
  <c r="L887" i="1" a="1"/>
  <c r="L887" i="1" s="1"/>
  <c r="K887" i="1"/>
  <c r="J887" i="1"/>
  <c r="H887" i="1" s="1"/>
  <c r="I887" i="1"/>
  <c r="AW886" i="1"/>
  <c r="X886" i="1" s="1"/>
  <c r="Y886" i="1" s="1"/>
  <c r="W886" i="1"/>
  <c r="N886" i="1"/>
  <c r="M886" i="1"/>
  <c r="L886" i="1" a="1"/>
  <c r="L886" i="1" s="1"/>
  <c r="K886" i="1"/>
  <c r="J886" i="1"/>
  <c r="I886" i="1"/>
  <c r="H886" i="1"/>
  <c r="AW885" i="1"/>
  <c r="X885" i="1"/>
  <c r="Y885" i="1" s="1"/>
  <c r="W885" i="1"/>
  <c r="N885" i="1"/>
  <c r="M885" i="1"/>
  <c r="L885" i="1" a="1"/>
  <c r="L885" i="1" s="1"/>
  <c r="K885" i="1"/>
  <c r="J885" i="1"/>
  <c r="H885" i="1" s="1"/>
  <c r="I885" i="1"/>
  <c r="AW884" i="1"/>
  <c r="X884" i="1"/>
  <c r="Y884" i="1" s="1"/>
  <c r="W884" i="1"/>
  <c r="N884" i="1"/>
  <c r="M884" i="1"/>
  <c r="L884" i="1" a="1"/>
  <c r="L884" i="1" s="1"/>
  <c r="K884" i="1"/>
  <c r="J884" i="1"/>
  <c r="H884" i="1" s="1"/>
  <c r="I884" i="1"/>
  <c r="AW883" i="1"/>
  <c r="X883" i="1" s="1"/>
  <c r="Y883" i="1" s="1"/>
  <c r="W883" i="1"/>
  <c r="N883" i="1"/>
  <c r="M883" i="1"/>
  <c r="L883" i="1" a="1"/>
  <c r="L883" i="1" s="1"/>
  <c r="K883" i="1"/>
  <c r="J883" i="1"/>
  <c r="H883" i="1" s="1"/>
  <c r="I883" i="1"/>
  <c r="AW882" i="1"/>
  <c r="X882" i="1"/>
  <c r="Y882" i="1" s="1"/>
  <c r="W882" i="1"/>
  <c r="N882" i="1"/>
  <c r="M882" i="1"/>
  <c r="L882" i="1" a="1"/>
  <c r="L882" i="1" s="1"/>
  <c r="K882" i="1"/>
  <c r="J882" i="1"/>
  <c r="H882" i="1" s="1"/>
  <c r="I882" i="1"/>
  <c r="AW881" i="1"/>
  <c r="X881" i="1"/>
  <c r="Y881" i="1" s="1"/>
  <c r="W881" i="1"/>
  <c r="N881" i="1"/>
  <c r="M881" i="1"/>
  <c r="L881" i="1" a="1"/>
  <c r="L881" i="1" s="1"/>
  <c r="K881" i="1"/>
  <c r="J881" i="1"/>
  <c r="H881" i="1" s="1"/>
  <c r="I881" i="1"/>
  <c r="AW880" i="1"/>
  <c r="X880" i="1" s="1"/>
  <c r="Y880" i="1" s="1"/>
  <c r="W880" i="1"/>
  <c r="N880" i="1"/>
  <c r="M880" i="1"/>
  <c r="L880" i="1" a="1"/>
  <c r="L880" i="1" s="1"/>
  <c r="K880" i="1"/>
  <c r="J880" i="1"/>
  <c r="H880" i="1" s="1"/>
  <c r="I880" i="1"/>
  <c r="AW879" i="1"/>
  <c r="X879" i="1"/>
  <c r="Y879" i="1" s="1"/>
  <c r="W879" i="1"/>
  <c r="N879" i="1"/>
  <c r="M879" i="1"/>
  <c r="L879" i="1" a="1"/>
  <c r="L879" i="1" s="1"/>
  <c r="K879" i="1"/>
  <c r="J879" i="1"/>
  <c r="H879" i="1" s="1"/>
  <c r="I879" i="1"/>
  <c r="AW878" i="1"/>
  <c r="X878" i="1"/>
  <c r="Y878" i="1" s="1"/>
  <c r="W878" i="1"/>
  <c r="N878" i="1"/>
  <c r="M878" i="1"/>
  <c r="L878" i="1" a="1"/>
  <c r="L878" i="1" s="1"/>
  <c r="K878" i="1"/>
  <c r="J878" i="1"/>
  <c r="H878" i="1" s="1"/>
  <c r="I878" i="1"/>
  <c r="AW877" i="1"/>
  <c r="X877" i="1"/>
  <c r="Y877" i="1" s="1"/>
  <c r="W877" i="1"/>
  <c r="N877" i="1"/>
  <c r="M877" i="1"/>
  <c r="L877" i="1" a="1"/>
  <c r="L877" i="1" s="1"/>
  <c r="K877" i="1"/>
  <c r="J877" i="1"/>
  <c r="H877" i="1" s="1"/>
  <c r="I877" i="1"/>
  <c r="AW876" i="1"/>
  <c r="X876" i="1"/>
  <c r="Y876" i="1" s="1"/>
  <c r="W876" i="1"/>
  <c r="N876" i="1"/>
  <c r="M876" i="1"/>
  <c r="L876" i="1" a="1"/>
  <c r="L876" i="1" s="1"/>
  <c r="K876" i="1"/>
  <c r="J876" i="1"/>
  <c r="I876" i="1"/>
  <c r="H876" i="1"/>
  <c r="AW875" i="1"/>
  <c r="X875" i="1" s="1"/>
  <c r="Y875" i="1" s="1"/>
  <c r="W875" i="1"/>
  <c r="N875" i="1"/>
  <c r="M875" i="1"/>
  <c r="L875" i="1" a="1"/>
  <c r="L875" i="1" s="1"/>
  <c r="K875" i="1"/>
  <c r="J875" i="1"/>
  <c r="I875" i="1"/>
  <c r="H875" i="1"/>
  <c r="AW874" i="1"/>
  <c r="X874" i="1"/>
  <c r="Y874" i="1" s="1"/>
  <c r="W874" i="1"/>
  <c r="N874" i="1"/>
  <c r="M874" i="1"/>
  <c r="L874" i="1" a="1"/>
  <c r="L874" i="1" s="1"/>
  <c r="K874" i="1"/>
  <c r="J874" i="1"/>
  <c r="H874" i="1" s="1"/>
  <c r="I874" i="1"/>
  <c r="AW873" i="1"/>
  <c r="X873" i="1"/>
  <c r="Y873" i="1" s="1"/>
  <c r="W873" i="1"/>
  <c r="N873" i="1"/>
  <c r="M873" i="1"/>
  <c r="L873" i="1" a="1"/>
  <c r="L873" i="1" s="1"/>
  <c r="K873" i="1"/>
  <c r="J873" i="1"/>
  <c r="H873" i="1" s="1"/>
  <c r="I873" i="1"/>
  <c r="AW872" i="1"/>
  <c r="X872" i="1"/>
  <c r="Y872" i="1" s="1"/>
  <c r="W872" i="1"/>
  <c r="N872" i="1"/>
  <c r="M872" i="1"/>
  <c r="L872" i="1" a="1"/>
  <c r="L872" i="1" s="1"/>
  <c r="K872" i="1"/>
  <c r="J872" i="1"/>
  <c r="H872" i="1" s="1"/>
  <c r="I872" i="1"/>
  <c r="AW871" i="1"/>
  <c r="X871" i="1"/>
  <c r="Y871" i="1" s="1"/>
  <c r="W871" i="1"/>
  <c r="N871" i="1"/>
  <c r="M871" i="1"/>
  <c r="L871" i="1" a="1"/>
  <c r="L871" i="1" s="1"/>
  <c r="K871" i="1"/>
  <c r="J871" i="1"/>
  <c r="H871" i="1" s="1"/>
  <c r="I871" i="1"/>
  <c r="AW870" i="1"/>
  <c r="X870" i="1" s="1"/>
  <c r="Y870" i="1" s="1"/>
  <c r="W870" i="1"/>
  <c r="N870" i="1"/>
  <c r="M870" i="1"/>
  <c r="L870" i="1" a="1"/>
  <c r="L870" i="1" s="1"/>
  <c r="K870" i="1"/>
  <c r="J870" i="1"/>
  <c r="H870" i="1" s="1"/>
  <c r="I870" i="1"/>
  <c r="AW869" i="1"/>
  <c r="X869" i="1"/>
  <c r="Y869" i="1" s="1"/>
  <c r="W869" i="1"/>
  <c r="N869" i="1"/>
  <c r="M869" i="1"/>
  <c r="L869" i="1" a="1"/>
  <c r="L869" i="1" s="1"/>
  <c r="K869" i="1"/>
  <c r="J869" i="1"/>
  <c r="H869" i="1" s="1"/>
  <c r="I869" i="1"/>
  <c r="AW868" i="1"/>
  <c r="X868" i="1"/>
  <c r="Y868" i="1" s="1"/>
  <c r="W868" i="1"/>
  <c r="N868" i="1"/>
  <c r="M868" i="1"/>
  <c r="L868" i="1" a="1"/>
  <c r="L868" i="1" s="1"/>
  <c r="K868" i="1"/>
  <c r="J868" i="1"/>
  <c r="H868" i="1" s="1"/>
  <c r="I868" i="1"/>
  <c r="AW867" i="1"/>
  <c r="X867" i="1"/>
  <c r="Y867" i="1" s="1"/>
  <c r="W867" i="1"/>
  <c r="N867" i="1"/>
  <c r="M867" i="1"/>
  <c r="L867" i="1" a="1"/>
  <c r="L867" i="1" s="1"/>
  <c r="K867" i="1"/>
  <c r="J867" i="1"/>
  <c r="H867" i="1" s="1"/>
  <c r="I867" i="1"/>
  <c r="AW866" i="1"/>
  <c r="X866" i="1"/>
  <c r="Y866" i="1" s="1"/>
  <c r="W866" i="1"/>
  <c r="N866" i="1"/>
  <c r="M866" i="1"/>
  <c r="L866" i="1" a="1"/>
  <c r="L866" i="1" s="1"/>
  <c r="K866" i="1"/>
  <c r="J866" i="1"/>
  <c r="I866" i="1"/>
  <c r="H866" i="1"/>
  <c r="AW865" i="1"/>
  <c r="X865" i="1"/>
  <c r="Y865" i="1" s="1"/>
  <c r="W865" i="1"/>
  <c r="N865" i="1"/>
  <c r="M865" i="1"/>
  <c r="L865" i="1" a="1"/>
  <c r="L865" i="1" s="1"/>
  <c r="K865" i="1"/>
  <c r="J865" i="1"/>
  <c r="H865" i="1" s="1"/>
  <c r="I865" i="1"/>
  <c r="AW864" i="1"/>
  <c r="X864" i="1"/>
  <c r="Y864" i="1" s="1"/>
  <c r="W864" i="1"/>
  <c r="N864" i="1"/>
  <c r="M864" i="1"/>
  <c r="L864" i="1" a="1"/>
  <c r="L864" i="1" s="1"/>
  <c r="K864" i="1"/>
  <c r="J864" i="1"/>
  <c r="H864" i="1" s="1"/>
  <c r="I864" i="1"/>
  <c r="AW863" i="1"/>
  <c r="X863" i="1"/>
  <c r="Y863" i="1" s="1"/>
  <c r="W863" i="1"/>
  <c r="N863" i="1"/>
  <c r="M863" i="1"/>
  <c r="L863" i="1" a="1"/>
  <c r="L863" i="1" s="1"/>
  <c r="K863" i="1"/>
  <c r="J863" i="1"/>
  <c r="H863" i="1" s="1"/>
  <c r="I863" i="1"/>
  <c r="AW862" i="1"/>
  <c r="X862" i="1"/>
  <c r="Y862" i="1" s="1"/>
  <c r="W862" i="1"/>
  <c r="N862" i="1"/>
  <c r="M862" i="1"/>
  <c r="L862" i="1" a="1"/>
  <c r="L862" i="1" s="1"/>
  <c r="K862" i="1"/>
  <c r="J862" i="1"/>
  <c r="H862" i="1" s="1"/>
  <c r="I862" i="1"/>
  <c r="AW861" i="1"/>
  <c r="X861" i="1"/>
  <c r="Y861" i="1" s="1"/>
  <c r="W861" i="1"/>
  <c r="N861" i="1"/>
  <c r="M861" i="1"/>
  <c r="L861" i="1" a="1"/>
  <c r="L861" i="1" s="1"/>
  <c r="K861" i="1"/>
  <c r="J861" i="1"/>
  <c r="H861" i="1" s="1"/>
  <c r="I861" i="1"/>
  <c r="AW860" i="1"/>
  <c r="X860" i="1" s="1"/>
  <c r="Y860" i="1" s="1"/>
  <c r="W860" i="1"/>
  <c r="N860" i="1"/>
  <c r="M860" i="1"/>
  <c r="L860" i="1" a="1"/>
  <c r="L860" i="1" s="1"/>
  <c r="K860" i="1"/>
  <c r="J860" i="1"/>
  <c r="H860" i="1" s="1"/>
  <c r="I860" i="1"/>
  <c r="AW859" i="1"/>
  <c r="X859" i="1"/>
  <c r="Y859" i="1" s="1"/>
  <c r="W859" i="1"/>
  <c r="N859" i="1"/>
  <c r="M859" i="1"/>
  <c r="L859" i="1" a="1"/>
  <c r="L859" i="1" s="1"/>
  <c r="K859" i="1"/>
  <c r="J859" i="1"/>
  <c r="H859" i="1" s="1"/>
  <c r="I859" i="1"/>
  <c r="AW858" i="1"/>
  <c r="X858" i="1"/>
  <c r="Y858" i="1" s="1"/>
  <c r="W858" i="1"/>
  <c r="N858" i="1"/>
  <c r="M858" i="1"/>
  <c r="L858" i="1" a="1"/>
  <c r="L858" i="1" s="1"/>
  <c r="K858" i="1"/>
  <c r="J858" i="1"/>
  <c r="H858" i="1" s="1"/>
  <c r="I858" i="1"/>
  <c r="AW857" i="1"/>
  <c r="X857" i="1"/>
  <c r="Y857" i="1" s="1"/>
  <c r="W857" i="1"/>
  <c r="N857" i="1"/>
  <c r="M857" i="1"/>
  <c r="L857" i="1" a="1"/>
  <c r="L857" i="1" s="1"/>
  <c r="K857" i="1"/>
  <c r="J857" i="1"/>
  <c r="H857" i="1" s="1"/>
  <c r="I857" i="1"/>
  <c r="AW856" i="1"/>
  <c r="X856" i="1" s="1"/>
  <c r="Y856" i="1" s="1"/>
  <c r="W856" i="1"/>
  <c r="N856" i="1"/>
  <c r="M856" i="1"/>
  <c r="L856" i="1" a="1"/>
  <c r="L856" i="1" s="1"/>
  <c r="K856" i="1"/>
  <c r="J856" i="1"/>
  <c r="I856" i="1"/>
  <c r="H856" i="1"/>
  <c r="AW855" i="1"/>
  <c r="X855" i="1" s="1"/>
  <c r="Y855" i="1" s="1"/>
  <c r="W855" i="1"/>
  <c r="N855" i="1"/>
  <c r="M855" i="1"/>
  <c r="L855" i="1" a="1"/>
  <c r="L855" i="1" s="1"/>
  <c r="K855" i="1"/>
  <c r="J855" i="1"/>
  <c r="H855" i="1" s="1"/>
  <c r="I855" i="1"/>
  <c r="AW854" i="1"/>
  <c r="X854" i="1"/>
  <c r="Y854" i="1" s="1"/>
  <c r="W854" i="1"/>
  <c r="N854" i="1"/>
  <c r="M854" i="1"/>
  <c r="L854" i="1" a="1"/>
  <c r="L854" i="1" s="1"/>
  <c r="K854" i="1"/>
  <c r="J854" i="1"/>
  <c r="I854" i="1"/>
  <c r="H854" i="1"/>
  <c r="AW853" i="1"/>
  <c r="X853" i="1" s="1"/>
  <c r="Y853" i="1" s="1"/>
  <c r="W853" i="1"/>
  <c r="N853" i="1"/>
  <c r="M853" i="1"/>
  <c r="L853" i="1" a="1"/>
  <c r="L853" i="1" s="1"/>
  <c r="K853" i="1"/>
  <c r="J853" i="1"/>
  <c r="H853" i="1" s="1"/>
  <c r="I853" i="1"/>
  <c r="AW852" i="1"/>
  <c r="X852" i="1"/>
  <c r="Y852" i="1" s="1"/>
  <c r="W852" i="1"/>
  <c r="N852" i="1"/>
  <c r="M852" i="1"/>
  <c r="L852" i="1" a="1"/>
  <c r="L852" i="1" s="1"/>
  <c r="K852" i="1"/>
  <c r="J852" i="1"/>
  <c r="H852" i="1" s="1"/>
  <c r="I852" i="1"/>
  <c r="AW851" i="1"/>
  <c r="X851" i="1"/>
  <c r="Y851" i="1" s="1"/>
  <c r="W851" i="1"/>
  <c r="N851" i="1"/>
  <c r="M851" i="1"/>
  <c r="L851" i="1" a="1"/>
  <c r="L851" i="1" s="1"/>
  <c r="K851" i="1"/>
  <c r="J851" i="1"/>
  <c r="H851" i="1" s="1"/>
  <c r="I851" i="1"/>
  <c r="AW850" i="1"/>
  <c r="X850" i="1"/>
  <c r="Y850" i="1" s="1"/>
  <c r="W850" i="1"/>
  <c r="N850" i="1"/>
  <c r="M850" i="1"/>
  <c r="L850" i="1" a="1"/>
  <c r="L850" i="1" s="1"/>
  <c r="K850" i="1"/>
  <c r="J850" i="1"/>
  <c r="H850" i="1" s="1"/>
  <c r="I850" i="1"/>
  <c r="AW849" i="1"/>
  <c r="X849" i="1"/>
  <c r="Y849" i="1" s="1"/>
  <c r="W849" i="1"/>
  <c r="N849" i="1"/>
  <c r="M849" i="1"/>
  <c r="L849" i="1" a="1"/>
  <c r="L849" i="1" s="1"/>
  <c r="K849" i="1"/>
  <c r="J849" i="1"/>
  <c r="I849" i="1"/>
  <c r="H849" i="1"/>
  <c r="AW848" i="1"/>
  <c r="X848" i="1"/>
  <c r="Y848" i="1" s="1"/>
  <c r="W848" i="1"/>
  <c r="N848" i="1"/>
  <c r="M848" i="1"/>
  <c r="L848" i="1" a="1"/>
  <c r="L848" i="1" s="1"/>
  <c r="K848" i="1"/>
  <c r="J848" i="1"/>
  <c r="H848" i="1" s="1"/>
  <c r="I848" i="1"/>
  <c r="AW847" i="1"/>
  <c r="X847" i="1" s="1"/>
  <c r="Y847" i="1" s="1"/>
  <c r="W847" i="1"/>
  <c r="N847" i="1"/>
  <c r="M847" i="1"/>
  <c r="L847" i="1" a="1"/>
  <c r="L847" i="1" s="1"/>
  <c r="K847" i="1"/>
  <c r="J847" i="1"/>
  <c r="H847" i="1" s="1"/>
  <c r="I847" i="1"/>
  <c r="AW846" i="1"/>
  <c r="X846" i="1"/>
  <c r="Y846" i="1" s="1"/>
  <c r="W846" i="1"/>
  <c r="N846" i="1"/>
  <c r="M846" i="1"/>
  <c r="L846" i="1" a="1"/>
  <c r="L846" i="1" s="1"/>
  <c r="K846" i="1"/>
  <c r="J846" i="1"/>
  <c r="H846" i="1" s="1"/>
  <c r="I846" i="1"/>
  <c r="AW845" i="1"/>
  <c r="X845" i="1"/>
  <c r="Y845" i="1" s="1"/>
  <c r="W845" i="1"/>
  <c r="N845" i="1"/>
  <c r="M845" i="1"/>
  <c r="L845" i="1" a="1"/>
  <c r="L845" i="1" s="1"/>
  <c r="K845" i="1"/>
  <c r="J845" i="1"/>
  <c r="H845" i="1" s="1"/>
  <c r="I845" i="1"/>
  <c r="AW844" i="1"/>
  <c r="X844" i="1"/>
  <c r="Y844" i="1" s="1"/>
  <c r="W844" i="1"/>
  <c r="N844" i="1"/>
  <c r="M844" i="1"/>
  <c r="L844" i="1" a="1"/>
  <c r="L844" i="1" s="1"/>
  <c r="K844" i="1"/>
  <c r="J844" i="1"/>
  <c r="H844" i="1" s="1"/>
  <c r="I844" i="1"/>
  <c r="AW843" i="1"/>
  <c r="X843" i="1"/>
  <c r="Y843" i="1" s="1"/>
  <c r="W843" i="1"/>
  <c r="N843" i="1"/>
  <c r="M843" i="1"/>
  <c r="L843" i="1" a="1"/>
  <c r="L843" i="1" s="1"/>
  <c r="K843" i="1"/>
  <c r="J843" i="1"/>
  <c r="H843" i="1" s="1"/>
  <c r="I843" i="1"/>
  <c r="AW842" i="1"/>
  <c r="X842" i="1"/>
  <c r="Y842" i="1" s="1"/>
  <c r="W842" i="1"/>
  <c r="N842" i="1"/>
  <c r="M842" i="1"/>
  <c r="L842" i="1" a="1"/>
  <c r="L842" i="1" s="1"/>
  <c r="K842" i="1"/>
  <c r="J842" i="1"/>
  <c r="H842" i="1" s="1"/>
  <c r="I842" i="1"/>
  <c r="AW841" i="1"/>
  <c r="X841" i="1"/>
  <c r="Y841" i="1" s="1"/>
  <c r="W841" i="1"/>
  <c r="N841" i="1"/>
  <c r="M841" i="1"/>
  <c r="L841" i="1" a="1"/>
  <c r="L841" i="1" s="1"/>
  <c r="K841" i="1"/>
  <c r="J841" i="1"/>
  <c r="H841" i="1" s="1"/>
  <c r="I841" i="1"/>
  <c r="AW840" i="1"/>
  <c r="X840" i="1" s="1"/>
  <c r="Y840" i="1" s="1"/>
  <c r="W840" i="1"/>
  <c r="N840" i="1"/>
  <c r="M840" i="1"/>
  <c r="L840" i="1" a="1"/>
  <c r="L840" i="1" s="1"/>
  <c r="K840" i="1"/>
  <c r="J840" i="1"/>
  <c r="I840" i="1"/>
  <c r="H840" i="1"/>
  <c r="AW839" i="1"/>
  <c r="X839" i="1" s="1"/>
  <c r="Y839" i="1" s="1"/>
  <c r="W839" i="1"/>
  <c r="N839" i="1"/>
  <c r="M839" i="1"/>
  <c r="L839" i="1" a="1"/>
  <c r="L839" i="1" s="1"/>
  <c r="K839" i="1"/>
  <c r="J839" i="1"/>
  <c r="H839" i="1" s="1"/>
  <c r="I839" i="1"/>
  <c r="AW838" i="1"/>
  <c r="X838" i="1"/>
  <c r="Y838" i="1" s="1"/>
  <c r="W838" i="1"/>
  <c r="N838" i="1"/>
  <c r="M838" i="1"/>
  <c r="L838" i="1" a="1"/>
  <c r="L838" i="1" s="1"/>
  <c r="K838" i="1"/>
  <c r="J838" i="1"/>
  <c r="H838" i="1" s="1"/>
  <c r="I838" i="1"/>
  <c r="AW837" i="1"/>
  <c r="X837" i="1" s="1"/>
  <c r="Y837" i="1" s="1"/>
  <c r="W837" i="1"/>
  <c r="N837" i="1"/>
  <c r="M837" i="1"/>
  <c r="L837" i="1" a="1"/>
  <c r="L837" i="1" s="1"/>
  <c r="K837" i="1"/>
  <c r="J837" i="1"/>
  <c r="H837" i="1" s="1"/>
  <c r="I837" i="1"/>
  <c r="AW836" i="1"/>
  <c r="X836" i="1"/>
  <c r="Y836" i="1" s="1"/>
  <c r="W836" i="1"/>
  <c r="N836" i="1"/>
  <c r="M836" i="1"/>
  <c r="L836" i="1" a="1"/>
  <c r="L836" i="1" s="1"/>
  <c r="K836" i="1"/>
  <c r="J836" i="1"/>
  <c r="H836" i="1" s="1"/>
  <c r="I836" i="1"/>
  <c r="AW835" i="1"/>
  <c r="X835" i="1"/>
  <c r="Y835" i="1" s="1"/>
  <c r="W835" i="1"/>
  <c r="N835" i="1"/>
  <c r="M835" i="1"/>
  <c r="L835" i="1" a="1"/>
  <c r="L835" i="1" s="1"/>
  <c r="K835" i="1"/>
  <c r="J835" i="1"/>
  <c r="H835" i="1" s="1"/>
  <c r="I835" i="1"/>
  <c r="AW834" i="1"/>
  <c r="X834" i="1"/>
  <c r="Y834" i="1" s="1"/>
  <c r="W834" i="1"/>
  <c r="N834" i="1"/>
  <c r="M834" i="1"/>
  <c r="L834" i="1" a="1"/>
  <c r="L834" i="1" s="1"/>
  <c r="K834" i="1"/>
  <c r="J834" i="1"/>
  <c r="H834" i="1" s="1"/>
  <c r="I834" i="1"/>
  <c r="AW833" i="1"/>
  <c r="X833" i="1" s="1"/>
  <c r="Y833" i="1" s="1"/>
  <c r="W833" i="1"/>
  <c r="N833" i="1"/>
  <c r="M833" i="1"/>
  <c r="L833" i="1" a="1"/>
  <c r="L833" i="1" s="1"/>
  <c r="K833" i="1"/>
  <c r="J833" i="1"/>
  <c r="H833" i="1" s="1"/>
  <c r="I833" i="1"/>
  <c r="AW832" i="1"/>
  <c r="X832" i="1" s="1"/>
  <c r="Y832" i="1" s="1"/>
  <c r="W832" i="1"/>
  <c r="N832" i="1"/>
  <c r="M832" i="1"/>
  <c r="L832" i="1" a="1"/>
  <c r="L832" i="1" s="1"/>
  <c r="K832" i="1"/>
  <c r="J832" i="1"/>
  <c r="H832" i="1" s="1"/>
  <c r="I832" i="1"/>
  <c r="AW831" i="1"/>
  <c r="X831" i="1"/>
  <c r="Y831" i="1" s="1"/>
  <c r="W831" i="1"/>
  <c r="N831" i="1"/>
  <c r="M831" i="1"/>
  <c r="L831" i="1" a="1"/>
  <c r="L831" i="1" s="1"/>
  <c r="K831" i="1"/>
  <c r="J831" i="1"/>
  <c r="H831" i="1" s="1"/>
  <c r="I831" i="1"/>
  <c r="AW830" i="1"/>
  <c r="X830" i="1"/>
  <c r="Y830" i="1" s="1"/>
  <c r="W830" i="1"/>
  <c r="N830" i="1"/>
  <c r="M830" i="1"/>
  <c r="L830" i="1" a="1"/>
  <c r="L830" i="1" s="1"/>
  <c r="K830" i="1"/>
  <c r="J830" i="1"/>
  <c r="H830" i="1" s="1"/>
  <c r="I830" i="1"/>
  <c r="AW829" i="1"/>
  <c r="X829" i="1" s="1"/>
  <c r="Y829" i="1" s="1"/>
  <c r="W829" i="1"/>
  <c r="N829" i="1"/>
  <c r="M829" i="1"/>
  <c r="L829" i="1" a="1"/>
  <c r="L829" i="1" s="1"/>
  <c r="K829" i="1"/>
  <c r="J829" i="1"/>
  <c r="I829" i="1"/>
  <c r="H829" i="1"/>
  <c r="AW828" i="1"/>
  <c r="X828" i="1" s="1"/>
  <c r="Y828" i="1" s="1"/>
  <c r="W828" i="1"/>
  <c r="N828" i="1"/>
  <c r="M828" i="1"/>
  <c r="L828" i="1" a="1"/>
  <c r="L828" i="1" s="1"/>
  <c r="K828" i="1"/>
  <c r="J828" i="1"/>
  <c r="H828" i="1" s="1"/>
  <c r="I828" i="1"/>
  <c r="AW827" i="1"/>
  <c r="X827" i="1"/>
  <c r="Y827" i="1" s="1"/>
  <c r="W827" i="1"/>
  <c r="N827" i="1"/>
  <c r="M827" i="1"/>
  <c r="L827" i="1" a="1"/>
  <c r="L827" i="1" s="1"/>
  <c r="K827" i="1"/>
  <c r="J827" i="1"/>
  <c r="H827" i="1" s="1"/>
  <c r="I827" i="1"/>
  <c r="AW826" i="1"/>
  <c r="X826" i="1" s="1"/>
  <c r="Y826" i="1" s="1"/>
  <c r="W826" i="1"/>
  <c r="N826" i="1"/>
  <c r="M826" i="1"/>
  <c r="L826" i="1" a="1"/>
  <c r="L826" i="1" s="1"/>
  <c r="K826" i="1"/>
  <c r="J826" i="1"/>
  <c r="H826" i="1" s="1"/>
  <c r="I826" i="1"/>
  <c r="AW825" i="1"/>
  <c r="X825" i="1"/>
  <c r="Y825" i="1" s="1"/>
  <c r="W825" i="1"/>
  <c r="N825" i="1"/>
  <c r="M825" i="1"/>
  <c r="L825" i="1" a="1"/>
  <c r="L825" i="1" s="1"/>
  <c r="K825" i="1"/>
  <c r="J825" i="1"/>
  <c r="H825" i="1" s="1"/>
  <c r="I825" i="1"/>
  <c r="AW824" i="1"/>
  <c r="X824" i="1" s="1"/>
  <c r="Y824" i="1" s="1"/>
  <c r="W824" i="1"/>
  <c r="N824" i="1"/>
  <c r="M824" i="1"/>
  <c r="L824" i="1" a="1"/>
  <c r="L824" i="1" s="1"/>
  <c r="K824" i="1"/>
  <c r="J824" i="1"/>
  <c r="H824" i="1" s="1"/>
  <c r="I824" i="1"/>
  <c r="AW823" i="1"/>
  <c r="X823" i="1"/>
  <c r="Y823" i="1" s="1"/>
  <c r="W823" i="1"/>
  <c r="N823" i="1"/>
  <c r="M823" i="1"/>
  <c r="L823" i="1"/>
  <c r="L823" i="1" a="1"/>
  <c r="K823" i="1"/>
  <c r="J823" i="1"/>
  <c r="H823" i="1" s="1"/>
  <c r="I823" i="1"/>
  <c r="AW822" i="1"/>
  <c r="X822" i="1"/>
  <c r="Y822" i="1" s="1"/>
  <c r="W822" i="1"/>
  <c r="N822" i="1"/>
  <c r="M822" i="1"/>
  <c r="L822" i="1" a="1"/>
  <c r="L822" i="1" s="1"/>
  <c r="K822" i="1"/>
  <c r="J822" i="1"/>
  <c r="H822" i="1" s="1"/>
  <c r="I822" i="1"/>
  <c r="AW821" i="1"/>
  <c r="X821" i="1"/>
  <c r="Y821" i="1" s="1"/>
  <c r="W821" i="1"/>
  <c r="N821" i="1"/>
  <c r="M821" i="1"/>
  <c r="L821" i="1" a="1"/>
  <c r="L821" i="1" s="1"/>
  <c r="K821" i="1"/>
  <c r="J821" i="1"/>
  <c r="H821" i="1" s="1"/>
  <c r="I821" i="1"/>
  <c r="AW820" i="1"/>
  <c r="X820" i="1"/>
  <c r="Y820" i="1" s="1"/>
  <c r="W820" i="1"/>
  <c r="N820" i="1"/>
  <c r="M820" i="1"/>
  <c r="L820" i="1" a="1"/>
  <c r="L820" i="1" s="1"/>
  <c r="K820" i="1"/>
  <c r="J820" i="1"/>
  <c r="H820" i="1" s="1"/>
  <c r="I820" i="1"/>
  <c r="AW819" i="1"/>
  <c r="X819" i="1"/>
  <c r="Y819" i="1" s="1"/>
  <c r="W819" i="1"/>
  <c r="N819" i="1"/>
  <c r="M819" i="1"/>
  <c r="L819" i="1" a="1"/>
  <c r="L819" i="1" s="1"/>
  <c r="K819" i="1"/>
  <c r="J819" i="1"/>
  <c r="H819" i="1" s="1"/>
  <c r="I819" i="1"/>
  <c r="AW818" i="1"/>
  <c r="X818" i="1" s="1"/>
  <c r="Y818" i="1" s="1"/>
  <c r="W818" i="1"/>
  <c r="N818" i="1"/>
  <c r="M818" i="1"/>
  <c r="L818" i="1" a="1"/>
  <c r="L818" i="1" s="1"/>
  <c r="K818" i="1"/>
  <c r="J818" i="1"/>
  <c r="H818" i="1" s="1"/>
  <c r="I818" i="1"/>
  <c r="AW817" i="1"/>
  <c r="X817" i="1"/>
  <c r="Y817" i="1" s="1"/>
  <c r="W817" i="1"/>
  <c r="N817" i="1"/>
  <c r="M817" i="1"/>
  <c r="L817" i="1" a="1"/>
  <c r="L817" i="1" s="1"/>
  <c r="K817" i="1"/>
  <c r="J817" i="1"/>
  <c r="H817" i="1" s="1"/>
  <c r="I817" i="1"/>
  <c r="AW816" i="1"/>
  <c r="X816" i="1"/>
  <c r="Y816" i="1" s="1"/>
  <c r="W816" i="1"/>
  <c r="N816" i="1"/>
  <c r="M816" i="1"/>
  <c r="L816" i="1" a="1"/>
  <c r="L816" i="1" s="1"/>
  <c r="K816" i="1"/>
  <c r="J816" i="1"/>
  <c r="H816" i="1" s="1"/>
  <c r="I816" i="1"/>
  <c r="AW815" i="1"/>
  <c r="X815" i="1"/>
  <c r="Y815" i="1" s="1"/>
  <c r="W815" i="1"/>
  <c r="N815" i="1"/>
  <c r="M815" i="1"/>
  <c r="L815" i="1" a="1"/>
  <c r="L815" i="1" s="1"/>
  <c r="K815" i="1"/>
  <c r="J815" i="1"/>
  <c r="I815" i="1"/>
  <c r="H815" i="1"/>
  <c r="AW814" i="1"/>
  <c r="X814" i="1"/>
  <c r="Y814" i="1" s="1"/>
  <c r="W814" i="1"/>
  <c r="N814" i="1"/>
  <c r="M814" i="1"/>
  <c r="L814" i="1" a="1"/>
  <c r="L814" i="1" s="1"/>
  <c r="K814" i="1"/>
  <c r="J814" i="1"/>
  <c r="H814" i="1" s="1"/>
  <c r="I814" i="1"/>
  <c r="AW813" i="1"/>
  <c r="X813" i="1"/>
  <c r="Y813" i="1" s="1"/>
  <c r="W813" i="1"/>
  <c r="N813" i="1"/>
  <c r="M813" i="1"/>
  <c r="L813" i="1" a="1"/>
  <c r="L813" i="1" s="1"/>
  <c r="K813" i="1"/>
  <c r="J813" i="1"/>
  <c r="I813" i="1"/>
  <c r="H813" i="1"/>
  <c r="AW812" i="1"/>
  <c r="X812" i="1"/>
  <c r="Y812" i="1" s="1"/>
  <c r="W812" i="1"/>
  <c r="N812" i="1"/>
  <c r="M812" i="1"/>
  <c r="L812" i="1" a="1"/>
  <c r="L812" i="1" s="1"/>
  <c r="K812" i="1"/>
  <c r="J812" i="1"/>
  <c r="H812" i="1" s="1"/>
  <c r="I812" i="1"/>
  <c r="AW811" i="1"/>
  <c r="X811" i="1"/>
  <c r="Y811" i="1" s="1"/>
  <c r="W811" i="1"/>
  <c r="N811" i="1"/>
  <c r="M811" i="1"/>
  <c r="L811" i="1" a="1"/>
  <c r="L811" i="1" s="1"/>
  <c r="K811" i="1"/>
  <c r="J811" i="1"/>
  <c r="H811" i="1" s="1"/>
  <c r="I811" i="1"/>
  <c r="AW810" i="1"/>
  <c r="X810" i="1"/>
  <c r="Y810" i="1" s="1"/>
  <c r="W810" i="1"/>
  <c r="N810" i="1"/>
  <c r="M810" i="1"/>
  <c r="L810" i="1" a="1"/>
  <c r="L810" i="1" s="1"/>
  <c r="K810" i="1"/>
  <c r="J810" i="1"/>
  <c r="H810" i="1" s="1"/>
  <c r="I810" i="1"/>
  <c r="AW809" i="1"/>
  <c r="X809" i="1" s="1"/>
  <c r="Y809" i="1" s="1"/>
  <c r="W809" i="1"/>
  <c r="N809" i="1"/>
  <c r="M809" i="1"/>
  <c r="L809" i="1" a="1"/>
  <c r="L809" i="1" s="1"/>
  <c r="K809" i="1"/>
  <c r="J809" i="1"/>
  <c r="H809" i="1" s="1"/>
  <c r="I809" i="1"/>
  <c r="AW808" i="1"/>
  <c r="X808" i="1"/>
  <c r="Y808" i="1" s="1"/>
  <c r="W808" i="1"/>
  <c r="N808" i="1"/>
  <c r="M808" i="1"/>
  <c r="L808" i="1" a="1"/>
  <c r="L808" i="1" s="1"/>
  <c r="K808" i="1"/>
  <c r="J808" i="1"/>
  <c r="I808" i="1"/>
  <c r="H808" i="1"/>
  <c r="AW807" i="1"/>
  <c r="X807" i="1" s="1"/>
  <c r="Y807" i="1" s="1"/>
  <c r="W807" i="1"/>
  <c r="N807" i="1"/>
  <c r="M807" i="1"/>
  <c r="L807" i="1" a="1"/>
  <c r="L807" i="1" s="1"/>
  <c r="K807" i="1"/>
  <c r="J807" i="1"/>
  <c r="H807" i="1" s="1"/>
  <c r="I807" i="1"/>
  <c r="AW806" i="1"/>
  <c r="X806" i="1"/>
  <c r="Y806" i="1" s="1"/>
  <c r="W806" i="1"/>
  <c r="N806" i="1"/>
  <c r="M806" i="1"/>
  <c r="L806" i="1" a="1"/>
  <c r="L806" i="1" s="1"/>
  <c r="K806" i="1"/>
  <c r="J806" i="1"/>
  <c r="H806" i="1" s="1"/>
  <c r="I806" i="1"/>
  <c r="AW805" i="1"/>
  <c r="X805" i="1"/>
  <c r="Y805" i="1" s="1"/>
  <c r="W805" i="1"/>
  <c r="N805" i="1"/>
  <c r="M805" i="1"/>
  <c r="L805" i="1" a="1"/>
  <c r="L805" i="1" s="1"/>
  <c r="K805" i="1"/>
  <c r="J805" i="1"/>
  <c r="I805" i="1"/>
  <c r="H805" i="1"/>
  <c r="AW804" i="1"/>
  <c r="X804" i="1" s="1"/>
  <c r="Y804" i="1" s="1"/>
  <c r="W804" i="1"/>
  <c r="N804" i="1"/>
  <c r="M804" i="1"/>
  <c r="L804" i="1" a="1"/>
  <c r="L804" i="1" s="1"/>
  <c r="K804" i="1"/>
  <c r="J804" i="1"/>
  <c r="H804" i="1" s="1"/>
  <c r="I804" i="1"/>
  <c r="AW803" i="1"/>
  <c r="X803" i="1"/>
  <c r="Y803" i="1" s="1"/>
  <c r="W803" i="1"/>
  <c r="N803" i="1"/>
  <c r="M803" i="1"/>
  <c r="L803" i="1" a="1"/>
  <c r="L803" i="1" s="1"/>
  <c r="K803" i="1"/>
  <c r="J803" i="1"/>
  <c r="H803" i="1" s="1"/>
  <c r="I803" i="1"/>
  <c r="AW802" i="1"/>
  <c r="X802" i="1" s="1"/>
  <c r="Y802" i="1" s="1"/>
  <c r="W802" i="1"/>
  <c r="N802" i="1"/>
  <c r="M802" i="1"/>
  <c r="L802" i="1" a="1"/>
  <c r="L802" i="1" s="1"/>
  <c r="K802" i="1"/>
  <c r="J802" i="1"/>
  <c r="H802" i="1" s="1"/>
  <c r="I802" i="1"/>
  <c r="AW801" i="1"/>
  <c r="X801" i="1"/>
  <c r="Y801" i="1" s="1"/>
  <c r="W801" i="1"/>
  <c r="N801" i="1"/>
  <c r="M801" i="1"/>
  <c r="L801" i="1" a="1"/>
  <c r="L801" i="1" s="1"/>
  <c r="K801" i="1"/>
  <c r="J801" i="1"/>
  <c r="I801" i="1"/>
  <c r="H801" i="1"/>
  <c r="AW800" i="1"/>
  <c r="X800" i="1" s="1"/>
  <c r="Y800" i="1" s="1"/>
  <c r="W800" i="1"/>
  <c r="N800" i="1"/>
  <c r="M800" i="1"/>
  <c r="L800" i="1" a="1"/>
  <c r="L800" i="1" s="1"/>
  <c r="K800" i="1"/>
  <c r="J800" i="1"/>
  <c r="H800" i="1" s="1"/>
  <c r="I800" i="1"/>
  <c r="AW799" i="1"/>
  <c r="X799" i="1" s="1"/>
  <c r="Y799" i="1" s="1"/>
  <c r="W799" i="1"/>
  <c r="N799" i="1"/>
  <c r="M799" i="1"/>
  <c r="L799" i="1" a="1"/>
  <c r="L799" i="1" s="1"/>
  <c r="K799" i="1"/>
  <c r="J799" i="1"/>
  <c r="H799" i="1" s="1"/>
  <c r="I799" i="1"/>
  <c r="AW798" i="1"/>
  <c r="X798" i="1" s="1"/>
  <c r="Y798" i="1" s="1"/>
  <c r="W798" i="1"/>
  <c r="N798" i="1"/>
  <c r="M798" i="1"/>
  <c r="L798" i="1" a="1"/>
  <c r="L798" i="1" s="1"/>
  <c r="K798" i="1"/>
  <c r="J798" i="1"/>
  <c r="H798" i="1" s="1"/>
  <c r="I798" i="1"/>
  <c r="AW797" i="1"/>
  <c r="X797" i="1"/>
  <c r="Y797" i="1" s="1"/>
  <c r="W797" i="1"/>
  <c r="N797" i="1"/>
  <c r="M797" i="1"/>
  <c r="L797" i="1" a="1"/>
  <c r="L797" i="1" s="1"/>
  <c r="K797" i="1"/>
  <c r="J797" i="1"/>
  <c r="H797" i="1" s="1"/>
  <c r="I797" i="1"/>
  <c r="AW796" i="1"/>
  <c r="X796" i="1"/>
  <c r="Y796" i="1" s="1"/>
  <c r="W796" i="1"/>
  <c r="N796" i="1"/>
  <c r="M796" i="1"/>
  <c r="L796" i="1" a="1"/>
  <c r="L796" i="1" s="1"/>
  <c r="K796" i="1"/>
  <c r="J796" i="1"/>
  <c r="H796" i="1" s="1"/>
  <c r="I796" i="1"/>
  <c r="AW795" i="1"/>
  <c r="X795" i="1"/>
  <c r="Y795" i="1" s="1"/>
  <c r="W795" i="1"/>
  <c r="N795" i="1"/>
  <c r="M795" i="1"/>
  <c r="L795" i="1" a="1"/>
  <c r="L795" i="1" s="1"/>
  <c r="K795" i="1"/>
  <c r="J795" i="1"/>
  <c r="H795" i="1" s="1"/>
  <c r="I795" i="1"/>
  <c r="AW794" i="1"/>
  <c r="X794" i="1"/>
  <c r="Y794" i="1" s="1"/>
  <c r="W794" i="1"/>
  <c r="N794" i="1"/>
  <c r="M794" i="1"/>
  <c r="L794" i="1" a="1"/>
  <c r="L794" i="1" s="1"/>
  <c r="K794" i="1"/>
  <c r="J794" i="1"/>
  <c r="H794" i="1" s="1"/>
  <c r="I794" i="1"/>
  <c r="AW793" i="1"/>
  <c r="X793" i="1"/>
  <c r="Y793" i="1" s="1"/>
  <c r="W793" i="1"/>
  <c r="N793" i="1"/>
  <c r="M793" i="1"/>
  <c r="L793" i="1" a="1"/>
  <c r="L793" i="1" s="1"/>
  <c r="K793" i="1"/>
  <c r="J793" i="1"/>
  <c r="H793" i="1" s="1"/>
  <c r="I793" i="1"/>
  <c r="AW792" i="1"/>
  <c r="X792" i="1" s="1"/>
  <c r="Y792" i="1" s="1"/>
  <c r="W792" i="1"/>
  <c r="N792" i="1"/>
  <c r="M792" i="1"/>
  <c r="L792" i="1" a="1"/>
  <c r="L792" i="1" s="1"/>
  <c r="K792" i="1"/>
  <c r="J792" i="1"/>
  <c r="H792" i="1" s="1"/>
  <c r="I792" i="1"/>
  <c r="AW791" i="1"/>
  <c r="X791" i="1"/>
  <c r="Y791" i="1" s="1"/>
  <c r="W791" i="1"/>
  <c r="N791" i="1"/>
  <c r="M791" i="1"/>
  <c r="L791" i="1" a="1"/>
  <c r="L791" i="1" s="1"/>
  <c r="K791" i="1"/>
  <c r="J791" i="1"/>
  <c r="H791" i="1" s="1"/>
  <c r="I791" i="1"/>
  <c r="AW790" i="1"/>
  <c r="X790" i="1"/>
  <c r="Y790" i="1" s="1"/>
  <c r="W790" i="1"/>
  <c r="N790" i="1"/>
  <c r="M790" i="1"/>
  <c r="L790" i="1" a="1"/>
  <c r="L790" i="1" s="1"/>
  <c r="K790" i="1"/>
  <c r="J790" i="1"/>
  <c r="H790" i="1" s="1"/>
  <c r="I790" i="1"/>
  <c r="AW789" i="1"/>
  <c r="X789" i="1"/>
  <c r="Y789" i="1" s="1"/>
  <c r="W789" i="1"/>
  <c r="N789" i="1"/>
  <c r="M789" i="1"/>
  <c r="L789" i="1" a="1"/>
  <c r="L789" i="1" s="1"/>
  <c r="K789" i="1"/>
  <c r="J789" i="1"/>
  <c r="H789" i="1" s="1"/>
  <c r="I789" i="1"/>
  <c r="AW788" i="1"/>
  <c r="X788" i="1"/>
  <c r="Y788" i="1" s="1"/>
  <c r="W788" i="1"/>
  <c r="N788" i="1"/>
  <c r="M788" i="1"/>
  <c r="L788" i="1" a="1"/>
  <c r="L788" i="1" s="1"/>
  <c r="K788" i="1"/>
  <c r="J788" i="1"/>
  <c r="H788" i="1" s="1"/>
  <c r="I788" i="1"/>
  <c r="AW787" i="1"/>
  <c r="X787" i="1"/>
  <c r="Y787" i="1" s="1"/>
  <c r="W787" i="1"/>
  <c r="N787" i="1"/>
  <c r="M787" i="1"/>
  <c r="L787" i="1" a="1"/>
  <c r="L787" i="1" s="1"/>
  <c r="K787" i="1"/>
  <c r="J787" i="1"/>
  <c r="H787" i="1" s="1"/>
  <c r="I787" i="1"/>
  <c r="AW786" i="1"/>
  <c r="X786" i="1"/>
  <c r="Y786" i="1" s="1"/>
  <c r="W786" i="1"/>
  <c r="N786" i="1"/>
  <c r="M786" i="1"/>
  <c r="L786" i="1" a="1"/>
  <c r="L786" i="1" s="1"/>
  <c r="K786" i="1"/>
  <c r="J786" i="1"/>
  <c r="H786" i="1" s="1"/>
  <c r="I786" i="1"/>
  <c r="AW785" i="1"/>
  <c r="X785" i="1"/>
  <c r="Y785" i="1" s="1"/>
  <c r="W785" i="1"/>
  <c r="N785" i="1"/>
  <c r="M785" i="1"/>
  <c r="L785" i="1" a="1"/>
  <c r="L785" i="1" s="1"/>
  <c r="K785" i="1"/>
  <c r="J785" i="1"/>
  <c r="H785" i="1" s="1"/>
  <c r="I785" i="1"/>
  <c r="AW784" i="1"/>
  <c r="X784" i="1"/>
  <c r="Y784" i="1" s="1"/>
  <c r="W784" i="1"/>
  <c r="N784" i="1"/>
  <c r="M784" i="1"/>
  <c r="L784" i="1" a="1"/>
  <c r="L784" i="1" s="1"/>
  <c r="K784" i="1"/>
  <c r="J784" i="1"/>
  <c r="H784" i="1" s="1"/>
  <c r="I784" i="1"/>
  <c r="AW783" i="1"/>
  <c r="X783" i="1" s="1"/>
  <c r="Y783" i="1" s="1"/>
  <c r="W783" i="1"/>
  <c r="N783" i="1"/>
  <c r="M783" i="1"/>
  <c r="L783" i="1" a="1"/>
  <c r="L783" i="1" s="1"/>
  <c r="K783" i="1"/>
  <c r="J783" i="1"/>
  <c r="H783" i="1" s="1"/>
  <c r="I783" i="1"/>
  <c r="AW782" i="1"/>
  <c r="X782" i="1"/>
  <c r="Y782" i="1" s="1"/>
  <c r="W782" i="1"/>
  <c r="N782" i="1"/>
  <c r="M782" i="1"/>
  <c r="L782" i="1" a="1"/>
  <c r="L782" i="1" s="1"/>
  <c r="K782" i="1"/>
  <c r="J782" i="1"/>
  <c r="H782" i="1" s="1"/>
  <c r="I782" i="1"/>
  <c r="AW781" i="1"/>
  <c r="X781" i="1"/>
  <c r="Y781" i="1" s="1"/>
  <c r="W781" i="1"/>
  <c r="N781" i="1"/>
  <c r="M781" i="1"/>
  <c r="L781" i="1" a="1"/>
  <c r="L781" i="1" s="1"/>
  <c r="K781" i="1"/>
  <c r="J781" i="1"/>
  <c r="H781" i="1" s="1"/>
  <c r="I781" i="1"/>
  <c r="AW780" i="1"/>
  <c r="X780" i="1" s="1"/>
  <c r="Y780" i="1" s="1"/>
  <c r="W780" i="1"/>
  <c r="N780" i="1"/>
  <c r="M780" i="1"/>
  <c r="L780" i="1" a="1"/>
  <c r="L780" i="1" s="1"/>
  <c r="K780" i="1"/>
  <c r="J780" i="1"/>
  <c r="I780" i="1"/>
  <c r="H780" i="1"/>
  <c r="AW779" i="1"/>
  <c r="X779" i="1"/>
  <c r="Y779" i="1" s="1"/>
  <c r="W779" i="1"/>
  <c r="N779" i="1"/>
  <c r="M779" i="1"/>
  <c r="L779" i="1"/>
  <c r="L779" i="1" a="1"/>
  <c r="K779" i="1"/>
  <c r="J779" i="1"/>
  <c r="H779" i="1" s="1"/>
  <c r="I779" i="1"/>
  <c r="AW778" i="1"/>
  <c r="X778" i="1"/>
  <c r="Y778" i="1" s="1"/>
  <c r="W778" i="1"/>
  <c r="N778" i="1"/>
  <c r="M778" i="1"/>
  <c r="L778" i="1"/>
  <c r="L778" i="1" a="1"/>
  <c r="K778" i="1"/>
  <c r="J778" i="1"/>
  <c r="H778" i="1" s="1"/>
  <c r="I778" i="1"/>
  <c r="AW777" i="1"/>
  <c r="X777" i="1"/>
  <c r="Y777" i="1" s="1"/>
  <c r="W777" i="1"/>
  <c r="N777" i="1"/>
  <c r="M777" i="1"/>
  <c r="L777" i="1" a="1"/>
  <c r="L777" i="1" s="1"/>
  <c r="K777" i="1"/>
  <c r="J777" i="1"/>
  <c r="H777" i="1" s="1"/>
  <c r="I777" i="1"/>
  <c r="AW776" i="1"/>
  <c r="X776" i="1" s="1"/>
  <c r="Y776" i="1" s="1"/>
  <c r="W776" i="1"/>
  <c r="N776" i="1"/>
  <c r="M776" i="1"/>
  <c r="L776" i="1" a="1"/>
  <c r="L776" i="1" s="1"/>
  <c r="K776" i="1"/>
  <c r="J776" i="1"/>
  <c r="H776" i="1" s="1"/>
  <c r="I776" i="1"/>
  <c r="AW775" i="1"/>
  <c r="X775" i="1" s="1"/>
  <c r="Y775" i="1" s="1"/>
  <c r="W775" i="1"/>
  <c r="N775" i="1"/>
  <c r="M775" i="1"/>
  <c r="L775" i="1" a="1"/>
  <c r="L775" i="1" s="1"/>
  <c r="K775" i="1"/>
  <c r="J775" i="1"/>
  <c r="H775" i="1" s="1"/>
  <c r="I775" i="1"/>
  <c r="AW774" i="1"/>
  <c r="X774" i="1" s="1"/>
  <c r="Y774" i="1" s="1"/>
  <c r="W774" i="1"/>
  <c r="N774" i="1"/>
  <c r="M774" i="1"/>
  <c r="L774" i="1" a="1"/>
  <c r="L774" i="1" s="1"/>
  <c r="K774" i="1"/>
  <c r="J774" i="1"/>
  <c r="H774" i="1" s="1"/>
  <c r="I774" i="1"/>
  <c r="AW773" i="1"/>
  <c r="X773" i="1"/>
  <c r="Y773" i="1" s="1"/>
  <c r="W773" i="1"/>
  <c r="N773" i="1"/>
  <c r="M773" i="1"/>
  <c r="L773" i="1" a="1"/>
  <c r="L773" i="1" s="1"/>
  <c r="K773" i="1"/>
  <c r="J773" i="1"/>
  <c r="H773" i="1" s="1"/>
  <c r="I773" i="1"/>
  <c r="AW772" i="1"/>
  <c r="X772" i="1" s="1"/>
  <c r="Y772" i="1" s="1"/>
  <c r="W772" i="1"/>
  <c r="N772" i="1"/>
  <c r="M772" i="1"/>
  <c r="L772" i="1"/>
  <c r="L772" i="1" a="1"/>
  <c r="K772" i="1"/>
  <c r="J772" i="1"/>
  <c r="I772" i="1"/>
  <c r="H772" i="1"/>
  <c r="AW771" i="1"/>
  <c r="X771" i="1"/>
  <c r="Y771" i="1" s="1"/>
  <c r="W771" i="1"/>
  <c r="N771" i="1"/>
  <c r="M771" i="1"/>
  <c r="L771" i="1" a="1"/>
  <c r="L771" i="1" s="1"/>
  <c r="K771" i="1"/>
  <c r="J771" i="1"/>
  <c r="H771" i="1" s="1"/>
  <c r="I771" i="1"/>
  <c r="AW770" i="1"/>
  <c r="X770" i="1"/>
  <c r="Y770" i="1" s="1"/>
  <c r="W770" i="1"/>
  <c r="N770" i="1"/>
  <c r="M770" i="1"/>
  <c r="L770" i="1" a="1"/>
  <c r="L770" i="1" s="1"/>
  <c r="K770" i="1"/>
  <c r="J770" i="1"/>
  <c r="H770" i="1" s="1"/>
  <c r="I770" i="1"/>
  <c r="AW769" i="1"/>
  <c r="X769" i="1"/>
  <c r="Y769" i="1" s="1"/>
  <c r="W769" i="1"/>
  <c r="N769" i="1"/>
  <c r="M769" i="1"/>
  <c r="L769" i="1" a="1"/>
  <c r="L769" i="1" s="1"/>
  <c r="K769" i="1"/>
  <c r="J769" i="1"/>
  <c r="H769" i="1" s="1"/>
  <c r="I769" i="1"/>
  <c r="AW768" i="1"/>
  <c r="X768" i="1"/>
  <c r="Y768" i="1" s="1"/>
  <c r="W768" i="1"/>
  <c r="N768" i="1"/>
  <c r="M768" i="1"/>
  <c r="L768" i="1" a="1"/>
  <c r="L768" i="1" s="1"/>
  <c r="K768" i="1"/>
  <c r="J768" i="1"/>
  <c r="H768" i="1" s="1"/>
  <c r="I768" i="1"/>
  <c r="AW767" i="1"/>
  <c r="X767" i="1"/>
  <c r="Y767" i="1" s="1"/>
  <c r="W767" i="1"/>
  <c r="N767" i="1"/>
  <c r="M767" i="1"/>
  <c r="L767" i="1" a="1"/>
  <c r="L767" i="1" s="1"/>
  <c r="K767" i="1"/>
  <c r="J767" i="1"/>
  <c r="H767" i="1" s="1"/>
  <c r="I767" i="1"/>
  <c r="AW766" i="1"/>
  <c r="X766" i="1"/>
  <c r="Y766" i="1" s="1"/>
  <c r="W766" i="1"/>
  <c r="N766" i="1"/>
  <c r="M766" i="1"/>
  <c r="L766" i="1" a="1"/>
  <c r="L766" i="1" s="1"/>
  <c r="K766" i="1"/>
  <c r="J766" i="1"/>
  <c r="H766" i="1" s="1"/>
  <c r="I766" i="1"/>
  <c r="AW765" i="1"/>
  <c r="X765" i="1" s="1"/>
  <c r="Y765" i="1" s="1"/>
  <c r="W765" i="1"/>
  <c r="N765" i="1"/>
  <c r="M765" i="1"/>
  <c r="L765" i="1" a="1"/>
  <c r="L765" i="1" s="1"/>
  <c r="K765" i="1"/>
  <c r="J765" i="1"/>
  <c r="H765" i="1" s="1"/>
  <c r="I765" i="1"/>
  <c r="AW764" i="1"/>
  <c r="X764" i="1"/>
  <c r="Y764" i="1" s="1"/>
  <c r="W764" i="1"/>
  <c r="N764" i="1"/>
  <c r="M764" i="1"/>
  <c r="L764" i="1" a="1"/>
  <c r="L764" i="1" s="1"/>
  <c r="K764" i="1"/>
  <c r="J764" i="1"/>
  <c r="H764" i="1" s="1"/>
  <c r="I764" i="1"/>
  <c r="AW763" i="1"/>
  <c r="X763" i="1"/>
  <c r="Y763" i="1" s="1"/>
  <c r="W763" i="1"/>
  <c r="N763" i="1"/>
  <c r="M763" i="1"/>
  <c r="L763" i="1" a="1"/>
  <c r="L763" i="1" s="1"/>
  <c r="K763" i="1"/>
  <c r="J763" i="1"/>
  <c r="H763" i="1" s="1"/>
  <c r="I763" i="1"/>
  <c r="AW762" i="1"/>
  <c r="X762" i="1"/>
  <c r="Y762" i="1" s="1"/>
  <c r="W762" i="1"/>
  <c r="N762" i="1"/>
  <c r="M762" i="1"/>
  <c r="L762" i="1" a="1"/>
  <c r="L762" i="1" s="1"/>
  <c r="K762" i="1"/>
  <c r="J762" i="1"/>
  <c r="I762" i="1"/>
  <c r="H762" i="1"/>
  <c r="AW761" i="1"/>
  <c r="X761" i="1"/>
  <c r="Y761" i="1" s="1"/>
  <c r="W761" i="1"/>
  <c r="N761" i="1"/>
  <c r="M761" i="1"/>
  <c r="L761" i="1" a="1"/>
  <c r="L761" i="1" s="1"/>
  <c r="K761" i="1"/>
  <c r="J761" i="1"/>
  <c r="H761" i="1" s="1"/>
  <c r="I761" i="1"/>
  <c r="AW760" i="1"/>
  <c r="X760" i="1"/>
  <c r="Y760" i="1" s="1"/>
  <c r="W760" i="1"/>
  <c r="N760" i="1"/>
  <c r="M760" i="1"/>
  <c r="L760" i="1" a="1"/>
  <c r="L760" i="1" s="1"/>
  <c r="K760" i="1"/>
  <c r="J760" i="1"/>
  <c r="I760" i="1"/>
  <c r="H760" i="1"/>
  <c r="AW759" i="1"/>
  <c r="X759" i="1"/>
  <c r="Y759" i="1" s="1"/>
  <c r="W759" i="1"/>
  <c r="N759" i="1"/>
  <c r="M759" i="1"/>
  <c r="L759" i="1" a="1"/>
  <c r="L759" i="1" s="1"/>
  <c r="K759" i="1"/>
  <c r="J759" i="1"/>
  <c r="I759" i="1"/>
  <c r="H759" i="1"/>
  <c r="AW758" i="1"/>
  <c r="X758" i="1" s="1"/>
  <c r="Y758" i="1" s="1"/>
  <c r="W758" i="1"/>
  <c r="N758" i="1"/>
  <c r="M758" i="1"/>
  <c r="L758" i="1" a="1"/>
  <c r="L758" i="1" s="1"/>
  <c r="K758" i="1"/>
  <c r="J758" i="1"/>
  <c r="H758" i="1" s="1"/>
  <c r="I758" i="1"/>
  <c r="AW757" i="1"/>
  <c r="X757" i="1"/>
  <c r="Y757" i="1" s="1"/>
  <c r="W757" i="1"/>
  <c r="N757" i="1"/>
  <c r="M757" i="1"/>
  <c r="L757" i="1" a="1"/>
  <c r="L757" i="1" s="1"/>
  <c r="K757" i="1"/>
  <c r="J757" i="1"/>
  <c r="I757" i="1"/>
  <c r="H757" i="1"/>
  <c r="AW756" i="1"/>
  <c r="X756" i="1"/>
  <c r="Y756" i="1" s="1"/>
  <c r="W756" i="1"/>
  <c r="N756" i="1"/>
  <c r="M756" i="1"/>
  <c r="L756" i="1" a="1"/>
  <c r="L756" i="1" s="1"/>
  <c r="K756" i="1"/>
  <c r="J756" i="1"/>
  <c r="H756" i="1" s="1"/>
  <c r="I756" i="1"/>
  <c r="AW755" i="1"/>
  <c r="X755" i="1"/>
  <c r="Y755" i="1" s="1"/>
  <c r="W755" i="1"/>
  <c r="N755" i="1"/>
  <c r="M755" i="1"/>
  <c r="L755" i="1" a="1"/>
  <c r="L755" i="1" s="1"/>
  <c r="K755" i="1"/>
  <c r="J755" i="1"/>
  <c r="I755" i="1"/>
  <c r="H755" i="1"/>
  <c r="AW754" i="1"/>
  <c r="X754" i="1"/>
  <c r="Y754" i="1" s="1"/>
  <c r="W754" i="1"/>
  <c r="N754" i="1"/>
  <c r="M754" i="1"/>
  <c r="L754" i="1" a="1"/>
  <c r="L754" i="1" s="1"/>
  <c r="K754" i="1"/>
  <c r="J754" i="1"/>
  <c r="H754" i="1" s="1"/>
  <c r="I754" i="1"/>
  <c r="AW753" i="1"/>
  <c r="X753" i="1" s="1"/>
  <c r="Y753" i="1" s="1"/>
  <c r="W753" i="1"/>
  <c r="N753" i="1"/>
  <c r="M753" i="1"/>
  <c r="L753" i="1" a="1"/>
  <c r="L753" i="1" s="1"/>
  <c r="K753" i="1"/>
  <c r="J753" i="1"/>
  <c r="H753" i="1" s="1"/>
  <c r="I753" i="1"/>
  <c r="AW752" i="1"/>
  <c r="X752" i="1"/>
  <c r="Y752" i="1" s="1"/>
  <c r="W752" i="1"/>
  <c r="N752" i="1"/>
  <c r="M752" i="1"/>
  <c r="L752" i="1" a="1"/>
  <c r="L752" i="1" s="1"/>
  <c r="K752" i="1"/>
  <c r="J752" i="1"/>
  <c r="H752" i="1" s="1"/>
  <c r="I752" i="1"/>
  <c r="AW751" i="1"/>
  <c r="X751" i="1" s="1"/>
  <c r="Y751" i="1" s="1"/>
  <c r="W751" i="1"/>
  <c r="N751" i="1"/>
  <c r="M751" i="1"/>
  <c r="L751" i="1" a="1"/>
  <c r="L751" i="1" s="1"/>
  <c r="K751" i="1"/>
  <c r="J751" i="1"/>
  <c r="H751" i="1" s="1"/>
  <c r="I751" i="1"/>
  <c r="AW750" i="1"/>
  <c r="X750" i="1"/>
  <c r="Y750" i="1" s="1"/>
  <c r="W750" i="1"/>
  <c r="N750" i="1"/>
  <c r="M750" i="1"/>
  <c r="L750" i="1" a="1"/>
  <c r="L750" i="1" s="1"/>
  <c r="K750" i="1"/>
  <c r="J750" i="1"/>
  <c r="H750" i="1" s="1"/>
  <c r="I750" i="1"/>
  <c r="AW749" i="1"/>
  <c r="X749" i="1" s="1"/>
  <c r="Y749" i="1" s="1"/>
  <c r="W749" i="1"/>
  <c r="N749" i="1"/>
  <c r="M749" i="1"/>
  <c r="L749" i="1" a="1"/>
  <c r="L749" i="1" s="1"/>
  <c r="K749" i="1"/>
  <c r="J749" i="1"/>
  <c r="H749" i="1" s="1"/>
  <c r="I749" i="1"/>
  <c r="AW748" i="1"/>
  <c r="X748" i="1"/>
  <c r="Y748" i="1" s="1"/>
  <c r="W748" i="1"/>
  <c r="N748" i="1"/>
  <c r="M748" i="1"/>
  <c r="L748" i="1" a="1"/>
  <c r="L748" i="1" s="1"/>
  <c r="K748" i="1"/>
  <c r="J748" i="1"/>
  <c r="I748" i="1"/>
  <c r="H748" i="1"/>
  <c r="AW747" i="1"/>
  <c r="X747" i="1" s="1"/>
  <c r="Y747" i="1" s="1"/>
  <c r="W747" i="1"/>
  <c r="N747" i="1"/>
  <c r="M747" i="1"/>
  <c r="L747" i="1" a="1"/>
  <c r="L747" i="1" s="1"/>
  <c r="K747" i="1"/>
  <c r="J747" i="1"/>
  <c r="H747" i="1" s="1"/>
  <c r="I747" i="1"/>
  <c r="AW746" i="1"/>
  <c r="X746" i="1"/>
  <c r="Y746" i="1" s="1"/>
  <c r="W746" i="1"/>
  <c r="N746" i="1"/>
  <c r="M746" i="1"/>
  <c r="L746" i="1" a="1"/>
  <c r="L746" i="1" s="1"/>
  <c r="K746" i="1"/>
  <c r="J746" i="1"/>
  <c r="H746" i="1" s="1"/>
  <c r="I746" i="1"/>
  <c r="AW745" i="1"/>
  <c r="X745" i="1"/>
  <c r="Y745" i="1" s="1"/>
  <c r="W745" i="1"/>
  <c r="N745" i="1"/>
  <c r="M745" i="1"/>
  <c r="L745" i="1" a="1"/>
  <c r="L745" i="1" s="1"/>
  <c r="K745" i="1"/>
  <c r="J745" i="1"/>
  <c r="H745" i="1" s="1"/>
  <c r="I745" i="1"/>
  <c r="AW744" i="1"/>
  <c r="X744" i="1" s="1"/>
  <c r="Y744" i="1" s="1"/>
  <c r="W744" i="1"/>
  <c r="N744" i="1"/>
  <c r="M744" i="1"/>
  <c r="L744" i="1" a="1"/>
  <c r="L744" i="1" s="1"/>
  <c r="K744" i="1"/>
  <c r="J744" i="1"/>
  <c r="H744" i="1" s="1"/>
  <c r="I744" i="1"/>
  <c r="AW743" i="1"/>
  <c r="X743" i="1" s="1"/>
  <c r="Y743" i="1" s="1"/>
  <c r="W743" i="1"/>
  <c r="N743" i="1"/>
  <c r="M743" i="1"/>
  <c r="L743" i="1" a="1"/>
  <c r="L743" i="1" s="1"/>
  <c r="K743" i="1"/>
  <c r="J743" i="1"/>
  <c r="H743" i="1" s="1"/>
  <c r="I743" i="1"/>
  <c r="AW742" i="1"/>
  <c r="X742" i="1"/>
  <c r="Y742" i="1" s="1"/>
  <c r="W742" i="1"/>
  <c r="N742" i="1"/>
  <c r="M742" i="1"/>
  <c r="L742" i="1" a="1"/>
  <c r="L742" i="1" s="1"/>
  <c r="K742" i="1"/>
  <c r="J742" i="1"/>
  <c r="H742" i="1" s="1"/>
  <c r="I742" i="1"/>
  <c r="AW741" i="1"/>
  <c r="X741" i="1" s="1"/>
  <c r="Y741" i="1" s="1"/>
  <c r="W741" i="1"/>
  <c r="N741" i="1"/>
  <c r="M741" i="1"/>
  <c r="L741" i="1" a="1"/>
  <c r="L741" i="1" s="1"/>
  <c r="K741" i="1"/>
  <c r="J741" i="1"/>
  <c r="H741" i="1" s="1"/>
  <c r="I741" i="1"/>
  <c r="AW740" i="1"/>
  <c r="X740" i="1"/>
  <c r="Y740" i="1" s="1"/>
  <c r="W740" i="1"/>
  <c r="N740" i="1"/>
  <c r="M740" i="1"/>
  <c r="L740" i="1" a="1"/>
  <c r="L740" i="1" s="1"/>
  <c r="K740" i="1"/>
  <c r="J740" i="1"/>
  <c r="H740" i="1" s="1"/>
  <c r="I740" i="1"/>
  <c r="AW739" i="1"/>
  <c r="X739" i="1"/>
  <c r="Y739" i="1" s="1"/>
  <c r="W739" i="1"/>
  <c r="N739" i="1"/>
  <c r="M739" i="1"/>
  <c r="L739" i="1" a="1"/>
  <c r="L739" i="1" s="1"/>
  <c r="K739" i="1"/>
  <c r="J739" i="1"/>
  <c r="H739" i="1" s="1"/>
  <c r="I739" i="1"/>
  <c r="AW738" i="1"/>
  <c r="X738" i="1"/>
  <c r="Y738" i="1" s="1"/>
  <c r="W738" i="1"/>
  <c r="N738" i="1"/>
  <c r="M738" i="1"/>
  <c r="L738" i="1" a="1"/>
  <c r="L738" i="1" s="1"/>
  <c r="K738" i="1"/>
  <c r="J738" i="1"/>
  <c r="I738" i="1"/>
  <c r="H738" i="1"/>
  <c r="AW737" i="1"/>
  <c r="X737" i="1"/>
  <c r="Y737" i="1" s="1"/>
  <c r="W737" i="1"/>
  <c r="N737" i="1"/>
  <c r="M737" i="1"/>
  <c r="L737" i="1" a="1"/>
  <c r="L737" i="1" s="1"/>
  <c r="K737" i="1"/>
  <c r="J737" i="1"/>
  <c r="H737" i="1" s="1"/>
  <c r="I737" i="1"/>
  <c r="AW736" i="1"/>
  <c r="X736" i="1"/>
  <c r="Y736" i="1" s="1"/>
  <c r="W736" i="1"/>
  <c r="N736" i="1"/>
  <c r="M736" i="1"/>
  <c r="L736" i="1" a="1"/>
  <c r="L736" i="1" s="1"/>
  <c r="K736" i="1"/>
  <c r="J736" i="1"/>
  <c r="H736" i="1" s="1"/>
  <c r="I736" i="1"/>
  <c r="AW735" i="1"/>
  <c r="X735" i="1"/>
  <c r="Y735" i="1" s="1"/>
  <c r="W735" i="1"/>
  <c r="N735" i="1"/>
  <c r="M735" i="1"/>
  <c r="L735" i="1" a="1"/>
  <c r="L735" i="1" s="1"/>
  <c r="K735" i="1"/>
  <c r="J735" i="1"/>
  <c r="I735" i="1"/>
  <c r="H735" i="1"/>
  <c r="AW734" i="1"/>
  <c r="X734" i="1" s="1"/>
  <c r="Y734" i="1" s="1"/>
  <c r="W734" i="1"/>
  <c r="N734" i="1"/>
  <c r="M734" i="1"/>
  <c r="L734" i="1" a="1"/>
  <c r="L734" i="1" s="1"/>
  <c r="K734" i="1"/>
  <c r="J734" i="1"/>
  <c r="H734" i="1" s="1"/>
  <c r="I734" i="1"/>
  <c r="AW733" i="1"/>
  <c r="X733" i="1"/>
  <c r="Y733" i="1" s="1"/>
  <c r="W733" i="1"/>
  <c r="N733" i="1"/>
  <c r="M733" i="1"/>
  <c r="L733" i="1" a="1"/>
  <c r="L733" i="1" s="1"/>
  <c r="K733" i="1"/>
  <c r="J733" i="1"/>
  <c r="H733" i="1" s="1"/>
  <c r="I733" i="1"/>
  <c r="AW732" i="1"/>
  <c r="X732" i="1"/>
  <c r="Y732" i="1" s="1"/>
  <c r="W732" i="1"/>
  <c r="N732" i="1"/>
  <c r="M732" i="1"/>
  <c r="L732" i="1" a="1"/>
  <c r="L732" i="1" s="1"/>
  <c r="K732" i="1"/>
  <c r="J732" i="1"/>
  <c r="H732" i="1" s="1"/>
  <c r="I732" i="1"/>
  <c r="AW731" i="1"/>
  <c r="X731" i="1"/>
  <c r="Y731" i="1" s="1"/>
  <c r="W731" i="1"/>
  <c r="N731" i="1"/>
  <c r="M731" i="1"/>
  <c r="L731" i="1" a="1"/>
  <c r="L731" i="1" s="1"/>
  <c r="K731" i="1"/>
  <c r="J731" i="1"/>
  <c r="H731" i="1" s="1"/>
  <c r="I731" i="1"/>
  <c r="AW730" i="1"/>
  <c r="X730" i="1"/>
  <c r="Y730" i="1" s="1"/>
  <c r="W730" i="1"/>
  <c r="N730" i="1"/>
  <c r="M730" i="1"/>
  <c r="L730" i="1" a="1"/>
  <c r="L730" i="1" s="1"/>
  <c r="K730" i="1"/>
  <c r="J730" i="1"/>
  <c r="H730" i="1" s="1"/>
  <c r="I730" i="1"/>
  <c r="AW729" i="1"/>
  <c r="X729" i="1"/>
  <c r="Y729" i="1" s="1"/>
  <c r="W729" i="1"/>
  <c r="N729" i="1"/>
  <c r="M729" i="1"/>
  <c r="L729" i="1" a="1"/>
  <c r="L729" i="1" s="1"/>
  <c r="K729" i="1"/>
  <c r="J729" i="1"/>
  <c r="H729" i="1" s="1"/>
  <c r="I729" i="1"/>
  <c r="AW728" i="1"/>
  <c r="X728" i="1"/>
  <c r="Y728" i="1" s="1"/>
  <c r="W728" i="1"/>
  <c r="N728" i="1"/>
  <c r="M728" i="1"/>
  <c r="L728" i="1" a="1"/>
  <c r="L728" i="1" s="1"/>
  <c r="K728" i="1"/>
  <c r="J728" i="1"/>
  <c r="H728" i="1" s="1"/>
  <c r="I728" i="1"/>
  <c r="AW727" i="1"/>
  <c r="X727" i="1"/>
  <c r="Y727" i="1" s="1"/>
  <c r="W727" i="1"/>
  <c r="N727" i="1"/>
  <c r="M727" i="1"/>
  <c r="L727" i="1" a="1"/>
  <c r="L727" i="1" s="1"/>
  <c r="K727" i="1"/>
  <c r="J727" i="1"/>
  <c r="I727" i="1"/>
  <c r="H727" i="1"/>
  <c r="AW726" i="1"/>
  <c r="X726" i="1"/>
  <c r="Y726" i="1" s="1"/>
  <c r="W726" i="1"/>
  <c r="N726" i="1"/>
  <c r="M726" i="1"/>
  <c r="L726" i="1" a="1"/>
  <c r="L726" i="1" s="1"/>
  <c r="K726" i="1"/>
  <c r="J726" i="1"/>
  <c r="H726" i="1" s="1"/>
  <c r="I726" i="1"/>
  <c r="AW725" i="1"/>
  <c r="X725" i="1"/>
  <c r="Y725" i="1" s="1"/>
  <c r="W725" i="1"/>
  <c r="N725" i="1"/>
  <c r="M725" i="1"/>
  <c r="L725" i="1" a="1"/>
  <c r="L725" i="1" s="1"/>
  <c r="K725" i="1"/>
  <c r="J725" i="1"/>
  <c r="H725" i="1" s="1"/>
  <c r="I725" i="1"/>
  <c r="AW724" i="1"/>
  <c r="X724" i="1"/>
  <c r="Y724" i="1" s="1"/>
  <c r="W724" i="1"/>
  <c r="N724" i="1"/>
  <c r="M724" i="1"/>
  <c r="L724" i="1" a="1"/>
  <c r="L724" i="1" s="1"/>
  <c r="K724" i="1"/>
  <c r="J724" i="1"/>
  <c r="H724" i="1" s="1"/>
  <c r="I724" i="1"/>
  <c r="AW723" i="1"/>
  <c r="X723" i="1"/>
  <c r="Y723" i="1" s="1"/>
  <c r="W723" i="1"/>
  <c r="N723" i="1"/>
  <c r="M723" i="1"/>
  <c r="L723" i="1" a="1"/>
  <c r="L723" i="1" s="1"/>
  <c r="K723" i="1"/>
  <c r="J723" i="1"/>
  <c r="I723" i="1"/>
  <c r="H723" i="1"/>
  <c r="AW722" i="1"/>
  <c r="X722" i="1" s="1"/>
  <c r="Y722" i="1" s="1"/>
  <c r="W722" i="1"/>
  <c r="N722" i="1"/>
  <c r="M722" i="1"/>
  <c r="L722" i="1" a="1"/>
  <c r="L722" i="1" s="1"/>
  <c r="K722" i="1"/>
  <c r="J722" i="1"/>
  <c r="H722" i="1" s="1"/>
  <c r="I722" i="1"/>
  <c r="AW721" i="1"/>
  <c r="X721" i="1"/>
  <c r="Y721" i="1" s="1"/>
  <c r="W721" i="1"/>
  <c r="N721" i="1"/>
  <c r="M721" i="1"/>
  <c r="L721" i="1" a="1"/>
  <c r="L721" i="1" s="1"/>
  <c r="K721" i="1"/>
  <c r="J721" i="1"/>
  <c r="H721" i="1" s="1"/>
  <c r="I721" i="1"/>
  <c r="AW720" i="1"/>
  <c r="X720" i="1"/>
  <c r="Y720" i="1" s="1"/>
  <c r="W720" i="1"/>
  <c r="N720" i="1"/>
  <c r="M720" i="1"/>
  <c r="L720" i="1" a="1"/>
  <c r="L720" i="1" s="1"/>
  <c r="K720" i="1"/>
  <c r="J720" i="1"/>
  <c r="H720" i="1" s="1"/>
  <c r="I720" i="1"/>
  <c r="AW719" i="1"/>
  <c r="X719" i="1" s="1"/>
  <c r="Y719" i="1" s="1"/>
  <c r="W719" i="1"/>
  <c r="N719" i="1"/>
  <c r="M719" i="1"/>
  <c r="L719" i="1" a="1"/>
  <c r="L719" i="1" s="1"/>
  <c r="K719" i="1"/>
  <c r="J719" i="1"/>
  <c r="H719" i="1" s="1"/>
  <c r="I719" i="1"/>
  <c r="AW718" i="1"/>
  <c r="X718" i="1"/>
  <c r="Y718" i="1" s="1"/>
  <c r="W718" i="1"/>
  <c r="N718" i="1"/>
  <c r="M718" i="1"/>
  <c r="L718" i="1" a="1"/>
  <c r="L718" i="1" s="1"/>
  <c r="K718" i="1"/>
  <c r="J718" i="1"/>
  <c r="H718" i="1" s="1"/>
  <c r="I718" i="1"/>
  <c r="AW717" i="1"/>
  <c r="X717" i="1"/>
  <c r="Y717" i="1" s="1"/>
  <c r="W717" i="1"/>
  <c r="N717" i="1"/>
  <c r="M717" i="1"/>
  <c r="L717" i="1" a="1"/>
  <c r="L717" i="1" s="1"/>
  <c r="K717" i="1"/>
  <c r="J717" i="1"/>
  <c r="H717" i="1" s="1"/>
  <c r="I717" i="1"/>
  <c r="AW716" i="1"/>
  <c r="X716" i="1"/>
  <c r="Y716" i="1" s="1"/>
  <c r="W716" i="1"/>
  <c r="N716" i="1"/>
  <c r="M716" i="1"/>
  <c r="L716" i="1" a="1"/>
  <c r="L716" i="1" s="1"/>
  <c r="K716" i="1"/>
  <c r="J716" i="1"/>
  <c r="I716" i="1"/>
  <c r="H716" i="1"/>
  <c r="AW715" i="1"/>
  <c r="X715" i="1"/>
  <c r="Y715" i="1" s="1"/>
  <c r="W715" i="1"/>
  <c r="N715" i="1"/>
  <c r="M715" i="1"/>
  <c r="L715" i="1" a="1"/>
  <c r="L715" i="1" s="1"/>
  <c r="K715" i="1"/>
  <c r="J715" i="1"/>
  <c r="H715" i="1" s="1"/>
  <c r="I715" i="1"/>
  <c r="AW714" i="1"/>
  <c r="X714" i="1"/>
  <c r="Y714" i="1" s="1"/>
  <c r="W714" i="1"/>
  <c r="N714" i="1"/>
  <c r="M714" i="1"/>
  <c r="L714" i="1" a="1"/>
  <c r="L714" i="1" s="1"/>
  <c r="K714" i="1"/>
  <c r="J714" i="1"/>
  <c r="H714" i="1" s="1"/>
  <c r="I714" i="1"/>
  <c r="AW713" i="1"/>
  <c r="X713" i="1"/>
  <c r="Y713" i="1" s="1"/>
  <c r="W713" i="1"/>
  <c r="N713" i="1"/>
  <c r="M713" i="1"/>
  <c r="L713" i="1" a="1"/>
  <c r="L713" i="1" s="1"/>
  <c r="K713" i="1"/>
  <c r="J713" i="1"/>
  <c r="H713" i="1" s="1"/>
  <c r="I713" i="1"/>
  <c r="AW712" i="1"/>
  <c r="X712" i="1" s="1"/>
  <c r="Y712" i="1" s="1"/>
  <c r="W712" i="1"/>
  <c r="N712" i="1"/>
  <c r="M712" i="1"/>
  <c r="L712" i="1" a="1"/>
  <c r="L712" i="1" s="1"/>
  <c r="K712" i="1"/>
  <c r="J712" i="1"/>
  <c r="H712" i="1" s="1"/>
  <c r="I712" i="1"/>
  <c r="AW711" i="1"/>
  <c r="X711" i="1"/>
  <c r="Y711" i="1" s="1"/>
  <c r="W711" i="1"/>
  <c r="N711" i="1"/>
  <c r="M711" i="1"/>
  <c r="L711" i="1" a="1"/>
  <c r="L711" i="1" s="1"/>
  <c r="K711" i="1"/>
  <c r="J711" i="1"/>
  <c r="H711" i="1" s="1"/>
  <c r="I711" i="1"/>
  <c r="AW710" i="1"/>
  <c r="X710" i="1"/>
  <c r="Y710" i="1" s="1"/>
  <c r="W710" i="1"/>
  <c r="N710" i="1"/>
  <c r="M710" i="1"/>
  <c r="L710" i="1" a="1"/>
  <c r="L710" i="1" s="1"/>
  <c r="K710" i="1"/>
  <c r="J710" i="1"/>
  <c r="I710" i="1"/>
  <c r="H710" i="1"/>
  <c r="AW709" i="1"/>
  <c r="X709" i="1"/>
  <c r="Y709" i="1" s="1"/>
  <c r="W709" i="1"/>
  <c r="N709" i="1"/>
  <c r="M709" i="1"/>
  <c r="L709" i="1" a="1"/>
  <c r="L709" i="1" s="1"/>
  <c r="K709" i="1"/>
  <c r="J709" i="1"/>
  <c r="H709" i="1" s="1"/>
  <c r="I709" i="1"/>
  <c r="AW708" i="1"/>
  <c r="X708" i="1" s="1"/>
  <c r="Y708" i="1" s="1"/>
  <c r="W708" i="1"/>
  <c r="N708" i="1"/>
  <c r="M708" i="1"/>
  <c r="L708" i="1" a="1"/>
  <c r="L708" i="1" s="1"/>
  <c r="K708" i="1"/>
  <c r="J708" i="1"/>
  <c r="H708" i="1" s="1"/>
  <c r="I708" i="1"/>
  <c r="AW707" i="1"/>
  <c r="X707" i="1"/>
  <c r="Y707" i="1" s="1"/>
  <c r="W707" i="1"/>
  <c r="N707" i="1"/>
  <c r="M707" i="1"/>
  <c r="L707" i="1" a="1"/>
  <c r="L707" i="1" s="1"/>
  <c r="K707" i="1"/>
  <c r="J707" i="1"/>
  <c r="H707" i="1" s="1"/>
  <c r="I707" i="1"/>
  <c r="AW706" i="1"/>
  <c r="X706" i="1" s="1"/>
  <c r="Y706" i="1" s="1"/>
  <c r="W706" i="1"/>
  <c r="N706" i="1"/>
  <c r="M706" i="1"/>
  <c r="L706" i="1" a="1"/>
  <c r="L706" i="1" s="1"/>
  <c r="K706" i="1"/>
  <c r="J706" i="1"/>
  <c r="H706" i="1" s="1"/>
  <c r="I706" i="1"/>
  <c r="AW705" i="1"/>
  <c r="X705" i="1"/>
  <c r="Y705" i="1" s="1"/>
  <c r="W705" i="1"/>
  <c r="N705" i="1"/>
  <c r="M705" i="1"/>
  <c r="L705" i="1" a="1"/>
  <c r="L705" i="1" s="1"/>
  <c r="K705" i="1"/>
  <c r="J705" i="1"/>
  <c r="H705" i="1" s="1"/>
  <c r="I705" i="1"/>
  <c r="AW704" i="1"/>
  <c r="X704" i="1" s="1"/>
  <c r="Y704" i="1" s="1"/>
  <c r="W704" i="1"/>
  <c r="N704" i="1"/>
  <c r="M704" i="1"/>
  <c r="L704" i="1" a="1"/>
  <c r="L704" i="1" s="1"/>
  <c r="K704" i="1"/>
  <c r="J704" i="1"/>
  <c r="H704" i="1" s="1"/>
  <c r="I704" i="1"/>
  <c r="AW703" i="1"/>
  <c r="X703" i="1"/>
  <c r="Y703" i="1" s="1"/>
  <c r="W703" i="1"/>
  <c r="N703" i="1"/>
  <c r="M703" i="1"/>
  <c r="L703" i="1" a="1"/>
  <c r="L703" i="1" s="1"/>
  <c r="K703" i="1"/>
  <c r="J703" i="1"/>
  <c r="H703" i="1" s="1"/>
  <c r="I703" i="1"/>
  <c r="AW702" i="1"/>
  <c r="X702" i="1"/>
  <c r="Y702" i="1" s="1"/>
  <c r="W702" i="1"/>
  <c r="N702" i="1"/>
  <c r="M702" i="1"/>
  <c r="L702" i="1" a="1"/>
  <c r="L702" i="1" s="1"/>
  <c r="K702" i="1"/>
  <c r="J702" i="1"/>
  <c r="H702" i="1" s="1"/>
  <c r="I702" i="1"/>
  <c r="AW701" i="1"/>
  <c r="X701" i="1"/>
  <c r="Y701" i="1" s="1"/>
  <c r="W701" i="1"/>
  <c r="N701" i="1"/>
  <c r="M701" i="1"/>
  <c r="L701" i="1" a="1"/>
  <c r="L701" i="1" s="1"/>
  <c r="K701" i="1"/>
  <c r="J701" i="1"/>
  <c r="H701" i="1" s="1"/>
  <c r="I701" i="1"/>
  <c r="AW700" i="1"/>
  <c r="X700" i="1" s="1"/>
  <c r="Y700" i="1" s="1"/>
  <c r="W700" i="1"/>
  <c r="N700" i="1"/>
  <c r="M700" i="1"/>
  <c r="L700" i="1" a="1"/>
  <c r="L700" i="1" s="1"/>
  <c r="K700" i="1"/>
  <c r="J700" i="1"/>
  <c r="H700" i="1" s="1"/>
  <c r="I700" i="1"/>
  <c r="AW699" i="1"/>
  <c r="X699" i="1"/>
  <c r="Y699" i="1" s="1"/>
  <c r="W699" i="1"/>
  <c r="N699" i="1"/>
  <c r="M699" i="1"/>
  <c r="L699" i="1" a="1"/>
  <c r="L699" i="1" s="1"/>
  <c r="K699" i="1"/>
  <c r="J699" i="1"/>
  <c r="H699" i="1" s="1"/>
  <c r="I699" i="1"/>
  <c r="AW698" i="1"/>
  <c r="X698" i="1"/>
  <c r="Y698" i="1" s="1"/>
  <c r="W698" i="1"/>
  <c r="N698" i="1"/>
  <c r="M698" i="1"/>
  <c r="L698" i="1" a="1"/>
  <c r="L698" i="1" s="1"/>
  <c r="K698" i="1"/>
  <c r="J698" i="1"/>
  <c r="H698" i="1" s="1"/>
  <c r="I698" i="1"/>
  <c r="AW697" i="1"/>
  <c r="X697" i="1"/>
  <c r="Y697" i="1" s="1"/>
  <c r="W697" i="1"/>
  <c r="N697" i="1"/>
  <c r="M697" i="1"/>
  <c r="L697" i="1" a="1"/>
  <c r="L697" i="1" s="1"/>
  <c r="K697" i="1"/>
  <c r="J697" i="1"/>
  <c r="H697" i="1" s="1"/>
  <c r="I697" i="1"/>
  <c r="AW696" i="1"/>
  <c r="X696" i="1" s="1"/>
  <c r="Y696" i="1" s="1"/>
  <c r="W696" i="1"/>
  <c r="N696" i="1"/>
  <c r="M696" i="1"/>
  <c r="L696" i="1" a="1"/>
  <c r="L696" i="1" s="1"/>
  <c r="K696" i="1"/>
  <c r="J696" i="1"/>
  <c r="H696" i="1" s="1"/>
  <c r="I696" i="1"/>
  <c r="AW695" i="1"/>
  <c r="X695" i="1"/>
  <c r="Y695" i="1" s="1"/>
  <c r="W695" i="1"/>
  <c r="N695" i="1"/>
  <c r="M695" i="1"/>
  <c r="L695" i="1" a="1"/>
  <c r="L695" i="1" s="1"/>
  <c r="K695" i="1"/>
  <c r="J695" i="1"/>
  <c r="H695" i="1" s="1"/>
  <c r="I695" i="1"/>
  <c r="AW694" i="1"/>
  <c r="X694" i="1"/>
  <c r="Y694" i="1" s="1"/>
  <c r="W694" i="1"/>
  <c r="N694" i="1"/>
  <c r="M694" i="1"/>
  <c r="L694" i="1" a="1"/>
  <c r="L694" i="1" s="1"/>
  <c r="K694" i="1"/>
  <c r="J694" i="1"/>
  <c r="H694" i="1" s="1"/>
  <c r="I694" i="1"/>
  <c r="AW693" i="1"/>
  <c r="X693" i="1"/>
  <c r="Y693" i="1" s="1"/>
  <c r="W693" i="1"/>
  <c r="N693" i="1"/>
  <c r="M693" i="1"/>
  <c r="L693" i="1" a="1"/>
  <c r="L693" i="1" s="1"/>
  <c r="K693" i="1"/>
  <c r="J693" i="1"/>
  <c r="H693" i="1" s="1"/>
  <c r="I693" i="1"/>
  <c r="AW692" i="1"/>
  <c r="X692" i="1"/>
  <c r="Y692" i="1" s="1"/>
  <c r="W692" i="1"/>
  <c r="N692" i="1"/>
  <c r="M692" i="1"/>
  <c r="L692" i="1" a="1"/>
  <c r="L692" i="1" s="1"/>
  <c r="K692" i="1"/>
  <c r="J692" i="1"/>
  <c r="H692" i="1" s="1"/>
  <c r="I692" i="1"/>
  <c r="AW691" i="1"/>
  <c r="X691" i="1" s="1"/>
  <c r="Y691" i="1" s="1"/>
  <c r="W691" i="1"/>
  <c r="N691" i="1"/>
  <c r="M691" i="1"/>
  <c r="L691" i="1" a="1"/>
  <c r="L691" i="1" s="1"/>
  <c r="K691" i="1"/>
  <c r="J691" i="1"/>
  <c r="I691" i="1"/>
  <c r="H691" i="1"/>
  <c r="AW690" i="1"/>
  <c r="X690" i="1"/>
  <c r="Y690" i="1" s="1"/>
  <c r="W690" i="1"/>
  <c r="N690" i="1"/>
  <c r="M690" i="1"/>
  <c r="L690" i="1" a="1"/>
  <c r="L690" i="1" s="1"/>
  <c r="K690" i="1"/>
  <c r="J690" i="1"/>
  <c r="H690" i="1" s="1"/>
  <c r="I690" i="1"/>
  <c r="AW689" i="1"/>
  <c r="X689" i="1"/>
  <c r="Y689" i="1" s="1"/>
  <c r="W689" i="1"/>
  <c r="N689" i="1"/>
  <c r="M689" i="1"/>
  <c r="L689" i="1" a="1"/>
  <c r="L689" i="1" s="1"/>
  <c r="K689" i="1"/>
  <c r="J689" i="1"/>
  <c r="H689" i="1" s="1"/>
  <c r="I689" i="1"/>
  <c r="AW688" i="1"/>
  <c r="X688" i="1" s="1"/>
  <c r="Y688" i="1" s="1"/>
  <c r="W688" i="1"/>
  <c r="N688" i="1"/>
  <c r="M688" i="1"/>
  <c r="L688" i="1" a="1"/>
  <c r="L688" i="1" s="1"/>
  <c r="K688" i="1"/>
  <c r="J688" i="1"/>
  <c r="H688" i="1" s="1"/>
  <c r="I688" i="1"/>
  <c r="AW687" i="1"/>
  <c r="X687" i="1"/>
  <c r="Y687" i="1" s="1"/>
  <c r="W687" i="1"/>
  <c r="N687" i="1"/>
  <c r="M687" i="1"/>
  <c r="L687" i="1" a="1"/>
  <c r="L687" i="1" s="1"/>
  <c r="K687" i="1"/>
  <c r="J687" i="1"/>
  <c r="H687" i="1" s="1"/>
  <c r="I687" i="1"/>
  <c r="AW686" i="1"/>
  <c r="X686" i="1"/>
  <c r="Y686" i="1" s="1"/>
  <c r="W686" i="1"/>
  <c r="N686" i="1"/>
  <c r="M686" i="1"/>
  <c r="L686" i="1" a="1"/>
  <c r="L686" i="1" s="1"/>
  <c r="K686" i="1"/>
  <c r="J686" i="1"/>
  <c r="H686" i="1" s="1"/>
  <c r="I686" i="1"/>
  <c r="AW685" i="1"/>
  <c r="X685" i="1"/>
  <c r="Y685" i="1" s="1"/>
  <c r="W685" i="1"/>
  <c r="N685" i="1"/>
  <c r="M685" i="1"/>
  <c r="L685" i="1" a="1"/>
  <c r="L685" i="1" s="1"/>
  <c r="K685" i="1"/>
  <c r="J685" i="1"/>
  <c r="H685" i="1" s="1"/>
  <c r="I685" i="1"/>
  <c r="AW684" i="1"/>
  <c r="X684" i="1"/>
  <c r="Y684" i="1" s="1"/>
  <c r="W684" i="1"/>
  <c r="N684" i="1"/>
  <c r="M684" i="1"/>
  <c r="L684" i="1" a="1"/>
  <c r="L684" i="1" s="1"/>
  <c r="K684" i="1"/>
  <c r="J684" i="1"/>
  <c r="H684" i="1" s="1"/>
  <c r="I684" i="1"/>
  <c r="AW683" i="1"/>
  <c r="X683" i="1"/>
  <c r="Y683" i="1" s="1"/>
  <c r="W683" i="1"/>
  <c r="N683" i="1"/>
  <c r="M683" i="1"/>
  <c r="L683" i="1" a="1"/>
  <c r="L683" i="1" s="1"/>
  <c r="K683" i="1"/>
  <c r="J683" i="1"/>
  <c r="H683" i="1" s="1"/>
  <c r="I683" i="1"/>
  <c r="AW682" i="1"/>
  <c r="X682" i="1"/>
  <c r="Y682" i="1" s="1"/>
  <c r="W682" i="1"/>
  <c r="N682" i="1"/>
  <c r="M682" i="1"/>
  <c r="L682" i="1" a="1"/>
  <c r="L682" i="1" s="1"/>
  <c r="K682" i="1"/>
  <c r="J682" i="1"/>
  <c r="I682" i="1"/>
  <c r="H682" i="1"/>
  <c r="AW681" i="1"/>
  <c r="X681" i="1"/>
  <c r="Y681" i="1" s="1"/>
  <c r="W681" i="1"/>
  <c r="N681" i="1"/>
  <c r="M681" i="1"/>
  <c r="L681" i="1" a="1"/>
  <c r="L681" i="1" s="1"/>
  <c r="K681" i="1"/>
  <c r="J681" i="1"/>
  <c r="H681" i="1" s="1"/>
  <c r="I681" i="1"/>
  <c r="AW680" i="1"/>
  <c r="X680" i="1"/>
  <c r="Y680" i="1" s="1"/>
  <c r="W680" i="1"/>
  <c r="N680" i="1"/>
  <c r="M680" i="1"/>
  <c r="L680" i="1" a="1"/>
  <c r="L680" i="1" s="1"/>
  <c r="K680" i="1"/>
  <c r="J680" i="1"/>
  <c r="H680" i="1" s="1"/>
  <c r="I680" i="1"/>
  <c r="AW679" i="1"/>
  <c r="X679" i="1" s="1"/>
  <c r="Y679" i="1" s="1"/>
  <c r="W679" i="1"/>
  <c r="N679" i="1"/>
  <c r="M679" i="1"/>
  <c r="L679" i="1" a="1"/>
  <c r="L679" i="1" s="1"/>
  <c r="K679" i="1"/>
  <c r="J679" i="1"/>
  <c r="H679" i="1" s="1"/>
  <c r="I679" i="1"/>
  <c r="AW678" i="1"/>
  <c r="X678" i="1"/>
  <c r="Y678" i="1" s="1"/>
  <c r="W678" i="1"/>
  <c r="N678" i="1"/>
  <c r="M678" i="1"/>
  <c r="L678" i="1" a="1"/>
  <c r="L678" i="1" s="1"/>
  <c r="K678" i="1"/>
  <c r="J678" i="1"/>
  <c r="H678" i="1" s="1"/>
  <c r="I678" i="1"/>
  <c r="AW677" i="1"/>
  <c r="X677" i="1"/>
  <c r="Y677" i="1" s="1"/>
  <c r="W677" i="1"/>
  <c r="N677" i="1"/>
  <c r="M677" i="1"/>
  <c r="L677" i="1"/>
  <c r="L677" i="1" a="1"/>
  <c r="K677" i="1"/>
  <c r="J677" i="1"/>
  <c r="H677" i="1" s="1"/>
  <c r="I677" i="1"/>
  <c r="AW676" i="1"/>
  <c r="X676" i="1"/>
  <c r="Y676" i="1" s="1"/>
  <c r="W676" i="1"/>
  <c r="N676" i="1"/>
  <c r="M676" i="1"/>
  <c r="L676" i="1" a="1"/>
  <c r="L676" i="1" s="1"/>
  <c r="K676" i="1"/>
  <c r="J676" i="1"/>
  <c r="H676" i="1" s="1"/>
  <c r="I676" i="1"/>
  <c r="AW675" i="1"/>
  <c r="X675" i="1"/>
  <c r="Y675" i="1" s="1"/>
  <c r="W675" i="1"/>
  <c r="N675" i="1"/>
  <c r="M675" i="1"/>
  <c r="L675" i="1" a="1"/>
  <c r="L675" i="1" s="1"/>
  <c r="K675" i="1"/>
  <c r="J675" i="1"/>
  <c r="H675" i="1" s="1"/>
  <c r="I675" i="1"/>
  <c r="AW674" i="1"/>
  <c r="X674" i="1" s="1"/>
  <c r="Y674" i="1" s="1"/>
  <c r="W674" i="1"/>
  <c r="N674" i="1"/>
  <c r="M674" i="1"/>
  <c r="L674" i="1" a="1"/>
  <c r="L674" i="1" s="1"/>
  <c r="K674" i="1"/>
  <c r="J674" i="1"/>
  <c r="H674" i="1" s="1"/>
  <c r="I674" i="1"/>
  <c r="AW673" i="1"/>
  <c r="X673" i="1"/>
  <c r="Y673" i="1" s="1"/>
  <c r="W673" i="1"/>
  <c r="N673" i="1"/>
  <c r="M673" i="1"/>
  <c r="L673" i="1" a="1"/>
  <c r="L673" i="1" s="1"/>
  <c r="K673" i="1"/>
  <c r="J673" i="1"/>
  <c r="H673" i="1" s="1"/>
  <c r="I673" i="1"/>
  <c r="AW672" i="1"/>
  <c r="X672" i="1"/>
  <c r="Y672" i="1" s="1"/>
  <c r="W672" i="1"/>
  <c r="N672" i="1"/>
  <c r="M672" i="1"/>
  <c r="L672" i="1" a="1"/>
  <c r="L672" i="1" s="1"/>
  <c r="K672" i="1"/>
  <c r="J672" i="1"/>
  <c r="H672" i="1" s="1"/>
  <c r="I672" i="1"/>
  <c r="AW671" i="1"/>
  <c r="X671" i="1"/>
  <c r="Y671" i="1" s="1"/>
  <c r="W671" i="1"/>
  <c r="N671" i="1"/>
  <c r="M671" i="1"/>
  <c r="L671" i="1" a="1"/>
  <c r="L671" i="1" s="1"/>
  <c r="K671" i="1"/>
  <c r="J671" i="1"/>
  <c r="H671" i="1" s="1"/>
  <c r="I671" i="1"/>
  <c r="AW670" i="1"/>
  <c r="X670" i="1"/>
  <c r="Y670" i="1" s="1"/>
  <c r="W670" i="1"/>
  <c r="N670" i="1"/>
  <c r="M670" i="1"/>
  <c r="L670" i="1" a="1"/>
  <c r="L670" i="1" s="1"/>
  <c r="K670" i="1"/>
  <c r="J670" i="1"/>
  <c r="H670" i="1" s="1"/>
  <c r="I670" i="1"/>
  <c r="AW669" i="1"/>
  <c r="X669" i="1"/>
  <c r="Y669" i="1" s="1"/>
  <c r="W669" i="1"/>
  <c r="N669" i="1"/>
  <c r="M669" i="1"/>
  <c r="L669" i="1" a="1"/>
  <c r="L669" i="1" s="1"/>
  <c r="K669" i="1"/>
  <c r="J669" i="1"/>
  <c r="H669" i="1" s="1"/>
  <c r="I669" i="1"/>
  <c r="AW668" i="1"/>
  <c r="X668" i="1" s="1"/>
  <c r="Y668" i="1" s="1"/>
  <c r="W668" i="1"/>
  <c r="N668" i="1"/>
  <c r="M668" i="1"/>
  <c r="L668" i="1" a="1"/>
  <c r="L668" i="1" s="1"/>
  <c r="K668" i="1"/>
  <c r="J668" i="1"/>
  <c r="H668" i="1" s="1"/>
  <c r="I668" i="1"/>
  <c r="AW667" i="1"/>
  <c r="X667" i="1"/>
  <c r="Y667" i="1" s="1"/>
  <c r="W667" i="1"/>
  <c r="N667" i="1"/>
  <c r="M667" i="1"/>
  <c r="L667" i="1" a="1"/>
  <c r="L667" i="1" s="1"/>
  <c r="K667" i="1"/>
  <c r="J667" i="1"/>
  <c r="H667" i="1" s="1"/>
  <c r="I667" i="1"/>
  <c r="AW666" i="1"/>
  <c r="X666" i="1"/>
  <c r="Y666" i="1" s="1"/>
  <c r="W666" i="1"/>
  <c r="N666" i="1"/>
  <c r="M666" i="1"/>
  <c r="L666" i="1" a="1"/>
  <c r="L666" i="1" s="1"/>
  <c r="K666" i="1"/>
  <c r="J666" i="1"/>
  <c r="H666" i="1" s="1"/>
  <c r="I666" i="1"/>
  <c r="AW665" i="1"/>
  <c r="X665" i="1" s="1"/>
  <c r="Y665" i="1" s="1"/>
  <c r="W665" i="1"/>
  <c r="N665" i="1"/>
  <c r="M665" i="1"/>
  <c r="L665" i="1" a="1"/>
  <c r="L665" i="1" s="1"/>
  <c r="K665" i="1"/>
  <c r="J665" i="1"/>
  <c r="H665" i="1" s="1"/>
  <c r="I665" i="1"/>
  <c r="AW664" i="1"/>
  <c r="X664" i="1"/>
  <c r="Y664" i="1" s="1"/>
  <c r="W664" i="1"/>
  <c r="N664" i="1"/>
  <c r="M664" i="1"/>
  <c r="L664" i="1" a="1"/>
  <c r="L664" i="1" s="1"/>
  <c r="K664" i="1"/>
  <c r="J664" i="1"/>
  <c r="H664" i="1" s="1"/>
  <c r="I664" i="1"/>
  <c r="AW663" i="1"/>
  <c r="X663" i="1" s="1"/>
  <c r="Y663" i="1"/>
  <c r="W663" i="1"/>
  <c r="N663" i="1"/>
  <c r="M663" i="1"/>
  <c r="L663" i="1" a="1"/>
  <c r="L663" i="1" s="1"/>
  <c r="K663" i="1"/>
  <c r="J663" i="1"/>
  <c r="H663" i="1" s="1"/>
  <c r="I663" i="1"/>
  <c r="AW662" i="1"/>
  <c r="X662" i="1"/>
  <c r="Y662" i="1" s="1"/>
  <c r="W662" i="1"/>
  <c r="N662" i="1"/>
  <c r="M662" i="1"/>
  <c r="L662" i="1" a="1"/>
  <c r="L662" i="1" s="1"/>
  <c r="K662" i="1"/>
  <c r="J662" i="1"/>
  <c r="H662" i="1" s="1"/>
  <c r="I662" i="1"/>
  <c r="AW661" i="1"/>
  <c r="X661" i="1" s="1"/>
  <c r="Y661" i="1" s="1"/>
  <c r="W661" i="1"/>
  <c r="N661" i="1"/>
  <c r="M661" i="1"/>
  <c r="L661" i="1" a="1"/>
  <c r="L661" i="1" s="1"/>
  <c r="K661" i="1"/>
  <c r="J661" i="1"/>
  <c r="H661" i="1" s="1"/>
  <c r="I661" i="1"/>
  <c r="AW660" i="1"/>
  <c r="X660" i="1" s="1"/>
  <c r="Y660" i="1" s="1"/>
  <c r="W660" i="1"/>
  <c r="N660" i="1"/>
  <c r="M660" i="1"/>
  <c r="L660" i="1" a="1"/>
  <c r="L660" i="1" s="1"/>
  <c r="K660" i="1"/>
  <c r="J660" i="1"/>
  <c r="I660" i="1"/>
  <c r="H660" i="1"/>
  <c r="AW659" i="1"/>
  <c r="X659" i="1" s="1"/>
  <c r="Y659" i="1"/>
  <c r="W659" i="1"/>
  <c r="N659" i="1"/>
  <c r="M659" i="1"/>
  <c r="L659" i="1" a="1"/>
  <c r="L659" i="1" s="1"/>
  <c r="K659" i="1"/>
  <c r="J659" i="1"/>
  <c r="I659" i="1"/>
  <c r="H659" i="1"/>
  <c r="AW658" i="1"/>
  <c r="X658" i="1"/>
  <c r="Y658" i="1" s="1"/>
  <c r="W658" i="1"/>
  <c r="N658" i="1"/>
  <c r="M658" i="1"/>
  <c r="L658" i="1" a="1"/>
  <c r="L658" i="1" s="1"/>
  <c r="K658" i="1"/>
  <c r="J658" i="1"/>
  <c r="H658" i="1" s="1"/>
  <c r="I658" i="1"/>
  <c r="AW657" i="1"/>
  <c r="X657" i="1"/>
  <c r="Y657" i="1" s="1"/>
  <c r="W657" i="1"/>
  <c r="N657" i="1"/>
  <c r="M657" i="1"/>
  <c r="L657" i="1" a="1"/>
  <c r="L657" i="1" s="1"/>
  <c r="K657" i="1"/>
  <c r="J657" i="1"/>
  <c r="H657" i="1" s="1"/>
  <c r="I657" i="1"/>
  <c r="AW656" i="1"/>
  <c r="X656" i="1"/>
  <c r="Y656" i="1" s="1"/>
  <c r="W656" i="1"/>
  <c r="N656" i="1"/>
  <c r="M656" i="1"/>
  <c r="L656" i="1" a="1"/>
  <c r="L656" i="1" s="1"/>
  <c r="K656" i="1"/>
  <c r="J656" i="1"/>
  <c r="H656" i="1" s="1"/>
  <c r="I656" i="1"/>
  <c r="AW655" i="1"/>
  <c r="X655" i="1"/>
  <c r="Y655" i="1" s="1"/>
  <c r="W655" i="1"/>
  <c r="N655" i="1"/>
  <c r="M655" i="1"/>
  <c r="L655" i="1" a="1"/>
  <c r="L655" i="1" s="1"/>
  <c r="K655" i="1"/>
  <c r="J655" i="1"/>
  <c r="H655" i="1" s="1"/>
  <c r="I655" i="1"/>
  <c r="AW654" i="1"/>
  <c r="X654" i="1" s="1"/>
  <c r="Y654" i="1" s="1"/>
  <c r="W654" i="1"/>
  <c r="N654" i="1"/>
  <c r="M654" i="1"/>
  <c r="L654" i="1" a="1"/>
  <c r="L654" i="1" s="1"/>
  <c r="K654" i="1"/>
  <c r="J654" i="1"/>
  <c r="H654" i="1" s="1"/>
  <c r="I654" i="1"/>
  <c r="AW653" i="1"/>
  <c r="X653" i="1"/>
  <c r="Y653" i="1" s="1"/>
  <c r="W653" i="1"/>
  <c r="N653" i="1"/>
  <c r="M653" i="1"/>
  <c r="L653" i="1" a="1"/>
  <c r="L653" i="1" s="1"/>
  <c r="K653" i="1"/>
  <c r="J653" i="1"/>
  <c r="I653" i="1"/>
  <c r="H653" i="1"/>
  <c r="AW652" i="1"/>
  <c r="X652" i="1"/>
  <c r="Y652" i="1" s="1"/>
  <c r="W652" i="1"/>
  <c r="N652" i="1"/>
  <c r="M652" i="1"/>
  <c r="L652" i="1" a="1"/>
  <c r="L652" i="1" s="1"/>
  <c r="K652" i="1"/>
  <c r="J652" i="1"/>
  <c r="H652" i="1" s="1"/>
  <c r="I652" i="1"/>
  <c r="AW651" i="1"/>
  <c r="X651" i="1"/>
  <c r="Y651" i="1" s="1"/>
  <c r="W651" i="1"/>
  <c r="N651" i="1"/>
  <c r="M651" i="1"/>
  <c r="L651" i="1" a="1"/>
  <c r="L651" i="1" s="1"/>
  <c r="K651" i="1"/>
  <c r="J651" i="1"/>
  <c r="H651" i="1" s="1"/>
  <c r="I651" i="1"/>
  <c r="AW650" i="1"/>
  <c r="X650" i="1"/>
  <c r="Y650" i="1" s="1"/>
  <c r="W650" i="1"/>
  <c r="N650" i="1"/>
  <c r="M650" i="1"/>
  <c r="L650" i="1"/>
  <c r="L650" i="1" a="1"/>
  <c r="K650" i="1"/>
  <c r="J650" i="1"/>
  <c r="H650" i="1" s="1"/>
  <c r="I650" i="1"/>
  <c r="AW649" i="1"/>
  <c r="X649" i="1" s="1"/>
  <c r="Y649" i="1" s="1"/>
  <c r="W649" i="1"/>
  <c r="N649" i="1"/>
  <c r="M649" i="1"/>
  <c r="L649" i="1" a="1"/>
  <c r="L649" i="1" s="1"/>
  <c r="K649" i="1"/>
  <c r="J649" i="1"/>
  <c r="H649" i="1" s="1"/>
  <c r="I649" i="1"/>
  <c r="AW648" i="1"/>
  <c r="X648" i="1"/>
  <c r="Y648" i="1" s="1"/>
  <c r="W648" i="1"/>
  <c r="N648" i="1"/>
  <c r="M648" i="1"/>
  <c r="L648" i="1" a="1"/>
  <c r="L648" i="1" s="1"/>
  <c r="K648" i="1"/>
  <c r="J648" i="1"/>
  <c r="H648" i="1" s="1"/>
  <c r="I648" i="1"/>
  <c r="AW647" i="1"/>
  <c r="X647" i="1"/>
  <c r="Y647" i="1" s="1"/>
  <c r="W647" i="1"/>
  <c r="N647" i="1"/>
  <c r="M647" i="1"/>
  <c r="L647" i="1" a="1"/>
  <c r="L647" i="1" s="1"/>
  <c r="K647" i="1"/>
  <c r="J647" i="1"/>
  <c r="H647" i="1" s="1"/>
  <c r="I647" i="1"/>
  <c r="AW646" i="1"/>
  <c r="X646" i="1" s="1"/>
  <c r="Y646" i="1" s="1"/>
  <c r="W646" i="1"/>
  <c r="N646" i="1"/>
  <c r="M646" i="1"/>
  <c r="L646" i="1" a="1"/>
  <c r="L646" i="1" s="1"/>
  <c r="K646" i="1"/>
  <c r="J646" i="1"/>
  <c r="H646" i="1" s="1"/>
  <c r="I646" i="1"/>
  <c r="AW645" i="1"/>
  <c r="X645" i="1"/>
  <c r="Y645" i="1" s="1"/>
  <c r="W645" i="1"/>
  <c r="N645" i="1"/>
  <c r="M645" i="1"/>
  <c r="L645" i="1" a="1"/>
  <c r="L645" i="1" s="1"/>
  <c r="K645" i="1"/>
  <c r="J645" i="1"/>
  <c r="I645" i="1"/>
  <c r="H645" i="1"/>
  <c r="AW644" i="1"/>
  <c r="X644" i="1"/>
  <c r="Y644" i="1" s="1"/>
  <c r="W644" i="1"/>
  <c r="N644" i="1"/>
  <c r="M644" i="1"/>
  <c r="L644" i="1" a="1"/>
  <c r="L644" i="1" s="1"/>
  <c r="K644" i="1"/>
  <c r="J644" i="1"/>
  <c r="H644" i="1" s="1"/>
  <c r="I644" i="1"/>
  <c r="AW643" i="1"/>
  <c r="X643" i="1"/>
  <c r="Y643" i="1" s="1"/>
  <c r="W643" i="1"/>
  <c r="N643" i="1"/>
  <c r="M643" i="1"/>
  <c r="L643" i="1" a="1"/>
  <c r="L643" i="1" s="1"/>
  <c r="K643" i="1"/>
  <c r="J643" i="1"/>
  <c r="H643" i="1" s="1"/>
  <c r="I643" i="1"/>
  <c r="AW642" i="1"/>
  <c r="X642" i="1"/>
  <c r="Y642" i="1" s="1"/>
  <c r="W642" i="1"/>
  <c r="N642" i="1"/>
  <c r="M642" i="1"/>
  <c r="L642" i="1" a="1"/>
  <c r="L642" i="1" s="1"/>
  <c r="K642" i="1"/>
  <c r="J642" i="1"/>
  <c r="H642" i="1" s="1"/>
  <c r="I642" i="1"/>
  <c r="AW641" i="1"/>
  <c r="X641" i="1"/>
  <c r="Y641" i="1" s="1"/>
  <c r="W641" i="1"/>
  <c r="N641" i="1"/>
  <c r="M641" i="1"/>
  <c r="L641" i="1" a="1"/>
  <c r="L641" i="1" s="1"/>
  <c r="K641" i="1"/>
  <c r="J641" i="1"/>
  <c r="H641" i="1" s="1"/>
  <c r="I641" i="1"/>
  <c r="AW640" i="1"/>
  <c r="X640" i="1" s="1"/>
  <c r="Y640" i="1" s="1"/>
  <c r="W640" i="1"/>
  <c r="N640" i="1"/>
  <c r="M640" i="1"/>
  <c r="L640" i="1" a="1"/>
  <c r="L640" i="1" s="1"/>
  <c r="K640" i="1"/>
  <c r="J640" i="1"/>
  <c r="H640" i="1" s="1"/>
  <c r="I640" i="1"/>
  <c r="AW639" i="1"/>
  <c r="X639" i="1"/>
  <c r="Y639" i="1" s="1"/>
  <c r="W639" i="1"/>
  <c r="N639" i="1"/>
  <c r="M639" i="1"/>
  <c r="L639" i="1" a="1"/>
  <c r="L639" i="1" s="1"/>
  <c r="K639" i="1"/>
  <c r="J639" i="1"/>
  <c r="H639" i="1" s="1"/>
  <c r="I639" i="1"/>
  <c r="AW638" i="1"/>
  <c r="X638" i="1"/>
  <c r="Y638" i="1" s="1"/>
  <c r="W638" i="1"/>
  <c r="N638" i="1"/>
  <c r="M638" i="1"/>
  <c r="L638" i="1" a="1"/>
  <c r="L638" i="1" s="1"/>
  <c r="K638" i="1"/>
  <c r="J638" i="1"/>
  <c r="I638" i="1"/>
  <c r="H638" i="1"/>
  <c r="AW637" i="1"/>
  <c r="X637" i="1"/>
  <c r="Y637" i="1" s="1"/>
  <c r="W637" i="1"/>
  <c r="N637" i="1"/>
  <c r="M637" i="1"/>
  <c r="L637" i="1" a="1"/>
  <c r="L637" i="1" s="1"/>
  <c r="K637" i="1"/>
  <c r="J637" i="1"/>
  <c r="H637" i="1" s="1"/>
  <c r="I637" i="1"/>
  <c r="AW636" i="1"/>
  <c r="X636" i="1"/>
  <c r="Y636" i="1" s="1"/>
  <c r="W636" i="1"/>
  <c r="N636" i="1"/>
  <c r="M636" i="1"/>
  <c r="L636" i="1" a="1"/>
  <c r="L636" i="1" s="1"/>
  <c r="K636" i="1"/>
  <c r="J636" i="1"/>
  <c r="H636" i="1" s="1"/>
  <c r="I636" i="1"/>
  <c r="AW635" i="1"/>
  <c r="X635" i="1"/>
  <c r="Y635" i="1" s="1"/>
  <c r="W635" i="1"/>
  <c r="N635" i="1"/>
  <c r="M635" i="1"/>
  <c r="L635" i="1" a="1"/>
  <c r="L635" i="1" s="1"/>
  <c r="K635" i="1"/>
  <c r="J635" i="1"/>
  <c r="H635" i="1" s="1"/>
  <c r="I635" i="1"/>
  <c r="AW634" i="1"/>
  <c r="X634" i="1" s="1"/>
  <c r="Y634" i="1" s="1"/>
  <c r="W634" i="1"/>
  <c r="N634" i="1"/>
  <c r="M634" i="1"/>
  <c r="L634" i="1" a="1"/>
  <c r="L634" i="1" s="1"/>
  <c r="K634" i="1"/>
  <c r="J634" i="1"/>
  <c r="I634" i="1"/>
  <c r="H634" i="1"/>
  <c r="AW633" i="1"/>
  <c r="X633" i="1"/>
  <c r="Y633" i="1" s="1"/>
  <c r="W633" i="1"/>
  <c r="N633" i="1"/>
  <c r="M633" i="1"/>
  <c r="L633" i="1" a="1"/>
  <c r="L633" i="1" s="1"/>
  <c r="K633" i="1"/>
  <c r="J633" i="1"/>
  <c r="H633" i="1" s="1"/>
  <c r="I633" i="1"/>
  <c r="AW632" i="1"/>
  <c r="X632" i="1" s="1"/>
  <c r="Y632" i="1" s="1"/>
  <c r="W632" i="1"/>
  <c r="N632" i="1"/>
  <c r="M632" i="1"/>
  <c r="L632" i="1" a="1"/>
  <c r="L632" i="1" s="1"/>
  <c r="K632" i="1"/>
  <c r="J632" i="1"/>
  <c r="H632" i="1" s="1"/>
  <c r="I632" i="1"/>
  <c r="AW631" i="1"/>
  <c r="X631" i="1"/>
  <c r="Y631" i="1" s="1"/>
  <c r="W631" i="1"/>
  <c r="N631" i="1"/>
  <c r="M631" i="1"/>
  <c r="L631" i="1" a="1"/>
  <c r="L631" i="1" s="1"/>
  <c r="K631" i="1"/>
  <c r="J631" i="1"/>
  <c r="H631" i="1" s="1"/>
  <c r="I631" i="1"/>
  <c r="AW630" i="1"/>
  <c r="X630" i="1" s="1"/>
  <c r="Y630" i="1" s="1"/>
  <c r="W630" i="1"/>
  <c r="N630" i="1"/>
  <c r="M630" i="1"/>
  <c r="L630" i="1" a="1"/>
  <c r="L630" i="1" s="1"/>
  <c r="K630" i="1"/>
  <c r="J630" i="1"/>
  <c r="H630" i="1" s="1"/>
  <c r="I630" i="1"/>
  <c r="AW629" i="1"/>
  <c r="X629" i="1"/>
  <c r="Y629" i="1" s="1"/>
  <c r="W629" i="1"/>
  <c r="N629" i="1"/>
  <c r="M629" i="1"/>
  <c r="L629" i="1" a="1"/>
  <c r="L629" i="1" s="1"/>
  <c r="K629" i="1"/>
  <c r="J629" i="1"/>
  <c r="H629" i="1" s="1"/>
  <c r="I629" i="1"/>
  <c r="AW628" i="1"/>
  <c r="X628" i="1" s="1"/>
  <c r="Y628" i="1" s="1"/>
  <c r="W628" i="1"/>
  <c r="N628" i="1"/>
  <c r="M628" i="1"/>
  <c r="L628" i="1" a="1"/>
  <c r="L628" i="1" s="1"/>
  <c r="K628" i="1"/>
  <c r="J628" i="1"/>
  <c r="H628" i="1" s="1"/>
  <c r="I628" i="1"/>
  <c r="AW627" i="1"/>
  <c r="X627" i="1"/>
  <c r="Y627" i="1" s="1"/>
  <c r="W627" i="1"/>
  <c r="N627" i="1"/>
  <c r="M627" i="1"/>
  <c r="L627" i="1" a="1"/>
  <c r="L627" i="1" s="1"/>
  <c r="K627" i="1"/>
  <c r="J627" i="1"/>
  <c r="H627" i="1" s="1"/>
  <c r="I627" i="1"/>
  <c r="AW626" i="1"/>
  <c r="X626" i="1"/>
  <c r="Y626" i="1" s="1"/>
  <c r="W626" i="1"/>
  <c r="N626" i="1"/>
  <c r="M626" i="1"/>
  <c r="L626" i="1" a="1"/>
  <c r="L626" i="1" s="1"/>
  <c r="K626" i="1"/>
  <c r="J626" i="1"/>
  <c r="H626" i="1" s="1"/>
  <c r="I626" i="1"/>
  <c r="AW625" i="1"/>
  <c r="X625" i="1"/>
  <c r="Y625" i="1" s="1"/>
  <c r="W625" i="1"/>
  <c r="N625" i="1"/>
  <c r="M625" i="1"/>
  <c r="L625" i="1" a="1"/>
  <c r="L625" i="1" s="1"/>
  <c r="K625" i="1"/>
  <c r="J625" i="1"/>
  <c r="H625" i="1" s="1"/>
  <c r="I625" i="1"/>
  <c r="AW624" i="1"/>
  <c r="X624" i="1"/>
  <c r="Y624" i="1" s="1"/>
  <c r="W624" i="1"/>
  <c r="N624" i="1"/>
  <c r="M624" i="1"/>
  <c r="L624" i="1" a="1"/>
  <c r="L624" i="1" s="1"/>
  <c r="K624" i="1"/>
  <c r="J624" i="1"/>
  <c r="H624" i="1" s="1"/>
  <c r="I624" i="1"/>
  <c r="AW623" i="1"/>
  <c r="X623" i="1"/>
  <c r="Y623" i="1" s="1"/>
  <c r="W623" i="1"/>
  <c r="N623" i="1"/>
  <c r="M623" i="1"/>
  <c r="L623" i="1" a="1"/>
  <c r="L623" i="1" s="1"/>
  <c r="K623" i="1"/>
  <c r="J623" i="1"/>
  <c r="H623" i="1" s="1"/>
  <c r="I623" i="1"/>
  <c r="AW622" i="1"/>
  <c r="X622" i="1" s="1"/>
  <c r="Y622" i="1" s="1"/>
  <c r="W622" i="1"/>
  <c r="N622" i="1"/>
  <c r="M622" i="1"/>
  <c r="L622" i="1" a="1"/>
  <c r="L622" i="1" s="1"/>
  <c r="K622" i="1"/>
  <c r="J622" i="1"/>
  <c r="H622" i="1" s="1"/>
  <c r="I622" i="1"/>
  <c r="AW621" i="1"/>
  <c r="X621" i="1"/>
  <c r="Y621" i="1" s="1"/>
  <c r="W621" i="1"/>
  <c r="N621" i="1"/>
  <c r="M621" i="1"/>
  <c r="L621" i="1" a="1"/>
  <c r="L621" i="1" s="1"/>
  <c r="K621" i="1"/>
  <c r="J621" i="1"/>
  <c r="H621" i="1" s="1"/>
  <c r="I621" i="1"/>
  <c r="AW620" i="1"/>
  <c r="X620" i="1"/>
  <c r="Y620" i="1" s="1"/>
  <c r="W620" i="1"/>
  <c r="N620" i="1"/>
  <c r="M620" i="1"/>
  <c r="L620" i="1" a="1"/>
  <c r="L620" i="1" s="1"/>
  <c r="K620" i="1"/>
  <c r="J620" i="1"/>
  <c r="H620" i="1" s="1"/>
  <c r="I620" i="1"/>
  <c r="AW619" i="1"/>
  <c r="X619" i="1" s="1"/>
  <c r="Y619" i="1" s="1"/>
  <c r="W619" i="1"/>
  <c r="N619" i="1"/>
  <c r="M619" i="1"/>
  <c r="L619" i="1" a="1"/>
  <c r="L619" i="1" s="1"/>
  <c r="K619" i="1"/>
  <c r="J619" i="1"/>
  <c r="H619" i="1" s="1"/>
  <c r="I619" i="1"/>
  <c r="AW618" i="1"/>
  <c r="X618" i="1"/>
  <c r="Y618" i="1" s="1"/>
  <c r="W618" i="1"/>
  <c r="N618" i="1"/>
  <c r="M618" i="1"/>
  <c r="L618" i="1" a="1"/>
  <c r="L618" i="1" s="1"/>
  <c r="K618" i="1"/>
  <c r="J618" i="1"/>
  <c r="H618" i="1" s="1"/>
  <c r="I618" i="1"/>
  <c r="AW617" i="1"/>
  <c r="X617" i="1"/>
  <c r="Y617" i="1" s="1"/>
  <c r="W617" i="1"/>
  <c r="N617" i="1"/>
  <c r="M617" i="1"/>
  <c r="L617" i="1" a="1"/>
  <c r="L617" i="1" s="1"/>
  <c r="K617" i="1"/>
  <c r="J617" i="1"/>
  <c r="H617" i="1" s="1"/>
  <c r="I617" i="1"/>
  <c r="AW616" i="1"/>
  <c r="X616" i="1"/>
  <c r="Y616" i="1" s="1"/>
  <c r="W616" i="1"/>
  <c r="N616" i="1"/>
  <c r="M616" i="1"/>
  <c r="L616" i="1" a="1"/>
  <c r="L616" i="1" s="1"/>
  <c r="K616" i="1"/>
  <c r="J616" i="1"/>
  <c r="H616" i="1" s="1"/>
  <c r="I616" i="1"/>
  <c r="AW615" i="1"/>
  <c r="X615" i="1" s="1"/>
  <c r="Y615" i="1" s="1"/>
  <c r="W615" i="1"/>
  <c r="N615" i="1"/>
  <c r="M615" i="1"/>
  <c r="L615" i="1" a="1"/>
  <c r="L615" i="1" s="1"/>
  <c r="K615" i="1"/>
  <c r="J615" i="1"/>
  <c r="H615" i="1" s="1"/>
  <c r="I615" i="1"/>
  <c r="AW614" i="1"/>
  <c r="X614" i="1"/>
  <c r="Y614" i="1" s="1"/>
  <c r="W614" i="1"/>
  <c r="N614" i="1"/>
  <c r="M614" i="1"/>
  <c r="L614" i="1" a="1"/>
  <c r="L614" i="1" s="1"/>
  <c r="K614" i="1"/>
  <c r="J614" i="1"/>
  <c r="H614" i="1" s="1"/>
  <c r="I614" i="1"/>
  <c r="AW613" i="1"/>
  <c r="X613" i="1"/>
  <c r="Y613" i="1" s="1"/>
  <c r="W613" i="1"/>
  <c r="N613" i="1"/>
  <c r="M613" i="1"/>
  <c r="L613" i="1" a="1"/>
  <c r="L613" i="1" s="1"/>
  <c r="K613" i="1"/>
  <c r="J613" i="1"/>
  <c r="H613" i="1" s="1"/>
  <c r="I613" i="1"/>
  <c r="AW612" i="1"/>
  <c r="X612" i="1" s="1"/>
  <c r="Y612" i="1" s="1"/>
  <c r="W612" i="1"/>
  <c r="N612" i="1"/>
  <c r="M612" i="1"/>
  <c r="L612" i="1" a="1"/>
  <c r="L612" i="1" s="1"/>
  <c r="K612" i="1"/>
  <c r="J612" i="1"/>
  <c r="H612" i="1" s="1"/>
  <c r="I612" i="1"/>
  <c r="AW611" i="1"/>
  <c r="X611" i="1"/>
  <c r="Y611" i="1" s="1"/>
  <c r="W611" i="1"/>
  <c r="N611" i="1"/>
  <c r="M611" i="1"/>
  <c r="L611" i="1" a="1"/>
  <c r="L611" i="1" s="1"/>
  <c r="K611" i="1"/>
  <c r="J611" i="1"/>
  <c r="H611" i="1" s="1"/>
  <c r="I611" i="1"/>
  <c r="AW610" i="1"/>
  <c r="X610" i="1" s="1"/>
  <c r="Y610" i="1" s="1"/>
  <c r="W610" i="1"/>
  <c r="N610" i="1"/>
  <c r="M610" i="1"/>
  <c r="L610" i="1" a="1"/>
  <c r="L610" i="1" s="1"/>
  <c r="K610" i="1"/>
  <c r="J610" i="1"/>
  <c r="I610" i="1"/>
  <c r="H610" i="1"/>
  <c r="AW609" i="1"/>
  <c r="X609" i="1"/>
  <c r="Y609" i="1" s="1"/>
  <c r="W609" i="1"/>
  <c r="N609" i="1"/>
  <c r="M609" i="1"/>
  <c r="L609" i="1" a="1"/>
  <c r="L609" i="1" s="1"/>
  <c r="K609" i="1"/>
  <c r="J609" i="1"/>
  <c r="H609" i="1" s="1"/>
  <c r="I609" i="1"/>
  <c r="AW608" i="1"/>
  <c r="X608" i="1"/>
  <c r="Y608" i="1" s="1"/>
  <c r="W608" i="1"/>
  <c r="N608" i="1"/>
  <c r="M608" i="1"/>
  <c r="L608" i="1" a="1"/>
  <c r="L608" i="1" s="1"/>
  <c r="K608" i="1"/>
  <c r="J608" i="1"/>
  <c r="H608" i="1" s="1"/>
  <c r="I608" i="1"/>
  <c r="AW607" i="1"/>
  <c r="X607" i="1"/>
  <c r="Y607" i="1" s="1"/>
  <c r="W607" i="1"/>
  <c r="N607" i="1"/>
  <c r="M607" i="1"/>
  <c r="L607" i="1" a="1"/>
  <c r="L607" i="1" s="1"/>
  <c r="K607" i="1"/>
  <c r="J607" i="1"/>
  <c r="H607" i="1" s="1"/>
  <c r="I607" i="1"/>
  <c r="AW606" i="1"/>
  <c r="X606" i="1"/>
  <c r="Y606" i="1" s="1"/>
  <c r="W606" i="1"/>
  <c r="N606" i="1"/>
  <c r="M606" i="1"/>
  <c r="L606" i="1" a="1"/>
  <c r="L606" i="1" s="1"/>
  <c r="K606" i="1"/>
  <c r="J606" i="1"/>
  <c r="I606" i="1"/>
  <c r="H606" i="1"/>
  <c r="AW605" i="1"/>
  <c r="X605" i="1" s="1"/>
  <c r="Y605" i="1" s="1"/>
  <c r="W605" i="1"/>
  <c r="N605" i="1"/>
  <c r="M605" i="1"/>
  <c r="L605" i="1" a="1"/>
  <c r="L605" i="1" s="1"/>
  <c r="K605" i="1"/>
  <c r="J605" i="1"/>
  <c r="H605" i="1" s="1"/>
  <c r="I605" i="1"/>
  <c r="AW604" i="1"/>
  <c r="X604" i="1"/>
  <c r="Y604" i="1" s="1"/>
  <c r="W604" i="1"/>
  <c r="N604" i="1"/>
  <c r="M604" i="1"/>
  <c r="L604" i="1" a="1"/>
  <c r="L604" i="1" s="1"/>
  <c r="K604" i="1"/>
  <c r="J604" i="1"/>
  <c r="H604" i="1" s="1"/>
  <c r="I604" i="1"/>
  <c r="AW603" i="1"/>
  <c r="X603" i="1"/>
  <c r="Y603" i="1" s="1"/>
  <c r="W603" i="1"/>
  <c r="N603" i="1"/>
  <c r="M603" i="1"/>
  <c r="L603" i="1" a="1"/>
  <c r="L603" i="1" s="1"/>
  <c r="K603" i="1"/>
  <c r="J603" i="1"/>
  <c r="H603" i="1" s="1"/>
  <c r="I603" i="1"/>
  <c r="AW602" i="1"/>
  <c r="X602" i="1"/>
  <c r="Y602" i="1" s="1"/>
  <c r="W602" i="1"/>
  <c r="N602" i="1"/>
  <c r="M602" i="1"/>
  <c r="L602" i="1"/>
  <c r="L602" i="1" a="1"/>
  <c r="K602" i="1"/>
  <c r="J602" i="1"/>
  <c r="I602" i="1"/>
  <c r="H602" i="1"/>
  <c r="AW601" i="1"/>
  <c r="X601" i="1" s="1"/>
  <c r="Y601" i="1" s="1"/>
  <c r="W601" i="1"/>
  <c r="N601" i="1"/>
  <c r="M601" i="1"/>
  <c r="L601" i="1" a="1"/>
  <c r="L601" i="1" s="1"/>
  <c r="K601" i="1"/>
  <c r="J601" i="1"/>
  <c r="H601" i="1" s="1"/>
  <c r="I601" i="1"/>
  <c r="AW600" i="1"/>
  <c r="X600" i="1"/>
  <c r="Y600" i="1" s="1"/>
  <c r="W600" i="1"/>
  <c r="N600" i="1"/>
  <c r="M600" i="1"/>
  <c r="L600" i="1" a="1"/>
  <c r="L600" i="1" s="1"/>
  <c r="K600" i="1"/>
  <c r="J600" i="1"/>
  <c r="H600" i="1" s="1"/>
  <c r="I600" i="1"/>
  <c r="AW599" i="1"/>
  <c r="X599" i="1"/>
  <c r="Y599" i="1" s="1"/>
  <c r="W599" i="1"/>
  <c r="N599" i="1"/>
  <c r="M599" i="1"/>
  <c r="L599" i="1" a="1"/>
  <c r="L599" i="1" s="1"/>
  <c r="K599" i="1"/>
  <c r="J599" i="1"/>
  <c r="H599" i="1" s="1"/>
  <c r="I599" i="1"/>
  <c r="AW598" i="1"/>
  <c r="X598" i="1"/>
  <c r="Y598" i="1" s="1"/>
  <c r="W598" i="1"/>
  <c r="N598" i="1"/>
  <c r="M598" i="1"/>
  <c r="L598" i="1" a="1"/>
  <c r="L598" i="1" s="1"/>
  <c r="K598" i="1"/>
  <c r="J598" i="1"/>
  <c r="H598" i="1" s="1"/>
  <c r="I598" i="1"/>
  <c r="AW597" i="1"/>
  <c r="X597" i="1"/>
  <c r="Y597" i="1" s="1"/>
  <c r="W597" i="1"/>
  <c r="N597" i="1"/>
  <c r="M597" i="1"/>
  <c r="L597" i="1" a="1"/>
  <c r="L597" i="1" s="1"/>
  <c r="K597" i="1"/>
  <c r="J597" i="1"/>
  <c r="H597" i="1" s="1"/>
  <c r="I597" i="1"/>
  <c r="AW596" i="1"/>
  <c r="X596" i="1"/>
  <c r="Y596" i="1" s="1"/>
  <c r="W596" i="1"/>
  <c r="N596" i="1"/>
  <c r="M596" i="1"/>
  <c r="L596" i="1"/>
  <c r="L596" i="1" a="1"/>
  <c r="K596" i="1"/>
  <c r="J596" i="1"/>
  <c r="H596" i="1" s="1"/>
  <c r="I596" i="1"/>
  <c r="AW595" i="1"/>
  <c r="X595" i="1" s="1"/>
  <c r="Y595" i="1" s="1"/>
  <c r="W595" i="1"/>
  <c r="N595" i="1"/>
  <c r="M595" i="1"/>
  <c r="L595" i="1" a="1"/>
  <c r="L595" i="1" s="1"/>
  <c r="K595" i="1"/>
  <c r="J595" i="1"/>
  <c r="H595" i="1" s="1"/>
  <c r="I595" i="1"/>
  <c r="AW594" i="1"/>
  <c r="X594" i="1"/>
  <c r="Y594" i="1" s="1"/>
  <c r="W594" i="1"/>
  <c r="N594" i="1"/>
  <c r="M594" i="1"/>
  <c r="L594" i="1" a="1"/>
  <c r="L594" i="1" s="1"/>
  <c r="K594" i="1"/>
  <c r="J594" i="1"/>
  <c r="H594" i="1" s="1"/>
  <c r="I594" i="1"/>
  <c r="AW593" i="1"/>
  <c r="X593" i="1"/>
  <c r="Y593" i="1" s="1"/>
  <c r="W593" i="1"/>
  <c r="N593" i="1"/>
  <c r="M593" i="1"/>
  <c r="L593" i="1" a="1"/>
  <c r="L593" i="1" s="1"/>
  <c r="K593" i="1"/>
  <c r="J593" i="1"/>
  <c r="I593" i="1"/>
  <c r="H593" i="1"/>
  <c r="AW592" i="1"/>
  <c r="X592" i="1" s="1"/>
  <c r="Y592" i="1" s="1"/>
  <c r="W592" i="1"/>
  <c r="N592" i="1"/>
  <c r="M592" i="1"/>
  <c r="L592" i="1" a="1"/>
  <c r="L592" i="1" s="1"/>
  <c r="K592" i="1"/>
  <c r="J592" i="1"/>
  <c r="H592" i="1" s="1"/>
  <c r="I592" i="1"/>
  <c r="AW591" i="1"/>
  <c r="X591" i="1"/>
  <c r="Y591" i="1" s="1"/>
  <c r="W591" i="1"/>
  <c r="N591" i="1"/>
  <c r="M591" i="1"/>
  <c r="L591" i="1" a="1"/>
  <c r="L591" i="1" s="1"/>
  <c r="K591" i="1"/>
  <c r="J591" i="1"/>
  <c r="H591" i="1" s="1"/>
  <c r="I591" i="1"/>
  <c r="AW590" i="1"/>
  <c r="X590" i="1" s="1"/>
  <c r="Y590" i="1" s="1"/>
  <c r="W590" i="1"/>
  <c r="N590" i="1"/>
  <c r="M590" i="1"/>
  <c r="L590" i="1" a="1"/>
  <c r="L590" i="1" s="1"/>
  <c r="K590" i="1"/>
  <c r="J590" i="1"/>
  <c r="H590" i="1" s="1"/>
  <c r="I590" i="1"/>
  <c r="AW589" i="1"/>
  <c r="X589" i="1"/>
  <c r="Y589" i="1" s="1"/>
  <c r="W589" i="1"/>
  <c r="N589" i="1"/>
  <c r="M589" i="1"/>
  <c r="L589" i="1"/>
  <c r="L589" i="1" a="1"/>
  <c r="K589" i="1"/>
  <c r="J589" i="1"/>
  <c r="H589" i="1" s="1"/>
  <c r="I589" i="1"/>
  <c r="AW588" i="1"/>
  <c r="X588" i="1"/>
  <c r="Y588" i="1" s="1"/>
  <c r="W588" i="1"/>
  <c r="N588" i="1"/>
  <c r="M588" i="1"/>
  <c r="L588" i="1" a="1"/>
  <c r="L588" i="1" s="1"/>
  <c r="K588" i="1"/>
  <c r="J588" i="1"/>
  <c r="I588" i="1"/>
  <c r="H588" i="1"/>
  <c r="AW587" i="1"/>
  <c r="X587" i="1" s="1"/>
  <c r="Y587" i="1" s="1"/>
  <c r="W587" i="1"/>
  <c r="N587" i="1"/>
  <c r="M587" i="1"/>
  <c r="L587" i="1" a="1"/>
  <c r="L587" i="1" s="1"/>
  <c r="K587" i="1"/>
  <c r="J587" i="1"/>
  <c r="H587" i="1" s="1"/>
  <c r="I587" i="1"/>
  <c r="AW586" i="1"/>
  <c r="X586" i="1"/>
  <c r="Y586" i="1" s="1"/>
  <c r="W586" i="1"/>
  <c r="N586" i="1"/>
  <c r="M586" i="1"/>
  <c r="L586" i="1" a="1"/>
  <c r="L586" i="1" s="1"/>
  <c r="K586" i="1"/>
  <c r="J586" i="1"/>
  <c r="H586" i="1" s="1"/>
  <c r="I586" i="1"/>
  <c r="AW585" i="1"/>
  <c r="X585" i="1"/>
  <c r="Y585" i="1" s="1"/>
  <c r="W585" i="1"/>
  <c r="N585" i="1"/>
  <c r="M585" i="1"/>
  <c r="L585" i="1" a="1"/>
  <c r="L585" i="1" s="1"/>
  <c r="K585" i="1"/>
  <c r="J585" i="1"/>
  <c r="H585" i="1" s="1"/>
  <c r="I585" i="1"/>
  <c r="AW584" i="1"/>
  <c r="X584" i="1"/>
  <c r="Y584" i="1" s="1"/>
  <c r="W584" i="1"/>
  <c r="N584" i="1"/>
  <c r="M584" i="1"/>
  <c r="L584" i="1" a="1"/>
  <c r="L584" i="1" s="1"/>
  <c r="K584" i="1"/>
  <c r="J584" i="1"/>
  <c r="H584" i="1" s="1"/>
  <c r="I584" i="1"/>
  <c r="AW583" i="1"/>
  <c r="X583" i="1" s="1"/>
  <c r="Y583" i="1" s="1"/>
  <c r="W583" i="1"/>
  <c r="N583" i="1"/>
  <c r="M583" i="1"/>
  <c r="L583" i="1" a="1"/>
  <c r="L583" i="1" s="1"/>
  <c r="K583" i="1"/>
  <c r="J583" i="1"/>
  <c r="H583" i="1" s="1"/>
  <c r="I583" i="1"/>
  <c r="AW582" i="1"/>
  <c r="X582" i="1" s="1"/>
  <c r="Y582" i="1" s="1"/>
  <c r="W582" i="1"/>
  <c r="N582" i="1"/>
  <c r="M582" i="1"/>
  <c r="L582" i="1" a="1"/>
  <c r="L582" i="1" s="1"/>
  <c r="K582" i="1"/>
  <c r="J582" i="1"/>
  <c r="H582" i="1" s="1"/>
  <c r="I582" i="1"/>
  <c r="AW581" i="1"/>
  <c r="X581" i="1"/>
  <c r="Y581" i="1" s="1"/>
  <c r="W581" i="1"/>
  <c r="N581" i="1"/>
  <c r="M581" i="1"/>
  <c r="L581" i="1" a="1"/>
  <c r="L581" i="1" s="1"/>
  <c r="K581" i="1"/>
  <c r="J581" i="1"/>
  <c r="I581" i="1"/>
  <c r="H581" i="1"/>
  <c r="AW580" i="1"/>
  <c r="X580" i="1" s="1"/>
  <c r="Y580" i="1" s="1"/>
  <c r="W580" i="1"/>
  <c r="N580" i="1"/>
  <c r="M580" i="1"/>
  <c r="L580" i="1" a="1"/>
  <c r="L580" i="1" s="1"/>
  <c r="K580" i="1"/>
  <c r="J580" i="1"/>
  <c r="H580" i="1" s="1"/>
  <c r="I580" i="1"/>
  <c r="AW579" i="1"/>
  <c r="X579" i="1"/>
  <c r="Y579" i="1" s="1"/>
  <c r="W579" i="1"/>
  <c r="N579" i="1"/>
  <c r="M579" i="1"/>
  <c r="L579" i="1" a="1"/>
  <c r="L579" i="1" s="1"/>
  <c r="K579" i="1"/>
  <c r="J579" i="1"/>
  <c r="H579" i="1" s="1"/>
  <c r="I579" i="1"/>
  <c r="AW578" i="1"/>
  <c r="X578" i="1" s="1"/>
  <c r="Y578" i="1" s="1"/>
  <c r="W578" i="1"/>
  <c r="N578" i="1"/>
  <c r="M578" i="1"/>
  <c r="L578" i="1" a="1"/>
  <c r="L578" i="1" s="1"/>
  <c r="K578" i="1"/>
  <c r="J578" i="1"/>
  <c r="H578" i="1" s="1"/>
  <c r="I578" i="1"/>
  <c r="AW577" i="1"/>
  <c r="X577" i="1" s="1"/>
  <c r="Y577" i="1" s="1"/>
  <c r="W577" i="1"/>
  <c r="N577" i="1"/>
  <c r="M577" i="1"/>
  <c r="L577" i="1" a="1"/>
  <c r="L577" i="1" s="1"/>
  <c r="K577" i="1"/>
  <c r="J577" i="1"/>
  <c r="I577" i="1"/>
  <c r="H577" i="1"/>
  <c r="AW576" i="1"/>
  <c r="X576" i="1"/>
  <c r="Y576" i="1" s="1"/>
  <c r="W576" i="1"/>
  <c r="N576" i="1"/>
  <c r="M576" i="1"/>
  <c r="L576" i="1" a="1"/>
  <c r="L576" i="1" s="1"/>
  <c r="K576" i="1"/>
  <c r="J576" i="1"/>
  <c r="H576" i="1" s="1"/>
  <c r="I576" i="1"/>
  <c r="AW575" i="1"/>
  <c r="X575" i="1"/>
  <c r="Y575" i="1" s="1"/>
  <c r="W575" i="1"/>
  <c r="N575" i="1"/>
  <c r="M575" i="1"/>
  <c r="L575" i="1" a="1"/>
  <c r="L575" i="1" s="1"/>
  <c r="K575" i="1"/>
  <c r="J575" i="1"/>
  <c r="H575" i="1" s="1"/>
  <c r="I575" i="1"/>
  <c r="AW574" i="1"/>
  <c r="X574" i="1" s="1"/>
  <c r="Y574" i="1" s="1"/>
  <c r="W574" i="1"/>
  <c r="N574" i="1"/>
  <c r="M574" i="1"/>
  <c r="L574" i="1" a="1"/>
  <c r="L574" i="1" s="1"/>
  <c r="K574" i="1"/>
  <c r="J574" i="1"/>
  <c r="H574" i="1" s="1"/>
  <c r="I574" i="1"/>
  <c r="AW573" i="1"/>
  <c r="X573" i="1"/>
  <c r="Y573" i="1" s="1"/>
  <c r="W573" i="1"/>
  <c r="N573" i="1"/>
  <c r="M573" i="1"/>
  <c r="L573" i="1" a="1"/>
  <c r="L573" i="1" s="1"/>
  <c r="K573" i="1"/>
  <c r="J573" i="1"/>
  <c r="I573" i="1"/>
  <c r="H573" i="1"/>
  <c r="AW572" i="1"/>
  <c r="X572" i="1"/>
  <c r="Y572" i="1" s="1"/>
  <c r="W572" i="1"/>
  <c r="N572" i="1"/>
  <c r="M572" i="1"/>
  <c r="L572" i="1" a="1"/>
  <c r="L572" i="1" s="1"/>
  <c r="K572" i="1"/>
  <c r="J572" i="1"/>
  <c r="H572" i="1" s="1"/>
  <c r="I572" i="1"/>
  <c r="AW571" i="1"/>
  <c r="X571" i="1"/>
  <c r="Y571" i="1" s="1"/>
  <c r="W571" i="1"/>
  <c r="N571" i="1"/>
  <c r="M571" i="1"/>
  <c r="L571" i="1" a="1"/>
  <c r="L571" i="1" s="1"/>
  <c r="K571" i="1"/>
  <c r="J571" i="1"/>
  <c r="H571" i="1" s="1"/>
  <c r="I571" i="1"/>
  <c r="AW570" i="1"/>
  <c r="X570" i="1" s="1"/>
  <c r="Y570" i="1" s="1"/>
  <c r="W570" i="1"/>
  <c r="N570" i="1"/>
  <c r="M570" i="1"/>
  <c r="L570" i="1" a="1"/>
  <c r="L570" i="1" s="1"/>
  <c r="K570" i="1"/>
  <c r="J570" i="1"/>
  <c r="H570" i="1" s="1"/>
  <c r="I570" i="1"/>
  <c r="AW569" i="1"/>
  <c r="X569" i="1"/>
  <c r="Y569" i="1" s="1"/>
  <c r="W569" i="1"/>
  <c r="N569" i="1"/>
  <c r="M569" i="1"/>
  <c r="L569" i="1" a="1"/>
  <c r="L569" i="1" s="1"/>
  <c r="K569" i="1"/>
  <c r="J569" i="1"/>
  <c r="I569" i="1"/>
  <c r="H569" i="1"/>
  <c r="AW568" i="1"/>
  <c r="X568" i="1"/>
  <c r="Y568" i="1" s="1"/>
  <c r="W568" i="1"/>
  <c r="N568" i="1"/>
  <c r="M568" i="1"/>
  <c r="L568" i="1" a="1"/>
  <c r="L568" i="1" s="1"/>
  <c r="K568" i="1"/>
  <c r="J568" i="1"/>
  <c r="H568" i="1" s="1"/>
  <c r="I568" i="1"/>
  <c r="AW567" i="1"/>
  <c r="X567" i="1"/>
  <c r="Y567" i="1" s="1"/>
  <c r="W567" i="1"/>
  <c r="N567" i="1"/>
  <c r="M567" i="1"/>
  <c r="L567" i="1" a="1"/>
  <c r="L567" i="1" s="1"/>
  <c r="K567" i="1"/>
  <c r="J567" i="1"/>
  <c r="H567" i="1" s="1"/>
  <c r="I567" i="1"/>
  <c r="AW566" i="1"/>
  <c r="X566" i="1"/>
  <c r="Y566" i="1" s="1"/>
  <c r="W566" i="1"/>
  <c r="N566" i="1"/>
  <c r="M566" i="1"/>
  <c r="L566" i="1" a="1"/>
  <c r="L566" i="1" s="1"/>
  <c r="K566" i="1"/>
  <c r="J566" i="1"/>
  <c r="H566" i="1" s="1"/>
  <c r="I566" i="1"/>
  <c r="AW565" i="1"/>
  <c r="X565" i="1"/>
  <c r="Y565" i="1" s="1"/>
  <c r="W565" i="1"/>
  <c r="N565" i="1"/>
  <c r="M565" i="1"/>
  <c r="L565" i="1" a="1"/>
  <c r="L565" i="1" s="1"/>
  <c r="K565" i="1"/>
  <c r="J565" i="1"/>
  <c r="H565" i="1" s="1"/>
  <c r="I565" i="1"/>
  <c r="AW564" i="1"/>
  <c r="X564" i="1"/>
  <c r="Y564" i="1" s="1"/>
  <c r="W564" i="1"/>
  <c r="N564" i="1"/>
  <c r="M564" i="1"/>
  <c r="L564" i="1" a="1"/>
  <c r="L564" i="1" s="1"/>
  <c r="K564" i="1"/>
  <c r="J564" i="1"/>
  <c r="H564" i="1" s="1"/>
  <c r="I564" i="1"/>
  <c r="AW563" i="1"/>
  <c r="X563" i="1" s="1"/>
  <c r="Y563" i="1" s="1"/>
  <c r="W563" i="1"/>
  <c r="N563" i="1"/>
  <c r="M563" i="1"/>
  <c r="L563" i="1" a="1"/>
  <c r="L563" i="1" s="1"/>
  <c r="K563" i="1"/>
  <c r="J563" i="1"/>
  <c r="H563" i="1" s="1"/>
  <c r="I563" i="1"/>
  <c r="AW562" i="1"/>
  <c r="X562" i="1"/>
  <c r="Y562" i="1" s="1"/>
  <c r="W562" i="1"/>
  <c r="N562" i="1"/>
  <c r="M562" i="1"/>
  <c r="L562" i="1" a="1"/>
  <c r="L562" i="1" s="1"/>
  <c r="K562" i="1"/>
  <c r="J562" i="1"/>
  <c r="I562" i="1"/>
  <c r="H562" i="1"/>
  <c r="AW561" i="1"/>
  <c r="X561" i="1"/>
  <c r="Y561" i="1" s="1"/>
  <c r="W561" i="1"/>
  <c r="N561" i="1"/>
  <c r="M561" i="1"/>
  <c r="L561" i="1" a="1"/>
  <c r="L561" i="1" s="1"/>
  <c r="K561" i="1"/>
  <c r="J561" i="1"/>
  <c r="I561" i="1"/>
  <c r="H561" i="1"/>
  <c r="AW560" i="1"/>
  <c r="X560" i="1"/>
  <c r="Y560" i="1" s="1"/>
  <c r="W560" i="1"/>
  <c r="N560" i="1"/>
  <c r="M560" i="1"/>
  <c r="L560" i="1" a="1"/>
  <c r="L560" i="1" s="1"/>
  <c r="K560" i="1"/>
  <c r="J560" i="1"/>
  <c r="H560" i="1" s="1"/>
  <c r="I560" i="1"/>
  <c r="AW559" i="1"/>
  <c r="X559" i="1"/>
  <c r="Y559" i="1" s="1"/>
  <c r="W559" i="1"/>
  <c r="N559" i="1"/>
  <c r="M559" i="1"/>
  <c r="L559" i="1" a="1"/>
  <c r="L559" i="1" s="1"/>
  <c r="K559" i="1"/>
  <c r="J559" i="1"/>
  <c r="H559" i="1" s="1"/>
  <c r="I559" i="1"/>
  <c r="AW558" i="1"/>
  <c r="X558" i="1" s="1"/>
  <c r="Y558" i="1" s="1"/>
  <c r="W558" i="1"/>
  <c r="N558" i="1"/>
  <c r="M558" i="1"/>
  <c r="L558" i="1" a="1"/>
  <c r="L558" i="1" s="1"/>
  <c r="K558" i="1"/>
  <c r="J558" i="1"/>
  <c r="H558" i="1" s="1"/>
  <c r="I558" i="1"/>
  <c r="AW557" i="1"/>
  <c r="X557" i="1"/>
  <c r="Y557" i="1" s="1"/>
  <c r="W557" i="1"/>
  <c r="N557" i="1"/>
  <c r="M557" i="1"/>
  <c r="L557" i="1" a="1"/>
  <c r="L557" i="1" s="1"/>
  <c r="K557" i="1"/>
  <c r="J557" i="1"/>
  <c r="H557" i="1" s="1"/>
  <c r="I557" i="1"/>
  <c r="AW556" i="1"/>
  <c r="X556" i="1" s="1"/>
  <c r="Y556" i="1" s="1"/>
  <c r="W556" i="1"/>
  <c r="N556" i="1"/>
  <c r="M556" i="1"/>
  <c r="L556" i="1" a="1"/>
  <c r="L556" i="1" s="1"/>
  <c r="K556" i="1"/>
  <c r="J556" i="1"/>
  <c r="H556" i="1" s="1"/>
  <c r="I556" i="1"/>
  <c r="AW555" i="1"/>
  <c r="X555" i="1"/>
  <c r="Y555" i="1" s="1"/>
  <c r="W555" i="1"/>
  <c r="N555" i="1"/>
  <c r="M555" i="1"/>
  <c r="L555" i="1" a="1"/>
  <c r="L555" i="1" s="1"/>
  <c r="K555" i="1"/>
  <c r="J555" i="1"/>
  <c r="H555" i="1" s="1"/>
  <c r="I555" i="1"/>
  <c r="AW554" i="1"/>
  <c r="X554" i="1"/>
  <c r="Y554" i="1" s="1"/>
  <c r="W554" i="1"/>
  <c r="N554" i="1"/>
  <c r="M554" i="1"/>
  <c r="L554" i="1" a="1"/>
  <c r="L554" i="1" s="1"/>
  <c r="K554" i="1"/>
  <c r="J554" i="1"/>
  <c r="H554" i="1" s="1"/>
  <c r="I554" i="1"/>
  <c r="AW553" i="1"/>
  <c r="X553" i="1" s="1"/>
  <c r="Y553" i="1" s="1"/>
  <c r="W553" i="1"/>
  <c r="N553" i="1"/>
  <c r="M553" i="1"/>
  <c r="L553" i="1" a="1"/>
  <c r="L553" i="1" s="1"/>
  <c r="K553" i="1"/>
  <c r="J553" i="1"/>
  <c r="H553" i="1" s="1"/>
  <c r="I553" i="1"/>
  <c r="AW552" i="1"/>
  <c r="X552" i="1"/>
  <c r="Y552" i="1" s="1"/>
  <c r="W552" i="1"/>
  <c r="N552" i="1"/>
  <c r="M552" i="1"/>
  <c r="L552" i="1" a="1"/>
  <c r="L552" i="1" s="1"/>
  <c r="K552" i="1"/>
  <c r="J552" i="1"/>
  <c r="H552" i="1" s="1"/>
  <c r="I552" i="1"/>
  <c r="AW551" i="1"/>
  <c r="X551" i="1"/>
  <c r="Y551" i="1" s="1"/>
  <c r="W551" i="1"/>
  <c r="N551" i="1"/>
  <c r="M551" i="1"/>
  <c r="L551" i="1" a="1"/>
  <c r="L551" i="1" s="1"/>
  <c r="K551" i="1"/>
  <c r="J551" i="1"/>
  <c r="H551" i="1" s="1"/>
  <c r="I551" i="1"/>
  <c r="AW550" i="1"/>
  <c r="X550" i="1"/>
  <c r="Y550" i="1" s="1"/>
  <c r="W550" i="1"/>
  <c r="N550" i="1"/>
  <c r="M550" i="1"/>
  <c r="L550" i="1" a="1"/>
  <c r="L550" i="1" s="1"/>
  <c r="K550" i="1"/>
  <c r="J550" i="1"/>
  <c r="H550" i="1" s="1"/>
  <c r="I550" i="1"/>
  <c r="AW549" i="1"/>
  <c r="X549" i="1"/>
  <c r="Y549" i="1" s="1"/>
  <c r="W549" i="1"/>
  <c r="N549" i="1"/>
  <c r="M549" i="1"/>
  <c r="L549" i="1" a="1"/>
  <c r="L549" i="1" s="1"/>
  <c r="K549" i="1"/>
  <c r="J549" i="1"/>
  <c r="H549" i="1" s="1"/>
  <c r="I549" i="1"/>
  <c r="AW548" i="1"/>
  <c r="X548" i="1"/>
  <c r="Y548" i="1" s="1"/>
  <c r="W548" i="1"/>
  <c r="N548" i="1"/>
  <c r="M548" i="1"/>
  <c r="L548" i="1" a="1"/>
  <c r="L548" i="1" s="1"/>
  <c r="K548" i="1"/>
  <c r="J548" i="1"/>
  <c r="H548" i="1" s="1"/>
  <c r="I548" i="1"/>
  <c r="AW547" i="1"/>
  <c r="X547" i="1" s="1"/>
  <c r="Y547" i="1" s="1"/>
  <c r="W547" i="1"/>
  <c r="N547" i="1"/>
  <c r="M547" i="1"/>
  <c r="L547" i="1" a="1"/>
  <c r="L547" i="1" s="1"/>
  <c r="K547" i="1"/>
  <c r="J547" i="1"/>
  <c r="H547" i="1" s="1"/>
  <c r="I547" i="1"/>
  <c r="AW546" i="1"/>
  <c r="X546" i="1" s="1"/>
  <c r="Y546" i="1" s="1"/>
  <c r="W546" i="1"/>
  <c r="N546" i="1"/>
  <c r="M546" i="1"/>
  <c r="L546" i="1" a="1"/>
  <c r="L546" i="1" s="1"/>
  <c r="K546" i="1"/>
  <c r="J546" i="1"/>
  <c r="H546" i="1" s="1"/>
  <c r="I546" i="1"/>
  <c r="AW545" i="1"/>
  <c r="X545" i="1" s="1"/>
  <c r="Y545" i="1" s="1"/>
  <c r="W545" i="1"/>
  <c r="N545" i="1"/>
  <c r="M545" i="1"/>
  <c r="L545" i="1" a="1"/>
  <c r="L545" i="1" s="1"/>
  <c r="K545" i="1"/>
  <c r="J545" i="1"/>
  <c r="H545" i="1" s="1"/>
  <c r="I545" i="1"/>
  <c r="AW544" i="1"/>
  <c r="X544" i="1"/>
  <c r="Y544" i="1" s="1"/>
  <c r="W544" i="1"/>
  <c r="N544" i="1"/>
  <c r="M544" i="1"/>
  <c r="L544" i="1"/>
  <c r="L544" i="1" a="1"/>
  <c r="K544" i="1"/>
  <c r="J544" i="1"/>
  <c r="H544" i="1" s="1"/>
  <c r="I544" i="1"/>
  <c r="AW543" i="1"/>
  <c r="X543" i="1"/>
  <c r="Y543" i="1" s="1"/>
  <c r="W543" i="1"/>
  <c r="N543" i="1"/>
  <c r="M543" i="1"/>
  <c r="L543" i="1" a="1"/>
  <c r="L543" i="1" s="1"/>
  <c r="K543" i="1"/>
  <c r="J543" i="1"/>
  <c r="H543" i="1" s="1"/>
  <c r="I543" i="1"/>
  <c r="AW542" i="1"/>
  <c r="X542" i="1"/>
  <c r="Y542" i="1" s="1"/>
  <c r="W542" i="1"/>
  <c r="N542" i="1"/>
  <c r="M542" i="1"/>
  <c r="L542" i="1" a="1"/>
  <c r="L542" i="1" s="1"/>
  <c r="K542" i="1"/>
  <c r="J542" i="1"/>
  <c r="I542" i="1"/>
  <c r="H542" i="1"/>
  <c r="AW541" i="1"/>
  <c r="X541" i="1"/>
  <c r="Y541" i="1" s="1"/>
  <c r="W541" i="1"/>
  <c r="N541" i="1"/>
  <c r="M541" i="1"/>
  <c r="L541" i="1" a="1"/>
  <c r="L541" i="1" s="1"/>
  <c r="K541" i="1"/>
  <c r="J541" i="1"/>
  <c r="H541" i="1" s="1"/>
  <c r="I541" i="1"/>
  <c r="AW540" i="1"/>
  <c r="X540" i="1"/>
  <c r="Y540" i="1" s="1"/>
  <c r="W540" i="1"/>
  <c r="N540" i="1"/>
  <c r="M540" i="1"/>
  <c r="L540" i="1" a="1"/>
  <c r="L540" i="1" s="1"/>
  <c r="K540" i="1"/>
  <c r="J540" i="1"/>
  <c r="H540" i="1" s="1"/>
  <c r="I540" i="1"/>
  <c r="AW539" i="1"/>
  <c r="X539" i="1"/>
  <c r="Y539" i="1" s="1"/>
  <c r="W539" i="1"/>
  <c r="N539" i="1"/>
  <c r="M539" i="1"/>
  <c r="L539" i="1"/>
  <c r="L539" i="1" a="1"/>
  <c r="K539" i="1"/>
  <c r="J539" i="1"/>
  <c r="H539" i="1" s="1"/>
  <c r="I539" i="1"/>
  <c r="AW538" i="1"/>
  <c r="X538" i="1"/>
  <c r="Y538" i="1" s="1"/>
  <c r="W538" i="1"/>
  <c r="N538" i="1"/>
  <c r="M538" i="1"/>
  <c r="L538" i="1" a="1"/>
  <c r="L538" i="1" s="1"/>
  <c r="K538" i="1"/>
  <c r="J538" i="1"/>
  <c r="H538" i="1" s="1"/>
  <c r="I538" i="1"/>
  <c r="AW537" i="1"/>
  <c r="X537" i="1"/>
  <c r="Y537" i="1" s="1"/>
  <c r="W537" i="1"/>
  <c r="N537" i="1"/>
  <c r="M537" i="1"/>
  <c r="L537" i="1" a="1"/>
  <c r="L537" i="1" s="1"/>
  <c r="K537" i="1"/>
  <c r="J537" i="1"/>
  <c r="H537" i="1" s="1"/>
  <c r="I537" i="1"/>
  <c r="AW536" i="1"/>
  <c r="X536" i="1"/>
  <c r="Y536" i="1" s="1"/>
  <c r="W536" i="1"/>
  <c r="N536" i="1"/>
  <c r="M536" i="1"/>
  <c r="L536" i="1" a="1"/>
  <c r="L536" i="1" s="1"/>
  <c r="K536" i="1"/>
  <c r="J536" i="1"/>
  <c r="H536" i="1" s="1"/>
  <c r="I536" i="1"/>
  <c r="AW535" i="1"/>
  <c r="X535" i="1"/>
  <c r="Y535" i="1" s="1"/>
  <c r="W535" i="1"/>
  <c r="N535" i="1"/>
  <c r="M535" i="1"/>
  <c r="L535" i="1" a="1"/>
  <c r="L535" i="1" s="1"/>
  <c r="K535" i="1"/>
  <c r="J535" i="1"/>
  <c r="H535" i="1" s="1"/>
  <c r="I535" i="1"/>
  <c r="AW534" i="1"/>
  <c r="X534" i="1"/>
  <c r="Y534" i="1" s="1"/>
  <c r="W534" i="1"/>
  <c r="N534" i="1"/>
  <c r="M534" i="1"/>
  <c r="L534" i="1" a="1"/>
  <c r="L534" i="1" s="1"/>
  <c r="K534" i="1"/>
  <c r="J534" i="1"/>
  <c r="H534" i="1" s="1"/>
  <c r="I534" i="1"/>
  <c r="AW533" i="1"/>
  <c r="X533" i="1" s="1"/>
  <c r="Y533" i="1" s="1"/>
  <c r="W533" i="1"/>
  <c r="N533" i="1"/>
  <c r="M533" i="1"/>
  <c r="L533" i="1" a="1"/>
  <c r="L533" i="1" s="1"/>
  <c r="K533" i="1"/>
  <c r="J533" i="1"/>
  <c r="H533" i="1" s="1"/>
  <c r="I533" i="1"/>
  <c r="AW532" i="1"/>
  <c r="X532" i="1"/>
  <c r="Y532" i="1" s="1"/>
  <c r="W532" i="1"/>
  <c r="N532" i="1"/>
  <c r="M532" i="1"/>
  <c r="L532" i="1" a="1"/>
  <c r="L532" i="1" s="1"/>
  <c r="K532" i="1"/>
  <c r="J532" i="1"/>
  <c r="H532" i="1" s="1"/>
  <c r="I532" i="1"/>
  <c r="AW531" i="1"/>
  <c r="X531" i="1" s="1"/>
  <c r="Y531" i="1" s="1"/>
  <c r="W531" i="1"/>
  <c r="N531" i="1"/>
  <c r="M531" i="1"/>
  <c r="L531" i="1" a="1"/>
  <c r="L531" i="1" s="1"/>
  <c r="K531" i="1"/>
  <c r="J531" i="1"/>
  <c r="H531" i="1" s="1"/>
  <c r="I531" i="1"/>
  <c r="AW530" i="1"/>
  <c r="X530" i="1"/>
  <c r="Y530" i="1" s="1"/>
  <c r="W530" i="1"/>
  <c r="N530" i="1"/>
  <c r="M530" i="1"/>
  <c r="L530" i="1" a="1"/>
  <c r="L530" i="1" s="1"/>
  <c r="K530" i="1"/>
  <c r="J530" i="1"/>
  <c r="H530" i="1" s="1"/>
  <c r="I530" i="1"/>
  <c r="AW529" i="1"/>
  <c r="X529" i="1"/>
  <c r="Y529" i="1" s="1"/>
  <c r="W529" i="1"/>
  <c r="N529" i="1"/>
  <c r="M529" i="1"/>
  <c r="L529" i="1" a="1"/>
  <c r="L529" i="1" s="1"/>
  <c r="K529" i="1"/>
  <c r="J529" i="1"/>
  <c r="H529" i="1" s="1"/>
  <c r="I529" i="1"/>
  <c r="AW528" i="1"/>
  <c r="X528" i="1"/>
  <c r="Y528" i="1" s="1"/>
  <c r="W528" i="1"/>
  <c r="N528" i="1"/>
  <c r="M528" i="1"/>
  <c r="L528" i="1" a="1"/>
  <c r="L528" i="1" s="1"/>
  <c r="K528" i="1"/>
  <c r="J528" i="1"/>
  <c r="H528" i="1" s="1"/>
  <c r="I528" i="1"/>
  <c r="AW527" i="1"/>
  <c r="X527" i="1" s="1"/>
  <c r="Y527" i="1" s="1"/>
  <c r="W527" i="1"/>
  <c r="N527" i="1"/>
  <c r="M527" i="1"/>
  <c r="L527" i="1" a="1"/>
  <c r="L527" i="1" s="1"/>
  <c r="K527" i="1"/>
  <c r="J527" i="1"/>
  <c r="H527" i="1" s="1"/>
  <c r="I527" i="1"/>
  <c r="AW526" i="1"/>
  <c r="X526" i="1"/>
  <c r="Y526" i="1" s="1"/>
  <c r="W526" i="1"/>
  <c r="N526" i="1"/>
  <c r="M526" i="1"/>
  <c r="L526" i="1" a="1"/>
  <c r="L526" i="1" s="1"/>
  <c r="K526" i="1"/>
  <c r="J526" i="1"/>
  <c r="H526" i="1" s="1"/>
  <c r="I526" i="1"/>
  <c r="AW525" i="1"/>
  <c r="X525" i="1" s="1"/>
  <c r="Y525" i="1" s="1"/>
  <c r="W525" i="1"/>
  <c r="N525" i="1"/>
  <c r="M525" i="1"/>
  <c r="L525" i="1" a="1"/>
  <c r="L525" i="1" s="1"/>
  <c r="K525" i="1"/>
  <c r="J525" i="1"/>
  <c r="H525" i="1" s="1"/>
  <c r="I525" i="1"/>
  <c r="AW524" i="1"/>
  <c r="X524" i="1"/>
  <c r="Y524" i="1" s="1"/>
  <c r="W524" i="1"/>
  <c r="N524" i="1"/>
  <c r="M524" i="1"/>
  <c r="L524" i="1" a="1"/>
  <c r="L524" i="1" s="1"/>
  <c r="K524" i="1"/>
  <c r="J524" i="1"/>
  <c r="H524" i="1" s="1"/>
  <c r="I524" i="1"/>
  <c r="AW523" i="1"/>
  <c r="X523" i="1"/>
  <c r="Y523" i="1" s="1"/>
  <c r="W523" i="1"/>
  <c r="N523" i="1"/>
  <c r="M523" i="1"/>
  <c r="L523" i="1" a="1"/>
  <c r="L523" i="1" s="1"/>
  <c r="K523" i="1"/>
  <c r="J523" i="1"/>
  <c r="H523" i="1" s="1"/>
  <c r="I523" i="1"/>
  <c r="AW522" i="1"/>
  <c r="X522" i="1"/>
  <c r="Y522" i="1" s="1"/>
  <c r="W522" i="1"/>
  <c r="N522" i="1"/>
  <c r="M522" i="1"/>
  <c r="L522" i="1" a="1"/>
  <c r="L522" i="1" s="1"/>
  <c r="K522" i="1"/>
  <c r="J522" i="1"/>
  <c r="H522" i="1" s="1"/>
  <c r="I522" i="1"/>
  <c r="AW521" i="1"/>
  <c r="X521" i="1"/>
  <c r="Y521" i="1" s="1"/>
  <c r="W521" i="1"/>
  <c r="N521" i="1"/>
  <c r="M521" i="1"/>
  <c r="L521" i="1" a="1"/>
  <c r="L521" i="1" s="1"/>
  <c r="K521" i="1"/>
  <c r="J521" i="1"/>
  <c r="H521" i="1" s="1"/>
  <c r="I521" i="1"/>
  <c r="AW520" i="1"/>
  <c r="X520" i="1" s="1"/>
  <c r="Y520" i="1"/>
  <c r="W520" i="1"/>
  <c r="N520" i="1"/>
  <c r="M520" i="1"/>
  <c r="L520" i="1" a="1"/>
  <c r="L520" i="1" s="1"/>
  <c r="K520" i="1"/>
  <c r="J520" i="1"/>
  <c r="H520" i="1" s="1"/>
  <c r="I520" i="1"/>
  <c r="AW519" i="1"/>
  <c r="X519" i="1"/>
  <c r="Y519" i="1" s="1"/>
  <c r="W519" i="1"/>
  <c r="N519" i="1"/>
  <c r="M519" i="1"/>
  <c r="L519" i="1" a="1"/>
  <c r="L519" i="1" s="1"/>
  <c r="K519" i="1"/>
  <c r="J519" i="1"/>
  <c r="H519" i="1" s="1"/>
  <c r="I519" i="1"/>
  <c r="AW518" i="1"/>
  <c r="X518" i="1" s="1"/>
  <c r="Y518" i="1" s="1"/>
  <c r="W518" i="1"/>
  <c r="N518" i="1"/>
  <c r="M518" i="1"/>
  <c r="L518" i="1" a="1"/>
  <c r="L518" i="1" s="1"/>
  <c r="K518" i="1"/>
  <c r="J518" i="1"/>
  <c r="H518" i="1" s="1"/>
  <c r="I518" i="1"/>
  <c r="AW517" i="1"/>
  <c r="X517" i="1"/>
  <c r="Y517" i="1" s="1"/>
  <c r="W517" i="1"/>
  <c r="N517" i="1"/>
  <c r="M517" i="1"/>
  <c r="L517" i="1" a="1"/>
  <c r="L517" i="1" s="1"/>
  <c r="K517" i="1"/>
  <c r="J517" i="1"/>
  <c r="H517" i="1" s="1"/>
  <c r="I517" i="1"/>
  <c r="AW516" i="1"/>
  <c r="X516" i="1"/>
  <c r="Y516" i="1" s="1"/>
  <c r="W516" i="1"/>
  <c r="N516" i="1"/>
  <c r="M516" i="1"/>
  <c r="L516" i="1" a="1"/>
  <c r="L516" i="1" s="1"/>
  <c r="K516" i="1"/>
  <c r="J516" i="1"/>
  <c r="H516" i="1" s="1"/>
  <c r="I516" i="1"/>
  <c r="AW515" i="1"/>
  <c r="X515" i="1"/>
  <c r="Y515" i="1" s="1"/>
  <c r="W515" i="1"/>
  <c r="N515" i="1"/>
  <c r="M515" i="1"/>
  <c r="L515" i="1" a="1"/>
  <c r="L515" i="1" s="1"/>
  <c r="K515" i="1"/>
  <c r="J515" i="1"/>
  <c r="H515" i="1" s="1"/>
  <c r="I515" i="1"/>
  <c r="AW514" i="1"/>
  <c r="X514" i="1"/>
  <c r="Y514" i="1" s="1"/>
  <c r="W514" i="1"/>
  <c r="N514" i="1"/>
  <c r="M514" i="1"/>
  <c r="L514" i="1" a="1"/>
  <c r="L514" i="1" s="1"/>
  <c r="K514" i="1"/>
  <c r="J514" i="1"/>
  <c r="H514" i="1" s="1"/>
  <c r="I514" i="1"/>
  <c r="AW513" i="1"/>
  <c r="X513" i="1"/>
  <c r="Y513" i="1" s="1"/>
  <c r="W513" i="1"/>
  <c r="N513" i="1"/>
  <c r="M513" i="1"/>
  <c r="L513" i="1" a="1"/>
  <c r="L513" i="1" s="1"/>
  <c r="K513" i="1"/>
  <c r="J513" i="1"/>
  <c r="H513" i="1" s="1"/>
  <c r="I513" i="1"/>
  <c r="AW512" i="1"/>
  <c r="X512" i="1"/>
  <c r="Y512" i="1" s="1"/>
  <c r="W512" i="1"/>
  <c r="N512" i="1"/>
  <c r="M512" i="1"/>
  <c r="L512" i="1" a="1"/>
  <c r="L512" i="1" s="1"/>
  <c r="K512" i="1"/>
  <c r="J512" i="1"/>
  <c r="H512" i="1" s="1"/>
  <c r="I512" i="1"/>
  <c r="AW511" i="1"/>
  <c r="X511" i="1" s="1"/>
  <c r="Y511" i="1" s="1"/>
  <c r="W511" i="1"/>
  <c r="N511" i="1"/>
  <c r="M511" i="1"/>
  <c r="L511" i="1" a="1"/>
  <c r="L511" i="1" s="1"/>
  <c r="K511" i="1"/>
  <c r="J511" i="1"/>
  <c r="H511" i="1" s="1"/>
  <c r="I511" i="1"/>
  <c r="AW510" i="1"/>
  <c r="X510" i="1"/>
  <c r="Y510" i="1" s="1"/>
  <c r="W510" i="1"/>
  <c r="N510" i="1"/>
  <c r="M510" i="1"/>
  <c r="L510" i="1" a="1"/>
  <c r="L510" i="1" s="1"/>
  <c r="K510" i="1"/>
  <c r="J510" i="1"/>
  <c r="H510" i="1" s="1"/>
  <c r="I510" i="1"/>
  <c r="AW509" i="1"/>
  <c r="X509" i="1"/>
  <c r="Y509" i="1" s="1"/>
  <c r="W509" i="1"/>
  <c r="N509" i="1"/>
  <c r="M509" i="1"/>
  <c r="L509" i="1" a="1"/>
  <c r="L509" i="1" s="1"/>
  <c r="K509" i="1"/>
  <c r="J509" i="1"/>
  <c r="H509" i="1" s="1"/>
  <c r="I509" i="1"/>
  <c r="AW508" i="1"/>
  <c r="X508" i="1"/>
  <c r="Y508" i="1" s="1"/>
  <c r="W508" i="1"/>
  <c r="N508" i="1"/>
  <c r="M508" i="1"/>
  <c r="L508" i="1" a="1"/>
  <c r="L508" i="1" s="1"/>
  <c r="K508" i="1"/>
  <c r="J508" i="1"/>
  <c r="H508" i="1" s="1"/>
  <c r="I508" i="1"/>
  <c r="AW507" i="1"/>
  <c r="X507" i="1"/>
  <c r="Y507" i="1" s="1"/>
  <c r="W507" i="1"/>
  <c r="N507" i="1"/>
  <c r="M507" i="1"/>
  <c r="L507" i="1" a="1"/>
  <c r="L507" i="1" s="1"/>
  <c r="K507" i="1"/>
  <c r="J507" i="1"/>
  <c r="H507" i="1" s="1"/>
  <c r="I507" i="1"/>
  <c r="AW506" i="1"/>
  <c r="X506" i="1"/>
  <c r="Y506" i="1" s="1"/>
  <c r="W506" i="1"/>
  <c r="N506" i="1"/>
  <c r="M506" i="1"/>
  <c r="L506" i="1" a="1"/>
  <c r="L506" i="1" s="1"/>
  <c r="K506" i="1"/>
  <c r="J506" i="1"/>
  <c r="H506" i="1" s="1"/>
  <c r="I506" i="1"/>
  <c r="AW505" i="1"/>
  <c r="X505" i="1" s="1"/>
  <c r="Y505" i="1" s="1"/>
  <c r="W505" i="1"/>
  <c r="N505" i="1"/>
  <c r="M505" i="1"/>
  <c r="L505" i="1" a="1"/>
  <c r="L505" i="1" s="1"/>
  <c r="K505" i="1"/>
  <c r="J505" i="1"/>
  <c r="I505" i="1"/>
  <c r="H505" i="1"/>
  <c r="AW504" i="1"/>
  <c r="X504" i="1"/>
  <c r="Y504" i="1" s="1"/>
  <c r="W504" i="1"/>
  <c r="N504" i="1"/>
  <c r="M504" i="1"/>
  <c r="L504" i="1" a="1"/>
  <c r="L504" i="1" s="1"/>
  <c r="K504" i="1"/>
  <c r="J504" i="1"/>
  <c r="H504" i="1" s="1"/>
  <c r="I504" i="1"/>
  <c r="AW503" i="1"/>
  <c r="X503" i="1" s="1"/>
  <c r="Y503" i="1" s="1"/>
  <c r="W503" i="1"/>
  <c r="N503" i="1"/>
  <c r="M503" i="1"/>
  <c r="L503" i="1" a="1"/>
  <c r="L503" i="1" s="1"/>
  <c r="K503" i="1"/>
  <c r="J503" i="1"/>
  <c r="I503" i="1"/>
  <c r="H503" i="1"/>
  <c r="AW502" i="1"/>
  <c r="X502" i="1"/>
  <c r="Y502" i="1" s="1"/>
  <c r="W502" i="1"/>
  <c r="N502" i="1"/>
  <c r="M502" i="1"/>
  <c r="L502" i="1" a="1"/>
  <c r="L502" i="1" s="1"/>
  <c r="K502" i="1"/>
  <c r="J502" i="1"/>
  <c r="H502" i="1" s="1"/>
  <c r="I502" i="1"/>
  <c r="AW501" i="1"/>
  <c r="X501" i="1"/>
  <c r="Y501" i="1" s="1"/>
  <c r="W501" i="1"/>
  <c r="N501" i="1"/>
  <c r="M501" i="1"/>
  <c r="L501" i="1" a="1"/>
  <c r="L501" i="1" s="1"/>
  <c r="K501" i="1"/>
  <c r="J501" i="1"/>
  <c r="H501" i="1" s="1"/>
  <c r="I501" i="1"/>
  <c r="AW500" i="1"/>
  <c r="X500" i="1"/>
  <c r="Y500" i="1" s="1"/>
  <c r="W500" i="1"/>
  <c r="N500" i="1"/>
  <c r="M500" i="1"/>
  <c r="L500" i="1" a="1"/>
  <c r="L500" i="1" s="1"/>
  <c r="K500" i="1"/>
  <c r="J500" i="1"/>
  <c r="H500" i="1" s="1"/>
  <c r="I500" i="1"/>
  <c r="AW499" i="1"/>
  <c r="X499" i="1" s="1"/>
  <c r="Y499" i="1" s="1"/>
  <c r="W499" i="1"/>
  <c r="N499" i="1"/>
  <c r="M499" i="1"/>
  <c r="L499" i="1" a="1"/>
  <c r="L499" i="1" s="1"/>
  <c r="K499" i="1"/>
  <c r="J499" i="1"/>
  <c r="H499" i="1" s="1"/>
  <c r="I499" i="1"/>
  <c r="AW498" i="1"/>
  <c r="X498" i="1"/>
  <c r="Y498" i="1" s="1"/>
  <c r="W498" i="1"/>
  <c r="N498" i="1"/>
  <c r="M498" i="1"/>
  <c r="L498" i="1" a="1"/>
  <c r="L498" i="1" s="1"/>
  <c r="K498" i="1"/>
  <c r="J498" i="1"/>
  <c r="H498" i="1" s="1"/>
  <c r="I498" i="1"/>
  <c r="AW497" i="1"/>
  <c r="X497" i="1"/>
  <c r="Y497" i="1" s="1"/>
  <c r="W497" i="1"/>
  <c r="N497" i="1"/>
  <c r="M497" i="1"/>
  <c r="L497" i="1" a="1"/>
  <c r="L497" i="1" s="1"/>
  <c r="K497" i="1"/>
  <c r="J497" i="1"/>
  <c r="H497" i="1" s="1"/>
  <c r="I497" i="1"/>
  <c r="AW496" i="1"/>
  <c r="X496" i="1" s="1"/>
  <c r="Y496" i="1" s="1"/>
  <c r="W496" i="1"/>
  <c r="N496" i="1"/>
  <c r="M496" i="1"/>
  <c r="L496" i="1" a="1"/>
  <c r="L496" i="1" s="1"/>
  <c r="K496" i="1"/>
  <c r="J496" i="1"/>
  <c r="H496" i="1" s="1"/>
  <c r="I496" i="1"/>
  <c r="AW495" i="1"/>
  <c r="X495" i="1"/>
  <c r="Y495" i="1" s="1"/>
  <c r="W495" i="1"/>
  <c r="N495" i="1"/>
  <c r="M495" i="1"/>
  <c r="L495" i="1" a="1"/>
  <c r="L495" i="1" s="1"/>
  <c r="K495" i="1"/>
  <c r="J495" i="1"/>
  <c r="H495" i="1" s="1"/>
  <c r="I495" i="1"/>
  <c r="AW494" i="1"/>
  <c r="X494" i="1"/>
  <c r="Y494" i="1" s="1"/>
  <c r="W494" i="1"/>
  <c r="N494" i="1"/>
  <c r="M494" i="1"/>
  <c r="L494" i="1" a="1"/>
  <c r="L494" i="1" s="1"/>
  <c r="K494" i="1"/>
  <c r="J494" i="1"/>
  <c r="H494" i="1" s="1"/>
  <c r="I494" i="1"/>
  <c r="AW493" i="1"/>
  <c r="X493" i="1"/>
  <c r="Y493" i="1" s="1"/>
  <c r="W493" i="1"/>
  <c r="N493" i="1"/>
  <c r="M493" i="1"/>
  <c r="L493" i="1" a="1"/>
  <c r="L493" i="1" s="1"/>
  <c r="K493" i="1"/>
  <c r="J493" i="1"/>
  <c r="H493" i="1" s="1"/>
  <c r="I493" i="1"/>
  <c r="AW492" i="1"/>
  <c r="X492" i="1"/>
  <c r="Y492" i="1" s="1"/>
  <c r="W492" i="1"/>
  <c r="N492" i="1"/>
  <c r="M492" i="1"/>
  <c r="L492" i="1"/>
  <c r="L492" i="1" a="1"/>
  <c r="K492" i="1"/>
  <c r="J492" i="1"/>
  <c r="H492" i="1" s="1"/>
  <c r="I492" i="1"/>
  <c r="AW491" i="1"/>
  <c r="X491" i="1"/>
  <c r="Y491" i="1" s="1"/>
  <c r="W491" i="1"/>
  <c r="N491" i="1"/>
  <c r="M491" i="1"/>
  <c r="L491" i="1" a="1"/>
  <c r="L491" i="1" s="1"/>
  <c r="K491" i="1"/>
  <c r="J491" i="1"/>
  <c r="H491" i="1" s="1"/>
  <c r="I491" i="1"/>
  <c r="AW490" i="1"/>
  <c r="X490" i="1" s="1"/>
  <c r="Y490" i="1" s="1"/>
  <c r="W490" i="1"/>
  <c r="N490" i="1"/>
  <c r="M490" i="1"/>
  <c r="L490" i="1" a="1"/>
  <c r="L490" i="1" s="1"/>
  <c r="K490" i="1"/>
  <c r="J490" i="1"/>
  <c r="H490" i="1" s="1"/>
  <c r="I490" i="1"/>
  <c r="AW489" i="1"/>
  <c r="X489" i="1"/>
  <c r="Y489" i="1" s="1"/>
  <c r="W489" i="1"/>
  <c r="N489" i="1"/>
  <c r="M489" i="1"/>
  <c r="L489" i="1" a="1"/>
  <c r="L489" i="1" s="1"/>
  <c r="K489" i="1"/>
  <c r="J489" i="1"/>
  <c r="H489" i="1" s="1"/>
  <c r="I489" i="1"/>
  <c r="AW488" i="1"/>
  <c r="X488" i="1"/>
  <c r="Y488" i="1" s="1"/>
  <c r="W488" i="1"/>
  <c r="N488" i="1"/>
  <c r="M488" i="1"/>
  <c r="L488" i="1" a="1"/>
  <c r="L488" i="1" s="1"/>
  <c r="K488" i="1"/>
  <c r="J488" i="1"/>
  <c r="H488" i="1" s="1"/>
  <c r="I488" i="1"/>
  <c r="AW487" i="1"/>
  <c r="X487" i="1"/>
  <c r="Y487" i="1" s="1"/>
  <c r="W487" i="1"/>
  <c r="N487" i="1"/>
  <c r="M487" i="1"/>
  <c r="L487" i="1" a="1"/>
  <c r="L487" i="1" s="1"/>
  <c r="K487" i="1"/>
  <c r="J487" i="1"/>
  <c r="H487" i="1" s="1"/>
  <c r="I487" i="1"/>
  <c r="AW486" i="1"/>
  <c r="X486" i="1"/>
  <c r="Y486" i="1" s="1"/>
  <c r="W486" i="1"/>
  <c r="N486" i="1"/>
  <c r="M486" i="1"/>
  <c r="L486" i="1" a="1"/>
  <c r="L486" i="1" s="1"/>
  <c r="K486" i="1"/>
  <c r="J486" i="1"/>
  <c r="H486" i="1" s="1"/>
  <c r="I486" i="1"/>
  <c r="AW485" i="1"/>
  <c r="X485" i="1" s="1"/>
  <c r="Y485" i="1" s="1"/>
  <c r="W485" i="1"/>
  <c r="N485" i="1"/>
  <c r="M485" i="1"/>
  <c r="L485" i="1" a="1"/>
  <c r="L485" i="1" s="1"/>
  <c r="K485" i="1"/>
  <c r="J485" i="1"/>
  <c r="I485" i="1"/>
  <c r="H485" i="1"/>
  <c r="AW484" i="1"/>
  <c r="Y484" i="1"/>
  <c r="X484" i="1"/>
  <c r="W484" i="1"/>
  <c r="N484" i="1"/>
  <c r="M484" i="1"/>
  <c r="L484" i="1" a="1"/>
  <c r="L484" i="1" s="1"/>
  <c r="K484" i="1"/>
  <c r="J484" i="1"/>
  <c r="I484" i="1"/>
  <c r="H484" i="1"/>
  <c r="AW483" i="1"/>
  <c r="X483" i="1" s="1"/>
  <c r="Y483" i="1" s="1"/>
  <c r="W483" i="1"/>
  <c r="N483" i="1"/>
  <c r="M483" i="1"/>
  <c r="L483" i="1" a="1"/>
  <c r="L483" i="1" s="1"/>
  <c r="K483" i="1"/>
  <c r="J483" i="1"/>
  <c r="H483" i="1" s="1"/>
  <c r="I483" i="1"/>
  <c r="AW482" i="1"/>
  <c r="X482" i="1"/>
  <c r="Y482" i="1" s="1"/>
  <c r="W482" i="1"/>
  <c r="N482" i="1"/>
  <c r="M482" i="1"/>
  <c r="L482" i="1" a="1"/>
  <c r="L482" i="1" s="1"/>
  <c r="K482" i="1"/>
  <c r="J482" i="1"/>
  <c r="H482" i="1" s="1"/>
  <c r="I482" i="1"/>
  <c r="AW481" i="1"/>
  <c r="X481" i="1"/>
  <c r="Y481" i="1" s="1"/>
  <c r="W481" i="1"/>
  <c r="N481" i="1"/>
  <c r="M481" i="1"/>
  <c r="L481" i="1" a="1"/>
  <c r="L481" i="1" s="1"/>
  <c r="K481" i="1"/>
  <c r="J481" i="1"/>
  <c r="H481" i="1" s="1"/>
  <c r="I481" i="1"/>
  <c r="AW480" i="1"/>
  <c r="X480" i="1"/>
  <c r="Y480" i="1" s="1"/>
  <c r="W480" i="1"/>
  <c r="N480" i="1"/>
  <c r="M480" i="1"/>
  <c r="L480" i="1" a="1"/>
  <c r="L480" i="1" s="1"/>
  <c r="K480" i="1"/>
  <c r="J480" i="1"/>
  <c r="H480" i="1" s="1"/>
  <c r="I480" i="1"/>
  <c r="AW479" i="1"/>
  <c r="X479" i="1"/>
  <c r="Y479" i="1" s="1"/>
  <c r="W479" i="1"/>
  <c r="N479" i="1"/>
  <c r="M479" i="1"/>
  <c r="L479" i="1" a="1"/>
  <c r="L479" i="1" s="1"/>
  <c r="K479" i="1"/>
  <c r="J479" i="1"/>
  <c r="H479" i="1" s="1"/>
  <c r="I479" i="1"/>
  <c r="AW478" i="1"/>
  <c r="X478" i="1"/>
  <c r="Y478" i="1" s="1"/>
  <c r="W478" i="1"/>
  <c r="N478" i="1"/>
  <c r="M478" i="1"/>
  <c r="L478" i="1" a="1"/>
  <c r="L478" i="1" s="1"/>
  <c r="K478" i="1"/>
  <c r="J478" i="1"/>
  <c r="H478" i="1" s="1"/>
  <c r="I478" i="1"/>
  <c r="AW477" i="1"/>
  <c r="X477" i="1" s="1"/>
  <c r="Y477" i="1" s="1"/>
  <c r="W477" i="1"/>
  <c r="N477" i="1"/>
  <c r="M477" i="1"/>
  <c r="L477" i="1" a="1"/>
  <c r="L477" i="1" s="1"/>
  <c r="K477" i="1"/>
  <c r="J477" i="1"/>
  <c r="H477" i="1" s="1"/>
  <c r="I477" i="1"/>
  <c r="AW476" i="1"/>
  <c r="X476" i="1"/>
  <c r="Y476" i="1" s="1"/>
  <c r="W476" i="1"/>
  <c r="N476" i="1"/>
  <c r="M476" i="1"/>
  <c r="L476" i="1" a="1"/>
  <c r="L476" i="1" s="1"/>
  <c r="K476" i="1"/>
  <c r="J476" i="1"/>
  <c r="H476" i="1" s="1"/>
  <c r="I476" i="1"/>
  <c r="AW475" i="1"/>
  <c r="X475" i="1"/>
  <c r="Y475" i="1" s="1"/>
  <c r="W475" i="1"/>
  <c r="N475" i="1"/>
  <c r="M475" i="1"/>
  <c r="L475" i="1" a="1"/>
  <c r="L475" i="1" s="1"/>
  <c r="K475" i="1"/>
  <c r="J475" i="1"/>
  <c r="H475" i="1" s="1"/>
  <c r="I475" i="1"/>
  <c r="AW474" i="1"/>
  <c r="X474" i="1"/>
  <c r="Y474" i="1" s="1"/>
  <c r="W474" i="1"/>
  <c r="N474" i="1"/>
  <c r="M474" i="1"/>
  <c r="L474" i="1" a="1"/>
  <c r="L474" i="1" s="1"/>
  <c r="K474" i="1"/>
  <c r="J474" i="1"/>
  <c r="H474" i="1" s="1"/>
  <c r="I474" i="1"/>
  <c r="AW473" i="1"/>
  <c r="X473" i="1"/>
  <c r="Y473" i="1" s="1"/>
  <c r="W473" i="1"/>
  <c r="N473" i="1"/>
  <c r="M473" i="1"/>
  <c r="L473" i="1" a="1"/>
  <c r="L473" i="1" s="1"/>
  <c r="K473" i="1"/>
  <c r="J473" i="1"/>
  <c r="H473" i="1" s="1"/>
  <c r="I473" i="1"/>
  <c r="AW472" i="1"/>
  <c r="X472" i="1" s="1"/>
  <c r="Y472" i="1" s="1"/>
  <c r="W472" i="1"/>
  <c r="N472" i="1"/>
  <c r="M472" i="1"/>
  <c r="L472" i="1" a="1"/>
  <c r="L472" i="1" s="1"/>
  <c r="K472" i="1"/>
  <c r="J472" i="1"/>
  <c r="H472" i="1" s="1"/>
  <c r="I472" i="1"/>
  <c r="AW471" i="1"/>
  <c r="X471" i="1" s="1"/>
  <c r="Y471" i="1" s="1"/>
  <c r="W471" i="1"/>
  <c r="N471" i="1"/>
  <c r="M471" i="1"/>
  <c r="L471" i="1" a="1"/>
  <c r="L471" i="1" s="1"/>
  <c r="K471" i="1"/>
  <c r="J471" i="1"/>
  <c r="H471" i="1" s="1"/>
  <c r="I471" i="1"/>
  <c r="AW470" i="1"/>
  <c r="X470" i="1" s="1"/>
  <c r="Y470" i="1" s="1"/>
  <c r="W470" i="1"/>
  <c r="N470" i="1"/>
  <c r="M470" i="1"/>
  <c r="L470" i="1" a="1"/>
  <c r="L470" i="1" s="1"/>
  <c r="K470" i="1"/>
  <c r="J470" i="1"/>
  <c r="H470" i="1" s="1"/>
  <c r="I470" i="1"/>
  <c r="AW469" i="1"/>
  <c r="X469" i="1" s="1"/>
  <c r="Y469" i="1" s="1"/>
  <c r="W469" i="1"/>
  <c r="N469" i="1"/>
  <c r="M469" i="1"/>
  <c r="L469" i="1" a="1"/>
  <c r="L469" i="1" s="1"/>
  <c r="K469" i="1"/>
  <c r="J469" i="1"/>
  <c r="H469" i="1" s="1"/>
  <c r="I469" i="1"/>
  <c r="AW468" i="1"/>
  <c r="X468" i="1"/>
  <c r="Y468" i="1" s="1"/>
  <c r="W468" i="1"/>
  <c r="N468" i="1"/>
  <c r="M468" i="1"/>
  <c r="L468" i="1" a="1"/>
  <c r="L468" i="1" s="1"/>
  <c r="K468" i="1"/>
  <c r="J468" i="1"/>
  <c r="H468" i="1" s="1"/>
  <c r="I468" i="1"/>
  <c r="AW467" i="1"/>
  <c r="X467" i="1" s="1"/>
  <c r="Y467" i="1" s="1"/>
  <c r="W467" i="1"/>
  <c r="N467" i="1"/>
  <c r="M467" i="1"/>
  <c r="L467" i="1" a="1"/>
  <c r="L467" i="1" s="1"/>
  <c r="K467" i="1"/>
  <c r="J467" i="1"/>
  <c r="H467" i="1" s="1"/>
  <c r="I467" i="1"/>
  <c r="AW466" i="1"/>
  <c r="X466" i="1"/>
  <c r="Y466" i="1" s="1"/>
  <c r="W466" i="1"/>
  <c r="N466" i="1"/>
  <c r="M466" i="1"/>
  <c r="L466" i="1" a="1"/>
  <c r="L466" i="1" s="1"/>
  <c r="K466" i="1"/>
  <c r="J466" i="1"/>
  <c r="H466" i="1" s="1"/>
  <c r="I466" i="1"/>
  <c r="AW465" i="1"/>
  <c r="X465" i="1"/>
  <c r="Y465" i="1" s="1"/>
  <c r="W465" i="1"/>
  <c r="N465" i="1"/>
  <c r="M465" i="1"/>
  <c r="L465" i="1" a="1"/>
  <c r="L465" i="1" s="1"/>
  <c r="K465" i="1"/>
  <c r="J465" i="1"/>
  <c r="H465" i="1" s="1"/>
  <c r="I465" i="1"/>
  <c r="AW464" i="1"/>
  <c r="X464" i="1"/>
  <c r="Y464" i="1" s="1"/>
  <c r="W464" i="1"/>
  <c r="N464" i="1"/>
  <c r="M464" i="1"/>
  <c r="L464" i="1" a="1"/>
  <c r="L464" i="1" s="1"/>
  <c r="K464" i="1"/>
  <c r="J464" i="1"/>
  <c r="H464" i="1" s="1"/>
  <c r="I464" i="1"/>
  <c r="AW463" i="1"/>
  <c r="X463" i="1"/>
  <c r="Y463" i="1" s="1"/>
  <c r="W463" i="1"/>
  <c r="N463" i="1"/>
  <c r="M463" i="1"/>
  <c r="L463" i="1" a="1"/>
  <c r="L463" i="1" s="1"/>
  <c r="K463" i="1"/>
  <c r="J463" i="1"/>
  <c r="H463" i="1" s="1"/>
  <c r="I463" i="1"/>
  <c r="AW462" i="1"/>
  <c r="X462" i="1"/>
  <c r="Y462" i="1" s="1"/>
  <c r="W462" i="1"/>
  <c r="N462" i="1"/>
  <c r="M462" i="1"/>
  <c r="L462" i="1" a="1"/>
  <c r="L462" i="1" s="1"/>
  <c r="K462" i="1"/>
  <c r="J462" i="1"/>
  <c r="H462" i="1" s="1"/>
  <c r="I462" i="1"/>
  <c r="AW461" i="1"/>
  <c r="X461" i="1"/>
  <c r="Y461" i="1" s="1"/>
  <c r="W461" i="1"/>
  <c r="N461" i="1"/>
  <c r="M461" i="1"/>
  <c r="L461" i="1" a="1"/>
  <c r="L461" i="1" s="1"/>
  <c r="K461" i="1"/>
  <c r="J461" i="1"/>
  <c r="H461" i="1" s="1"/>
  <c r="I461" i="1"/>
  <c r="AW460" i="1"/>
  <c r="X460" i="1"/>
  <c r="Y460" i="1" s="1"/>
  <c r="W460" i="1"/>
  <c r="N460" i="1"/>
  <c r="M460" i="1"/>
  <c r="L460" i="1" a="1"/>
  <c r="L460" i="1" s="1"/>
  <c r="K460" i="1"/>
  <c r="J460" i="1"/>
  <c r="H460" i="1" s="1"/>
  <c r="I460" i="1"/>
  <c r="AW459" i="1"/>
  <c r="X459" i="1"/>
  <c r="Y459" i="1" s="1"/>
  <c r="W459" i="1"/>
  <c r="N459" i="1"/>
  <c r="M459" i="1"/>
  <c r="L459" i="1" a="1"/>
  <c r="L459" i="1" s="1"/>
  <c r="K459" i="1"/>
  <c r="J459" i="1"/>
  <c r="H459" i="1" s="1"/>
  <c r="I459" i="1"/>
  <c r="AW458" i="1"/>
  <c r="X458" i="1"/>
  <c r="Y458" i="1" s="1"/>
  <c r="W458" i="1"/>
  <c r="N458" i="1"/>
  <c r="M458" i="1"/>
  <c r="L458" i="1" a="1"/>
  <c r="L458" i="1" s="1"/>
  <c r="K458" i="1"/>
  <c r="J458" i="1"/>
  <c r="I458" i="1"/>
  <c r="H458" i="1"/>
  <c r="AW457" i="1"/>
  <c r="X457" i="1"/>
  <c r="Y457" i="1" s="1"/>
  <c r="W457" i="1"/>
  <c r="N457" i="1"/>
  <c r="M457" i="1"/>
  <c r="L457" i="1" a="1"/>
  <c r="L457" i="1" s="1"/>
  <c r="K457" i="1"/>
  <c r="J457" i="1"/>
  <c r="I457" i="1"/>
  <c r="H457" i="1"/>
  <c r="AW456" i="1"/>
  <c r="X456" i="1"/>
  <c r="Y456" i="1" s="1"/>
  <c r="W456" i="1"/>
  <c r="N456" i="1"/>
  <c r="M456" i="1"/>
  <c r="L456" i="1" a="1"/>
  <c r="L456" i="1" s="1"/>
  <c r="K456" i="1"/>
  <c r="J456" i="1"/>
  <c r="H456" i="1" s="1"/>
  <c r="I456" i="1"/>
  <c r="AW455" i="1"/>
  <c r="X455" i="1"/>
  <c r="Y455" i="1" s="1"/>
  <c r="W455" i="1"/>
  <c r="N455" i="1"/>
  <c r="M455" i="1"/>
  <c r="L455" i="1" a="1"/>
  <c r="L455" i="1" s="1"/>
  <c r="K455" i="1"/>
  <c r="J455" i="1"/>
  <c r="H455" i="1" s="1"/>
  <c r="I455" i="1"/>
  <c r="AW454" i="1"/>
  <c r="X454" i="1"/>
  <c r="Y454" i="1" s="1"/>
  <c r="W454" i="1"/>
  <c r="N454" i="1"/>
  <c r="M454" i="1"/>
  <c r="L454" i="1" a="1"/>
  <c r="L454" i="1" s="1"/>
  <c r="K454" i="1"/>
  <c r="J454" i="1"/>
  <c r="H454" i="1" s="1"/>
  <c r="I454" i="1"/>
  <c r="AW453" i="1"/>
  <c r="X453" i="1"/>
  <c r="Y453" i="1" s="1"/>
  <c r="W453" i="1"/>
  <c r="N453" i="1"/>
  <c r="M453" i="1"/>
  <c r="L453" i="1" a="1"/>
  <c r="L453" i="1" s="1"/>
  <c r="K453" i="1"/>
  <c r="J453" i="1"/>
  <c r="I453" i="1"/>
  <c r="H453" i="1"/>
  <c r="AW452" i="1"/>
  <c r="X452" i="1" s="1"/>
  <c r="Y452" i="1" s="1"/>
  <c r="W452" i="1"/>
  <c r="N452" i="1"/>
  <c r="M452" i="1"/>
  <c r="L452" i="1" a="1"/>
  <c r="L452" i="1" s="1"/>
  <c r="K452" i="1"/>
  <c r="J452" i="1"/>
  <c r="H452" i="1" s="1"/>
  <c r="I452" i="1"/>
  <c r="AW451" i="1"/>
  <c r="X451" i="1"/>
  <c r="Y451" i="1" s="1"/>
  <c r="W451" i="1"/>
  <c r="N451" i="1"/>
  <c r="M451" i="1"/>
  <c r="L451" i="1" a="1"/>
  <c r="L451" i="1" s="1"/>
  <c r="K451" i="1"/>
  <c r="J451" i="1"/>
  <c r="H451" i="1" s="1"/>
  <c r="I451" i="1"/>
  <c r="AW450" i="1"/>
  <c r="X450" i="1"/>
  <c r="Y450" i="1" s="1"/>
  <c r="W450" i="1"/>
  <c r="N450" i="1"/>
  <c r="M450" i="1"/>
  <c r="L450" i="1" a="1"/>
  <c r="L450" i="1" s="1"/>
  <c r="K450" i="1"/>
  <c r="J450" i="1"/>
  <c r="H450" i="1" s="1"/>
  <c r="I450" i="1"/>
  <c r="AW449" i="1"/>
  <c r="X449" i="1"/>
  <c r="Y449" i="1" s="1"/>
  <c r="W449" i="1"/>
  <c r="N449" i="1"/>
  <c r="M449" i="1"/>
  <c r="L449" i="1" a="1"/>
  <c r="L449" i="1" s="1"/>
  <c r="K449" i="1"/>
  <c r="J449" i="1"/>
  <c r="H449" i="1" s="1"/>
  <c r="I449" i="1"/>
  <c r="AW448" i="1"/>
  <c r="X448" i="1"/>
  <c r="Y448" i="1" s="1"/>
  <c r="W448" i="1"/>
  <c r="N448" i="1"/>
  <c r="M448" i="1"/>
  <c r="L448" i="1" a="1"/>
  <c r="L448" i="1" s="1"/>
  <c r="K448" i="1"/>
  <c r="J448" i="1"/>
  <c r="H448" i="1" s="1"/>
  <c r="I448" i="1"/>
  <c r="AW447" i="1"/>
  <c r="X447" i="1"/>
  <c r="Y447" i="1" s="1"/>
  <c r="W447" i="1"/>
  <c r="N447" i="1"/>
  <c r="M447" i="1"/>
  <c r="L447" i="1" a="1"/>
  <c r="L447" i="1" s="1"/>
  <c r="K447" i="1"/>
  <c r="J447" i="1"/>
  <c r="H447" i="1" s="1"/>
  <c r="I447" i="1"/>
  <c r="AW446" i="1"/>
  <c r="X446" i="1" s="1"/>
  <c r="Y446" i="1" s="1"/>
  <c r="W446" i="1"/>
  <c r="N446" i="1"/>
  <c r="M446" i="1"/>
  <c r="L446" i="1" a="1"/>
  <c r="L446" i="1" s="1"/>
  <c r="K446" i="1"/>
  <c r="J446" i="1"/>
  <c r="H446" i="1" s="1"/>
  <c r="I446" i="1"/>
  <c r="AW445" i="1"/>
  <c r="X445" i="1"/>
  <c r="Y445" i="1" s="1"/>
  <c r="W445" i="1"/>
  <c r="N445" i="1"/>
  <c r="M445" i="1"/>
  <c r="L445" i="1" a="1"/>
  <c r="L445" i="1" s="1"/>
  <c r="K445" i="1"/>
  <c r="J445" i="1"/>
  <c r="H445" i="1" s="1"/>
  <c r="I445" i="1"/>
  <c r="AW444" i="1"/>
  <c r="X444" i="1"/>
  <c r="Y444" i="1" s="1"/>
  <c r="W444" i="1"/>
  <c r="N444" i="1"/>
  <c r="M444" i="1"/>
  <c r="L444" i="1" a="1"/>
  <c r="L444" i="1" s="1"/>
  <c r="K444" i="1"/>
  <c r="J444" i="1"/>
  <c r="H444" i="1" s="1"/>
  <c r="I444" i="1"/>
  <c r="AW443" i="1"/>
  <c r="X443" i="1"/>
  <c r="Y443" i="1" s="1"/>
  <c r="W443" i="1"/>
  <c r="N443" i="1"/>
  <c r="M443" i="1"/>
  <c r="L443" i="1" a="1"/>
  <c r="L443" i="1" s="1"/>
  <c r="K443" i="1"/>
  <c r="J443" i="1"/>
  <c r="H443" i="1" s="1"/>
  <c r="I443" i="1"/>
  <c r="AW442" i="1"/>
  <c r="X442" i="1"/>
  <c r="Y442" i="1" s="1"/>
  <c r="W442" i="1"/>
  <c r="N442" i="1"/>
  <c r="M442" i="1"/>
  <c r="L442" i="1" a="1"/>
  <c r="L442" i="1" s="1"/>
  <c r="K442" i="1"/>
  <c r="J442" i="1"/>
  <c r="H442" i="1" s="1"/>
  <c r="I442" i="1"/>
  <c r="AW441" i="1"/>
  <c r="X441" i="1"/>
  <c r="Y441" i="1" s="1"/>
  <c r="W441" i="1"/>
  <c r="N441" i="1"/>
  <c r="M441" i="1"/>
  <c r="L441" i="1" a="1"/>
  <c r="L441" i="1" s="1"/>
  <c r="K441" i="1"/>
  <c r="J441" i="1"/>
  <c r="H441" i="1" s="1"/>
  <c r="I441" i="1"/>
  <c r="AW440" i="1"/>
  <c r="X440" i="1"/>
  <c r="Y440" i="1" s="1"/>
  <c r="W440" i="1"/>
  <c r="N440" i="1"/>
  <c r="M440" i="1"/>
  <c r="L440" i="1" a="1"/>
  <c r="L440" i="1" s="1"/>
  <c r="K440" i="1"/>
  <c r="J440" i="1"/>
  <c r="H440" i="1" s="1"/>
  <c r="I440" i="1"/>
  <c r="AW439" i="1"/>
  <c r="X439" i="1" s="1"/>
  <c r="Y439" i="1" s="1"/>
  <c r="W439" i="1"/>
  <c r="N439" i="1"/>
  <c r="M439" i="1"/>
  <c r="L439" i="1" a="1"/>
  <c r="L439" i="1" s="1"/>
  <c r="K439" i="1"/>
  <c r="J439" i="1"/>
  <c r="H439" i="1" s="1"/>
  <c r="I439" i="1"/>
  <c r="AW438" i="1"/>
  <c r="X438" i="1"/>
  <c r="Y438" i="1" s="1"/>
  <c r="W438" i="1"/>
  <c r="N438" i="1"/>
  <c r="M438" i="1"/>
  <c r="L438" i="1" a="1"/>
  <c r="L438" i="1" s="1"/>
  <c r="K438" i="1"/>
  <c r="J438" i="1"/>
  <c r="H438" i="1" s="1"/>
  <c r="I438" i="1"/>
  <c r="AW437" i="1"/>
  <c r="X437" i="1" s="1"/>
  <c r="Y437" i="1" s="1"/>
  <c r="W437" i="1"/>
  <c r="N437" i="1"/>
  <c r="M437" i="1"/>
  <c r="L437" i="1" a="1"/>
  <c r="L437" i="1" s="1"/>
  <c r="K437" i="1"/>
  <c r="J437" i="1"/>
  <c r="H437" i="1" s="1"/>
  <c r="I437" i="1"/>
  <c r="AW436" i="1"/>
  <c r="X436" i="1"/>
  <c r="Y436" i="1" s="1"/>
  <c r="W436" i="1"/>
  <c r="N436" i="1"/>
  <c r="M436" i="1"/>
  <c r="L436" i="1" a="1"/>
  <c r="L436" i="1" s="1"/>
  <c r="K436" i="1"/>
  <c r="J436" i="1"/>
  <c r="H436" i="1" s="1"/>
  <c r="I436" i="1"/>
  <c r="AW435" i="1"/>
  <c r="X435" i="1"/>
  <c r="Y435" i="1" s="1"/>
  <c r="W435" i="1"/>
  <c r="N435" i="1"/>
  <c r="M435" i="1"/>
  <c r="L435" i="1" a="1"/>
  <c r="L435" i="1" s="1"/>
  <c r="K435" i="1"/>
  <c r="J435" i="1"/>
  <c r="H435" i="1" s="1"/>
  <c r="I435" i="1"/>
  <c r="AW434" i="1"/>
  <c r="X434" i="1"/>
  <c r="Y434" i="1" s="1"/>
  <c r="W434" i="1"/>
  <c r="N434" i="1"/>
  <c r="M434" i="1"/>
  <c r="L434" i="1" a="1"/>
  <c r="L434" i="1" s="1"/>
  <c r="K434" i="1"/>
  <c r="J434" i="1"/>
  <c r="H434" i="1" s="1"/>
  <c r="I434" i="1"/>
  <c r="AW433" i="1"/>
  <c r="X433" i="1"/>
  <c r="Y433" i="1" s="1"/>
  <c r="W433" i="1"/>
  <c r="N433" i="1"/>
  <c r="M433" i="1"/>
  <c r="L433" i="1" a="1"/>
  <c r="L433" i="1" s="1"/>
  <c r="K433" i="1"/>
  <c r="J433" i="1"/>
  <c r="H433" i="1" s="1"/>
  <c r="I433" i="1"/>
  <c r="AW432" i="1"/>
  <c r="X432" i="1" s="1"/>
  <c r="Y432" i="1" s="1"/>
  <c r="W432" i="1"/>
  <c r="N432" i="1"/>
  <c r="M432" i="1"/>
  <c r="L432" i="1" a="1"/>
  <c r="L432" i="1" s="1"/>
  <c r="K432" i="1"/>
  <c r="J432" i="1"/>
  <c r="H432" i="1" s="1"/>
  <c r="I432" i="1"/>
  <c r="AW431" i="1"/>
  <c r="X431" i="1"/>
  <c r="Y431" i="1" s="1"/>
  <c r="W431" i="1"/>
  <c r="N431" i="1"/>
  <c r="M431" i="1"/>
  <c r="L431" i="1" a="1"/>
  <c r="L431" i="1" s="1"/>
  <c r="K431" i="1"/>
  <c r="J431" i="1"/>
  <c r="H431" i="1" s="1"/>
  <c r="I431" i="1"/>
  <c r="AW430" i="1"/>
  <c r="X430" i="1" s="1"/>
  <c r="Y430" i="1" s="1"/>
  <c r="W430" i="1"/>
  <c r="N430" i="1"/>
  <c r="M430" i="1"/>
  <c r="L430" i="1" a="1"/>
  <c r="L430" i="1" s="1"/>
  <c r="K430" i="1"/>
  <c r="J430" i="1"/>
  <c r="H430" i="1" s="1"/>
  <c r="I430" i="1"/>
  <c r="AW429" i="1"/>
  <c r="X429" i="1" s="1"/>
  <c r="Y429" i="1" s="1"/>
  <c r="W429" i="1"/>
  <c r="N429" i="1"/>
  <c r="M429" i="1"/>
  <c r="L429" i="1" a="1"/>
  <c r="L429" i="1" s="1"/>
  <c r="K429" i="1"/>
  <c r="J429" i="1"/>
  <c r="H429" i="1" s="1"/>
  <c r="I429" i="1"/>
  <c r="AW428" i="1"/>
  <c r="X428" i="1" s="1"/>
  <c r="Y428" i="1" s="1"/>
  <c r="W428" i="1"/>
  <c r="N428" i="1"/>
  <c r="M428" i="1"/>
  <c r="L428" i="1" a="1"/>
  <c r="L428" i="1" s="1"/>
  <c r="K428" i="1"/>
  <c r="J428" i="1"/>
  <c r="H428" i="1" s="1"/>
  <c r="I428" i="1"/>
  <c r="AW427" i="1"/>
  <c r="X427" i="1"/>
  <c r="Y427" i="1" s="1"/>
  <c r="W427" i="1"/>
  <c r="N427" i="1"/>
  <c r="M427" i="1"/>
  <c r="L427" i="1" a="1"/>
  <c r="L427" i="1" s="1"/>
  <c r="K427" i="1"/>
  <c r="J427" i="1"/>
  <c r="H427" i="1" s="1"/>
  <c r="I427" i="1"/>
  <c r="AW426" i="1"/>
  <c r="X426" i="1" s="1"/>
  <c r="Y426" i="1" s="1"/>
  <c r="W426" i="1"/>
  <c r="N426" i="1"/>
  <c r="M426" i="1"/>
  <c r="L426" i="1" a="1"/>
  <c r="L426" i="1" s="1"/>
  <c r="K426" i="1"/>
  <c r="J426" i="1"/>
  <c r="H426" i="1" s="1"/>
  <c r="I426" i="1"/>
  <c r="AW425" i="1"/>
  <c r="X425" i="1"/>
  <c r="Y425" i="1" s="1"/>
  <c r="W425" i="1"/>
  <c r="N425" i="1"/>
  <c r="M425" i="1"/>
  <c r="L425" i="1" a="1"/>
  <c r="L425" i="1" s="1"/>
  <c r="K425" i="1"/>
  <c r="J425" i="1"/>
  <c r="H425" i="1" s="1"/>
  <c r="I425" i="1"/>
  <c r="AW424" i="1"/>
  <c r="X424" i="1"/>
  <c r="Y424" i="1" s="1"/>
  <c r="W424" i="1"/>
  <c r="N424" i="1"/>
  <c r="M424" i="1"/>
  <c r="L424" i="1" a="1"/>
  <c r="L424" i="1" s="1"/>
  <c r="K424" i="1"/>
  <c r="J424" i="1"/>
  <c r="I424" i="1"/>
  <c r="H424" i="1"/>
  <c r="AW423" i="1"/>
  <c r="X423" i="1"/>
  <c r="Y423" i="1" s="1"/>
  <c r="W423" i="1"/>
  <c r="N423" i="1"/>
  <c r="M423" i="1"/>
  <c r="L423" i="1" a="1"/>
  <c r="L423" i="1" s="1"/>
  <c r="K423" i="1"/>
  <c r="J423" i="1"/>
  <c r="H423" i="1" s="1"/>
  <c r="I423" i="1"/>
  <c r="AW422" i="1"/>
  <c r="X422" i="1"/>
  <c r="Y422" i="1" s="1"/>
  <c r="W422" i="1"/>
  <c r="N422" i="1"/>
  <c r="M422" i="1"/>
  <c r="L422" i="1" a="1"/>
  <c r="L422" i="1" s="1"/>
  <c r="K422" i="1"/>
  <c r="J422" i="1"/>
  <c r="H422" i="1" s="1"/>
  <c r="I422" i="1"/>
  <c r="AW421" i="1"/>
  <c r="X421" i="1" s="1"/>
  <c r="Y421" i="1" s="1"/>
  <c r="W421" i="1"/>
  <c r="N421" i="1"/>
  <c r="M421" i="1"/>
  <c r="L421" i="1" a="1"/>
  <c r="L421" i="1" s="1"/>
  <c r="K421" i="1"/>
  <c r="J421" i="1"/>
  <c r="H421" i="1" s="1"/>
  <c r="I421" i="1"/>
  <c r="AW420" i="1"/>
  <c r="X420" i="1"/>
  <c r="Y420" i="1" s="1"/>
  <c r="W420" i="1"/>
  <c r="N420" i="1"/>
  <c r="M420" i="1"/>
  <c r="L420" i="1" a="1"/>
  <c r="L420" i="1" s="1"/>
  <c r="K420" i="1"/>
  <c r="J420" i="1"/>
  <c r="H420" i="1" s="1"/>
  <c r="I420" i="1"/>
  <c r="AW419" i="1"/>
  <c r="X419" i="1"/>
  <c r="Y419" i="1" s="1"/>
  <c r="W419" i="1"/>
  <c r="N419" i="1"/>
  <c r="M419" i="1"/>
  <c r="L419" i="1" a="1"/>
  <c r="L419" i="1" s="1"/>
  <c r="K419" i="1"/>
  <c r="J419" i="1"/>
  <c r="H419" i="1" s="1"/>
  <c r="I419" i="1"/>
  <c r="AW418" i="1"/>
  <c r="X418" i="1" s="1"/>
  <c r="Y418" i="1" s="1"/>
  <c r="W418" i="1"/>
  <c r="N418" i="1"/>
  <c r="M418" i="1"/>
  <c r="L418" i="1" a="1"/>
  <c r="L418" i="1" s="1"/>
  <c r="K418" i="1"/>
  <c r="J418" i="1"/>
  <c r="I418" i="1"/>
  <c r="H418" i="1"/>
  <c r="AW417" i="1"/>
  <c r="X417" i="1"/>
  <c r="Y417" i="1" s="1"/>
  <c r="W417" i="1"/>
  <c r="N417" i="1"/>
  <c r="M417" i="1"/>
  <c r="L417" i="1" a="1"/>
  <c r="L417" i="1" s="1"/>
  <c r="K417" i="1"/>
  <c r="J417" i="1"/>
  <c r="H417" i="1" s="1"/>
  <c r="I417" i="1"/>
  <c r="AW416" i="1"/>
  <c r="X416" i="1"/>
  <c r="Y416" i="1" s="1"/>
  <c r="W416" i="1"/>
  <c r="N416" i="1"/>
  <c r="M416" i="1"/>
  <c r="L416" i="1" a="1"/>
  <c r="L416" i="1" s="1"/>
  <c r="K416" i="1"/>
  <c r="J416" i="1"/>
  <c r="H416" i="1" s="1"/>
  <c r="I416" i="1"/>
  <c r="AW415" i="1"/>
  <c r="X415" i="1"/>
  <c r="Y415" i="1" s="1"/>
  <c r="W415" i="1"/>
  <c r="N415" i="1"/>
  <c r="M415" i="1"/>
  <c r="L415" i="1" a="1"/>
  <c r="L415" i="1" s="1"/>
  <c r="K415" i="1"/>
  <c r="J415" i="1"/>
  <c r="H415" i="1" s="1"/>
  <c r="I415" i="1"/>
  <c r="AW414" i="1"/>
  <c r="X414" i="1"/>
  <c r="Y414" i="1" s="1"/>
  <c r="W414" i="1"/>
  <c r="N414" i="1"/>
  <c r="M414" i="1"/>
  <c r="L414" i="1" a="1"/>
  <c r="L414" i="1" s="1"/>
  <c r="K414" i="1"/>
  <c r="J414" i="1"/>
  <c r="H414" i="1" s="1"/>
  <c r="I414" i="1"/>
  <c r="AW413" i="1"/>
  <c r="X413" i="1" s="1"/>
  <c r="Y413" i="1" s="1"/>
  <c r="W413" i="1"/>
  <c r="N413" i="1"/>
  <c r="M413" i="1"/>
  <c r="L413" i="1" a="1"/>
  <c r="L413" i="1" s="1"/>
  <c r="K413" i="1"/>
  <c r="J413" i="1"/>
  <c r="H413" i="1" s="1"/>
  <c r="I413" i="1"/>
  <c r="AW412" i="1"/>
  <c r="X412" i="1"/>
  <c r="Y412" i="1" s="1"/>
  <c r="W412" i="1"/>
  <c r="N412" i="1"/>
  <c r="M412" i="1"/>
  <c r="L412" i="1" a="1"/>
  <c r="L412" i="1" s="1"/>
  <c r="K412" i="1"/>
  <c r="J412" i="1"/>
  <c r="H412" i="1" s="1"/>
  <c r="I412" i="1"/>
  <c r="AW411" i="1"/>
  <c r="X411" i="1"/>
  <c r="Y411" i="1" s="1"/>
  <c r="W411" i="1"/>
  <c r="N411" i="1"/>
  <c r="M411" i="1"/>
  <c r="L411" i="1" a="1"/>
  <c r="L411" i="1" s="1"/>
  <c r="K411" i="1"/>
  <c r="J411" i="1"/>
  <c r="H411" i="1" s="1"/>
  <c r="I411" i="1"/>
  <c r="AW410" i="1"/>
  <c r="X410" i="1"/>
  <c r="Y410" i="1" s="1"/>
  <c r="W410" i="1"/>
  <c r="N410" i="1"/>
  <c r="M410" i="1"/>
  <c r="L410" i="1" a="1"/>
  <c r="L410" i="1" s="1"/>
  <c r="K410" i="1"/>
  <c r="J410" i="1"/>
  <c r="H410" i="1" s="1"/>
  <c r="I410" i="1"/>
  <c r="AW409" i="1"/>
  <c r="X409" i="1"/>
  <c r="Y409" i="1" s="1"/>
  <c r="W409" i="1"/>
  <c r="N409" i="1"/>
  <c r="M409" i="1"/>
  <c r="L409" i="1" a="1"/>
  <c r="L409" i="1" s="1"/>
  <c r="K409" i="1"/>
  <c r="J409" i="1"/>
  <c r="H409" i="1" s="1"/>
  <c r="I409" i="1"/>
  <c r="AW408" i="1"/>
  <c r="X408" i="1" s="1"/>
  <c r="Y408" i="1" s="1"/>
  <c r="W408" i="1"/>
  <c r="N408" i="1"/>
  <c r="M408" i="1"/>
  <c r="L408" i="1" a="1"/>
  <c r="L408" i="1" s="1"/>
  <c r="K408" i="1"/>
  <c r="J408" i="1"/>
  <c r="H408" i="1" s="1"/>
  <c r="I408" i="1"/>
  <c r="AW407" i="1"/>
  <c r="X407" i="1"/>
  <c r="Y407" i="1" s="1"/>
  <c r="W407" i="1"/>
  <c r="N407" i="1"/>
  <c r="M407" i="1"/>
  <c r="L407" i="1" a="1"/>
  <c r="L407" i="1" s="1"/>
  <c r="K407" i="1"/>
  <c r="J407" i="1"/>
  <c r="H407" i="1" s="1"/>
  <c r="I407" i="1"/>
  <c r="AW406" i="1"/>
  <c r="X406" i="1"/>
  <c r="Y406" i="1" s="1"/>
  <c r="W406" i="1"/>
  <c r="N406" i="1"/>
  <c r="M406" i="1"/>
  <c r="L406" i="1" a="1"/>
  <c r="L406" i="1" s="1"/>
  <c r="K406" i="1"/>
  <c r="J406" i="1"/>
  <c r="I406" i="1"/>
  <c r="H406" i="1"/>
  <c r="AW405" i="1"/>
  <c r="X405" i="1"/>
  <c r="Y405" i="1" s="1"/>
  <c r="W405" i="1"/>
  <c r="N405" i="1"/>
  <c r="M405" i="1"/>
  <c r="L405" i="1" a="1"/>
  <c r="L405" i="1" s="1"/>
  <c r="K405" i="1"/>
  <c r="J405" i="1"/>
  <c r="H405" i="1" s="1"/>
  <c r="I405" i="1"/>
  <c r="AW404" i="1"/>
  <c r="X404" i="1"/>
  <c r="Y404" i="1" s="1"/>
  <c r="W404" i="1"/>
  <c r="N404" i="1"/>
  <c r="M404" i="1"/>
  <c r="L404" i="1" a="1"/>
  <c r="L404" i="1" s="1"/>
  <c r="K404" i="1"/>
  <c r="J404" i="1"/>
  <c r="I404" i="1"/>
  <c r="H404" i="1"/>
  <c r="AW403" i="1"/>
  <c r="X403" i="1" s="1"/>
  <c r="Y403" i="1" s="1"/>
  <c r="W403" i="1"/>
  <c r="N403" i="1"/>
  <c r="M403" i="1"/>
  <c r="L403" i="1" a="1"/>
  <c r="L403" i="1" s="1"/>
  <c r="K403" i="1"/>
  <c r="J403" i="1"/>
  <c r="H403" i="1" s="1"/>
  <c r="I403" i="1"/>
  <c r="AW402" i="1"/>
  <c r="X402" i="1" s="1"/>
  <c r="Y402" i="1" s="1"/>
  <c r="W402" i="1"/>
  <c r="N402" i="1"/>
  <c r="M402" i="1"/>
  <c r="L402" i="1" a="1"/>
  <c r="L402" i="1" s="1"/>
  <c r="K402" i="1"/>
  <c r="J402" i="1"/>
  <c r="H402" i="1" s="1"/>
  <c r="I402" i="1"/>
  <c r="AW401" i="1"/>
  <c r="X401" i="1"/>
  <c r="Y401" i="1" s="1"/>
  <c r="W401" i="1"/>
  <c r="N401" i="1"/>
  <c r="M401" i="1"/>
  <c r="L401" i="1" a="1"/>
  <c r="L401" i="1" s="1"/>
  <c r="K401" i="1"/>
  <c r="J401" i="1"/>
  <c r="H401" i="1" s="1"/>
  <c r="I401" i="1"/>
  <c r="AW400" i="1"/>
  <c r="X400" i="1"/>
  <c r="Y400" i="1" s="1"/>
  <c r="W400" i="1"/>
  <c r="N400" i="1"/>
  <c r="M400" i="1"/>
  <c r="L400" i="1" a="1"/>
  <c r="L400" i="1" s="1"/>
  <c r="K400" i="1"/>
  <c r="J400" i="1"/>
  <c r="H400" i="1" s="1"/>
  <c r="I400" i="1"/>
  <c r="AW399" i="1"/>
  <c r="X399" i="1"/>
  <c r="Y399" i="1" s="1"/>
  <c r="W399" i="1"/>
  <c r="N399" i="1"/>
  <c r="M399" i="1"/>
  <c r="L399" i="1" a="1"/>
  <c r="L399" i="1" s="1"/>
  <c r="K399" i="1"/>
  <c r="J399" i="1"/>
  <c r="H399" i="1" s="1"/>
  <c r="I399" i="1"/>
  <c r="AW398" i="1"/>
  <c r="X398" i="1" s="1"/>
  <c r="Y398" i="1"/>
  <c r="W398" i="1"/>
  <c r="N398" i="1"/>
  <c r="M398" i="1"/>
  <c r="L398" i="1" a="1"/>
  <c r="L398" i="1" s="1"/>
  <c r="K398" i="1"/>
  <c r="J398" i="1"/>
  <c r="H398" i="1" s="1"/>
  <c r="I398" i="1"/>
  <c r="AW397" i="1"/>
  <c r="X397" i="1" s="1"/>
  <c r="Y397" i="1" s="1"/>
  <c r="W397" i="1"/>
  <c r="N397" i="1"/>
  <c r="M397" i="1"/>
  <c r="L397" i="1" a="1"/>
  <c r="L397" i="1" s="1"/>
  <c r="K397" i="1"/>
  <c r="J397" i="1"/>
  <c r="H397" i="1" s="1"/>
  <c r="I397" i="1"/>
  <c r="AW396" i="1"/>
  <c r="X396" i="1" s="1"/>
  <c r="Y396" i="1" s="1"/>
  <c r="W396" i="1"/>
  <c r="N396" i="1"/>
  <c r="M396" i="1"/>
  <c r="L396" i="1" a="1"/>
  <c r="L396" i="1" s="1"/>
  <c r="K396" i="1"/>
  <c r="J396" i="1"/>
  <c r="H396" i="1" s="1"/>
  <c r="I396" i="1"/>
  <c r="AW395" i="1"/>
  <c r="X395" i="1" s="1"/>
  <c r="Y395" i="1" s="1"/>
  <c r="W395" i="1"/>
  <c r="N395" i="1"/>
  <c r="M395" i="1"/>
  <c r="L395" i="1" a="1"/>
  <c r="L395" i="1" s="1"/>
  <c r="K395" i="1"/>
  <c r="J395" i="1"/>
  <c r="H395" i="1" s="1"/>
  <c r="I395" i="1"/>
  <c r="AW394" i="1"/>
  <c r="X394" i="1"/>
  <c r="Y394" i="1" s="1"/>
  <c r="W394" i="1"/>
  <c r="N394" i="1"/>
  <c r="M394" i="1"/>
  <c r="L394" i="1" a="1"/>
  <c r="L394" i="1" s="1"/>
  <c r="K394" i="1"/>
  <c r="J394" i="1"/>
  <c r="H394" i="1" s="1"/>
  <c r="I394" i="1"/>
  <c r="AW393" i="1"/>
  <c r="X393" i="1"/>
  <c r="Y393" i="1" s="1"/>
  <c r="W393" i="1"/>
  <c r="N393" i="1"/>
  <c r="M393" i="1"/>
  <c r="L393" i="1" a="1"/>
  <c r="L393" i="1" s="1"/>
  <c r="K393" i="1"/>
  <c r="J393" i="1"/>
  <c r="H393" i="1" s="1"/>
  <c r="I393" i="1"/>
  <c r="AW392" i="1"/>
  <c r="X392" i="1"/>
  <c r="Y392" i="1" s="1"/>
  <c r="W392" i="1"/>
  <c r="N392" i="1"/>
  <c r="M392" i="1"/>
  <c r="L392" i="1" a="1"/>
  <c r="L392" i="1" s="1"/>
  <c r="K392" i="1"/>
  <c r="J392" i="1"/>
  <c r="H392" i="1" s="1"/>
  <c r="I392" i="1"/>
  <c r="AW391" i="1"/>
  <c r="X391" i="1"/>
  <c r="Y391" i="1" s="1"/>
  <c r="W391" i="1"/>
  <c r="N391" i="1"/>
  <c r="M391" i="1"/>
  <c r="L391" i="1" a="1"/>
  <c r="L391" i="1" s="1"/>
  <c r="K391" i="1"/>
  <c r="J391" i="1"/>
  <c r="H391" i="1" s="1"/>
  <c r="I391" i="1"/>
  <c r="AW390" i="1"/>
  <c r="X390" i="1"/>
  <c r="Y390" i="1" s="1"/>
  <c r="W390" i="1"/>
  <c r="N390" i="1"/>
  <c r="M390" i="1"/>
  <c r="L390" i="1" a="1"/>
  <c r="L390" i="1" s="1"/>
  <c r="K390" i="1"/>
  <c r="J390" i="1"/>
  <c r="I390" i="1"/>
  <c r="H390" i="1"/>
  <c r="AW389" i="1"/>
  <c r="X389" i="1"/>
  <c r="Y389" i="1" s="1"/>
  <c r="W389" i="1"/>
  <c r="N389" i="1"/>
  <c r="M389" i="1"/>
  <c r="L389" i="1" a="1"/>
  <c r="L389" i="1" s="1"/>
  <c r="K389" i="1"/>
  <c r="J389" i="1"/>
  <c r="H389" i="1" s="1"/>
  <c r="I389" i="1"/>
  <c r="AW388" i="1"/>
  <c r="X388" i="1"/>
  <c r="Y388" i="1" s="1"/>
  <c r="W388" i="1"/>
  <c r="N388" i="1"/>
  <c r="M388" i="1"/>
  <c r="L388" i="1" a="1"/>
  <c r="L388" i="1" s="1"/>
  <c r="K388" i="1"/>
  <c r="J388" i="1"/>
  <c r="H388" i="1" s="1"/>
  <c r="I388" i="1"/>
  <c r="AW387" i="1"/>
  <c r="X387" i="1" s="1"/>
  <c r="Y387" i="1" s="1"/>
  <c r="W387" i="1"/>
  <c r="N387" i="1"/>
  <c r="M387" i="1"/>
  <c r="L387" i="1" a="1"/>
  <c r="L387" i="1" s="1"/>
  <c r="K387" i="1"/>
  <c r="J387" i="1"/>
  <c r="H387" i="1" s="1"/>
  <c r="I387" i="1"/>
  <c r="AW386" i="1"/>
  <c r="X386" i="1"/>
  <c r="Y386" i="1" s="1"/>
  <c r="W386" i="1"/>
  <c r="N386" i="1"/>
  <c r="M386" i="1"/>
  <c r="L386" i="1" a="1"/>
  <c r="L386" i="1" s="1"/>
  <c r="K386" i="1"/>
  <c r="J386" i="1"/>
  <c r="H386" i="1" s="1"/>
  <c r="I386" i="1"/>
  <c r="AW385" i="1"/>
  <c r="X385" i="1"/>
  <c r="Y385" i="1" s="1"/>
  <c r="W385" i="1"/>
  <c r="N385" i="1"/>
  <c r="M385" i="1"/>
  <c r="L385" i="1" a="1"/>
  <c r="L385" i="1" s="1"/>
  <c r="K385" i="1"/>
  <c r="J385" i="1"/>
  <c r="H385" i="1" s="1"/>
  <c r="I385" i="1"/>
  <c r="AW384" i="1"/>
  <c r="X384" i="1"/>
  <c r="Y384" i="1" s="1"/>
  <c r="W384" i="1"/>
  <c r="N384" i="1"/>
  <c r="M384" i="1"/>
  <c r="L384" i="1" a="1"/>
  <c r="L384" i="1" s="1"/>
  <c r="K384" i="1"/>
  <c r="J384" i="1"/>
  <c r="H384" i="1" s="1"/>
  <c r="I384" i="1"/>
  <c r="AW383" i="1"/>
  <c r="X383" i="1"/>
  <c r="Y383" i="1" s="1"/>
  <c r="W383" i="1"/>
  <c r="N383" i="1"/>
  <c r="M383" i="1"/>
  <c r="L383" i="1" a="1"/>
  <c r="L383" i="1" s="1"/>
  <c r="K383" i="1"/>
  <c r="J383" i="1"/>
  <c r="I383" i="1"/>
  <c r="H383" i="1"/>
  <c r="AW382" i="1"/>
  <c r="X382" i="1"/>
  <c r="Y382" i="1" s="1"/>
  <c r="W382" i="1"/>
  <c r="N382" i="1"/>
  <c r="M382" i="1"/>
  <c r="L382" i="1" a="1"/>
  <c r="L382" i="1" s="1"/>
  <c r="K382" i="1"/>
  <c r="J382" i="1"/>
  <c r="H382" i="1" s="1"/>
  <c r="I382" i="1"/>
  <c r="AW381" i="1"/>
  <c r="X381" i="1"/>
  <c r="Y381" i="1" s="1"/>
  <c r="W381" i="1"/>
  <c r="N381" i="1"/>
  <c r="M381" i="1"/>
  <c r="L381" i="1" a="1"/>
  <c r="L381" i="1" s="1"/>
  <c r="K381" i="1"/>
  <c r="J381" i="1"/>
  <c r="H381" i="1" s="1"/>
  <c r="I381" i="1"/>
  <c r="AW380" i="1"/>
  <c r="X380" i="1" s="1"/>
  <c r="Y380" i="1" s="1"/>
  <c r="W380" i="1"/>
  <c r="N380" i="1"/>
  <c r="M380" i="1"/>
  <c r="L380" i="1" a="1"/>
  <c r="L380" i="1" s="1"/>
  <c r="K380" i="1"/>
  <c r="J380" i="1"/>
  <c r="H380" i="1" s="1"/>
  <c r="I380" i="1"/>
  <c r="AW379" i="1"/>
  <c r="X379" i="1"/>
  <c r="Y379" i="1" s="1"/>
  <c r="W379" i="1"/>
  <c r="N379" i="1"/>
  <c r="M379" i="1"/>
  <c r="L379" i="1" a="1"/>
  <c r="L379" i="1" s="1"/>
  <c r="K379" i="1"/>
  <c r="J379" i="1"/>
  <c r="I379" i="1"/>
  <c r="H379" i="1"/>
  <c r="AW378" i="1"/>
  <c r="X378" i="1" s="1"/>
  <c r="Y378" i="1"/>
  <c r="W378" i="1"/>
  <c r="N378" i="1"/>
  <c r="M378" i="1"/>
  <c r="L378" i="1" a="1"/>
  <c r="L378" i="1" s="1"/>
  <c r="K378" i="1"/>
  <c r="J378" i="1"/>
  <c r="I378" i="1"/>
  <c r="H378" i="1"/>
  <c r="AW377" i="1"/>
  <c r="X377" i="1"/>
  <c r="Y377" i="1" s="1"/>
  <c r="W377" i="1"/>
  <c r="N377" i="1"/>
  <c r="M377" i="1"/>
  <c r="L377" i="1" a="1"/>
  <c r="L377" i="1" s="1"/>
  <c r="K377" i="1"/>
  <c r="J377" i="1"/>
  <c r="H377" i="1" s="1"/>
  <c r="I377" i="1"/>
  <c r="AW376" i="1"/>
  <c r="X376" i="1" s="1"/>
  <c r="Y376" i="1" s="1"/>
  <c r="W376" i="1"/>
  <c r="N376" i="1"/>
  <c r="M376" i="1"/>
  <c r="L376" i="1" a="1"/>
  <c r="L376" i="1" s="1"/>
  <c r="K376" i="1"/>
  <c r="J376" i="1"/>
  <c r="I376" i="1"/>
  <c r="H376" i="1"/>
  <c r="AW375" i="1"/>
  <c r="X375" i="1"/>
  <c r="Y375" i="1" s="1"/>
  <c r="W375" i="1"/>
  <c r="N375" i="1"/>
  <c r="M375" i="1"/>
  <c r="L375" i="1" a="1"/>
  <c r="L375" i="1" s="1"/>
  <c r="K375" i="1"/>
  <c r="J375" i="1"/>
  <c r="H375" i="1" s="1"/>
  <c r="I375" i="1"/>
  <c r="AW374" i="1"/>
  <c r="X374" i="1" s="1"/>
  <c r="Y374" i="1" s="1"/>
  <c r="W374" i="1"/>
  <c r="N374" i="1"/>
  <c r="M374" i="1"/>
  <c r="L374" i="1" a="1"/>
  <c r="L374" i="1" s="1"/>
  <c r="K374" i="1"/>
  <c r="J374" i="1"/>
  <c r="H374" i="1" s="1"/>
  <c r="I374" i="1"/>
  <c r="AW373" i="1"/>
  <c r="X373" i="1" s="1"/>
  <c r="Y373" i="1" s="1"/>
  <c r="W373" i="1"/>
  <c r="N373" i="1"/>
  <c r="M373" i="1"/>
  <c r="L373" i="1" a="1"/>
  <c r="L373" i="1" s="1"/>
  <c r="K373" i="1"/>
  <c r="J373" i="1"/>
  <c r="H373" i="1" s="1"/>
  <c r="I373" i="1"/>
  <c r="AW372" i="1"/>
  <c r="X372" i="1"/>
  <c r="Y372" i="1" s="1"/>
  <c r="W372" i="1"/>
  <c r="N372" i="1"/>
  <c r="M372" i="1"/>
  <c r="L372" i="1" a="1"/>
  <c r="L372" i="1" s="1"/>
  <c r="K372" i="1"/>
  <c r="J372" i="1"/>
  <c r="H372" i="1" s="1"/>
  <c r="I372" i="1"/>
  <c r="AW371" i="1"/>
  <c r="X371" i="1"/>
  <c r="Y371" i="1" s="1"/>
  <c r="W371" i="1"/>
  <c r="N371" i="1"/>
  <c r="M371" i="1"/>
  <c r="L371" i="1" a="1"/>
  <c r="L371" i="1" s="1"/>
  <c r="K371" i="1"/>
  <c r="J371" i="1"/>
  <c r="H371" i="1" s="1"/>
  <c r="I371" i="1"/>
  <c r="AW370" i="1"/>
  <c r="X370" i="1" s="1"/>
  <c r="Y370" i="1" s="1"/>
  <c r="W370" i="1"/>
  <c r="N370" i="1"/>
  <c r="M370" i="1"/>
  <c r="L370" i="1" a="1"/>
  <c r="L370" i="1" s="1"/>
  <c r="K370" i="1"/>
  <c r="J370" i="1"/>
  <c r="H370" i="1" s="1"/>
  <c r="I370" i="1"/>
  <c r="AW369" i="1"/>
  <c r="X369" i="1"/>
  <c r="Y369" i="1" s="1"/>
  <c r="W369" i="1"/>
  <c r="N369" i="1"/>
  <c r="M369" i="1"/>
  <c r="L369" i="1" a="1"/>
  <c r="L369" i="1" s="1"/>
  <c r="K369" i="1"/>
  <c r="J369" i="1"/>
  <c r="H369" i="1" s="1"/>
  <c r="I369" i="1"/>
  <c r="AW368" i="1"/>
  <c r="X368" i="1" s="1"/>
  <c r="Y368" i="1" s="1"/>
  <c r="W368" i="1"/>
  <c r="N368" i="1"/>
  <c r="M368" i="1"/>
  <c r="L368" i="1" a="1"/>
  <c r="L368" i="1" s="1"/>
  <c r="K368" i="1"/>
  <c r="J368" i="1"/>
  <c r="H368" i="1" s="1"/>
  <c r="I368" i="1"/>
  <c r="AW367" i="1"/>
  <c r="X367" i="1"/>
  <c r="Y367" i="1" s="1"/>
  <c r="W367" i="1"/>
  <c r="N367" i="1"/>
  <c r="M367" i="1"/>
  <c r="L367" i="1" a="1"/>
  <c r="L367" i="1" s="1"/>
  <c r="K367" i="1"/>
  <c r="J367" i="1"/>
  <c r="H367" i="1" s="1"/>
  <c r="I367" i="1"/>
  <c r="AW366" i="1"/>
  <c r="X366" i="1" s="1"/>
  <c r="Y366" i="1" s="1"/>
  <c r="W366" i="1"/>
  <c r="N366" i="1"/>
  <c r="M366" i="1"/>
  <c r="L366" i="1" a="1"/>
  <c r="L366" i="1" s="1"/>
  <c r="K366" i="1"/>
  <c r="J366" i="1"/>
  <c r="H366" i="1" s="1"/>
  <c r="I366" i="1"/>
  <c r="AW365" i="1"/>
  <c r="X365" i="1"/>
  <c r="Y365" i="1" s="1"/>
  <c r="W365" i="1"/>
  <c r="N365" i="1"/>
  <c r="M365" i="1"/>
  <c r="L365" i="1" a="1"/>
  <c r="L365" i="1" s="1"/>
  <c r="K365" i="1"/>
  <c r="J365" i="1"/>
  <c r="H365" i="1" s="1"/>
  <c r="I365" i="1"/>
  <c r="AW364" i="1"/>
  <c r="X364" i="1"/>
  <c r="Y364" i="1" s="1"/>
  <c r="W364" i="1"/>
  <c r="N364" i="1"/>
  <c r="M364" i="1"/>
  <c r="L364" i="1" a="1"/>
  <c r="L364" i="1" s="1"/>
  <c r="K364" i="1"/>
  <c r="J364" i="1"/>
  <c r="H364" i="1" s="1"/>
  <c r="I364" i="1"/>
  <c r="AW363" i="1"/>
  <c r="X363" i="1"/>
  <c r="Y363" i="1" s="1"/>
  <c r="W363" i="1"/>
  <c r="N363" i="1"/>
  <c r="M363" i="1"/>
  <c r="L363" i="1" a="1"/>
  <c r="L363" i="1" s="1"/>
  <c r="K363" i="1"/>
  <c r="J363" i="1"/>
  <c r="H363" i="1" s="1"/>
  <c r="I363" i="1"/>
  <c r="AW362" i="1"/>
  <c r="X362" i="1"/>
  <c r="Y362" i="1" s="1"/>
  <c r="W362" i="1"/>
  <c r="N362" i="1"/>
  <c r="M362" i="1"/>
  <c r="L362" i="1" a="1"/>
  <c r="L362" i="1" s="1"/>
  <c r="K362" i="1"/>
  <c r="J362" i="1"/>
  <c r="H362" i="1" s="1"/>
  <c r="I362" i="1"/>
  <c r="AW361" i="1"/>
  <c r="X361" i="1"/>
  <c r="Y361" i="1" s="1"/>
  <c r="W361" i="1"/>
  <c r="N361" i="1"/>
  <c r="M361" i="1"/>
  <c r="L361" i="1" a="1"/>
  <c r="L361" i="1" s="1"/>
  <c r="K361" i="1"/>
  <c r="J361" i="1"/>
  <c r="H361" i="1" s="1"/>
  <c r="I361" i="1"/>
  <c r="AW360" i="1"/>
  <c r="X360" i="1" s="1"/>
  <c r="Y360" i="1" s="1"/>
  <c r="W360" i="1"/>
  <c r="N360" i="1"/>
  <c r="M360" i="1"/>
  <c r="L360" i="1" a="1"/>
  <c r="L360" i="1" s="1"/>
  <c r="K360" i="1"/>
  <c r="J360" i="1"/>
  <c r="H360" i="1" s="1"/>
  <c r="I360" i="1"/>
  <c r="AW359" i="1"/>
  <c r="X359" i="1"/>
  <c r="Y359" i="1" s="1"/>
  <c r="W359" i="1"/>
  <c r="N359" i="1"/>
  <c r="M359" i="1"/>
  <c r="L359" i="1" a="1"/>
  <c r="L359" i="1" s="1"/>
  <c r="K359" i="1"/>
  <c r="J359" i="1"/>
  <c r="H359" i="1" s="1"/>
  <c r="I359" i="1"/>
  <c r="AW358" i="1"/>
  <c r="X358" i="1"/>
  <c r="Y358" i="1" s="1"/>
  <c r="W358" i="1"/>
  <c r="N358" i="1"/>
  <c r="M358" i="1"/>
  <c r="L358" i="1" a="1"/>
  <c r="L358" i="1" s="1"/>
  <c r="K358" i="1"/>
  <c r="J358" i="1"/>
  <c r="H358" i="1" s="1"/>
  <c r="I358" i="1"/>
  <c r="AW357" i="1"/>
  <c r="X357" i="1"/>
  <c r="Y357" i="1" s="1"/>
  <c r="W357" i="1"/>
  <c r="N357" i="1"/>
  <c r="M357" i="1"/>
  <c r="L357" i="1" a="1"/>
  <c r="L357" i="1" s="1"/>
  <c r="K357" i="1"/>
  <c r="J357" i="1"/>
  <c r="I357" i="1"/>
  <c r="H357" i="1"/>
  <c r="AW356" i="1"/>
  <c r="X356" i="1" s="1"/>
  <c r="Y356" i="1" s="1"/>
  <c r="W356" i="1"/>
  <c r="N356" i="1"/>
  <c r="M356" i="1"/>
  <c r="L356" i="1" a="1"/>
  <c r="L356" i="1" s="1"/>
  <c r="K356" i="1"/>
  <c r="J356" i="1"/>
  <c r="H356" i="1" s="1"/>
  <c r="I356" i="1"/>
  <c r="AW355" i="1"/>
  <c r="X355" i="1"/>
  <c r="Y355" i="1" s="1"/>
  <c r="W355" i="1"/>
  <c r="N355" i="1"/>
  <c r="M355" i="1"/>
  <c r="L355" i="1" a="1"/>
  <c r="L355" i="1" s="1"/>
  <c r="K355" i="1"/>
  <c r="J355" i="1"/>
  <c r="H355" i="1" s="1"/>
  <c r="I355" i="1"/>
  <c r="AW354" i="1"/>
  <c r="X354" i="1"/>
  <c r="Y354" i="1" s="1"/>
  <c r="W354" i="1"/>
  <c r="N354" i="1"/>
  <c r="M354" i="1"/>
  <c r="L354" i="1" a="1"/>
  <c r="L354" i="1" s="1"/>
  <c r="K354" i="1"/>
  <c r="J354" i="1"/>
  <c r="H354" i="1" s="1"/>
  <c r="I354" i="1"/>
  <c r="AW353" i="1"/>
  <c r="X353" i="1"/>
  <c r="Y353" i="1" s="1"/>
  <c r="W353" i="1"/>
  <c r="N353" i="1"/>
  <c r="M353" i="1"/>
  <c r="L353" i="1" a="1"/>
  <c r="L353" i="1" s="1"/>
  <c r="K353" i="1"/>
  <c r="J353" i="1"/>
  <c r="I353" i="1"/>
  <c r="H353" i="1"/>
  <c r="AW352" i="1"/>
  <c r="X352" i="1"/>
  <c r="Y352" i="1" s="1"/>
  <c r="W352" i="1"/>
  <c r="N352" i="1"/>
  <c r="M352" i="1"/>
  <c r="L352" i="1" a="1"/>
  <c r="L352" i="1" s="1"/>
  <c r="K352" i="1"/>
  <c r="J352" i="1"/>
  <c r="I352" i="1"/>
  <c r="H352" i="1"/>
  <c r="AW351" i="1"/>
  <c r="X351" i="1"/>
  <c r="Y351" i="1" s="1"/>
  <c r="W351" i="1"/>
  <c r="N351" i="1"/>
  <c r="M351" i="1"/>
  <c r="L351" i="1" a="1"/>
  <c r="L351" i="1" s="1"/>
  <c r="K351" i="1"/>
  <c r="J351" i="1"/>
  <c r="H351" i="1" s="1"/>
  <c r="I351" i="1"/>
  <c r="AW350" i="1"/>
  <c r="X350" i="1"/>
  <c r="Y350" i="1" s="1"/>
  <c r="W350" i="1"/>
  <c r="N350" i="1"/>
  <c r="M350" i="1"/>
  <c r="L350" i="1" a="1"/>
  <c r="L350" i="1" s="1"/>
  <c r="K350" i="1"/>
  <c r="J350" i="1"/>
  <c r="H350" i="1" s="1"/>
  <c r="I350" i="1"/>
  <c r="AW349" i="1"/>
  <c r="X349" i="1" s="1"/>
  <c r="Y349" i="1" s="1"/>
  <c r="W349" i="1"/>
  <c r="N349" i="1"/>
  <c r="M349" i="1"/>
  <c r="L349" i="1" a="1"/>
  <c r="L349" i="1" s="1"/>
  <c r="K349" i="1"/>
  <c r="J349" i="1"/>
  <c r="H349" i="1" s="1"/>
  <c r="I349" i="1"/>
  <c r="AW348" i="1"/>
  <c r="X348" i="1"/>
  <c r="Y348" i="1" s="1"/>
  <c r="W348" i="1"/>
  <c r="N348" i="1"/>
  <c r="M348" i="1"/>
  <c r="L348" i="1" a="1"/>
  <c r="L348" i="1" s="1"/>
  <c r="K348" i="1"/>
  <c r="J348" i="1"/>
  <c r="H348" i="1" s="1"/>
  <c r="I348" i="1"/>
  <c r="AW347" i="1"/>
  <c r="X347" i="1"/>
  <c r="Y347" i="1" s="1"/>
  <c r="W347" i="1"/>
  <c r="N347" i="1"/>
  <c r="M347" i="1"/>
  <c r="L347" i="1" a="1"/>
  <c r="L347" i="1" s="1"/>
  <c r="K347" i="1"/>
  <c r="J347" i="1"/>
  <c r="H347" i="1" s="1"/>
  <c r="I347" i="1"/>
  <c r="AW346" i="1"/>
  <c r="X346" i="1"/>
  <c r="Y346" i="1" s="1"/>
  <c r="W346" i="1"/>
  <c r="N346" i="1"/>
  <c r="M346" i="1"/>
  <c r="L346" i="1" a="1"/>
  <c r="L346" i="1" s="1"/>
  <c r="K346" i="1"/>
  <c r="J346" i="1"/>
  <c r="H346" i="1" s="1"/>
  <c r="I346" i="1"/>
  <c r="AW345" i="1"/>
  <c r="X345" i="1" s="1"/>
  <c r="Y345" i="1" s="1"/>
  <c r="W345" i="1"/>
  <c r="N345" i="1"/>
  <c r="M345" i="1"/>
  <c r="L345" i="1" a="1"/>
  <c r="L345" i="1" s="1"/>
  <c r="K345" i="1"/>
  <c r="J345" i="1"/>
  <c r="H345" i="1" s="1"/>
  <c r="I345" i="1"/>
  <c r="AW344" i="1"/>
  <c r="X344" i="1"/>
  <c r="Y344" i="1" s="1"/>
  <c r="W344" i="1"/>
  <c r="N344" i="1"/>
  <c r="M344" i="1"/>
  <c r="L344" i="1" a="1"/>
  <c r="L344" i="1" s="1"/>
  <c r="K344" i="1"/>
  <c r="J344" i="1"/>
  <c r="H344" i="1" s="1"/>
  <c r="I344" i="1"/>
  <c r="AW343" i="1"/>
  <c r="X343" i="1" s="1"/>
  <c r="Y343" i="1" s="1"/>
  <c r="W343" i="1"/>
  <c r="N343" i="1"/>
  <c r="M343" i="1"/>
  <c r="L343" i="1" a="1"/>
  <c r="L343" i="1" s="1"/>
  <c r="K343" i="1"/>
  <c r="J343" i="1"/>
  <c r="H343" i="1" s="1"/>
  <c r="I343" i="1"/>
  <c r="AW342" i="1"/>
  <c r="X342" i="1"/>
  <c r="Y342" i="1" s="1"/>
  <c r="W342" i="1"/>
  <c r="N342" i="1"/>
  <c r="M342" i="1"/>
  <c r="L342" i="1" a="1"/>
  <c r="L342" i="1" s="1"/>
  <c r="K342" i="1"/>
  <c r="J342" i="1"/>
  <c r="H342" i="1" s="1"/>
  <c r="I342" i="1"/>
  <c r="AW341" i="1"/>
  <c r="X341" i="1"/>
  <c r="Y341" i="1" s="1"/>
  <c r="W341" i="1"/>
  <c r="N341" i="1"/>
  <c r="M341" i="1"/>
  <c r="L341" i="1" a="1"/>
  <c r="L341" i="1" s="1"/>
  <c r="K341" i="1"/>
  <c r="J341" i="1"/>
  <c r="H341" i="1" s="1"/>
  <c r="I341" i="1"/>
  <c r="AW340" i="1"/>
  <c r="X340" i="1"/>
  <c r="Y340" i="1" s="1"/>
  <c r="W340" i="1"/>
  <c r="N340" i="1"/>
  <c r="M340" i="1"/>
  <c r="L340" i="1" a="1"/>
  <c r="L340" i="1" s="1"/>
  <c r="K340" i="1"/>
  <c r="J340" i="1"/>
  <c r="I340" i="1"/>
  <c r="H340" i="1"/>
  <c r="AW339" i="1"/>
  <c r="X339" i="1" s="1"/>
  <c r="Y339" i="1" s="1"/>
  <c r="W339" i="1"/>
  <c r="N339" i="1"/>
  <c r="M339" i="1"/>
  <c r="L339" i="1" a="1"/>
  <c r="L339" i="1" s="1"/>
  <c r="K339" i="1"/>
  <c r="J339" i="1"/>
  <c r="H339" i="1" s="1"/>
  <c r="I339" i="1"/>
  <c r="AW338" i="1"/>
  <c r="X338" i="1"/>
  <c r="Y338" i="1" s="1"/>
  <c r="W338" i="1"/>
  <c r="N338" i="1"/>
  <c r="M338" i="1"/>
  <c r="L338" i="1" a="1"/>
  <c r="L338" i="1" s="1"/>
  <c r="K338" i="1"/>
  <c r="J338" i="1"/>
  <c r="H338" i="1" s="1"/>
  <c r="I338" i="1"/>
  <c r="AW337" i="1"/>
  <c r="X337" i="1"/>
  <c r="Y337" i="1" s="1"/>
  <c r="W337" i="1"/>
  <c r="N337" i="1"/>
  <c r="M337" i="1"/>
  <c r="L337" i="1" a="1"/>
  <c r="L337" i="1" s="1"/>
  <c r="K337" i="1"/>
  <c r="J337" i="1"/>
  <c r="H337" i="1" s="1"/>
  <c r="I337" i="1"/>
  <c r="AW336" i="1"/>
  <c r="X336" i="1" s="1"/>
  <c r="Y336" i="1" s="1"/>
  <c r="W336" i="1"/>
  <c r="N336" i="1"/>
  <c r="M336" i="1"/>
  <c r="L336" i="1" a="1"/>
  <c r="L336" i="1" s="1"/>
  <c r="K336" i="1"/>
  <c r="J336" i="1"/>
  <c r="I336" i="1"/>
  <c r="H336" i="1"/>
  <c r="AW335" i="1"/>
  <c r="X335" i="1"/>
  <c r="Y335" i="1" s="1"/>
  <c r="W335" i="1"/>
  <c r="N335" i="1"/>
  <c r="M335" i="1"/>
  <c r="L335" i="1" a="1"/>
  <c r="L335" i="1" s="1"/>
  <c r="K335" i="1"/>
  <c r="J335" i="1"/>
  <c r="H335" i="1" s="1"/>
  <c r="I335" i="1"/>
  <c r="AW334" i="1"/>
  <c r="X334" i="1"/>
  <c r="Y334" i="1" s="1"/>
  <c r="W334" i="1"/>
  <c r="N334" i="1"/>
  <c r="M334" i="1"/>
  <c r="L334" i="1" a="1"/>
  <c r="L334" i="1" s="1"/>
  <c r="K334" i="1"/>
  <c r="J334" i="1"/>
  <c r="H334" i="1" s="1"/>
  <c r="I334" i="1"/>
  <c r="AW333" i="1"/>
  <c r="X333" i="1"/>
  <c r="Y333" i="1" s="1"/>
  <c r="W333" i="1"/>
  <c r="N333" i="1"/>
  <c r="M333" i="1"/>
  <c r="L333" i="1" a="1"/>
  <c r="L333" i="1" s="1"/>
  <c r="K333" i="1"/>
  <c r="J333" i="1"/>
  <c r="H333" i="1" s="1"/>
  <c r="I333" i="1"/>
  <c r="AW332" i="1"/>
  <c r="X332" i="1" s="1"/>
  <c r="Y332" i="1" s="1"/>
  <c r="W332" i="1"/>
  <c r="N332" i="1"/>
  <c r="M332" i="1"/>
  <c r="L332" i="1" a="1"/>
  <c r="L332" i="1" s="1"/>
  <c r="K332" i="1"/>
  <c r="J332" i="1"/>
  <c r="H332" i="1" s="1"/>
  <c r="I332" i="1"/>
  <c r="AW331" i="1"/>
  <c r="X331" i="1"/>
  <c r="Y331" i="1" s="1"/>
  <c r="W331" i="1"/>
  <c r="N331" i="1"/>
  <c r="M331" i="1"/>
  <c r="L331" i="1" a="1"/>
  <c r="L331" i="1" s="1"/>
  <c r="K331" i="1"/>
  <c r="J331" i="1"/>
  <c r="H331" i="1" s="1"/>
  <c r="I331" i="1"/>
  <c r="AW330" i="1"/>
  <c r="X330" i="1"/>
  <c r="Y330" i="1" s="1"/>
  <c r="W330" i="1"/>
  <c r="N330" i="1"/>
  <c r="M330" i="1"/>
  <c r="L330" i="1" a="1"/>
  <c r="L330" i="1" s="1"/>
  <c r="K330" i="1"/>
  <c r="J330" i="1"/>
  <c r="H330" i="1" s="1"/>
  <c r="I330" i="1"/>
  <c r="AW329" i="1"/>
  <c r="X329" i="1"/>
  <c r="Y329" i="1" s="1"/>
  <c r="W329" i="1"/>
  <c r="N329" i="1"/>
  <c r="M329" i="1"/>
  <c r="L329" i="1" a="1"/>
  <c r="L329" i="1" s="1"/>
  <c r="K329" i="1"/>
  <c r="J329" i="1"/>
  <c r="H329" i="1" s="1"/>
  <c r="I329" i="1"/>
  <c r="AW328" i="1"/>
  <c r="X328" i="1" s="1"/>
  <c r="Y328" i="1" s="1"/>
  <c r="W328" i="1"/>
  <c r="N328" i="1"/>
  <c r="M328" i="1"/>
  <c r="L328" i="1" a="1"/>
  <c r="L328" i="1" s="1"/>
  <c r="K328" i="1"/>
  <c r="J328" i="1"/>
  <c r="H328" i="1" s="1"/>
  <c r="I328" i="1"/>
  <c r="AW327" i="1"/>
  <c r="X327" i="1"/>
  <c r="Y327" i="1" s="1"/>
  <c r="W327" i="1"/>
  <c r="N327" i="1"/>
  <c r="M327" i="1"/>
  <c r="L327" i="1" a="1"/>
  <c r="L327" i="1" s="1"/>
  <c r="K327" i="1"/>
  <c r="J327" i="1"/>
  <c r="H327" i="1" s="1"/>
  <c r="I327" i="1"/>
  <c r="AW326" i="1"/>
  <c r="X326" i="1"/>
  <c r="Y326" i="1" s="1"/>
  <c r="W326" i="1"/>
  <c r="N326" i="1"/>
  <c r="M326" i="1"/>
  <c r="L326" i="1" a="1"/>
  <c r="L326" i="1" s="1"/>
  <c r="K326" i="1"/>
  <c r="J326" i="1"/>
  <c r="I326" i="1"/>
  <c r="H326" i="1"/>
  <c r="AW325" i="1"/>
  <c r="X325" i="1"/>
  <c r="Y325" i="1" s="1"/>
  <c r="W325" i="1"/>
  <c r="N325" i="1"/>
  <c r="M325" i="1"/>
  <c r="L325" i="1" a="1"/>
  <c r="L325" i="1" s="1"/>
  <c r="K325" i="1"/>
  <c r="J325" i="1"/>
  <c r="H325" i="1" s="1"/>
  <c r="I325" i="1"/>
  <c r="AW324" i="1"/>
  <c r="X324" i="1"/>
  <c r="Y324" i="1" s="1"/>
  <c r="W324" i="1"/>
  <c r="N324" i="1"/>
  <c r="M324" i="1"/>
  <c r="L324" i="1" a="1"/>
  <c r="L324" i="1" s="1"/>
  <c r="K324" i="1"/>
  <c r="J324" i="1"/>
  <c r="H324" i="1" s="1"/>
  <c r="I324" i="1"/>
  <c r="AW323" i="1"/>
  <c r="X323" i="1"/>
  <c r="Y323" i="1" s="1"/>
  <c r="W323" i="1"/>
  <c r="N323" i="1"/>
  <c r="M323" i="1"/>
  <c r="L323" i="1" a="1"/>
  <c r="L323" i="1" s="1"/>
  <c r="K323" i="1"/>
  <c r="J323" i="1"/>
  <c r="I323" i="1"/>
  <c r="H323" i="1"/>
  <c r="AW322" i="1"/>
  <c r="X322" i="1"/>
  <c r="Y322" i="1" s="1"/>
  <c r="W322" i="1"/>
  <c r="N322" i="1"/>
  <c r="M322" i="1"/>
  <c r="L322" i="1" a="1"/>
  <c r="L322" i="1" s="1"/>
  <c r="K322" i="1"/>
  <c r="J322" i="1"/>
  <c r="H322" i="1" s="1"/>
  <c r="I322" i="1"/>
  <c r="AW321" i="1"/>
  <c r="X321" i="1" s="1"/>
  <c r="Y321" i="1" s="1"/>
  <c r="W321" i="1"/>
  <c r="N321" i="1"/>
  <c r="M321" i="1"/>
  <c r="L321" i="1" a="1"/>
  <c r="L321" i="1" s="1"/>
  <c r="K321" i="1"/>
  <c r="J321" i="1"/>
  <c r="H321" i="1" s="1"/>
  <c r="I321" i="1"/>
  <c r="AW320" i="1"/>
  <c r="X320" i="1"/>
  <c r="Y320" i="1" s="1"/>
  <c r="W320" i="1"/>
  <c r="N320" i="1"/>
  <c r="M320" i="1"/>
  <c r="L320" i="1" a="1"/>
  <c r="L320" i="1" s="1"/>
  <c r="K320" i="1"/>
  <c r="J320" i="1"/>
  <c r="H320" i="1" s="1"/>
  <c r="I320" i="1"/>
  <c r="AW319" i="1"/>
  <c r="X319" i="1"/>
  <c r="Y319" i="1" s="1"/>
  <c r="W319" i="1"/>
  <c r="N319" i="1"/>
  <c r="M319" i="1"/>
  <c r="L319" i="1" a="1"/>
  <c r="L319" i="1" s="1"/>
  <c r="K319" i="1"/>
  <c r="J319" i="1"/>
  <c r="H319" i="1" s="1"/>
  <c r="I319" i="1"/>
  <c r="AW318" i="1"/>
  <c r="X318" i="1"/>
  <c r="Y318" i="1" s="1"/>
  <c r="W318" i="1"/>
  <c r="N318" i="1"/>
  <c r="M318" i="1"/>
  <c r="L318" i="1" a="1"/>
  <c r="L318" i="1" s="1"/>
  <c r="K318" i="1"/>
  <c r="J318" i="1"/>
  <c r="H318" i="1" s="1"/>
  <c r="I318" i="1"/>
  <c r="AW317" i="1"/>
  <c r="X317" i="1"/>
  <c r="Y317" i="1" s="1"/>
  <c r="W317" i="1"/>
  <c r="N317" i="1"/>
  <c r="M317" i="1"/>
  <c r="L317" i="1" a="1"/>
  <c r="L317" i="1" s="1"/>
  <c r="K317" i="1"/>
  <c r="J317" i="1"/>
  <c r="H317" i="1" s="1"/>
  <c r="I317" i="1"/>
  <c r="AW316" i="1"/>
  <c r="X316" i="1"/>
  <c r="Y316" i="1" s="1"/>
  <c r="W316" i="1"/>
  <c r="N316" i="1"/>
  <c r="M316" i="1"/>
  <c r="L316" i="1" a="1"/>
  <c r="L316" i="1" s="1"/>
  <c r="K316" i="1"/>
  <c r="J316" i="1"/>
  <c r="H316" i="1" s="1"/>
  <c r="I316" i="1"/>
  <c r="AW315" i="1"/>
  <c r="X315" i="1" s="1"/>
  <c r="Y315" i="1" s="1"/>
  <c r="W315" i="1"/>
  <c r="N315" i="1"/>
  <c r="M315" i="1"/>
  <c r="L315" i="1" a="1"/>
  <c r="L315" i="1" s="1"/>
  <c r="K315" i="1"/>
  <c r="J315" i="1"/>
  <c r="H315" i="1" s="1"/>
  <c r="I315" i="1"/>
  <c r="AW314" i="1"/>
  <c r="X314" i="1" s="1"/>
  <c r="Y314" i="1" s="1"/>
  <c r="W314" i="1"/>
  <c r="N314" i="1"/>
  <c r="M314" i="1"/>
  <c r="L314" i="1" a="1"/>
  <c r="L314" i="1" s="1"/>
  <c r="K314" i="1"/>
  <c r="J314" i="1"/>
  <c r="I314" i="1"/>
  <c r="H314" i="1"/>
  <c r="AW313" i="1"/>
  <c r="X313" i="1"/>
  <c r="Y313" i="1" s="1"/>
  <c r="W313" i="1"/>
  <c r="N313" i="1"/>
  <c r="M313" i="1"/>
  <c r="L313" i="1" a="1"/>
  <c r="L313" i="1" s="1"/>
  <c r="K313" i="1"/>
  <c r="J313" i="1"/>
  <c r="H313" i="1" s="1"/>
  <c r="I313" i="1"/>
  <c r="AW312" i="1"/>
  <c r="X312" i="1"/>
  <c r="Y312" i="1" s="1"/>
  <c r="W312" i="1"/>
  <c r="N312" i="1"/>
  <c r="M312" i="1"/>
  <c r="L312" i="1" a="1"/>
  <c r="L312" i="1" s="1"/>
  <c r="K312" i="1"/>
  <c r="J312" i="1"/>
  <c r="H312" i="1" s="1"/>
  <c r="I312" i="1"/>
  <c r="AW311" i="1"/>
  <c r="X311" i="1"/>
  <c r="Y311" i="1" s="1"/>
  <c r="W311" i="1"/>
  <c r="N311" i="1"/>
  <c r="M311" i="1"/>
  <c r="L311" i="1" a="1"/>
  <c r="L311" i="1" s="1"/>
  <c r="K311" i="1"/>
  <c r="J311" i="1"/>
  <c r="H311" i="1" s="1"/>
  <c r="I311" i="1"/>
  <c r="AW310" i="1"/>
  <c r="X310" i="1"/>
  <c r="Y310" i="1" s="1"/>
  <c r="W310" i="1"/>
  <c r="N310" i="1"/>
  <c r="M310" i="1"/>
  <c r="L310" i="1" a="1"/>
  <c r="L310" i="1" s="1"/>
  <c r="K310" i="1"/>
  <c r="J310" i="1"/>
  <c r="I310" i="1"/>
  <c r="H310" i="1"/>
  <c r="AW309" i="1"/>
  <c r="X309" i="1" s="1"/>
  <c r="Y309" i="1" s="1"/>
  <c r="W309" i="1"/>
  <c r="N309" i="1"/>
  <c r="M309" i="1"/>
  <c r="L309" i="1" a="1"/>
  <c r="L309" i="1" s="1"/>
  <c r="K309" i="1"/>
  <c r="J309" i="1"/>
  <c r="I309" i="1"/>
  <c r="H309" i="1"/>
  <c r="AW308" i="1"/>
  <c r="X308" i="1"/>
  <c r="Y308" i="1" s="1"/>
  <c r="W308" i="1"/>
  <c r="N308" i="1"/>
  <c r="M308" i="1"/>
  <c r="L308" i="1" a="1"/>
  <c r="L308" i="1" s="1"/>
  <c r="K308" i="1"/>
  <c r="J308" i="1"/>
  <c r="H308" i="1" s="1"/>
  <c r="I308" i="1"/>
  <c r="AW307" i="1"/>
  <c r="X307" i="1" s="1"/>
  <c r="Y307" i="1" s="1"/>
  <c r="W307" i="1"/>
  <c r="N307" i="1"/>
  <c r="M307" i="1"/>
  <c r="L307" i="1" a="1"/>
  <c r="L307" i="1" s="1"/>
  <c r="K307" i="1"/>
  <c r="J307" i="1"/>
  <c r="H307" i="1" s="1"/>
  <c r="I307" i="1"/>
  <c r="AW306" i="1"/>
  <c r="X306" i="1"/>
  <c r="Y306" i="1" s="1"/>
  <c r="W306" i="1"/>
  <c r="N306" i="1"/>
  <c r="M306" i="1"/>
  <c r="L306" i="1" a="1"/>
  <c r="L306" i="1" s="1"/>
  <c r="K306" i="1"/>
  <c r="J306" i="1"/>
  <c r="I306" i="1"/>
  <c r="H306" i="1"/>
  <c r="AW305" i="1"/>
  <c r="X305" i="1" s="1"/>
  <c r="Y305" i="1" s="1"/>
  <c r="W305" i="1"/>
  <c r="N305" i="1"/>
  <c r="M305" i="1"/>
  <c r="L305" i="1" a="1"/>
  <c r="L305" i="1" s="1"/>
  <c r="K305" i="1"/>
  <c r="J305" i="1"/>
  <c r="H305" i="1" s="1"/>
  <c r="I305" i="1"/>
  <c r="AW304" i="1"/>
  <c r="X304" i="1"/>
  <c r="Y304" i="1" s="1"/>
  <c r="W304" i="1"/>
  <c r="N304" i="1"/>
  <c r="M304" i="1"/>
  <c r="L304" i="1" a="1"/>
  <c r="L304" i="1" s="1"/>
  <c r="K304" i="1"/>
  <c r="J304" i="1"/>
  <c r="H304" i="1" s="1"/>
  <c r="I304" i="1"/>
  <c r="AW303" i="1"/>
  <c r="X303" i="1" s="1"/>
  <c r="Y303" i="1" s="1"/>
  <c r="W303" i="1"/>
  <c r="N303" i="1"/>
  <c r="M303" i="1"/>
  <c r="L303" i="1" a="1"/>
  <c r="L303" i="1" s="1"/>
  <c r="K303" i="1"/>
  <c r="J303" i="1"/>
  <c r="H303" i="1" s="1"/>
  <c r="I303" i="1"/>
  <c r="AW302" i="1"/>
  <c r="X302" i="1"/>
  <c r="Y302" i="1" s="1"/>
  <c r="W302" i="1"/>
  <c r="N302" i="1"/>
  <c r="M302" i="1"/>
  <c r="L302" i="1" a="1"/>
  <c r="L302" i="1" s="1"/>
  <c r="K302" i="1"/>
  <c r="J302" i="1"/>
  <c r="H302" i="1" s="1"/>
  <c r="I302" i="1"/>
  <c r="AW301" i="1"/>
  <c r="X301" i="1"/>
  <c r="Y301" i="1" s="1"/>
  <c r="W301" i="1"/>
  <c r="N301" i="1"/>
  <c r="M301" i="1"/>
  <c r="L301" i="1" a="1"/>
  <c r="L301" i="1" s="1"/>
  <c r="K301" i="1"/>
  <c r="J301" i="1"/>
  <c r="H301" i="1" s="1"/>
  <c r="I301" i="1"/>
  <c r="AW300" i="1"/>
  <c r="X300" i="1"/>
  <c r="Y300" i="1" s="1"/>
  <c r="W300" i="1"/>
  <c r="N300" i="1"/>
  <c r="M300" i="1"/>
  <c r="L300" i="1" a="1"/>
  <c r="L300" i="1" s="1"/>
  <c r="K300" i="1"/>
  <c r="J300" i="1"/>
  <c r="I300" i="1"/>
  <c r="H300" i="1"/>
  <c r="AW299" i="1"/>
  <c r="X299" i="1" s="1"/>
  <c r="Y299" i="1" s="1"/>
  <c r="W299" i="1"/>
  <c r="N299" i="1"/>
  <c r="M299" i="1"/>
  <c r="L299" i="1" a="1"/>
  <c r="L299" i="1" s="1"/>
  <c r="K299" i="1"/>
  <c r="J299" i="1"/>
  <c r="H299" i="1" s="1"/>
  <c r="I299" i="1"/>
  <c r="AW298" i="1"/>
  <c r="X298" i="1"/>
  <c r="Y298" i="1" s="1"/>
  <c r="W298" i="1"/>
  <c r="N298" i="1"/>
  <c r="M298" i="1"/>
  <c r="L298" i="1" a="1"/>
  <c r="L298" i="1" s="1"/>
  <c r="K298" i="1"/>
  <c r="J298" i="1"/>
  <c r="H298" i="1" s="1"/>
  <c r="I298" i="1"/>
  <c r="AW297" i="1"/>
  <c r="X297" i="1"/>
  <c r="Y297" i="1" s="1"/>
  <c r="W297" i="1"/>
  <c r="N297" i="1"/>
  <c r="M297" i="1"/>
  <c r="L297" i="1" a="1"/>
  <c r="L297" i="1" s="1"/>
  <c r="K297" i="1"/>
  <c r="J297" i="1"/>
  <c r="H297" i="1" s="1"/>
  <c r="I297" i="1"/>
  <c r="AW296" i="1"/>
  <c r="X296" i="1"/>
  <c r="Y296" i="1" s="1"/>
  <c r="W296" i="1"/>
  <c r="N296" i="1"/>
  <c r="M296" i="1"/>
  <c r="L296" i="1" a="1"/>
  <c r="L296" i="1" s="1"/>
  <c r="K296" i="1"/>
  <c r="J296" i="1"/>
  <c r="H296" i="1" s="1"/>
  <c r="I296" i="1"/>
  <c r="AW295" i="1"/>
  <c r="X295" i="1"/>
  <c r="Y295" i="1" s="1"/>
  <c r="W295" i="1"/>
  <c r="N295" i="1"/>
  <c r="M295" i="1"/>
  <c r="L295" i="1" a="1"/>
  <c r="L295" i="1" s="1"/>
  <c r="K295" i="1"/>
  <c r="J295" i="1"/>
  <c r="H295" i="1" s="1"/>
  <c r="I295" i="1"/>
  <c r="AW294" i="1"/>
  <c r="X294" i="1"/>
  <c r="Y294" i="1" s="1"/>
  <c r="W294" i="1"/>
  <c r="N294" i="1"/>
  <c r="M294" i="1"/>
  <c r="L294" i="1" a="1"/>
  <c r="L294" i="1" s="1"/>
  <c r="K294" i="1"/>
  <c r="J294" i="1"/>
  <c r="H294" i="1" s="1"/>
  <c r="I294" i="1"/>
  <c r="AW293" i="1"/>
  <c r="X293" i="1"/>
  <c r="Y293" i="1" s="1"/>
  <c r="W293" i="1"/>
  <c r="N293" i="1"/>
  <c r="M293" i="1"/>
  <c r="L293" i="1" a="1"/>
  <c r="L293" i="1" s="1"/>
  <c r="K293" i="1"/>
  <c r="J293" i="1"/>
  <c r="I293" i="1"/>
  <c r="H293" i="1"/>
  <c r="AW292" i="1"/>
  <c r="X292" i="1" s="1"/>
  <c r="Y292" i="1" s="1"/>
  <c r="W292" i="1"/>
  <c r="N292" i="1"/>
  <c r="M292" i="1"/>
  <c r="L292" i="1" a="1"/>
  <c r="L292" i="1" s="1"/>
  <c r="K292" i="1"/>
  <c r="J292" i="1"/>
  <c r="I292" i="1"/>
  <c r="H292" i="1"/>
  <c r="AW291" i="1"/>
  <c r="X291" i="1"/>
  <c r="Y291" i="1" s="1"/>
  <c r="W291" i="1"/>
  <c r="N291" i="1"/>
  <c r="M291" i="1"/>
  <c r="L291" i="1" a="1"/>
  <c r="L291" i="1" s="1"/>
  <c r="K291" i="1"/>
  <c r="J291" i="1"/>
  <c r="H291" i="1" s="1"/>
  <c r="I291" i="1"/>
  <c r="AW290" i="1"/>
  <c r="X290" i="1"/>
  <c r="Y290" i="1" s="1"/>
  <c r="W290" i="1"/>
  <c r="N290" i="1"/>
  <c r="M290" i="1"/>
  <c r="L290" i="1" a="1"/>
  <c r="L290" i="1" s="1"/>
  <c r="K290" i="1"/>
  <c r="J290" i="1"/>
  <c r="H290" i="1" s="1"/>
  <c r="I290" i="1"/>
  <c r="AW289" i="1"/>
  <c r="X289" i="1"/>
  <c r="Y289" i="1" s="1"/>
  <c r="W289" i="1"/>
  <c r="N289" i="1"/>
  <c r="M289" i="1"/>
  <c r="L289" i="1" a="1"/>
  <c r="L289" i="1" s="1"/>
  <c r="K289" i="1"/>
  <c r="J289" i="1"/>
  <c r="H289" i="1" s="1"/>
  <c r="I289" i="1"/>
  <c r="AW288" i="1"/>
  <c r="X288" i="1"/>
  <c r="Y288" i="1" s="1"/>
  <c r="W288" i="1"/>
  <c r="N288" i="1"/>
  <c r="M288" i="1"/>
  <c r="L288" i="1" a="1"/>
  <c r="L288" i="1" s="1"/>
  <c r="K288" i="1"/>
  <c r="J288" i="1"/>
  <c r="H288" i="1" s="1"/>
  <c r="I288" i="1"/>
  <c r="AW287" i="1"/>
  <c r="X287" i="1" s="1"/>
  <c r="Y287" i="1" s="1"/>
  <c r="W287" i="1"/>
  <c r="N287" i="1"/>
  <c r="M287" i="1"/>
  <c r="L287" i="1" a="1"/>
  <c r="L287" i="1" s="1"/>
  <c r="K287" i="1"/>
  <c r="J287" i="1"/>
  <c r="H287" i="1" s="1"/>
  <c r="I287" i="1"/>
  <c r="AW286" i="1"/>
  <c r="X286" i="1"/>
  <c r="Y286" i="1" s="1"/>
  <c r="W286" i="1"/>
  <c r="N286" i="1"/>
  <c r="M286" i="1"/>
  <c r="L286" i="1" a="1"/>
  <c r="L286" i="1" s="1"/>
  <c r="K286" i="1"/>
  <c r="J286" i="1"/>
  <c r="H286" i="1" s="1"/>
  <c r="I286" i="1"/>
  <c r="AW285" i="1"/>
  <c r="X285" i="1" s="1"/>
  <c r="Y285" i="1" s="1"/>
  <c r="W285" i="1"/>
  <c r="N285" i="1"/>
  <c r="M285" i="1"/>
  <c r="L285" i="1" a="1"/>
  <c r="L285" i="1" s="1"/>
  <c r="K285" i="1"/>
  <c r="J285" i="1"/>
  <c r="H285" i="1" s="1"/>
  <c r="I285" i="1"/>
  <c r="AW284" i="1"/>
  <c r="X284" i="1" s="1"/>
  <c r="Y284" i="1" s="1"/>
  <c r="W284" i="1"/>
  <c r="N284" i="1"/>
  <c r="M284" i="1"/>
  <c r="L284" i="1" a="1"/>
  <c r="L284" i="1" s="1"/>
  <c r="K284" i="1"/>
  <c r="J284" i="1"/>
  <c r="H284" i="1" s="1"/>
  <c r="I284" i="1"/>
  <c r="AW283" i="1"/>
  <c r="X283" i="1"/>
  <c r="Y283" i="1" s="1"/>
  <c r="W283" i="1"/>
  <c r="N283" i="1"/>
  <c r="M283" i="1"/>
  <c r="L283" i="1" a="1"/>
  <c r="L283" i="1" s="1"/>
  <c r="K283" i="1"/>
  <c r="J283" i="1"/>
  <c r="H283" i="1" s="1"/>
  <c r="I283" i="1"/>
  <c r="AW282" i="1"/>
  <c r="X282" i="1"/>
  <c r="Y282" i="1" s="1"/>
  <c r="W282" i="1"/>
  <c r="N282" i="1"/>
  <c r="M282" i="1"/>
  <c r="L282" i="1" a="1"/>
  <c r="L282" i="1" s="1"/>
  <c r="K282" i="1"/>
  <c r="J282" i="1"/>
  <c r="H282" i="1" s="1"/>
  <c r="I282" i="1"/>
  <c r="AW281" i="1"/>
  <c r="X281" i="1" s="1"/>
  <c r="Y281" i="1" s="1"/>
  <c r="W281" i="1"/>
  <c r="N281" i="1"/>
  <c r="M281" i="1"/>
  <c r="L281" i="1"/>
  <c r="L281" i="1" a="1"/>
  <c r="K281" i="1"/>
  <c r="J281" i="1"/>
  <c r="H281" i="1" s="1"/>
  <c r="I281" i="1"/>
  <c r="AW280" i="1"/>
  <c r="X280" i="1"/>
  <c r="Y280" i="1" s="1"/>
  <c r="W280" i="1"/>
  <c r="N280" i="1"/>
  <c r="M280" i="1"/>
  <c r="L280" i="1" a="1"/>
  <c r="L280" i="1" s="1"/>
  <c r="K280" i="1"/>
  <c r="J280" i="1"/>
  <c r="H280" i="1" s="1"/>
  <c r="I280" i="1"/>
  <c r="AW279" i="1"/>
  <c r="X279" i="1"/>
  <c r="Y279" i="1" s="1"/>
  <c r="W279" i="1"/>
  <c r="N279" i="1"/>
  <c r="M279" i="1"/>
  <c r="L279" i="1" a="1"/>
  <c r="L279" i="1" s="1"/>
  <c r="K279" i="1"/>
  <c r="J279" i="1"/>
  <c r="H279" i="1" s="1"/>
  <c r="I279" i="1"/>
  <c r="AW278" i="1"/>
  <c r="X278" i="1"/>
  <c r="Y278" i="1" s="1"/>
  <c r="W278" i="1"/>
  <c r="N278" i="1"/>
  <c r="M278" i="1"/>
  <c r="L278" i="1" a="1"/>
  <c r="L278" i="1" s="1"/>
  <c r="K278" i="1"/>
  <c r="J278" i="1"/>
  <c r="H278" i="1" s="1"/>
  <c r="I278" i="1"/>
  <c r="AW277" i="1"/>
  <c r="X277" i="1"/>
  <c r="Y277" i="1" s="1"/>
  <c r="W277" i="1"/>
  <c r="N277" i="1"/>
  <c r="M277" i="1"/>
  <c r="L277" i="1" a="1"/>
  <c r="L277" i="1" s="1"/>
  <c r="K277" i="1"/>
  <c r="J277" i="1"/>
  <c r="I277" i="1"/>
  <c r="H277" i="1"/>
  <c r="AW276" i="1"/>
  <c r="X276" i="1" s="1"/>
  <c r="Y276" i="1" s="1"/>
  <c r="W276" i="1"/>
  <c r="N276" i="1"/>
  <c r="M276" i="1"/>
  <c r="L276" i="1" a="1"/>
  <c r="L276" i="1" s="1"/>
  <c r="K276" i="1"/>
  <c r="J276" i="1"/>
  <c r="H276" i="1" s="1"/>
  <c r="I276" i="1"/>
  <c r="AW275" i="1"/>
  <c r="X275" i="1"/>
  <c r="Y275" i="1" s="1"/>
  <c r="W275" i="1"/>
  <c r="N275" i="1"/>
  <c r="M275" i="1"/>
  <c r="L275" i="1" a="1"/>
  <c r="L275" i="1" s="1"/>
  <c r="K275" i="1"/>
  <c r="J275" i="1"/>
  <c r="H275" i="1" s="1"/>
  <c r="I275" i="1"/>
  <c r="AW274" i="1"/>
  <c r="X274" i="1"/>
  <c r="Y274" i="1" s="1"/>
  <c r="W274" i="1"/>
  <c r="N274" i="1"/>
  <c r="M274" i="1"/>
  <c r="L274" i="1" a="1"/>
  <c r="L274" i="1" s="1"/>
  <c r="K274" i="1"/>
  <c r="J274" i="1"/>
  <c r="H274" i="1" s="1"/>
  <c r="I274" i="1"/>
  <c r="AW273" i="1"/>
  <c r="X273" i="1"/>
  <c r="Y273" i="1" s="1"/>
  <c r="W273" i="1"/>
  <c r="N273" i="1"/>
  <c r="M273" i="1"/>
  <c r="L273" i="1" a="1"/>
  <c r="L273" i="1" s="1"/>
  <c r="K273" i="1"/>
  <c r="J273" i="1"/>
  <c r="H273" i="1" s="1"/>
  <c r="I273" i="1"/>
  <c r="AW272" i="1"/>
  <c r="X272" i="1"/>
  <c r="Y272" i="1" s="1"/>
  <c r="W272" i="1"/>
  <c r="N272" i="1"/>
  <c r="M272" i="1"/>
  <c r="L272" i="1" a="1"/>
  <c r="L272" i="1" s="1"/>
  <c r="K272" i="1"/>
  <c r="J272" i="1"/>
  <c r="H272" i="1" s="1"/>
  <c r="I272" i="1"/>
  <c r="AW271" i="1"/>
  <c r="X271" i="1" s="1"/>
  <c r="Y271" i="1" s="1"/>
  <c r="W271" i="1"/>
  <c r="N271" i="1"/>
  <c r="M271" i="1"/>
  <c r="L271" i="1" a="1"/>
  <c r="L271" i="1" s="1"/>
  <c r="K271" i="1"/>
  <c r="J271" i="1"/>
  <c r="H271" i="1" s="1"/>
  <c r="I271" i="1"/>
  <c r="AW270" i="1"/>
  <c r="X270" i="1"/>
  <c r="Y270" i="1" s="1"/>
  <c r="W270" i="1"/>
  <c r="N270" i="1"/>
  <c r="M270" i="1"/>
  <c r="L270" i="1" a="1"/>
  <c r="L270" i="1" s="1"/>
  <c r="K270" i="1"/>
  <c r="J270" i="1"/>
  <c r="H270" i="1" s="1"/>
  <c r="I270" i="1"/>
  <c r="AW269" i="1"/>
  <c r="X269" i="1" s="1"/>
  <c r="Y269" i="1"/>
  <c r="W269" i="1"/>
  <c r="N269" i="1"/>
  <c r="M269" i="1"/>
  <c r="L269" i="1"/>
  <c r="L269" i="1" a="1"/>
  <c r="K269" i="1"/>
  <c r="J269" i="1"/>
  <c r="H269" i="1" s="1"/>
  <c r="I269" i="1"/>
  <c r="AW268" i="1"/>
  <c r="X268" i="1"/>
  <c r="Y268" i="1" s="1"/>
  <c r="W268" i="1"/>
  <c r="N268" i="1"/>
  <c r="M268" i="1"/>
  <c r="L268" i="1" a="1"/>
  <c r="L268" i="1" s="1"/>
  <c r="K268" i="1"/>
  <c r="J268" i="1"/>
  <c r="H268" i="1" s="1"/>
  <c r="I268" i="1"/>
  <c r="AW267" i="1"/>
  <c r="X267" i="1"/>
  <c r="Y267" i="1" s="1"/>
  <c r="W267" i="1"/>
  <c r="N267" i="1"/>
  <c r="M267" i="1"/>
  <c r="L267" i="1" a="1"/>
  <c r="L267" i="1" s="1"/>
  <c r="K267" i="1"/>
  <c r="J267" i="1"/>
  <c r="H267" i="1" s="1"/>
  <c r="I267" i="1"/>
  <c r="AW266" i="1"/>
  <c r="X266" i="1" s="1"/>
  <c r="Y266" i="1" s="1"/>
  <c r="W266" i="1"/>
  <c r="N266" i="1"/>
  <c r="M266" i="1"/>
  <c r="L266" i="1" a="1"/>
  <c r="L266" i="1" s="1"/>
  <c r="K266" i="1"/>
  <c r="J266" i="1"/>
  <c r="H266" i="1" s="1"/>
  <c r="I266" i="1"/>
  <c r="AW265" i="1"/>
  <c r="X265" i="1" s="1"/>
  <c r="Y265" i="1" s="1"/>
  <c r="W265" i="1"/>
  <c r="N265" i="1"/>
  <c r="M265" i="1"/>
  <c r="L265" i="1" a="1"/>
  <c r="L265" i="1" s="1"/>
  <c r="K265" i="1"/>
  <c r="J265" i="1"/>
  <c r="H265" i="1" s="1"/>
  <c r="I265" i="1"/>
  <c r="AW264" i="1"/>
  <c r="X264" i="1" s="1"/>
  <c r="Y264" i="1" s="1"/>
  <c r="W264" i="1"/>
  <c r="N264" i="1"/>
  <c r="M264" i="1"/>
  <c r="L264" i="1" a="1"/>
  <c r="L264" i="1" s="1"/>
  <c r="K264" i="1"/>
  <c r="J264" i="1"/>
  <c r="H264" i="1" s="1"/>
  <c r="I264" i="1"/>
  <c r="AW263" i="1"/>
  <c r="X263" i="1"/>
  <c r="Y263" i="1" s="1"/>
  <c r="W263" i="1"/>
  <c r="N263" i="1"/>
  <c r="M263" i="1"/>
  <c r="L263" i="1" a="1"/>
  <c r="L263" i="1" s="1"/>
  <c r="K263" i="1"/>
  <c r="J263" i="1"/>
  <c r="H263" i="1" s="1"/>
  <c r="I263" i="1"/>
  <c r="AW262" i="1"/>
  <c r="X262" i="1" s="1"/>
  <c r="Y262" i="1" s="1"/>
  <c r="W262" i="1"/>
  <c r="N262" i="1"/>
  <c r="M262" i="1"/>
  <c r="L262" i="1" a="1"/>
  <c r="L262" i="1" s="1"/>
  <c r="K262" i="1"/>
  <c r="J262" i="1"/>
  <c r="H262" i="1" s="1"/>
  <c r="I262" i="1"/>
  <c r="AW261" i="1"/>
  <c r="X261" i="1"/>
  <c r="Y261" i="1" s="1"/>
  <c r="W261" i="1"/>
  <c r="N261" i="1"/>
  <c r="M261" i="1"/>
  <c r="L261" i="1" a="1"/>
  <c r="L261" i="1" s="1"/>
  <c r="K261" i="1"/>
  <c r="J261" i="1"/>
  <c r="H261" i="1" s="1"/>
  <c r="I261" i="1"/>
  <c r="AW260" i="1"/>
  <c r="X260" i="1"/>
  <c r="Y260" i="1" s="1"/>
  <c r="W260" i="1"/>
  <c r="N260" i="1"/>
  <c r="M260" i="1"/>
  <c r="L260" i="1" a="1"/>
  <c r="L260" i="1" s="1"/>
  <c r="K260" i="1"/>
  <c r="J260" i="1"/>
  <c r="H260" i="1" s="1"/>
  <c r="I260" i="1"/>
  <c r="AW259" i="1"/>
  <c r="X259" i="1"/>
  <c r="Y259" i="1" s="1"/>
  <c r="W259" i="1"/>
  <c r="N259" i="1"/>
  <c r="M259" i="1"/>
  <c r="L259" i="1" a="1"/>
  <c r="L259" i="1" s="1"/>
  <c r="K259" i="1"/>
  <c r="J259" i="1"/>
  <c r="H259" i="1" s="1"/>
  <c r="I259" i="1"/>
  <c r="AW258" i="1"/>
  <c r="X258" i="1" s="1"/>
  <c r="Y258" i="1" s="1"/>
  <c r="W258" i="1"/>
  <c r="N258" i="1"/>
  <c r="M258" i="1"/>
  <c r="L258" i="1" a="1"/>
  <c r="L258" i="1" s="1"/>
  <c r="K258" i="1"/>
  <c r="J258" i="1"/>
  <c r="H258" i="1" s="1"/>
  <c r="I258" i="1"/>
  <c r="AW257" i="1"/>
  <c r="X257" i="1" s="1"/>
  <c r="Y257" i="1" s="1"/>
  <c r="W257" i="1"/>
  <c r="N257" i="1"/>
  <c r="M257" i="1"/>
  <c r="L257" i="1" a="1"/>
  <c r="L257" i="1" s="1"/>
  <c r="K257" i="1"/>
  <c r="J257" i="1"/>
  <c r="H257" i="1" s="1"/>
  <c r="I257" i="1"/>
  <c r="AW256" i="1"/>
  <c r="X256" i="1"/>
  <c r="Y256" i="1" s="1"/>
  <c r="W256" i="1"/>
  <c r="N256" i="1"/>
  <c r="M256" i="1"/>
  <c r="L256" i="1" a="1"/>
  <c r="L256" i="1" s="1"/>
  <c r="K256" i="1"/>
  <c r="J256" i="1"/>
  <c r="H256" i="1" s="1"/>
  <c r="I256" i="1"/>
  <c r="AW255" i="1"/>
  <c r="X255" i="1"/>
  <c r="Y255" i="1" s="1"/>
  <c r="W255" i="1"/>
  <c r="N255" i="1"/>
  <c r="M255" i="1"/>
  <c r="L255" i="1" a="1"/>
  <c r="L255" i="1" s="1"/>
  <c r="K255" i="1"/>
  <c r="J255" i="1"/>
  <c r="H255" i="1" s="1"/>
  <c r="I255" i="1"/>
  <c r="AW254" i="1"/>
  <c r="X254" i="1"/>
  <c r="Y254" i="1" s="1"/>
  <c r="W254" i="1"/>
  <c r="N254" i="1"/>
  <c r="M254" i="1"/>
  <c r="L254" i="1" a="1"/>
  <c r="L254" i="1" s="1"/>
  <c r="K254" i="1"/>
  <c r="J254" i="1"/>
  <c r="H254" i="1" s="1"/>
  <c r="I254" i="1"/>
  <c r="AW253" i="1"/>
  <c r="X253" i="1"/>
  <c r="Y253" i="1" s="1"/>
  <c r="W253" i="1"/>
  <c r="N253" i="1"/>
  <c r="M253" i="1"/>
  <c r="L253" i="1" a="1"/>
  <c r="L253" i="1" s="1"/>
  <c r="K253" i="1"/>
  <c r="J253" i="1"/>
  <c r="H253" i="1" s="1"/>
  <c r="I253" i="1"/>
  <c r="AW252" i="1"/>
  <c r="X252" i="1" s="1"/>
  <c r="Y252" i="1" s="1"/>
  <c r="W252" i="1"/>
  <c r="N252" i="1"/>
  <c r="M252" i="1"/>
  <c r="L252" i="1" a="1"/>
  <c r="L252" i="1" s="1"/>
  <c r="K252" i="1"/>
  <c r="J252" i="1"/>
  <c r="H252" i="1" s="1"/>
  <c r="I252" i="1"/>
  <c r="AW251" i="1"/>
  <c r="X251" i="1"/>
  <c r="Y251" i="1" s="1"/>
  <c r="W251" i="1"/>
  <c r="N251" i="1"/>
  <c r="M251" i="1"/>
  <c r="L251" i="1" a="1"/>
  <c r="L251" i="1" s="1"/>
  <c r="K251" i="1"/>
  <c r="J251" i="1"/>
  <c r="H251" i="1" s="1"/>
  <c r="I251" i="1"/>
  <c r="AW250" i="1"/>
  <c r="X250" i="1" s="1"/>
  <c r="Y250" i="1" s="1"/>
  <c r="W250" i="1"/>
  <c r="N250" i="1"/>
  <c r="M250" i="1"/>
  <c r="L250" i="1" a="1"/>
  <c r="L250" i="1" s="1"/>
  <c r="K250" i="1"/>
  <c r="J250" i="1"/>
  <c r="I250" i="1"/>
  <c r="H250" i="1"/>
  <c r="AW249" i="1"/>
  <c r="X249" i="1"/>
  <c r="Y249" i="1" s="1"/>
  <c r="W249" i="1"/>
  <c r="N249" i="1"/>
  <c r="M249" i="1"/>
  <c r="L249" i="1" a="1"/>
  <c r="L249" i="1" s="1"/>
  <c r="K249" i="1"/>
  <c r="J249" i="1"/>
  <c r="I249" i="1"/>
  <c r="H249" i="1"/>
  <c r="AW248" i="1"/>
  <c r="X248" i="1"/>
  <c r="Y248" i="1" s="1"/>
  <c r="W248" i="1"/>
  <c r="N248" i="1"/>
  <c r="M248" i="1"/>
  <c r="L248" i="1" a="1"/>
  <c r="L248" i="1" s="1"/>
  <c r="K248" i="1"/>
  <c r="J248" i="1"/>
  <c r="H248" i="1" s="1"/>
  <c r="I248" i="1"/>
  <c r="AW247" i="1"/>
  <c r="X247" i="1" s="1"/>
  <c r="Y247" i="1" s="1"/>
  <c r="W247" i="1"/>
  <c r="N247" i="1"/>
  <c r="M247" i="1"/>
  <c r="L247" i="1" a="1"/>
  <c r="L247" i="1" s="1"/>
  <c r="K247" i="1"/>
  <c r="J247" i="1"/>
  <c r="H247" i="1" s="1"/>
  <c r="I247" i="1"/>
  <c r="AW246" i="1"/>
  <c r="X246" i="1"/>
  <c r="Y246" i="1" s="1"/>
  <c r="W246" i="1"/>
  <c r="N246" i="1"/>
  <c r="M246" i="1"/>
  <c r="L246" i="1" a="1"/>
  <c r="L246" i="1" s="1"/>
  <c r="K246" i="1"/>
  <c r="J246" i="1"/>
  <c r="I246" i="1"/>
  <c r="H246" i="1"/>
  <c r="AW245" i="1"/>
  <c r="X245" i="1" s="1"/>
  <c r="Y245" i="1" s="1"/>
  <c r="W245" i="1"/>
  <c r="N245" i="1"/>
  <c r="M245" i="1"/>
  <c r="L245" i="1" a="1"/>
  <c r="L245" i="1" s="1"/>
  <c r="K245" i="1"/>
  <c r="J245" i="1"/>
  <c r="I245" i="1"/>
  <c r="H245" i="1"/>
  <c r="AW244" i="1"/>
  <c r="X244" i="1"/>
  <c r="Y244" i="1" s="1"/>
  <c r="W244" i="1"/>
  <c r="N244" i="1"/>
  <c r="M244" i="1"/>
  <c r="L244" i="1" a="1"/>
  <c r="L244" i="1" s="1"/>
  <c r="K244" i="1"/>
  <c r="J244" i="1"/>
  <c r="H244" i="1" s="1"/>
  <c r="I244" i="1"/>
  <c r="AW243" i="1"/>
  <c r="X243" i="1"/>
  <c r="Y243" i="1" s="1"/>
  <c r="W243" i="1"/>
  <c r="N243" i="1"/>
  <c r="M243" i="1"/>
  <c r="L243" i="1" a="1"/>
  <c r="L243" i="1" s="1"/>
  <c r="K243" i="1"/>
  <c r="J243" i="1"/>
  <c r="H243" i="1" s="1"/>
  <c r="I243" i="1"/>
  <c r="AW242" i="1"/>
  <c r="X242" i="1"/>
  <c r="Y242" i="1" s="1"/>
  <c r="W242" i="1"/>
  <c r="N242" i="1"/>
  <c r="M242" i="1"/>
  <c r="L242" i="1" a="1"/>
  <c r="L242" i="1" s="1"/>
  <c r="K242" i="1"/>
  <c r="J242" i="1"/>
  <c r="H242" i="1" s="1"/>
  <c r="I242" i="1"/>
  <c r="AW241" i="1"/>
  <c r="X241" i="1"/>
  <c r="Y241" i="1" s="1"/>
  <c r="W241" i="1"/>
  <c r="N241" i="1"/>
  <c r="M241" i="1"/>
  <c r="L241" i="1" a="1"/>
  <c r="L241" i="1" s="1"/>
  <c r="K241" i="1"/>
  <c r="J241" i="1"/>
  <c r="I241" i="1"/>
  <c r="H241" i="1"/>
  <c r="AW240" i="1"/>
  <c r="X240" i="1"/>
  <c r="Y240" i="1" s="1"/>
  <c r="W240" i="1"/>
  <c r="N240" i="1"/>
  <c r="M240" i="1"/>
  <c r="L240" i="1" a="1"/>
  <c r="L240" i="1" s="1"/>
  <c r="K240" i="1"/>
  <c r="J240" i="1"/>
  <c r="H240" i="1" s="1"/>
  <c r="I240" i="1"/>
  <c r="AW239" i="1"/>
  <c r="X239" i="1"/>
  <c r="Y239" i="1" s="1"/>
  <c r="W239" i="1"/>
  <c r="N239" i="1"/>
  <c r="M239" i="1"/>
  <c r="L239" i="1" a="1"/>
  <c r="L239" i="1" s="1"/>
  <c r="K239" i="1"/>
  <c r="J239" i="1"/>
  <c r="H239" i="1" s="1"/>
  <c r="I239" i="1"/>
  <c r="AW238" i="1"/>
  <c r="X238" i="1" s="1"/>
  <c r="Y238" i="1" s="1"/>
  <c r="W238" i="1"/>
  <c r="N238" i="1"/>
  <c r="M238" i="1"/>
  <c r="L238" i="1" a="1"/>
  <c r="L238" i="1" s="1"/>
  <c r="K238" i="1"/>
  <c r="J238" i="1"/>
  <c r="H238" i="1" s="1"/>
  <c r="I238" i="1"/>
  <c r="AW237" i="1"/>
  <c r="X237" i="1"/>
  <c r="Y237" i="1" s="1"/>
  <c r="W237" i="1"/>
  <c r="N237" i="1"/>
  <c r="M237" i="1"/>
  <c r="L237" i="1" a="1"/>
  <c r="L237" i="1" s="1"/>
  <c r="K237" i="1"/>
  <c r="J237" i="1"/>
  <c r="H237" i="1" s="1"/>
  <c r="I237" i="1"/>
  <c r="AW236" i="1"/>
  <c r="X236" i="1"/>
  <c r="Y236" i="1" s="1"/>
  <c r="W236" i="1"/>
  <c r="N236" i="1"/>
  <c r="M236" i="1"/>
  <c r="L236" i="1" a="1"/>
  <c r="L236" i="1" s="1"/>
  <c r="K236" i="1"/>
  <c r="J236" i="1"/>
  <c r="H236" i="1" s="1"/>
  <c r="I236" i="1"/>
  <c r="AW235" i="1"/>
  <c r="X235" i="1"/>
  <c r="Y235" i="1" s="1"/>
  <c r="W235" i="1"/>
  <c r="N235" i="1"/>
  <c r="M235" i="1"/>
  <c r="L235" i="1" a="1"/>
  <c r="L235" i="1" s="1"/>
  <c r="K235" i="1"/>
  <c r="J235" i="1"/>
  <c r="H235" i="1" s="1"/>
  <c r="I235" i="1"/>
  <c r="AW234" i="1"/>
  <c r="X234" i="1" s="1"/>
  <c r="Y234" i="1" s="1"/>
  <c r="W234" i="1"/>
  <c r="N234" i="1"/>
  <c r="M234" i="1"/>
  <c r="L234" i="1" a="1"/>
  <c r="L234" i="1" s="1"/>
  <c r="K234" i="1"/>
  <c r="J234" i="1"/>
  <c r="I234" i="1"/>
  <c r="H234" i="1"/>
  <c r="AW233" i="1"/>
  <c r="X233" i="1"/>
  <c r="Y233" i="1" s="1"/>
  <c r="W233" i="1"/>
  <c r="N233" i="1"/>
  <c r="M233" i="1"/>
  <c r="L233" i="1" a="1"/>
  <c r="L233" i="1" s="1"/>
  <c r="K233" i="1"/>
  <c r="J233" i="1"/>
  <c r="H233" i="1" s="1"/>
  <c r="I233" i="1"/>
  <c r="AW232" i="1"/>
  <c r="X232" i="1"/>
  <c r="Y232" i="1" s="1"/>
  <c r="W232" i="1"/>
  <c r="N232" i="1"/>
  <c r="M232" i="1"/>
  <c r="L232" i="1" a="1"/>
  <c r="L232" i="1" s="1"/>
  <c r="K232" i="1"/>
  <c r="J232" i="1"/>
  <c r="H232" i="1" s="1"/>
  <c r="I232" i="1"/>
  <c r="AW231" i="1"/>
  <c r="X231" i="1"/>
  <c r="Y231" i="1" s="1"/>
  <c r="W231" i="1"/>
  <c r="N231" i="1"/>
  <c r="M231" i="1"/>
  <c r="L231" i="1" a="1"/>
  <c r="L231" i="1" s="1"/>
  <c r="K231" i="1"/>
  <c r="J231" i="1"/>
  <c r="H231" i="1" s="1"/>
  <c r="I231" i="1"/>
  <c r="AW230" i="1"/>
  <c r="X230" i="1"/>
  <c r="Y230" i="1" s="1"/>
  <c r="W230" i="1"/>
  <c r="N230" i="1"/>
  <c r="M230" i="1"/>
  <c r="L230" i="1" a="1"/>
  <c r="L230" i="1" s="1"/>
  <c r="K230" i="1"/>
  <c r="J230" i="1"/>
  <c r="H230" i="1" s="1"/>
  <c r="I230" i="1"/>
  <c r="AW229" i="1"/>
  <c r="X229" i="1" s="1"/>
  <c r="Y229" i="1" s="1"/>
  <c r="W229" i="1"/>
  <c r="N229" i="1"/>
  <c r="M229" i="1"/>
  <c r="L229" i="1" a="1"/>
  <c r="L229" i="1" s="1"/>
  <c r="K229" i="1"/>
  <c r="J229" i="1"/>
  <c r="H229" i="1" s="1"/>
  <c r="I229" i="1"/>
  <c r="AW228" i="1"/>
  <c r="X228" i="1" s="1"/>
  <c r="Y228" i="1" s="1"/>
  <c r="W228" i="1"/>
  <c r="N228" i="1"/>
  <c r="M228" i="1"/>
  <c r="L228" i="1" a="1"/>
  <c r="L228" i="1" s="1"/>
  <c r="K228" i="1"/>
  <c r="J228" i="1"/>
  <c r="H228" i="1" s="1"/>
  <c r="I228" i="1"/>
  <c r="AW227" i="1"/>
  <c r="X227" i="1" s="1"/>
  <c r="Y227" i="1" s="1"/>
  <c r="W227" i="1"/>
  <c r="N227" i="1"/>
  <c r="M227" i="1"/>
  <c r="L227" i="1" a="1"/>
  <c r="L227" i="1" s="1"/>
  <c r="K227" i="1"/>
  <c r="J227" i="1"/>
  <c r="H227" i="1" s="1"/>
  <c r="I227" i="1"/>
  <c r="AW226" i="1"/>
  <c r="X226" i="1"/>
  <c r="Y226" i="1" s="1"/>
  <c r="W226" i="1"/>
  <c r="N226" i="1"/>
  <c r="M226" i="1"/>
  <c r="L226" i="1" a="1"/>
  <c r="L226" i="1" s="1"/>
  <c r="K226" i="1"/>
  <c r="J226" i="1"/>
  <c r="H226" i="1" s="1"/>
  <c r="I226" i="1"/>
  <c r="AW225" i="1"/>
  <c r="X225" i="1"/>
  <c r="Y225" i="1" s="1"/>
  <c r="W225" i="1"/>
  <c r="N225" i="1"/>
  <c r="M225" i="1"/>
  <c r="L225" i="1" a="1"/>
  <c r="L225" i="1" s="1"/>
  <c r="K225" i="1"/>
  <c r="J225" i="1"/>
  <c r="I225" i="1"/>
  <c r="H225" i="1"/>
  <c r="AW224" i="1"/>
  <c r="X224" i="1"/>
  <c r="Y224" i="1" s="1"/>
  <c r="W224" i="1"/>
  <c r="N224" i="1"/>
  <c r="M224" i="1"/>
  <c r="L224" i="1" a="1"/>
  <c r="L224" i="1" s="1"/>
  <c r="K224" i="1"/>
  <c r="J224" i="1"/>
  <c r="H224" i="1" s="1"/>
  <c r="I224" i="1"/>
  <c r="AW223" i="1"/>
  <c r="X223" i="1"/>
  <c r="Y223" i="1" s="1"/>
  <c r="W223" i="1"/>
  <c r="N223" i="1"/>
  <c r="M223" i="1"/>
  <c r="L223" i="1" a="1"/>
  <c r="L223" i="1" s="1"/>
  <c r="K223" i="1"/>
  <c r="J223" i="1"/>
  <c r="H223" i="1" s="1"/>
  <c r="I223" i="1"/>
  <c r="AW222" i="1"/>
  <c r="X222" i="1"/>
  <c r="Y222" i="1" s="1"/>
  <c r="W222" i="1"/>
  <c r="N222" i="1"/>
  <c r="M222" i="1"/>
  <c r="L222" i="1" a="1"/>
  <c r="L222" i="1" s="1"/>
  <c r="K222" i="1"/>
  <c r="J222" i="1"/>
  <c r="H222" i="1" s="1"/>
  <c r="I222" i="1"/>
  <c r="AW221" i="1"/>
  <c r="X221" i="1"/>
  <c r="Y221" i="1" s="1"/>
  <c r="W221" i="1"/>
  <c r="N221" i="1"/>
  <c r="M221" i="1"/>
  <c r="L221" i="1" a="1"/>
  <c r="L221" i="1" s="1"/>
  <c r="K221" i="1"/>
  <c r="J221" i="1"/>
  <c r="I221" i="1"/>
  <c r="H221" i="1"/>
  <c r="AW220" i="1"/>
  <c r="X220" i="1"/>
  <c r="Y220" i="1" s="1"/>
  <c r="W220" i="1"/>
  <c r="N220" i="1"/>
  <c r="M220" i="1"/>
  <c r="L220" i="1" a="1"/>
  <c r="L220" i="1" s="1"/>
  <c r="K220" i="1"/>
  <c r="J220" i="1"/>
  <c r="I220" i="1"/>
  <c r="H220" i="1"/>
  <c r="AW219" i="1"/>
  <c r="X219" i="1" s="1"/>
  <c r="Y219" i="1" s="1"/>
  <c r="W219" i="1"/>
  <c r="N219" i="1"/>
  <c r="M219" i="1"/>
  <c r="L219" i="1" a="1"/>
  <c r="L219" i="1" s="1"/>
  <c r="K219" i="1"/>
  <c r="J219" i="1"/>
  <c r="H219" i="1" s="1"/>
  <c r="I219" i="1"/>
  <c r="AW218" i="1"/>
  <c r="X218" i="1"/>
  <c r="Y218" i="1" s="1"/>
  <c r="W218" i="1"/>
  <c r="N218" i="1"/>
  <c r="M218" i="1"/>
  <c r="L218" i="1" a="1"/>
  <c r="L218" i="1" s="1"/>
  <c r="K218" i="1"/>
  <c r="J218" i="1"/>
  <c r="H218" i="1" s="1"/>
  <c r="I218" i="1"/>
  <c r="AW217" i="1"/>
  <c r="X217" i="1" s="1"/>
  <c r="Y217" i="1" s="1"/>
  <c r="W217" i="1"/>
  <c r="N217" i="1"/>
  <c r="M217" i="1"/>
  <c r="L217" i="1" a="1"/>
  <c r="L217" i="1" s="1"/>
  <c r="K217" i="1"/>
  <c r="J217" i="1"/>
  <c r="I217" i="1"/>
  <c r="H217" i="1"/>
  <c r="AW216" i="1"/>
  <c r="X216" i="1"/>
  <c r="Y216" i="1" s="1"/>
  <c r="W216" i="1"/>
  <c r="N216" i="1"/>
  <c r="M216" i="1"/>
  <c r="L216" i="1" a="1"/>
  <c r="L216" i="1" s="1"/>
  <c r="K216" i="1"/>
  <c r="J216" i="1"/>
  <c r="H216" i="1" s="1"/>
  <c r="I216" i="1"/>
  <c r="AW215" i="1"/>
  <c r="X215" i="1"/>
  <c r="Y215" i="1" s="1"/>
  <c r="W215" i="1"/>
  <c r="N215" i="1"/>
  <c r="M215" i="1"/>
  <c r="L215" i="1" a="1"/>
  <c r="L215" i="1" s="1"/>
  <c r="K215" i="1"/>
  <c r="J215" i="1"/>
  <c r="H215" i="1" s="1"/>
  <c r="I215" i="1"/>
  <c r="AW214" i="1"/>
  <c r="X214" i="1"/>
  <c r="Y214" i="1" s="1"/>
  <c r="W214" i="1"/>
  <c r="N214" i="1"/>
  <c r="M214" i="1"/>
  <c r="L214" i="1" a="1"/>
  <c r="L214" i="1" s="1"/>
  <c r="K214" i="1"/>
  <c r="J214" i="1"/>
  <c r="H214" i="1" s="1"/>
  <c r="I214" i="1"/>
  <c r="AW213" i="1"/>
  <c r="X213" i="1" s="1"/>
  <c r="Y213" i="1" s="1"/>
  <c r="W213" i="1"/>
  <c r="N213" i="1"/>
  <c r="M213" i="1"/>
  <c r="L213" i="1" a="1"/>
  <c r="L213" i="1" s="1"/>
  <c r="K213" i="1"/>
  <c r="J213" i="1"/>
  <c r="H213" i="1" s="1"/>
  <c r="I213" i="1"/>
  <c r="AW212" i="1"/>
  <c r="X212" i="1"/>
  <c r="Y212" i="1" s="1"/>
  <c r="W212" i="1"/>
  <c r="N212" i="1"/>
  <c r="M212" i="1"/>
  <c r="L212" i="1" a="1"/>
  <c r="L212" i="1" s="1"/>
  <c r="K212" i="1"/>
  <c r="J212" i="1"/>
  <c r="I212" i="1"/>
  <c r="H212" i="1"/>
  <c r="AW211" i="1"/>
  <c r="X211" i="1"/>
  <c r="Y211" i="1" s="1"/>
  <c r="W211" i="1"/>
  <c r="N211" i="1"/>
  <c r="M211" i="1"/>
  <c r="L211" i="1" a="1"/>
  <c r="L211" i="1" s="1"/>
  <c r="K211" i="1"/>
  <c r="J211" i="1"/>
  <c r="H211" i="1" s="1"/>
  <c r="I211" i="1"/>
  <c r="AW210" i="1"/>
  <c r="X210" i="1"/>
  <c r="Y210" i="1" s="1"/>
  <c r="W210" i="1"/>
  <c r="N210" i="1"/>
  <c r="M210" i="1"/>
  <c r="L210" i="1" a="1"/>
  <c r="L210" i="1" s="1"/>
  <c r="K210" i="1"/>
  <c r="J210" i="1"/>
  <c r="H210" i="1" s="1"/>
  <c r="I210" i="1"/>
  <c r="AW209" i="1"/>
  <c r="X209" i="1"/>
  <c r="Y209" i="1" s="1"/>
  <c r="W209" i="1"/>
  <c r="N209" i="1"/>
  <c r="M209" i="1"/>
  <c r="L209" i="1" a="1"/>
  <c r="L209" i="1" s="1"/>
  <c r="K209" i="1"/>
  <c r="J209" i="1"/>
  <c r="H209" i="1" s="1"/>
  <c r="I209" i="1"/>
  <c r="AW208" i="1"/>
  <c r="X208" i="1"/>
  <c r="Y208" i="1" s="1"/>
  <c r="W208" i="1"/>
  <c r="N208" i="1"/>
  <c r="M208" i="1"/>
  <c r="L208" i="1" a="1"/>
  <c r="L208" i="1" s="1"/>
  <c r="K208" i="1"/>
  <c r="J208" i="1"/>
  <c r="H208" i="1" s="1"/>
  <c r="I208" i="1"/>
  <c r="AW207" i="1"/>
  <c r="X207" i="1"/>
  <c r="Y207" i="1" s="1"/>
  <c r="W207" i="1"/>
  <c r="N207" i="1"/>
  <c r="M207" i="1"/>
  <c r="L207" i="1" a="1"/>
  <c r="L207" i="1" s="1"/>
  <c r="K207" i="1"/>
  <c r="J207" i="1"/>
  <c r="H207" i="1" s="1"/>
  <c r="I207" i="1"/>
  <c r="AW206" i="1"/>
  <c r="X206" i="1"/>
  <c r="Y206" i="1" s="1"/>
  <c r="W206" i="1"/>
  <c r="N206" i="1"/>
  <c r="M206" i="1"/>
  <c r="L206" i="1" a="1"/>
  <c r="L206" i="1" s="1"/>
  <c r="K206" i="1"/>
  <c r="J206" i="1"/>
  <c r="H206" i="1" s="1"/>
  <c r="I206" i="1"/>
  <c r="AW205" i="1"/>
  <c r="X205" i="1"/>
  <c r="Y205" i="1" s="1"/>
  <c r="W205" i="1"/>
  <c r="N205" i="1"/>
  <c r="M205" i="1"/>
  <c r="L205" i="1" a="1"/>
  <c r="L205" i="1" s="1"/>
  <c r="K205" i="1"/>
  <c r="J205" i="1"/>
  <c r="H205" i="1" s="1"/>
  <c r="I205" i="1"/>
  <c r="AW204" i="1"/>
  <c r="X204" i="1"/>
  <c r="Y204" i="1" s="1"/>
  <c r="W204" i="1"/>
  <c r="N204" i="1"/>
  <c r="M204" i="1"/>
  <c r="L204" i="1" a="1"/>
  <c r="L204" i="1" s="1"/>
  <c r="K204" i="1"/>
  <c r="J204" i="1"/>
  <c r="H204" i="1" s="1"/>
  <c r="I204" i="1"/>
  <c r="AW203" i="1"/>
  <c r="X203" i="1"/>
  <c r="Y203" i="1" s="1"/>
  <c r="W203" i="1"/>
  <c r="N203" i="1"/>
  <c r="M203" i="1"/>
  <c r="L203" i="1" a="1"/>
  <c r="L203" i="1" s="1"/>
  <c r="K203" i="1"/>
  <c r="J203" i="1"/>
  <c r="I203" i="1"/>
  <c r="H203" i="1"/>
  <c r="AW202" i="1"/>
  <c r="X202" i="1" s="1"/>
  <c r="Y202" i="1" s="1"/>
  <c r="W202" i="1"/>
  <c r="N202" i="1"/>
  <c r="M202" i="1"/>
  <c r="L202" i="1" a="1"/>
  <c r="L202" i="1" s="1"/>
  <c r="K202" i="1"/>
  <c r="J202" i="1"/>
  <c r="H202" i="1" s="1"/>
  <c r="I202" i="1"/>
  <c r="AW201" i="1"/>
  <c r="X201" i="1"/>
  <c r="Y201" i="1" s="1"/>
  <c r="W201" i="1"/>
  <c r="N201" i="1"/>
  <c r="M201" i="1"/>
  <c r="L201" i="1" a="1"/>
  <c r="L201" i="1" s="1"/>
  <c r="K201" i="1"/>
  <c r="J201" i="1"/>
  <c r="H201" i="1" s="1"/>
  <c r="I201" i="1"/>
  <c r="AW200" i="1"/>
  <c r="X200" i="1"/>
  <c r="Y200" i="1" s="1"/>
  <c r="W200" i="1"/>
  <c r="N200" i="1"/>
  <c r="M200" i="1"/>
  <c r="L200" i="1" a="1"/>
  <c r="L200" i="1" s="1"/>
  <c r="K200" i="1"/>
  <c r="J200" i="1"/>
  <c r="H200" i="1" s="1"/>
  <c r="I200" i="1"/>
  <c r="AW199" i="1"/>
  <c r="X199" i="1" s="1"/>
  <c r="Y199" i="1" s="1"/>
  <c r="W199" i="1"/>
  <c r="N199" i="1"/>
  <c r="M199" i="1"/>
  <c r="L199" i="1" a="1"/>
  <c r="L199" i="1" s="1"/>
  <c r="K199" i="1"/>
  <c r="J199" i="1"/>
  <c r="H199" i="1" s="1"/>
  <c r="I199" i="1"/>
  <c r="AW198" i="1"/>
  <c r="X198" i="1"/>
  <c r="Y198" i="1" s="1"/>
  <c r="W198" i="1"/>
  <c r="N198" i="1"/>
  <c r="M198" i="1"/>
  <c r="L198" i="1" a="1"/>
  <c r="L198" i="1" s="1"/>
  <c r="K198" i="1"/>
  <c r="J198" i="1"/>
  <c r="H198" i="1" s="1"/>
  <c r="I198" i="1"/>
  <c r="AW197" i="1"/>
  <c r="X197" i="1"/>
  <c r="Y197" i="1" s="1"/>
  <c r="W197" i="1"/>
  <c r="N197" i="1"/>
  <c r="M197" i="1"/>
  <c r="L197" i="1" a="1"/>
  <c r="L197" i="1" s="1"/>
  <c r="K197" i="1"/>
  <c r="J197" i="1"/>
  <c r="H197" i="1" s="1"/>
  <c r="I197" i="1"/>
  <c r="AW196" i="1"/>
  <c r="X196" i="1" s="1"/>
  <c r="Y196" i="1" s="1"/>
  <c r="W196" i="1"/>
  <c r="N196" i="1"/>
  <c r="M196" i="1"/>
  <c r="L196" i="1" a="1"/>
  <c r="L196" i="1" s="1"/>
  <c r="K196" i="1"/>
  <c r="J196" i="1"/>
  <c r="I196" i="1"/>
  <c r="H196" i="1"/>
  <c r="AW195" i="1"/>
  <c r="X195" i="1" s="1"/>
  <c r="Y195" i="1" s="1"/>
  <c r="W195" i="1"/>
  <c r="N195" i="1"/>
  <c r="M195" i="1"/>
  <c r="L195" i="1" a="1"/>
  <c r="L195" i="1" s="1"/>
  <c r="K195" i="1"/>
  <c r="J195" i="1"/>
  <c r="H195" i="1" s="1"/>
  <c r="I195" i="1"/>
  <c r="AW194" i="1"/>
  <c r="X194" i="1"/>
  <c r="Y194" i="1" s="1"/>
  <c r="W194" i="1"/>
  <c r="N194" i="1"/>
  <c r="M194" i="1"/>
  <c r="L194" i="1" a="1"/>
  <c r="L194" i="1" s="1"/>
  <c r="K194" i="1"/>
  <c r="J194" i="1"/>
  <c r="H194" i="1" s="1"/>
  <c r="I194" i="1"/>
  <c r="AW193" i="1"/>
  <c r="X193" i="1" s="1"/>
  <c r="Y193" i="1" s="1"/>
  <c r="W193" i="1"/>
  <c r="N193" i="1"/>
  <c r="M193" i="1"/>
  <c r="L193" i="1" a="1"/>
  <c r="L193" i="1" s="1"/>
  <c r="K193" i="1"/>
  <c r="J193" i="1"/>
  <c r="I193" i="1"/>
  <c r="H193" i="1"/>
  <c r="AW192" i="1"/>
  <c r="X192" i="1"/>
  <c r="Y192" i="1" s="1"/>
  <c r="W192" i="1"/>
  <c r="N192" i="1"/>
  <c r="M192" i="1"/>
  <c r="L192" i="1" a="1"/>
  <c r="L192" i="1" s="1"/>
  <c r="K192" i="1"/>
  <c r="J192" i="1"/>
  <c r="H192" i="1" s="1"/>
  <c r="I192" i="1"/>
  <c r="AW191" i="1"/>
  <c r="X191" i="1" s="1"/>
  <c r="Y191" i="1" s="1"/>
  <c r="W191" i="1"/>
  <c r="N191" i="1"/>
  <c r="M191" i="1"/>
  <c r="L191" i="1" a="1"/>
  <c r="L191" i="1" s="1"/>
  <c r="K191" i="1"/>
  <c r="J191" i="1"/>
  <c r="H191" i="1" s="1"/>
  <c r="I191" i="1"/>
  <c r="AW190" i="1"/>
  <c r="X190" i="1" s="1"/>
  <c r="Y190" i="1" s="1"/>
  <c r="W190" i="1"/>
  <c r="N190" i="1"/>
  <c r="M190" i="1"/>
  <c r="L190" i="1" a="1"/>
  <c r="L190" i="1" s="1"/>
  <c r="K190" i="1"/>
  <c r="J190" i="1"/>
  <c r="H190" i="1" s="1"/>
  <c r="I190" i="1"/>
  <c r="AW189" i="1"/>
  <c r="X189" i="1" s="1"/>
  <c r="Y189" i="1" s="1"/>
  <c r="W189" i="1"/>
  <c r="N189" i="1"/>
  <c r="M189" i="1"/>
  <c r="L189" i="1" a="1"/>
  <c r="L189" i="1" s="1"/>
  <c r="K189" i="1"/>
  <c r="J189" i="1"/>
  <c r="I189" i="1"/>
  <c r="H189" i="1"/>
  <c r="AW188" i="1"/>
  <c r="X188" i="1"/>
  <c r="Y188" i="1" s="1"/>
  <c r="W188" i="1"/>
  <c r="N188" i="1"/>
  <c r="M188" i="1"/>
  <c r="L188" i="1" a="1"/>
  <c r="L188" i="1" s="1"/>
  <c r="K188" i="1"/>
  <c r="J188" i="1"/>
  <c r="H188" i="1" s="1"/>
  <c r="I188" i="1"/>
  <c r="AW187" i="1"/>
  <c r="X187" i="1"/>
  <c r="Y187" i="1" s="1"/>
  <c r="W187" i="1"/>
  <c r="N187" i="1"/>
  <c r="M187" i="1"/>
  <c r="L187" i="1" a="1"/>
  <c r="L187" i="1" s="1"/>
  <c r="K187" i="1"/>
  <c r="J187" i="1"/>
  <c r="H187" i="1" s="1"/>
  <c r="I187" i="1"/>
  <c r="AW186" i="1"/>
  <c r="X186" i="1"/>
  <c r="Y186" i="1" s="1"/>
  <c r="W186" i="1"/>
  <c r="N186" i="1"/>
  <c r="M186" i="1"/>
  <c r="L186" i="1" a="1"/>
  <c r="L186" i="1" s="1"/>
  <c r="K186" i="1"/>
  <c r="J186" i="1"/>
  <c r="H186" i="1" s="1"/>
  <c r="I186" i="1"/>
  <c r="AW185" i="1"/>
  <c r="X185" i="1"/>
  <c r="Y185" i="1" s="1"/>
  <c r="W185" i="1"/>
  <c r="N185" i="1"/>
  <c r="M185" i="1"/>
  <c r="L185" i="1" a="1"/>
  <c r="L185" i="1" s="1"/>
  <c r="K185" i="1"/>
  <c r="J185" i="1"/>
  <c r="H185" i="1" s="1"/>
  <c r="I185" i="1"/>
  <c r="AW184" i="1"/>
  <c r="X184" i="1"/>
  <c r="Y184" i="1" s="1"/>
  <c r="W184" i="1"/>
  <c r="N184" i="1"/>
  <c r="M184" i="1"/>
  <c r="L184" i="1" a="1"/>
  <c r="L184" i="1" s="1"/>
  <c r="K184" i="1"/>
  <c r="J184" i="1"/>
  <c r="H184" i="1" s="1"/>
  <c r="I184" i="1"/>
  <c r="AW183" i="1"/>
  <c r="X183" i="1"/>
  <c r="Y183" i="1" s="1"/>
  <c r="W183" i="1"/>
  <c r="N183" i="1"/>
  <c r="M183" i="1"/>
  <c r="L183" i="1" a="1"/>
  <c r="L183" i="1" s="1"/>
  <c r="K183" i="1"/>
  <c r="J183" i="1"/>
  <c r="H183" i="1" s="1"/>
  <c r="I183" i="1"/>
  <c r="AW182" i="1"/>
  <c r="X182" i="1" s="1"/>
  <c r="Y182" i="1"/>
  <c r="W182" i="1"/>
  <c r="N182" i="1"/>
  <c r="M182" i="1"/>
  <c r="L182" i="1" a="1"/>
  <c r="L182" i="1" s="1"/>
  <c r="K182" i="1"/>
  <c r="J182" i="1"/>
  <c r="I182" i="1"/>
  <c r="H182" i="1"/>
  <c r="AW181" i="1"/>
  <c r="X181" i="1" s="1"/>
  <c r="Y181" i="1" s="1"/>
  <c r="W181" i="1"/>
  <c r="N181" i="1"/>
  <c r="M181" i="1"/>
  <c r="L181" i="1" a="1"/>
  <c r="L181" i="1" s="1"/>
  <c r="K181" i="1"/>
  <c r="J181" i="1"/>
  <c r="H181" i="1" s="1"/>
  <c r="I181" i="1"/>
  <c r="AW180" i="1"/>
  <c r="X180" i="1"/>
  <c r="Y180" i="1" s="1"/>
  <c r="W180" i="1"/>
  <c r="N180" i="1"/>
  <c r="M180" i="1"/>
  <c r="L180" i="1" a="1"/>
  <c r="L180" i="1" s="1"/>
  <c r="K180" i="1"/>
  <c r="J180" i="1"/>
  <c r="H180" i="1" s="1"/>
  <c r="I180" i="1"/>
  <c r="AW179" i="1"/>
  <c r="X179" i="1"/>
  <c r="Y179" i="1" s="1"/>
  <c r="W179" i="1"/>
  <c r="N179" i="1"/>
  <c r="M179" i="1"/>
  <c r="L179" i="1" a="1"/>
  <c r="L179" i="1" s="1"/>
  <c r="K179" i="1"/>
  <c r="J179" i="1"/>
  <c r="H179" i="1" s="1"/>
  <c r="I179" i="1"/>
  <c r="AW178" i="1"/>
  <c r="X178" i="1"/>
  <c r="Y178" i="1" s="1"/>
  <c r="W178" i="1"/>
  <c r="N178" i="1"/>
  <c r="M178" i="1"/>
  <c r="L178" i="1" a="1"/>
  <c r="L178" i="1" s="1"/>
  <c r="K178" i="1"/>
  <c r="J178" i="1"/>
  <c r="I178" i="1"/>
  <c r="H178" i="1"/>
  <c r="AW177" i="1"/>
  <c r="X177" i="1"/>
  <c r="Y177" i="1" s="1"/>
  <c r="W177" i="1"/>
  <c r="N177" i="1"/>
  <c r="M177" i="1"/>
  <c r="L177" i="1" a="1"/>
  <c r="L177" i="1" s="1"/>
  <c r="K177" i="1"/>
  <c r="J177" i="1"/>
  <c r="I177" i="1"/>
  <c r="H177" i="1"/>
  <c r="AW176" i="1"/>
  <c r="X176" i="1"/>
  <c r="Y176" i="1" s="1"/>
  <c r="W176" i="1"/>
  <c r="N176" i="1"/>
  <c r="M176" i="1"/>
  <c r="L176" i="1" a="1"/>
  <c r="L176" i="1" s="1"/>
  <c r="K176" i="1"/>
  <c r="J176" i="1"/>
  <c r="H176" i="1" s="1"/>
  <c r="I176" i="1"/>
  <c r="AW175" i="1"/>
  <c r="X175" i="1"/>
  <c r="Y175" i="1" s="1"/>
  <c r="W175" i="1"/>
  <c r="N175" i="1"/>
  <c r="M175" i="1"/>
  <c r="L175" i="1" a="1"/>
  <c r="L175" i="1" s="1"/>
  <c r="K175" i="1"/>
  <c r="J175" i="1"/>
  <c r="H175" i="1" s="1"/>
  <c r="I175" i="1"/>
  <c r="AW174" i="1"/>
  <c r="X174" i="1"/>
  <c r="Y174" i="1" s="1"/>
  <c r="W174" i="1"/>
  <c r="N174" i="1"/>
  <c r="M174" i="1"/>
  <c r="L174" i="1" a="1"/>
  <c r="L174" i="1" s="1"/>
  <c r="K174" i="1"/>
  <c r="J174" i="1"/>
  <c r="H174" i="1" s="1"/>
  <c r="I174" i="1"/>
  <c r="AW173" i="1"/>
  <c r="X173" i="1"/>
  <c r="Y173" i="1" s="1"/>
  <c r="W173" i="1"/>
  <c r="N173" i="1"/>
  <c r="M173" i="1"/>
  <c r="L173" i="1" a="1"/>
  <c r="L173" i="1" s="1"/>
  <c r="K173" i="1"/>
  <c r="J173" i="1"/>
  <c r="H173" i="1" s="1"/>
  <c r="I173" i="1"/>
  <c r="AW172" i="1"/>
  <c r="X172" i="1"/>
  <c r="Y172" i="1" s="1"/>
  <c r="W172" i="1"/>
  <c r="N172" i="1"/>
  <c r="M172" i="1"/>
  <c r="L172" i="1" a="1"/>
  <c r="L172" i="1" s="1"/>
  <c r="K172" i="1"/>
  <c r="J172" i="1"/>
  <c r="H172" i="1" s="1"/>
  <c r="I172" i="1"/>
  <c r="AW171" i="1"/>
  <c r="X171" i="1"/>
  <c r="Y171" i="1" s="1"/>
  <c r="W171" i="1"/>
  <c r="N171" i="1"/>
  <c r="M171" i="1"/>
  <c r="L171" i="1" a="1"/>
  <c r="L171" i="1" s="1"/>
  <c r="K171" i="1"/>
  <c r="J171" i="1"/>
  <c r="H171" i="1" s="1"/>
  <c r="I171" i="1"/>
  <c r="AW170" i="1"/>
  <c r="X170" i="1"/>
  <c r="Y170" i="1" s="1"/>
  <c r="W170" i="1"/>
  <c r="N170" i="1"/>
  <c r="M170" i="1"/>
  <c r="L170" i="1" a="1"/>
  <c r="L170" i="1" s="1"/>
  <c r="K170" i="1"/>
  <c r="J170" i="1"/>
  <c r="I170" i="1"/>
  <c r="H170" i="1"/>
  <c r="AW169" i="1"/>
  <c r="X169" i="1"/>
  <c r="Y169" i="1" s="1"/>
  <c r="W169" i="1"/>
  <c r="N169" i="1"/>
  <c r="M169" i="1"/>
  <c r="L169" i="1" a="1"/>
  <c r="L169" i="1" s="1"/>
  <c r="K169" i="1"/>
  <c r="J169" i="1"/>
  <c r="H169" i="1" s="1"/>
  <c r="I169" i="1"/>
  <c r="AW168" i="1"/>
  <c r="X168" i="1"/>
  <c r="Y168" i="1" s="1"/>
  <c r="W168" i="1"/>
  <c r="N168" i="1"/>
  <c r="M168" i="1"/>
  <c r="L168" i="1" a="1"/>
  <c r="L168" i="1" s="1"/>
  <c r="K168" i="1"/>
  <c r="J168" i="1"/>
  <c r="H168" i="1" s="1"/>
  <c r="I168" i="1"/>
  <c r="AW167" i="1"/>
  <c r="X167" i="1"/>
  <c r="Y167" i="1" s="1"/>
  <c r="W167" i="1"/>
  <c r="N167" i="1"/>
  <c r="M167" i="1"/>
  <c r="L167" i="1" a="1"/>
  <c r="L167" i="1" s="1"/>
  <c r="K167" i="1"/>
  <c r="J167" i="1"/>
  <c r="H167" i="1" s="1"/>
  <c r="I167" i="1"/>
  <c r="AW166" i="1"/>
  <c r="X166" i="1"/>
  <c r="Y166" i="1" s="1"/>
  <c r="W166" i="1"/>
  <c r="N166" i="1"/>
  <c r="M166" i="1"/>
  <c r="L166" i="1" a="1"/>
  <c r="L166" i="1" s="1"/>
  <c r="K166" i="1"/>
  <c r="J166" i="1"/>
  <c r="I166" i="1"/>
  <c r="H166" i="1"/>
  <c r="AW165" i="1"/>
  <c r="X165" i="1"/>
  <c r="Y165" i="1" s="1"/>
  <c r="W165" i="1"/>
  <c r="N165" i="1"/>
  <c r="M165" i="1"/>
  <c r="L165" i="1" a="1"/>
  <c r="L165" i="1" s="1"/>
  <c r="K165" i="1"/>
  <c r="J165" i="1"/>
  <c r="H165" i="1" s="1"/>
  <c r="I165" i="1"/>
  <c r="AW164" i="1"/>
  <c r="X164" i="1" s="1"/>
  <c r="Y164" i="1" s="1"/>
  <c r="W164" i="1"/>
  <c r="N164" i="1"/>
  <c r="M164" i="1"/>
  <c r="L164" i="1" a="1"/>
  <c r="L164" i="1" s="1"/>
  <c r="K164" i="1"/>
  <c r="J164" i="1"/>
  <c r="H164" i="1" s="1"/>
  <c r="I164" i="1"/>
  <c r="AW163" i="1"/>
  <c r="X163" i="1"/>
  <c r="Y163" i="1" s="1"/>
  <c r="W163" i="1"/>
  <c r="N163" i="1"/>
  <c r="M163" i="1"/>
  <c r="L163" i="1" a="1"/>
  <c r="L163" i="1" s="1"/>
  <c r="K163" i="1"/>
  <c r="J163" i="1"/>
  <c r="I163" i="1"/>
  <c r="H163" i="1"/>
  <c r="AW162" i="1"/>
  <c r="X162" i="1"/>
  <c r="Y162" i="1" s="1"/>
  <c r="W162" i="1"/>
  <c r="N162" i="1"/>
  <c r="M162" i="1"/>
  <c r="L162" i="1"/>
  <c r="L162" i="1" a="1"/>
  <c r="K162" i="1"/>
  <c r="J162" i="1"/>
  <c r="H162" i="1" s="1"/>
  <c r="I162" i="1"/>
  <c r="AW161" i="1"/>
  <c r="X161" i="1"/>
  <c r="Y161" i="1" s="1"/>
  <c r="W161" i="1"/>
  <c r="N161" i="1"/>
  <c r="M161" i="1"/>
  <c r="L161" i="1" a="1"/>
  <c r="L161" i="1" s="1"/>
  <c r="K161" i="1"/>
  <c r="J161" i="1"/>
  <c r="H161" i="1" s="1"/>
  <c r="I161" i="1"/>
  <c r="AW160" i="1"/>
  <c r="X160" i="1"/>
  <c r="Y160" i="1" s="1"/>
  <c r="W160" i="1"/>
  <c r="N160" i="1"/>
  <c r="M160" i="1"/>
  <c r="L160" i="1" a="1"/>
  <c r="L160" i="1" s="1"/>
  <c r="K160" i="1"/>
  <c r="J160" i="1"/>
  <c r="H160" i="1" s="1"/>
  <c r="I160" i="1"/>
  <c r="AW159" i="1"/>
  <c r="X159" i="1" s="1"/>
  <c r="Y159" i="1" s="1"/>
  <c r="W159" i="1"/>
  <c r="N159" i="1"/>
  <c r="M159" i="1"/>
  <c r="L159" i="1" a="1"/>
  <c r="L159" i="1" s="1"/>
  <c r="K159" i="1"/>
  <c r="J159" i="1"/>
  <c r="H159" i="1" s="1"/>
  <c r="I159" i="1"/>
  <c r="AW158" i="1"/>
  <c r="X158" i="1" s="1"/>
  <c r="Y158" i="1" s="1"/>
  <c r="W158" i="1"/>
  <c r="N158" i="1"/>
  <c r="M158" i="1"/>
  <c r="L158" i="1" a="1"/>
  <c r="L158" i="1" s="1"/>
  <c r="K158" i="1"/>
  <c r="J158" i="1"/>
  <c r="H158" i="1" s="1"/>
  <c r="I158" i="1"/>
  <c r="AW157" i="1"/>
  <c r="X157" i="1" s="1"/>
  <c r="Y157" i="1" s="1"/>
  <c r="W157" i="1"/>
  <c r="N157" i="1"/>
  <c r="M157" i="1"/>
  <c r="L157" i="1" a="1"/>
  <c r="L157" i="1" s="1"/>
  <c r="K157" i="1"/>
  <c r="J157" i="1"/>
  <c r="H157" i="1" s="1"/>
  <c r="I157" i="1"/>
  <c r="AW156" i="1"/>
  <c r="X156" i="1"/>
  <c r="Y156" i="1" s="1"/>
  <c r="W156" i="1"/>
  <c r="N156" i="1"/>
  <c r="M156" i="1"/>
  <c r="L156" i="1" a="1"/>
  <c r="L156" i="1" s="1"/>
  <c r="K156" i="1"/>
  <c r="J156" i="1"/>
  <c r="H156" i="1" s="1"/>
  <c r="I156" i="1"/>
  <c r="AW155" i="1"/>
  <c r="X155" i="1"/>
  <c r="Y155" i="1" s="1"/>
  <c r="W155" i="1"/>
  <c r="N155" i="1"/>
  <c r="M155" i="1"/>
  <c r="L155" i="1" a="1"/>
  <c r="L155" i="1" s="1"/>
  <c r="K155" i="1"/>
  <c r="J155" i="1"/>
  <c r="H155" i="1" s="1"/>
  <c r="I155" i="1"/>
  <c r="AW154" i="1"/>
  <c r="X154" i="1" s="1"/>
  <c r="Y154" i="1" s="1"/>
  <c r="W154" i="1"/>
  <c r="N154" i="1"/>
  <c r="M154" i="1"/>
  <c r="L154" i="1" a="1"/>
  <c r="L154" i="1" s="1"/>
  <c r="K154" i="1"/>
  <c r="J154" i="1"/>
  <c r="H154" i="1" s="1"/>
  <c r="I154" i="1"/>
  <c r="AW153" i="1"/>
  <c r="X153" i="1"/>
  <c r="Y153" i="1" s="1"/>
  <c r="W153" i="1"/>
  <c r="N153" i="1"/>
  <c r="M153" i="1"/>
  <c r="L153" i="1" a="1"/>
  <c r="L153" i="1" s="1"/>
  <c r="K153" i="1"/>
  <c r="J153" i="1"/>
  <c r="H153" i="1" s="1"/>
  <c r="I153" i="1"/>
  <c r="AW152" i="1"/>
  <c r="X152" i="1"/>
  <c r="Y152" i="1" s="1"/>
  <c r="W152" i="1"/>
  <c r="N152" i="1"/>
  <c r="M152" i="1"/>
  <c r="L152" i="1" a="1"/>
  <c r="L152" i="1" s="1"/>
  <c r="K152" i="1"/>
  <c r="J152" i="1"/>
  <c r="H152" i="1" s="1"/>
  <c r="I152" i="1"/>
  <c r="AW151" i="1"/>
  <c r="X151" i="1" s="1"/>
  <c r="Y151" i="1" s="1"/>
  <c r="W151" i="1"/>
  <c r="N151" i="1"/>
  <c r="M151" i="1"/>
  <c r="L151" i="1" a="1"/>
  <c r="L151" i="1" s="1"/>
  <c r="K151" i="1"/>
  <c r="J151" i="1"/>
  <c r="H151" i="1" s="1"/>
  <c r="I151" i="1"/>
  <c r="AW150" i="1"/>
  <c r="X150" i="1"/>
  <c r="Y150" i="1" s="1"/>
  <c r="W150" i="1"/>
  <c r="N150" i="1"/>
  <c r="M150" i="1"/>
  <c r="L150" i="1" a="1"/>
  <c r="L150" i="1" s="1"/>
  <c r="K150" i="1"/>
  <c r="J150" i="1"/>
  <c r="H150" i="1" s="1"/>
  <c r="I150" i="1"/>
  <c r="AW149" i="1"/>
  <c r="X149" i="1"/>
  <c r="Y149" i="1" s="1"/>
  <c r="W149" i="1"/>
  <c r="N149" i="1"/>
  <c r="M149" i="1"/>
  <c r="L149" i="1" a="1"/>
  <c r="L149" i="1" s="1"/>
  <c r="K149" i="1"/>
  <c r="J149" i="1"/>
  <c r="I149" i="1"/>
  <c r="H149" i="1"/>
  <c r="AW148" i="1"/>
  <c r="X148" i="1"/>
  <c r="Y148" i="1" s="1"/>
  <c r="W148" i="1"/>
  <c r="N148" i="1"/>
  <c r="M148" i="1"/>
  <c r="L148" i="1" a="1"/>
  <c r="L148" i="1" s="1"/>
  <c r="K148" i="1"/>
  <c r="J148" i="1"/>
  <c r="H148" i="1" s="1"/>
  <c r="I148" i="1"/>
  <c r="AW147" i="1"/>
  <c r="X147" i="1"/>
  <c r="Y147" i="1" s="1"/>
  <c r="W147" i="1"/>
  <c r="N147" i="1"/>
  <c r="M147" i="1"/>
  <c r="L147" i="1" a="1"/>
  <c r="L147" i="1" s="1"/>
  <c r="K147" i="1"/>
  <c r="J147" i="1"/>
  <c r="H147" i="1" s="1"/>
  <c r="I147" i="1"/>
  <c r="AW146" i="1"/>
  <c r="X146" i="1" s="1"/>
  <c r="Y146" i="1" s="1"/>
  <c r="W146" i="1"/>
  <c r="N146" i="1"/>
  <c r="M146" i="1"/>
  <c r="L146" i="1" a="1"/>
  <c r="L146" i="1" s="1"/>
  <c r="K146" i="1"/>
  <c r="J146" i="1"/>
  <c r="H146" i="1" s="1"/>
  <c r="I146" i="1"/>
  <c r="AW145" i="1"/>
  <c r="X145" i="1"/>
  <c r="Y145" i="1" s="1"/>
  <c r="W145" i="1"/>
  <c r="N145" i="1"/>
  <c r="M145" i="1"/>
  <c r="L145" i="1" a="1"/>
  <c r="L145" i="1" s="1"/>
  <c r="K145" i="1"/>
  <c r="J145" i="1"/>
  <c r="H145" i="1" s="1"/>
  <c r="I145" i="1"/>
  <c r="AW144" i="1"/>
  <c r="X144" i="1"/>
  <c r="Y144" i="1" s="1"/>
  <c r="W144" i="1"/>
  <c r="N144" i="1"/>
  <c r="M144" i="1"/>
  <c r="L144" i="1" a="1"/>
  <c r="L144" i="1" s="1"/>
  <c r="K144" i="1"/>
  <c r="J144" i="1"/>
  <c r="H144" i="1" s="1"/>
  <c r="I144" i="1"/>
  <c r="AW143" i="1"/>
  <c r="X143" i="1"/>
  <c r="Y143" i="1" s="1"/>
  <c r="W143" i="1"/>
  <c r="N143" i="1"/>
  <c r="M143" i="1"/>
  <c r="L143" i="1" a="1"/>
  <c r="L143" i="1" s="1"/>
  <c r="K143" i="1"/>
  <c r="J143" i="1"/>
  <c r="I143" i="1"/>
  <c r="H143" i="1"/>
  <c r="AW142" i="1"/>
  <c r="X142" i="1"/>
  <c r="Y142" i="1" s="1"/>
  <c r="W142" i="1"/>
  <c r="N142" i="1"/>
  <c r="M142" i="1"/>
  <c r="L142" i="1" a="1"/>
  <c r="L142" i="1" s="1"/>
  <c r="K142" i="1"/>
  <c r="J142" i="1"/>
  <c r="H142" i="1" s="1"/>
  <c r="I142" i="1"/>
  <c r="AW141" i="1"/>
  <c r="X141" i="1"/>
  <c r="Y141" i="1" s="1"/>
  <c r="W141" i="1"/>
  <c r="N141" i="1"/>
  <c r="M141" i="1"/>
  <c r="L141" i="1" a="1"/>
  <c r="L141" i="1" s="1"/>
  <c r="K141" i="1"/>
  <c r="J141" i="1"/>
  <c r="H141" i="1" s="1"/>
  <c r="I141" i="1"/>
  <c r="AW140" i="1"/>
  <c r="X140" i="1" s="1"/>
  <c r="Y140" i="1" s="1"/>
  <c r="W140" i="1"/>
  <c r="N140" i="1"/>
  <c r="M140" i="1"/>
  <c r="L140" i="1" a="1"/>
  <c r="L140" i="1" s="1"/>
  <c r="K140" i="1"/>
  <c r="J140" i="1"/>
  <c r="H140" i="1" s="1"/>
  <c r="I140" i="1"/>
  <c r="AW139" i="1"/>
  <c r="X139" i="1"/>
  <c r="Y139" i="1" s="1"/>
  <c r="W139" i="1"/>
  <c r="N139" i="1"/>
  <c r="M139" i="1"/>
  <c r="L139" i="1" a="1"/>
  <c r="L139" i="1" s="1"/>
  <c r="K139" i="1"/>
  <c r="J139" i="1"/>
  <c r="I139" i="1"/>
  <c r="H139" i="1"/>
  <c r="AW138" i="1"/>
  <c r="X138" i="1"/>
  <c r="Y138" i="1" s="1"/>
  <c r="W138" i="1"/>
  <c r="N138" i="1"/>
  <c r="M138" i="1"/>
  <c r="L138" i="1" a="1"/>
  <c r="L138" i="1" s="1"/>
  <c r="K138" i="1"/>
  <c r="J138" i="1"/>
  <c r="H138" i="1" s="1"/>
  <c r="I138" i="1"/>
  <c r="AW137" i="1"/>
  <c r="X137" i="1" s="1"/>
  <c r="Y137" i="1" s="1"/>
  <c r="W137" i="1"/>
  <c r="N137" i="1"/>
  <c r="M137" i="1"/>
  <c r="L137" i="1" a="1"/>
  <c r="L137" i="1" s="1"/>
  <c r="K137" i="1"/>
  <c r="J137" i="1"/>
  <c r="H137" i="1" s="1"/>
  <c r="I137" i="1"/>
  <c r="AW136" i="1"/>
  <c r="X136" i="1"/>
  <c r="Y136" i="1" s="1"/>
  <c r="W136" i="1"/>
  <c r="N136" i="1"/>
  <c r="M136" i="1"/>
  <c r="L136" i="1" a="1"/>
  <c r="L136" i="1" s="1"/>
  <c r="K136" i="1"/>
  <c r="J136" i="1"/>
  <c r="H136" i="1" s="1"/>
  <c r="I136" i="1"/>
  <c r="AW135" i="1"/>
  <c r="X135" i="1"/>
  <c r="Y135" i="1" s="1"/>
  <c r="W135" i="1"/>
  <c r="N135" i="1"/>
  <c r="M135" i="1"/>
  <c r="L135" i="1" a="1"/>
  <c r="L135" i="1" s="1"/>
  <c r="K135" i="1"/>
  <c r="J135" i="1"/>
  <c r="H135" i="1" s="1"/>
  <c r="I135" i="1"/>
  <c r="AW134" i="1"/>
  <c r="X134" i="1"/>
  <c r="Y134" i="1" s="1"/>
  <c r="W134" i="1"/>
  <c r="N134" i="1"/>
  <c r="M134" i="1"/>
  <c r="L134" i="1" a="1"/>
  <c r="L134" i="1" s="1"/>
  <c r="K134" i="1"/>
  <c r="J134" i="1"/>
  <c r="H134" i="1" s="1"/>
  <c r="I134" i="1"/>
  <c r="AW133" i="1"/>
  <c r="X133" i="1"/>
  <c r="Y133" i="1" s="1"/>
  <c r="W133" i="1"/>
  <c r="N133" i="1"/>
  <c r="M133" i="1"/>
  <c r="L133" i="1" a="1"/>
  <c r="L133" i="1" s="1"/>
  <c r="K133" i="1"/>
  <c r="J133" i="1"/>
  <c r="H133" i="1" s="1"/>
  <c r="I133" i="1"/>
  <c r="AW132" i="1"/>
  <c r="X132" i="1"/>
  <c r="Y132" i="1" s="1"/>
  <c r="W132" i="1"/>
  <c r="N132" i="1"/>
  <c r="M132" i="1"/>
  <c r="L132" i="1" a="1"/>
  <c r="L132" i="1" s="1"/>
  <c r="K132" i="1"/>
  <c r="J132" i="1"/>
  <c r="H132" i="1" s="1"/>
  <c r="I132" i="1"/>
  <c r="AW131" i="1"/>
  <c r="X131" i="1"/>
  <c r="Y131" i="1" s="1"/>
  <c r="W131" i="1"/>
  <c r="N131" i="1"/>
  <c r="M131" i="1"/>
  <c r="L131" i="1" a="1"/>
  <c r="L131" i="1" s="1"/>
  <c r="K131" i="1"/>
  <c r="J131" i="1"/>
  <c r="I131" i="1"/>
  <c r="H131" i="1"/>
  <c r="AW130" i="1"/>
  <c r="X130" i="1"/>
  <c r="Y130" i="1" s="1"/>
  <c r="W130" i="1"/>
  <c r="N130" i="1"/>
  <c r="M130" i="1"/>
  <c r="L130" i="1" a="1"/>
  <c r="L130" i="1" s="1"/>
  <c r="K130" i="1"/>
  <c r="J130" i="1"/>
  <c r="H130" i="1" s="1"/>
  <c r="I130" i="1"/>
  <c r="AW129" i="1"/>
  <c r="X129" i="1"/>
  <c r="Y129" i="1" s="1"/>
  <c r="W129" i="1"/>
  <c r="N129" i="1"/>
  <c r="M129" i="1"/>
  <c r="L129" i="1" a="1"/>
  <c r="L129" i="1" s="1"/>
  <c r="K129" i="1"/>
  <c r="J129" i="1"/>
  <c r="H129" i="1" s="1"/>
  <c r="I129" i="1"/>
  <c r="AW128" i="1"/>
  <c r="X128" i="1" s="1"/>
  <c r="Y128" i="1" s="1"/>
  <c r="W128" i="1"/>
  <c r="N128" i="1"/>
  <c r="M128" i="1"/>
  <c r="L128" i="1" a="1"/>
  <c r="L128" i="1" s="1"/>
  <c r="K128" i="1"/>
  <c r="J128" i="1"/>
  <c r="H128" i="1" s="1"/>
  <c r="I128" i="1"/>
  <c r="AW127" i="1"/>
  <c r="X127" i="1"/>
  <c r="Y127" i="1" s="1"/>
  <c r="W127" i="1"/>
  <c r="N127" i="1"/>
  <c r="M127" i="1"/>
  <c r="L127" i="1" a="1"/>
  <c r="L127" i="1" s="1"/>
  <c r="K127" i="1"/>
  <c r="J127" i="1"/>
  <c r="I127" i="1"/>
  <c r="H127" i="1"/>
  <c r="AW126" i="1"/>
  <c r="X126" i="1"/>
  <c r="Y126" i="1" s="1"/>
  <c r="W126" i="1"/>
  <c r="N126" i="1"/>
  <c r="M126" i="1"/>
  <c r="L126" i="1" a="1"/>
  <c r="L126" i="1" s="1"/>
  <c r="K126" i="1"/>
  <c r="J126" i="1"/>
  <c r="I126" i="1"/>
  <c r="H126" i="1"/>
  <c r="AW125" i="1"/>
  <c r="X125" i="1" s="1"/>
  <c r="Y125" i="1" s="1"/>
  <c r="W125" i="1"/>
  <c r="N125" i="1"/>
  <c r="M125" i="1"/>
  <c r="L125" i="1" a="1"/>
  <c r="L125" i="1" s="1"/>
  <c r="K125" i="1"/>
  <c r="J125" i="1"/>
  <c r="H125" i="1" s="1"/>
  <c r="I125" i="1"/>
  <c r="AW124" i="1"/>
  <c r="X124" i="1"/>
  <c r="Y124" i="1" s="1"/>
  <c r="W124" i="1"/>
  <c r="N124" i="1"/>
  <c r="M124" i="1"/>
  <c r="L124" i="1" a="1"/>
  <c r="L124" i="1" s="1"/>
  <c r="K124" i="1"/>
  <c r="J124" i="1"/>
  <c r="H124" i="1" s="1"/>
  <c r="I124" i="1"/>
  <c r="AW123" i="1"/>
  <c r="X123" i="1"/>
  <c r="Y123" i="1" s="1"/>
  <c r="W123" i="1"/>
  <c r="N123" i="1"/>
  <c r="M123" i="1"/>
  <c r="L123" i="1" a="1"/>
  <c r="L123" i="1" s="1"/>
  <c r="K123" i="1"/>
  <c r="J123" i="1"/>
  <c r="H123" i="1" s="1"/>
  <c r="I123" i="1"/>
  <c r="AW122" i="1"/>
  <c r="X122" i="1"/>
  <c r="Y122" i="1" s="1"/>
  <c r="W122" i="1"/>
  <c r="N122" i="1"/>
  <c r="M122" i="1"/>
  <c r="L122" i="1" a="1"/>
  <c r="L122" i="1" s="1"/>
  <c r="K122" i="1"/>
  <c r="J122" i="1"/>
  <c r="H122" i="1" s="1"/>
  <c r="I122" i="1"/>
  <c r="AW121" i="1"/>
  <c r="X121" i="1" s="1"/>
  <c r="Y121" i="1" s="1"/>
  <c r="W121" i="1"/>
  <c r="N121" i="1"/>
  <c r="M121" i="1"/>
  <c r="L121" i="1" a="1"/>
  <c r="L121" i="1" s="1"/>
  <c r="K121" i="1"/>
  <c r="J121" i="1"/>
  <c r="H121" i="1" s="1"/>
  <c r="I121" i="1"/>
  <c r="AW120" i="1"/>
  <c r="X120" i="1"/>
  <c r="Y120" i="1" s="1"/>
  <c r="W120" i="1"/>
  <c r="N120" i="1"/>
  <c r="M120" i="1"/>
  <c r="L120" i="1" a="1"/>
  <c r="L120" i="1" s="1"/>
  <c r="K120" i="1"/>
  <c r="J120" i="1"/>
  <c r="H120" i="1" s="1"/>
  <c r="I120" i="1"/>
  <c r="AW119" i="1"/>
  <c r="X119" i="1"/>
  <c r="Y119" i="1" s="1"/>
  <c r="W119" i="1"/>
  <c r="N119" i="1"/>
  <c r="M119" i="1"/>
  <c r="L119" i="1" a="1"/>
  <c r="L119" i="1" s="1"/>
  <c r="K119" i="1"/>
  <c r="J119" i="1"/>
  <c r="H119" i="1" s="1"/>
  <c r="I119" i="1"/>
  <c r="AW118" i="1"/>
  <c r="X118" i="1" s="1"/>
  <c r="Y118" i="1" s="1"/>
  <c r="W118" i="1"/>
  <c r="N118" i="1"/>
  <c r="M118" i="1"/>
  <c r="L118" i="1" a="1"/>
  <c r="L118" i="1" s="1"/>
  <c r="K118" i="1"/>
  <c r="J118" i="1"/>
  <c r="H118" i="1" s="1"/>
  <c r="I118" i="1"/>
  <c r="AW117" i="1"/>
  <c r="X117" i="1" s="1"/>
  <c r="Y117" i="1" s="1"/>
  <c r="W117" i="1"/>
  <c r="N117" i="1"/>
  <c r="M117" i="1"/>
  <c r="L117" i="1" a="1"/>
  <c r="L117" i="1" s="1"/>
  <c r="K117" i="1"/>
  <c r="J117" i="1"/>
  <c r="H117" i="1" s="1"/>
  <c r="I117" i="1"/>
  <c r="AW116" i="1"/>
  <c r="X116" i="1"/>
  <c r="Y116" i="1" s="1"/>
  <c r="W116" i="1"/>
  <c r="N116" i="1"/>
  <c r="M116" i="1"/>
  <c r="L116" i="1" a="1"/>
  <c r="L116" i="1" s="1"/>
  <c r="K116" i="1"/>
  <c r="J116" i="1"/>
  <c r="H116" i="1" s="1"/>
  <c r="I116" i="1"/>
  <c r="AW115" i="1"/>
  <c r="X115" i="1"/>
  <c r="Y115" i="1" s="1"/>
  <c r="W115" i="1"/>
  <c r="N115" i="1"/>
  <c r="M115" i="1"/>
  <c r="L115" i="1" a="1"/>
  <c r="L115" i="1" s="1"/>
  <c r="K115" i="1"/>
  <c r="J115" i="1"/>
  <c r="H115" i="1" s="1"/>
  <c r="I115" i="1"/>
  <c r="AW114" i="1"/>
  <c r="X114" i="1"/>
  <c r="Y114" i="1" s="1"/>
  <c r="W114" i="1"/>
  <c r="N114" i="1"/>
  <c r="M114" i="1"/>
  <c r="L114" i="1" a="1"/>
  <c r="L114" i="1" s="1"/>
  <c r="K114" i="1"/>
  <c r="J114" i="1"/>
  <c r="H114" i="1" s="1"/>
  <c r="I114" i="1"/>
  <c r="AW113" i="1"/>
  <c r="X113" i="1"/>
  <c r="Y113" i="1" s="1"/>
  <c r="W113" i="1"/>
  <c r="N113" i="1"/>
  <c r="M113" i="1"/>
  <c r="L113" i="1" a="1"/>
  <c r="L113" i="1" s="1"/>
  <c r="K113" i="1"/>
  <c r="J113" i="1"/>
  <c r="H113" i="1" s="1"/>
  <c r="I113" i="1"/>
  <c r="AW112" i="1"/>
  <c r="X112" i="1"/>
  <c r="Y112" i="1" s="1"/>
  <c r="W112" i="1"/>
  <c r="N112" i="1"/>
  <c r="M112" i="1"/>
  <c r="L112" i="1" a="1"/>
  <c r="L112" i="1" s="1"/>
  <c r="K112" i="1"/>
  <c r="J112" i="1"/>
  <c r="H112" i="1" s="1"/>
  <c r="I112" i="1"/>
  <c r="AW111" i="1"/>
  <c r="X111" i="1"/>
  <c r="Y111" i="1" s="1"/>
  <c r="W111" i="1"/>
  <c r="N111" i="1"/>
  <c r="M111" i="1"/>
  <c r="L111" i="1" a="1"/>
  <c r="L111" i="1" s="1"/>
  <c r="K111" i="1"/>
  <c r="J111" i="1"/>
  <c r="I111" i="1"/>
  <c r="H111" i="1"/>
  <c r="AW110" i="1"/>
  <c r="X110" i="1" s="1"/>
  <c r="Y110" i="1" s="1"/>
  <c r="W110" i="1"/>
  <c r="N110" i="1"/>
  <c r="M110" i="1"/>
  <c r="L110" i="1" a="1"/>
  <c r="L110" i="1" s="1"/>
  <c r="K110" i="1"/>
  <c r="J110" i="1"/>
  <c r="H110" i="1" s="1"/>
  <c r="I110" i="1"/>
  <c r="AW109" i="1"/>
  <c r="X109" i="1"/>
  <c r="Y109" i="1" s="1"/>
  <c r="W109" i="1"/>
  <c r="N109" i="1"/>
  <c r="M109" i="1"/>
  <c r="L109" i="1" a="1"/>
  <c r="L109" i="1" s="1"/>
  <c r="K109" i="1"/>
  <c r="J109" i="1"/>
  <c r="H109" i="1" s="1"/>
  <c r="I109" i="1"/>
  <c r="AW108" i="1"/>
  <c r="X108" i="1" s="1"/>
  <c r="Y108" i="1" s="1"/>
  <c r="W108" i="1"/>
  <c r="N108" i="1"/>
  <c r="M108" i="1"/>
  <c r="L108" i="1" a="1"/>
  <c r="L108" i="1" s="1"/>
  <c r="K108" i="1"/>
  <c r="J108" i="1"/>
  <c r="H108" i="1" s="1"/>
  <c r="I108" i="1"/>
  <c r="AW107" i="1"/>
  <c r="X107" i="1"/>
  <c r="Y107" i="1" s="1"/>
  <c r="W107" i="1"/>
  <c r="N107" i="1"/>
  <c r="M107" i="1"/>
  <c r="L107" i="1" a="1"/>
  <c r="L107" i="1" s="1"/>
  <c r="K107" i="1"/>
  <c r="J107" i="1"/>
  <c r="H107" i="1" s="1"/>
  <c r="I107" i="1"/>
  <c r="AW106" i="1"/>
  <c r="X106" i="1"/>
  <c r="Y106" i="1" s="1"/>
  <c r="W106" i="1"/>
  <c r="N106" i="1"/>
  <c r="M106" i="1"/>
  <c r="L106" i="1" a="1"/>
  <c r="L106" i="1" s="1"/>
  <c r="K106" i="1"/>
  <c r="J106" i="1"/>
  <c r="I106" i="1"/>
  <c r="H106" i="1"/>
  <c r="AW105" i="1"/>
  <c r="X105" i="1"/>
  <c r="Y105" i="1" s="1"/>
  <c r="W105" i="1"/>
  <c r="N105" i="1"/>
  <c r="M105" i="1"/>
  <c r="L105" i="1" a="1"/>
  <c r="L105" i="1" s="1"/>
  <c r="K105" i="1"/>
  <c r="J105" i="1"/>
  <c r="H105" i="1" s="1"/>
  <c r="I105" i="1"/>
  <c r="AW104" i="1"/>
  <c r="X104" i="1"/>
  <c r="Y104" i="1" s="1"/>
  <c r="W104" i="1"/>
  <c r="N104" i="1"/>
  <c r="M104" i="1"/>
  <c r="L104" i="1" a="1"/>
  <c r="L104" i="1" s="1"/>
  <c r="K104" i="1"/>
  <c r="J104" i="1"/>
  <c r="H104" i="1" s="1"/>
  <c r="I104" i="1"/>
  <c r="AW103" i="1"/>
  <c r="X103" i="1"/>
  <c r="Y103" i="1" s="1"/>
  <c r="W103" i="1"/>
  <c r="N103" i="1"/>
  <c r="M103" i="1"/>
  <c r="L103" i="1" a="1"/>
  <c r="L103" i="1" s="1"/>
  <c r="K103" i="1"/>
  <c r="J103" i="1"/>
  <c r="H103" i="1" s="1"/>
  <c r="I103" i="1"/>
  <c r="AW102" i="1"/>
  <c r="X102" i="1" s="1"/>
  <c r="Y102" i="1" s="1"/>
  <c r="W102" i="1"/>
  <c r="N102" i="1"/>
  <c r="M102" i="1"/>
  <c r="L102" i="1" a="1"/>
  <c r="L102" i="1" s="1"/>
  <c r="K102" i="1"/>
  <c r="J102" i="1"/>
  <c r="H102" i="1" s="1"/>
  <c r="I102" i="1"/>
  <c r="AW101" i="1"/>
  <c r="X101" i="1"/>
  <c r="Y101" i="1" s="1"/>
  <c r="W101" i="1"/>
  <c r="N101" i="1"/>
  <c r="M101" i="1"/>
  <c r="L101" i="1" a="1"/>
  <c r="L101" i="1" s="1"/>
  <c r="K101" i="1"/>
  <c r="J101" i="1"/>
  <c r="I101" i="1"/>
  <c r="H101" i="1"/>
  <c r="AW100" i="1"/>
  <c r="X100" i="1"/>
  <c r="Y100" i="1" s="1"/>
  <c r="W100" i="1"/>
  <c r="N100" i="1"/>
  <c r="M100" i="1"/>
  <c r="L100" i="1" a="1"/>
  <c r="L100" i="1" s="1"/>
  <c r="K100" i="1"/>
  <c r="J100" i="1"/>
  <c r="H100" i="1" s="1"/>
  <c r="I100" i="1"/>
  <c r="AW99" i="1"/>
  <c r="X99" i="1"/>
  <c r="Y99" i="1" s="1"/>
  <c r="W99" i="1"/>
  <c r="N99" i="1"/>
  <c r="M99" i="1"/>
  <c r="L99" i="1" a="1"/>
  <c r="L99" i="1" s="1"/>
  <c r="K99" i="1"/>
  <c r="J99" i="1"/>
  <c r="H99" i="1" s="1"/>
  <c r="I99" i="1"/>
  <c r="AW98" i="1"/>
  <c r="X98" i="1"/>
  <c r="Y98" i="1" s="1"/>
  <c r="W98" i="1"/>
  <c r="N98" i="1"/>
  <c r="M98" i="1"/>
  <c r="L98" i="1" a="1"/>
  <c r="L98" i="1" s="1"/>
  <c r="K98" i="1"/>
  <c r="J98" i="1"/>
  <c r="H98" i="1" s="1"/>
  <c r="I98" i="1"/>
  <c r="AW97" i="1"/>
  <c r="X97" i="1" s="1"/>
  <c r="Y97" i="1"/>
  <c r="W97" i="1"/>
  <c r="N97" i="1"/>
  <c r="M97" i="1"/>
  <c r="L97" i="1" a="1"/>
  <c r="L97" i="1" s="1"/>
  <c r="K97" i="1"/>
  <c r="J97" i="1"/>
  <c r="I97" i="1"/>
  <c r="H97" i="1"/>
  <c r="AW96" i="1"/>
  <c r="X96" i="1"/>
  <c r="Y96" i="1" s="1"/>
  <c r="W96" i="1"/>
  <c r="N96" i="1"/>
  <c r="M96" i="1"/>
  <c r="L96" i="1" a="1"/>
  <c r="L96" i="1" s="1"/>
  <c r="K96" i="1"/>
  <c r="J96" i="1"/>
  <c r="I96" i="1"/>
  <c r="H96" i="1"/>
  <c r="AW95" i="1"/>
  <c r="X95" i="1"/>
  <c r="Y95" i="1" s="1"/>
  <c r="W95" i="1"/>
  <c r="N95" i="1"/>
  <c r="M95" i="1"/>
  <c r="L95" i="1" a="1"/>
  <c r="L95" i="1" s="1"/>
  <c r="K95" i="1"/>
  <c r="J95" i="1"/>
  <c r="H95" i="1" s="1"/>
  <c r="I95" i="1"/>
  <c r="AW94" i="1"/>
  <c r="X94" i="1"/>
  <c r="Y94" i="1" s="1"/>
  <c r="W94" i="1"/>
  <c r="N94" i="1"/>
  <c r="M94" i="1"/>
  <c r="L94" i="1" a="1"/>
  <c r="L94" i="1" s="1"/>
  <c r="K94" i="1"/>
  <c r="J94" i="1"/>
  <c r="H94" i="1" s="1"/>
  <c r="I94" i="1"/>
  <c r="AW93" i="1"/>
  <c r="X93" i="1"/>
  <c r="Y93" i="1" s="1"/>
  <c r="W93" i="1"/>
  <c r="N93" i="1"/>
  <c r="M93" i="1"/>
  <c r="L93" i="1" a="1"/>
  <c r="L93" i="1" s="1"/>
  <c r="K93" i="1"/>
  <c r="J93" i="1"/>
  <c r="H93" i="1" s="1"/>
  <c r="I93" i="1"/>
  <c r="AW92" i="1"/>
  <c r="X92" i="1" s="1"/>
  <c r="Y92" i="1"/>
  <c r="W92" i="1"/>
  <c r="N92" i="1"/>
  <c r="M92" i="1"/>
  <c r="L92" i="1" a="1"/>
  <c r="L92" i="1" s="1"/>
  <c r="K92" i="1"/>
  <c r="J92" i="1"/>
  <c r="H92" i="1" s="1"/>
  <c r="I92" i="1"/>
  <c r="AW91" i="1"/>
  <c r="X91" i="1" s="1"/>
  <c r="Y91" i="1" s="1"/>
  <c r="W91" i="1"/>
  <c r="N91" i="1"/>
  <c r="M91" i="1"/>
  <c r="L91" i="1" a="1"/>
  <c r="L91" i="1" s="1"/>
  <c r="K91" i="1"/>
  <c r="J91" i="1"/>
  <c r="H91" i="1" s="1"/>
  <c r="I91" i="1"/>
  <c r="AW90" i="1"/>
  <c r="X90" i="1"/>
  <c r="Y90" i="1" s="1"/>
  <c r="W90" i="1"/>
  <c r="N90" i="1"/>
  <c r="M90" i="1"/>
  <c r="L90" i="1" a="1"/>
  <c r="L90" i="1" s="1"/>
  <c r="K90" i="1"/>
  <c r="J90" i="1"/>
  <c r="H90" i="1" s="1"/>
  <c r="I90" i="1"/>
  <c r="AW89" i="1"/>
  <c r="X89" i="1" s="1"/>
  <c r="Y89" i="1" s="1"/>
  <c r="W89" i="1"/>
  <c r="N89" i="1"/>
  <c r="M89" i="1"/>
  <c r="L89" i="1" a="1"/>
  <c r="L89" i="1" s="1"/>
  <c r="K89" i="1"/>
  <c r="J89" i="1"/>
  <c r="H89" i="1" s="1"/>
  <c r="I89" i="1"/>
  <c r="AW88" i="1"/>
  <c r="X88" i="1"/>
  <c r="Y88" i="1" s="1"/>
  <c r="W88" i="1"/>
  <c r="N88" i="1"/>
  <c r="M88" i="1"/>
  <c r="L88" i="1" a="1"/>
  <c r="L88" i="1" s="1"/>
  <c r="K88" i="1"/>
  <c r="J88" i="1"/>
  <c r="H88" i="1" s="1"/>
  <c r="I88" i="1"/>
  <c r="AW87" i="1"/>
  <c r="X87" i="1"/>
  <c r="Y87" i="1" s="1"/>
  <c r="W87" i="1"/>
  <c r="N87" i="1"/>
  <c r="M87" i="1"/>
  <c r="L87" i="1" a="1"/>
  <c r="L87" i="1" s="1"/>
  <c r="K87" i="1"/>
  <c r="J87" i="1"/>
  <c r="H87" i="1" s="1"/>
  <c r="I87" i="1"/>
  <c r="AW86" i="1"/>
  <c r="X86" i="1"/>
  <c r="Y86" i="1" s="1"/>
  <c r="W86" i="1"/>
  <c r="N86" i="1"/>
  <c r="M86" i="1"/>
  <c r="L86" i="1" a="1"/>
  <c r="L86" i="1" s="1"/>
  <c r="K86" i="1"/>
  <c r="J86" i="1"/>
  <c r="H86" i="1" s="1"/>
  <c r="I86" i="1"/>
  <c r="AW85" i="1"/>
  <c r="X85" i="1" s="1"/>
  <c r="Y85" i="1" s="1"/>
  <c r="W85" i="1"/>
  <c r="N85" i="1"/>
  <c r="M85" i="1"/>
  <c r="L85" i="1" a="1"/>
  <c r="L85" i="1" s="1"/>
  <c r="K85" i="1"/>
  <c r="J85" i="1"/>
  <c r="H85" i="1" s="1"/>
  <c r="I85" i="1"/>
  <c r="AW84" i="1"/>
  <c r="X84" i="1"/>
  <c r="Y84" i="1" s="1"/>
  <c r="W84" i="1"/>
  <c r="N84" i="1"/>
  <c r="M84" i="1"/>
  <c r="L84" i="1" a="1"/>
  <c r="L84" i="1" s="1"/>
  <c r="K84" i="1"/>
  <c r="J84" i="1"/>
  <c r="H84" i="1" s="1"/>
  <c r="I84" i="1"/>
  <c r="AW83" i="1"/>
  <c r="X83" i="1"/>
  <c r="Y83" i="1" s="1"/>
  <c r="W83" i="1"/>
  <c r="N83" i="1"/>
  <c r="M83" i="1"/>
  <c r="L83" i="1" a="1"/>
  <c r="L83" i="1" s="1"/>
  <c r="K83" i="1"/>
  <c r="J83" i="1"/>
  <c r="I83" i="1"/>
  <c r="H83" i="1"/>
  <c r="AW82" i="1"/>
  <c r="X82" i="1"/>
  <c r="Y82" i="1" s="1"/>
  <c r="W82" i="1"/>
  <c r="N82" i="1"/>
  <c r="M82" i="1"/>
  <c r="L82" i="1" a="1"/>
  <c r="L82" i="1" s="1"/>
  <c r="K82" i="1"/>
  <c r="J82" i="1"/>
  <c r="H82" i="1" s="1"/>
  <c r="I82" i="1"/>
  <c r="AW81" i="1"/>
  <c r="X81" i="1"/>
  <c r="Y81" i="1" s="1"/>
  <c r="W81" i="1"/>
  <c r="N81" i="1"/>
  <c r="M81" i="1"/>
  <c r="L81" i="1" a="1"/>
  <c r="L81" i="1" s="1"/>
  <c r="K81" i="1"/>
  <c r="J81" i="1"/>
  <c r="H81" i="1" s="1"/>
  <c r="I81" i="1"/>
  <c r="AW80" i="1"/>
  <c r="X80" i="1"/>
  <c r="Y80" i="1" s="1"/>
  <c r="W80" i="1"/>
  <c r="N80" i="1"/>
  <c r="M80" i="1"/>
  <c r="L80" i="1" a="1"/>
  <c r="L80" i="1" s="1"/>
  <c r="K80" i="1"/>
  <c r="J80" i="1"/>
  <c r="H80" i="1" s="1"/>
  <c r="I80" i="1"/>
  <c r="AW79" i="1"/>
  <c r="X79" i="1"/>
  <c r="Y79" i="1" s="1"/>
  <c r="W79" i="1"/>
  <c r="N79" i="1"/>
  <c r="M79" i="1"/>
  <c r="L79" i="1" a="1"/>
  <c r="L79" i="1" s="1"/>
  <c r="K79" i="1"/>
  <c r="J79" i="1"/>
  <c r="H79" i="1" s="1"/>
  <c r="I79" i="1"/>
  <c r="AW78" i="1"/>
  <c r="X78" i="1"/>
  <c r="Y78" i="1" s="1"/>
  <c r="W78" i="1"/>
  <c r="N78" i="1"/>
  <c r="M78" i="1"/>
  <c r="L78" i="1" a="1"/>
  <c r="L78" i="1" s="1"/>
  <c r="K78" i="1"/>
  <c r="J78" i="1"/>
  <c r="H78" i="1" s="1"/>
  <c r="I78" i="1"/>
  <c r="AW77" i="1"/>
  <c r="X77" i="1"/>
  <c r="Y77" i="1" s="1"/>
  <c r="W77" i="1"/>
  <c r="N77" i="1"/>
  <c r="M77" i="1"/>
  <c r="L77" i="1" a="1"/>
  <c r="L77" i="1" s="1"/>
  <c r="K77" i="1"/>
  <c r="J77" i="1"/>
  <c r="H77" i="1" s="1"/>
  <c r="I77" i="1"/>
  <c r="AW76" i="1"/>
  <c r="X76" i="1"/>
  <c r="Y76" i="1" s="1"/>
  <c r="W76" i="1"/>
  <c r="N76" i="1"/>
  <c r="M76" i="1"/>
  <c r="L76" i="1" a="1"/>
  <c r="L76" i="1" s="1"/>
  <c r="K76" i="1"/>
  <c r="J76" i="1"/>
  <c r="H76" i="1" s="1"/>
  <c r="I76" i="1"/>
  <c r="AW75" i="1"/>
  <c r="X75" i="1"/>
  <c r="Y75" i="1" s="1"/>
  <c r="W75" i="1"/>
  <c r="N75" i="1"/>
  <c r="M75" i="1"/>
  <c r="L75" i="1" a="1"/>
  <c r="L75" i="1" s="1"/>
  <c r="K75" i="1"/>
  <c r="J75" i="1"/>
  <c r="H75" i="1" s="1"/>
  <c r="I75" i="1"/>
  <c r="AW74" i="1"/>
  <c r="X74" i="1"/>
  <c r="Y74" i="1" s="1"/>
  <c r="W74" i="1"/>
  <c r="N74" i="1"/>
  <c r="M74" i="1"/>
  <c r="L74" i="1" a="1"/>
  <c r="L74" i="1" s="1"/>
  <c r="K74" i="1"/>
  <c r="J74" i="1"/>
  <c r="H74" i="1" s="1"/>
  <c r="I74" i="1"/>
  <c r="AW73" i="1"/>
  <c r="X73" i="1"/>
  <c r="Y73" i="1" s="1"/>
  <c r="W73" i="1"/>
  <c r="N73" i="1"/>
  <c r="M73" i="1"/>
  <c r="L73" i="1" a="1"/>
  <c r="L73" i="1" s="1"/>
  <c r="K73" i="1"/>
  <c r="J73" i="1"/>
  <c r="H73" i="1" s="1"/>
  <c r="I73" i="1"/>
  <c r="AW72" i="1"/>
  <c r="X72" i="1"/>
  <c r="Y72" i="1" s="1"/>
  <c r="W72" i="1"/>
  <c r="N72" i="1"/>
  <c r="M72" i="1"/>
  <c r="L72" i="1" a="1"/>
  <c r="L72" i="1" s="1"/>
  <c r="K72" i="1"/>
  <c r="J72" i="1"/>
  <c r="H72" i="1" s="1"/>
  <c r="I72" i="1"/>
  <c r="AW71" i="1"/>
  <c r="X71" i="1" s="1"/>
  <c r="Y71" i="1" s="1"/>
  <c r="W71" i="1"/>
  <c r="N71" i="1"/>
  <c r="M71" i="1"/>
  <c r="L71" i="1" a="1"/>
  <c r="L71" i="1" s="1"/>
  <c r="K71" i="1"/>
  <c r="J71" i="1"/>
  <c r="H71" i="1" s="1"/>
  <c r="I71" i="1"/>
  <c r="AW70" i="1"/>
  <c r="X70" i="1"/>
  <c r="Y70" i="1" s="1"/>
  <c r="W70" i="1"/>
  <c r="N70" i="1"/>
  <c r="M70" i="1"/>
  <c r="L70" i="1" a="1"/>
  <c r="L70" i="1" s="1"/>
  <c r="K70" i="1"/>
  <c r="J70" i="1"/>
  <c r="H70" i="1" s="1"/>
  <c r="I70" i="1"/>
  <c r="AW69" i="1"/>
  <c r="X69" i="1"/>
  <c r="Y69" i="1" s="1"/>
  <c r="W69" i="1"/>
  <c r="N69" i="1"/>
  <c r="M69" i="1"/>
  <c r="L69" i="1" a="1"/>
  <c r="L69" i="1" s="1"/>
  <c r="K69" i="1"/>
  <c r="J69" i="1"/>
  <c r="H69" i="1" s="1"/>
  <c r="I69" i="1"/>
  <c r="AW68" i="1"/>
  <c r="X68" i="1"/>
  <c r="Y68" i="1" s="1"/>
  <c r="W68" i="1"/>
  <c r="N68" i="1"/>
  <c r="M68" i="1"/>
  <c r="L68" i="1" a="1"/>
  <c r="L68" i="1" s="1"/>
  <c r="K68" i="1"/>
  <c r="J68" i="1"/>
  <c r="H68" i="1" s="1"/>
  <c r="I68" i="1"/>
  <c r="AW67" i="1"/>
  <c r="X67" i="1" s="1"/>
  <c r="Y67" i="1" s="1"/>
  <c r="W67" i="1"/>
  <c r="N67" i="1"/>
  <c r="M67" i="1"/>
  <c r="L67" i="1" a="1"/>
  <c r="L67" i="1" s="1"/>
  <c r="K67" i="1"/>
  <c r="J67" i="1"/>
  <c r="H67" i="1" s="1"/>
  <c r="I67" i="1"/>
  <c r="AW66" i="1"/>
  <c r="X66" i="1"/>
  <c r="Y66" i="1" s="1"/>
  <c r="W66" i="1"/>
  <c r="N66" i="1"/>
  <c r="M66" i="1"/>
  <c r="L66" i="1" a="1"/>
  <c r="L66" i="1" s="1"/>
  <c r="K66" i="1"/>
  <c r="J66" i="1"/>
  <c r="H66" i="1" s="1"/>
  <c r="I66" i="1"/>
  <c r="AW65" i="1"/>
  <c r="X65" i="1"/>
  <c r="Y65" i="1" s="1"/>
  <c r="W65" i="1"/>
  <c r="N65" i="1"/>
  <c r="M65" i="1"/>
  <c r="L65" i="1" a="1"/>
  <c r="L65" i="1" s="1"/>
  <c r="K65" i="1"/>
  <c r="J65" i="1"/>
  <c r="H65" i="1" s="1"/>
  <c r="I65" i="1"/>
  <c r="AW64" i="1"/>
  <c r="X64" i="1"/>
  <c r="Y64" i="1" s="1"/>
  <c r="W64" i="1"/>
  <c r="N64" i="1"/>
  <c r="M64" i="1"/>
  <c r="L64" i="1" a="1"/>
  <c r="L64" i="1" s="1"/>
  <c r="K64" i="1"/>
  <c r="J64" i="1"/>
  <c r="H64" i="1" s="1"/>
  <c r="I64" i="1"/>
  <c r="AW63" i="1"/>
  <c r="X63" i="1"/>
  <c r="Y63" i="1" s="1"/>
  <c r="W63" i="1"/>
  <c r="N63" i="1"/>
  <c r="M63" i="1"/>
  <c r="L63" i="1" a="1"/>
  <c r="L63" i="1" s="1"/>
  <c r="K63" i="1"/>
  <c r="J63" i="1"/>
  <c r="H63" i="1" s="1"/>
  <c r="I63" i="1"/>
  <c r="AW62" i="1"/>
  <c r="X62" i="1" s="1"/>
  <c r="Y62" i="1" s="1"/>
  <c r="W62" i="1"/>
  <c r="N62" i="1"/>
  <c r="M62" i="1"/>
  <c r="L62" i="1" a="1"/>
  <c r="L62" i="1" s="1"/>
  <c r="K62" i="1"/>
  <c r="J62" i="1"/>
  <c r="I62" i="1"/>
  <c r="H62" i="1"/>
  <c r="AW61" i="1"/>
  <c r="X61" i="1"/>
  <c r="Y61" i="1" s="1"/>
  <c r="W61" i="1"/>
  <c r="N61" i="1"/>
  <c r="M61" i="1"/>
  <c r="L61" i="1" a="1"/>
  <c r="L61" i="1" s="1"/>
  <c r="K61" i="1"/>
  <c r="J61" i="1"/>
  <c r="H61" i="1" s="1"/>
  <c r="I61" i="1"/>
  <c r="AW60" i="1"/>
  <c r="X60" i="1"/>
  <c r="Y60" i="1" s="1"/>
  <c r="W60" i="1"/>
  <c r="N60" i="1"/>
  <c r="M60" i="1"/>
  <c r="L60" i="1" a="1"/>
  <c r="L60" i="1" s="1"/>
  <c r="K60" i="1"/>
  <c r="J60" i="1"/>
  <c r="H60" i="1" s="1"/>
  <c r="I60" i="1"/>
  <c r="AW59" i="1"/>
  <c r="X59" i="1"/>
  <c r="Y59" i="1" s="1"/>
  <c r="W59" i="1"/>
  <c r="N59" i="1"/>
  <c r="M59" i="1"/>
  <c r="L59" i="1" a="1"/>
  <c r="L59" i="1" s="1"/>
  <c r="K59" i="1"/>
  <c r="J59" i="1"/>
  <c r="H59" i="1" s="1"/>
  <c r="I59" i="1"/>
  <c r="AW58" i="1"/>
  <c r="X58" i="1" s="1"/>
  <c r="Y58" i="1" s="1"/>
  <c r="W58" i="1"/>
  <c r="N58" i="1"/>
  <c r="M58" i="1"/>
  <c r="L58" i="1" a="1"/>
  <c r="L58" i="1" s="1"/>
  <c r="K58" i="1"/>
  <c r="J58" i="1"/>
  <c r="H58" i="1" s="1"/>
  <c r="I58" i="1"/>
  <c r="AW57" i="1"/>
  <c r="X57" i="1"/>
  <c r="Y57" i="1" s="1"/>
  <c r="W57" i="1"/>
  <c r="N57" i="1"/>
  <c r="M57" i="1"/>
  <c r="L57" i="1" a="1"/>
  <c r="L57" i="1" s="1"/>
  <c r="K57" i="1"/>
  <c r="J57" i="1"/>
  <c r="H57" i="1" s="1"/>
  <c r="I57" i="1"/>
  <c r="AW56" i="1"/>
  <c r="X56" i="1"/>
  <c r="Y56" i="1" s="1"/>
  <c r="W56" i="1"/>
  <c r="N56" i="1"/>
  <c r="M56" i="1"/>
  <c r="L56" i="1" a="1"/>
  <c r="L56" i="1" s="1"/>
  <c r="K56" i="1"/>
  <c r="J56" i="1"/>
  <c r="H56" i="1" s="1"/>
  <c r="I56" i="1"/>
  <c r="AW55" i="1"/>
  <c r="X55" i="1" s="1"/>
  <c r="Y55" i="1" s="1"/>
  <c r="W55" i="1"/>
  <c r="N55" i="1"/>
  <c r="M55" i="1"/>
  <c r="L55" i="1" a="1"/>
  <c r="L55" i="1" s="1"/>
  <c r="K55" i="1"/>
  <c r="J55" i="1"/>
  <c r="I55" i="1"/>
  <c r="H55" i="1"/>
  <c r="AW54" i="1"/>
  <c r="X54" i="1"/>
  <c r="Y54" i="1" s="1"/>
  <c r="W54" i="1"/>
  <c r="N54" i="1"/>
  <c r="M54" i="1"/>
  <c r="L54" i="1" a="1"/>
  <c r="L54" i="1" s="1"/>
  <c r="K54" i="1"/>
  <c r="J54" i="1"/>
  <c r="H54" i="1" s="1"/>
  <c r="I54" i="1"/>
  <c r="AW53" i="1"/>
  <c r="X53" i="1"/>
  <c r="Y53" i="1" s="1"/>
  <c r="W53" i="1"/>
  <c r="N53" i="1"/>
  <c r="M53" i="1"/>
  <c r="L53" i="1" a="1"/>
  <c r="L53" i="1" s="1"/>
  <c r="K53" i="1"/>
  <c r="J53" i="1"/>
  <c r="H53" i="1" s="1"/>
  <c r="I53" i="1"/>
  <c r="AW52" i="1"/>
  <c r="X52" i="1"/>
  <c r="Y52" i="1" s="1"/>
  <c r="W52" i="1"/>
  <c r="N52" i="1"/>
  <c r="M52" i="1"/>
  <c r="L52" i="1" a="1"/>
  <c r="L52" i="1" s="1"/>
  <c r="K52" i="1"/>
  <c r="J52" i="1"/>
  <c r="H52" i="1" s="1"/>
  <c r="I52" i="1"/>
  <c r="AW51" i="1"/>
  <c r="X51" i="1"/>
  <c r="Y51" i="1" s="1"/>
  <c r="W51" i="1"/>
  <c r="N51" i="1"/>
  <c r="M51" i="1"/>
  <c r="L51" i="1" a="1"/>
  <c r="L51" i="1" s="1"/>
  <c r="K51" i="1"/>
  <c r="J51" i="1"/>
  <c r="H51" i="1" s="1"/>
  <c r="I51" i="1"/>
  <c r="AW50" i="1"/>
  <c r="X50" i="1"/>
  <c r="Y50" i="1" s="1"/>
  <c r="W50" i="1"/>
  <c r="N50" i="1"/>
  <c r="M50" i="1"/>
  <c r="L50" i="1" a="1"/>
  <c r="L50" i="1" s="1"/>
  <c r="K50" i="1"/>
  <c r="J50" i="1"/>
  <c r="H50" i="1" s="1"/>
  <c r="I50" i="1"/>
  <c r="AW49" i="1"/>
  <c r="X49" i="1"/>
  <c r="Y49" i="1" s="1"/>
  <c r="W49" i="1"/>
  <c r="N49" i="1"/>
  <c r="M49" i="1"/>
  <c r="L49" i="1" a="1"/>
  <c r="L49" i="1" s="1"/>
  <c r="K49" i="1"/>
  <c r="J49" i="1"/>
  <c r="H49" i="1" s="1"/>
  <c r="I49" i="1"/>
  <c r="AW48" i="1"/>
  <c r="X48" i="1"/>
  <c r="Y48" i="1" s="1"/>
  <c r="W48" i="1"/>
  <c r="N48" i="1"/>
  <c r="M48" i="1"/>
  <c r="L48" i="1" a="1"/>
  <c r="L48" i="1" s="1"/>
  <c r="K48" i="1"/>
  <c r="J48" i="1"/>
  <c r="H48" i="1" s="1"/>
  <c r="I48" i="1"/>
  <c r="AW47" i="1"/>
  <c r="X47" i="1"/>
  <c r="Y47" i="1" s="1"/>
  <c r="W47" i="1"/>
  <c r="N47" i="1"/>
  <c r="M47" i="1"/>
  <c r="L47" i="1" a="1"/>
  <c r="L47" i="1" s="1"/>
  <c r="K47" i="1"/>
  <c r="J47" i="1"/>
  <c r="I47" i="1"/>
  <c r="H47" i="1"/>
  <c r="AW46" i="1"/>
  <c r="X46" i="1" s="1"/>
  <c r="Y46" i="1" s="1"/>
  <c r="W46" i="1"/>
  <c r="N46" i="1"/>
  <c r="M46" i="1"/>
  <c r="L46" i="1" a="1"/>
  <c r="L46" i="1" s="1"/>
  <c r="K46" i="1"/>
  <c r="J46" i="1"/>
  <c r="H46" i="1" s="1"/>
  <c r="I46" i="1"/>
  <c r="AW45" i="1"/>
  <c r="X45" i="1"/>
  <c r="Y45" i="1" s="1"/>
  <c r="W45" i="1"/>
  <c r="N45" i="1"/>
  <c r="M45" i="1"/>
  <c r="L45" i="1" a="1"/>
  <c r="L45" i="1" s="1"/>
  <c r="K45" i="1"/>
  <c r="J45" i="1"/>
  <c r="H45" i="1" s="1"/>
  <c r="I45" i="1"/>
  <c r="AW44" i="1"/>
  <c r="X44" i="1"/>
  <c r="Y44" i="1" s="1"/>
  <c r="W44" i="1"/>
  <c r="N44" i="1"/>
  <c r="M44" i="1"/>
  <c r="L44" i="1" a="1"/>
  <c r="L44" i="1" s="1"/>
  <c r="K44" i="1"/>
  <c r="J44" i="1"/>
  <c r="I44" i="1"/>
  <c r="H44" i="1"/>
  <c r="AW43" i="1"/>
  <c r="X43" i="1"/>
  <c r="Y43" i="1" s="1"/>
  <c r="W43" i="1"/>
  <c r="N43" i="1"/>
  <c r="M43" i="1"/>
  <c r="L43" i="1" a="1"/>
  <c r="L43" i="1" s="1"/>
  <c r="K43" i="1"/>
  <c r="J43" i="1"/>
  <c r="H43" i="1" s="1"/>
  <c r="I43" i="1"/>
  <c r="AW42" i="1"/>
  <c r="X42" i="1"/>
  <c r="Y42" i="1" s="1"/>
  <c r="W42" i="1"/>
  <c r="N42" i="1"/>
  <c r="M42" i="1"/>
  <c r="L42" i="1" a="1"/>
  <c r="L42" i="1" s="1"/>
  <c r="K42" i="1"/>
  <c r="J42" i="1"/>
  <c r="H42" i="1" s="1"/>
  <c r="I42" i="1"/>
  <c r="AW41" i="1"/>
  <c r="X41" i="1" s="1"/>
  <c r="Y41" i="1" s="1"/>
  <c r="W41" i="1"/>
  <c r="N41" i="1"/>
  <c r="M41" i="1"/>
  <c r="L41" i="1" a="1"/>
  <c r="L41" i="1" s="1"/>
  <c r="K41" i="1"/>
  <c r="J41" i="1"/>
  <c r="H41" i="1" s="1"/>
  <c r="I41" i="1"/>
  <c r="AW40" i="1"/>
  <c r="X40" i="1"/>
  <c r="Y40" i="1" s="1"/>
  <c r="W40" i="1"/>
  <c r="N40" i="1"/>
  <c r="M40" i="1"/>
  <c r="L40" i="1" a="1"/>
  <c r="L40" i="1" s="1"/>
  <c r="K40" i="1"/>
  <c r="J40" i="1"/>
  <c r="H40" i="1" s="1"/>
  <c r="I40" i="1"/>
  <c r="AW39" i="1"/>
  <c r="X39" i="1"/>
  <c r="Y39" i="1" s="1"/>
  <c r="W39" i="1"/>
  <c r="N39" i="1"/>
  <c r="M39" i="1"/>
  <c r="L39" i="1" a="1"/>
  <c r="L39" i="1" s="1"/>
  <c r="K39" i="1"/>
  <c r="J39" i="1"/>
  <c r="I39" i="1"/>
  <c r="H39" i="1"/>
  <c r="AW38" i="1"/>
  <c r="X38" i="1"/>
  <c r="Y38" i="1" s="1"/>
  <c r="W38" i="1"/>
  <c r="N38" i="1"/>
  <c r="M38" i="1"/>
  <c r="L38" i="1" a="1"/>
  <c r="L38" i="1" s="1"/>
  <c r="K38" i="1"/>
  <c r="J38" i="1"/>
  <c r="H38" i="1" s="1"/>
  <c r="I38" i="1"/>
  <c r="AW37" i="1"/>
  <c r="X37" i="1"/>
  <c r="Y37" i="1" s="1"/>
  <c r="W37" i="1"/>
  <c r="N37" i="1"/>
  <c r="M37" i="1"/>
  <c r="L37" i="1" a="1"/>
  <c r="L37" i="1" s="1"/>
  <c r="K37" i="1"/>
  <c r="J37" i="1"/>
  <c r="I37" i="1"/>
  <c r="H37" i="1"/>
  <c r="AW36" i="1"/>
  <c r="X36" i="1" s="1"/>
  <c r="Y36" i="1" s="1"/>
  <c r="W36" i="1"/>
  <c r="N36" i="1"/>
  <c r="M36" i="1"/>
  <c r="L36" i="1" a="1"/>
  <c r="L36" i="1" s="1"/>
  <c r="K36" i="1"/>
  <c r="J36" i="1"/>
  <c r="H36" i="1" s="1"/>
  <c r="I36" i="1"/>
  <c r="AW35" i="1"/>
  <c r="X35" i="1"/>
  <c r="Y35" i="1" s="1"/>
  <c r="W35" i="1"/>
  <c r="N35" i="1"/>
  <c r="M35" i="1"/>
  <c r="L35" i="1" a="1"/>
  <c r="L35" i="1" s="1"/>
  <c r="K35" i="1"/>
  <c r="J35" i="1"/>
  <c r="H35" i="1" s="1"/>
  <c r="I35" i="1"/>
  <c r="AW34" i="1"/>
  <c r="X34" i="1"/>
  <c r="Y34" i="1" s="1"/>
  <c r="W34" i="1"/>
  <c r="N34" i="1"/>
  <c r="M34" i="1"/>
  <c r="L34" i="1" a="1"/>
  <c r="L34" i="1" s="1"/>
  <c r="K34" i="1"/>
  <c r="J34" i="1"/>
  <c r="H34" i="1" s="1"/>
  <c r="I34" i="1"/>
  <c r="AW33" i="1"/>
  <c r="X33" i="1" s="1"/>
  <c r="Y33" i="1" s="1"/>
  <c r="W33" i="1"/>
  <c r="N33" i="1"/>
  <c r="M33" i="1"/>
  <c r="L33" i="1" a="1"/>
  <c r="L33" i="1" s="1"/>
  <c r="K33" i="1"/>
  <c r="J33" i="1"/>
  <c r="H33" i="1" s="1"/>
  <c r="I33" i="1"/>
  <c r="AW32" i="1"/>
  <c r="X32" i="1" s="1"/>
  <c r="Y32" i="1" s="1"/>
  <c r="W32" i="1"/>
  <c r="N32" i="1"/>
  <c r="M32" i="1"/>
  <c r="L32" i="1" a="1"/>
  <c r="L32" i="1" s="1"/>
  <c r="K32" i="1"/>
  <c r="J32" i="1"/>
  <c r="H32" i="1" s="1"/>
  <c r="I32" i="1"/>
  <c r="AW31" i="1"/>
  <c r="X31" i="1" s="1"/>
  <c r="Y31" i="1" s="1"/>
  <c r="W31" i="1"/>
  <c r="N31" i="1"/>
  <c r="M31" i="1"/>
  <c r="L31" i="1" a="1"/>
  <c r="L31" i="1" s="1"/>
  <c r="K31" i="1"/>
  <c r="J31" i="1"/>
  <c r="I31" i="1"/>
  <c r="H31" i="1"/>
  <c r="AW30" i="1"/>
  <c r="X30" i="1"/>
  <c r="Y30" i="1" s="1"/>
  <c r="W30" i="1"/>
  <c r="N30" i="1"/>
  <c r="M30" i="1"/>
  <c r="L30" i="1" a="1"/>
  <c r="L30" i="1" s="1"/>
  <c r="K30" i="1"/>
  <c r="J30" i="1"/>
  <c r="H30" i="1" s="1"/>
  <c r="I30" i="1"/>
  <c r="AW29" i="1"/>
  <c r="X29" i="1"/>
  <c r="Y29" i="1" s="1"/>
  <c r="W29" i="1"/>
  <c r="N29" i="1"/>
  <c r="M29" i="1"/>
  <c r="L29" i="1" a="1"/>
  <c r="L29" i="1" s="1"/>
  <c r="K29" i="1"/>
  <c r="J29" i="1"/>
  <c r="H29" i="1" s="1"/>
  <c r="I29" i="1"/>
  <c r="AW28" i="1"/>
  <c r="X28" i="1"/>
  <c r="Y28" i="1" s="1"/>
  <c r="W28" i="1"/>
  <c r="N28" i="1"/>
  <c r="M28" i="1"/>
  <c r="L28" i="1" a="1"/>
  <c r="L28" i="1" s="1"/>
  <c r="K28" i="1"/>
  <c r="J28" i="1"/>
  <c r="I28" i="1"/>
  <c r="H28" i="1"/>
  <c r="AW27" i="1"/>
  <c r="X27" i="1"/>
  <c r="Y27" i="1" s="1"/>
  <c r="W27" i="1"/>
  <c r="N27" i="1"/>
  <c r="M27" i="1"/>
  <c r="L27" i="1" a="1"/>
  <c r="L27" i="1" s="1"/>
  <c r="K27" i="1"/>
  <c r="J27" i="1"/>
  <c r="H27" i="1" s="1"/>
  <c r="I27" i="1"/>
  <c r="AW26" i="1"/>
  <c r="X26" i="1"/>
  <c r="Y26" i="1" s="1"/>
  <c r="W26" i="1"/>
  <c r="N26" i="1"/>
  <c r="M26" i="1"/>
  <c r="L26" i="1" a="1"/>
  <c r="L26" i="1" s="1"/>
  <c r="K26" i="1"/>
  <c r="J26" i="1"/>
  <c r="H26" i="1" s="1"/>
  <c r="I26" i="1"/>
  <c r="AW25" i="1"/>
  <c r="X25" i="1"/>
  <c r="Y25" i="1" s="1"/>
  <c r="W25" i="1"/>
  <c r="N25" i="1"/>
  <c r="M25" i="1"/>
  <c r="L25" i="1" a="1"/>
  <c r="L25" i="1" s="1"/>
  <c r="K25" i="1"/>
  <c r="J25" i="1"/>
  <c r="H25" i="1" s="1"/>
  <c r="I25" i="1"/>
  <c r="AW24" i="1"/>
  <c r="X24" i="1"/>
  <c r="Y24" i="1" s="1"/>
  <c r="W24" i="1"/>
  <c r="N24" i="1"/>
  <c r="M24" i="1"/>
  <c r="L24" i="1" a="1"/>
  <c r="L24" i="1" s="1"/>
  <c r="K24" i="1"/>
  <c r="J24" i="1"/>
  <c r="I24" i="1"/>
  <c r="H24" i="1"/>
  <c r="AW23" i="1"/>
  <c r="X23" i="1"/>
  <c r="Y23" i="1" s="1"/>
  <c r="W23" i="1"/>
  <c r="N23" i="1"/>
  <c r="M23" i="1"/>
  <c r="L23" i="1" a="1"/>
  <c r="L23" i="1" s="1"/>
  <c r="K23" i="1"/>
  <c r="J23" i="1"/>
  <c r="H23" i="1" s="1"/>
  <c r="I23" i="1"/>
  <c r="AW22" i="1"/>
  <c r="X22" i="1"/>
  <c r="Y22" i="1" s="1"/>
  <c r="W22" i="1"/>
  <c r="N22" i="1"/>
  <c r="M22" i="1"/>
  <c r="L22" i="1" a="1"/>
  <c r="L22" i="1" s="1"/>
  <c r="K22" i="1"/>
  <c r="J22" i="1"/>
  <c r="H22" i="1" s="1"/>
  <c r="I22" i="1"/>
  <c r="AW21" i="1"/>
  <c r="X21" i="1" s="1"/>
  <c r="Y21" i="1" s="1"/>
  <c r="W21" i="1"/>
  <c r="N21" i="1"/>
  <c r="M21" i="1"/>
  <c r="L21" i="1" a="1"/>
  <c r="L21" i="1" s="1"/>
  <c r="K21" i="1"/>
  <c r="J21" i="1"/>
  <c r="H21" i="1" s="1"/>
  <c r="I21" i="1"/>
  <c r="AW20" i="1"/>
  <c r="X20" i="1" s="1"/>
  <c r="Y20" i="1" s="1"/>
  <c r="W20" i="1"/>
  <c r="N20" i="1"/>
  <c r="M20" i="1"/>
  <c r="L20" i="1" a="1"/>
  <c r="L20" i="1" s="1"/>
  <c r="K20" i="1"/>
  <c r="J20" i="1"/>
  <c r="H20" i="1" s="1"/>
  <c r="I20" i="1"/>
  <c r="AW19" i="1"/>
  <c r="X19" i="1"/>
  <c r="Y19" i="1" s="1"/>
  <c r="W19" i="1"/>
  <c r="N19" i="1"/>
  <c r="M19" i="1"/>
  <c r="L19" i="1" a="1"/>
  <c r="L19" i="1" s="1"/>
  <c r="K19" i="1"/>
  <c r="J19" i="1"/>
  <c r="I19" i="1"/>
  <c r="H19" i="1"/>
  <c r="AW18" i="1"/>
  <c r="X18" i="1"/>
  <c r="Y18" i="1" s="1"/>
  <c r="W18" i="1"/>
  <c r="N18" i="1"/>
  <c r="M18" i="1"/>
  <c r="L18" i="1" a="1"/>
  <c r="L18" i="1" s="1"/>
  <c r="K18" i="1"/>
  <c r="J18" i="1"/>
  <c r="H18" i="1" s="1"/>
  <c r="I18" i="1"/>
  <c r="AW17" i="1"/>
  <c r="X17" i="1"/>
  <c r="Y17" i="1" s="1"/>
  <c r="W17" i="1"/>
  <c r="N17" i="1"/>
  <c r="M17" i="1"/>
  <c r="L17" i="1" a="1"/>
  <c r="L17" i="1" s="1"/>
  <c r="K17" i="1"/>
  <c r="J17" i="1"/>
  <c r="H17" i="1" s="1"/>
  <c r="I17" i="1"/>
  <c r="AW16" i="1"/>
  <c r="X16" i="1"/>
  <c r="Y16" i="1" s="1"/>
  <c r="W16" i="1"/>
  <c r="N16" i="1"/>
  <c r="M16" i="1"/>
  <c r="L16" i="1" a="1"/>
  <c r="L16" i="1" s="1"/>
  <c r="K16" i="1"/>
  <c r="J16" i="1"/>
  <c r="I16" i="1"/>
  <c r="H16" i="1"/>
  <c r="AW15" i="1"/>
  <c r="X15" i="1" s="1"/>
  <c r="Y15" i="1" s="1"/>
  <c r="W15" i="1"/>
  <c r="N15" i="1"/>
  <c r="M15" i="1"/>
  <c r="L15" i="1" a="1"/>
  <c r="L15" i="1" s="1"/>
  <c r="K15" i="1"/>
  <c r="J15" i="1"/>
  <c r="H15" i="1" s="1"/>
  <c r="I15" i="1"/>
  <c r="AW14" i="1"/>
  <c r="X14" i="1"/>
  <c r="Y14" i="1" s="1"/>
  <c r="W14" i="1"/>
  <c r="N14" i="1"/>
  <c r="M14" i="1"/>
  <c r="L14" i="1" a="1"/>
  <c r="L14" i="1" s="1"/>
  <c r="K14" i="1"/>
  <c r="J14" i="1"/>
  <c r="H14" i="1" s="1"/>
  <c r="I14" i="1"/>
  <c r="AW13" i="1"/>
  <c r="X13" i="1"/>
  <c r="Y13" i="1" s="1"/>
  <c r="W13" i="1"/>
  <c r="N13" i="1"/>
  <c r="M13" i="1"/>
  <c r="L13" i="1" a="1"/>
  <c r="L13" i="1" s="1"/>
  <c r="K13" i="1"/>
  <c r="J13" i="1"/>
  <c r="H13" i="1" s="1"/>
  <c r="I13" i="1"/>
  <c r="AW12" i="1"/>
  <c r="X12" i="1"/>
  <c r="Y12" i="1" s="1"/>
  <c r="W12" i="1"/>
  <c r="N12" i="1"/>
  <c r="M12" i="1"/>
  <c r="L12" i="1" a="1"/>
  <c r="L12" i="1" s="1"/>
  <c r="K12" i="1"/>
  <c r="J12" i="1"/>
  <c r="H12" i="1" s="1"/>
  <c r="I12" i="1"/>
  <c r="AW11" i="1"/>
  <c r="X11" i="1"/>
  <c r="Y11" i="1" s="1"/>
  <c r="W11" i="1"/>
  <c r="N11" i="1"/>
  <c r="M11" i="1"/>
  <c r="L11" i="1" a="1"/>
  <c r="L11" i="1" s="1"/>
  <c r="K11" i="1"/>
  <c r="J11" i="1"/>
  <c r="H11" i="1" s="1"/>
  <c r="I11" i="1"/>
  <c r="AW10" i="1"/>
  <c r="X10" i="1" s="1"/>
  <c r="Y10" i="1" s="1"/>
  <c r="W10" i="1"/>
  <c r="N10" i="1"/>
  <c r="M10" i="1"/>
  <c r="L10" i="1" a="1"/>
  <c r="L10" i="1" s="1"/>
  <c r="K10" i="1"/>
  <c r="J10" i="1"/>
  <c r="I10" i="1"/>
  <c r="H10" i="1"/>
  <c r="AW9" i="1"/>
  <c r="X9" i="1" s="1"/>
  <c r="Y9" i="1" s="1"/>
  <c r="W9" i="1"/>
  <c r="N9" i="1"/>
  <c r="M9" i="1"/>
  <c r="L9" i="1" a="1"/>
  <c r="L9" i="1" s="1"/>
  <c r="K9" i="1"/>
  <c r="J9" i="1"/>
  <c r="H9" i="1" s="1"/>
  <c r="I9" i="1"/>
  <c r="AW8" i="1"/>
  <c r="X8" i="1"/>
  <c r="Y8" i="1" s="1"/>
  <c r="W8" i="1"/>
  <c r="N8" i="1"/>
  <c r="M8" i="1"/>
  <c r="L8" i="1" a="1"/>
  <c r="L8" i="1" s="1"/>
  <c r="K8" i="1"/>
  <c r="J8" i="1"/>
  <c r="I8" i="1"/>
  <c r="H8" i="1"/>
  <c r="AW7" i="1"/>
  <c r="X7" i="1" s="1"/>
  <c r="Y7" i="1" s="1"/>
  <c r="W7" i="1"/>
  <c r="N7" i="1"/>
  <c r="M7" i="1"/>
  <c r="L7" i="1" a="1"/>
  <c r="L7" i="1" s="1"/>
  <c r="K7" i="1"/>
  <c r="J7" i="1"/>
  <c r="H7" i="1" s="1"/>
  <c r="I7" i="1"/>
  <c r="AW6" i="1"/>
  <c r="X6" i="1"/>
  <c r="Y6" i="1" s="1"/>
  <c r="W6" i="1"/>
  <c r="N6" i="1"/>
  <c r="M6" i="1"/>
  <c r="L6" i="1" a="1"/>
  <c r="L6" i="1" s="1"/>
  <c r="K6" i="1"/>
  <c r="J6" i="1"/>
  <c r="H6" i="1" s="1"/>
  <c r="I6" i="1"/>
  <c r="AW5" i="1"/>
  <c r="X5" i="1" s="1"/>
  <c r="Y5" i="1" s="1"/>
  <c r="W5" i="1"/>
  <c r="N5" i="1"/>
  <c r="M5" i="1"/>
  <c r="L5" i="1" a="1"/>
  <c r="L5" i="1" s="1"/>
  <c r="K5" i="1"/>
  <c r="J5" i="1"/>
  <c r="H5" i="1" s="1"/>
  <c r="I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X1121" i="1" l="1"/>
  <c r="Y1121" i="1" s="1"/>
  <c r="X1230" i="1"/>
  <c r="X1000" i="1"/>
  <c r="Y1000" i="1" s="1"/>
  <c r="X1045" i="1"/>
  <c r="Y1045" i="1" s="1"/>
  <c r="X994" i="1"/>
  <c r="X1250" i="1"/>
  <c r="X1004" i="1"/>
  <c r="Y1004" i="1" s="1"/>
  <c r="X1246" i="1"/>
  <c r="X1132" i="1"/>
  <c r="Y1132" i="1" s="1"/>
  <c r="X1128" i="1"/>
  <c r="Y1128" i="1" s="1"/>
  <c r="X1196" i="1"/>
  <c r="Y1196" i="1" s="1"/>
  <c r="X999" i="1"/>
  <c r="X1008" i="1"/>
  <c r="Y1008" i="1" s="1"/>
  <c r="X1171" i="1"/>
  <c r="Y1171" i="1" s="1"/>
  <c r="X1167" i="1"/>
  <c r="Y1167" i="1" s="1"/>
  <c r="X1021" i="1"/>
  <c r="Y1021" i="1" s="1"/>
  <c r="X1259" i="1"/>
  <c r="X1199" i="1"/>
  <c r="Y1199" i="1" s="1"/>
  <c r="X1146" i="1"/>
  <c r="Y1146" i="1" s="1"/>
  <c r="X1140" i="1"/>
  <c r="Y1140" i="1" s="1"/>
  <c r="X1073" i="1"/>
  <c r="Y1073" i="1" s="1"/>
  <c r="X1253" i="1"/>
  <c r="X1282" i="1"/>
  <c r="X1108" i="1"/>
  <c r="Y1108" i="1" s="1"/>
  <c r="X1036" i="1"/>
  <c r="Y1036" i="1" s="1"/>
  <c r="X1032" i="1"/>
  <c r="Y1032" i="1" s="1"/>
  <c r="X996" i="1"/>
  <c r="X1463" i="1"/>
  <c r="X995" i="1"/>
  <c r="X1052" i="1"/>
  <c r="Y1052" i="1" s="1"/>
  <c r="X1005" i="1"/>
  <c r="Y1005" i="1" s="1"/>
  <c r="X1190" i="1"/>
  <c r="Y1190" i="1" s="1"/>
  <c r="X1001" i="1"/>
  <c r="Y1001" i="1" s="1"/>
  <c r="X1324" i="1"/>
  <c r="X1310" i="1"/>
  <c r="X1097" i="1"/>
  <c r="Y1097" i="1" s="1"/>
  <c r="X1016" i="1"/>
  <c r="Y1016" i="1" s="1"/>
  <c r="X1029" i="1"/>
  <c r="Y1029" i="1" s="1"/>
  <c r="X1065" i="1"/>
  <c r="Y1065" i="1" s="1"/>
  <c r="X1223" i="1"/>
  <c r="X1333" i="1"/>
  <c r="X1002" i="1"/>
  <c r="Y1002" i="1" s="1"/>
  <c r="X1037" i="1"/>
  <c r="Y1037" i="1" s="1"/>
  <c r="X1081" i="1"/>
  <c r="Y1081" i="1" s="1"/>
  <c r="X1116" i="1"/>
  <c r="Y1116" i="1" s="1"/>
  <c r="X1399" i="1"/>
  <c r="X1060" i="1"/>
  <c r="Y1060" i="1" s="1"/>
  <c r="X1193" i="1"/>
  <c r="Y1193" i="1" s="1"/>
  <c r="X1195" i="1"/>
  <c r="Y1195" i="1" s="1"/>
  <c r="X1364" i="1"/>
  <c r="X1044" i="1"/>
  <c r="Y1044" i="1" s="1"/>
  <c r="X1203" i="1"/>
  <c r="X1215" i="1"/>
  <c r="X1076" i="1"/>
  <c r="Y1076" i="1" s="1"/>
  <c r="X1213" i="1"/>
  <c r="X1384" i="1"/>
  <c r="X1217" i="1"/>
  <c r="X1024" i="1"/>
  <c r="Y1024" i="1" s="1"/>
  <c r="X1165" i="1"/>
  <c r="Y1165" i="1" s="1"/>
  <c r="X1331" i="1"/>
  <c r="X1359" i="1"/>
  <c r="X1105" i="1"/>
  <c r="Y1105" i="1" s="1"/>
  <c r="X1168" i="1"/>
  <c r="Y1168" i="1" s="1"/>
  <c r="X1175" i="1"/>
  <c r="Y1175" i="1" s="1"/>
  <c r="X997" i="1"/>
  <c r="X1040" i="1"/>
  <c r="Y1040" i="1" s="1"/>
  <c r="X1017" i="1"/>
  <c r="Y1017" i="1" s="1"/>
  <c r="X1025" i="1"/>
  <c r="Y1025" i="1" s="1"/>
  <c r="X1143" i="1"/>
  <c r="Y1143" i="1" s="1"/>
  <c r="X1125" i="1"/>
  <c r="Y1125" i="1" s="1"/>
  <c r="X1096" i="1"/>
  <c r="Y1096" i="1" s="1"/>
  <c r="X1056" i="1"/>
  <c r="Y1056" i="1" s="1"/>
  <c r="X1041" i="1"/>
  <c r="Y1041" i="1" s="1"/>
  <c r="X1020" i="1"/>
  <c r="Y1020" i="1" s="1"/>
  <c r="X1237" i="1"/>
  <c r="X1205" i="1"/>
  <c r="X1179" i="1"/>
  <c r="Y1179" i="1" s="1"/>
  <c r="X1161" i="1"/>
  <c r="Y1161" i="1" s="1"/>
  <c r="X1150" i="1"/>
  <c r="Y1150" i="1" s="1"/>
  <c r="X1028" i="1"/>
  <c r="Y1028" i="1" s="1"/>
  <c r="X1013" i="1"/>
  <c r="Y1013" i="1" s="1"/>
  <c r="X998" i="1"/>
  <c r="X1329" i="1"/>
  <c r="X1287" i="1"/>
  <c r="X1210" i="1"/>
  <c r="X1084" i="1"/>
  <c r="Y1084" i="1" s="1"/>
  <c r="X1089" i="1"/>
  <c r="Y1089" i="1" s="1"/>
  <c r="X1135" i="1"/>
  <c r="Y1135" i="1" s="1"/>
  <c r="X1137" i="1"/>
  <c r="Y1137" i="1" s="1"/>
  <c r="X1373" i="1"/>
  <c r="X1181" i="1"/>
  <c r="Y1181" i="1" s="1"/>
  <c r="X1212" i="1"/>
  <c r="X1379" i="1"/>
  <c r="X1415" i="1"/>
  <c r="X1009" i="1"/>
  <c r="Y1009" i="1" s="1"/>
  <c r="X1077" i="1"/>
  <c r="Y1077" i="1" s="1"/>
  <c r="X1354" i="1"/>
  <c r="X1057" i="1"/>
  <c r="Y1057" i="1" s="1"/>
  <c r="X1100" i="1"/>
  <c r="Y1100" i="1" s="1"/>
  <c r="X1293" i="1"/>
  <c r="X1338" i="1"/>
  <c r="X1007" i="1"/>
  <c r="Y1007" i="1" s="1"/>
  <c r="X1006" i="1"/>
  <c r="Y1006" i="1" s="1"/>
  <c r="X1284" i="1"/>
  <c r="X1368" i="1"/>
  <c r="X1452" i="1"/>
  <c r="X1207" i="1"/>
  <c r="X1243" i="1"/>
  <c r="X1315" i="1"/>
  <c r="X1454" i="1"/>
  <c r="X1033" i="1"/>
  <c r="Y1033" i="1" s="1"/>
  <c r="X1048" i="1"/>
  <c r="Y1048" i="1" s="1"/>
  <c r="X1220" i="1"/>
  <c r="X1317" i="1"/>
  <c r="X1361" i="1"/>
  <c r="X1072" i="1"/>
  <c r="Y1072" i="1" s="1"/>
  <c r="X1088" i="1"/>
  <c r="Y1088" i="1" s="1"/>
  <c r="X1156" i="1"/>
  <c r="Y1156" i="1" s="1"/>
  <c r="X1465" i="1"/>
  <c r="X1449" i="1"/>
  <c r="X1433" i="1"/>
  <c r="X1417" i="1"/>
  <c r="X1401" i="1"/>
  <c r="X1385" i="1"/>
  <c r="X1369" i="1"/>
  <c r="X1353" i="1"/>
  <c r="X1337" i="1"/>
  <c r="X1321" i="1"/>
  <c r="X1305" i="1"/>
  <c r="X1289" i="1"/>
  <c r="X1273" i="1"/>
  <c r="X1257" i="1"/>
  <c r="X1241" i="1"/>
  <c r="X1225" i="1"/>
  <c r="X1209" i="1"/>
  <c r="X1462" i="1"/>
  <c r="X1446" i="1"/>
  <c r="X1430" i="1"/>
  <c r="X1414" i="1"/>
  <c r="X1398" i="1"/>
  <c r="X1382" i="1"/>
  <c r="X1366" i="1"/>
  <c r="X1350" i="1"/>
  <c r="X1334" i="1"/>
  <c r="X1318" i="1"/>
  <c r="X1302" i="1"/>
  <c r="X1286" i="1"/>
  <c r="X1270" i="1"/>
  <c r="X1254" i="1"/>
  <c r="X1238" i="1"/>
  <c r="X1222" i="1"/>
  <c r="X1206" i="1"/>
  <c r="X1459" i="1"/>
  <c r="X1443" i="1"/>
  <c r="X1427" i="1"/>
  <c r="X1411" i="1"/>
  <c r="X1456" i="1"/>
  <c r="X1440" i="1"/>
  <c r="X1424" i="1"/>
  <c r="X1408" i="1"/>
  <c r="X1392" i="1"/>
  <c r="X1376" i="1"/>
  <c r="X1360" i="1"/>
  <c r="X1344" i="1"/>
  <c r="X1328" i="1"/>
  <c r="X1312" i="1"/>
  <c r="X1296" i="1"/>
  <c r="X1280" i="1"/>
  <c r="X1264" i="1"/>
  <c r="X1248" i="1"/>
  <c r="X1464" i="1"/>
  <c r="X1461" i="1"/>
  <c r="X1453" i="1"/>
  <c r="X1450" i="1"/>
  <c r="X1340" i="1"/>
  <c r="X1303" i="1"/>
  <c r="X1300" i="1"/>
  <c r="X1297" i="1"/>
  <c r="X1283" i="1"/>
  <c r="X1229" i="1"/>
  <c r="X1202" i="1"/>
  <c r="X1191" i="1"/>
  <c r="Y1191" i="1" s="1"/>
  <c r="X1439" i="1"/>
  <c r="X1400" i="1"/>
  <c r="X1397" i="1"/>
  <c r="X1394" i="1"/>
  <c r="X1343" i="1"/>
  <c r="X1326" i="1"/>
  <c r="X1323" i="1"/>
  <c r="X1309" i="1"/>
  <c r="X1306" i="1"/>
  <c r="X1272" i="1"/>
  <c r="X1269" i="1"/>
  <c r="X1266" i="1"/>
  <c r="X1232" i="1"/>
  <c r="X1467" i="1"/>
  <c r="X1425" i="1"/>
  <c r="X1383" i="1"/>
  <c r="X1380" i="1"/>
  <c r="X1377" i="1"/>
  <c r="X1363" i="1"/>
  <c r="X1292" i="1"/>
  <c r="X1255" i="1"/>
  <c r="X1252" i="1"/>
  <c r="X1249" i="1"/>
  <c r="X1470" i="1"/>
  <c r="X1442" i="1"/>
  <c r="X1431" i="1"/>
  <c r="X1428" i="1"/>
  <c r="X1420" i="1"/>
  <c r="X1406" i="1"/>
  <c r="X1403" i="1"/>
  <c r="X1389" i="1"/>
  <c r="X1386" i="1"/>
  <c r="X1352" i="1"/>
  <c r="X1349" i="1"/>
  <c r="X1346" i="1"/>
  <c r="X1295" i="1"/>
  <c r="X1278" i="1"/>
  <c r="X1275" i="1"/>
  <c r="X1448" i="1"/>
  <c r="X1413" i="1"/>
  <c r="X1395" i="1"/>
  <c r="X1387" i="1"/>
  <c r="X1372" i="1"/>
  <c r="X1367" i="1"/>
  <c r="X1332" i="1"/>
  <c r="X1316" i="1"/>
  <c r="X1313" i="1"/>
  <c r="X1265" i="1"/>
  <c r="X1244" i="1"/>
  <c r="X1236" i="1"/>
  <c r="X1228" i="1"/>
  <c r="X1219" i="1"/>
  <c r="X1194" i="1"/>
  <c r="Y1194" i="1" s="1"/>
  <c r="X1180" i="1"/>
  <c r="Y1180" i="1" s="1"/>
  <c r="X1155" i="1"/>
  <c r="Y1155" i="1" s="1"/>
  <c r="X1148" i="1"/>
  <c r="Y1148" i="1" s="1"/>
  <c r="X1123" i="1"/>
  <c r="Y1123" i="1" s="1"/>
  <c r="X1119" i="1"/>
  <c r="Y1119" i="1" s="1"/>
  <c r="X1115" i="1"/>
  <c r="Y1115" i="1" s="1"/>
  <c r="X1111" i="1"/>
  <c r="Y1111" i="1" s="1"/>
  <c r="X1107" i="1"/>
  <c r="Y1107" i="1" s="1"/>
  <c r="X1103" i="1"/>
  <c r="Y1103" i="1" s="1"/>
  <c r="X1466" i="1"/>
  <c r="X1458" i="1"/>
  <c r="X1423" i="1"/>
  <c r="X1416" i="1"/>
  <c r="X1362" i="1"/>
  <c r="X1357" i="1"/>
  <c r="X1327" i="1"/>
  <c r="X1319" i="1"/>
  <c r="X1308" i="1"/>
  <c r="X1268" i="1"/>
  <c r="X1260" i="1"/>
  <c r="X1173" i="1"/>
  <c r="Y1173" i="1" s="1"/>
  <c r="X1166" i="1"/>
  <c r="Y1166" i="1" s="1"/>
  <c r="X1436" i="1"/>
  <c r="X1390" i="1"/>
  <c r="X1345" i="1"/>
  <c r="X1298" i="1"/>
  <c r="X1291" i="1"/>
  <c r="X1271" i="1"/>
  <c r="X1247" i="1"/>
  <c r="X1239" i="1"/>
  <c r="X1231" i="1"/>
  <c r="X1198" i="1"/>
  <c r="Y1198" i="1" s="1"/>
  <c r="X1184" i="1"/>
  <c r="Y1184" i="1" s="1"/>
  <c r="X1159" i="1"/>
  <c r="Y1159" i="1" s="1"/>
  <c r="X1152" i="1"/>
  <c r="Y1152" i="1" s="1"/>
  <c r="X1127" i="1"/>
  <c r="Y1127" i="1" s="1"/>
  <c r="X1469" i="1"/>
  <c r="X1441" i="1"/>
  <c r="X1421" i="1"/>
  <c r="X1365" i="1"/>
  <c r="X1335" i="1"/>
  <c r="X1322" i="1"/>
  <c r="X1311" i="1"/>
  <c r="X1276" i="1"/>
  <c r="X1263" i="1"/>
  <c r="X1188" i="1"/>
  <c r="Y1188" i="1" s="1"/>
  <c r="X1177" i="1"/>
  <c r="Y1177" i="1" s="1"/>
  <c r="X1170" i="1"/>
  <c r="Y1170" i="1" s="1"/>
  <c r="X1145" i="1"/>
  <c r="Y1145" i="1" s="1"/>
  <c r="X1375" i="1"/>
  <c r="X1370" i="1"/>
  <c r="X1330" i="1"/>
  <c r="X1325" i="1"/>
  <c r="X1234" i="1"/>
  <c r="X1214" i="1"/>
  <c r="X1211" i="1"/>
  <c r="X1435" i="1"/>
  <c r="X1404" i="1"/>
  <c r="X1348" i="1"/>
  <c r="X1301" i="1"/>
  <c r="X1285" i="1"/>
  <c r="X1242" i="1"/>
  <c r="X1186" i="1"/>
  <c r="Y1186" i="1" s="1"/>
  <c r="X1183" i="1"/>
  <c r="Y1183" i="1" s="1"/>
  <c r="X1163" i="1"/>
  <c r="Y1163" i="1" s="1"/>
  <c r="X1160" i="1"/>
  <c r="Y1160" i="1" s="1"/>
  <c r="X1142" i="1"/>
  <c r="Y1142" i="1" s="1"/>
  <c r="X1109" i="1"/>
  <c r="Y1109" i="1" s="1"/>
  <c r="X1102" i="1"/>
  <c r="Y1102" i="1" s="1"/>
  <c r="X1098" i="1"/>
  <c r="Y1098" i="1" s="1"/>
  <c r="X1094" i="1"/>
  <c r="Y1094" i="1" s="1"/>
  <c r="X1090" i="1"/>
  <c r="Y1090" i="1" s="1"/>
  <c r="X1086" i="1"/>
  <c r="Y1086" i="1" s="1"/>
  <c r="X1082" i="1"/>
  <c r="Y1082" i="1" s="1"/>
  <c r="X1078" i="1"/>
  <c r="Y1078" i="1" s="1"/>
  <c r="X1074" i="1"/>
  <c r="Y1074" i="1" s="1"/>
  <c r="X1070" i="1"/>
  <c r="Y1070" i="1" s="1"/>
  <c r="X1066" i="1"/>
  <c r="Y1066" i="1" s="1"/>
  <c r="X1062" i="1"/>
  <c r="Y1062" i="1" s="1"/>
  <c r="X1058" i="1"/>
  <c r="Y1058" i="1" s="1"/>
  <c r="X1054" i="1"/>
  <c r="Y1054" i="1" s="1"/>
  <c r="X1050" i="1"/>
  <c r="Y1050" i="1" s="1"/>
  <c r="X1046" i="1"/>
  <c r="Y1046" i="1" s="1"/>
  <c r="X1042" i="1"/>
  <c r="Y1042" i="1" s="1"/>
  <c r="X1038" i="1"/>
  <c r="Y1038" i="1" s="1"/>
  <c r="X1034" i="1"/>
  <c r="Y1034" i="1" s="1"/>
  <c r="X1030" i="1"/>
  <c r="Y1030" i="1" s="1"/>
  <c r="X1026" i="1"/>
  <c r="Y1026" i="1" s="1"/>
  <c r="X1022" i="1"/>
  <c r="Y1022" i="1" s="1"/>
  <c r="X1018" i="1"/>
  <c r="Y1018" i="1" s="1"/>
  <c r="X1014" i="1"/>
  <c r="Y1014" i="1" s="1"/>
  <c r="X1010" i="1"/>
  <c r="Y1010" i="1" s="1"/>
  <c r="X1444" i="1"/>
  <c r="X1402" i="1"/>
  <c r="X1290" i="1"/>
  <c r="X1233" i="1"/>
  <c r="X1226" i="1"/>
  <c r="X1216" i="1"/>
  <c r="X1201" i="1"/>
  <c r="X1189" i="1"/>
  <c r="Y1189" i="1" s="1"/>
  <c r="X1157" i="1"/>
  <c r="Y1157" i="1" s="1"/>
  <c r="X1154" i="1"/>
  <c r="Y1154" i="1" s="1"/>
  <c r="X1151" i="1"/>
  <c r="Y1151" i="1" s="1"/>
  <c r="X1136" i="1"/>
  <c r="Y1136" i="1" s="1"/>
  <c r="X1120" i="1"/>
  <c r="Y1120" i="1" s="1"/>
  <c r="X1468" i="1"/>
  <c r="X1451" i="1"/>
  <c r="X1419" i="1"/>
  <c r="X1409" i="1"/>
  <c r="X1388" i="1"/>
  <c r="X1378" i="1"/>
  <c r="X1371" i="1"/>
  <c r="X1342" i="1"/>
  <c r="X1320" i="1"/>
  <c r="X1262" i="1"/>
  <c r="X1245" i="1"/>
  <c r="X1139" i="1"/>
  <c r="Y1139" i="1" s="1"/>
  <c r="X1133" i="1"/>
  <c r="Y1133" i="1" s="1"/>
  <c r="X1130" i="1"/>
  <c r="Y1130" i="1" s="1"/>
  <c r="X1113" i="1"/>
  <c r="Y1113" i="1" s="1"/>
  <c r="X1106" i="1"/>
  <c r="Y1106" i="1" s="1"/>
  <c r="X993" i="1"/>
  <c r="X1438" i="1"/>
  <c r="X1355" i="1"/>
  <c r="X1299" i="1"/>
  <c r="X1288" i="1"/>
  <c r="X1274" i="1"/>
  <c r="X1240" i="1"/>
  <c r="X1221" i="1"/>
  <c r="X1172" i="1"/>
  <c r="Y1172" i="1" s="1"/>
  <c r="X1169" i="1"/>
  <c r="Y1169" i="1" s="1"/>
  <c r="X1124" i="1"/>
  <c r="Y1124" i="1" s="1"/>
  <c r="X1412" i="1"/>
  <c r="X1407" i="1"/>
  <c r="X1381" i="1"/>
  <c r="X1304" i="1"/>
  <c r="X1204" i="1"/>
  <c r="X1117" i="1"/>
  <c r="Y1117" i="1" s="1"/>
  <c r="X1110" i="1"/>
  <c r="Y1110" i="1" s="1"/>
  <c r="X1099" i="1"/>
  <c r="Y1099" i="1" s="1"/>
  <c r="X1095" i="1"/>
  <c r="Y1095" i="1" s="1"/>
  <c r="X1091" i="1"/>
  <c r="Y1091" i="1" s="1"/>
  <c r="X1087" i="1"/>
  <c r="Y1087" i="1" s="1"/>
  <c r="X1083" i="1"/>
  <c r="Y1083" i="1" s="1"/>
  <c r="X1079" i="1"/>
  <c r="Y1079" i="1" s="1"/>
  <c r="X1075" i="1"/>
  <c r="Y1075" i="1" s="1"/>
  <c r="X1071" i="1"/>
  <c r="Y1071" i="1" s="1"/>
  <c r="X1067" i="1"/>
  <c r="Y1067" i="1" s="1"/>
  <c r="X1063" i="1"/>
  <c r="Y1063" i="1" s="1"/>
  <c r="X1059" i="1"/>
  <c r="Y1059" i="1" s="1"/>
  <c r="X1055" i="1"/>
  <c r="Y1055" i="1" s="1"/>
  <c r="X1051" i="1"/>
  <c r="Y1051" i="1" s="1"/>
  <c r="X1047" i="1"/>
  <c r="Y1047" i="1" s="1"/>
  <c r="X1043" i="1"/>
  <c r="Y1043" i="1" s="1"/>
  <c r="X1039" i="1"/>
  <c r="Y1039" i="1" s="1"/>
  <c r="X1035" i="1"/>
  <c r="Y1035" i="1" s="1"/>
  <c r="X1031" i="1"/>
  <c r="Y1031" i="1" s="1"/>
  <c r="X1027" i="1"/>
  <c r="Y1027" i="1" s="1"/>
  <c r="X1023" i="1"/>
  <c r="Y1023" i="1" s="1"/>
  <c r="X1019" i="1"/>
  <c r="Y1019" i="1" s="1"/>
  <c r="X1015" i="1"/>
  <c r="Y1015" i="1" s="1"/>
  <c r="X1011" i="1"/>
  <c r="Y1011" i="1" s="1"/>
  <c r="X1426" i="1"/>
  <c r="X1336" i="1"/>
  <c r="X1267" i="1"/>
  <c r="X1258" i="1"/>
  <c r="X1251" i="1"/>
  <c r="X1187" i="1"/>
  <c r="Y1187" i="1" s="1"/>
  <c r="X1131" i="1"/>
  <c r="Y1131" i="1" s="1"/>
  <c r="X1080" i="1"/>
  <c r="Y1080" i="1" s="1"/>
  <c r="X1068" i="1"/>
  <c r="Y1068" i="1" s="1"/>
  <c r="X1053" i="1"/>
  <c r="Y1053" i="1" s="1"/>
  <c r="X1457" i="1"/>
  <c r="X1393" i="1"/>
  <c r="X1358" i="1"/>
  <c r="X1351" i="1"/>
  <c r="X1341" i="1"/>
  <c r="X1294" i="1"/>
  <c r="X1227" i="1"/>
  <c r="X1218" i="1"/>
  <c r="X1174" i="1"/>
  <c r="Y1174" i="1" s="1"/>
  <c r="X1164" i="1"/>
  <c r="Y1164" i="1" s="1"/>
  <c r="X1141" i="1"/>
  <c r="Y1141" i="1" s="1"/>
  <c r="X1126" i="1"/>
  <c r="Y1126" i="1" s="1"/>
  <c r="X1347" i="1"/>
  <c r="X1307" i="1"/>
  <c r="X1261" i="1"/>
  <c r="X1256" i="1"/>
  <c r="X1149" i="1"/>
  <c r="Y1149" i="1" s="1"/>
  <c r="X1144" i="1"/>
  <c r="Y1144" i="1" s="1"/>
  <c r="X1134" i="1"/>
  <c r="Y1134" i="1" s="1"/>
  <c r="X1112" i="1"/>
  <c r="Y1112" i="1" s="1"/>
  <c r="X1092" i="1"/>
  <c r="Y1092" i="1" s="1"/>
  <c r="X1455" i="1"/>
  <c r="X1422" i="1"/>
  <c r="X1405" i="1"/>
  <c r="X1391" i="1"/>
  <c r="X1460" i="1"/>
  <c r="X1434" i="1"/>
  <c r="X1429" i="1"/>
  <c r="X1418" i="1"/>
  <c r="X1396" i="1"/>
  <c r="X1356" i="1"/>
  <c r="X1314" i="1"/>
  <c r="X1281" i="1"/>
  <c r="X1197" i="1"/>
  <c r="Y1197" i="1" s="1"/>
  <c r="X1192" i="1"/>
  <c r="Y1192" i="1" s="1"/>
  <c r="X1182" i="1"/>
  <c r="Y1182" i="1" s="1"/>
  <c r="X1129" i="1"/>
  <c r="Y1129" i="1" s="1"/>
  <c r="X1118" i="1"/>
  <c r="Y1118" i="1" s="1"/>
  <c r="X1104" i="1"/>
  <c r="Y1104" i="1" s="1"/>
  <c r="X1069" i="1"/>
  <c r="Y1069" i="1" s="1"/>
  <c r="X1003" i="1"/>
  <c r="Y1003" i="1" s="1"/>
  <c r="X1374" i="1"/>
  <c r="X1339" i="1"/>
  <c r="X1185" i="1"/>
  <c r="Y1185" i="1" s="1"/>
  <c r="X1162" i="1"/>
  <c r="Y1162" i="1" s="1"/>
  <c r="X1432" i="1"/>
  <c r="X1410" i="1"/>
  <c r="X1235" i="1"/>
  <c r="X1208" i="1"/>
  <c r="X1178" i="1"/>
  <c r="Y1178" i="1" s="1"/>
  <c r="X1153" i="1"/>
  <c r="Y1153" i="1" s="1"/>
  <c r="X1122" i="1"/>
  <c r="Y1122" i="1" s="1"/>
  <c r="X1085" i="1"/>
  <c r="Y1085" i="1" s="1"/>
  <c r="X1064" i="1"/>
  <c r="Y1064" i="1" s="1"/>
  <c r="X1049" i="1"/>
  <c r="Y1049" i="1" s="1"/>
  <c r="X1012" i="1"/>
  <c r="Y1012" i="1" s="1"/>
  <c r="X1158" i="1"/>
  <c r="Y1158" i="1" s="1"/>
  <c r="X1176" i="1"/>
  <c r="Y1176" i="1" s="1"/>
  <c r="X1200" i="1"/>
  <c r="Y1200" i="1" s="1"/>
  <c r="X1279" i="1"/>
  <c r="X1447" i="1"/>
  <c r="X1061" i="1"/>
  <c r="Y1061" i="1" s="1"/>
  <c r="X1093" i="1"/>
  <c r="Y1093" i="1" s="1"/>
  <c r="X1101" i="1"/>
  <c r="Y1101" i="1" s="1"/>
  <c r="X1114" i="1"/>
  <c r="Y1114" i="1" s="1"/>
  <c r="X1138" i="1"/>
  <c r="Y1138" i="1" s="1"/>
  <c r="X1147" i="1"/>
  <c r="Y1147" i="1" s="1"/>
  <c r="X1224" i="1"/>
  <c r="X1277" i="1"/>
  <c r="X1437" i="1"/>
  <c r="X14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<sst xmlns="http://schemas.openxmlformats.org/spreadsheetml/2006/main" count="10708" uniqueCount="1251">
  <si>
    <t>ลงข้อมูลในส่วนที่เป็นสีขาวเท่านั้น</t>
  </si>
  <si>
    <t>บันทึกการหยุดของเครื่องจักร</t>
  </si>
  <si>
    <t>SCAN GREEN TAG</t>
  </si>
  <si>
    <t>NO</t>
  </si>
  <si>
    <t>DATE</t>
  </si>
  <si>
    <t>SHIFT</t>
  </si>
  <si>
    <t>DAY or Night</t>
  </si>
  <si>
    <t>Spec   Cut Length</t>
  </si>
  <si>
    <t>M/C</t>
  </si>
  <si>
    <t>CUSTOMER</t>
  </si>
  <si>
    <t>PART NAME</t>
  </si>
  <si>
    <t>PART NO.</t>
  </si>
  <si>
    <t>ORDER NO.</t>
  </si>
  <si>
    <t>CHARGE NO.</t>
  </si>
  <si>
    <t>BATCH NO.</t>
  </si>
  <si>
    <t>LOT NO.</t>
  </si>
  <si>
    <t>Q'TY (pcs) IN PUT</t>
  </si>
  <si>
    <t>WEIGHT (Kg) IN PUT</t>
  </si>
  <si>
    <t>Q'TY (pcs) OUT PUT OK</t>
  </si>
  <si>
    <t>WEIGHT (Kg) OUT PUT OK</t>
  </si>
  <si>
    <t>NG (Pcs)</t>
  </si>
  <si>
    <t xml:space="preserve">NG MODE </t>
  </si>
  <si>
    <t>Scrap(Kg.)</t>
  </si>
  <si>
    <t>Chip(Kg.)</t>
  </si>
  <si>
    <t>Total</t>
  </si>
  <si>
    <t>Working
Time</t>
  </si>
  <si>
    <t>รวมเวลาพักเบรค</t>
  </si>
  <si>
    <t>สาเหตู</t>
  </si>
  <si>
    <t>พักเบรค</t>
  </si>
  <si>
    <t>STOP TIME</t>
  </si>
  <si>
    <t>Worker Name</t>
  </si>
  <si>
    <t>PD25121000|MB0028|S25C Dia 40.00x5500 mm.|ZZ2B7401TX1|FLANGE-13 SLUG|1,955.00|KGS|36.00|PCS|TSK-PRD3|2B2503454|2-73052|JFE-SC|JFE Steel Corporation|23P1235774</t>
  </si>
  <si>
    <t>A</t>
  </si>
  <si>
    <t>DAY</t>
  </si>
  <si>
    <t>SC17</t>
  </si>
  <si>
    <t>-</t>
  </si>
  <si>
    <t>No Worker</t>
  </si>
  <si>
    <t>NO OT</t>
  </si>
  <si>
    <t>LAKKANA</t>
  </si>
  <si>
    <t>PD25121000|MB0028|S25C Dia 40.00x5500 mm.|ZZ2B7401TX1|FLANGE-13 SLUG|1,955.00|KGS|36.00|PCS|TSK-PRD3|2B2503453|2-73052|JFE-SC|JFE Steel Corporation|23P1235773</t>
  </si>
  <si>
    <t>PD25121289|SB0001|NSC_SCM415_22.78_6000|TG028986-0030|Barrel|980.00|KGS|50.00|PCS|TSK-PRD3|SB120087/2/25|E586056|||23P1245418</t>
  </si>
  <si>
    <t>SC18</t>
  </si>
  <si>
    <t>PD25121289|SB0001|NSC_SCM415_22.78_6000|TG028986-0030|Barrel|1,034.00|KGS|53.00|PCS|TSK-PRD3|SB120087/1/25|E586056|||23P1245417</t>
  </si>
  <si>
    <t>PD25121321|SB0400|JFE_SCM435H_12.2_5200|8306T0036|PIN|1,068.00|KGS|223.00|PCS|TSK-PRD3|SB120110/1/25|665573|||23P1246731</t>
  </si>
  <si>
    <t>SC19</t>
  </si>
  <si>
    <t>PD25121244|SB0516|KOBE_S45CS1-RP-QT_32.2_5500|JGF02-002190-31-2|RACK BAR BLANK|963.00|KGS|27.00|PCS|TSK-PRD3|SB120173/5/25|5A5658|KOBE|KOBE|23P1243682</t>
  </si>
  <si>
    <t>SC24</t>
  </si>
  <si>
    <t>MEETING,CLEANING</t>
  </si>
  <si>
    <t>SURIYA K.</t>
  </si>
  <si>
    <t>PD25121244|SB0516|KOBE_S45CS1-RP-QT_32.2_5500|JGF02-002190-31-2|RACK BAR BLANK|963.00|KGS|27.00|PCS|TSK-PRD3|SB120173/6/25|5A5658|KOBE|KOBE|23P1243683</t>
  </si>
  <si>
    <t>PD25121245|SB0516|KOBE_S45CS1-RP-QT_32.2_5500|JGF02-002190-31-2|RACK BAR BLANK|963.00|KGS|27.00|PCS|TSK-PRD3|SB120174/1/25|5A5913|KOBE|KOBE|23P1243684</t>
  </si>
  <si>
    <t>PD25121245|SB0516|KOBE_S45CS1-RP-QT_32.2_5500|JGF02-002190-31-2|RACK BAR BLANK|963.00|KGS|27.00|PCS|TSK-PRD3|SB120174/2/25|5A5913|KOBE|KOBE|23P1243685</t>
  </si>
  <si>
    <t>PD25121245|SB0516|KOBE_S45CS1-RP-QT_32.2_5500|JGF02-002190-31-2|RACK BAR BLANK|963.00|KGS|27.00|PCS|TSK-PRD3|SB120174/3/25|5A5913|KOBE|KOBE|23P1243686</t>
  </si>
  <si>
    <t>PD25121271|SB0482|JFE_S45CS1-QDS_32.25_3000|JGD10-000751/000761-A|RACK BAR|986.00|KGS|51.00|pcs|TSK-PRD3|SB120180/3/25|665077|JFE-SC|JFE Steel Corporation|23P1245301</t>
  </si>
  <si>
    <t>SC23</t>
  </si>
  <si>
    <t>PM เครื่องจักร</t>
  </si>
  <si>
    <t>SURIYA  H.</t>
  </si>
  <si>
    <t>PD25121271|SB0482|JFE_S45CS1-QDS_32.25_3000|JGD10-000751/000761-A|RACK BAR|986.00|KGS|51.00|pcs|TSK-PRD3|SB120180/2/25|665077|JFE-SC|JFE Steel Corporation|23P1245300</t>
  </si>
  <si>
    <t>PD25121271|SB0482|JFE_S45CS1-QDS_32.25_3000|JGD10-000751/000761-A|RACK BAR|986.00|KGS|51.00|pcs|TSK-PRD3|SB120180/1/25|665077|JFE-SC|JFE Steel Corporation|23P1245299</t>
  </si>
  <si>
    <t>PD25121274|SB0482|JFE_S45CS1-QDS_32.25_3000|JGD10-000751/000761-A|RACK BAR|990.00|KGS|51.00|pcs|TSK-PRD3|SB120183/4/25|665077|JFE-SC|JFE Steel Corporation|23P1245314</t>
  </si>
  <si>
    <t>PD25121274|SB0482|JFE_S45CS1-QDS_32.25_3000|JGD10-000751/000761-A|RACK BAR|990.00|KGS|51.00|pcs|TSK-PRD3|SB120183/3/25|665077|JFE-SC|JFE Steel Corporation|23P1245313</t>
  </si>
  <si>
    <t>PD25121165|SB0187|NSC_S48C_15.20_4000|TG028993-557B|SHAFT STARTER ARMATURE, 1W|205.00|KGS|35.00|PCS|TSK-PRD3|SB110189/8/25|E586473|||23P1242075</t>
  </si>
  <si>
    <t>M069</t>
  </si>
  <si>
    <t>เปลี่ยนinsert</t>
  </si>
  <si>
    <t>THIDARAT</t>
  </si>
  <si>
    <t>PD25121170|SB0139|NSC_S45CS1-QDS_32.25_5540|JGD10S00670-B|RACK, PS|1,174.00|KGS|33.00|PCS|TSK-PRD3|SB120167/1/25|E586446|||23P1242090</t>
  </si>
  <si>
    <t>SC22</t>
  </si>
  <si>
    <t>SETUP(เปลี่ยนงาน)</t>
  </si>
  <si>
    <t>THEERAWAT</t>
  </si>
  <si>
    <t>PD25121170|SB0139|NSC_S45CS1-QDS_32.25_5540|JGD10S00670-B|RACK, PS|890.00|KGS|25.00|PCS|TSK-PRD3|SB120167/2/25|E586446|||23P1242091</t>
  </si>
  <si>
    <t>PD25121171|SB0139|NSC_S45CS1-QDS_32.25_5540|JGD10S00670-B|RACK, PS|890.00|KGS|25.00|PCS|TSK-PRD3|SB120167/4/25|E586446|||23P1242095</t>
  </si>
  <si>
    <t>PD25121171|SB0139|NSC_S45CS1-QDS_32.25_5540|JGD10S00670-B|RACK, PS|890.00|KGS|25.00|PCS|TSK-PRD3|SB120167/3/25|E586446|||23P1242094</t>
  </si>
  <si>
    <t>PD25121171|SB0139|NSC_S45CS1-QDS_32.25_5540|JGD10S00670-B|RACK, PS|890.00|KGS|25.00|PCS|TSK-PRD3|SB120167/5/25|E586446|||23P1242096</t>
  </si>
  <si>
    <t>PD25121129|SB0135|NSC_S45CS1-QDS_26.0_3460|JGC10-003140-40-0|RACK, MS|710.00|KGS|49.00|PCS|TSK-PRD3|SB120156/4/25|E586613|||23P1240176</t>
  </si>
  <si>
    <t>PD25121127|SB0130|NSC_S45CS1-QDS_24.0_3170|JGC10-001180-S|RACK, MS|902.00|KGS|80.00|PCS|TSK-PRD3|SB120146/4/25|E585970|||23P1240169</t>
  </si>
  <si>
    <t>SC21</t>
  </si>
  <si>
    <t>WAIT RAW MATERIAL</t>
  </si>
  <si>
    <t>ทิวา</t>
  </si>
  <si>
    <t>PD25121127|SB0130|NSC_S45CS1-QDS_24.0_3170|JGC10-001180-S|RACK, MS|902.00|KGS|80.00|PCS|TSK-PRD3|SB120146/5/25|E585970|||23P1240170</t>
  </si>
  <si>
    <t>PD25121127|SB0130|NSC_S45CS1-QDS_24.0_3170|JGC10-001180-S|RACK, MS|902.00|KGS|80.00|PCS|TSK-PRD3|SB120146/6/25|E585970|||23P1240171</t>
  </si>
  <si>
    <t>B</t>
  </si>
  <si>
    <t>NIGHT</t>
  </si>
  <si>
    <t>เปลี่ยนใบเลื่อย</t>
  </si>
  <si>
    <t>ปริญญ</t>
  </si>
  <si>
    <t>PD25121304|SB0130|NSC_S45CS1-QDS_24.0_3170|JGC10-003770-40-0|Rack, MS|902.00|KGS|80.00|PCS|TSK-PRD3|SB120187/4/25|E585970|||23P1246465</t>
  </si>
  <si>
    <t>SC20</t>
  </si>
  <si>
    <t>อัศนี</t>
  </si>
  <si>
    <t>PD25121304|SB0130|NSC_S45CS1-QDS_24.0_3170|JGC10-003770-40-0|Rack, MS|902.00|KGS|80.00|PCS|TSK-PRD3|SB120187/5/25|E585970|||23P1246466</t>
  </si>
  <si>
    <t>PD25121304|SB0130|NSC_S45CS1-QDS_24.0_3170|JGC10-003770-40-0|Rack, MS|902.00|KGS|80.00|PCS|TSK-PRD3|SB120187/6/25|E585970|||23P1246473</t>
  </si>
  <si>
    <t>PD25121276|SB0482|JFE_S45CS1-QDS_32.25_3000|JGD10-000751/000761-A|RACK BAR|986.00|KGS|51.00|pcs|TSK-PRD3|SB120175/3/25|665077|JFE-SC|JFE Steel Corporation|23P1245331</t>
  </si>
  <si>
    <t>NO-MAN</t>
  </si>
  <si>
    <t>ARTRON</t>
  </si>
  <si>
    <t>PD25121276|SB0482|JFE_S45CS1-QDS_32.25_3000|JGD10-000751/000761-A|RACK BAR|986.00|KGS|51.00|pcs|TSK-PRD3|SB120175/2/25|665077|JFE-SC|JFE Steel Corporation|23P1245330</t>
  </si>
  <si>
    <t>PD25121276|SB0482|JFE_S45CS1-QDS_32.25_3000|JGD10-000751/000761-A|RACK BAR|986.00|KGS|51.00|pcs|TSK-PRD3|SB120175/1/25|665077|JFE-SC|JFE Steel Corporation|23P1245329</t>
  </si>
  <si>
    <t>PD25121273|SB0482|JFE_S45CS1-QDS_32.25_3000|JGD10-000751/000761-A|RACK BAR|990.00|KGS|51.00|pcs|TSK-PRD3|SB120183/2/25|665077|JFE-SC|JFE Steel Corporation|23P1245312</t>
  </si>
  <si>
    <t>PD25121273|SB0482|JFE_S45CS1-QDS_32.25_3000|JGD10-000751/000761-A|RACK BAR|990.00|KGS|51.00|pcs|TSK-PRD3|SB120183/1/25|665077|JFE-SC|JFE Steel Corporation|23P1245311</t>
  </si>
  <si>
    <t>WINAI</t>
  </si>
  <si>
    <t>PD25121129|SB0135|NSC_S45CS1-QDS_26.0_3460|JGC10-003140-40-0|RACK, MS|710.00|KGS|49.00|PCS|TSK-PRD3|SB120156/3/25|E586613|||23P1240175</t>
  </si>
  <si>
    <t>PD25121128|SB0135|NSC_S45CS1-QDS_26.0_3460|JGC10-003140-40-0|RACK, MS|868.00|KGS|60.00|PCS|TSK-PRD3|SB120156/1/25|E586613|||23P1240172</t>
  </si>
  <si>
    <t>PD25121128|SB0135|NSC_S45CS1-QDS_26.0_3460|JGC10-003140-40-0|RACK, MS|868.00|KGS|60.00|PCS|TSK-PRD3|SB120156/2/25|E586613|||23P1240173</t>
  </si>
  <si>
    <t>PD25121174|SB0237|NSC_S45CS1-QDS_30.25_3050|JGD10S000830-51-0|RACK BAR|866.00|KGS|50.00|PCS|TSK-PRD3|SB120164/2/25|E586446|||23P1242111</t>
  </si>
  <si>
    <t>PICHAI</t>
  </si>
  <si>
    <t>PD25121074|SB0478|NSC_S45CS1-V_32.25_3200|JGD10-001260-40-1|RACK, PS|973.00|KGS|47.00|PCS|TSK-PRD3|SB120141/6/25|E586967|||23P1238695</t>
  </si>
  <si>
    <t>PD25121074|SB0478|NSC_S45CS1-V_32.25_3200|JGD10-001260-40-1|RACK, PS|973.00|KGS|47.00|PCS|TSK-PRD3|SB120141/5/25|E586967|||23P1238694</t>
  </si>
  <si>
    <t>PD25121074|SB0478|NSC_S45CS1-V_32.25_3200|JGD10-001260-40-1|RACK, PS|973.00|KGS|47.00|PCS|TSK-PRD3|SB120141/4/25|E586967|||23P1238693</t>
  </si>
  <si>
    <t>PD25121073|SB0478|NSC_S45CS1-V_32.25_3200|JGD10-001260-40-1|RACK, PS|973.00|KGS|47.00|PCS|TSK-PRD3|SB120141/3/25|E586967|||23P1238692</t>
  </si>
  <si>
    <t>PD25121073|SB0478|NSC_S45CS1-V_32.25_3200|JGD10-001260-40-1|RACK, PS|973.00|KGS|47.00|PCS|TSK-PRD3|SB120141/2/25|E586967|||23P1238691</t>
  </si>
  <si>
    <t>PD25121052|SB0402|POSCO_SWRCH35K_Dia.19.0_5430|2528S0250C|STG.SHAFT|501.00|KGS|41.00|PCS|TSK-PRD3|SB120070/2/25|SF92937|||23P1237698</t>
  </si>
  <si>
    <t>SC13</t>
  </si>
  <si>
    <t>SOMCHAT</t>
  </si>
  <si>
    <t>PD25120516|SB0402|POSCO_SWRCH35K_Dia.19.0_5430|2528S0249C|STG.SHAFT|489.00|KGS|40.00|PCS|TSK-PRD3|SB120070/2/25|SF92937|||23P1237692</t>
  </si>
  <si>
    <t>PD25120516|SB0402|POSCO_SWRCH35K_Dia.19.0_5430|2528S0249C|STG.SHAFT|978.00|KGS|80.00|PCS|TSK-PRD3|SB120070/1/25|SF92937|||23P1224233</t>
  </si>
  <si>
    <t>PD25121166|SB0187|NSC_S48C_15.20_4000|TG028993-540B|SHAFT STARTER ARMATURE, 1W|233.00|KGS|40.00|PCS|TSK-PRD3|SB110189/10/25|E586473|||23P1242077</t>
  </si>
  <si>
    <t>SOMCHAI</t>
  </si>
  <si>
    <t>PD25110675|FP0283|SHAFT, 2W (TG028383-0090)|TG028383-0090|SHAFT, 2W|1,500.00|PCS|513.00|KGS|TSK2|FP120305/3/25|E483074|C00013|DNTH</t>
  </si>
  <si>
    <t>Packing</t>
  </si>
  <si>
    <t>PD25110675|FP0283|SHAFT, 2W (TG028383-0090)|TG028383-0090|SHAFT, 2W|1,500.00|PCS|513.00|KGS|TSK2|FP120305/5/25|E483074|C00013|DNTH</t>
  </si>
  <si>
    <t>พรชัย</t>
  </si>
  <si>
    <t>PD25121303|SB0130|NSC_S45CS1-QDS_24.0_3170|JGC10-003770-40-0|Rack, MS|902.00|KGS|80.00|PCS|TSK-PRD3|SB120187/3/25|E585970|||23P1246464</t>
  </si>
  <si>
    <t>PD25121303|SB0130|NSC_S45CS1-QDS_24.0_3170|JGC10-003770-40-0|Rack, MS|902.00|KGS|80.00|PCS|TSK-PRD3|SB120187/2/25|E585970|||23P1246463</t>
  </si>
  <si>
    <t>PD25121303|SB0130|NSC_S45CS1-QDS_24.0_3170|JGC10-003770-40-0|Rack, MS|902.00|KGS|80.00|PCS|TSK-PRD3|SB120187/1/25|E585970|||23P1246460</t>
  </si>
  <si>
    <t>PD25121275|SB0482|JFE_S45CS1-QDS_32.25_3000|JGD10-000751/000761-A|RACK BAR|990.00|KGS|51.00|pcs|TSK-PRD3|SB120186/3/25|665077|JFE-SC|JFE Steel Corporation|23P1245318</t>
  </si>
  <si>
    <t>เปลี่ยน ORDER</t>
  </si>
  <si>
    <t>PD25121275|SB0482|JFE_S45CS1-QDS_32.25_3000|JGD10-000751/000761-A|RACK BAR|990.00|KGS|51.00|pcs|TSK-PRD3|SB120186/2/25|665077|JFE-SC|JFE Steel Corporation|23P1245317</t>
  </si>
  <si>
    <t>PD25121275|SB0482|JFE_S45CS1-QDS_32.25_3000|JGD10-000751/000761-A|RACK BAR|810.00|KGS|42.00|pcs|TSK-PRD3|SB120186/1/25|665077|JFE-SC|JFE Steel Corporation|23P1245316</t>
  </si>
  <si>
    <t>PD25121277|SB0482|JFE_S45CS1-QDS_32.25_3000|JGD10-000751/000761-A|RACK BAR|986.00|KGS|51.00|pcs|TSK-PRD3|SB120175/4/25|665077|JFE-SC|JFE Steel Corporation|23P1245342</t>
  </si>
  <si>
    <t>PD25121277|SB0482|JFE_S45CS1-QDS_32.25_3000|JGD10-000751/000761-A|RACK BAR|986.00|KGS|51.00|pcs|TSK-PRD3|SB120175/6/25|665077|JFE-SC|JFE Steel Corporation|23P1245344</t>
  </si>
  <si>
    <t>PD25121000|MB0028|S25C Dia 40.00x5500 mm.|ZZ2B7401TX1|FLANGE-13 SLUG|1,955.00|KGS|36.00|PCS|TSK-PRD3|2B2503452|2-73052|JFE-SC|JFE Steel Corporation|23P1235772</t>
  </si>
  <si>
    <t>PD26010106|SB0115|DAIDO_DSCR420H_35.30/34.30_5000|SM294173-0020|RING CAM,OUTER|1,020.00|KGS|21.00|PCS|TSK-PRD3|SB120117/1/25|X231A|||23P1248885</t>
  </si>
  <si>
    <t>NO-MAT</t>
  </si>
  <si>
    <t>PD25121245|SB0516|KOBE_S45CS1-RP-QT_32.2_5500|JGF02-002190-31-2|RACK BAR BLANK|963.00|KGS|27.00|PCS|TSK-PRD3|SB120174/4/25|5A5913|KOBE|KOBE|23P1243687</t>
  </si>
  <si>
    <t>PD25121245|SB0516|KOBE_S45CS1-RP-QT_32.2_5500|JGF02-002190-31-2|RACK BAR BLANK|963.00|KGS|27.00|PCS|TSK-PRD3|SB120174/5/25|5A5913|KOBE|KOBE|23P1243688</t>
  </si>
  <si>
    <t>PD25121245|SB0516|KOBE_S45CS1-RP-QT_32.2_5500|JGF02-002190-31-2|RACK BAR BLANK|823.00|KGS|23.00|PCS|TSK-PRD3|SB120174/6/25|5A5913|KOBE|KOBE|23P1243689</t>
  </si>
  <si>
    <t>PD25121246|SB0516|KOBE_S45CS1-RP-QT_32.2_5500|JGF02-002190-31-2|RACK BAR BLANK|963.00|KGS|27.00|PCS|TSK-PRD3|SB120176/1/25|5A5913|KOBE|KOBE|23P1243690</t>
  </si>
  <si>
    <t>PD25120422|SB0103|KMS_DSS1_14.47_6000|TG028152-5180|Pole Core|1,000.00|KGS|129.00|PCS|TSK-PRD3|SB120058/2/25|KS005C9016|KMS|KOBELCO Millcon Steel Co.,Ltd|23P1222579</t>
  </si>
  <si>
    <t>CP2</t>
  </si>
  <si>
    <t>ซ่อมเครื่องจักร</t>
  </si>
  <si>
    <t>ณํฐวิภา</t>
  </si>
  <si>
    <t>PD25121166|SB0187|NSC_S48C_15.20_4000|TG028993-540B|SHAFT STARTER ARMATURE, 1W|205.00|KGS|35.00|PCS|TSK-PRD3|SB110189/9/25|E586473|||23P1242076</t>
  </si>
  <si>
    <t>PD25121166|SB0187|NSC_S48C_15.20_4000|TG028993-540B|SHAFT STARTER ARMATURE, 1W|205.00|KGS|35.00|PCS|TSK-PRD3|SB120140/1/25|E586473|||23P1242078</t>
  </si>
  <si>
    <t>PD25121174|SB0237|NSC_S45CS1-QDS_30.25_3050|JGD10S000830-51-0|RACK BAR|1,004.00|KGS|58.00|PCS|TSK-PRD3|SB120164/1/25|E586446|||23P1242110</t>
  </si>
  <si>
    <t>PD25121174|SB0237|NSC_S45CS1-QDS_30.25_3050|JGD10S000830-51-0|RACK BAR|866.00|KGS|50.00|PCS|TSK-PRD3|SB120164/3/25|E586446|||23P1242112</t>
  </si>
  <si>
    <t>5|SB0237|NSC_S45CS1-QDS_30.25_3050|JGD10S000830-51-0|RACK BAR|868.00|KGS|50.00|PCS|TSK-PRD3|SB120166/2/25|E586446|||23P1242114</t>
  </si>
  <si>
    <t>Raw Material ECT</t>
  </si>
  <si>
    <t>PD25121073|SB0478|NSC_S45CS1-V_32.25_3200|JGD10-001260-40-1|RACK, PS|973.00|KGS|47.00|PCS|TSK-PRD3|SB120141/1/25|E586967|||23P1238690</t>
  </si>
  <si>
    <t>PD25120965|SB0136|NSC_S45CS1-QDS_27.95_3420|JGD10-000520-B|RACK, PS|1,226.00|KGS|74.00|PCS|TSK-PRD3|SB120115/1/25|E585615|||23P1235314</t>
  </si>
  <si>
    <t>PD25120965|SB0136|NSC_S45CS1-QDS_27.95_3420|JGD10-000520-B|RACK, PS|1,109.00|KGS|67.00|PCS|TSK-PRD3|SB120115/2/25|E585615|||23P1235316</t>
  </si>
  <si>
    <t>5.ส</t>
  </si>
  <si>
    <t>PD25121277|SB0482|JFE_S45CS1-QDS_32.25_3000|JGD10-000751/000761-A|RACK BAR|986.00|KGS|51.00|pcs|TSK-PRD3|SB120175/5/25|665077|JFE-SC|JFE Steel Corporation|23P1245343</t>
  </si>
  <si>
    <t>PD25121280|SB0482|JFE_S45CS1-QDS_32.25_3000|JGD10-000751/000761-A|RACK BAR|986.00|KGS|51.00|pcs|TSK-PRD3|SB120184/2/25|665077|JFE-SC|JFE Steel Corporation|23P1245365</t>
  </si>
  <si>
    <t>PD25121280|SB0482|JFE_S45CS1-QDS_32.25_3000|JGD10-000751/000761-A|RACK BAR|986.00|KGS|51.00|pcs|TSK-PRD3|SB120184/3/25|665077|JFE-SC|JFE Steel Corporation|23P1245366</t>
  </si>
  <si>
    <t>PD25121280|SB0482|JFE_S45CS1-QDS_32.25_3000|JGD10-000751/000761-A|RACK BAR|986.00|KGS|51.00|pcs|TSK-PRD3|SB120184/1/25|665077|JFE-SC|JFE Steel Corporation|23P1245362</t>
  </si>
  <si>
    <t>PD25121175|SB0237|NSC_S45CS1-QDS_30.25_3050|JGD10S000830-51-0|RACK BAR|868.00|KGS|50.00|PCS|TSK-PRD3|SB120166/2/25|E586446|||23P1242114</t>
  </si>
  <si>
    <t>PD25121175|SB0237|NSC_S45CS1-QDS_30.25_3050|JGD10S000830-51-0|RACK BAR|868.00|KGS|50.00|PCS|TSK-PRD3|SB120166/1/25|E586446|||23P1242113</t>
  </si>
  <si>
    <t>PD25121176|SB0237|NSC_S45CS1-QDS_30.25_3050|JGD10S000830-51-0|RACK BAR|868.00|KGS|50.00|PCS|TSK-PRD3|SB120166/4/25|E586446|||23P1242116</t>
  </si>
  <si>
    <t>PD25121176|SB0237|NSC_S45CS1-QDS_30.25_3050|JGD10S000830-51-0|RACK BAR|868.00|KGS|50.00|PCS|TSK-PRD3|SB120166/3/25|E586446|||23P1242115</t>
  </si>
  <si>
    <t>PD25121305|SB0344|NSC_S45CS1-QDS_26.00_3600|JGC10-003040-40-0|RACK, MS|1,000.00|KGS|66.00|pcs|TSK-PRD3|SB120192/1/25|E585970|||23P1246511</t>
  </si>
  <si>
    <t>PD25121082|SB0024|NSC_S45CS1-QDS_30.35_3060|JGD10-BA0101-C|RACK POWER STEERING|878.00|KGS|50.00|PCS|TSK-PRD3|SB120137/5/25|E586100|||23P1238817</t>
  </si>
  <si>
    <t>PD25121082|SB0024|NSC_S45CS1-QDS_30.35_3060|JGD10-BA0101-C|RACK POWER STEERING|38.00|KGS|2.00|PCS|TSK-PRD3|SB120137/7/25|E586100|||23P1238819</t>
  </si>
  <si>
    <t>PD25121082|SB0024|NSC_S45CS1-QDS_30.35_3060|JGD10-BA0101-C|RACK POWER STEERING|840.00|KGS|48.00|PCS|TSK-PRD3|SB120137/6/25|E586100|||23P1238818</t>
  </si>
  <si>
    <t>PD25121080|SB0024|NSC_S45CS1-QDS_30.35_3060|JGD10-BA0101-C|RACK POWER STEERING|878.00|KGS|50.00|PCS|TSK-PRD3|SB120137/1/25|E586100|||23P1238805</t>
  </si>
  <si>
    <t>PD25121080|SB0024|NSC_S45CS1-QDS_30.35_3060|JGD10-BA0101-C|RACK POWER STEERING|878.00|KGS|50.00|PCS|TSK-PRD3|SB120137/2/25|E586100|||23P1238810</t>
  </si>
  <si>
    <t>PD25121102|SB0174|POSCO_SWCH35K_18_5650|2550S0553P|SHAFT SPLINE|1,003.00|KGS|88.00|PCS|TSK-PRD3|SB120009/2/25|SF93404|||23P1239200</t>
  </si>
  <si>
    <t>งานมีปัญหา</t>
  </si>
  <si>
    <t>ขจิตณัฏฐ์</t>
  </si>
  <si>
    <t>PD25120422|SB0103|KMS_DSS1_14.47_6000|TG028152-5180|Pole Core|1,000.00|KGS|129.00|PCS|TSK-PRD3|SB120058/1/25|KS005C9016|KMS|KOBELCO Millcon Steel Co.,Ltd|23P1222578</t>
  </si>
  <si>
    <t>somchai</t>
  </si>
  <si>
    <t>รอยลำตัว</t>
  </si>
  <si>
    <t>PD26010105|SB0011|CNK_S45S1_30.27_5740|4426Q-2A272|RACK POWER STEERING|1,063.00|KGS|32.00|PCS|TSK-PRD3|SB010001/1/26|88580|AICHI|AICHI|23P1248881</t>
  </si>
  <si>
    <t>PD26010105|SB0011|CNK_S45S1_30.27_5740|4426Q-2A272|RACK POWER STEERING|1,029.00|KGS|31.00|PCS|TSK-PRD3|SB010001/2/26|88580|AICHI|AICHI|23P1248882</t>
  </si>
  <si>
    <t>PD26010145|SB0338|NSC_S45CS1-V_26.0_3480_JAMY|JGC10-M09008-51-0|RACK BAR|875.00|KGS|60.00|PCS|TSK-PRD3|SB010004/1/26|E586966|||23P1249344</t>
  </si>
  <si>
    <t>PD26010089|SB0158|JFE_S25C_43.0_6200|16171-05030|SEAT,WATER PUMP PULLEY|992.00|KGS|14.00|PCS|TSK-PRD3|SB120198/1/25|665898|||23P1247916</t>
  </si>
  <si>
    <t>SC15</t>
  </si>
  <si>
    <t>PD25121081|SB0024|NSC_S45CS1-QDS_30.35_3060|JGD10-BA0101-C|RACK POWER STEERING|878.00|KGS|50.00|PCS|TSK-PRD3|SB120137/3/25|E586100|||23P1238814</t>
  </si>
  <si>
    <t>PD25121081|SB0024|NSC_S45CS1-QDS_30.35_3060|JGD10-BA0101-C|RACK POWER STEERING|878.00|KGS|50.00|PCS|TSK-PRD3|SB120137/4/25|E586100|||23P1238815</t>
  </si>
  <si>
    <t>PD25121149|Cutting#1|FP0346|RACK (510-30149-020)|510-30149-020|RACK|200.00|PCS|327.00|KGS|TSK2|FB120348/4/25|5C1361</t>
  </si>
  <si>
    <t>CHAMFER</t>
  </si>
  <si>
    <t>PD25121149|Cutting#1|FP0346|RACK (510-30149-020)|510-30149-020|RACK|107.00|PCS|175.00|KGS|TSK2|FB120348/5/25|5C1361</t>
  </si>
  <si>
    <t>PD26010110|Cutting#1|FP0346|RACK (510-30149-020)|510-30149-020|RACK|93.00|PCS|152.00|KGS|TSK2|FB010050/1/26|5C1361</t>
  </si>
  <si>
    <t>PD26010110|Cutting#1|FP0346|RACK (510-30149-020)|510-30149-020|RACK|200.00|PCS|327.00|KGS|TSK2|FB010050/2/26|5C1361</t>
  </si>
  <si>
    <t>PD26010110|SB0300|NSC_S48CS1-H_31.8_3140|510-30149-020|RACK|785.00|KGS|40.00|PCS|TSK-PRD3|SB010002/1/26|5C1361|||23P1248893</t>
  </si>
  <si>
    <t>PD26010110|SB0300|NSC_S48CS1-H_31.8_3140|510-30149-020|RACK|785.00|KGS|40.00|PCS|TSK-PRD3|SB010002/2/26|5C1361|||23P1248897</t>
  </si>
  <si>
    <t>PD26010145|SB0338|NSC_S45CS1-V_26.0_3480_JAMY|JGC10-M09008-51-0|RACK BAR|875.00|KGS|60.00|PCS|TSK-PRD3|SB010004/2/26|E586966|||23P1249350</t>
  </si>
  <si>
    <t>PD26010145|SB0338|NSC_S45CS1-V_26.0_3480_JAMY|JGC10-M09008-51-0|RACK BAR|875.00|KGS|60.00|PCS|TSK-PRD3|SB010004/3/26|E586966|||23P1249351</t>
  </si>
  <si>
    <t>PD26010146|SB0338|NSC_S45CS1-V_26.0_3480_JAMY|JGC10-M09008-51-0|RACK BAR|875.00|KGS|60.00|PCS|TSK-PRD3|SB010004/4/26|E586966|||23P1249352</t>
  </si>
  <si>
    <t>PD26010146|SB0338|NSC_S45CS1-V_26.0_3480_JAMY|JGC10-M09008-51-0|RACK BAR|875.00|KGS|60.00|PCS|TSK-PRD3|SB010004/6/26|E586966|||23P1249361</t>
  </si>
  <si>
    <t>PD25121278|SB0482|JFE_S45CS1-QDS_32.25_3000|JGD10-000751/000761-A|RACK BAR|986.00|KGS|51.00|pcs|TSK-PRD3|SB120178/2/25|665077|JFE-SC|JFE Steel Corporation|23P1245353</t>
  </si>
  <si>
    <t>PD25121278|SB0482|JFE_S45CS1-QDS_32.25_3000|JGD10-000751/000761-A|RACK BAR|986.00|KGS|51.00|pcs|TSK-PRD3|SB120178/3/25|665077|JFE-SC|JFE Steel Corporation|23P1245354</t>
  </si>
  <si>
    <t>PD25121278|SB0482|JFE_S45CS1-QDS_32.25_3000|JGD10-000751/000761-A|RACK BAR|986.00|KGS|51.00|pcs|TSK-PRD3|SB120178/1/25|665077|JFE-SC|JFE Steel Corporation|23P1245352</t>
  </si>
  <si>
    <t>PD25121281|SB0482|JFE_S45CS1-QDS_32.25_3000|JGD10-000751/000761-A|RACK BAR|986.00|KGS|51.00|pcs|TSK-PRD3|SB120184/4/25|665077|JFE-SC|JFE Steel Corporation|23P1245367</t>
  </si>
  <si>
    <t>PD26010107|SB0116|DAIDO_DSCR420H_38.50/34.30_4650|SM294173-0030|RING CAM,OUTER|1,020.00|KGS|21.00|PCS|TSK-PRD3|SB120116/1/25|X231A|||23P1248886</t>
  </si>
  <si>
    <t>PD25120330|Heat#1|FP0520|RACK BAR BLANK (JGF02-002060-31-3) 58*D|JGF02-002060-31-3|RACK BAR BLANK|58.00|PCS|271.00|kgs|TSK2|FB120132/19/25|5A4332</t>
  </si>
  <si>
    <t>BENDING(BDM1)</t>
  </si>
  <si>
    <t>PD25120330|Heat#1|FP0520|RACK BAR BLANK (JGF02-002060-31-3) 58*D|JGF02-002060-31-3|RACK BAR BLANK|58.00|PCS|271.00|kgs|TSK2|FB120132/10/25|5A4332</t>
  </si>
  <si>
    <t>PD25120330|Heat#1|FP0520|RACK BAR BLANK (JGF02-002060-31-3) 58*D|JGF02-002060-31-3|RACK BAR BLANK|58.00|PCS|271.00|kgs|TSK2|FB120132/8/25|5A4332</t>
  </si>
  <si>
    <t>PD25120330|Heat#1|FP0520|RACK BAR BLANK (JGF02-002060-31-3) 58*D|JGF02-002060-31-3|RACK BAR BLANK|58.00|PCS|271.00|kgs|TSK2|FB120132/4/25|5A4332</t>
  </si>
  <si>
    <t>PD25120330|Heat#1|FP0520|RACK BAR BLANK (JGF02-002060-31-3) 58*D|JGF02-002060-31-3|RACK BAR BLANK|58.00|PCS|271.00|kgs|TSK2|FB120132/6/25|5A4332</t>
  </si>
  <si>
    <t>PD25120330|Heat#1|FP0520|RACK BAR BLANK (JGF02-002060-31-3) 58*D|JGF02-002060-31-3|RACK BAR BLANK|58.00|PCS|271.00|kgs|TSK2|FB120132/11/25|5A4332</t>
  </si>
  <si>
    <t>PD25121305|SB0344|NSC_S45CS1-QDS_26.00_3600|JGC10-003040-40-0|RACK, MS|1,000.00|KGS|66.00|pcs|TSK-PRD3|SB120192/2/25|E585970|||23P1246512</t>
  </si>
  <si>
    <t>PD25111240|SB0024|NSC_S45CS1-QDS_30.35_3060|2-30JG-0711|RACK POWER STEERING|876.00|KGS|50.00|PCS|TSK-PRD3|SB110157/5/25|E585581|||23P1205728</t>
  </si>
  <si>
    <t>PD25111240|SB0024|NSC_S45CS1-QDS_30.35_3060|2-30JG-0711|RACK POWER STEERING|822.00|KGS|47.00|PCS|TSK-PRD3|SB110157/6/25|E585581|||23P1205729</t>
  </si>
  <si>
    <t>PD26010089|SB0158|JFE_S25C_43.0_6200|16171-05030|SEAT,WATER PUMP PULLEY|992.00|KGS|14.00|PCS|TSK-PRD3|SB120198/2/25|665898|||23P1247917</t>
  </si>
  <si>
    <t>PD26010089|SB0158|JFE_S25C_43.0_6200|16171-05030|SEAT,WATER PUMP PULLEY|992.00|KGS|14.00|PCS|TSK-PRD3|SB120198/3/25|665898|||23P1247918</t>
  </si>
  <si>
    <t>ปริญญา</t>
  </si>
  <si>
    <t>PD26010108|SB0417|CSC_SWRCH12A_34.0_5000|8A10524|CAP RESERVOIR|1,073.00|KGS|30.00|pcs|TSK-PRD3|SB010003/2/26|3V096|||23P1248888</t>
  </si>
  <si>
    <t>PD25121281|SB0482|JFE_S45CS1-QDS_32.25_3000|JGD10-000751/000761-A|RACK BAR|1,010.00|KGS|52.00|pcs|TSK-PRD3|SB120184/5/25|665077|JFE-SC|JFE Steel Corporation|23P1245376</t>
  </si>
  <si>
    <t>PD25121279|SB0482|JFE_S45CS1-QDS_32.25_3000|JGD10-000751/000761-A|RACK BAR|986.00|KGS|51.00|pcs|TSK-PRD3|SB120178/4/25|665077|JFE-SC|JFE Steel Corporation|23P1245359</t>
  </si>
  <si>
    <t>PD25121279|SB0482|JFE_S45CS1-QDS_32.25_3000|JGD10-000751/000761-A|RACK BAR|986.00|KGS|51.00|pcs|TSK-PRD3|SB120178/5/25|665077|JFE-SC|JFE Steel Corporation|23P1245360</t>
  </si>
  <si>
    <t>PD25121279|SB0482|JFE_S45CS1-QDS_32.25_3000|JGD10-000751/000761-A|RACK BAR|986.00|KGS|51.00|pcs|TSK-PRD3|SB120178/6/25|665077|JFE-SC|JFE Steel Corporation|23P1245361</t>
  </si>
  <si>
    <t>PD25111240|SB0024|NSC_S45CS1-QDS_30.35_3060|2-30JG-0711|RACK POWER STEERING|54.00|KGS|3.00|PCS|TSK-PRD3|SB110157/7/25|E585581|||23P1205730</t>
  </si>
  <si>
    <t>PD25111239|SB0024|NSC_S45CS1-QDS_30.35_3060|2-30JG-0711|RACK POWER STEERING|876.00|KGS|50.00|PCS|TSK-PRD3|SB110157/4/25|E585581|||23P1205725</t>
  </si>
  <si>
    <t>PD25111239|SB0024|NSC_S45CS1-QDS_30.35_3060|2-30JG-0711|RACK POWER STEERING|876.00|KGS|50.00|PCS|TSK-PRD3|SB110157/3/25|E585581|||23P1205724</t>
  </si>
  <si>
    <t>PD26010092|SB0478|NSC_S45CS1-V_32.25_3200|JGD10-001260-40-1|RACK, PS|974.00|KGS|47.00|PCS|TSK-PRD3|SB120195/1/25|E586967|||23P1247960</t>
  </si>
  <si>
    <t>PD26010092|SB0478|NSC_S45CS1-V_32.25_3200|JGD10-001260-40-1|RACK, PS|974.00|KGS|47.00|PCS|TSK-PRD3|SB120195/2/25|E586967|||23P1247961</t>
  </si>
  <si>
    <t>PD26010110|SB0300|NSC_S48CS1-H_31.8_3140|510-30149-020|RACK|785.00|KGS|40.00|PCS|TSK-PRD3|SB010002/3/26|5C1361|||23P1248898</t>
  </si>
  <si>
    <t>PD26010111|SB0300|NSC_S48CS1-H_31.8_3140|510-30149-020|RACK|785.00|KGS|40.00|PCS|TSK-PRD3|SB010002/4/26|5C1361|||23P1248899</t>
  </si>
  <si>
    <t>PD26010111|SB0300|NSC_S48CS1-H_31.8_3140|510-30149-020|RACK|785.00|KGS|40.00|PCS|TSK-PRD3|SB010002/5/26|5C1361|||23P1248900</t>
  </si>
  <si>
    <t>PD26010111|SB0300|NSC_S48CS1-H_31.8_3140|510-30149-020|RACK|785.00|KGS|40.00|PCS|TSK-PRD3|SB010002/6/26|5C1361|||23P1248901</t>
  </si>
  <si>
    <t>PD25121284|SB0139|NSC_S45CS1-QDS_32.25_5540|JGD10S00670-B|RACK, PS|888.00|KGS|25.00|PCS|TSK-PRD3|SB120181/1/25|E586447|||23P1245396</t>
  </si>
  <si>
    <t>PD25121284|SB0139|NSC_S45CS1-QDS_32.25_5540|JGD10S00670-B|RACK, PS|888.00|KGS|25.00|PCS|TSK-PRD3|SB120181/2/25|E586447|||23P1245397</t>
  </si>
  <si>
    <t>PD25121284|SB0139|NSC_S45CS1-QDS_32.25_5540|JGD10S00670-B|RACK, PS|888.00|KGS|25.00|PCS|TSK-PRD3|SB120181/3/25|E586447|||23P1245398</t>
  </si>
  <si>
    <t>PD25121285|SB0139|NSC_S45CS1-QDS_32.25_5540|JGD10S00670-B|RACK, PS|888.00|KGS|25.00|PCS|TSK-PRD3|SB120181/6/25|E586447|||23P1245402</t>
  </si>
  <si>
    <t>PD25121285|SB0139|NSC_S45CS1-QDS_32.25_5540|JGD10S00670-B|RACK, PS|888.00|KGS|25.00|PCS|TSK-PRD3|SB120181/4/25|E586447|||23P1245399</t>
  </si>
  <si>
    <t>PD25121285|SB0139|NSC_S45CS1-QDS_32.25_5540|JGD10S00670-B|RACK, PS|888.00|KGS|25.00|PCS|TSK-PRD3|SB120181/5/25|E586447|||23P1245400</t>
  </si>
  <si>
    <t>วิไลวรรณ</t>
  </si>
  <si>
    <t>PD25120422|SB0103|KMS_DSS1_14.47_6000|TG028152-5180|Pole Core|1,008.00|KGS|130.00|PCS|TSK-PRD3|SB120058/3/25|KS005C9016|KMS|KOBELCO Millcon Steel Co.,Ltd|23P1222580</t>
  </si>
  <si>
    <t>PD26010146|SB0338|NSC_S45CS1-V_26.0_3480_JAMY|JGC10-M09008-51-0|RACK BAR|875.00|KGS|60.00|PCS|TSK-PRD3|SB010004/5/26|E586966|||23P1249353</t>
  </si>
  <si>
    <t>PD26010096|SB0478|NSC_S45CS1-V_32.25_3200|JGD10-001260-40-1|RACK, PS|974.00|KGS|47.00|PCS|TSK-PRD3|SB120197/5/25|E586967|||23P1248003</t>
  </si>
  <si>
    <t>PD26010096|SB0478|NSC_S45CS1-V_32.25_3200|JGD10-001260-40-1|RACK, PS|974.00|KGS|47.00|PCS|TSK-PRD3|SB120197/6/25|E586967|||23P1248004</t>
  </si>
  <si>
    <t>PD26010096|SB0478|NSC_S45CS1-V_32.25_3200|JGD10-001260-40-1|RACK, PS|974.00|KGS|47.00|PCS|TSK-PRD3|SB120197/4/25|E586967|||23P1247998</t>
  </si>
  <si>
    <t>PD26010170|SB0187|NSC_S48C_15.20_4000|TG028993-557B|SHAFT STARTER ARMATURE, 1W|205.00|KGS|35.00|PCS|TSK-PRD3|SB120140/4/25|E586473|||23P1249769</t>
  </si>
  <si>
    <t>PD26010170|SB0187|NSC_S48C_15.20_4000|TG028993-557B|SHAFT STARTER ARMATURE, 1W|205.00|KGS|35.00|PCS|TSK-PRD3|SB120140/2/25|E586473|||23P1249767</t>
  </si>
  <si>
    <t>M070</t>
  </si>
  <si>
    <t>PD26010090|SB0158|JFE_S25C_43.0_6200|16171-05030|SEAT,WATER PUMP PULLEY|992.00|KGS|14.00|PCS|TSK-PRD3|SB120198/4/25|665898|||23P1247922</t>
  </si>
  <si>
    <t>PD26010090|SB0158|JFE_S25C_43.0_6200|16171-05030|SEAT,WATER PUMP PULLEY|992.00|KGS|14.00|PCS|TSK-PRD3|SB120198/6/25|665898|||23P1247924</t>
  </si>
  <si>
    <t>PD26010253|MB0033|S25C Dia 60.00x4000-5500 mm.|141411-60140-20|Piston Disc Brake, Forging|1,952.00|KGS|16.00|PCS|TSK-PRD3|2B2600077|663961|JFE-SC|JFE Steel Corporation|23P1251426</t>
  </si>
  <si>
    <t>PD25121321|SB0400|JFE_SCM435H_12.2_5200|8306T0036|PIN|962.00|KGS|201.00|PCS|TSK-PRD3|SB120110/2/25|665573|||23P1246732</t>
  </si>
  <si>
    <t>NO-MAT/SETUPเปลี่ยนงาน</t>
  </si>
  <si>
    <t>PD25120794|SB0503|POSCO_SWRCH35K_18.27_4660|2550T0749P|SHAFT SPLINE|1,010.00|KGS|105.00|pcs|TSK-PRD3|SB120101/6/25|SF93402|||23P1230868</t>
  </si>
  <si>
    <t>PD25120794|SB0503|POSCO_SWRCH35K_18.27_4660|2550T0749P|SHAFT SPLINE|982.00|KGS|102.00|pcs|TSK-PRD3|SB120101/5/25|SF93402|||23P1230864</t>
  </si>
  <si>
    <t>PD25110291|SB0343|NSC_S45CS1-QDS_26.0_3550 mm.|JGC10-003050-40-0|RACK, MS|902.00|KGS|60.00|PCS|TSK-PRD3|SB110027/1/25|E585614|||23P1182661</t>
  </si>
  <si>
    <t>PD25110291|SB0343|NSC_S45CS1-QDS_26.0_3550 mm.|JGC10-003050-40-0|RACK, MS|902.00|KGS|60.00|PCS|TSK-PRD3|SB110027/2/25|E585614|||23P1182666</t>
  </si>
  <si>
    <t>PD26010113|SB0412|NSC_S45CS1-QDS_Dia.27.95_2980|JGD10-001150-40-1|Rack, PS|868.00|KGS|60.00|PCS|TSK-PRD3|SB120199/5/25|E585970|||23P1248907</t>
  </si>
  <si>
    <t>PD26010095|SB0478|NSC_S45CS1-V_32.25_3200|JGD10-001260-40-1|RACK, PS|974.00|KGS|47.00|PCS|TSK-PRD3|SB120197/3/25|E586967|||23P1247997</t>
  </si>
  <si>
    <t>PD26010095|SB0478|NSC_S45CS1-V_32.25_3200|JGD10-001260-40-1|RACK, PS|974.00|KGS|47.00|PCS|TSK-PRD3|SB120197/2/25|E586967|||23P1247995</t>
  </si>
  <si>
    <t>PD26010095|SB0478|NSC_S45CS1-V_32.25_3200|JGD10-001260-40-1|RACK, PS|974.00|KGS|47.00|PCS|TSK-PRD3|SB120197/1/25|E586967|||23P1247993</t>
  </si>
  <si>
    <t>PD26010094|SB0478|NSC_S45CS1-V_32.25_3200|JGD10-001260-40-1|RACK, PS|930.00|KGS|45.00|PCS|TSK-PRD3|SB120195/6/25|E586967|||23P1247987</t>
  </si>
  <si>
    <t>PD26010094|SB0478|NSC_S45CS1-V_32.25_3200|JGD10-001260-40-1|RACK, PS|44.00|KGS|2.00|PCS|TSK-PRD3|SB120195/7/25|E586967|||23P1247988</t>
  </si>
  <si>
    <t>PD26010094|SB0478|NSC_S45CS1-V_32.25_3200|JGD10-001260-40-1|RACK, PS|974.00|KGS|47.00|PCS|TSK-PRD3|SB120195/5/25|E586967|||23P1247986</t>
  </si>
  <si>
    <t>PD26010173|SB0338|NSC_S45CS1-V_26.0_3480_JAMY|JGC10-M09008-51-0|RACK BAR|874.00|KGS|60.00|PCS|TSK-PRD3|SB010005/5/26|E586966|||23P1250502</t>
  </si>
  <si>
    <t>PD26010173|SB0338|NSC_S45CS1-V_26.0_3480_JAMY|JGC10-M09008-51-0|RACK BAR|72.00|KGS|5.00|PCS|TSK-PRD3|SB010005/7/26|E586966|||23P1250504</t>
  </si>
  <si>
    <t>PD26010173|SB0338|NSC_S45CS1-V_26.0_3480_JAMY|JGC10-M09008-51-0|RACK BAR|802.00|KGS|55.00|PCS|TSK-PRD3|SB010005/6/26|E586966|||23P1250503</t>
  </si>
  <si>
    <t>PD26010175|SB0338|NSC_S45CS1-V_26.0_3480_JAMY|JGC10-M09008-51-0|RACK BAR|874.00|KGS|60.00|PCS|TSK-PRD3|SB010008/5/26|E586966|||23P1250510</t>
  </si>
  <si>
    <t>PD26010175|SB0338|NSC_S45CS1-V_26.0_3480_JAMY|JGC10-M09008-51-0|RACK BAR|815.00|KGS|56.00|PCS|TSK-PRD3|SB010008/6/26|E586966|||23P1250511</t>
  </si>
  <si>
    <t>PD26010093|SB0478|NSC_S45CS1-V_32.25_3200|JGD10-001260-40-1|RACK, PS|974.00|KGS|47.00|PCS|TSK-PRD3|SB120195/3/25|E586967|||23P1247978</t>
  </si>
  <si>
    <t>PD26010093|SB0478|NSC_S45CS1-V_32.25_3200|JGD10-001260-40-1|RACK, PS|974.00|KGS|47.00|PCS|TSK-PRD3|SB120195/4/25|E586967|||23P1247979</t>
  </si>
  <si>
    <t>PD25121302|SB0132|NSC_S45CS1-QDS_24.0_3360|JGC10S001620|RACK, MS|1,015.00|KGS|84.00|PCS|TSK-PRD3|SB120190/2/25|E586613|||23P1246455</t>
  </si>
  <si>
    <t>PD25121302|SB0132|NSC_S45CS1-QDS_24.0_3360|JGC10S001620|RACK, MS|1,040.00|KGS|86.00|PCS|TSK-PRD3|SB120190/1/25|E586613|||23P1246454</t>
  </si>
  <si>
    <t>PD25120423|SB0103|KMS_DSS1_14.47_6000|TG028152-5180|Pole Core|1,014.00|KGS|130.00|PCS|TSK-PRD3|SB120058/6/25|KS005C9016|KMS|KOBELCO Millcon Steel Co.,Ltd|23P1222583</t>
  </si>
  <si>
    <t>PD25120330|Heat#1|FP0520|RACK BAR BLANK (JGF02-002060-31-3) 58*D|JGF02-002060-31-3|RACK BAR BLANK|58.00|PCS|271.00|kgs|TSK2|FB120132/9/25|5A4332</t>
  </si>
  <si>
    <t>WICHAN</t>
  </si>
  <si>
    <t>PD25120330|Heat#1|FP0520|RACK BAR BLANK (JGF02-002060-31-3) 58*D|JGF02-002060-31-3|RACK BAR BLANK|58.00|PCS|271.00|kgs|TSK2|FB120132/15/25|5A4332</t>
  </si>
  <si>
    <t>PD25120330|Heat#1|FP0520|RACK BAR BLANK (JGF02-002060-31-3) 58*D|JGF02-002060-31-3|RACK BAR BLANK|58.00|PCS|271.00|kgs|TSK2|FB120132/2/25|5A4332</t>
  </si>
  <si>
    <t>PD25120330|Heat#1|FP0520|RACK BAR BLANK (JGF02-002060-31-3) 58*D|JGF02-002060-31-3|RACK BAR BLANK|58.00|PCS|271.00|kgs|TSK2|FB120132/7/25|5A4332</t>
  </si>
  <si>
    <t>PD25120330|Heat#1|FP0520|RACK BAR BLANK (JGF02-002060-31-3) 58*D|JGF02-002060-31-3|RACK BAR BLANK|58.00|PCS|271.00|kgs|TSK2|FB120132/3/25|5A4332</t>
  </si>
  <si>
    <t>PD25120330|Heat#1|FP0520|RACK BAR BLANK (JGF02-002060-31-3) 58*D|JGF02-002060-31-3|RACK BAR BLANK|58.00|PCS|271.00|kgs|TSK2|FB120132/20/25|5A4332</t>
  </si>
  <si>
    <t>PD25120330|Heat#1|FP0520|RACK BAR BLANK (JGF02-002060-31-3) 58*D|JGF02-002060-31-3|RACK BAR BLANK|58.00|PCS|271.00|kgs|TSK2|FB120132/16/25|5A4332</t>
  </si>
  <si>
    <t>PD25120330|Heat#1|FP0520|RACK BAR BLANK (JGF02-002060-31-3) 58*D|JGF02-002060-31-3|RACK BAR BLANK|41.00|PCS|192.00|kgs|TSK2|FB120132/21/25|5A4332</t>
  </si>
  <si>
    <t>PD26010113|SB0412|NSC_S45CS1-QDS_Dia.27.95_2980|JGD10-001150-40-1|Rack, PS|868.00|KGS|60.00|PCS|TSK-PRD3|SB120199/4/25|E585970|||23P1248906</t>
  </si>
  <si>
    <t>PD26010113|SB0412|NSC_S45CS1-QDS_Dia.27.95_2980|JGD10-001150-40-1|Rack, PS|868.00|KGS|60.00|PCS|TSK-PRD3|SB120199/6/25|E585970|||23P1248908</t>
  </si>
  <si>
    <t>PD26010112|SB0412|NSC_S45CS1-QDS_Dia.27.95_2980|JGD10-001150-40-1|Rack, PS|868.00|KGS|60.00|PCS|TSK-PRD3|SB120199/3/25|E585970|||23P1248905</t>
  </si>
  <si>
    <t>PD26010112|SB0412|NSC_S45CS1-QDS_Dia.27.95_2980|JGD10-001150-40-1|Rack, PS|868.00|KGS|60.00|PCS|TSK-PRD3|SB120199/2/25|E585970|||23P1248904</t>
  </si>
  <si>
    <t>PD26010201|SB0024|NSC_S45CS1-QDS_30.35_3060|JGD10-BA0101-C|RACK POWER STEERING|876.00|KGS|50.00|PCS|TSK-PRD3|SB120149/4/25|E586100|||23P1250925</t>
  </si>
  <si>
    <t>PD26010201|SB0024|NSC_S45CS1-QDS_30.35_3060|JGD10-BA0101-C|RACK POWER STEERING|876.00|KGS|50.00|PCS|TSK-PRD3|SB120149/6/25|E586100|||23P1250927</t>
  </si>
  <si>
    <t>PD26010201|SB0024|NSC_S45CS1-QDS_30.35_3060|JGD10-BA0101-C|RACK POWER STEERING|876.00|KGS|50.00|PCS|TSK-PRD3|SB120149/5/25|E586100|||23P1250926</t>
  </si>
  <si>
    <t>PD26010175|SB0338|NSC_S45CS1-V_26.0_3480_JAMY|JGC10-M09008-51-0|RACK BAR|874.00|KGS|60.00|PCS|TSK-PRD3|SB010008/4/26|E586966|||23P1250509</t>
  </si>
  <si>
    <t>PD26010171|SB0338|NSC_S45CS1-V_26.0_3480_JAMY|JGC10-M09008-51-0|RACK BAR|874.00|KGS|60.00|PCS|TSK-PRD3|SB010005/1/26|E586966|||23P1250497</t>
  </si>
  <si>
    <t>PD26010171|SB0338|NSC_S45CS1-V_26.0_3480_JAMY|JGC10-M09008-51-0|RACK BAR|874.00|KGS|60.00|PCS|TSK-PRD3|SB010005/2/26|E586966|||23P1250499</t>
  </si>
  <si>
    <t>PD25120794|SB0503|POSCO_SWRCH35K_18.27_4660|2550T0749P|SHAFT SPLINE|1,000.00|KGS|104.00|pcs|TSK-PRD3|SB120101/4/25|SF93402|||23P1230863</t>
  </si>
  <si>
    <t>PD25120793|SB0503|POSCO_SWRCH35K_18.27_4660|2550T0749P|SHAFT SPLINE|1,000.00|KGS|104.00|pcs|TSK-PRD3|SB120101/3/25|SF93402|||23P1230862</t>
  </si>
  <si>
    <t>PD26010090|SB0158|JFE_S25C_43.0_6200|16171-05030|SEAT,WATER PUMP PULLEY|992.00|KGS|14.00|PCS|TSK-PRD3|SB120198/5/25|665898|||23P1247923</t>
  </si>
  <si>
    <t>PD25111052|Surface#1|FP0503|SHAFT SPLINE  (2550T0749P)|2550T0749P|SHAFT SPLINE|700.00|PCS|397.00|KGS|TSK-PRD1|FP110368/1/25|SF93404</t>
  </si>
  <si>
    <t>PD25111052|Surface#1|FP0503|SHAFT SPLINE  (2550T0749P)|2550T0749P|SHAFT SPLINE|519.00|PCS|294.00|KGS|TSK-PRD1|FP110368/5/25|SF93404</t>
  </si>
  <si>
    <t>PD25120352|Surface#1|FP0503|SHAFT SPLINE  (2550T0749P)|2550T0749P|SHAFT SPLINE|700.00|PCS|397.00|KGS|TSK-PRD1|FP120268/4/25|SF93404</t>
  </si>
  <si>
    <t>PD25120423|SB0103|KMS_DSS1_14.47_6000|TG028152-5180|Pole Core|1,008.00|KGS|130.00|PCS|TSK-PRD3|SB120058/4/25|KS005C9016|KMS|KOBELCO Millcon Steel Co.,Ltd|23P1222581</t>
  </si>
  <si>
    <t>PD25120423|SB0103|KMS_DSS1_14.47_6000|TG028152-5180|Pole Core|1,008.00|KGS|130.00|PCS|TSK-PRD3|SB120058/5/25|KS005C9016|KMS|KOBELCO Millcon Steel Co.,Ltd|23P1222582</t>
  </si>
  <si>
    <t>PD25121246|SB0516|KOBE_S45CS1-RP-QT_32.2_5500|JGF02-002190-31-2|RACK BAR BLANK|963.00|KGS|27.00|PCS|TSK-PRD3|SB120176/2/25|5A5913|KOBE|KOBE|23P1243691</t>
  </si>
  <si>
    <t>PD25121246|SB0516|KOBE_S45CS1-RP-QT_32.2_5500|JGF02-002190-31-2|RACK BAR BLANK|963.00|KGS|27.00|PCS|TSK-PRD3|SB120176/3/25|5A5913|KOBE|KOBE|23P1243692</t>
  </si>
  <si>
    <t>PD25121246|SB0516|KOBE_S45CS1-RP-QT_32.2_5500|JGF02-002190-31-2|RACK BAR BLANK|963.00|KGS|27.00|PCS|TSK-PRD3|SB120176/4/25|5A5913|KOBE|KOBE|23P1243693</t>
  </si>
  <si>
    <t>PD25121246|SB0516|KOBE_S45CS1-RP-QT_32.2_5500|JGF02-002190-31-2|RACK BAR BLANK|963.00|KGS|27.00|PCS|TSK-PRD3|SB120176/5/25|5A5913|KOBE|KOBE|23P1243694</t>
  </si>
  <si>
    <t>PD26010108|SB0417|CSC_SWRCH12A_34.0_5000|8A10524|CAP RESERVOIR|1,073.00|KGS|30.00|pcs|TSK-PRD3|SB010003/1/26|3V096|||23P1248887</t>
  </si>
  <si>
    <t>PD26010170|SB0187|NSC_S48C_15.20_4000|TG028993-557B|SHAFT STARTER ARMATURE, 1W|205.00|KGS|35.00|PCS|TSK-PRD3|SB120140/3/25|E586473|||23P1249768</t>
  </si>
  <si>
    <t>PD26010246|SB0158|JFE_S25C_43.0_6200|16171-05030|SEAT,WATER PUMP PULLEY|990.00|KGS|14.00|PCS|TSK-PRD3|SB010013/4/26|665898|||23P1251160</t>
  </si>
  <si>
    <t>PD26010300|SB0519|NSC_S35C_25.7_5800|2590S0328P|Shaft T Sensor|1,013.00|KGS|42.00|pcs|TSK-PRD3|SB010020/3/26|E484056|NSC-KYUSHU WORKS|Nippon Steel Corporation|23P1252644</t>
  </si>
  <si>
    <t>PD26010300|SB0519|NSC_S35C_25.7_5800|2590S0328P|Shaft T Sensor|1,037.00|KGS|43.00|pcs|TSK-PRD3|SB010020/4/26|E484056|NSC-KYUSHU WORKS|Nippon Steel Corporation|23P1252647</t>
  </si>
  <si>
    <t>PD26010253|MB0033|S25C Dia 60.00x4000-5500 mm.|141411-60140-20|Piston Disc Brake, Forging|1,952.00|KGS|16.00|PCS|TSK-PRD3|2B2600078|663961|JFE-SC|JFE Steel Corporation|23P1251427</t>
  </si>
  <si>
    <t>PD26010048|SB0484|NSC_S45CS1-V_32.25_5540|JGD10-001230-40-0|RACK, PS|890.00|KGS|25.00|PCS|TSK-PRD3|SB120194/1/25|E586236|||23P1247351</t>
  </si>
  <si>
    <t>PD26010048|SB0484|NSC_S45CS1-V_32.25_5540|JGD10-001230-40-0|RACK, PS|890.00|KGS|25.00|PCS|TSK-PRD3|SB120194/2/25|E586236|||23P1247352</t>
  </si>
  <si>
    <t>PD25120793|SB0503|POSCO_SWRCH35K_18.27_4660|2550T0749P|SHAFT SPLINE|1,010.00|KGS|105.00|pcs|TSK-PRD3|SB120101/2/25|SF93402|||23P1230861</t>
  </si>
  <si>
    <t>PD25121185|SB0024|NSC_S45CS1-QDS_30.35_3060|2-30JG-0711|RACK POWER STEERING|876.00|KGS|50.00|PCS|TSK-PRD3|SB120150/5/25|E586100|||23P1242209</t>
  </si>
  <si>
    <t>PD25121185|SB0024|NSC_S45CS1-QDS_30.35_3060|2-30JG-0711|RACK POWER STEERING|876.00|KGS|50.00|PCS|TSK-PRD3|SB120150/6/25|E586100|||23P1242210</t>
  </si>
  <si>
    <t>PD25121185|SB0024|NSC_S45CS1-QDS_30.35_3060|2-30JG-0711|RACK POWER STEERING|876.00|KGS|50.00|PCS|TSK-PRD3|SB120150/4/25|E586100|||23P1242208</t>
  </si>
  <si>
    <t>PD25121184|SB0024|NSC_S45CS1-QDS_30.35_3060|2-30JG-0711|RACK POWER STEERING|876.00|KGS|50.00|PCS|TSK-PRD3|SB120150/3/25|E586100|||23P1242206</t>
  </si>
  <si>
    <t>PD25121184|SB0024|NSC_S45CS1-QDS_30.35_3060|2-30JG-0711|RACK POWER STEERING|876.00|KGS|50.00|PCS|TSK-PRD3|SB120150/1/25|E586100|||23P1242199</t>
  </si>
  <si>
    <t>PD26010112|SB0412|NSC_S45CS1-QDS_Dia.27.95_2980|JGD10-001150-40-1|Rack, PS|868.00|KGS|60.00|PCS|TSK-PRD3|SB120199/1/25|E585970|||23P1248903</t>
  </si>
  <si>
    <t>PD25121130|SB0135|NSC_S45CS1-QDS_26.0_3460|JGC10-003140-40-0|RACK, MS|710.00|KGS|49.00|PCS|TSK-PRD3|SB120156/5/25|E586613|||23P1240177</t>
  </si>
  <si>
    <t>PD25121130|SB0135|NSC_S45CS1-QDS_26.0_3460|JGC10-003140-40-0|RACK, MS|694.00|KGS|48.00|PCS|TSK-PRD3|SB120156/6/25|E586613|||23P1240178</t>
  </si>
  <si>
    <t>PD25121130|SB0135|NSC_S45CS1-QDS_26.0_3460|JGC10-003140-40-0|RACK, MS|16.00|KGS|1.00|PCS|TSK-PRD3|SB120156/7/25|E586613|||23P1240179</t>
  </si>
  <si>
    <t>PD26010256|SB0103|KMS_DSS1_14.47_6000|TG028152-5180|Pole Core|1,024.00|KGS|132.00|PCS|TSK-PRD3|SB010017/2/26|KS005C9016|KMS|KOBELCO Millcon Steel Co.,Ltd|23P1252273</t>
  </si>
  <si>
    <t>PD26010253|MB0033|S25C Dia 60.00x4000-5500 mm.|141411-60140-20|Piston Disc Brake, Forging|1,952.00|KGS|16.00|PCS|TSK-PRD3|2B2600079|663961|JFE-SC|JFE Steel Corporation|23P1251428</t>
  </si>
  <si>
    <t>PD25120032|SB0206|JFE_S48C_18.93+0/-0.052_3350|TG028993-6160|SHAFT STARTER ARMATURE, 1W|1,229.00|KGS|166.00|PCS|TSK-PRD3|SB110198/4/25|2-72446|||23P1213350</t>
  </si>
  <si>
    <t>เปลี่ยนใบเลื่อย/เปลี่ยนงาน</t>
  </si>
  <si>
    <t>PD26010048|SB0484|NSC_S45CS1-V_32.25_5540|JGD10-001230-40-0|RACK, PS|890.00|KGS|25.00|PCS|TSK-PRD3|SB120194/3/25|E586236|||23P1247353</t>
  </si>
  <si>
    <t>PD26010049|SB0484|NSC_S45CS1-V_32.25_5540|JGD10-001230-40-0|RACK, PS|890.00|KGS|25.00|PCS|TSK-PRD3|SB120194/5/25|E586236|||23P1247359</t>
  </si>
  <si>
    <t>PD26010049|SB0484|NSC_S45CS1-V_32.25_5540|JGD10-001230-40-0|RACK, PS|890.00|KGS|25.00|PCS|TSK-PRD3|SB120194/4/25|E586236|||23P1247357</t>
  </si>
  <si>
    <t>PD26010049|SB0484|NSC_S45CS1-V_32.25_5540|JGD10-001230-40-0|RACK, PS|890.00|KGS|25.00|PCS|TSK-PRD3|SB120194/6/25|E586236|||23P1247362</t>
  </si>
  <si>
    <t>PD26010172|SB0338|NSC_S45CS1-V_26.0_3480_JAMY|JGC10-M09008-51-0|RACK BAR|874.00|KGS|60.00|PCS|TSK-PRD3|SB010005/3/26|E586966|||23P1250500</t>
  </si>
  <si>
    <t>PD26010172|SB0338|NSC_S45CS1-V_26.0_3480_JAMY|JGC10-M09008-51-0|RACK BAR|874.00|KGS|60.00|PCS|TSK-PRD3|SB010005/4/26|E586966|||23P1250501</t>
  </si>
  <si>
    <t>PD26010174|SB0338|NSC_S45CS1-V_26.0_3480_JAMY|JGC10-M09008-51-0|RACK BAR|874.00|KGS|60.00|PCS|TSK-PRD3|SB010008/1/26|E586966|||23P1250505</t>
  </si>
  <si>
    <t>PD26010174|SB0338|NSC_S45CS1-V_26.0_3480_JAMY|JGC10-M09008-51-0|RACK BAR|874.00|KGS|60.00|PCS|TSK-PRD3|SB010008/2/26|E586966|||23P1250506</t>
  </si>
  <si>
    <t>PD26010353|SB0413|NSC_S45CS1-QDS_24.00_3250/3810|JGC10-003280-40-0|Rack, MS|874.00|KGS|70.00|pcs|TSK-PRD3|SB010032/1/26|E586613|||23P1254061</t>
  </si>
  <si>
    <t>PD26010353|SB0413|NSC_S45CS1-QDS_24.00_3250/3810|JGC10-003280-40-0|Rack, MS|874.00|KGS|70.00|pcs|TSK-PRD3|SB010032/2/26|E586613|||23P1254223</t>
  </si>
  <si>
    <t>PD26010353|SB0413|NSC_S45CS1-QDS_24.00_3250/3810|JGC10-003280-40-0|Rack, MS|874.00|KGS|70.00|pcs|TSK-PRD3|SB010032/3/26|E586613|||23P1254224</t>
  </si>
  <si>
    <t>PD25121184|SB0024|NSC_S45CS1-QDS_30.35_3060|2-30JG-0711|RACK POWER STEERING|876.00|KGS|50.00|PCS|TSK-PRD3|SB120150/2/25|E586100|||23P1242205</t>
  </si>
  <si>
    <t>PD26010348|SB0143|NSC_S45CS1-V_26.0_3480|JGC10S002020-B|RACK BAR|870.00|KGS|60.00|PCS|TSK-PRD3|SB010029/2/26|E586664|||23P1253943</t>
  </si>
  <si>
    <t>PD26010348|SB0143|NSC_S45CS1-V_26.0_3480|JGC10S002020-B|RACK BAR|870.00|KGS|60.00|PCS|TSK-PRD3|SB010029/1/26|E586664|||23P1253942</t>
  </si>
  <si>
    <t>PD25120793|SB0503|POSCO_SWRCH35K_18.27_4660|2550T0749P|SHAFT SPLINE|1,010.00|KGS|105.00|pcs|TSK-PRD3|SB120101/1/25|SF93402|||23P1230853</t>
  </si>
  <si>
    <t>PD26010246|SB0158|JFE_S25C_43.0_6200|16171-05030|SEAT,WATER PUMP PULLEY|990.00|KGS|14.00|PCS|TSK-PRD3|SB010013/5/26|665898|||23P1251161</t>
  </si>
  <si>
    <t>PD26010298|SB0519|NSC_S35C_25.7_5800|2590S0328P|Shaft T Sensor|1,053.00|KGS|44.00|pcs|TSK-PRD3|SB010020/2/26|E484056|NSC-KYUSHU WORKS|Nippon Steel Corporation|23P1252640</t>
  </si>
  <si>
    <t>PD26010110|FP0346|RACK (510-30149-020)|510-30149-020|RACK|200.00|PCS|327.00|KGS|TSK2|FB010050/3/26|5C1361|C00137|Astemo (Thailand)</t>
  </si>
  <si>
    <t>PD26010110|FP0346|RACK (510-30149-020)|510-30149-020|RACK|200.00|PCS|327.00|KGS|TSK2|FB010050/4/26|5C1361|C00137|Astemo (Thailand)</t>
  </si>
  <si>
    <t>PD26010110|FP0346|RACK (510-30149-020)|510-30149-020|RACK|200.00|PCS|327.00|KGS|TSK2|FB010050/5/26|5C1361|C00137|Astemo (Thailand)</t>
  </si>
  <si>
    <t>PD26010110|FP0346|RACK (510-30149-020)|510-30149-020|RACK|200.00|PCS|327.00|KGS|TSK2|FB010050/6/26|5C1361|C00137|Astemo (Thailand)</t>
  </si>
  <si>
    <t>PD25120708|Heat#1|FP0521|RACK BAR BLANK (JGF02-002190-31-2) 5K45|JGF02-002190-31-2|RACK BAR BLANK|58.00|PCS|280.00|kgs|TSK2|FB120218/17/25|5C1880</t>
  </si>
  <si>
    <t>PD25120708|Heat#1|FP0521|RACK BAR BLANK (JGF02-002190-31-2) 5K45|JGF02-002190-31-2|RACK BAR BLANK|58.00|PCS|280.00|kgs|TSK2|FB120218/20/25|5C1880</t>
  </si>
  <si>
    <t>PD25120708|Heat#1|FP0521|RACK BAR BLANK (JGF02-002190-31-2) 5K45|JGF02-002190-31-2|RACK BAR BLANK|58.00|PCS|280.00|kgs|TSK2|FB120218/15/25|5C1880</t>
  </si>
  <si>
    <t>PD25120708|Heat#1|FP0521|RACK BAR BLANK (JGF02-002190-31-2) 5K45|JGF02-002190-31-2|RACK BAR BLANK|58.00|PCS|280.00|kgs|TSK2|FB120218/18/25|5C1880</t>
  </si>
  <si>
    <t>PD25120708|Heat#1|FP0521|RACK BAR BLANK (JGF02-002190-31-2) 5K45|JGF02-002190-31-2|RACK BAR BLANK|58.00|PCS|280.00|kgs|TSK2|FB120218/16/25|5C1880</t>
  </si>
  <si>
    <t>PD25120708|Heat#1|FP0521|RACK BAR BLANK (JGF02-002190-31-2) 5K45|JGF02-002190-31-2|RACK BAR BLANK|58.00|PCS|280.00|kgs|TSK2|FB120218/19/25|5C1880</t>
  </si>
  <si>
    <t>PD25120032|SB0206|JFE_S48C_18.93+0/-0.052_3350|TG028993-6160|SHAFT STARTER ARMATURE, 1W|1,229.00|KGS|166.00|PCS|TSK-PRD3|SB110198/3/25|2-72446|||23P1213349</t>
  </si>
  <si>
    <t>PD26010354|SB0413|NSC_S45CS1-QDS_24.00_3250/3810|JGC10-003280-40-0|Rack, MS|874.00|KGS|70.00|pcs|TSK-PRD3|SB010032/5/26|E586613|||23P1254228</t>
  </si>
  <si>
    <t>PD26010354|SB0413|NSC_S45CS1-QDS_24.00_3250/3810|JGC10-003280-40-0|Rack, MS|874.00|KGS|70.00|pcs|TSK-PRD3|SB010032/6/26|E586613|||23P1254229</t>
  </si>
  <si>
    <t>PD26010354|SB0413|NSC_S45CS1-QDS_24.00_3250/3810|JGC10-003280-40-0|Rack, MS|874.00|KGS|70.00|pcs|TSK-PRD3|SB010032/4/26|E586613|||23P1254225</t>
  </si>
  <si>
    <t>PD26010174|SB0338|NSC_S45CS1-V_26.0_3480_JAMY|JGC10-M09008-51-0|RACK BAR|874.00|KGS|60.00|PCS|TSK-PRD3|SB010008/3/26|E586966|||23P1250508</t>
  </si>
  <si>
    <t>PD26010340|SB0139|NSC_S45CS1-QDS_32.25_5540|JGD10S00670-B|RACK, PS|895.00|KGS|25.00|PCS|TSK-PRD3|SB010023/1/26|E586447|||23P1253931</t>
  </si>
  <si>
    <t>PD26010340|SB0139|NSC_S45CS1-QDS_32.25_5540|JGD10S00670-B|RACK, PS|895.00|KGS|25.00|PCS|TSK-PRD3|SB010023/2/26|E586447|||23P1253932</t>
  </si>
  <si>
    <t>PD26010351|SB0338|NSC_S45CS1-V_26.0_3480_JAMY|JGC10-M09008-51-0|RACK BAR|870.00|KGS|60.00|PCS|TSK-PRD3|SB010024/1/26|E586966|||23P1253949</t>
  </si>
  <si>
    <t>PD26010351|SB0338|NSC_S45CS1-V_26.0_3480_JAMY|JGC10-M09008-51-0|RACK BAR|870.00|KGS|60.00|PCS|TSK-PRD3|SB010024/2/26|E586966|||23P1253950</t>
  </si>
  <si>
    <t>PD26010351|SB0338|NSC_S45CS1-V_26.0_3480_JAMY|JGC10-M09008-51-0|RACK BAR|870.00|KGS|60.00|PCS|TSK-PRD3|SB010024/3/26|E586966|||23P1253951</t>
  </si>
  <si>
    <t>PD26010352|SB0338|NSC_S45CS1-V_26.0_3480_JAMY|JGC10-M09008-51-0|RACK BAR|870.00|KGS|60.00|PCS|TSK-PRD3|SB010024/4/26|E586966|||23P1253954</t>
  </si>
  <si>
    <t>PD26010349|SB0143|NSC_S45CS1-V_26.0_3480|JGC10S002020-B|RACK BAR|870.00|KGS|60.00|PCS|TSK-PRD3|SB010029/4/26|E586664|||23P1253947</t>
  </si>
  <si>
    <t>PD26010349|SB0143|NSC_S45CS1-V_26.0_3480|JGC10S002020-B|RACK BAR|870.00|KGS|60.00|PCS|TSK-PRD3|SB010029/3/26|E586664|||23P1253945</t>
  </si>
  <si>
    <t>PD26010110|FP0346|RACK (510-30149-020)|510-30149-020|RACK|30.00|PCS|49.00|KGS|TSK2|FB010050/8/26|5C1361|C00137|Astemo (Thailand)</t>
  </si>
  <si>
    <t>PD26010111|FP0346|RACK (510-30149-020)|510-30149-020|RACK|170.00|PCS|278.00|KGS|TSK2|FB010061/1/26|5C1361|C00137|Astemo (Thailand)</t>
  </si>
  <si>
    <t>PD26010111|FP0346|RACK (510-30149-020)|510-30149-020|RACK|200.00|PCS|327.00|KGS|TSK2|FB010061/4/26|5C1361|C00137|Astemo (Thailand)</t>
  </si>
  <si>
    <t>PD26010110|FP0346|RACK (510-30149-020)|510-30149-020|RACK|200.00|PCS|327.00|KGS|TSK2|FB010050/7/26|5C1361|C00137|Astemo (Thailand)</t>
  </si>
  <si>
    <t>PD25120355|SB0503|POSCO_SWRCH35K_18.27_4660|2550T0749P|SHAFT SPLINE|990.00|KGS|103.00|pcs|TSK-PRD3|SB120044/3/25|SF93402|||23P1221234</t>
  </si>
  <si>
    <t>PD25120355|SB0503|POSCO_SWRCH35K_18.27_4660|2550T0749P|SHAFT SPLINE|1,036.00|KGS|108.00|pcs|TSK-PRD3|SB120044/4/25|SF93402|||23P1221235</t>
  </si>
  <si>
    <t>PD26010246|SB0158|JFE_S25C_43.0_6200|16171-05030|SEAT,WATER PUMP PULLEY|990.00|KGS|14.00|PCS|TSK-PRD3|SB010013/6/26|665898|||23P1251162</t>
  </si>
  <si>
    <t>PD26010298|SB0519|NSC_S35C_25.7_5800|2590S0328P|Shaft T Sensor|1,013.00|KGS|42.00|pcs|TSK-PRD3|SB010020/1/26|E484056|NSC-KYUSHU WORKS|Nippon Steel Corporation|23P1252639</t>
  </si>
  <si>
    <t>PD26010256|SB0103|KMS_DSS1_14.47_6000|TG028152-5180|Pole Core|1,024.00|KGS|132.00|PCS|TSK-PRD3|SB010017/1/26|KS005C9016|KMS|KOBELCO Millcon Steel Co.,Ltd|23P1252272</t>
  </si>
  <si>
    <t>PD26010422|SB0103|KMS_DSS1_14.47_6000|TG028152-5180|Pole Core|1,016.00|KGS|131.00|PCS|TSK-PRD3|SB010017/4/26|KS005C9016|KMS|KOBELCO Millcon Steel Co.,Ltd|23P1256063</t>
  </si>
  <si>
    <t>PD25120708|Heat#1|FP0521|RACK BAR BLANK (JGF02-002190-31-2) 5K45|JGF02-002190-31-2|RACK BAR BLANK|48.00|PCS|232.00|kgs|TSK2|FB120218/21/25|5C1880</t>
  </si>
  <si>
    <t>PD25121210|Heat#1|FP0521|RACK BAR BLANK (JGF02-002190-31-2) 5K45|JGF02-002190-31-2|RACK BAR BLANK|58.00|PCS|280.00|kgs|TSK2|FB120343/9/25|5A5658</t>
  </si>
  <si>
    <t>PD25121210|Heat#1|FP0521|RACK BAR BLANK (JGF02-002190-31-2) 5K45|JGF02-002190-31-2|RACK BAR BLANK|58.00|PCS|280.00|kgs|TSK2|FB120343/8/25|5A5658</t>
  </si>
  <si>
    <t>PD25121210|Heat#1|FP0521|RACK BAR BLANK (JGF02-002190-31-2) 5K45|JGF02-002190-31-2|RACK BAR BLANK|58.00|PCS|280.00|kgs|TSK2|FB120343/11/25|5A5658</t>
  </si>
  <si>
    <t>PD26010257|SB0482|JFE_S45CS1-QDS_32.25_3000|JGD10-000751/000761-A|RACK BAR|986.00|KGS|51.00|pcs|TSK-PRD3|SB010010/1/26|665076|JFE-SC|JFE Steel Corporation|23P1252276</t>
  </si>
  <si>
    <t>PD26010257|SB0482|JFE_S45CS1-QDS_32.25_3000|JGD10-000751/000761-A|RACK BAR|986.00|KGS|51.00|pcs|TSK-PRD3|SB010010/2/26|665076|JFE-SC|JFE Steel Corporation|23P1252277</t>
  </si>
  <si>
    <t>PD26010257|SB0482|JFE_S45CS1-QDS_32.25_3000|JGD10-000751/000761-A|RACK BAR|986.00|KGS|51.00|pcs|TSK-PRD3|SB010010/3/26|665076|JFE-SC|JFE Steel Corporation|23P1252278</t>
  </si>
  <si>
    <t>PD26010341|SB0139|NSC_S45CS1-QDS_32.25_5540|JGD10S00670-B|RACK, PS|895.00|KGS|25.00|PCS|TSK-PRD3|SB010023/3/26|E586447|||23P1253934</t>
  </si>
  <si>
    <t>PD26010341|SB0139|NSC_S45CS1-QDS_32.25_5540|JGD10S00670-B|RACK, PS|895.00|KGS|25.00|PCS|TSK-PRD3|SB010023/4/26|E586447|||23P1253935</t>
  </si>
  <si>
    <t>PD26010342|SB0139|NSC_S45CS1-QDS_32.25_5540|JGD10S00670-B|RACK, PS|860.00|KGS|24.00|PCS|TSK-PRD3|SB010023/6/26|E586447|||23P1253938</t>
  </si>
  <si>
    <t>PD26010342|SB0139|NSC_S45CS1-QDS_32.25_5540|JGD10S00670-B|RACK, PS|35.00|KGS|1.00|PCS|TSK-PRD3|SB010023/7/26|E586447|||23P1253939</t>
  </si>
  <si>
    <t>PD26010342|SB0139|NSC_S45CS1-QDS_32.25_5540|JGD10S00670-B|RACK, PS|895.00|KGS|25.00|PCS|TSK-PRD3|SB010023/5/26|E586447|||23P1253937</t>
  </si>
  <si>
    <t>PD26010414|SB0130|NSC_S45CS1-QDS_24.0_3170|JGC10-001180-S|RACK, MS|902.00|KGS|80.00|PCS|TSK-PRD3|SB010036/2/26|E585970|||23P1255931</t>
  </si>
  <si>
    <t>PD26010422|SB0103|KMS_DSS1_14.47_6000|TG028152-5180|Pole Core|1,016.00|KGS|131.00|PCS|TSK-PRD3|SB010017/3/26|KS005C9016|KMS|KOBELCO Millcon Steel Co.,Ltd|23P1256051</t>
  </si>
  <si>
    <t>PD26010473|MB0028|S25C Dia 40.00x5500 mm.|ZZ2B7401TX1|FLANGE-13 SLUG|1,955.00|KGS|36.00|PCS|TSK-PRD3|2B2600090|2-73052|JFE-SC|JFE Steel Corporation|23P1256598</t>
  </si>
  <si>
    <t>PD26010423|SB0066|NSC_SCM415_44.00+/-0.2_5700|TGY28987-0060|Pinion Starter 2 W|1,092.00|KGS|16.00|PCS|TSK-PRD3|SB010037/3/26|E586056|||23P1256098</t>
  </si>
  <si>
    <t>PD26010421|SB0002|NSC_SCM415_21_5000|TG028986-0050|Barrel|1,034.00|KGS|76.00|PCS|TSK-PRD3|SB010035/1/26|E484264|||23P1256037</t>
  </si>
  <si>
    <t>PD26010539|SB0520|NSC_S35C_21.90_5420|2550S0666P|SHAFT SPLINE|1,040.00|KGS|64.00|PCS|TSK-PRD3|SB010031/3/26|E484056|NSC-KYUSHU WORKS|Nippon Steel Corporation|23P1258085</t>
  </si>
  <si>
    <t>ลัคนา</t>
  </si>
  <si>
    <t>PD26010539|SB0520|NSC_S35C_21.90_5420|2550S0666P|SHAFT SPLINE|1,040.00|KGS|64.00|PCS|TSK-PRD3|SB010031/4/26|E484056|NSC-KYUSHU WORKS|Nippon Steel Corporation|23P1258088</t>
  </si>
  <si>
    <t>PD26010245|SB0158|JFE_S25C_43.0_6200|16171-05030|SEAT,WATER PUMP PULLEY|990.00|KGS|14.00|PCS|TSK-PRD3|SB010013/2/26|665898|||23P1251158</t>
  </si>
  <si>
    <t>PD26010425|SB0124|NSC_S35C_19.0_5430|2528S0250C|STG.SHAFT|1,000.00|KGS|82.00|PCS|TSK-PRD3|SB010038/3/26|E484056|||23P1256144</t>
  </si>
  <si>
    <t>PD26010425|SB0124|NSC_S35C_19.0_5430|2528S0250C|STG.SHAFT|1,027.00|KGS|85.00|PCS|TSK-PRD3|SB010038/4/26|E484056|||23P1256145</t>
  </si>
  <si>
    <t>PD26010352|SB0338|NSC_S45CS1-V_26.0_3480_JAMY|JGC10-M09008-51-0|RACK BAR|1,274.00|KGS|88.00|PCS|TSK-PRD3|SB010024/5/26|E586966|||23P1253958</t>
  </si>
  <si>
    <t>PD26010413|SB0130|NSC_S45CS1-QDS_24.0_3170|JGC10-003770-40-0|Rack, MS|902.00|KGS|80.00|PCS|TSK-PRD3|SB010034/5/26|E585970|||23P1255928</t>
  </si>
  <si>
    <t>PD26010413|SB0130|NSC_S45CS1-QDS_24.0_3170|JGC10-003770-40-0|Rack, MS|902.00|KGS|80.00|PCS|TSK-PRD3|SB010034/6/26|E585970|||23P1255929</t>
  </si>
  <si>
    <t>PD26010111|Cutting#1|FP0346|RACK (510-30149-020)|510-30149-020|RACK|200.00|PCS|327.00|KGS|TSK2|FB010061/3/26|5C1361</t>
  </si>
  <si>
    <t>PD26010111|Cutting#1|FP0346|RACK (510-30149-020)|510-30149-020|RACK|200.00|PCS|327.00|KGS|TSK2|FB010061/6/26|5C1361</t>
  </si>
  <si>
    <t>PD26010111|Cutting#1|FP0346|RACK (510-30149-020)|510-30149-020|RACK|200.00|PCS|327.00|KGS|TSK2|FB010061/2/26|5C1361</t>
  </si>
  <si>
    <t>PD26010111|Cutting#1|FP0346|RACK (510-30149-020)|510-30149-020|RACK|200.00|PCS|327.00|KGS|TSK2|FB010061/5/26|5C1361</t>
  </si>
  <si>
    <t>PD25121210|Heat#1|FP0521|RACK BAR BLANK (JGF02-002190-31-2) 5K45|JGF02-002190-31-2|RACK BAR BLANK|58.00|PCS|280.00|kgs|TSK2|FB120343/10/25|5A5658</t>
  </si>
  <si>
    <t>PD25121210|Heat#1|FP0521|RACK BAR BLANK (JGF02-002190-31-2) 5K45|JGF02-002190-31-2|RACK BAR BLANK|58.00|PCS|280.00|kgs|TSK2|FB120343/5/25|5A5658</t>
  </si>
  <si>
    <t>PD25121210|Heat#1|FP0521|RACK BAR BLANK (JGF02-002190-31-2) 5K45|JGF02-002190-31-2|RACK BAR BLANK|58.00|PCS|280.00|kgs|TSK2|FB120343/4/25|5A5658</t>
  </si>
  <si>
    <t>PD25121210|Heat#1|FP0521|RACK BAR BLANK (JGF02-002190-31-2) 5K45|JGF02-002190-31-2|RACK BAR BLANK|58.00|PCS|280.00|kgs|TSK2|FB120343/17/25|5A5658</t>
  </si>
  <si>
    <t>PD25121210|Heat#1|FP0521|RACK BAR BLANK (JGF02-002190-31-2) 5K45|JGF02-002190-31-2|RACK BAR BLANK|58.00|PCS|280.00|kgs|TSK2|FB120343/16/25|5A5658</t>
  </si>
  <si>
    <t>PD25121210|Heat#1|FP0521|RACK BAR BLANK (JGF02-002190-31-2) 5K45|JGF02-002190-31-2|RACK BAR BLANK|58.00|PCS|280.00|kgs|TSK2|FB120343/13/25|5A5658</t>
  </si>
  <si>
    <t>PD25121210|Heat#1|FP0521|RACK BAR BLANK (JGF02-002190-31-2) 5K45|JGF02-002190-31-2|RACK BAR BLANK|58.00|PCS|280.00|kgs|TSK2|FB120343/12/25|5A5658</t>
  </si>
  <si>
    <t>PD25121210|Heat#1|FP0521|RACK BAR BLANK (JGF02-002190-31-2) 5K45|JGF02-002190-31-2|RACK BAR BLANK|58.00|PCS|280.00|kgs|TSK2|FB120343/3/25|5A5658</t>
  </si>
  <si>
    <t>PD26010414|SB0130|NSC_S45CS1-QDS_24.0_3170|JGC10-001180-S|RACK, MS|902.00|KGS|80.00|PCS|TSK-PRD3|SB010036/1/26|E585970|||23P1255930</t>
  </si>
  <si>
    <t>PD26010414|SB0130|NSC_S45CS1-QDS_24.0_3170|JGC10-001180-S|RACK, MS|902.00|KGS|80.00|PCS|TSK-PRD3|SB010036/3/26|E585970|||23P1255932</t>
  </si>
  <si>
    <t>PD26010415|SB0130|NSC_S45CS1-QDS_24.0_3170|JGC10-001180-S|RACK, MS|902.00|KGS|80.00|PCS|TSK-PRD3|SB010036/4/26|E585970|||23P1255933</t>
  </si>
  <si>
    <t>PD26010428|SB0232|NSC_S43C_36.80_5100|TGY95613-0020|SLUG VALVE ROTARY|984.00|KGS|23.00|PCS|TSK-PRD3|SB010040/5/26|E585734|||23P1256164</t>
  </si>
  <si>
    <t>198.20 0020</t>
  </si>
  <si>
    <t>PD26010413|SB0130|NSC_S45CS1-QDS_24.0_3170|JGC10-003770-40-0|Rack, MS|902.00|KGS|80.00|PCS|TSK-PRD3|SB010034/4/26|E585970|||23P1255927</t>
  </si>
  <si>
    <t>PD26010412|SB0130|NSC_S45CS1-QDS_24.0_3170|JGC10-003770-40-0|Rack, MS|902.00|KGS|80.00|PCS|TSK-PRD3|SB010034/3/26|E585970|||23P1255926</t>
  </si>
  <si>
    <t>PD26010412|SB0130|NSC_S45CS1-QDS_24.0_3170|JGC10-003770-40-0|Rack, MS|902.00|KGS|80.00|PCS|TSK-PRD3|SB010034/1/26|E585970|||23P1255924</t>
  </si>
  <si>
    <t xml:space="preserve"> PD26010258|SB0482|JFE_S45CS1-QDS_32.25_3000|JGD10-000751/000761-A|RACK BAR|986.00|KGS|51.00|pcs|TSK-PRD3|SB010010/4/26|665076|JFE-SC|JFE Steel Corporation|23P1252279</t>
  </si>
  <si>
    <t>PD26010258|SB0482|JFE_S45CS1-QDS_32.25_3000|JGD10-000751/000761-A|RACK BAR|986.00|KGS|51.00|pcs|TSK-PRD3|SB010010/6/26|665076|JFE-SC|JFE Steel Corporation|23P1252281</t>
  </si>
  <si>
    <t>PD26010258|SB0482|JFE_S45CS1-QDS_32.25_3000|JGD10-000751/000761-A|RACK BAR|986.00|KGS|51.00|pcs|TSK-PRD3|SB010010/5/26|665076|JFE-SC|JFE Steel Corporation|23P1252280</t>
  </si>
  <si>
    <t>PD26010259|SB0482|JFE_S45CS1-QDS_32.25_3000|JGD10-000751/000761-A|RACK BAR|986.00|KGS|51.00|pcs|TSK-PRD3|SB010011/2/26|665076|JFE-SC|JFE Steel Corporation|23P1252283</t>
  </si>
  <si>
    <t>PD26010259|SB0482|JFE_S45CS1-QDS_32.25_3000|JGD10-000751/000761-A|RACK BAR|986.00|KGS|51.00|pcs|TSK-PRD3|SB010011/1/26|665076|JFE-SC|JFE Steel Corporation|23P1252282</t>
  </si>
  <si>
    <t>PD25121246|SB0516|KOBE_S45CS1-RP-QT_32.2_5500|JGF02-002190-31-2|RACK BAR BLANK|963.00|KGS|27.00|PCS|TSK-PRD3|SB120176/6/25|5A5913|KOBE|KOBE|23P1243695</t>
  </si>
  <si>
    <t>PD25120570|SB0515|KOBE_S45CS1-RP-QT_32.2_5350|JGF02-002060-31-3|RACK BAR BLANK|932.00|KGS|27.00|PCS|TSK-PRD3|SB120082/4/25|5B9507|KOBE|KOBE|23P1226175</t>
  </si>
  <si>
    <t>PD25120570|SB0515|KOBE_S45CS1-RP-QT_32.2_5350|JGF02-002060-31-3|RACK BAR BLANK|1,001.00|KGS|29.00|PCS|TSK-PRD3|SB120082/3/25|5B9507|KOBE|KOBE|23P1226174</t>
  </si>
  <si>
    <t>PD26010534|SB0520|NSC_S35C_21.90_5420|2550S0666P|SHAFT SPLINE|1,040.00|KGS|64.00|PCS|TSK-PRD3|SB010031/1/26|E484056|NSC-KYUSHU WORKS|Nippon Steel Corporation|23P1258060</t>
  </si>
  <si>
    <t>PD26010534|SB0520|NSC_S35C_21.90_5420|2550S0666P|SHAFT SPLINE|1,040.00|KGS|64.00|PCS|TSK-PRD3|SB010031/2/26|E484056|NSC-KYUSHU WORKS|Nippon Steel Corporation|23P1258061</t>
  </si>
  <si>
    <t>PD26010245|SB0158|JFE_S25C_43.0_6200|16171-05030|SEAT,WATER PUMP PULLEY|990.00|KGS|14.00|PCS|TSK-PRD3|SB010013/3/26|665898|||23P1251159</t>
  </si>
  <si>
    <t>PD25121210|Heat#1|FP0521|RACK BAR BLANK (JGF02-002190-31-2) 5K45|JGF02-002190-31-2|RACK BAR BLANK|58.00|PCS|280.00|kgs|TSK2|FB120343/6/25|5A5658</t>
  </si>
  <si>
    <t>PD25121210|Heat#1|FP0521|RACK BAR BLANK (JGF02-002190-31-2) 5K45|JGF02-002190-31-2|RACK BAR BLANK|58.00|PCS|280.00|kgs|TSK2|FB120343/19/25|5A5658</t>
  </si>
  <si>
    <t>PD25121210|Heat#1|FP0521|RACK BAR BLANK (JGF02-002190-31-2) 5K45|JGF02-002190-31-2|RACK BAR BLANK|58.00|PCS|280.00|kgs|TSK2|FB120343/7/25|5A56</t>
  </si>
  <si>
    <t>PD25121210|Heat#1|FP0521|RACK BAR BLANK (JGF02-002190-31-2) 5K45|JGF02-002190-31-2|RACK BAR BLANK|58.00|PCS|280.00|kgs|TSK2|FB120343/2/25|5A5658</t>
  </si>
  <si>
    <t>PD25121210|Heat#1|FP0521|RACK BAR BLANK (JGF02-002190-31-2) 5K45|JGF02-002190-31-2|RACK BAR BLANK|58.00|PCS|280.00|kgs|TSK2|FB120343/18/25|5A5658</t>
  </si>
  <si>
    <t>PD26010428|SB0232|NSC_S43C_36.80_5100|TGY95613-0020|SLUG VALVE ROTARY|940.00|KGS|22.00|PCS|TSK-PRD3|SB010040/6/26|E585734|||23P1256165</t>
  </si>
  <si>
    <t>PD26010423|SB0066|NSC_SCM415_44.00+/-0.2_5700|TGY28987-0060|Pinion Starter 2 W|820.00|KGS|12.00|PCS|TSK-PRD3|SB010037/1/26|E586056|||23P1256096</t>
  </si>
  <si>
    <t>PD26010473|MB0028|S25C Dia 40.00x5500 mm.|ZZ2B7401TX1|FLANGE-13 SLUG|1,086.00|KGS|20.00|PCS|TSK-PRD3|2B2600091|2-73052|JFE-SC|JFE Steel Corporation|23P1256599</t>
  </si>
  <si>
    <t>PD26010245|SB0158|JFE_S25C_43.0_6200|16171-05030|SEAT,WATER PUMP PULLEY|990.00|KGS|14.00|PCS|TSK-PRD3|SB010013/1/26|665898|||23P1251156</t>
  </si>
  <si>
    <t>PD26010421|SB0002|NSC_SCM415_21_5000|TG028986-0050|Barrel|1,034.00|KGS|76.00|PCS|TSK-PRD3|SB010035/2/26|E484264|||23P1256038</t>
  </si>
  <si>
    <t>PD26010415|SB0130|NSC_S45CS1-QDS_24.0_3170|JGC10-001180-S|RACK, MS|902.00|KGS|80.00|PCS|TSK-PRD3|SB010036/6/26|E585970|||23P1255935</t>
  </si>
  <si>
    <t>PD26010415|SB0130|NSC_S45CS1-QDS_24.0_3170|JGC10-001180-S|RACK, MS|902.00|KGS|80.00|PCS|TSK-PRD3|SB010036/5/26|E585970|||23P1255934</t>
  </si>
  <si>
    <t>PD26010396|SB0521|NSC_S35C_18_5650|2550S0593P|SHAFT SPLINE|980.00|KGS|86.00|PCS|TSK-PRD3|SB010026/2/26|E484056|||23P1254711</t>
  </si>
  <si>
    <t>PD26010396|SB0521|NSC_S35C_18_5650|2550S0593P|SHAFT SPLINE|993.00|KGS|88.00|PCS|TSK-PRD3|SB010026/1/26|E484056|||23P1254708</t>
  </si>
  <si>
    <t>PD26010511|SB0187|NSC_S48C_15.20_4000|TG028993-557B|SHAFT STARTER ARMATURE, 1W|205.00|KGS|35.00|PCS|TSK-PRD3|SB120140/6/25|E586473|||23P1257857</t>
  </si>
  <si>
    <t>PD26010511|SB0187|NSC_S48C_15.20_4000|TG028993-557B|SHAFT STARTER ARMATURE, 1W|205.00|KGS|35.00|PCS|TSK-PRD3|SB120140/7/25|E586473|||23P1257858</t>
  </si>
  <si>
    <t>PD25120570|SB0515|KOBE_S45CS1-RP-QT_32.2_5350|JGF02-002060-31-3|RACK BAR BLANK|967.00|KGS|28.00|PCS|TSK-PRD3|SB120082/1/25|5B9507|KOBE|KOBE|23P1226172</t>
  </si>
  <si>
    <t>PD25120570|SB0515|KOBE_S45CS1-RP-QT_32.2_5350|JGF02-002060-31-3|RACK BAR BLANK|967.00|KGS|28.00|PCS|TSK-PRD3|SB120082/2/25|5B9507|KOBE|KOBE|23P1226173</t>
  </si>
  <si>
    <t>PD25120622|SB0515|KOBE_S45CS1-RP-QT_32.2_5350|JGF02-002060-31-3|RACK BAR BLANK|967.00|KGS|28.00|PCS|TSK-PRD3|SB120085/1/25|5B0230|KOBE|KOBE|23P1227006</t>
  </si>
  <si>
    <t>PD25120622|SB0515|KOBE_S45CS1-RP-QT_32.2_5350|JGF02-002060-31-3|RACK BAR BLANK|967.00|KGS|28.00|PCS|TSK-PRD3|SB120085/2/25|5B0230|KOBE|KOBE|23P1227008</t>
  </si>
  <si>
    <t>PD26010259|SB0482|JFE_S45CS1-QDS_32.25_3000|JGD10-000751/000761-A|RACK BAR|986.00|KGS|51.00|pcs|TSK-PRD3|SB010011/3/26|665076|JFE-SC|JFE Steel Corporation|23P1252284</t>
  </si>
  <si>
    <t>PD26010261|SB0482|JFE_S45CS1-QDS_32.25_3000|JGD10-000751/000761-A|RACK BAR|986.00|KGS|51.00|pcs|TSK-PRD3|SB010016/1/26|665076|JFE-SC|JFE Steel Corporation|23P1252292</t>
  </si>
  <si>
    <t>PD26010261|SB0482|JFE_S45CS1-QDS_32.25_3000|JGD10-000751/000761-A|RACK BAR|986.00|KGS|51.00|pcs|TSK-PRD3|SB010016/3/26|665076|JFE-SC|JFE Steel Corporation|23P1252294</t>
  </si>
  <si>
    <t>PD26010261|SB0482|JFE_S45CS1-QDS_32.25_3000|JGD10-000751/000761-A|RACK BAR|986.00|KGS|51.00|pcs|TSK-PRD3|SB010016/2/26|665076|JFE-SC|JFE Steel Corporation|23P1252293</t>
  </si>
  <si>
    <t>PD26010260|SB0482|JFE_S45CS1-QDS_32.25_3000|JGD10-000751/000761-A|RACK BAR|986.00|KGS|51.00|pcs|TSK-PRD3|SB010011/4/26|665076|JFE-SC|JFE Steel Corporation|23P1252285</t>
  </si>
  <si>
    <t>PD25121210|Heat#1|FP0521|RACK BAR BLANK (JGF02-002190-31-2) 5K45|JGF02-002190-31-2|RACK BAR BLANK|58.00|PCS|280.00|kgs|TSK2|FB120343/15/25|5A5658</t>
  </si>
  <si>
    <t>PD25121210|Heat#1|FP0521|RACK BAR BLANK (JGF02-002190-31-2) 5K45|JGF02-002190-31-2|RACK BAR BLANK|58.00|PCS|280.00|kgs|TSK2|FB120343/14/25|5A5658</t>
  </si>
  <si>
    <t>PD25121210|Heat#1|FP0521|RACK BAR BLANK (JGF02-002190-31-2) 5K45|JGF02-002190-31-2|RACK BAR BLANK|58.00|PCS|280.00|kgs|TSK2|FB120343/1/25|5A5658</t>
  </si>
  <si>
    <t>PD25121210|Heat#1|FP0521|RACK BAR BLANK (JGF02-002190-31-2) 5K45|JGF02-002190-31-2|RACK BAR BLANK|32.00|PCS|154.00|kgs|TSK2|FB120343/20/25|5A5658</t>
  </si>
  <si>
    <t>PD25121243|Heat#1|FP0521|RACK BAR BLANK (JGF02-002190-31-2) 5K45|JGF02-002190-31-2|RACK BAR BLANK|26.00|PCS|126.00|kgs|TSK2|FB120351/1/25|5A5658</t>
  </si>
  <si>
    <t>PD25121243|Heat#1|FP0521|RACK BAR BLANK (JGF02-002190-31-2) 5K45|JGF02-002190-31-2|RACK BAR BLANK|58.00|PCS|280.00|kgs|TSK2|FB120351/3/25|5A5658</t>
  </si>
  <si>
    <t>PD25121243|Heat#1|FP0521|RACK BAR BLANK (JGF02-002190-31-2) 5K45|JGF02-002190-31-2|RACK BAR BLANK|58.00|PCS|280.00|kgs|TSK2|FB120351/9/25|5A5658</t>
  </si>
  <si>
    <t>PD25121243|Heat#1|FP0521|RACK BAR BLANK (JGF02-002190-31-2) 5K45|JGF02-002190-31-2|RACK BAR BLANK|58.00|PCS|280.00|kgs|TSK2|FB120351/7/25|5A5658</t>
  </si>
  <si>
    <t>PD25121243|Heat#1|FP0521|RACK BAR BLANK (JGF02-002190-31-2) 5K45|JGF02-002190-31-2|RACK BAR BLANK|58.00|PCS|280.00|kgs|TSK2|FB120351/8/25|5A5658</t>
  </si>
  <si>
    <t>PD25121243|Heat#1|FP0521|RACK BAR BLANK (JGF02-002190-31-2) 5K45|JGF02-002190-31-2|RACK BAR BLANK|58.00|PCS|280.00|kgs|TSK2|FB120351/10/25|5A5658</t>
  </si>
  <si>
    <t>PD25121243|Heat#1|FP0521|RACK BAR BLANK (JGF02-002190-31-2) 5K45|JGF02-002190-31-2|RACK BAR BLANK|58.00|PCS|280.00|kgs|TSK2|FB120351/6/25|5A5658</t>
  </si>
  <si>
    <t>PD26010412|SB0130|NSC_S45CS1-QDS_24.0_3170|JGC10-003770-40-0|Rack, MS|902.00|KGS|80.00|PCS|TSK-PRD3|SB010034/2/26|E585970|||23P1255925</t>
  </si>
  <si>
    <t>PD25121186|SB0024|NSC_S45CS1-QDS_30.35_3060|2-30JG-0711|RACK POWER STEERING|876.00|KGS|50.00|PCS|TSK-PRD3|SB120157/2/25|E586100|||23P1242212</t>
  </si>
  <si>
    <t>PD25121186|SB0024|NSC_S45CS1-QDS_30.35_3060|2-30JG-0711|RACK POWER STEERING|876.00|KGS|50.00|PCS|TSK-PRD3|SB120157/1/25|E586100|||23P1242211</t>
  </si>
  <si>
    <t>PD26010472|MB0028|S25C Dia 40.00x5500 mm.|ZZ2B7401TX1|FLANGE-13 SLUG|1,955.00|KGS|36.00|PCS|TSK-PRD3|2B2600089|2-73052|JFE-SC|JFE Steel Corporation|23P1256597</t>
  </si>
  <si>
    <t>PD26010423|SB0066|NSC_SCM415_44.00+/-0.2_5700|TGY28987-0060|Pinion Starter 2 W|890.00|KGS|13.00|PCS|TSK-PRD3|SB010037/2/26|E586056|||23P1256097</t>
  </si>
  <si>
    <t>PD26010428|SB0232|NSC_S43C_36.80_5100|TGY95613-0020|SLUG VALVE ROTARY|940.00|KGS|22.00|PCS|TSK-PRD3|SB010040/4/26|E585734|||23P1256163</t>
  </si>
  <si>
    <t xml:space="preserve">ปริญญา </t>
  </si>
  <si>
    <t xml:space="preserve">ปิญญา  </t>
  </si>
  <si>
    <t>PD26010418|SB0478|NSC_S45CS1-V_32.25_3200|JGD10-001260-40-1|RACK, PS|970.00|KGS|47.00|PCS|TSK-PRD3|SB010042/1/26|E586967|||23P1255942</t>
  </si>
  <si>
    <t>หน้าตัดเอียง</t>
  </si>
  <si>
    <t>PD26010418|SB0478|NSC_S45CS1-V_32.25_3200|JGD10-001260-40-1|RACK, PS|970.00|KGS|47.00|PCS|TSK-PRD3|SB010042/2/26|E586967|||23P1255943</t>
  </si>
  <si>
    <t>PD26010418|SB0478|NSC_S45CS1-V_32.25_3200|JGD10-001260-40-1|RACK, PS|970.00|KGS|47.00|PCS|TSK-PRD3|SB010042/3/26|E586967|||23P1255944</t>
  </si>
  <si>
    <t>PD26010419|SB0478|NSC_S45CS1-V_32.25_3200|JGD10-001260-40-1|RACK, PS|970.00|KGS|47.00|PCS|TSK-PRD3|SB010042/4/26|E586967|||23P1255945</t>
  </si>
  <si>
    <t>PD26010419|SB0478|NSC_S45CS1-V_32.25_3200|JGD10-001260-40-1|RACK, PS|970.00|KGS|47.00|PCS|TSK-PRD3|SB010042/6/26|E586967|||23P1255947</t>
  </si>
  <si>
    <t>PD26010260|SB0482|JFE_S45CS1-QDS_32.25_3000|JGD10-000751/000761-A|RACK BAR|986.00|KGS|51.00|pcs|TSK-PRD3|SB010011/5/26|665076|JFE-SC|JFE Steel Corporation|23P1252286</t>
  </si>
  <si>
    <t>PD26010260|SB0482|JFE_S45CS1-QDS_32.25_3000|JGD10-000751/000761-A|RACK BAR|986.00|KGS|51.00|pcs|TSK-PRD3|SB010011/6/26|665076|JFE-SC|JFE Steel Corporation|23P1252291</t>
  </si>
  <si>
    <t>PD26010262|SB0482|JFE_S45CS1-QDS_32.25_3000|JGD10-000751/000761-A|RACK BAR|986.00|KGS|51.00|pcs|TSK-PRD3|SB010016/6/26|665076|JFE-SC|JFE Steel Corporation|23P1252301</t>
  </si>
  <si>
    <t>PD26010262|SB0482|JFE_S45CS1-QDS_32.25_3000|JGD10-000751/000761-A|RACK BAR|986.00|KGS|51.00|pcs|TSK-PRD3|SB010016/5/26|665076|JFE-SC|JFE Steel Corporation|23P1252300</t>
  </si>
  <si>
    <t>PD26010262|SB0482|JFE_S45CS1-QDS_32.25_3000|JGD10-000751/000761-A|RACK BAR|986.00|KGS|51.00|pcs|TSK-PRD3|SB010016/4/26|665076|JFE-SC|JFE Steel Corporation|23P1252299</t>
  </si>
  <si>
    <t>PD26010511|SB0187|NSC_S48C_15.20_4000|TG028993-557B|SHAFT STARTER ARMATURE, 1W|205.00|KGS|35.00|PCS|TSK-PRD3|SB120140/5/25|E586473|||23P1257856</t>
  </si>
  <si>
    <t>PD25120622|SB0515|KOBE_S45CS1-RP-QT_32.2_5350|JGF02-002060-31-3|RACK BAR BLANK|967.00|KGS|28.00|PCS|TSK-PRD3|SB120085/3/25|5B0230|KOBE|KOBE|23P1227010</t>
  </si>
  <si>
    <t>PD25120622|SB0515|KOBE_S45CS1-RP-QT_32.2_5350|JGF02-002060-31-3|RACK BAR BLANK|967.00|KGS|28.00|PCS|TSK-PRD3|SB120085/4/25|5B0230|KOBE|KOBE|23P1227012</t>
  </si>
  <si>
    <t>PD25120622|SB0515|KOBE_S45CS1-RP-QT_32.2_5350|JGF02-002060-31-3|RACK BAR BLANK|967.00|KGS|28.00|PCS|TSK-PRD3|SB120085/5/25|5B0230|KOBE|KOBE|23P1227014</t>
  </si>
  <si>
    <t>PD25120622|SB0515|KOBE_S45CS1-RP-QT_32.2_5350|JGF02-002060-31-3|RACK BAR BLANK|967.00|KGS|28.00|PCS|TSK-PRD3|SB120085/6/25|5B0230|KOBE|KOBE|23P1227015</t>
  </si>
  <si>
    <t>PD25121187|SB0024|NSC_S45CS1-QDS_30.35_3060|2-30JG-0711|RACK POWER STEERING|876.00|KGS|50.00|PCS|TSK-PRD3|SB120157/3/25|E586100|||23P1242213</t>
  </si>
  <si>
    <t>PD25121187|SB0024|NSC_S45CS1-QDS_30.35_3060|2-30JG-0711|RACK POWER STEERING|876.00|KGS|50.00|PCS|TSK-PRD3|SB120157/4/25|E586100|||23P1242216</t>
  </si>
  <si>
    <t>PD25121188|SB0024|NSC_S45CS1-QDS_30.35_3060|2-30JG-0711|RACK POWER STEERING|876.00|KGS|50.00|PCS|TSK-PRD3|SB120159/2/25|E586100|||23P1242219</t>
  </si>
  <si>
    <t>PD25121188|SB0024|NSC_S45CS1-QDS_30.35_3060|2-30JG-0711|RACK POWER STEERING|876.00|KGS|50.00|PCS|TSK-PRD3|SB120159/1/25|E586100|||23P1242217</t>
  </si>
  <si>
    <t>PD25121189|SB0024|NSC_S45CS1-QDS_30.35_3060|2-30JG-0711|RACK POWER STEERING|876.00|KGS|50.00|PCS|TSK-PRD3|SB120159/4/25|E586100|||23P1242221</t>
  </si>
  <si>
    <t>PD25121243|Heat#1|FP0521|RACK BAR BLANK (JGF02-002190-31-2) 5K45|JGF02-002190-31-2|RACK BAR BLANK|58.00|PCS|280.00|kgs|TSK2|FB120351/5/25|5A5658</t>
  </si>
  <si>
    <t>PD25121243|Heat#1|FP0521|RACK BAR BLANK (JGF02-002190-31-2) 5K45|JGF02-002190-31-2|RACK BAR BLANK|58.00|PCS|280.00|kgs|TSK2|FB120351/4/25|5A5658</t>
  </si>
  <si>
    <t>PD25121243|Heat#1|FP0521|RACK BAR BLANK (JGF02-002190-31-2) 5K45|JGF02-002190-31-2|RACK BAR BLANK|58.00|PCS|280.00|kgs|TSK2|FB120351/2/25|5A5658</t>
  </si>
  <si>
    <t>PD26010395|SB0003|NSC_S35C_20.0_5130|2530S0610P|SHAFT SPLINE|1,035.00|KGS|81.00|PCS|TSK-PRD3|SB010033/1/26|E484056|NSC||23P1254671</t>
  </si>
  <si>
    <t>PD26010254|SB0158|JFE_S25C_43.0_6200|16171-05030|SEAT,WATER PUMP PULLEY|990.00|KGS|14.00|PCS|TSK-PRD3|SB010015/1/26|665898|||23P1252266</t>
  </si>
  <si>
    <t>PD26010254|SB0158|JFE_S25C_43.0_6200|16171-05030|SEAT,WATER PUMP PULLEY|990.00|KGS|14.00|PCS|TSK-PRD3|SB010015/2/26|665898|||23P1252267</t>
  </si>
  <si>
    <t>PD26010264|SB0482|JFE_S45CS1-QDS_32.25_3000|JGD10-000751/000761-A|RACK BAR|986.00|KGS|51.00|pcs|TSK-PRD3|SB010018/5/26|665076|JFE-SC|JFE Steel Corporation|23P1252306</t>
  </si>
  <si>
    <t>PD26010264|SB0482|JFE_S45CS1-QDS_32.25_3000|JGD10-000751/000761-A|RACK BAR|986.00|KGS|51.00|pcs|TSK-PRD3|SB010018/4/26|665076|JFE-SC|JFE Steel Corporation|23P1252305</t>
  </si>
  <si>
    <t>PD26010264|SB0482|JFE_S45CS1-QDS_32.25_3000|JGD10-000751/000761-A|RACK BAR|986.00|KGS|51.00|pcs|TSK-PRD3|SB010018/6/26|665076|JFE-SC|JFE Steel Corporation|23P1252307</t>
  </si>
  <si>
    <t>PD26010263|SB0482|JFE_S45CS1-QDS_32.25_3000|JGD10-000751/000761-A|RACK BAR|986.00|KGS|51.00|pcs|TSK-PRD3|SB010018/3/26|665076|JFE-SC|JFE Steel Corporation|23P1252304</t>
  </si>
  <si>
    <t>PD26010263|SB0482|JFE_S45CS1-QDS_32.25_3000|JGD10-000751/000761-A|RACK BAR|986.00|KGS|51.00|pcs|TSK-PRD3|SB010018/2/26|665076|JFE-SC|JFE Steel Corporation|23P1252303</t>
  </si>
  <si>
    <t>PD26010419|SB0478|NSC_S45CS1-V_32.25_3200|JGD10-001260-40-1|RACK, PS|970.00|KGS|47.00|PCS|TSK-PRD3|SB010042/5/26|E586967|||23P1255946</t>
  </si>
  <si>
    <t>PD26010491|SB0478|NSC_S45CS1-V_32.25_3200|JGD10-001260-40-1|RACK, PS|970.00|KGS|47.00|PCS|TSK-PRD3|SB010045/3/26|E586967|||23P1257594</t>
  </si>
  <si>
    <t>PD26010491|SB0478|NSC_S45CS1-V_32.25_3200|JGD10-001260-40-1|RACK, PS|970.00|KGS|47.00|PCS|TSK-PRD3|SB010045/4/26|E586967|||23P1257595</t>
  </si>
  <si>
    <t>PD26010490|SB0478|NSC_S45CS1-V_32.25_3200|JGD10-001260-40-1|RACK, PS|970.00|KGS|47.00|PCS|TSK-PRD3|SB010045/2/26|E586967|||23P1257593</t>
  </si>
  <si>
    <t>PD26010490|SB0478|NSC_S45CS1-V_32.25_3200|JGD10-001260-40-1|RACK, PS|970.00|KGS|47.00|PCS|TSK-PRD3|SB010045/1/26|E586967|||23P1257592</t>
  </si>
  <si>
    <t>PD26010109|SB0417|CSC_SWRCH12A_34.0_5000|8A10524|CAP RESERVOIR|1,142.00|KGS|32.00|pcs|TSK-PRD3|SB010003/4/26|3V096|||23P1248890</t>
  </si>
  <si>
    <t>PD26010427|SB0232|NSC_S43C_36.80_5100|TGY95613-0020|SLUG VALVE ROTARY|984.00|KGS|23.00|PCS|TSK-PRD3|SB010040/3/26|E585734|||23P1256162</t>
  </si>
  <si>
    <t>PD26010590|SB0187|NSC_S48C_15.20_4000|TG028993-578A|SHAFT STARTER ARMATURE, 1W|58.00|KGS|10.00|PCS|TSK-PRD3|SB120140/10/25|E586473|||23P1259670</t>
  </si>
  <si>
    <t>PD26010501|SB0219|NSC_SCM435H_15.7_5100|TGY95065-0010|SLUG CONNECTOR FUEL INLET|1,047.00|KGS|135.00|PCS|TSK-PRD3|SB010006/1/26|E586354|||23P1257627</t>
  </si>
  <si>
    <t>PD26010395|SB0003|NSC_S35C_20.0_5130|2530S0610P|SHAFT SPLINE|1,010.00|KGS|79.00|PCS|TSK-PRD3|SB010033/2/26|E484056|NSC||23P1254672</t>
  </si>
  <si>
    <t>PD25121189|SB0024|NSC_S45CS1-QDS_30.35_3060|2-30JG-0711|RACK POWER STEERING|876.00|KGS|50.00|PCS|TSK-PRD3|SB120159/3/25|E586100|||23P1242220</t>
  </si>
  <si>
    <t>PD26010499|SB0338|NSC_S45CS1-V_26.0_3480_JAMY|JGC10-M09008-51-0|RACK BAR|874.00|KGS|60.00|PCS|TSK-PRD3|SB010051/4/26|E586966|||23P1257622</t>
  </si>
  <si>
    <t>PD26010499|SB0338|NSC_S45CS1-V_26.0_3480_JAMY|JGC10-M09008-51-0|RACK BAR|874.00|KGS|60.00|PCS|TSK-PRD3|SB010051/3/26|E586966|||23P1257621</t>
  </si>
  <si>
    <t>PD26010589|SB0187|NSC_S48C_15.20_4000|TG028993-557B|SHAFT STARTER ARMATURE, 1W|205.00|KGS|35.00|PCS|TSK-PRD3|SB120140/8/25|E586473|||23P1259664</t>
  </si>
  <si>
    <t>PD25120330|Heat#1|FP0520|RACK BAR BLANK (JGF02-002060-31-3) 58*D|JGF02-002060-31-3|RACK BAR BLANK|58.00|PCS|271.00|kgs|TSK2|FB120132/14/25|5A4332</t>
  </si>
  <si>
    <t>PD25120569|Heat#1|FP0520|RACK BAR BLANK (JGF02-002060-31-3) 58*D|JGF02-002060-31-3|RACK BAR BLANK|58.00|PCS|271.00|kgs|TSK2|FB120161/3/25|5A4332</t>
  </si>
  <si>
    <t>PD25120569|Heat#1|FP0520|RACK BAR BLANK (JGF02-002060-31-3) 58*D|JGF02-002060-31-3|RACK BAR BLANK|58.00|PCS|271.00|kgs|TSK2|FB120161/6/25|5A4332</t>
  </si>
  <si>
    <t>PD25120569|Heat#1|FP0520|RACK BAR BLANK (JGF02-002060-31-3) 58*D|JGF02-002060-31-3|RACK BAR BLANK|58.00|PCS|271.00|kgs|TSK2|FB120161/1/25|5A4332</t>
  </si>
  <si>
    <t>PD25120569|Heat#1|FP0520|RACK BAR BLANK (JGF02-002060-31-3) 58*D|JGF02-002060-31-3|RACK BAR BLANK|58.00|PCS|271.00|kgs|TSK2|FB120161/2/25|5A4332</t>
  </si>
  <si>
    <t>PD25120569|Heat#1|FP0520|RACK BAR BLANK (JGF02-002060-31-3) 58*D|JGF02-002060-31-3|RACK BAR BLANK|58.00|PCS|271.00|kgs|TSK2|FB120161/5/25|5A4332</t>
  </si>
  <si>
    <t>PD25120569|Heat#1|FP0520|RACK BAR BLANK (JGF02-002060-31-3) 58*D|JGF02-002060-31-3|RACK BAR BLANK|58.00|PCS|271.00|kgs|TSK2|FB120161/4/25|5A4332</t>
  </si>
  <si>
    <t>PD25120569|Heat#1|FP0520|RACK BAR BLANK (JGF02-002060-31-3) 58*D|JGF02-002060-31-3|RACK BAR BLANK|58.00|PCS|271.00|kgs|TSK2|FB120161/7/25|5A4332</t>
  </si>
  <si>
    <t>PD25120569|Heat#1|FP0520|RACK BAR BLANK (JGF02-002060-31-3) 58*D|JGF02-002060-31-3|RACK BAR BLANK|58.00|PCS|271.00|kgs|TSK2|FB120161/8/25|5A4332</t>
  </si>
  <si>
    <t>PD25120569|Heat#1|FP0520|RACK BAR BLANK (JGF02-002060-31-3) 58*D|JGF02-002060-31-3|RACK BAR BLANK|58.00|PCS|271.00|kgs|TSK2|FB120161/10/25|5A4332</t>
  </si>
  <si>
    <t>PD26010427|SB0232|NSC_S43C_36.80_5100|TGY95613-0020|SLUG VALVE ROTARY|940.00|KGS|22.00|PCS|TSK-PRD3|SB010040/2/26|E585734|||23P1256156</t>
  </si>
  <si>
    <t>PD26010472|MB0028|S25C Dia 40.00x5500 mm.|ZZ2B7401TX1|FLANGE-13 SLUG|1,955.00|KGS|36.00|PCS|TSK-PRD3|2B2600088|2-73052|JFE-SC|JFE Steel Corporation|23P1256596</t>
  </si>
  <si>
    <t>PD26010492|SB0478|NSC_S45CS1-V_32.25_3200|JGD10-001260-40-1|RACK, PS|970.00|KGS|47.00|PCS|TSK-PRD3|SB010045/5/26|E586967|||23P1257598</t>
  </si>
  <si>
    <t>PD26010492|SB0478|NSC_S45CS1-V_32.25_3200|JGD10-001260-40-1|RACK, PS|950.00|KGS|46.00|PCS|TSK-PRD3|SB010045/6/26|E586967|||23P1257599</t>
  </si>
  <si>
    <t>PD26010492|SB0478|NSC_S45CS1-V_32.25_3200|JGD10-001260-40-1|RACK, PS|20.00|KGS|1.00|PCS|TSK-PRD3|SB010045/7/26|E586967|||23P1257600</t>
  </si>
  <si>
    <t>PD26010619|SB0130|NSC_S45CS1-QDS_24.0_3170|JGC10-003770-40-0|Rack, MS|900.00|KGS|80.00|PCS|TSK-PRD3|SB010052/6/26|E585971|||23P1259935</t>
  </si>
  <si>
    <t>PD26010619|SB0130|NSC_S45CS1-QDS_24.0_3170|JGC10-003770-40-0|Rack, MS|900.00|KGS|80.00|PCS|TSK-PRD3|SB010052/4/26|E585971|||23P1259929</t>
  </si>
  <si>
    <t>PD26010426|SB0124|NSC_S35C_19.0_5430|2528S0249C|STG.SHAFT|48.00|KGS|4.00|PCS|TSK-PRD3|SB010038/2/26|E484056|||23P1256146</t>
  </si>
  <si>
    <t>PD26010581|SB0517|NSC_S35C_18.30_5540|2550S0765P|SHAFT SPLINE|1,027.00|KGS|89.00|pcs|TSK-PRD3|SB010050/1/26|E586430|||23P1259483</t>
  </si>
  <si>
    <t>PD26010581|SB0517|NSC_S35C_18.30_5540|2550S0765P|SHAFT SPLINE|1,038.00|KGS|90.00|pcs|TSK-PRD3|SB010050/2/26|E586430|||23P1259484</t>
  </si>
  <si>
    <t>PD26010255|SB0158|JFE_S25C_43.0_6200|16171-05030|SEAT,WATER PUMP PULLEY|990.00|KGS|14.00|PCS|TSK-PRD3|SB010015/3/26|665898|||23P1252268</t>
  </si>
  <si>
    <t>PD26010263|SB0482|JFE_S45CS1-QDS_32.25_3000|JGD10-000751/000761-A|RACK BAR|986.00|KGS|51.00|pcs|TSK-PRD3|SB010018/1/26|665076|JFE-SC|JFE Steel Corporation|23P1252302</t>
  </si>
  <si>
    <t>PD26010616|SB0136|NSC_S45CS1-QDS_27.95_3420|JGD10-000520-B|RACK, PS|832.00|KGS|50.00|PCS|TSK-PRD3|SB010070/1/26|E585970|||23P1260069</t>
  </si>
  <si>
    <t>PD26010616|SB0136|NSC_S45CS1-QDS_27.95_3420|JGD10-000520-B|RACK, PS|832.00|KGS|50.00|PCS|TSK-PRD3|SB010070/2/26|E585970|||23P1260070</t>
  </si>
  <si>
    <t>PD26010616|SB0136|NSC_S45CS1-QDS_27.95_3420|JGD10-000520-B|RACK, PS|832.00|KGS|50.00|PCS|TSK-PRD3|SB010070/3/26|E585970|||23P1260071</t>
  </si>
  <si>
    <t>PD26010655|SB0104|KMS_DSS1_15.57_6000|TG028152-5190|Pole Core|945.00|KGS|105.00|PCS|TSK-PRD3|SB010063/3/26|KS005C9016|KMS|KOBELCO Millcon Steel Co.,Ltd|23P1261075</t>
  </si>
  <si>
    <t>PD26010655|SB0104|KMS_DSS1_15.57_6000|TG028152-5190|Pole Core|934.00|KGS|104.00|PCS|TSK-PRD3|SB010063/4/26|KS005C9016|KMS|KOBELCO Millcon Steel Co.,Ltd|23P1261076</t>
  </si>
  <si>
    <t>PD26010500|SB0338|NSC_S45CS1-V_26.0_3480_JAMY|JGC10-M09008-51-0|RACK BAR|786.00|KGS|54.00|PCS|TSK-PRD3|SB010051/6/26|E586966|||23P1257624</t>
  </si>
  <si>
    <t>PD26010500|SB0338|NSC_S45CS1-V_26.0_3480_JAMY|JGC10-M09008-51-0|RACK BAR|874.00|KGS|60.00|PCS|TSK-PRD3|SB010051/5/26|E586966|||23P1257623</t>
  </si>
  <si>
    <t>PD26010500|SB0338|NSC_S45CS1-V_26.0_3480_JAMY|JGC10-M09008-51-0|RACK BAR|88.00|KGS|6.00|PCS|TSK-PRD3|SB010051/7/26|E586966|||23P1257625</t>
  </si>
  <si>
    <t>PD26010498|SB0338|NSC_S45CS1-V_26.0_3480_JAMY|JGC10-M09008-51-0|RACK BAR|874.00|KGS|60.00|PCS|TSK-PRD3|SB010051/1/26|E586966|||23P1257617</t>
  </si>
  <si>
    <t>PD26010498|SB0338|NSC_S45CS1-V_26.0_3480_JAMY|JGC10-M09008-51-0|RACK BAR|670.00|KGS|46.00|PCS|TSK-PRD3|SB010051/2/26|E586966|||23P1257620</t>
  </si>
  <si>
    <t>PD25120620|SB0515|KOBE_S45CS1-RP-QT_32.2_5350|JGF02-002060-31-3|RACK BAR BLANK|1,346.00|KGS|39.00|PCS|TSK-PRD3|SB120084/5/25|5B0230|KOBE|KOBE|23P1227000</t>
  </si>
  <si>
    <t>PD25120620|SB0515|KOBE_S45CS1-RP-QT_32.2_5350|JGF02-002060-31-3|RACK BAR BLANK|967.00|KGS|28.00|PCS|TSK-PRD3|SB120084/4/25|5B0230|KOBE|KOBE|23P1226999</t>
  </si>
  <si>
    <t>PD25120620|SB0515|KOBE_S45CS1-RP-QT_32.2_5350|JGF02-002060-31-3|RACK BAR BLANK|967.00|KGS|28.00|PCS|TSK-PRD3|SB120084/3/25|5B0230|KOBE|KOBE|23P1226998</t>
  </si>
  <si>
    <t>PD26010589|SB0187|NSC_S48C_15.20_4000|TG028993-557B|SHAFT STARTER ARMATURE, 1W|205.00|KGS|35.00|PCS|TSK-PRD3|SB120140/9/25|E586473|||23P1259665</t>
  </si>
  <si>
    <t>PD26010589|SB0187|NSC_S48C_15.20_4000|TG028993-557B|SHAFT STARTER ARMATURE, 1W|149.00|KGS|26.00|PCS|TSK-PRD3|SB120140/10/25|E586473|||23P1259667</t>
  </si>
  <si>
    <t>PD26010109|SB0417|CSC_SWRCH12A_34.0_5000|8A10524|CAP RESERVOIR|1,073.00|KGS|30.00|pcs|TSK-PRD3|SB010003/3/26|3V096|||23P1248889</t>
  </si>
  <si>
    <t>PD26010427|SB0232|NSC_S43C_36.80_5100|TGY95613-0020|SLUG VALVE ROTARY|984.00|KGS|23.00|PCS|TSK-PRD3|SB010040/1/26|E585734|||23P1256155</t>
  </si>
  <si>
    <t>PD26010501|SB0219|NSC_SCM435H_15.7_5100|TGY95065-0010|SLUG CONNECTOR FUEL INLET|1,047.00|KGS|135.00|PCS|TSK-PRD3|SB010006/2/26|E586354|||23P1257628</t>
  </si>
  <si>
    <t>PD26010619|SB0130|NSC_S45CS1-QDS_24.0_3170|JGC10-003770-40-0|Rack, MS|900.00|KGS|80.00|PCS|TSK-PRD3|SB010052/5/26|E585971|||23P1259931</t>
  </si>
  <si>
    <t>PD26010618|SB0130|NSC_S45CS1-QDS_24.0_3170|JGC10-003770-40-0|Rack, MS|900.00|KGS|80.00|PCS|TSK-PRD3|SB010052/3/26|E585971|||23P1259927</t>
  </si>
  <si>
    <t>PD26010618|SB0130|NSC_S45CS1-QDS_24.0_3170|JGC10-003770-40-0|Rack, MS|900.00|KGS|80.00|PCS|TSK-PRD3|SB010052/2/26|E585971|||23P1259926</t>
  </si>
  <si>
    <t>PD26010424|SB0124|NSC_S35C_19.0_5430|2528S0250C|STG.SHAFT|1,000.00|KGS|82.00|PCS|TSK-PRD3|SB010038/1/26|E484056|||23P1256139</t>
  </si>
  <si>
    <t>PD26010424|SB0124|NSC_S35C_19.0_5430|2528S0250C|STG.SHAFT|979.00|KGS|81.00|PCS|TSK-PRD3|SB010038/2/26|E484056|||23P1256142</t>
  </si>
  <si>
    <t>PD26010255|SB0158|JFE_S25C_43.0_6200|16171-05030|SEAT,WATER PUMP PULLEY|990.00|KGS|14.00|PCS|TSK-PRD3|SB010015/4/26|665898|||23P1252269</t>
  </si>
  <si>
    <t>PD26010579|SB0158|JFE_S25C_43.0_6200|16171-05030|SEAT,WATER PUMP PULLEY|996.00|KGS|14.00|PCS|TSK-PRD3|SB010056/2/26|665898|||23P1259433</t>
  </si>
  <si>
    <t>PD26010654|SB0104|KMS_DSS1_15.57_6000|TG028152-5190|Pole Core|1,015.00|KGS|113.00|PCS|TSK-PRD3|SB010063/2/26|KS005C9016|KMS|KOBELCO Millcon Steel Co.,Ltd|23P1261074</t>
  </si>
  <si>
    <t>PD26010617|SB0136|NSC_S45CS1-QDS_27.95_3420|JGD10-000520-B|RACK, PS|832.00|KGS|50.00|PCS|TSK-PRD3|SB010070/4/26|E585970|||23P1260124</t>
  </si>
  <si>
    <t>PD26010617|SB0136|NSC_S45CS1-QDS_27.95_3420|JGD10-000520-B|RACK, PS|832.00|KGS|50.00|PCS|TSK-PRD3|SB010070/5/26|E585970|||23P1260212</t>
  </si>
  <si>
    <t>PD26010635|SB0136|NSC_S45CS1-QDS_27.95_3420|JGD10-000520-B|RACK, PS|782.00|KGS|47.00|PCS|TSK-PRD3|SB010070/6/26|E585970|||23P1260222</t>
  </si>
  <si>
    <t>PD26010635|SB0136|NSC_S45CS1-QDS_27.95_3420|JGD10-000520-B|RACK, PS|50.00|KGS|3.00|PCS|TSK-PRD3|SB010070/7/26|E585970|||23P1260223</t>
  </si>
  <si>
    <t>PD26010416|SB0144|NSC_S45CS1-V_32.25_3170|JGD10S000800-B|RACK BAR|971.00|KGS|48.00|PCS|TSK-PRD3|SB010039/1/26|E586236|||23P1255936</t>
  </si>
  <si>
    <t>PD26010566|SB0338|NSC_S45CS1-V_26.0_3480_JAMY|JGC10-M09008-51-0|RACK BAR|870.00|KGS|60.00|PCS|TSK-PRD3|SB010053/1/26|E586966|||23P1259338</t>
  </si>
  <si>
    <t>PD26010566|SB0338|NSC_S45CS1-V_26.0_3480_JAMY|JGC10-M09008-51-0|RACK BAR|870.00|KGS|60.00|PCS|TSK-PRD3|SB010053/2/26|E586966|||23P1259339</t>
  </si>
  <si>
    <t>PD26010566|SB0338|NSC_S45CS1-V_26.0_3480_JAMY|JGC10-M09008-51-0|RACK BAR|870.00|KGS|60.00|PCS|TSK-PRD3|SB010053/3/26|E586966|||23P1259340</t>
  </si>
  <si>
    <t>PD26010567|SB0338|NSC_S45CS1-V_26.0_3480_JAMY|JGC10-M09008-51-0|RACK BAR|870.00|KGS|60.00|PCS|TSK-PRD3|SB010053/4/26|E586966|||23P1259341</t>
  </si>
  <si>
    <t>PD25120569|Heat#1|FP0520|RACK BAR BLANK (JGF02-002060-31-3) 58*D|JGF02-002060-31-3|RACK BAR BLANK|58.00|PCS|271.00|kgs|TSK2|FB120161/9/25|5A4332</t>
  </si>
  <si>
    <t>PD25120569|Heat#1|FP0520|RACK BAR BLANK (JGF02-002060-31-3) 58*D|JGF02-002060-31-3|RACK BAR BLANK|58.00|PCS|271.00|kgs|TSK2|FB120161/11/25|5A4332</t>
  </si>
  <si>
    <t>PD25120569|Heat#1|FP0520|RACK BAR BLANK (JGF02-002060-31-3) 58*D|JGF02-002060-31-3|RACK BAR BLANK|58.00|PCS|271.00|kgs|TSK2|FB120161/13/25|5A4332</t>
  </si>
  <si>
    <t>PD25120569|Heat#1|FP0520|RACK BAR BLANK (JGF02-002060-31-3) 58*D|JGF02-002060-31-3|RACK BAR BLANK|58.00|PCS|271.00|kgs|TSK2|FB120161/12/25|5A4332</t>
  </si>
  <si>
    <t>PD25120569|Heat#1|FP0520|RACK BAR BLANK (JGF02-002060-31-3) 58*D|JGF02-002060-31-3|RACK BAR BLANK|51.00|PCS|238.00|kgs|TSK2|FB120161/14/25|5A4332</t>
  </si>
  <si>
    <t>PD26010430|Cutting#1</t>
  </si>
  <si>
    <t>PD26010474|MB0028|S25C Dia 40.00x5500 mm.|ZZ2B7401TX1|FLANGE-13 SLUG|1,900.00|KGS|35.00|PCS|TSK-PRD3|2B2600092|1-79662|JFE-SC|JFE Steel Corporation|23P1256600</t>
  </si>
  <si>
    <t>PD26010416|SB0144|NSC_S45CS1-V_32.25_3170|JGD10S000800-B|RACK BAR|971.00|KGS|48.00|PCS|TSK-PRD3|SB010039/2/26|E586236|||23P1255937</t>
  </si>
  <si>
    <t>PD26010416|SB0144|NSC_S45CS1-V_32.25_3170|JGD10S000800-B|RACK BAR|971.00|KGS|48.00|PCS|TSK-PRD3|SB010039/3/26|E586236|||23P1255938</t>
  </si>
  <si>
    <t>PD26010613|SB0135|NSC_S45CS1-QDS_26.0_3460|C10S028000|RACK BAR|856.00|KGS|59.00|PCS|TSK-PRD3|SB010067/2/26|E586613|||23P1260058</t>
  </si>
  <si>
    <t>PD26010618|SB0130|NSC_S45CS1-QDS_24.0_3170|JGC10-003770-40-0|Rack, MS|900.00|KGS|80.00|PCS|TSK-PRD3|SB010052/1/26|E585971|||23P1259925</t>
  </si>
  <si>
    <t>PD26010675|SB0237|NSC_S45CS1-QDS_30.25_3050|JGD10S000830-51-0|RACK BAR|864.00|KGS|50.00|PCS|TSK-PRD3|SB010073/6/26|E586442|||23P1261771</t>
  </si>
  <si>
    <t>PD26010567|SB0338|NSC_S45CS1-V_26.0_3480_JAMY|JGC10-M09008-51-0|RACK BAR|116.00|KGS|8.00|PCS|TSK-PRD3|SB010053/6/26|E586966|||23P1259343</t>
  </si>
  <si>
    <t>PD26010567|SB0338|NSC_S45CS1-V_26.0_3480_JAMY|JGC10-M09008-51-0|RACK BAR|841.00|KGS|58.00|PCS|TSK-PRD3|SB010053/5/26|E586966|||23P1259342</t>
  </si>
  <si>
    <t>PD26010496|SB0139|NSC_S45CS1-QDS_32.25_5540|JGD10S00670-B|RACK, PS|890.00|KGS|25.00|PCS|TSK-PRD3|SB010048/1/26|E586447|||23P1257611</t>
  </si>
  <si>
    <t>PD26010496|SB0139|NSC_S45CS1-QDS_32.25_5540|JGD10S00670-B|RACK, PS|890.00|KGS|25.00|PCS|TSK-PRD3|SB010048/2/26|E586447|||23P1257612</t>
  </si>
  <si>
    <t>PD26010496|SB0139|NSC_S45CS1-QDS_32.25_5540|JGD10S00670-B|RACK, PS|890.00|KGS|25.00|PCS|TSK-PRD3|SB010048/3/26|E586447|||23P1257613</t>
  </si>
  <si>
    <t>PD26010685|SB0338|NSC_S45CS1-V_26.0_3480_JAMY|JGC10-M09008-51-0|RACK BAR|875.00|KGS|60.00|PCS|TSK-PRD3|SB010071/1/26|E586966|||23P1261781</t>
  </si>
  <si>
    <t>PD26010685|SB0338|NSC_S45CS1-V_26.0_3480_JAMY|JGC10-M09008-51-0|RACK BAR|875.00|KGS|60.00|PCS|TSK-PRD3|SB010071/2/26|E586966|||23P1261782</t>
  </si>
  <si>
    <t>PD26010654|SB0104|KMS_DSS1_15.57_6000|TG028152-5190|Pole Core|1,015.00|KGS|113.00|PCS|TSK-PRD3|SB010063/1/26|KS005C9016|KMS|KOBELCO Millcon Steel Co.,Ltd|23P1261073</t>
  </si>
  <si>
    <t>PD26010336|SB0429|POSCO_SWRCH35K_20.0_4430|2528S0251P|SHAFT SPLINE|994.00|KGS|91.00|PCS|TSK-PRD3|SB010014/2/26|SF92937|||23P1253178</t>
  </si>
  <si>
    <t>PD26010579|SB0158|JFE_S25C_43.0_6200|16171-05030|SEAT,WATER PUMP PULLEY|996.00|KGS|14.00|PCS|TSK-PRD3|SB010056/1/26|665898|||23P1259432</t>
  </si>
  <si>
    <t>PD26010501|Cutting#1|FP0219|SLUG CONNECTOR FUEL INLET (TGY95065-0010)|TGY95065-0010|SLUG CONNECTOR FUEL INLET|3,500.00|PCS|553.00|KGS|TSK-PRD1|FP010147/2/26|E586354</t>
  </si>
  <si>
    <t>SCREENING</t>
  </si>
  <si>
    <t>PD26010501|Cutting#1|FP0219|SLUG CONNECTOR FUEL INLET (TGY95065-0010)|TGY95065-0010|SLUG CONNECTOR FUEL INLET|2,030.00|PCS|321.00|KGS|TSK-PRD1|FP010147/4/26|E586354</t>
  </si>
  <si>
    <t>PD26010501|Cutting#1|FP0219|SLUG CONNECTOR FUEL INLET (TGY95065-0010)|TGY95065-0010|SLUG CONNECTOR FUEL INLET|3,500.00|PCS|553.00|KGS|TSK-PRD1|FP010147/3/26|E586354</t>
  </si>
  <si>
    <t>PD26010501|Cutting#1|FP0219|SLUG CONNECTOR FUEL INLET (TGY95065-0010)|TGY95065-0010|SLUG CONNECTOR FUEL INLET|3,500.00|PCS|553.00|KGS|TSK-PRD1|FP010147/1/26|E586354</t>
  </si>
  <si>
    <t>PD26010497|SB0139|NSC_S45CS1-QDS_32.25_5540|JGD10S00670-B|RACK, PS|890.00|KGS|25.00|PCS|TSK-PRD3|SB010048/4/26|E586447|||23P1257614</t>
  </si>
  <si>
    <t>PD26010497|SB0139|NSC_S45CS1-QDS_32.25_5540|JGD10S00670-B|RACK, PS|890.00|KGS|25.00|PCS|TSK-PRD3|SB010048/5/26|E586447|||23P1257615</t>
  </si>
  <si>
    <t>PD26010497|SB0139|NSC_S45CS1-QDS_32.25_5540|JGD10S00670-B|RACK, PS|890.00|KGS|25.00|PCS|TSK-PRD3|SB010048/6/26|E586447|||23P1257616</t>
  </si>
  <si>
    <t>PD26010494|SB0139|NSC_S45CS1-QDS_32.25_5540|JGD10S00670-B|RACK, PS|890.00|KGS|25.00|PCS|TSK-PRD3|SB010046/3/26|E586447|||23P1257605</t>
  </si>
  <si>
    <t>PD26010494|SB0139|NSC_S45CS1-QDS_32.25_5540|JGD10S00670-B|RACK, PS|890.00|KGS|25.00|PCS|TSK-PRD3|SB010046/4/26|E586447|||23P1257606</t>
  </si>
  <si>
    <t>PD26010579|SB0158|JFE_S25C_43.0_6200|16171-05030|SEAT,WATER PUMP PULLEY|996.00|KGS|14.00|PCS|TSK-PRD3|SB010056/3/26|665898|||23P1259446</t>
  </si>
  <si>
    <t>PD26010493|SB0139|NSC_S45CS1-QDS_32.25_5540|JGD10S00670-B|RACK, PS|890.00|KGS|25.00|PCS|TSK-PRD3|SB010046/2/26|E586447|||23P1257603</t>
  </si>
  <si>
    <t>PD26010613|SB0135|NSC_S45CS1-QDS_26.0_3460|C10S028000|RACK BAR|856.00|KGS|59.00|PCS|TSK-PRD3|SB010067/1/26|E586613|||23P1260055</t>
  </si>
  <si>
    <t>PD26010649|SB0024|NSC_S45CS1-QDS_30.35_3060|JGD10-BA0101-C|RACK POWER STEERING|880.00|KGS|50.00|PCS|TSK-PRD3|SB010060/3/26|E586100|||23P1261057</t>
  </si>
  <si>
    <t>PD26010649|SB0024|NSC_S45CS1-QDS_30.35_3060|JGD10-BA0101-C|RACK POWER STEERING|880.00|KGS|50.00|PCS|TSK-PRD3|SB010060/1/26|E586100|||23P1261055</t>
  </si>
  <si>
    <t>PD26010649|SB0024|NSC_S45CS1-QDS_30.35_3060|JGD10-BA0101-C|RACK POWER STEERING|880.00|KGS|50.00|PCS|TSK-PRD3|SB010060/2/26|E586100|||23P1261056</t>
  </si>
  <si>
    <t>PD26010686|SB0338|NSC_S45CS1-V_26.0_3480_JAMY|JGC10-M09008-51-0|RACK BAR|875.00|KGS|60.00|PCS|TSK-PRD3|SB010071/3/26|E586966|||23P1261783</t>
  </si>
  <si>
    <t>PD26010686|SB0338|NSC_S45CS1-V_26.0_3480_JAMY|JGC10-M09008-51-0|RACK BAR|875.00|KGS|60.00|PCS|TSK-PRD3|SB010071/4/26|E586966|||23P1261790</t>
  </si>
  <si>
    <t>PD26010749|SB0338|NSC_S45CS1-V_26.0_3480_JAMY|JGC10-M09008-51-0|RACK BAR|700.00|KGS|48.00|PCS|TSK-PRD3|SB010076/4/26|E586966|||23P1263349</t>
  </si>
  <si>
    <t>PD26010749|SB0338|NSC_S45CS1-V_26.0_3480_JAMY|JGC10-M09008-51-0|RACK BAR|700.00|KGS|48.00|PCS|TSK-PRD3|SB010076/3/26|E586966|||23P1263348</t>
  </si>
  <si>
    <t>PD26010687|SB0338|NSC_S45CS1-V_26.0_3480_JAMY|JGC10-M09008-51-0|RACK BAR|875.00|KGS|60.00|PCS|TSK-PRD3|SB010071/5/26|E586966|||23P1261791</t>
  </si>
  <si>
    <t>PD26010430|SB0101|KOBE_SUM22_20.7_6700|TG053661-7151|PLUNGER|948.00|KGS|54.00|PCS|TSK-PRD3|SB010044/2/26|5B0161|||23P1256173</t>
  </si>
  <si>
    <t>PD26010430|SB0101|KOBE_SUM22_20.7_6700|TG053661-7151|PLUNGER|948.00|KGS|54.00|PCS|TSK-PRD3|SB010044/1/26|5B0161|||23P1256172</t>
  </si>
  <si>
    <t>PD26010503|SB0503|POSCO_SWRCH35K_18.27_4660|2550T0749P|SHAFT SPLINE|1,010.00|KGS|105.00|pcs|TSK-PRD3|SB010049/2/26|SF93402|||23P1257638</t>
  </si>
  <si>
    <t>PD26010503|SB0503|POSCO_SWRCH35K_18.27_4660|2550T0749P|SHAFT SPLINE|1,010.00|KGS|105.00|pcs|TSK-PRD3|SB010049/1/26|SF93402|||23P1257637</t>
  </si>
  <si>
    <t>PD26010336|SB0429|POSCO_SWRCH35K_20.0_4430|2528S0251P|SHAFT SPLINE|984.00|KGS|90.00|PCS|TSK-PRD3|SB010014/1/26|SF92937|||23P1253177</t>
  </si>
  <si>
    <t>ORDERใหม่</t>
  </si>
  <si>
    <t>PD26010337|SB0429|POSCO_SWRCH35K_20.0_4430|2528S0251P|SHAFT SPLINE|994.00|KGS|91.00|PCS|TSK-PRD3|SB010014/3/26|SF92937|||23P1253182</t>
  </si>
  <si>
    <t>PD26010675|SB0237|NSC_S45CS1-QDS_30.25_3050|JGD10S000830-51-0|RACK BAR|864.00|KGS|50.00|PCS|TSK-PRD3|SB010073/5/26|E586442|||23P1261770</t>
  </si>
  <si>
    <t>PD26010675|SB0237|NSC_S45CS1-QDS_30.25_3050|JGD10S000830-51-0|RACK BAR|864.00|KGS|50.00|PCS|TSK-PRD3|SB010073/4/26|E586442|||23P1261759</t>
  </si>
  <si>
    <t>PD26010674|SB0237|NSC_S45CS1-QDS_30.25_3050|JGD10S000830-51-0|RACK BAR|864.00|KGS|50.00|PCS|TSK-PRD3|SB010073/1/26|E586442|||23P1261756</t>
  </si>
  <si>
    <t>PD26010674|SB0237|NSC_S45CS1-QDS_30.25_3050|JGD10S000830-51-0|RACK BAR|864.00|KGS|50.00|PCS|TSK-PRD3|SB010073/3/26|E586442|||23P1261758</t>
  </si>
  <si>
    <t>PD26010674|SB0237|NSC_S45CS1-QDS_30.25_3050|JGD10S000830-51-0|RACK BAR|864.00|KGS|50.00|PCS|TSK-PRD3|SB010073/2/26|E586442|||23P1261757</t>
  </si>
  <si>
    <t>PD25110674|FP0283|SHAFT, 2W (TG028383-0090)|TG028383-0090|SHAFT, 2W|1,500.00|PCS|513.00|KGS|TSK2|FP120382/2/25|E483074|C00013|DNTH</t>
  </si>
  <si>
    <t>PD25110674|FP0283|SHAFT, 2W (TG028383-0090)|TG028383-0090|SHAFT, 2W|1,500.00|PCS|513.00|KGS|TSK2|FP120382/3/25|E483074|C00013|DNTH</t>
  </si>
  <si>
    <t>PD25110674|FP0283|SHAFT, 2W (TG028383-0090)|TG028383-0090|SHAFT, 2W|1,500.00|PCS|513.00|KGS|TSK2|FP120382/4/25|E483074|C00013|DNTH</t>
  </si>
  <si>
    <t>PD25111200|FP0179|SHAFT, 2W (TG028383-0040)|TG028383-0040|SHAFT, 2W|1,500.00|PCS|581.00|KGS|TSK2|FP120378/3/25|E483074|C00013|DNTH</t>
  </si>
  <si>
    <t>PD25111200|FP0179|SHAFT, 2W (TG028383-0040)|TG028383-0040|SHAFT, 2W|1,500.00|PCS|581.00|KGS|TSK2|FP120378/4/25|E483074|C00013|DNTH</t>
  </si>
  <si>
    <t>PD25121243|Heat#1|FP0521|RACK BAR BLANK (JGF02-002190-31-2) 5K45|JGF02-002190-31-2|RACK BAR BLANK|58.00|PCS|280.00|kgs|TSK2|FB120351/11/25|5A5658</t>
  </si>
  <si>
    <t>PD25121243|Heat#1|FP0521|RACK BAR BLANK (JGF02-002190-31-2) 5K45|JGF02-002190-31-2|RACK BAR BLANK|58.00|PCS|280.00|kgs|TSK2|FB120351/13/25|5A5658</t>
  </si>
  <si>
    <t>PD25121243|Heat#1|FP0521|RACK BAR BLANK (JGF02-002190-31-2) 5K45|JGF02-002190-31-2|RACK BAR BLANK|58.00|PCS|280.00|kgs|TSK2|FB120351/12/25|5A5658</t>
  </si>
  <si>
    <t>PD25121243|Heat#1|FP0521|RACK BAR BLANK (JGF02-002190-31-2) 5K45|JGF02-002190-31-2|RACK BAR BLANK|19.00|PCS|92.00|kgs|TSK2|FB120351/14/25|5A5658</t>
  </si>
  <si>
    <t>PD25121244|Heat#1|FP0521|RACK BAR BLANK (JGF02-002190-31-2) 5K45|JGF02-002190-31-2|RACK BAR BLANK|39.00|PCS|188.00|kgs|TSK2|FB120363/1/25|5A5658</t>
  </si>
  <si>
    <t>PD25121244|Heat#1|FP0521|RACK BAR BLANK (JGF02-002190-31-2) 5K45|JGF02-002190-31-2|RACK BAR BLANK|58.00|PCS|280.00|kgs|TSK2|FB120363/6/25|5A5658</t>
  </si>
  <si>
    <t>PD25121244|Heat#1|FP0521|RACK BAR BLANK (JGF02-002190-31-2) 5K45|JGF02-002190-31-2|RACK BAR BLANK|58.00|PCS|280.00|kgs|TSK2|FB120363/5/25|5A5658</t>
  </si>
  <si>
    <t>PD25121244|Heat#1|FP0521|RACK BAR BLANK (JGF02-002190-31-2) 5K45|JGF02-002190-31-2|RACK BAR BLANK|58.00|PCS|280.00|kgs|TSK2|FB120363/12/25|5A5658</t>
  </si>
  <si>
    <t>PD25121244|Heat#1|FP0521|RACK BAR BLANK (JGF02-002190-31-2) 5K45|JGF02-002190-31-2|RACK BAR BLANK|58.00|PCS|280.00|kgs|TSK2|FB120363/13/25|5A5658</t>
  </si>
  <si>
    <t>PD26010051|SB0484|NSC_S45CS1-V_32.25_5540|JGD10-001230-40-0|RACK, PS|890.00|KGS|25.00|PCS|TSK-PRD3|SB120196/6/25|E586236|||23P1247379</t>
  </si>
  <si>
    <t>PD26010755|SB0143|NSC_S45CS1-V_26.0_3480|JGC10S002020-B|RACK BAR|878.00|KGS|60.00|PCS|TSK-PRD3|SB010074/2/26|E586664|||23P1265764</t>
  </si>
  <si>
    <t>PD26010755|SB0143|NSC_S45CS1-V_26.0_3480|JGC10S002020-B|RACK BAR|878.00|KGS|60.00|PCS|TSK-PRD3|SB010074/1/26|E586664|||23P1265763</t>
  </si>
  <si>
    <t>PD26010748|SB0338|NSC_S45CS1-V_26.0_3480_JAMY|JGC10-M09008-51-0|RACK BAR|744.00|KGS|51.00|PCS|TSK-PRD3|SB010076/1/26|E586966|||23P1263344</t>
  </si>
  <si>
    <t>PD26010719|SB0344|NSC_S45CS1-QDS_26.00_3600|JGC10-003040-40-0|RACK, MS|92.00|KGS|6.00|pcs|TSK-PRD3|SB120004/4/25|E585615|||23P1262908</t>
  </si>
  <si>
    <t>PD26010719|SB0344|NSC_S45CS1-QDS_26.00_3600|JGC10-003040-40-0|RACK, MS|154.00|KGS|10.00|pcs|TSK-PRD3|SB120004/5/25|E585615|||23P1262909</t>
  </si>
  <si>
    <t>PD26010719|SB0344|NSC_S45CS1-QDS_26.00_3600|JGC10-003040-40-0|RACK, MS|15.00|KGS|1.00|pcs|TSK-PRD3|SB120004/7/25|E585615|||23P1262911</t>
  </si>
  <si>
    <t>PD26010719|SB0344|NSC_S45CS1-QDS_26.00_3600|JGC10-003040-40-0|RACK, MS|77.00|KGS|5.00|pcs|TSK-PRD3|SB120004/6/25|E585615|||23P1262910</t>
  </si>
  <si>
    <t>PD26010752|SB0338|NSC_S45CS1-V_26.0_3480_JAMY|JGC10-M09008-51-0|RACK BAR|668.00|KGS|46.00|PCS|TSK-PRD3|SB010077/4/26|E586966|||23P1263359</t>
  </si>
  <si>
    <t>PD26010751|SB0338|NSC_S45CS1-V_26.0_3480_JAMY|JGC10-M09008-51-0|RACK BAR|872.00|KGS|60.00|PCS|TSK-PRD3|SB010077/2/26|E586966|||23P1263357</t>
  </si>
  <si>
    <t>PD26010751|SB0338|NSC_S45CS1-V_26.0_3480_JAMY|JGC10-M09008-51-0|RACK BAR|668.00|KGS|46.00|PCS|TSK-PRD3|SB010077/1/26|E586966|||23P1263356</t>
  </si>
  <si>
    <t>PD26010753|SB0338|NSC_S45CS1-V_26.0_3480_JAMY|JGC10-M09008-51-0|RACK BAR|872.00|KGS|60.00|PCS|TSK-PRD3|SB010077/5/26|E586966|||23P1263362</t>
  </si>
  <si>
    <t>PD26010417|SB0144|NSC_S45CS1-V_32.25_3170|JGD10S000800-B|RACK BAR|971.00|KGS|48.00|PCS|TSK-PRD3|SB010039/4/26|E586236|||23P1255939</t>
  </si>
  <si>
    <t>PD26010417|SB0144|NSC_S45CS1-V_32.25_3170|JGD10S000800-B|RACK BAR|971.00|KGS|48.00|PCS|TSK-PRD3|SB010039/5/26|E586236|||23P1255940</t>
  </si>
  <si>
    <t>PD26010417|SB0144|NSC_S45CS1-V_32.25_3170|JGD10S000800-B|RACK BAR|971.00|KGS|48.00|PCS|TSK-PRD3|SB010039/6/26|E586236|||23P1255941</t>
  </si>
  <si>
    <t>PD26010758|SB0135|NSC_S45CS1-QDS_26.0_3460|JGC10-003140-40-0|RACK, MS|870.00|KGS|60.00|PCS|TSK-PRD3|SB010067/3/26|E586613|||23P1263458</t>
  </si>
  <si>
    <t>PD26010717|SB0306|NSC_SCR415_44.00_5350|TG028987-7870|PINION STARTER 2W|1,155.00|KGS|18.00|PCS|TSK-PRD3|SB010079/1/26|E379606|||23P1262851</t>
  </si>
  <si>
    <t>PD26010718|SB0306|NSC_SCR415_44.00_5350|TG028987-7870|PINION STARTER 2W|962.00|KGS|15.00|PCS|TSK-PRD3|SB010080/1/26|E586666|||23P1262853</t>
  </si>
  <si>
    <t>PD26010716|SB0208|NSC_S25C_36.0_6100|214341-10210|SHAFT FLUID COUPLING|1,010.00|KGS|21.00|PCS|TSK-PRD3|SB010078/1/26|E584968|||23P1262850</t>
  </si>
  <si>
    <t>PD26010715|SB0236|JFE _S35C_17.60_5780|HIS18-ZZ-014CCF|SPLINE SHAFT FORGING DRAWING WITH FLANGE|973.00|KGS|88.00|PCS|TSK-PRD3|SB010019/1/26|665904|||23P1262848</t>
  </si>
  <si>
    <t>PD26010504|SB0503|POSCO_SWRCH35K_18.27_4660|2550T0749P|SHAFT SPLINE|1,027.00|KGS|107.00|pcs|TSK-PRD3|SB010049/5/26|SF93402|||23P1257642</t>
  </si>
  <si>
    <t>PD26010504|SB0503|POSCO_SWRCH35K_18.27_4660|2550T0749P|SHAFT SPLINE|1,000.00|KGS|104.00|pcs|TSK-PRD3|SB010049/4/26|SF93402|||23P1257641</t>
  </si>
  <si>
    <t>PD26010787|SB0515|KOBE_S45CS1-RP-QT_32.2_5350|JGF02-002060-31-3|RACK BAR BLANK|966.00|KGS|28.00|PCS|TSK-PRD3|SB010087/2/26|5B3838|KOBE|KOBE|23P1265958</t>
  </si>
  <si>
    <t>PD26010787|SB0515|KOBE_S45CS1-RP-QT_32.2_5350|JGF02-002060-31-3|RACK BAR BLANK|966.00|KGS|28.00|PCS|TSK-PRD3|SB010087/1/26|5B3838|KOBE|KOBE|23P1265949</t>
  </si>
  <si>
    <t>PD26010502|SB0219|NSC_SCM435H_15.7_5100|TGY95065-0010|SLUG CONNECTOR FUEL INLET|1,055.00|KGS|136.00|PCS|TSK-PRD3|SB010006/3/26|E586354|||23P1257629</t>
  </si>
  <si>
    <t>PD26010788|SB0300|NSC_S48CS1-H_31.8_3140|510-30149-020|RACK|782.00|KGS|40.00|PCS|TSK-PRD3|SB010086/1/26|5C1361|||23P1266011</t>
  </si>
  <si>
    <t>PD26010788|SB0300|NSC_S48CS1-H_31.8_3140|510-30149-020|RACK|782.00|KGS|40.00|PCS|TSK-PRD3|SB010086/3/26|5C1361|||23P1266013</t>
  </si>
  <si>
    <t>PD26010788|SB0300|NSC_S48CS1-H_31.8_3140|510-30149-020|RACK|782.00|KGS|40.00|PCS|TSK-PRD3|SB010086/2/26|5C1361|||23P1266012</t>
  </si>
  <si>
    <t>PD26010580|SB0158|JFE_S25C_43.0_6200|16171-05030|SEAT,WATER PUMP PULLEY|996.00|KGS|14.00|PCS|TSK-PRD3|SB010056/4/26|665898|||23P1259534</t>
  </si>
  <si>
    <t>PD26010580|SB0158|JFE_S25C_43.0_6200|16171-05030|SEAT,WATER PUMP PULLEY|996.00|KGS|14.00|PCS|TSK-PRD3|SB010056/5/26|665898|||23P1259535</t>
  </si>
  <si>
    <t>PD26010397|SB0389|NSC_S35C_18.27_4420|2550S0647P|SHAFT SPLINE|1,032.00|KGS|113.00|PCS|TSK-PRD3|SB010027/3/26|E586424|||23P1254705</t>
  </si>
  <si>
    <t>PD26010397|SB0389|NSC_S35C_18.27_4420|2550S0647P|SHAFT SPLINE|1,040.00|KGS|114.00|PCS|TSK-PRD3|SB010027/2/26|E586424|||23P1254704</t>
  </si>
  <si>
    <t>PD26010397|SB0389|NSC_S35C_18.27_4420|2550S0647P|SHAFT SPLINE|1,040.00|KGS|114.00|PCS|TSK-PRD3|SB010027/1/26|E586424|||23P1254701</t>
  </si>
  <si>
    <t>PD25121244|Heat#1|FP0521|RACK BAR BLANK (JGF02-002190-31-2) 5K45|JGF02-002190-31-2|RACK BAR BLANK|58.00|PCS|280.00|kgs|TSK2|FB120363/9/25|5A5658</t>
  </si>
  <si>
    <t>PD25121244|Heat#1|FP0521|RACK BAR BLANK (JGF02-002190-31-2) 5K45|JGF02-002190-31-2|RACK BAR BLANK|58.00|PCS|280.00|kgs|TSK2|FB120363/16/25|5A5658</t>
  </si>
  <si>
    <t>PD25121244|Heat#1|FP0521|RACK BAR BLANK (JGF02-002190-31-2) 5K45|JGF02-002190-31-2|RACK BAR BLANK|58.00|PCS|280.00|kgs|TSK2|FB120363/7/25|5A5658</t>
  </si>
  <si>
    <t>PD25121244|Heat#1|FP0521|RACK BAR BLANK (JGF02-002190-31-2) 5K45|JGF02-002190-31-2|RACK BAR BLANK|58.00|PCS|280.00|kgs|TSK2|FB120363/14/25|5A5658</t>
  </si>
  <si>
    <t>PD25121244|Heat#1|FP0521|RACK BAR BLANK (JGF02-002190-31-2) 5K45|JGF02-002190-31-2|RACK BAR BLANK|58.00|PCS|280.00|kgs|TSK2|FB120363/8/25|5A5658</t>
  </si>
  <si>
    <t>PD25121244|Heat#1|FP0521|RACK BAR BLANK (JGF02-002190-31-2) 5K45|JGF02-002190-31-2|RACK BAR BLANK|58.00|PCS|280.00|kgs|TSK2|FB120363/3/25|5A5658</t>
  </si>
  <si>
    <t>PD25121244|Heat#1|FP0521|RACK BAR BLANK (JGF02-002190-31-2) 5K45|JGF02-002190-31-2|RACK BAR BLANK|58.00|PCS|280.00|kgs|TSK2|FB120363/15/25|5A5658</t>
  </si>
  <si>
    <t>PD25121244|Heat#1|FP0521|RACK BAR BLANK (JGF02-002190-31-2) 5K45|JGF02-002190-31-2|RACK BAR BLANK|58.00|PCS|280.00|kgs|TSK2|FB120363/11/25|5A5658</t>
  </si>
  <si>
    <t>PD26010712|SB0344|NSC_S45CS1-QDS_26.00_3600|JGC10-003040-40-0|RACK, MS|912.00|KGS|60.00|pcs|TSK-PRD3|SB010081/2/26|E586613|||23P1262842</t>
  </si>
  <si>
    <t>PD26010712|SB0344|NSC_S45CS1-QDS_26.00_3600|JGC10-003040-40-0|RACK, MS|912.00|KGS|60.00|pcs|TSK-PRD3|SB010081/1/26|E586613|||23P1262841</t>
  </si>
  <si>
    <t>PD26010050|SB0484|NSC_S45CS1-V_32.25_5540|JGD10-001230-40-0|RACK, PS|890.00|KGS|25.00|PCS|TSK-PRD3|SB120196/2/25|E586236|||23P1247372</t>
  </si>
  <si>
    <t>PD26010050|SB0484|NSC_S45CS1-V_32.25_5540|JGD10-001230-40-0|RACK, PS|890.00|KGS|25.00|PCS|TSK-PRD3|SB120196/1/25|E586236|||23P1247366</t>
  </si>
  <si>
    <t>PD26010050|SB0484|NSC_S45CS1-V_32.25_5540|JGD10-001230-40-0|RACK, PS|890.00|KGS|25.00|PCS|TSK-PRD3|SB120196/3/25|E586236|||23P1247374</t>
  </si>
  <si>
    <t>PD26010051|SB0484|NSC_S45CS1-V_32.25_5540|JGD10-001230-40-0|RACK, PS|890.00|KGS|25.00|PCS|TSK-PRD3|SB120196/4/25|E586236|||23P1247375</t>
  </si>
  <si>
    <t>PD26010051|SB0484|NSC_S45CS1-V_32.25_5540|JGD10-001230-40-0|RACK, PS|890.00|KGS|25.00|PCS|TSK-PRD3|SB120196/5/25|E586236|||23P1247376</t>
  </si>
  <si>
    <t>PD26010789|SB0300|NSC_S48CS1-H_31.8_3140|510-30149-020|RACK|782.00|KGS|40.00|PCS|TSK-PRD3|SB010086/5/26|5C1361|||23P1266015</t>
  </si>
  <si>
    <t>PD26010337|SB0429|POSCO_SWRCH35K_20.0_4430|2528S0251P|SHAFT SPLINE|972.00|KGS|89.00|PCS|TSK-PRD3|SB010014/4/26|SF92937|||23P1253183</t>
  </si>
  <si>
    <t>PD26010503|SB0503|POSCO_SWRCH35K_18.27_4660|2550T0749P|SHAFT SPLINE|980.00|KGS|102.00|pcs|TSK-PRD3|SB010049/3/26|SF93402|||23P1257639</t>
  </si>
  <si>
    <t>PD26010715|SB0236|JFE _S35C_17.60_5780|HIS18-ZZ-014CCF|SPLINE SHAFT FORGING DRAWING WITH FLANGE|984.00|KGS|89.00|PCS|TSK-PRD3|SB010019/2/26|665904|||23P1262849</t>
  </si>
  <si>
    <t>PD26010818|SB0112|NSC_SCR420H_55.0_5300|32262-CD70A|RACE-INR 1ST GEAR|980.00|KGS|10.00|PCS|TSK-PRD3|SB010100/1/26|E276629|||23P1266142</t>
  </si>
  <si>
    <t>PD26010758|SB0135|NSC_S45CS1-QDS_26.0_3460|JGC10-003140-40-0|RACK, MS|870.00|KGS|60.00|PCS|TSK-PRD3|SB010067/4/26|E586613|||23P1263463</t>
  </si>
  <si>
    <t>PD26010677|SB0237|NSC_S45CS1-QDS_30.25_3050|JGD10S000830-51-0|RACK BAR|864.00|KGS|50.00|PCS|TSK-PRD3|SB010075/6/26|E586442|||23P1261778</t>
  </si>
  <si>
    <t>PD26010677|SB0237|NSC_S45CS1-QDS_30.25_3050|JGD10S000830-51-0|RACK BAR|864.00|KGS|50.00|PCS|TSK-PRD3|SB010075/5/26|E586442|||23P1261777</t>
  </si>
  <si>
    <t>PD26010753|SB0338|NSC_S45CS1-V_26.0_3480_JAMY|JGC10-M09008-51-0|RACK BAR|522.00|KGS|36.00|PCS|TSK-PRD3|SB010077/6/26|E586966|||23P1263363</t>
  </si>
  <si>
    <t>PD26010753|SB0338|NSC_S45CS1-V_26.0_3480_JAMY|JGC10-M09008-51-0|RACK BAR|146.00|KGS|10.00|PCS|TSK-PRD3|SB010077/7/26|E586966|||23P1263364</t>
  </si>
  <si>
    <t>PD26010710|SB0139|NSC_S45CS1-QDS_32.25_5540|JGD10S00670-B|RACK, PS|892.00|KGS|25.00|PCS|TSK-PRD3|SB010072/3/26|E586447|||23P1262829</t>
  </si>
  <si>
    <t>PD26010710|SB0139|NSC_S45CS1-QDS_32.25_5540|JGD10S00670-B|RACK, PS|892.00|KGS|25.00|PCS|TSK-PRD3|SB010072/4/26|E586447|||23P1262832</t>
  </si>
  <si>
    <t>PD26010709|SB0139|NSC_S45CS1-QDS_32.25_5540|JGD10S00670-B|RACK, PS|892.00|KGS|25.00|PCS|TSK-PRD3|SB010072/1/26|E586447|||23P1262827</t>
  </si>
  <si>
    <t>PD26010709|SB0139|NSC_S45CS1-QDS_32.25_5540|JGD10S00670-B|RACK, PS|892.00|KGS|25.00|PCS|TSK-PRD3|SB010072/2/26|E586447|||23P1262828</t>
  </si>
  <si>
    <t>PD26010493|SB0139|NSC_S45CS1-QDS_32.25_5540|JGD10S00670-B|RACK, PS|890.00|KGS|25.00|PCS|TSK-PRD3|SB010046/1/26|E586447|||23P1257601</t>
  </si>
  <si>
    <t>PD26010495|SB0139|NSC_S45CS1-QDS_32.25_5540|JGD10S00670-B|RACK, PS|890.00|KGS|25.00|PCS|TSK-PRD3|SB010046/5/26|E586447|||23P1257608</t>
  </si>
  <si>
    <t>PD26010495|SB0139|NSC_S45CS1-QDS_32.25_5540|JGD10S00670-B|RACK, PS|70.00|KGS|2.00|PCS|TSK-PRD3|SB010046/7/26|E586447|||23P1257610</t>
  </si>
  <si>
    <t>PD26010495|SB0139|NSC_S45CS1-QDS_32.25_5540|JGD10S00670-B|RACK, PS|820.00|KGS|23.00|PCS|TSK-PRD3|SB010046/6/26|E586447|||23P1257609</t>
  </si>
  <si>
    <t>PD26010752|SB0338|NSC_S45CS1-V_26.0_3480_JAMY|JGC10-M09008-51-0|RACK BAR|872.00|KGS|60.00|PCS|TSK-PRD3|SB010077/3/26|E586966|||23P1263358</t>
  </si>
  <si>
    <t>PD26010504|SB0503|POSCO_SWRCH35K_18.27_4660|2550T0749P|SHAFT SPLINE|1,027.00|KGS|107.00|pcs|TSK-PRD3|SB010049/6/26|SF93402|||23P1257643</t>
  </si>
  <si>
    <t>PD25121190|SB0024|NSC_S45CS1-QDS_30.35_3060|2-30JG-0711|RACK POWER STEERING|876.00|KGS|50.00|PCS|TSK-PRD3|SB120161/2/25|E585581|||23P1242226</t>
  </si>
  <si>
    <t>PD25121190|SB0024|NSC_S45CS1-QDS_30.35_3060|2-30JG-0711|RACK POWER STEERING|876.00|KGS|50.00|PCS|TSK-PRD3|SB120161/1/25|E585581|||23P1242225</t>
  </si>
  <si>
    <t>PD25121191|SB0024|NSC_S45CS1-QDS_30.35_3060|2-30JG-0711|RACK POWER STEERING|1,160.00|KGS|66.00|PCS|TSK-PRD3|SB120161/3/25|E585581|||23P1242227</t>
  </si>
  <si>
    <t>PD25121191|SB0024|NSC_S45CS1-QDS_30.35_3060|2-30JG-0711|RACK POWER STEERING|1,195.00|KGS|68.00|PCS|TSK-PRD3|SB120161/4/25|E585581|||23P1242232</t>
  </si>
  <si>
    <t>PD26010398|SB0389|NSC_S35C_18.27_4420|2550S0647P|SHAFT SPLINE|1,032.00|KGS|113.00|PCS|TSK-PRD3|SB010027/4/26|E586424|||23P1254707</t>
  </si>
  <si>
    <t>PD26010398|SB0389|NSC_S35C_18.27_4420|2550S0647P|SHAFT SPLINE|1,004.00|KGS|110.00|PCS|TSK-PRD3|SB010027/6/26|E586424|||23P1254712</t>
  </si>
  <si>
    <t>263.50.</t>
  </si>
  <si>
    <t>PD25121244|Heat#1|FP0521|RACK BAR BLANK (JGF02-002190-31-2) 5K45|JGF02-002190-31-2|RACK BAR BLANK|58.00|PCS|280.00|kgs|TSK2|FB120363/4/25|5A5658</t>
  </si>
  <si>
    <t>PD25121244|Heat#1|FP0521|RACK BAR BLANK (JGF02-002190-31-2) 5K45|JGF02-002190-31-2|RACK BAR BLANK|58.00|PCS|280.00|kgs|TSK2|FB120363/18/25|5A5658</t>
  </si>
  <si>
    <t>PD25121244|Heat#1|FP0521|RACK BAR BLANK (JGF02-002190-31-2) 5K45|JGF02-002190-31-2|RACK BAR BLANK|58.00|PCS|280.00|kgs|TSK2|FB120363/2/25|5A5658</t>
  </si>
  <si>
    <t>PD25121244|Heat#1|FP0521|RACK BAR BLANK (JGF02-002190-31-2) 5K45|JGF02-002190-31-2|RACK BAR BLANK|58.00|PCS|280.00|kgs|TSK2|FB120363/19/25|5A5658</t>
  </si>
  <si>
    <t>PD25121244|Heat#1|FP0521|RACK BAR BLANK (JGF02-002190-31-2) 5K45|JGF02-002190-31-2|RACK BAR BLANK|51.00|PCS|246.00|kgs|TSK2|FB120363/20/25|5A5658</t>
  </si>
  <si>
    <t>PD25121245|Heat#1|FP0521|RACK BAR BLANK (JGF02-002190-31-2) 5K45|JGF02-002190-31-2|RACK BAR BLANK|7.00|PCS|34.00|kgs|TSK2|FB010002/1/26|5A5913</t>
  </si>
  <si>
    <t>PD25121245|Heat#1|FP0521|RACK BAR BLANK (JGF02-002190-31-2) 5K45|JGF02-002190-31-2|RACK BAR BLANK|58.00|PCS|280.00|kgs|TSK2|FB010002/14/26|5A5913</t>
  </si>
  <si>
    <t>PD25121245|Heat#1|FP0521|RACK BAR BLANK (JGF02-002190-31-2) 5K45|JGF02-002190-31-2|RACK BAR BLANK|58.00|PCS|280.00|kgs|TSK2|FB010002/12/26|5A5913</t>
  </si>
  <si>
    <t>PD25121245|Heat#1|FP0521|RACK BAR BLANK (JGF02-002190-31-2) 5K45|JGF02-002190-31-2|RACK BAR BLANK|58.00|PCS|280.00|kgs|TSK2|FB010002/4/26|5A5913</t>
  </si>
  <si>
    <t>PD26010788|FP0346|RACK (510-30149-020)|510-30149-020|RACK|50.00|PCS|82.00|KGS|TSK2|FB010224/1/26|5C1361|C00137|Astemo (Thailand)</t>
  </si>
  <si>
    <t>PD26010111|FP0346|RACK (510-30149-020)|510-30149-020|RACK|150.00|PCS|245.00|KGS|TSK2|FB010061/7/26|5C1361|C00137|Astemo (Thailand)</t>
  </si>
  <si>
    <t>PD26010788|FP0346|RACK (510-30149-020)|510-30149-020|RACK|200.00|PCS|327.00|KGS|TSK2|FB010224/2/26|5C1361|C00137|Astemo (Thailand)</t>
  </si>
  <si>
    <t>PD26010788|FP0346|RACK (510-30149-020)|510-30149-020|RACK|200.00|PCS|327.00|KGS|TSK2|FB010224/5/26|5C1361|C00137|Astemo (Thailand)</t>
  </si>
  <si>
    <t>PD26010788|FP0346|RACK (510-30149-020)|510-30149-020|RACK|200.00|PCS|327.00|KGS|TSK2|FB010224/6/26|5C1361|C00137|Astemo (Thailand)</t>
  </si>
  <si>
    <t>PD26010789|FP0346|RACK (510-30149-020)|510-30149-020|RACK|200.00|PCS|327.00|KGS|TSK2|FB010232/2/26|5C1361|C00137|Astemo (Thailand)</t>
  </si>
  <si>
    <t>PD26010656|SB0106|KMS_DSS1_13.47_6000|TG028152-5240|Pole Core|1,022.00|KGS|152.00|PCS|TSK-PRD3|SB010066/1/26|KS005C9016|KMS|KOBELCO Millcon Steel Co.,Ltd|23P1261077</t>
  </si>
  <si>
    <t>PD26010580|SB0158|JFE_S25C_43.0_6200|16171-05030|SEAT,WATER PUMP PULLEY|996.00|KGS|14.00|PCS|TSK-PRD3|SB010056/6/26|665898|||23P1259536</t>
  </si>
  <si>
    <t>PD25121244|Heat#1|FP0521|RACK BAR BLANK (JGF02-002190-31-2) 5K45|JGF02-002190-31-2|RACK BAR BLANK|58.00|PCS|280.00|kgs|TSK2|FB120363/10/25|5A5658</t>
  </si>
  <si>
    <t>wichan</t>
  </si>
  <si>
    <t>PD25121244|Heat#1|FP0521|RACK BAR BLANK (JGF02-002190-31-2) 5K45|JGF02-002190-31-2|RACK BAR BLANK|58.00|PCS|280.00|kgs|TSK2|FB120363/17/25|5A5658</t>
  </si>
  <si>
    <t>PD26010857|SB0158|JFE_S25C_43.0_6200|16171-05030|SEAT,WATER PUMP PULLEY|990.00|KGS|14.00|PCS|TSK-PRD3|SB010102/6/26|665898|||23P1266480</t>
  </si>
  <si>
    <t>PD26010789|SB0300|NSC_S48CS1-H_31.8_3140|510-30149-020|RACK|782.00|KGS|40.00|PCS|TSK-PRD3|SB010086/4/26|5C1361|||23P1266014</t>
  </si>
  <si>
    <t>PD26010908|SB0516|KOBE_S45CS1-RP-QT_32.2_5500|JGF02-002190-31-2|RACK BAR BLANK|962.00|KGS|27.00|PCS|TSK-PRD3|SB010117/2/26|5B3841|KOBE|KOBE|23P1267524</t>
  </si>
  <si>
    <t>PD26010908|SB0516|KOBE_S45CS1-RP-QT_32.2_5500|JGF02-002190-31-2|RACK BAR BLANK|962.00|KGS|27.00|PCS|TSK-PRD3|SB010117/1/26|5B3841|KOBE|KOBE|23P1267521</t>
  </si>
  <si>
    <t>PD25121192|SB0024|NSC_S45CS1-QDS_30.35_3060|2-30JG-0711|RACK POWER STEERING|876.00|KGS|50.00|PCS|TSK-PRD3|SB120149/1/25|E586100|||23P1242233</t>
  </si>
  <si>
    <t>PD25121192|SB0024|NSC_S45CS1-QDS_30.35_3060|2-30JG-0711|RACK POWER STEERING|876.00|KGS|50.00|PCS|TSK-PRD3|SB120149/2/25|E586100|||23P1242234</t>
  </si>
  <si>
    <t>PD25121192|SB0024|NSC_S45CS1-QDS_30.35_3060|2-30JG-0711|RACK POWER STEERING|876.00|KGS|50.00|PCS|TSK-PRD3|SB120149/3/25|E586100|||23P1242235</t>
  </si>
  <si>
    <t>PD26010790|SB0024|NSC_S45CS1-QDS_30.35_3060|2-30JG-0711|RACK POWER STEERING|878.00|KGS|50.00|PCS|TSK-PRD3|SB010089/3/26|E586102|||23P1266032</t>
  </si>
  <si>
    <t>PD26010790|SB0024|NSC_S45CS1-QDS_30.35_3060|2-30JG-0711|RACK POWER STEERING|878.00|KGS|50.00|PCS|TSK-PRD3|SB010089/2/26|E586102|||23P1266031</t>
  </si>
  <si>
    <t>PD26010677|SB0237|NSC_S45CS1-QDS_30.25_3050|JGD10S000830-51-0|RACK BAR|864.00|KGS|50.00|PCS|TSK-PRD3|SB010075/4/26|E586442|||23P1261776</t>
  </si>
  <si>
    <t>PD26010676|SB0237|NSC_S45CS1-QDS_30.25_3050|JGD10S000830-51-0|RACK BAR|864.00|KGS|50.00|PCS|TSK-PRD3|SB010075/3/26|E586442|||23P1261775</t>
  </si>
  <si>
    <t>PD26010676|SB0237|NSC_S45CS1-QDS_30.25_3050|JGD10S000830-51-0|RACK BAR|864.00|KGS|50.00|PCS|TSK-PRD3|SB010075/2/26|E586442|||23P1261773</t>
  </si>
  <si>
    <t>PD26010676|SB0237|NSC_S45CS1-QDS_30.25_3050|JGD10S000830-51-0|RACK BAR|864.00|KGS|50.00|PCS|TSK-PRD3|SB010075/1/26|E586442|||23P1261772</t>
  </si>
  <si>
    <t>PD26010711|SB0139|NSC_S45CS1-QDS_32.25_5540|JGD10S00670-B|RACK, PS|892.00|KGS|25.00|PCS|TSK-PRD3|SB010072/5/26|E586447|||23P1262833</t>
  </si>
  <si>
    <t>PD26010711|SB0139|NSC_S45CS1-QDS_32.25_5540|JGD10S00670-B|RACK, PS|857.00|KGS|24.00|PCS|TSK-PRD3|SB010072/6/26|E586447|||23P1262834</t>
  </si>
  <si>
    <t>PD26010711|SB0139|NSC_S45CS1-QDS_32.25_5540|JGD10S00670-B|RACK, PS|35.00|KGS|1.00|PCS|TSK-PRD3|SB010072/7/26|E586447|||23P1262835</t>
  </si>
  <si>
    <t>PD26010779|SB0412|NSC_S45CS1-QDS_Dia.27.95_2980|JGD10-001150-40-1|Rack, PS|866.00|KGS|60.00|PCS|TSK-PRD3|SB010099/3/26|E585970|||23P1265772</t>
  </si>
  <si>
    <t>PD26010779|SB0412|NSC_S45CS1-QDS_Dia.27.95_2980|JGD10-001150-40-1|Rack, PS|866.00|KGS|60.00|PCS|TSK-PRD3|SB010099/4/26|E585970|||23P1265773</t>
  </si>
  <si>
    <t>PD26010502|SB0219|NSC_SCM435H_15.7_5100|TGY95065-0010|SLUG CONNECTOR FUEL INLET|1,063.00|KGS|137.00|PCS|TSK-PRD3|SB010006/4/26|E586354|||23P1257630</t>
  </si>
  <si>
    <t>PD26010818|SB0112|NSC_SCR420H_55.0_5300|32262-CD70A|RACE-INR 1ST GEAR|980.00|KGS|10.00|PCS|TSK-PRD3|SB010100/2/26|E276629|||23P1266146</t>
  </si>
  <si>
    <t>PD26010485|MB0033|S25C Dia 60.00x4000-5500 mm.|141411-60180|Piston Disc Brake Forging|1,952.00|KGS|16.00|PCS|TSK-PRD3|2B2600119|663961|JFE-SC|JFE Steel Corporation|23P1256807</t>
  </si>
  <si>
    <t>PD26010398|SB0389|NSC_S35C_18.27_4420|2550S0647P|SHAFT SPLINE|996.00|KGS|109.00|PCS|TSK-PRD3|SB010027/5/26|E586424|||23P1254710</t>
  </si>
  <si>
    <t>PD26010862|SB0520|NSC_S35C_21.90_5420|2550S0666P|SHAFT SPLINE|1,024.00|KGS|63.00|PCS|TSK-PRD3|SB010096/1/26|E484056|NSC-KYUSHU WORKS|Nippon Steel Corporation|23P1266490</t>
  </si>
  <si>
    <t>PD26010790|SB0024|NSC_S45CS1-QDS_30.35_3060|2-30JG-0711|RACK POWER STEERING|878.00|KGS|50.00|PCS|TSK-PRD3|SB010089/1/26|E586102|||23P1266030</t>
  </si>
  <si>
    <t>PD26010713|SB0344|NSC_S45CS1-QDS_26.00_3600|JGC10-003040-40-0|RACK, MS|912.00|KGS|60.00|pcs|TSK-PRD3|SB010081/3/26|E586613|||23P1262843</t>
  </si>
  <si>
    <t>PD26010713|SB0344|NSC_S45CS1-QDS_26.00_3600|JGC10-003040-40-0|RACK, MS|912.00|KGS|60.00|pcs|TSK-PRD3|SB010081/4/26|E586613|||23P1262844</t>
  </si>
  <si>
    <t>PD26010954|SB0501|NSC_DSCR420_16.92_5100|TG028383-0420|SHAFT, 2W|1,005.00|KGS|111.00|PCS|TSK-PRD3|SB010125/1/26|5E0424|||23P1268294</t>
  </si>
  <si>
    <t>PD26010485|MB0033|S25C Dia 60.00x4000-5500 mm.|141411-60180|Piston Disc Brake Forging|1,952.00|KGS|16.00|PCS|TSK-PRD3|2B2600120|663961|JFE-SC|JFE Steel Corporation|23P1256808</t>
  </si>
  <si>
    <t>PD26010788|FP0346|RACK (510-30149-020)|510-30149-020|RACK|200.00|PCS|327.00|KGS|TSK2|FB010224/4/26|5C1361|C00137|Astemo (Thailand)</t>
  </si>
  <si>
    <t>PD26010788|FP0346|RACK (510-30149-020)|510-30149-020|RACK|200.00|PCS|327.00|KGS|TSK2|FB010224/3/26|5C1361|C00137|Astemo (Thailand)</t>
  </si>
  <si>
    <t>PD26010788|FP0346|RACK (510-30149-020)|510-30149-020|RACK|68.00|PCS|111.00|KGS|TSK2|FB010224/8/26|5C1361|C00137|Astemo (Thailand)</t>
  </si>
  <si>
    <t>PD26010789|FP0346|RACK (510-30149-020)|510-30149-020|RACK|132.00|PCS|216.00|KGS|TSK2|FB010232/1/26|5C1361|C00137|Astemo (Thailand)</t>
  </si>
  <si>
    <t>PD26010774|SB0130|NSC_S45CS1-QDS_24.0_3170|JGC10-003770-40-0|Rack, MS|904.00|KGS|80.00|PCS|TSK-PRD3|SB010088/3/26|E585970|||23P1265745</t>
  </si>
  <si>
    <t>PD26010774|SB0130|NSC_S45CS1-QDS_24.0_3170|JGC10-003770-40-0|Rack, MS|904.00|KGS|80.00|PCS|TSK-PRD3|SB010088/2/26|E585970|||23P1265744</t>
  </si>
  <si>
    <t>PD26010774|SB0130|NSC_S45CS1-QDS_24.0_3170|JGC10-003770-40-0|Rack, MS|904.00|KGS|80.00|PCS|TSK-PRD3|SB010088/1/26|E585970|||23P1265743</t>
  </si>
  <si>
    <t>PD26010786|SB0135|NSC_S45CS1-QDS_26.0_3460|JGC10-003140-40-0|RACK, MS|874.00|KGS|60.00|PCS|TSK-PRD3|SB010097/3/26|E586613|||23P1265930</t>
  </si>
  <si>
    <t>PD26010786|SB0135|NSC_S45CS1-QDS_26.0_3460|JGC10-003140-40-0|RACK, MS|860.00|KGS|59.00|PCS|TSK-PRD3|SB010097/4/26|E586613|||23P1265931</t>
  </si>
  <si>
    <t>PD26010786|SB0135|NSC_S45CS1-QDS_26.0_3460|JGC10-003140-40-0|RACK, MS|14.00|KGS|1.00|PCS|TSK-PRD3|SB010097/5/26|E586613|||23P1265932</t>
  </si>
  <si>
    <t>PD26010929|SB0135|NSC_S45CS1-QDS_26.0_3460|JGC10-003140-40-0|RACK, MS|874.00|KGS|60.00|PCS|TSK-PRD3|SB010097/1/26|E586613|||23P1267881</t>
  </si>
  <si>
    <t>PD26010862|SB0520|NSC_S35C_21.90_5420|2550S0666P|SHAFT SPLINE|1,040.00|KGS|64.00|PCS|TSK-PRD3|SB010096/2/26|E484056|NSC-KYUSHU WORKS|Nippon Steel Corporation|23P1266491</t>
  </si>
  <si>
    <t>ฐิติมา</t>
  </si>
  <si>
    <t>PD26010868|SB0503|POSCO_SWRCH35K_18.27_4660|2550T0749P|SHAFT SPLINE|990.00|KGS|103.00|pcs|TSK-PRD3|SB010084/2/26|SF93404|||23P1266645</t>
  </si>
  <si>
    <t>PD26010857|SB0158|JFE_S25C_43.0_6200|16171-05030|SEAT,WATER PUMP PULLEY|990.00|KGS|14.00|PCS|TSK-PRD3|SB010102/5/26|665898|||23P1266479</t>
  </si>
  <si>
    <t>PD25120620|SB0515|KOBE_S45CS1-RP-QT_32.2_5350|JGF02-002060-31-3|RACK BAR BLANK|967.00|KGS|28.00|PCS|TSK-PRD3|SB120084/1/25|5B0230|KOBE|KOBE|23P1226991</t>
  </si>
  <si>
    <t>PD25120620|SB0515|KOBE_S45CS1-RP-QT_32.2_5350|JGF02-002060-31-3|RACK BAR BLANK|967.00|KGS|28.00|PCS|TSK-PRD3|SB120084/2/25|5B0230|KOBE|KOBE|23P1226997</t>
  </si>
  <si>
    <t>PD25120629|SB0515|KOBE_S45CS1-RP-QT_32.2_5350|JGF02-002060-31-3|RACK BAR BLANK|967.00|KGS|28.00|PCS|TSK-PRD3|SB120090/5/25|5B0230|KOBE|KOBE|23P1227023</t>
  </si>
  <si>
    <t>PD25121245|Heat#1|FP0521|RACK BAR BLANK (JGF02-002190-31-2) 5K45|JGF02-002190-31-2|RACK BAR BLANK|58.00|PCS|280.00|kgs|TSK2|FB010002/11/26|5A5913</t>
  </si>
  <si>
    <t>PD25121245|Heat#1|FP0521|RACK BAR BLANK (JGF02-002190-31-2) 5K45|JGF02-002190-31-2|RACK BAR BLANK|58.00|PCS|280.00|kgs|TSK2|FB010002/5/26|5A5913</t>
  </si>
  <si>
    <t>PD25121245|Heat#1|FP0521|RACK BAR BLANK (JGF02-002190-31-2) 5K45|JGF02-002190-31-2|RACK BAR BLANK|58.00|PCS|280.00|kgs|TSK2|FB010002/13/26|5A5913</t>
  </si>
  <si>
    <t>PD25121245|Heat#1|FP0521|RACK BAR BLANK (JGF02-002190-31-2) 5K45|JGF02-002190-31-2|RACK BAR BLANK|58.00|PCS|280.00|kgs|TSK2|FB010002/2/26|5A5913</t>
  </si>
  <si>
    <t>PD25121245|Heat#1|FP0521|RACK BAR BLANK (JGF02-002190-31-2) 5K45|JGF02-002190-31-2|RACK BAR BLANK|58.00|PCS|280.00|kgs|TSK2|FB010002/10/26|5A5913</t>
  </si>
  <si>
    <t>PD25121245|Heat#1|FP0521|RACK BAR BLANK (JGF02-002190-31-2) 5K45|JGF02-002190-31-2|RACK BAR BLANK|58.00|PCS|280.00|kgs|TSK2|FB010002/6/26|5A5913</t>
  </si>
  <si>
    <t>PD25121245|Heat#1|FP0521|RACK BAR BLANK (JGF02-002190-31-2) 5K45|JGF02-002190-31-2|RACK BAR BLANK|58.00|PCS|280.00|kgs|TSK2|FB010002/3/26|5A5913</t>
  </si>
  <si>
    <t>PD25121245|Heat#1|FP0521|RACK BAR BLANK (JGF02-002190-31-2) 5K45|JGF02-002190-31-2|RACK BAR BLANK|58.00|PCS|280.00|kgs|TSK2|FB010002/7/26|5A5913</t>
  </si>
  <si>
    <t>PD25121245|Heat#1|FP0521|RACK BAR BLANK (JGF02-002190-31-2) 5K45|JGF02-002190-31-2|RACK BAR BLANK|58.00|PCS|280.00|kgs|TSK2|FB010002/8/26|5A5913</t>
  </si>
  <si>
    <t>PD25121245|Heat#1|FP0521|RACK BAR BLANK (JGF02-002190-31-2) 5K45|JGF02-002190-31-2|RACK BAR BLANK|58.00|PCS|280.00|kgs|TSK2|FB010002/9/26|5A5913</t>
  </si>
  <si>
    <t>PD26010874|SB0338|NSC_S45CS1-V_26.0_3480_JAMY|JGC10-M09008-51-0|RACK BAR|874.00|KGS|60.00|PCS|TSK-PRD3|SB010114/4/26|E586966|||23P1266695</t>
  </si>
  <si>
    <t>หน้าตัดลาย</t>
  </si>
  <si>
    <t>PD26010874|SB0338|NSC_S45CS1-V_26.0_3480_JAMY|JGC10-M09008-51-0|RACK BAR|874.00|KGS|60.00|PCS|TSK-PRD3|SB010114/5/26|E586966|||23P1266697</t>
  </si>
  <si>
    <t>PD26010874|SB0338|NSC_S45CS1-V_26.0_3480_JAMY|JGC10-M09008-51-0|RACK BAR|874.00|KGS|60.00|PCS|TSK-PRD3|SB010114/6/26|E586966|||23P1266698</t>
  </si>
  <si>
    <t>PD26010868|SB0503|POSCO_SWRCH35K_18.27_4660|2550T0749P|SHAFT SPLINE|1,030.00|KGS|107.00|pcs|TSK-PRD3|SB010084/1/26|SF93404|||23P1266643</t>
  </si>
  <si>
    <t>PD25120629|SB0515|KOBE_S45CS1-RP-QT_32.2_5350|JGF02-002060-31-3|RACK BAR BLANK|967.00|KGS|28.00|PCS|TSK-PRD3|SB120090/6/25|5B0230|KOBE|KOBE|23P1227026</t>
  </si>
  <si>
    <t>PD25120629|SB0515|KOBE_S45CS1-RP-QT_32.2_5350|JGF02-002060-31-3|RACK BAR BLANK|967.00|KGS|28.00|PCS|TSK-PRD3|SB120090/3/25|5B0230|KOBE|KOBE|23P1227021</t>
  </si>
  <si>
    <t>PD25120629|SB0515|KOBE_S45CS1-RP-QT_32.2_5350|JGF02-002060-31-3|RACK BAR BLANK|967.00|KGS|28.00|PCS|TSK-PRD3|SB120090/4/25|5B0230|KOBE|KOBE|23P1227022</t>
  </si>
  <si>
    <t>PD25120629|SB0515|KOBE_S45CS1-RP-QT_32.2_5350|JGF02-002060-31-3|RACK BAR BLANK|967.00|KGS|28.00|PCS|TSK-PRD3|SB120090/1/25|5B0230|KOBE|KOBE|23P1227018</t>
  </si>
  <si>
    <t>PD26010775|SB0130|NSC_S45CS1-QDS_24.0_3170|JGC10-003770-40-0|Rack, MS|904.00|KGS|80.00|PCS|TSK-PRD3|SB010088/4/26|E585970|||23P1265748</t>
  </si>
  <si>
    <t>PD26010775|SB0130|NSC_S45CS1-QDS_24.0_3170|JGC10-003770-40-0|Rack, MS|904.00|KGS|80.00|PCS|TSK-PRD3|SB010088/5/26|E585970|||23P1265749</t>
  </si>
  <si>
    <t>PD26010870|SB0503|POSCO_SWRCH35K_18.27_4660|2550T0749P|SHAFT SPLINE|1,000.00|KGS|104.00|pcs|TSK-PRD3|SB010085/4/26|SF93402|||23P1266663</t>
  </si>
  <si>
    <t>PD26010870|SB0503|POSCO_SWRCH35K_18.27_4660|2550T0749P|SHAFT SPLINE|1,000.00|KGS|104.00|pcs|TSK-PRD3|SB010085/3/26|SF93402|||23P1266655</t>
  </si>
  <si>
    <t>PD26010857|SB0158|JFE_S25C_43.0_6200|16171-05030|SEAT,WATER PUMP PULLEY|990.00|KGS|14.00|PCS|TSK-PRD3|SB010102/4/26|665898|||23P1266478</t>
  </si>
  <si>
    <t>PD26010856|SB0158|JFE_S25C_43.0_6200|16171-05030|SEAT,WATER PUMP PULLEY|990.00|KGS|14.00|PCS|TSK-PRD3|SB010102/3/26|665898|||23P1266477</t>
  </si>
  <si>
    <t>17/12/</t>
  </si>
  <si>
    <t>PD26010871|SB0338|NSC_S45CS1-V_26.0_3480_JAMY|JGC10-M09008-51-0|RACK BAR|880.00|KGS|60.00|PCS|TSK-PRD3|SB010113/1/26|E586966|||23P1266668</t>
  </si>
  <si>
    <t>PD26010871|SB0338|NSC_S45CS1-V_26.0_3480_JAMY|JGC10-M09008-51-0|RACK BAR|880.00|KGS|60.00|PCS|TSK-PRD3|SB010113/3/26|E586966|||23P1266670</t>
  </si>
  <si>
    <t>PD26010871|SB0338|NSC_S45CS1-V_26.0_3480_JAMY|JGC10-M09008-51-0|RACK BAR|880.00|KGS|60.00|PCS|TSK-PRD3|SB010113/2/26|E586966|||23P1266669</t>
  </si>
  <si>
    <t>PD26010872|SB0338|NSC_S45CS1-V_26.0_3480_JAMY|JGC10-M09008-51-0|RACK BAR|880.00|KGS|60.00|PCS|TSK-PRD3|SB010113/4/26|E586966|||23P1266675</t>
  </si>
  <si>
    <t>PD26010872|SB0338|NSC_S45CS1-V_26.0_3480_JAMY|JGC10-M09008-51-0|RACK BAR|880.00|KGS|60.00|PCS|TSK-PRD3|SB010113/6/26|E586966|||23P1266680</t>
  </si>
  <si>
    <t>PD26010485|MB0033|S25C Dia 60.00x4000-5500 mm.|141411-60180|Piston Disc Brake Forging|1,952.00|KGS16.00|PCS|TSK-PRD3|2B2600120|663961|JFE-SC|JFE Steel Corporation|23P1256808</t>
  </si>
  <si>
    <t>PD26010776|SB0130|NSC_S45CS1-QDS_24.0_3170|JGC10-001180-S|RACK, MS|904.00|KGS|80.00|PCS|TSK-PRD3|SB010092/1/26|E585971|||23P1265753</t>
  </si>
  <si>
    <t>PD26010776|SB0130|NSC_S45CS1-QDS_24.0_3170|JGC10-001180-S|RACK, MS|904.00|KGS|80.00|PCS|TSK-PRD3|SB010092/2/26|E585971|||23P1265754</t>
  </si>
  <si>
    <t>PD26010776|SB0130|NSC_S45CS1-QDS_24.0_3170|JGC10-001180-S|RACK, MS|904.00|KGS|80.00|PCS|TSK-PRD3|SB010092/3/26|E585971|||23P1265755</t>
  </si>
  <si>
    <t>PD26010929|SB0135|NSC_S45CS1-QDS_26.0_3460|JGC10-003140-40-0|RACK, MS|874.00|KGS|60.00|PCS|TSK-PRD3|SB010097/2/26|E586613|||23P1267882</t>
  </si>
  <si>
    <t>PD26010329|SB0482|JFE_S45CS1-QDS_32.25_3000|JGD10-000751/000761-A|RACK BAR|986.00|KGS|51.00|pcs|TSK-PRD3|SB010021/1/26|665076|JFE-SC|JFE Steel Corporation|23P1253147</t>
  </si>
  <si>
    <t>PD26010329|SB0482|JFE_S45CS1-QDS_32.25_3000|JGD10-000751/000761-A|RACK BAR|986.00|KGS|51.00|pcs|TSK-PRD3|SB010021/2/26|665076|JFE-SC|JFE Steel Corporation|23P1253154</t>
  </si>
  <si>
    <t>PD26010330|SB0482|JFE_S45CS1-QDS_32.25_3000|JGD10-000751/000761-A|RACK BAR|986.00|KGS|51.00|pcs|TSK-PRD3|SB010021/3/26|665076|JFE-SC|JFE Steel Corporation|23P1253155</t>
  </si>
  <si>
    <t>PD26010953|SB0225|Diado_S10C_18.6_5500|TGY94265-0010|SLUG HOUSING STATOR|1,115.00|KGS|95.00|PCS|TSK-PRD3|SB010124/1/26|6277A|||23P1268284</t>
  </si>
  <si>
    <t>PD26010656|SB0106|KMS_DSS1_13.47_6000|TG028152-5240|Pole Core|1,010.00|KGS|150.00|PCS|TSK-PRD3|SB010066/2/26|KS005C9016|KMS|KOBELCO Millcon Steel Co.,Ltd|23P1261078</t>
  </si>
  <si>
    <t>PD26010958|SB0501|NSC_DSCR420_16.92_5100|TG028383-0420|SHAFT, 2W|1,014.00|KGS|112.00|PCS|TSK-PRD3|SB010125/2/26|5E0424|||23P1269113</t>
  </si>
  <si>
    <t>PD26010485|MB0033|S25C Dia 60.00x4000-5500 mm.|141411-60180|Piston Disc Brake Forging|1,952.00|KGS|16.00|PCS|TSK-PRD3|2B2600121|663961|JFE-SC|JFE Steel Corporation|23P1256809</t>
  </si>
  <si>
    <t>PD26010775|SB0130|NSC_S45CS1-QDS_24.0_3170|JGC10-003770-40-0|Rack, MS|904.00|KGS|80.00|PCS|TSK-PRD3|SB010088/6/26|E585970|||23P1265750</t>
  </si>
  <si>
    <t>PD26010969|SB0139|NSC_S45CS1-QDS_32.25_5540|JGD10S00670-B|RACK, PS|890.00|KGS|25.00|PCS|TSK-PRD3|SB010119/3/26|E586447|||23P1269358</t>
  </si>
  <si>
    <t>PD26010969|SB0139|NSC_S45CS1-QDS_32.25_5540|JGD10S00670-B|RACK, PS|890.00|KGS|25.00|PCS|TSK-PRD3|SB010119/4/26|E586447|||23P1269359</t>
  </si>
  <si>
    <t>PD26010330|SB0482|JFE_S45CS1-QDS_32.25_3000|JGD10-000751/000761-A|RACK BAR|986.00|KGS|51.00|pcs|TSK-PRD3|SB010021/4/26|665076|JFE-SC|JFE Steel Corporation|23P1253156</t>
  </si>
  <si>
    <t>PD26010331|SB0482|JFE_S45CS1-QDS_32.25_3000|JGD10-000751/000761-A|RACK BAR|986.00|KGS|51.00|pcs|TSK-PRD3|SB010022/2/26|665076|JFE-SC|JFE Steel Corporation|23P1253163</t>
  </si>
  <si>
    <t>PD26010331|SB0482|JFE_S45CS1-QDS_32.25_3000|JGD10-000751/000761-A|RACK BAR|986.00|KGS|51.00|pcs|TSK-PRD3|SB010022/1/26|665076|JFE-SC|JFE Steel Corporation|23P1253162</t>
  </si>
  <si>
    <t>PD26010574|SB0482|JFE_S45CS1-QDS_32.25_3000|JGD10-000751/000761-A|RACK BAR|988.00|KGS|51.00|pcs|TSK-PRD3|SB010062/3/26|665077|JFE-SC|JFE Steel Corporation|23P1259360</t>
  </si>
  <si>
    <t>PD26010574|SB0482|JFE_S45CS1-QDS_32.25_3000|JGD10-000751/000761-A|RACK BAR|988.00|KGS|51.00|pcs|TSK-PRD3|SB010062/4/26|665077|JFE-SC|JFE Steel Corporation|23P1259361</t>
  </si>
  <si>
    <t>PD26010899|SB0484|NSC_S45CS1-V_32.25_5540|JGD10-001230-40-0|RACK, PS|892.00|KGS|25.00|PCS|TSK-PRD3|SB010103/1/26|E586236|||23P1267449</t>
  </si>
  <si>
    <t>PD26010899|SB0484|NSC_S45CS1-V_32.25_5540|JGD10-001230-40-0|RACK, PS|892.00|KGS|25.00|PCS|TSK-PRD3|SB010103/2/26|E586236|||23P1267450</t>
  </si>
  <si>
    <t>PD26010899|SB0484|NSC_S45CS1-V_32.25_5540|JGD10-001230-40-0|RACK, PS|892.00|KGS|25.00|PCS|TSK-PRD3|SB010103/3/26|E586236|||23P1267451</t>
  </si>
  <si>
    <t>PD26010900|SB0484|NSC_S45CS1-V_32.25_5540|JGD10-001230-40-0|RACK, PS|892.00|KGS|25.00|PCS|TSK-PRD3|SB010103/4/26|E586236|||23P1267452</t>
  </si>
  <si>
    <t>PD26010900|SB0484|NSC_S45CS1-V_32.25_5540|JGD10-001230-40-0|RACK, PS|892.00|KGS|25.00|PCS|TSK-PRD3|SB010103/5/26|E586236|||23P1267453</t>
  </si>
  <si>
    <t>PD26010872|SB0338|NSC_S45CS1-V_26.0_3480_JAMY|JGC10-M09008-51-0|RACK BAR|880.00|KGS|60.00|PCS|TSK-PRD3|SB010113/5/26|E586966|||23P1266676</t>
  </si>
  <si>
    <t>PD26010873|SB0338|NSC_S45CS1-V_26.0_3480_JAMY|JGC10-M09008-51-0|RACK BAR|874.00|KGS|60.00|PCS|TSK-PRD3|SB010114/3/26|E586966|||23P1266688</t>
  </si>
  <si>
    <t>PD26010873|SB0338|NSC_S45CS1-V_26.0_3480_JAMY|JGC10-M09008-51-0|RACK BAR|874.00|KGS|60.00|PCS|TSK-PRD3|SB010114/1/26|E586966|||23P1266681</t>
  </si>
  <si>
    <t>PD26010869|SB0503|POSCO_SWRCH35K_18.27_4660|2550T0749P|SHAFT SPLINE|963.00|KGS|100.00|pcs|TSK-PRD3|SB010085/2/26|SF93402|||23P1266654</t>
  </si>
  <si>
    <t>PD26010869|SB0503|POSCO_SWRCH35K_18.27_4660|2550T0749P|SHAFT SPLINE|963.00|KGS|100.00|pcs|TSK-PRD3|SB010085/1/26|SF93402|||23P1266653</t>
  </si>
  <si>
    <t>PD26010856|SB0158|JFE_S25C_43.0_6200|16171-05030|SEAT,WATER PUMP PULLEY|990.00|KGS|14.00|PCS|TSK-PRD3|SB010102/1/26|665898|||23P1266475</t>
  </si>
  <si>
    <t>PD25120570|Heat#1|FP0520|RACK BAR BLANK (JGF02-002060-31-3) 58*D|JGF02-002060-31-3|RACK BAR BLANK|58.00|PCS|271.00|kgs|TSK2|FB010136/11/26|5B9507</t>
  </si>
  <si>
    <t>PD25120570|Heat#1|FP0520|RACK BAR BLANK (JGF02-002060-31-3) 58*D|JGF02-002060-31-3|RACK BAR BLANK|58.00|PCS|271.00|kgs|TSK2|FB010136/3/26|5B9507</t>
  </si>
  <si>
    <t>PD25120570|Heat#1|FP0520|RACK BAR BLANK (JGF02-002060-31-3) 58*D|JGF02-002060-31-3|RACK BAR BLANK|58.00|PCS|271.00|kgs|TSK2|FB010136/2/26|5B9507</t>
  </si>
  <si>
    <t>PD25120570|Heat#1|FP0520|RACK BAR BLANK (JGF02-002060-31-3) 58*D|JGF02-002060-31-3|RACK BAR BLANK|58.00|PCS|271.00|kgs|TSK2|FB010136/8/26|5B9507</t>
  </si>
  <si>
    <t>PD25120570|Heat#1|FP0520|RACK BAR BLANK (JGF02-002060-31-3) 58*D|JGF02-002060-31-3|RACK BAR BLANK|58.00|PCS|271.00|kgs|TSK2|FB010136/12/26|5B9507</t>
  </si>
  <si>
    <t>PD25120570|Heat#1|FP0520|RACK BAR BLANK (JGF02-002060-31-3) 58*D|JGF02-002060-31-3|RACK BAR BLANK|58.00|PCS|271.00|kgs|TSK2|FB010136/7/26|5B9507</t>
  </si>
  <si>
    <t>PD25120570|Heat#1|FP0520|RACK BAR BLANK (JGF02-002060-31-3) 58*D|JGF02-002060-31-3|RACK BAR BLANK|58.00|PCS|271.00|kgs|TSK2|FB010136/4/26|5B9507</t>
  </si>
  <si>
    <t>PD25120570|Heat#1|FP0520|RACK BAR BLANK (JGF02-002060-31-3) 58*D|JGF02-002060-31-3|RACK BAR BLANK|58.00|PCS|271.00|kgs|TSK2|FB010136/5/26|5B9507</t>
  </si>
  <si>
    <t>PD26010789|FP0346|RACK (510-30149-020)|510-30149-020|RACK|200.00|PCS|327.00|KGS|TSK2|FB010232/3/26|5C1361|C00137|Astemo (Thailand)</t>
  </si>
  <si>
    <t>PD25120794|Surface#1|FP0503|SHAFT SPLINE  (2550T0749P)|2550T0749P|SHAFT SPLINE|700.00|PCS|397.00|KGS|TSK-PRD1|FP010043/3/26|SF93402</t>
  </si>
  <si>
    <t>PD25120794|Surface#1|FP0503|SHAFT SPLINE  (2550T0749P)|2550T0749P|SHAFT SPLINE|700.00|PCS|397.00|KGS|TSK-PRD1|FP010043/4/26|SF93402</t>
  </si>
  <si>
    <t>PD25120794|Surface#1|FP0503|SHAFT SPLINE  (2550T0749P)|2550T0749P|SHAFT SPLINE|760.00|PCS|431.00|KGS|TSK-PRD1|FP010043/7/26|SF93402</t>
  </si>
  <si>
    <t>PD26010765|SB0008|NSC_SCR420HV-SG_17.90_5260|28251-K1M-T000|SPINDLE KICK STARTER|1,008.00|KGS|97.00|PCS|TSK-PRD3|SB010012/1/26|E586160|||23P1263725</t>
  </si>
  <si>
    <t>PD26010866|SB0003|NSC_S35C_20.0_5130|2530S0610P|SHAFT SPLINE|1,012.00|KGS|80.00|PCS|TSK-PRD3|SB010093/1/26|E484056|NSC||23P1266630</t>
  </si>
  <si>
    <t>PD26010968|SB0139|NSC_S45CS1-QDS_32.25_5540|JGD10S00670-B|RACK, PS|818.00|KGS|23.00|PCS|TSK-PRD3|SB010119/2/26|E586447|||23P1269357</t>
  </si>
  <si>
    <t>PD26010968|SB0139|NSC_S45CS1-QDS_32.25_5540|JGD10S00670-B|RACK, PS|782.00|KGS|22.00|PCS|TSK-PRD3|SB010119/1/26|E586447|||23P1269345</t>
  </si>
  <si>
    <t>PD26010966|SB0139|NSC_S45CS1-QDS_32.25_5540|JGD10S00670-B|RACK, PS|890.00|KGS|25.00|PCS|TSK-PRD3|SB010121/2/26|E586447|||23P1269319</t>
  </si>
  <si>
    <t>PD26010966|SB0139|NSC_S45CS1-QDS_32.25_5540|JGD10S00670-B|RACK, PS|890.00|KGS|25.00|PCS|TSK-PRD3|SB010121/3/26|E586447|||23P1269320</t>
  </si>
  <si>
    <t>PD26010966|SB0139|NSC_S45CS1-QDS_32.25_5540|JGD10S00670-B|RACK, PS|890.00|KGS|25.00|PCS|TSK-PRD3|SB010121/1/26|E586447|||23P1269318</t>
  </si>
  <si>
    <t>PD26010970|SB0139|NSC_S45CS1-QDS_32.25_5540|JGD10S00670-B|RACK, PS|712.00|KGS|20.00|PCS|TSK-PRD3|SB010119/6/26|E586447|||23P1269361</t>
  </si>
  <si>
    <t>PD26010873|SB0338|NSC_S45CS1-V_26.0_3480_JAMY|JGC10-M09008-51-0|RACK BAR|874.00|KGS|60.00|PCS|TSK-PRD3|SB010114/2/26|E586966|||23P1266686</t>
  </si>
  <si>
    <t>PD26010990|SB0344|NSC_S45CS1-QDS_26.00_3600|JGC10-003040-40-0|RACK, MS|1,218.00|KGS|80.00|pcs|TSK-PRD3|SB120004/8/25|E585615|||23P1269866</t>
  </si>
  <si>
    <t>PD26010892|SB0338|NSC_S45CS1-V_26.0_3480_JAMY|JGC10-M09008-51-0|RACK BAR|870.00|KGS|60.00|PCS|TSK-PRD3|SB010107/4/26|E586966|||23P1267429</t>
  </si>
  <si>
    <t>PD25110971|SB0283|NSC_DSCR420_20.70_4100|TG028383-0090|SHAFT, 2W|977.00|KGS|90.00|PCS|TSK-PRD3|SB110122/2/25|E483074|||23P1199954</t>
  </si>
  <si>
    <t>PD26010959|SB0006|NSC_S25C_43.5+0/-0.12_5500|TGY38713-3301|BOSS ROTOR 2 W|900.00|KGS|14.00|PCS|TSK-PRD3|SB010120/2/26|E586918|||23P1269117</t>
  </si>
  <si>
    <t>PD26010788|Cutting#1|FP0346|RACK (510-30149-020)|510-30149-020|RACK|200.00|PCS|327.00|KGS|TSK2|FB010224/7/26|5C1361</t>
  </si>
  <si>
    <t>PD26010789|Cutting#1|FP0346|RACK (510-30149-020)|510-30149-020|RACK|200.00|PCS|327.00|KGS|TSK2|FB010232/4/26|5C1361</t>
  </si>
  <si>
    <t>PD26010789|Cutting#1|FP0346|RACK (510-30149-020)|510-30149-020|RACK|200.00|PCS|327.00|KGS|TSK2|FB010232/5/26|5C1361</t>
  </si>
  <si>
    <t>PD26010789|Cutting#1|FP0346|RACK (510-30149-020)|510-30149-020|RACK|200.00|PCS|327.00|KGS|TSK2|FB010232/6/26|5C1361</t>
  </si>
  <si>
    <t>PD26010789|Cutting#1|FP0346|RACK (510-30149-020)|510-30149-020|RACK|188.00|PCS|307.00|KGS|TSK2|FB010232/7/26|5C1361</t>
  </si>
  <si>
    <t>PD26010570|SB0482|JFE_S45CS1-QDS_32.25_3000|JGD10-000751/000761-A|RACK BAR|988.00|KGS|51.00|pcs|TSK-PRD3|SB010057/6/26|665077|JFE-SC|JFE Steel Corporation|23P1259350</t>
  </si>
  <si>
    <t>PD26010570|SB0482|JFE_S45CS1-QDS_32.25_3000|JGD10-000751/000761-A|RACK BAR|988.00|KGS|51.00|pcs|TSK-PRD3|SB010057/4/26|665077|JFE-SC|JFE Steel Corporation|23P1259348</t>
  </si>
  <si>
    <t>PD26010570|SB0482|JFE_S45CS1-QDS_32.25_3000|JGD10-000751/000761-A|RACK BAR|988.00|KGS|51.00|pcs|TSK-PRD3|SB010057/5/26|665077|JFE-SC|JFE Steel Corporation|23P1259349</t>
  </si>
  <si>
    <t>PD26010569|SB0482|JFE_S45CS1-QDS_32.25_3000|JGD10-000751/000761-A|RACK BAR|988.00|KGS|51.00|pcs|TSK-PRD3|SB010057/1/26|665077|JFE-SC|JFE Steel Corporation|23P1259345</t>
  </si>
  <si>
    <t>PD26010569|SB0482|JFE_S45CS1-QDS_32.25_3000|JGD10-000751/000761-A|RACK BAR|988.00|KGS|51.00|pcs|TSK-PRD3|SB010057/2/26|665077|JFE-SC|JFE Steel Corporation|23P1259346</t>
  </si>
  <si>
    <t>PD26010856|SB0158|JFE_S25C_43.0_6200|16171-05030|SEAT,WATER PUMP PULLEY|990.00|KGS|14.00|PCS|TSK-PRD3|SB010102/2/26|665898|||23P1266476</t>
  </si>
  <si>
    <t>PD26010900|SB0484|NSC_S45CS1-V_32.25_5540|JGD10-001230-40-0|RACK, PS|892.00|KGS|25.00|PCS|TSK-PRD3|SB010103/6/26|E586236|||23P1267454</t>
  </si>
  <si>
    <t>PD26010903|SB0484|NSC_S45CS1-V_32.25_5540|JGD10-001230-40-0|RACK, PS|892.00|KGS|25.00|PCS|TSK-PRD3|SB010106/5/26|E586236|||23P1267459</t>
  </si>
  <si>
    <t>PD26010903|SB0484|NSC_S45CS1-V_32.25_5540|JGD10-001230-40-0|RACK, PS|822.00|KGS|23.00|PCS|TSK-PRD3|SB010106/6/26|E586236|||23P1267460</t>
  </si>
  <si>
    <t>PD26010903|SB0484|NSC_S45CS1-V_32.25_5540|JGD10-001230-40-0|RACK, PS|70.00|KGS|2.00|PCS|TSK-PRD3|SB010106/7/26|E586236|||23P1267461</t>
  </si>
  <si>
    <t>PD26010902|SB0484|NSC_S45CS1-V_32.25_5540|JGD10-001230-40-0|RACK, PS|892.00|KGS|25.00|PCS|TSK-PRD3|SB010106/4/26|E586236|||23P1267458</t>
  </si>
  <si>
    <t>PD26010902|SB0484|NSC_S45CS1-V_32.25_5540|JGD10-001230-40-0|RACK, PS|892.00|KGS|25.00|PCS|TSK-PRD3|SB010106/3/26|E586236|||23P1267457</t>
  </si>
  <si>
    <t>PD26010901|SB0484|NSC_S45CS1-V_32.25_5540|JGD10-001230-40-0|RACK, PS|892.00|KGS|25.00|PCS|TSK-PRD3|SB010106/1/26|E586236|||23P1267455</t>
  </si>
  <si>
    <t>PD26010901|SB0484|NSC_S45CS1-V_32.25_5540|JGD10-001230-40-0|RACK, PS|892.00|KGS|25.00|PCS|TSK-PRD3|SB010106/2/26|E586236|||23P1267456</t>
  </si>
  <si>
    <t>PD26010897|SB0338|NSC_S45CS1-V_26.0_3480_JAMY|JGC10-M09008-51-0|RACK BAR|878.00|KGS|60.00|PCS|TSK-PRD3|SB010115/4/26|E586966|||23P1267445</t>
  </si>
  <si>
    <t>PD26010897|SB0338|NSC_S45CS1-V_26.0_3480_JAMY|JGC10-M09008-51-0|RACK BAR|878.00|KGS|60.00|PCS|TSK-PRD3|SB010115/6/26|E586966|||23P1267447</t>
  </si>
  <si>
    <t>PD26010953|SB0225|Diado_S10C_18.6_5500|TGY94265-0010|SLUG HOUSING STATOR|1,046.00|KGS|89.00|PCS|TSK-PRD3|SB010124/2/26|6277A|||23P1268285</t>
  </si>
  <si>
    <t>PD26010959|SB0006|NSC_S25C_43.5+0/-0.12_5500|TGY38713-3301|BOSS ROTOR 2 W|965.00|KGS|15.00|PCS|TSK-PRD3|SB010120/1/26|E586918|||23P1269116</t>
  </si>
  <si>
    <t>PD25110971|SB0283|NSC_DSCR420_20.70_4100|TG028383-0090|SHAFT, 2W|977.00|KGS|90.00|PCS|TSK-PRD3|SB110122/1/25|E483074|||23P1199953</t>
  </si>
  <si>
    <t>PD26010970|SB0139|NSC_S45CS1-QDS_32.25_5540|JGD10S00670-B|RACK, PS|178.00|KGS|5.00|PCS|TSK-PRD3|SB010119/7/26|E586447|||23P1269367</t>
  </si>
  <si>
    <t>PD26010970|SB0139|NSC_S45CS1-QDS_32.25_5540|JGD10S00670-B|RACK, PS|890.00|KGS|25.00|PCS|TSK-PRD3|SB010119/5/26|E586447|||23P1269360</t>
  </si>
  <si>
    <t>PD26010967|SB0139|NSC_S45CS1-QDS_32.25_5540|JGD10S00670-B|RACK, PS|890.00|KGS|25.00|PCS|TSK-PRD3|SB010121/4/26|E586447|||23P1269321</t>
  </si>
  <si>
    <t>PD26010967|SB0139|NSC_S45CS1-QDS_32.25_5540|JGD10S00670-B|RACK, PS|890.00|KGS|25.00|PCS|TSK-PRD3|SB010121/5/26|E586447|||23P1269334</t>
  </si>
  <si>
    <t>PD26010967|SB0139|NSC_S45CS1-QDS_32.25_5540|JGD10S00670-B|RACK, PS|890.00|KGS|25.00|PCS|TSK-PRD3|SB010121/6/26|E586447|||23P1269335</t>
  </si>
  <si>
    <t>PD26010905|SB0130|NSC_S45CS1-QDS_24.0_3170|JGC10-003770-40-0|Rack, MS|866.00|KGS|77.00|PCS|TSK-PRD3|SB010111/1/26|E585971|||23P1267464</t>
  </si>
  <si>
    <t>PD26010569|SB0482|JFE_S45CS1-QDS_32.25_3000|JGD10-000751/000761-A|RACK BAR|988.00|KGS|51.00|pcs|TSK-PRD3|SB010057/3/26|665077|JFE-SC|JFE Steel Corporation|23P1259347</t>
  </si>
  <si>
    <t>PD26010573|SB0482|JFE_S45CS1-QDS_32.25_3000|JGD10-000751/000761-A|RACK BAR|988.00|KGS|51.00|pcs|TSK-PRD3|SB010062/2/26|665077|JFE-SC|JFE Steel Corporation|23P1259359</t>
  </si>
  <si>
    <t>PD26010573|SB0482|JFE_S45CS1-QDS_32.25_3000|JGD10-000751/000761-A|RACK BAR|988.00|KGS|51.00|pcs|TSK-PRD3|SB010062/1/26|665077|JFE-SC|JFE Steel Corporation|23P1259358</t>
  </si>
  <si>
    <t>PD26010571|SB0482|JFE_S45CS1-QDS_32.25_3000|JGD10-000751/000761-A|RACK BAR|988.00|KGS|51.00|pcs|TSK-PRD3|SB010059/3/26|665077|JFE-SC|JFE Steel Corporation|23P1259353</t>
  </si>
  <si>
    <t>PD26010571|SB0482|JFE_S45CS1-QDS_32.25_3000|JGD10-000751/000761-A|RACK BAR|988.00|KGS|51.00|pcs|TSK-PRD3|SB010059/2/26|665077|JFE-SC|JFE Steel Corporation|23P1259352</t>
  </si>
  <si>
    <t>PD26010571|SB0482|JFE_S45CS1-QDS_32.25_3000|JGD10-000751/000761-A|RACK BAR|988.00|KGS|51.00|pcs|TSK-PRD3|SB010059/1/26|665077|JFE-SC|JFE Steel Corporation|23P1259351</t>
  </si>
  <si>
    <t>PD26010765|SB0008|NSC_SCR420HV-SG_17.90_5260|28251-K1M-T000|SPINDLE KICK STARTER|1,008.00|KGS|97.00|PCS|TSK-PRD3|SB010012/2/26|E586160|||23P1263737</t>
  </si>
  <si>
    <t>PD26010858|SB0158|JFE_S25C_43.0_6200|16171-05030|SEAT,WATER PUMP PULLEY|498.00|KGS|7.00|PCS|TSK-PRD3|SB010104/3/26|665898|||23P1266483</t>
  </si>
  <si>
    <t>PD26010866|SB0003|NSC_S35C_20.0_5130|2530S0610P|SHAFT SPLINE|1,024.00|KGS|80.00|PCS|TSK-PRD3|SB010093/2/26|E484056|NSC||23P1266631</t>
  </si>
  <si>
    <t>PD26010867|SB0003|NSC_S35C_20.0_5130|2530S0610P|SHAFT SPLINE|1,012.00|KGS|80.00|PCS|TSK-PRD3|SB010093/3/26|E484056|NSC||23P1266632</t>
  </si>
  <si>
    <t>PD25120570|Heat#1|FP0520|RACK BAR BLANK (JGF02-002060-31-3) 58*D|JGF02-002060-31-3|RACK BAR BLANK|58.00|PCS|271.00|kgs|TSK2|FB010136/6/26|5B9507</t>
  </si>
  <si>
    <t>PD25120570|Heat#1|FP0520|RACK BAR BLANK (JGF02-002060-31-3) 58*D|JGF02-002060-31-3|RACK BAR BLANK|58.00|PCS|271.00|kgs|TSK2|FB010136/1/26|5B9507</t>
  </si>
  <si>
    <t>PD25120570|Heat#1|FP0520|RACK BAR BLANK (JGF02-002060-31-3) 58*D|JGF02-002060-31-3|RACK BAR BLANK|58.00|PCS|271.00|kgs|TSK2|FB010136/13/26|5B9507</t>
  </si>
  <si>
    <t>PD25120570|Heat#1|FP0520|RACK BAR BLANK (JGF02-002060-31-3) 58*D|JGF02-002060-31-3|RACK BAR BLANK|58.00|PCS|271.00|kgs|TSK2|FB010136/9/26|5B9507</t>
  </si>
  <si>
    <t>PD25120570|Heat#1|FP0520|RACK BAR BLANK (JGF02-002060-31-3) 58*D|JGF02-002060-31-3|RACK BAR BLANK|58.00|PCS|271.00|kgs|TSK2|FB010136/10/26|5B9507</t>
  </si>
  <si>
    <t>PD26010892|SB0338|NSC_S45CS1-V_26.0_3480_JAMY|JGC10-M09008-51-0|RACK BAR|870.00|KGS|60.00|PCS|TSK-PRD3|SB010107/3/26|E586966|||23P1267428</t>
  </si>
  <si>
    <t>PD26010891|SB0338|NSC_S45CS1-V_26.0_3480_JAMY|JGC10-M09008-51-0|RACK BAR|870.00|KGS|60.00|PCS|TSK-PRD3|SB010107/2/26|E586966|||23P1267427</t>
  </si>
  <si>
    <t>PD26010891|SB0338|NSC_S45CS1-V_26.0_3480_JAMY|JGC10-M09008-51-0|RACK BAR|870.00|KGS|60.00|PCS|TSK-PRD3|SB010107/1/26|E586966|||23P1267426</t>
  </si>
  <si>
    <t>PD26011056|SB0139|NSC_S45CS1-QDS_32.25_5540|JGD10S00670-B|RACK, PS|890.00|KGS|25.00|PCS|TSK-PRD3|SB010141/1/26|E586447|||23P1271638</t>
  </si>
  <si>
    <t>PD25111201|FP0179|SHAFT, 2W (TG028383-0040)|TG028383-0040|SHAFT, 2W|1,500.00|PCS|581.00|KGS|TSK2|FP120395/1/25|E483074|C00013|DNTH</t>
  </si>
  <si>
    <t>PD25111200|FP0179|SHAFT, 2W (TG028383-0040)|TG028383-0040|SHAFT, 2W|1,560.00|PCS|604.00|KGS|TSK2|FP120378/5/25|E483074|C00013|DNTH</t>
  </si>
  <si>
    <t>PD26011055|SB0187|NSC_S48C_15.20_4000|TG028993-557B|SHAFT STARTER ARMATURE, 1W|209.00|KGS|36.00|PCS|TSK-PRD3|SB010082/1/26|E586473|||23P1271505</t>
  </si>
  <si>
    <t>PD26010897|SB0338|NSC_S45CS1-V_26.0_3480_JAMY|JGC10-M09008-51-0|RACK BAR|878.00|KGS|60.00|PCS|TSK-PRD3|SB010115/5/26|E586966|||23P1267446</t>
  </si>
  <si>
    <t>PD26010896|SB0338|NSC_S45CS1-V_26.0_3480_JAMY|JGC10-M09008-51-0|RACK BAR|878.00|KGS|60.00|PCS|TSK-PRD3|SB010115/2/26|E586966|||23P1267443</t>
  </si>
  <si>
    <t>PD26010896|S338|NSC_S45CS1-V_26.0_3480_JAMY|JGC10-M09008-51-0|RACK BAR|878.00|KGS|60.00|PCS|TSK-PRD3|SB010115/1/26|E586966|||23P1267</t>
  </si>
  <si>
    <t>PD26011056|SB0139|NSC_S45CS1-QDS_32.25_5540|JGD10S00670-B|RACK, PS|890.00|KGS|25.00|PCS|TSK-PRD|SB010141/2/26|E586447|||23P1271639</t>
  </si>
  <si>
    <t>PD26011056|SB0139|NSC_S45CS1-QDS_32.25_5540|JGD10S00670-B|RACK, PS|890.00|KGS|25.00|PCS|TSK-PRD3|SB010141/3/26|E586447|||23P1271646</t>
  </si>
  <si>
    <t>PD26011057|SB0139|NSC_S45CS1-QDS_32.25_5540|JGD10S00670-B|RACK, PS|890.00|KGS|25.00|PCS|TSK-PRD3|SB010141/4/26|E586447|||23P1271640</t>
  </si>
  <si>
    <t>PD26011057|SB0139|NSC_S45CS1-QDS_32.25_5540|JGD10S00670-B|RACK, PS|890.00|KGS|25.00|PCS|TSK-PRD3|SB010141/6/26|E586447|||23P1271654</t>
  </si>
  <si>
    <t>PD25110971|SB0283|NSC_DSCR420_20.70_4100|TG028383-0090|SHAFT, 2W|1,042.00|KGS|96.00|PCS|TSK-PRD3|SB110122/3/25|E483074|||23P1199955</t>
  </si>
  <si>
    <t>PD26010905|SB0130|NSC_S45CS1-QDS_24.0_3170|JGC10-003770-40-0|Rack, MS|866.00|KGS|77.00|PCS|TSK-PRD3|SB010111/2/26|E585971|||23P1267465</t>
  </si>
  <si>
    <t>PD26010904|SB0130|NSC_S45CS1-QDS_24.0_3170|JGC10-003770-40-0|Rack, MS|904.00|KGS|80.00|PCS|TSK-PRD3|SB010109/2/26|E586613|||23P1267463</t>
  </si>
  <si>
    <t>PD26011055|SB0187|NSC_S48C_15.20_4000|TG028993-557B|SHAFT STARTER ARMATURE, 1W|209.00|KGS|36.00|PCS|TSK-PRD3|SB010082/2/26|E586473|||23P1271506</t>
  </si>
  <si>
    <t>PD26010777|SB0130|NSC_S45CS1-QDS_24.0_3170|JGC10-001180-S|RACK, MS|904.00|KGS|80.00|PCS|TSK-PRD3|SB010092/4/26|E585971|||23P1265757</t>
  </si>
  <si>
    <t>PD26010777|SB0130|NSC_S45CS1-QDS_24.0_3170|JGC10-001180-S|RACK, MS|904.00|KGS|80.00|PCS|TSK-PRD3|SB010092/6/26|E585971|||23P1265759</t>
  </si>
  <si>
    <t>PD26010777|SB0130|NSC_S45CS1-QDS_24.0_3170|JGC10-001180-S|RACK, MS|904.00|KGS|80.00|PCS|TSK-PRD3|SB010092/5/26|E585971|||23P1265758</t>
  </si>
  <si>
    <t>PD26010975|SB0124|NSC_S35C_19.0_5430|2528S0250C|STG.SHAFT|1,026.00|KGS|84.00|PCS|TSK-PRD3|SB010126/4/26|E484056|||23P1269466</t>
  </si>
  <si>
    <t>PD26010858|SB0158|JFE_S25C_43.0_6200|16171-05030|SEAT,WATER PUMP PULLEY|990.00|KGS|14.00|PCS|TSK-PRD3|SB010104/1/26|665898|||23P1266481</t>
  </si>
  <si>
    <t>PD26010867|SB0003|NSC_S35C_20.0_5130|2530S0610P|SHAFT SPLINE|1,006.00|KGS|79.00|PCS|TSK-PRD3|SB010093/4/26|E484056|NSC||23P1266635</t>
  </si>
  <si>
    <t>PD26011103|SB0288|NSC_S25C_23.0_5600|MAOK-54310|LEVER SHIFT NO.2|1,005.00|KGS|55.00|PCS|TSK-PRD3|SB010151/1/26|E586918|||23P1273170</t>
  </si>
  <si>
    <t>PD26010896|SB0338|NSC_S45CS1-V_26.0_3480_JAMY|JGC10-M09008-51-0|RACK BAR|878.00|KGS|60.00|PCS|TSK-PRD3|SB010115/1/26|E586966|||23P1267440</t>
  </si>
  <si>
    <t>PD26010896|SB0338|NSC_S45CS1-V_26.0_3480_JAMY|JGC10-M09008-51-0|RACK BAR|878.00|KGS|60.00|PCS|TSK-PRD3|SB010115/3/26|E586966|||23P1267444</t>
  </si>
  <si>
    <t>PD26010895|SB0338|NSC_S45CS1-V_26.0_3480_JAMY|JGC10-M09008-51-0|RACK BAR|870.00|KGS|60.00|PCS|TSK-PRD3|SB010110/6/26|E586966|||23P1267439</t>
  </si>
  <si>
    <t>PD26010895|SB0338|NSC_S45CS1-V_26.0_3480_JAMY|JGC10-M09008-51-0|RACK BAR|880.00|KGS|60.00|PCS|TSK-PRD3|SB010110/5/26|E586966|||23P1267438</t>
  </si>
  <si>
    <t>PD26010895|SB0338|NSC_S45CS1-V_26.0_3480_JAMY|JGC10-M09008-51-0|RACK BAR|880.00|KGS|60.00|PCS|TSK-PRD3|SB010110/4/26|E586966|||23P1267437</t>
  </si>
  <si>
    <t>PD26011085|SB0232|NSC_S43C_36.80_5100|TGY95613-0020|SLUG VALVE ROTARY|1,497.00|KGS|35.00|PCS|TSK-PRD3|SB010147/2/26|E585734|||23P1272962</t>
  </si>
  <si>
    <t xml:space="preserve">                                 </t>
  </si>
  <si>
    <t>PD26010904|SB0130|NSC_S45CS1-QDS_24.0_3170|JGC10-003770-40-0|Rack, MS|904.00|KGS|80.00|PCS|TSK-PRD3|SB010109/1/26|E586613|||23P1267462</t>
  </si>
  <si>
    <t>PD26010575|SB0482|JFE_S45CS1-QDS_32.25_3000|JGD10-000751/000761-A|RACK BAR|988.00|KGS|51.00|pcs|TSK-PRD3|SB010064/3/26|665077|JFE-SC|JFE Steel Corporation|23P1259364</t>
  </si>
  <si>
    <t>PD26010575|SB0482|JFE_S45CS1-QDS_32.25_3000|JGD10-000751/000761-A|RACK BAR|988.00|KGS|51.00|pcs|TSK-PRD3|SB010064/1/26|665077|JFE-SC|JFE Steel Corporation|23P1259362</t>
  </si>
  <si>
    <t>PD26010575|SB0482|JFE_S45CS1-QDS_32.25_3000|JGD10-000751/000761-A|RACK BAR|988.00|KGS|51.00|pcs|TSK-PRD3|SB010064/2/26|665077|JFE-SC|JFE Steel Corporation|23P1259363</t>
  </si>
  <si>
    <t>PD26011079|SB0135|NSC_S45CS1-QDS_26.0_3460|JGC10-003140-40-0|RACK, MS|928.00|KGS|64.00|PCS|TSK-PRD3|SB010143/1/26|E586613|||23P1272114</t>
  </si>
  <si>
    <t>PD26011079|SB0135|NSC_S45CS1-QDS_26.0_3460|JGC10-003140-40-0|RACK, MS|928.00|KGS|64.00|PCS|TSK-PRD3|SB010143/2/26|E586613|||23P1273017</t>
  </si>
  <si>
    <t>PD26010975|SB0124|NSC_S35C_19.0_5430|2528S0250C|STG.SHAFT|1,026.00|KGS|84.00|PCS|TSK-PRD3|SB010126/3/26|E484056|||23P1269465</t>
  </si>
  <si>
    <t>PD26010974|SB0124|NSC_S35C_19.0_5430|2528S0250C|STG.SHAFT|1,026.00|KGS|84.00|PCS|TSK-PRD3|SB010126/1/26|E484056|||23P1269463</t>
  </si>
  <si>
    <t>PD26010858|SB0158|JFE_S25C_43.0_6200|16171-05030|SEAT,WATER PUMP PULLEY|990.00|KGS|14.00|PCS|TSK-PRD3|SB010104/2/26|665898|||23P1266482</t>
  </si>
  <si>
    <t>PD26010817|SB0158|JFE_S25C_43.0_6200|16171-05030|SEAT,WATER PUMP PULLEY|990.00|KGS|14.00|PCS|TSK-PRD3|SB010101/6/26|665900|||23P1266137</t>
  </si>
  <si>
    <t>PD26011103|SB0288|NSC_S25C_23.0_5600|MAOK-54310|LEVER SHIFT NO.2|1,024.00|KGS|56.00|PCS|TSK-PRD3|SB010151/2/26|E586918|||23P1273171</t>
  </si>
  <si>
    <t>PD25120570|Heat#1|FP0520|RACK BAR BLANK (JGF02-002060-31-3) 58*D|JGF02-002060-31-3|RACK BAR BLANK|30.00|PCS|140.00|kgs|TSK2|FB010136/14/26|5B9507</t>
  </si>
  <si>
    <t>PD26010787|Heat#1|FP0520|RACK BAR BLANK (JGF02-002060-31-3) 58*D|JGF02-002060-31-3|RACK BAR BLANK|58.00|PCS|271.00|kgs|TSK2|FB010225/1/26|5B3838</t>
  </si>
  <si>
    <t>PD26010787|Heat#1|FP0520|RACK BAR BLANK (JGF02-002060-31-3) 58*D|JGF02-002060-31-3|RACK BAR BLANK|54.00|PCS|252.00|kgs|TSK2|FB010225/2/26|5B3838</t>
  </si>
  <si>
    <t>PD26010787|Heat#1|FP0520|RACK BAR BLANK (JGF02-002060-31-3) 58*D|JGF02-002060-31-3|RACK BAR BLANK|58.00|PCS|271.00|kgs|TSK2|FB010225/3/26|5B3838</t>
  </si>
  <si>
    <t>PD26010787|Heat#1|FP0520|RACK BAR BLANK (JGF02-002060-31-3) 58*D|JGF02-002060-31-3|RACK BAR BLANK|54.00|PCS|252.00|kgs|TSK2|FB010225/4/26|5B3838</t>
  </si>
  <si>
    <t>PD26011057|SB0139|NSC_S45CS1-QDS_32.25_5540|JGD10S00670-B|RACK, PS|890.00|KGS|25.00|PCS|TSK-PRD3|SB010141/5/26|E586447|||23P1271653</t>
  </si>
  <si>
    <t>PD26010996|SB0130|NSC_S45CS1-QDS_24.0_3170|JGC10-003770-40-0|Rack, MS|900.00|KGS|80.00|PCS|TSK-PRD3|SB010123/6/26|E586613|||23P1269907</t>
  </si>
  <si>
    <t>PD26010996|SB0130|NSC_S45CS1-QDS_24.0_3170|JGC10-003770-40-0|Rack, MS|900.00|KGS|80.00|PCS|TSK-PRD3|SB010123/5/26|E586613|||23P1269902</t>
  </si>
  <si>
    <t>PD26010996|SB0130|NSC_S45CS1-QDS_24.0_3170|JGC10-003770-40-0|Rack, MS|900.00|KGS|80.00|PCS|TSK-PRD3|SB010123/4/26|E586613|||23P1269901</t>
  </si>
  <si>
    <t>PD26010961|SB0144|NSC_S45CS1-V_32.25_3170|JGD10S000800-B|RACK BAR|978.00|KGS|48.00|PCS|TSK-PRD3|SB010112/5/26|E586967|||23P1269135</t>
  </si>
  <si>
    <t>PD26010961|SB0144|NSC_S45CS1-V_32.25_3170|JGD10S000800-B|RACK BAR|978.00|KGS|48.00|PCS|TSK-PRD3|SB010112/4/26|E586967|||23P1269134</t>
  </si>
  <si>
    <t>PD26010961|SB0144|NSC_S45CS1-V_32.25_3170|JGD10S000800-B|RACK BAR|978.00|KGS|48.00|PCS|TSK-PRD3|SB010112/6/26|E586967|||23P1269136</t>
  </si>
  <si>
    <t>PD26010960|SB0144|NSC_S45CS1-V_32.25_3170|JGD10S000800-B|RACK BAR|978.00|KGS|48.00|PCS|TSK-PRD3|SB010112/3/26|E586967|||23P1269133</t>
  </si>
  <si>
    <t>PD26011055|SB0187|NSC_S48C_15.20_4000|TG028993-557B|SHAFT STARTER ARMATURE, 1W|209.00|KGS|36.00|PCS|TSK-PRD3|SB010082/3/26|E586473|||23P1271507</t>
  </si>
  <si>
    <t>เปลี่ยนอะไหล่</t>
  </si>
  <si>
    <t>PD26010974|SB0124|NSC_S35C_19.0_5430|2528S0250C|STG.SHAFT|1,038.00|KGS|85.00|PCS|TSK-PRD3|SB010126/2/26|E484056|||23P1269464</t>
  </si>
  <si>
    <t>PD26010995|SB0130|NSC_S45CS1-QDS_24.0_3170|JGC10-003770-40-0|Rack, MS|900.00|KGS|80.00|PCS|TSK-PRD3|SB010123/3/26|E586613|||23P1269900</t>
  </si>
  <si>
    <t>PD26010928|MB0028|S25C Dia 40.00x5500 mm.|ZZ2B7401TX1|FLANGE-13 SLUG|1,955.00|KGS|36.00|PCS|TSK-PRD3|2B2600188|1-79662|JFE-SC|JFE Steel Corporation|23P1267880</t>
  </si>
  <si>
    <t>PD25121291|SB0001|NSC_SCM415_22.78_6000|TG028986-0030|Barrel|920.00|KGS|47.00|PCS|TSK-PRD3|SB120087/3/25|E586056|||23P1245421</t>
  </si>
  <si>
    <t>PD26010773|SB0478|NSC_S45CS1-V_32.25_3200|JGD10-001260-40-1|RACK, PS|976.00|KGS|47.00|PCS|TSK-PRD3|SB010083/5/26|E586967|||23P1265734</t>
  </si>
  <si>
    <t>PD26010773|SB0478|NSC_S45CS1-V_32.25_3200|JGD10-001260-40-1|RACK, PS|976.00|KGS|47.00|PCS|TSK-PRD3|SB010083/4/26|E586967|||23P1265733</t>
  </si>
  <si>
    <t>PD26010773|SB0478|NSC_S45CS1-V_32.25_3200|JGD10-001260-40-1|RACK, PS|976.00|KGS|47.00|PCS|TSK-PRD3|SB010083/6/26|E586967|||23P1265735</t>
  </si>
  <si>
    <t>PD26010772|SB0478|NSC_S45CS1-V_32.25_3200|JGD10-001260-40-1|RACK, PS|976.00|KGS|47.00|PCS|TSK-PRD3|SB010083/3/26|E586967|||23P1265732</t>
  </si>
  <si>
    <t>PD26010572|SB0482|JFE_S45CS1-QDS_32.25_3000|JGD10-000751/000761-A|RACK BAR|988.00|KGS|51.00|pcs|TSK-PRD3|SB010059/5/26|665077|JFE-SC|JFE Steel Corporation|23P1259356</t>
  </si>
  <si>
    <t>PD26010572|SB0482|JFE_S45CS1-QDS_32.25_3000|JGD10-000751/000761-A|RACK BAR|988.00|KGS|51.00|pcs|TSK-PRD3|SB010059/6/26|665077|JFE-SC|JFE Steel Corporation|23P1259357</t>
  </si>
  <si>
    <t>PD26010572|SB0482|JFE_S45CS1-QDS_32.25_3000|JGD10-000751/000761-A|RACK BAR|988.00|KGS|51.00|pcs|TSK-PRD3|SB010059/4/26|665077|JFE-SC|JFE Steel Corporation|23P1259355</t>
  </si>
  <si>
    <t>PD26010576|SB0482|JFE_S45CS1-QDS_32.25_3000|JGD10-000751/000761-A|RACK BAR|988.00|KGS|51.00|pcs|TSK-PRD3|SB010064/4/26|665077|JFE-SC|JFE Steel Corporation|23P1259376</t>
  </si>
  <si>
    <t>PD26011085|SB0232|NSC_S43C_36.80_5100|TGY95613-0020|SLUG VALVE ROTARY|1,240.00|KGS|29.00|PCS|TSK-PRD3|SB010147/1/26|E585734|||23P1272961</t>
  </si>
  <si>
    <t>PD26010576|SB0482|JFE_S45CS1-QDS_32.25_3000|JGD10-000751/000761-A|RACK BAR|988.00|KGS|51.00|pcs|TSK-PRD3|SB010064/6/26|665077|JFE-SC|JFE Steel Corporation|23P1259385</t>
  </si>
  <si>
    <t>PD26010576|SB0482|JFE_S45CS1-QDS_32.25_3000|JGD10-000751/000761-A|RACK BAR|988.00|KGS|51.00|pcs|TSK-PRD3|SB010064/5/26|665077|JFE-SC|JFE Steel Corporation|23P1259384</t>
  </si>
  <si>
    <t>PD26010644|SB0482|JFE_S45CS1-QDS_32.25_3000|JGD10-000751/000761-A|RACK BAR|756.00|KGS|39.00|pcs|TSK-PRD3|SB010069/3/26|665076|JFE-SC|JFE Steel Corporation|23P1260313</t>
  </si>
  <si>
    <t>PD26010644|SB0482|JFE_S45CS1-QDS_32.25_3000|JGD10-000751/000761-A|RACK BAR|988.00|KGS|51.00|pcs|TSK-PRD3|SB010069/1/26|665076|JFE-SC|JFE Steel Corporation|23P1260310</t>
  </si>
  <si>
    <t>PD26010644|SB0482|JFE_S45CS1-QDS_32.25_3000|JGD10-000751/000761-A|RACK BAR|988.00|KGS|51.00|pcs|TSK-PRD3|SB010069/2/26|665076|JFE-SC|JFE Steel Corporation|23P1260312</t>
  </si>
  <si>
    <t>PD25111201|FP0179|SHAFT, 2W (TG028383-0040)|TG028383-0040|SHAFT, 2W|1,500.00|PCS|581.00|KGS|TSK2|FP120395/2/25|E483074|C00013|DNTH</t>
  </si>
  <si>
    <t>PD25111201|FP0179|SHAFT, 2W (TG028383-0040)|TG028383-0040|SHAFT, 2W|1,500.00|PCS|581.00|KGS|TSK2|FP120395/3/25|E483074|C00013|DNTH</t>
  </si>
  <si>
    <t>PD25110674|FP0283|SHAFT, 2W (TG028383-0090)|TG028383-0090|SHAFT, 2W|1,500.00|PCS|513.00|KGS|TSK2|FP120382/5/25|E483074|C00013|DNTH</t>
  </si>
  <si>
    <t>PD25110674|FP0283|SHAFT, 2W (TG028383-0090)|TG028383-0090|SHAFT, 2W|1,060.00|PCS|363.00|KGS|TSK2|FP120382/6/25|E483074|C00013|DNTH</t>
  </si>
  <si>
    <t>PD26010772|SB0478|NSC_S45CS1-V_32.25_3200|JGD10-001260-40-1|RACK, PS|976.00|KGS|47.00|PCS|TSK-PRD3|SB010083/1/26|E586967|||23P1265730</t>
  </si>
  <si>
    <t>PD26010772|SB0478|NSC_S45CS1-V_32.25_3200|JGD10-001260-40-1|RACK, PS|976.00|KGS|47.00|PCS|TSK-PRD3|SB010083/2/26|E586967|||23P1265731</t>
  </si>
  <si>
    <t>PD26011101|SB0478|NSC_S45CS1-V_32.25_3200|JGD10-001260-40-1|RACK, PS|970.00|KGS|47.00|PCS|TSK-PRD3|SB010150/3/26|E586967|||23P1273149</t>
  </si>
  <si>
    <t>PD26011101|SB0478|NSC_S45CS1-V_32.25_3200|JGD10-001260-40-1|RACK, PS|970.00|KGS|47.00|PCS|TSK-PRD3|SB010150/1/26|E586967|||23P1273138</t>
  </si>
  <si>
    <t>PD26011101|SB0478|NSC_S45CS1-V_32.25_3200|JGD10-001260-40-1|RACK, PS|970.00|KGS|47.00|PCS|TSK-PRD3|SB010150/2/26|E586967|||23P1273148</t>
  </si>
  <si>
    <t>PD26010995|SB0130|NSC_S45CS1-QDS_24.0_3170|JGC10-003770-40-0|Rack, MS|890.00|KGS|79.00|PCS|TSK-PRD3|SB010123/1/26|E586613|||23P1269896</t>
  </si>
  <si>
    <t>PD26010995|SB0130|NSC_S45CS1-QDS_24.0_3170|JGC10-003770-40-0|Rack, MS|900.00|KGS|80.00|PCS|TSK-PRD3|SB010123/2/26|E586613|||23P1269899</t>
  </si>
  <si>
    <t>PD26010960|SB0144|NSC_S45CS1-V_32.25_3170|JGD10S000800-B|RACK BAR|978.00|KGS|48.00|PCS|TSK-PRD3|SB010112/2/26|E586967|||23P1269131</t>
  </si>
  <si>
    <t>PD26010960|SB0144|NSC_S45CS1-V_32.25_3170|JGD10S000800-B|RACK BAR|978.00|KGS|48.00|PCS|TSK-PRD3|SB010112/1/26|E586967|||23P1269130</t>
  </si>
  <si>
    <t>PD26010756|SB0143|NSC_S45CS1-V_26.0_3480|JGC10S002020-B|RACK BAR|878.00|KGS|60.00|PCS|TSK-PRD3|SB010074/3/26|E586664|||23P1263537</t>
  </si>
  <si>
    <t>PD26011142|SB0300|NSC_S48CS1-H_31.8_3140|510-30149-020|RACK|786.00|KGS|40.00|PCS|TSK-PRD3|SB010159/5/26|5C1361|||23P1274665</t>
  </si>
  <si>
    <t>PD26011142|SB0300|NSC_S48CS1-H_31.8_3140|510-30149-020|RACK|786.00|KGS|40.00|PCS|TSK-PRD3|SB010159/4/26|5C1361|||23P1274659</t>
  </si>
  <si>
    <t>PD26011141|SB0300|NSC_S48CS1-H_31.8_3140|510-30149-020|RACK|864.00|KGS|44.00|PCS|TSK-PRD3|SB010159/3/26|5C1361|||23P1274658</t>
  </si>
  <si>
    <t>PD26011143|SB0503|POSCO_SWRCH35K_18.27_4660|2550T0749P|SHAFT SPLINE|972.00|KGS|101.00|pcs|TSK-PRD3|SB010135/1/26|SF95636|||23P1274680</t>
  </si>
  <si>
    <t>PD26011143|SB0503|POSCO_SWRCH35K_18.27_4660|2550T0749P|SHAFT SPLINE|962.00|KGS|100.00|pcs|TSK-PRD3|SB010135/2/26|SF95636|||23P1274685</t>
  </si>
  <si>
    <t>PD25121291|SB0001|NSC_SCM415_22.78_6000|TG028986-0030|Barrel|60.00|KGS|3.00|PCS|TSK-PRD3|SB120087/4/25|E586056|||23P1245423</t>
  </si>
  <si>
    <t>PD26011134|SB0501|NSC_DSCR420_16.92_5100|TG028383-0420|SHAFT, 2W|1,006.00|KGS|111.00|PCS|TSK-PRD3|SB010154/2/26|5E0424|||23P1273938</t>
  </si>
  <si>
    <t>PD2610928|MB0028|S25C Dia 40.00x5500 mm.|ZZ2B7401TX1|FLANGE-13 SLUG|1,955.00|KGS|36.00|PCS|TSK-PRD3|2B2600188|1-79662|JFE-SC|JFE Steel Corporation|23P1267880</t>
  </si>
  <si>
    <t>PD26010928|MB0028|S25C Dia 40.00x5500 mm.|ZZ2B7401TX1|FLANGE-13 SLUG|1,955.00|KGS|36.00|PCS|TSK-PRD3|2B2600187|1-79662|JFE-SC|JFE Steel Corporation|23P1267879</t>
  </si>
  <si>
    <t>PD26010976|SB0482|JFE_S45CS1-QDS_32.25_3000|JGD10-000751/000761-A|RACK BAR|984.00|KGS|51.00|pcs|TSK-PRD3|SB010122/3/26|665077|JFE-SC|JFE Steel Corporation|23P1269470</t>
  </si>
  <si>
    <t>PD26010976|SB0482|JFE_S45CS1-QDS_32.25_3000|JGD10-000751/000761-A|RACK BAR|984.00|KGS|51.00|pcs|TSK-PRD3|SB010122/1/26|665077|JFE-SC|JFE Steel Corporation|23P1269468</t>
  </si>
  <si>
    <t>PD26010976|SB0482|JFE_S45CS1-QDS_32.25_3000|JGD10-000751/000761-A|RACK BAR|984.00|KGS|51.00|pcs|TSK-PRD3|SB010122/2/26|665077|JFE-SC|JFE Steel Corporation|23P1269469</t>
  </si>
  <si>
    <t>PD26010977|SB0482|JFE_S45CS1-QDS_32.25_3000|JGD10-000751/000761-A|RACK BAR|984.00|KGS|51.00|pcs|TSK-PRD3|SB010122/4/26|665077|JFE-SC|JFE Steel Corporation|23P1269475</t>
  </si>
  <si>
    <t>PD26011085|SB0232|NSC_S43C_36.80_5100|TGY95613-0020|SLUG VALVE ROTARY|1,497.00|KGS|35.00|PCS|TSK-PRD3|SB010147/3/26|E585734|||23P1272963</t>
  </si>
  <si>
    <t>PD26011102|SB0478|NSC_S45CS1-V_32.25_3200|JGD10-001260-40-1|RACK, PS|970.00|KGS|47.00|PCS|TSK-PRD3|SB010150/6/26|E586967|||23P1273157</t>
  </si>
  <si>
    <t>PD26011102|SB0478|NSC_S45CS1-V_32.25_3200|JGD10-001260-40-1|RACK, PS|970.00|KGS|47.00|PCS|TSK-PRD3|SB010150/5/26|E586967|||23P1273151</t>
  </si>
  <si>
    <t>PD26011102|SB0478|NSC_S45CS1-V_32.25_3200|JGD10-001260-40-1|RACK, PS|970.00|KGS|47.00|PCS|TSK-PRD3|SB010150/4/26|E586967|||23P1273150</t>
  </si>
  <si>
    <t>PD26010791|SB0024|NSC_S45CS1-QDS_30.35_3060|2-30JG-0711|RACK POWER STEERING|878.00|KGS|50.00|PCS|TSK-PRD3|SB010089/4/26|E586102|||23P1266033</t>
  </si>
  <si>
    <t>PD26011141|SB0300|NSC_S48CS1-H_31.8_3140|510-30149-020|RACK|786.00|KGS|40.00|PCS|TSK-PRD3|SB010159/1/26|5C1361|||23P1274656</t>
  </si>
  <si>
    <t>PD26011141|SB0300|NSC_S48CS1-H_31.8_3140|510-30149-020|RACK|786.00|KGS|40.00|PCS|TSK-PRD3|SB010159/2/26|5C1361|||23P1274657</t>
  </si>
  <si>
    <t>PD26011143|SB0503|POSCO_SWRCH35K_18.27_4660|2550T0749P|SHAFT SPLINE|990.00|KGS|103.00|pcs|TSK-PRD3|SB010135/3/26|SF95636|||23P1274687</t>
  </si>
  <si>
    <t>PD26011144|SB0503|POSCO_SWRCH35K_18.27_4660|2550T0749P|SHAFT SPLINE|990.00|KGS|103.00|pcs|TSK-PRD3|SB010135/4/26|SF95636|||23P1274688</t>
  </si>
  <si>
    <t>PD26010817|SB0158|JFE_S25C_43.0_6200|16171-05030|SEAT,WATER PUMP PULLEY|990.00|KGS|14.00|PCS|TSK-PRD3|SB010101/5/26|665900|||23P1266135</t>
  </si>
  <si>
    <t>PD26010817|SB0158|JFE_S25C_43.0_6200|16171-05030|SEAT,WATER PUMP PULLEY|990.00|KGS|14.00|PCS|TSK-PRD3|SB010101/4/26|665900|||23P1266132</t>
  </si>
  <si>
    <t>PD26010756|SB0143|NSC_S45CS1-V_26.0_3480|JGC10S002020-B|RACK BAR|878.00|KGS|60.00|PCS|TSK-PRD3|SB010074/4/26|E586664|||23P1263538</t>
  </si>
  <si>
    <t>PD26010651|SB0024|NSC_S45CS1-QDS_30.35_3060|JGD10-BA0101-C|RACK POWER STEERING|880.00|KGS|50.00|PCS|TSK-PRD3|SB010061/1/26|E586100|||23P1261062</t>
  </si>
  <si>
    <t>PD26010651|SB0024|NSC_S45CS1-QDS_30.35_3060|JGD10-BA0101-C|RACK POWER STEERING|880.00|KGS|50.00|PCS|TSK-PRD3|SB010061/3/26|E586100|||23P1261064</t>
  </si>
  <si>
    <t>PD26010651|SB0024|NSC_S45CS1-QDS_30.35_3060|JGD10-BA0101-C|RACK POWER STEERING|880.00|KGS|50.00|PCS|TSK-PRD3|SB010061/2/26|E586100|||23P1261063</t>
  </si>
  <si>
    <t>PD26011090|SB0484|NSC_S45CS1-V_32.25_5540|JGD10-001230-40-0|RACK, PS|890.00|KGS|25.00|PCS|TSK-PRD3|SB010146/1/26|E586236|||23P1272972</t>
  </si>
  <si>
    <t>PD26011090|SB0484|NSC_S45CS1-V_32.25_5540|JGD10-001230-40-0|RACK, PS|890.00|KGS|25.00|PCS|TSK-PRD3|SB010146/2/26|E586236|||23P1272973</t>
  </si>
  <si>
    <t>PD26011090|SB0484|NSC_S45CS1-V_32.25_5540|JGD10-001230-40-0|RACK, PS|854.00|KGS|24.00|PCS|TSK-PRD3|SB010146/3/26|E586236|||23P1272974</t>
  </si>
  <si>
    <t>PD26011091|SB0484|NSC_S45CS1-V_32.25_5540|JGD10-001230-40-0|RACK, PS|818.00|KGS|23.00|PCS|TSK-PRD3|SB010146/4/26|E586236|||23P1272994</t>
  </si>
  <si>
    <t>PD26011091|SB0484|NSC_S45CS1-V_32.25_5540|JGD10-001230-40-0|RACK, PS|890.00|KGS|25.00|PCS|TSK-PRD3|SB010146/5/26|E586236|||23P1272995</t>
  </si>
  <si>
    <t>PD26010908|Heat#1|FP0521|RACK BAR BLANK (JGF02-002190-31-2) 5K45|JGF02-002190-31-2|RACK BAR BLANK|54.00|PCS|261.00|kgs|TSK2|FB010244/6/26|5B3841</t>
  </si>
  <si>
    <t>PD26010908|Heat#1|FP0521|RACK BAR BLANK (JGF02-002190-31-2) 5K45|JGF02-002190-31-2|RACK BAR BLANK|54.00|PCS|261.00|kgs|TSK2|FB010244/7/26|5B3841</t>
  </si>
  <si>
    <t>PD26010908|Heat#1|FP0521|RACK BAR BLANK (JGF02-002190-31-2) 5K45|JGF02-002190-31-2|RACK BAR BLANK|54.00|PCS|261.00|kgs|TSK2|FB010244/5/26|5B3841</t>
  </si>
  <si>
    <t>PD26010908|Heat#1|FP0521|RACK BAR BLANK (JGF02-002190-31-2) 5K45|JGF02-002190-31-2|RACK BAR BLANK|58.00|PCS|280.00|kgs|TSK2|FB010244/2/26|5B3841</t>
  </si>
  <si>
    <t>PD26010908|Heat#1|FP0521|RACK BAR BLANK (JGF02-002190-31-2) 5K45|JGF02-002190-31-2|RACK BAR BLANK|58.00|PCS|280.00|kgs|TSK2|FB010244/1/26|5B3841</t>
  </si>
  <si>
    <t>PD26010908|Heat#1|FP0521|RACK BAR BLANK (JGF02-002190-31-2) 5K45|JGF02-002190-31-2|RACK BAR BLANK|58.00|PCS|280.00|kgs|TSK2|FB010244/3/26|5B3841</t>
  </si>
  <si>
    <t>PD26010908|Heat#1|FP0521|RACK BAR BLANK (JGF02-002190-31-2) 5K45|JGF02-002190-31-2|RACK BAR BLANK|42.00|PCS|203.00|kgs|TSK2|FB010244/4/26|5B3841</t>
  </si>
  <si>
    <t>198.0 0020</t>
  </si>
  <si>
    <t>PD26010977|SB0482|JFE_S45CS1-QDS_32.25_3000|JGD10-000751/000761-A|RACK BAR|984.00|KGS|51.00|pcs|TSK-PRD3|SB010122/6/26|665077|JFE-SC|JFE Steel Corporation|23P1269477</t>
  </si>
  <si>
    <t>PD26010977|SB0482|JFE_S45CS1-QDS_32.25_3000|JGD10-000751/000761-A|RACK BAR|984.00|KGS|51.00|pcs|TSK-PRD3|SB010122/5/26|665077|JFE-SC|JFE Steel Corporation|23P1269476</t>
  </si>
  <si>
    <t>PD26010979|SB0482|JFE_S45CS1-QDS_32.25_3000|JGD10-000751/000761-A|RACK BAR|984.00|KGS|51.00|pcs|TSK-PRD3|SB010127/4/26|665077|JFE-SC|JFE Steel Corporation|23P1269483</t>
  </si>
  <si>
    <t>PD26010979|SB0482|JFE_S45CS1-QDS_32.25_3000|JGD10-000751/000761-A|RACK BAR|984.00|KGS|51.00|pcs|TSK-PRD3|SB010127/5/26|665077|JFE-SC|JFE Steel Corporation|23P1269490</t>
  </si>
  <si>
    <t>NO PLAN PC</t>
  </si>
  <si>
    <t>PD26011144|SB0503|POSCO_SWRCH35K_18.27_4660|2550T0749P|SHAFT SPLINE|990.00|KGS|103.00|pcs|TSK-PRD3|SB010135/6/26|SF95636|||23P1274690</t>
  </si>
  <si>
    <t>PD26010816|SB0158|JFE_S25C_43.0_6200|16171-05030|SEAT,WATER PUMP PULLEY|990.00|KGS|14.00|PCS|TSK-PRD3|SB010101/3/26|665900|||23P1266130</t>
  </si>
  <si>
    <t>PD26010652|SB0024|NSC_S45CS1-QDS_30.35_3060|JGD10-BA0101-C|RACK POWER STEERING|880.00|KGS|50.00|PCS|TSK-PRD3|SB010061/5/26|E586100|||23P1261066</t>
  </si>
  <si>
    <t>PD26010652|SB0024|NSC_S45CS1-QDS_30.35_3060|JGD10-BA0101-C|RACK POWER STEERING|880.00|KGS|50.00|PCS|TSK-PRD3|SB010061/6/26|E586100|||23P1261067</t>
  </si>
  <si>
    <t>PD26010652|SB0024|NSC_S45CS1-QDS_30.35_3060|JGD10-BA0101-C|RACK POWER STEERING|880.00|KGS|50.00|PCS|TSK-PRD3|SB010061/4/26|E586100|||23P1261065</t>
  </si>
  <si>
    <t>PD26010650|SB0024|NSC_S45CS1-QDS_30.35_3060|JGD10-BA0101-C|RACK POWER STEERING|880.00|KGS|50.00|PCS|TSK-PRD3|SB010060/4/26|E586100|||23P1261059</t>
  </si>
  <si>
    <t>PD26010791|SB0024|NSC_S45CS1-QDS_30.35_3060|2-30JG-0711|RACK POWER STEERING|878.00|KGS|50.00|PCS|TSK-PRD3|SB010089/6/26|E586102|||23P1266038</t>
  </si>
  <si>
    <t>PD25121306|SB0515|KOBE_S45CS1-RP-QT_32.2_5350|JGF02-002060-31-3|RACK BAR BLANK|1,248.00|KGS|36.00|PCS|TSK-PRD3|SB120188/3/25|5B0230|KOBE|KOBE|23P1246575</t>
  </si>
  <si>
    <t>PD25121306|SB0515|KOBE_S45CS1-RP-QT_32.2_5350|JGF02-002060-31-3|RACK BAR BLANK|972.00|KGS|28.00|PCS|TSK-PRD3|SB120188/5/25|5B0230|KOBE|KOBE|23P1246577</t>
  </si>
  <si>
    <t>PD26011134|SB0501|NSC_DSCR420_16.92_5100|TG028383-0420|SHAFT, 2W|1,006.00|KGS|111.00|PCS|TSK-PRD3|SB010154/1/26|5E0424|||23P1273937</t>
  </si>
  <si>
    <t>PD26010787|Heat#1|FP0520|RACK BAR BLANK (JGF02-002060-31-3) 58*D|JGF02-002060-31-3|RACK BAR BLANK|58.00|PCS|271.00|kgs|TSK2|FB010225/6/26|5B3838</t>
  </si>
  <si>
    <t>PD26010787|Heat#1|FP0520|RACK BAR BLANK (JGF02-002060-31-3) 58*D|JGF02-002060-31-3|RACK BAR BLANK|54.00|PCS|252.00|kgs|TSK2|FB010225/7/26|5B3838</t>
  </si>
  <si>
    <t>PD26010787|Heat#1|FP0520|RACK BAR BLANK (JGF02-002060-31-3) 58*D|JGF02-002060-31-3|RACK BAR BLANK|55.00|PCS|257.00|kgs|TSK2|FB010225/5/26|5B3838</t>
  </si>
  <si>
    <t>PD26010979|SB0482|JFE_S45CS1-QDS_32.25_3000|JGD10-000751/000761-A|RACK BAR|984.00|KGS|51.00|pcs|TSK-PRD3|SB010127/6/26|665077|JFE-SC|JFE Steel Corporation|23P1269491</t>
  </si>
  <si>
    <t>PD26010978|SB0482|JFE_S45CS1-QDS_32.25_3000|JGD10-000751/000761-A|RACK BAR|984.00|KGS|51.00|pcs|TSK-PRD3|SB010127/3/26|665077|JFE-SC|JFE Steel Corporation|23P1269482</t>
  </si>
  <si>
    <t>PD26010978|SB0482|JFE_S45CS1-QDS_32.25_3000|JGD10-000751/000761-A|RACK BAR|1,006.00|KGS|52.00|pcs|TSK-PRD3|SB010127/1/26|665077|JFE-SC|JFE Steel Corporation|23P1269478</t>
  </si>
  <si>
    <t>PD26010978|SB0482|JFE_S45CS1-QDS_32.25_3000|JGD10-000751/000761-A|RACK BAR|964.00|KGS|50.00|pcs|TSK-PRD3|SB010127/2/26|665077|JFE-SC|JFE Steel Corporation|23P1269481</t>
  </si>
  <si>
    <t>SURIYA/พรชัย</t>
  </si>
  <si>
    <t>PD25121306|SB0515|KOBE_S45CS1-RP-QT_32.2_5350|JGF02-002060-31-3|RACK BAR BLANK|972.00|KGS|28.00|PCS|TSK-PRD3|SB120188/4/25|5B0230|KOBE|KOBE|23P1246576</t>
  </si>
  <si>
    <t>PD25121306|SB0515|KOBE_S45CS1-RP-QT_32.2_5350|JGF02-002060-31-3|RACK BAR BLANK|972.00|KGS|28.00|PCS|TSK-PRD3|SB120188/2/25|5B0230|KOBE|KOBE|23P1246574</t>
  </si>
  <si>
    <t>PD25121306|SB0515|KOBE_S45CS1-RP-QT_32.2_5350|JGF02-002060-31-3|RACK BAR BLANK|972.00|KGS|28.00|PCS|TSK-PRD3|SB120188/1/25|5B0230|KOBE|KOBE|23P1246568</t>
  </si>
  <si>
    <t>PD26010650|SB0024|NSC_S45CS1-QDS_30.35_3060|JGD10-BA0101-C|RACK POWER STEERING|1,179.00|KGS|67.00|PCS|TSK-PRD3|SB010060/5/26|E586100|||23P1261060</t>
  </si>
  <si>
    <t>PD26010653|SB0024|NSC_S45CS1-QDS_30.35_3060|JGD10-BA0101-C|RACK POWER STEERING|880.00|KGS|50.00|PCS|TSK-PRD3|SB010065/2/26|E586102|||23P1261069</t>
  </si>
  <si>
    <t>PD26010653|SB0024|NSC_S45CS1-QDS_30.35_3060|JGD10-BA0101-C|RACK POWER STEERING|880.00|KGS|50.00|PCS|TSK-PRD3|SB010065/1/26|E586102|||23P1261068</t>
  </si>
  <si>
    <t>PD26011212|SB0104|KMS_DSS1_15.57_6000|TG028152-5190|Pole Core|1,015.00|KGS|113.00|PCS|TSK-PRD3|SB010173/1/26|KS005C9016|KMS|KOBELCO Millcon Steel Co.,Ltd|23P1276947</t>
  </si>
  <si>
    <t>PD26011212|SB0104|KMS_DSS1_15.57_6000|TG028152-5190|Pole Core|1,015.00|KGS|113.00|PCS|TSK-PRD3|SB010173/2/26|KS005C9016|KMS|KOBELCO Millcon Steel Co.,Ltd|23P1276948</t>
  </si>
  <si>
    <t>PD26010928|MB0028|S25C Dia 40.00x5500 mm.|ZZ2B7401TX1|FLANGE-13 SLUG|1,955.00|KGS|36.00|PCS|TSK-PRD3|2B2600186|1-79662|JFE-SC|JFE Steel Corporation|23P1267878</t>
  </si>
  <si>
    <t>PD26011085|SB0232|NSC_S43C_36.80_5100|TGY95613-0020|SLUG VALVE ROTARY|1,497.00|KGS|35.00|PCS|TSK-PRD3|SB010147/3/26|E585734|||2P1272963</t>
  </si>
  <si>
    <t>PD26011086|SB0232|NSC_S43C_36.80_5100|TGY95613-0020|SLUG VALVE ROTARY|983.00|KGS|23.00|PCS|TSK-PRD3|SB010149/1/26|E585734|||23P1272964</t>
  </si>
  <si>
    <t>PD26011296|SB0087|NSC_S10C_43.35_5500|S90-6500-4345-01|PISTON|1,030.00|KGS|16.00|PCS|TSK-PRD3|SB010183/1/26|E586506|||23P1279095</t>
  </si>
  <si>
    <t>PD26011003|SB0482|JFE_S45CS1-QDS_32.25_3000|JGD10-000751/000761-A|RACK BAR|984.00|KGS|51.00|pcs|TSK-PRD3|SB010129/2/26|665077|JFE-SC|JFE Steel Corporation|23P1271070</t>
  </si>
  <si>
    <t>PD26011003|SB0482|JFE_S45CS1-QDS_32.25_3000|JGD10-000751/000761-A|RACK BAR|984.00|KGS|51.00|pcs|TSK-PRD3|SB010129/1/26|665077|JFE-SC|JFE Steel Corporation|23P1271069</t>
  </si>
  <si>
    <t>PD26011003|SB0482|JFE_S45CS1-QDS_32.25_3000|JGD10-000751/000761-A|RACK BAR|984.00|KGS|51.00|pcs|TSK-PRD3|SB010129/3/26|665077|JFE-SC|JFE Steel Corporation|23P1271071</t>
  </si>
  <si>
    <t>PD26011006|SB0482|JFE_S45CS1-QDS_32.25_3000|JGD10-000751/000761-A|RACK BAR|984.00|KGS|51.00|pcs|TSK-PRD3|SB010131/4/26|665077|JFE-SC|JFE Steel Corporation|23P1271078</t>
  </si>
  <si>
    <t>PD26011006|SB0482|JFE_S45CS1-QDS_32.25_3000|JGD10-000751/000761-A|RACK BAR|984.00|KGS|51.00|pcs|TSK-PRD3|SB010131/3/26|665077|JFE-SC|JFE Steel Corporation|23P1271077</t>
  </si>
  <si>
    <t>PD26010791|SB0024|NSC_S45CS1-QDS_30.35_3060|2-30JG-0711|RACK POWER STEERING|878.00|KGS|50.00|PCS|TSK-PRD3|SB010089/5/26|E586102|||23P1266034</t>
  </si>
  <si>
    <t>PD26010792|SB0024|NSC_S45CS1-QDS_30.35_3060|2-30JG-0711|RACK POWER STEERING|878.00|KGS|50.00|PCS|TSK-PRD3|SB010090/3/26|E586102|||23P1266041</t>
  </si>
  <si>
    <t>PD26010792|SB0024|NSC_S45CS1-QDS_30.35_3060|2-30JG-0711|RACK POWER STEERING|878.00|KGS|50.00|PCS|TSK-PRD3|SB010090/2/26|E586102|||23P1266040</t>
  </si>
  <si>
    <t>PD26010792|SB0024|NSC_S45CS1-QDS_30.35_3060|2-30JG-0711|RACK POWER STEERING|878.00|KGS|50.00|PCS|TSK-PRD3|SB010090/1/26|E586102|||23P1266039</t>
  </si>
  <si>
    <t>PD26011144|SB0503|POSCO_SWRCH35K_18.27_4660|2550T0749P|SHAFT SPLINE|990.00|KGS|103.00|pcs|TSK-PRD3|SB010135/5/26|SF95636|||23P1274689</t>
  </si>
  <si>
    <t>PD26011295|SB0503|POSCO_SWRCH35K_18.27_4660|2550T0749P|SHAFT SPLINE|1,000.00|KGS|104.00|pcs|TSK-PRD3|SB010180/4/26|SF95636|||23P1279067</t>
  </si>
  <si>
    <t>PD26010816|SB0158|JFE_S25C_43.0_6200|16171-05030|SEAT,WATER PUMP PULLEY|990.00|KGS|14.00|PCS|TSK-PRD3|SB010101/1/26|665900|||23P1266124</t>
  </si>
  <si>
    <t>PD26011141|FP0346|RACK (510-30149-020)|510-30149-020|RACK|200.00|PCS|327.00|KGS|TSK2|FB010342/7/26|5C1361|C00137|Astemo (Thailand)</t>
  </si>
  <si>
    <t>PD26011141|FP0346|RACK (510-30149-020)|510-30149-020|RACK|200.00|PCS|327.00|KGS|TSK2|FB010342/6/26|5C1361|C00137|Astemo (Thailand)</t>
  </si>
  <si>
    <t>PD26011141|FP0346|RACK (510-30149-020)|510-30149-020|RACK|200.00|PCS|327.00|KGS|TSK2|FB010342/5/26|5C1361|C00137|Astemo (Thailand)</t>
  </si>
  <si>
    <t>PD26011141|FP0346|RACK (510-30149-020)|510-30149-020|RACK|132.00|PCS|216.00|KGS|TSK2|FB010342/1/26|5C1361|C00137|Astemo (Thailand)</t>
  </si>
  <si>
    <t>PD26011142|FP0346|RACK (510-30149-020)|510-30149-020|RACK|68.00|PCS|111.00|KGS|TSK2|FB010337/6/26|5C1361|C00137|Astemo (Thailand)</t>
  </si>
  <si>
    <t>PD26011142|FP0346|RACK (510-30149-020)|510-30149-020|RACK|200.00|PCS|327.00|KGS|TSK2|FB010337/4/26|5C1361|C00137|Astemo (Thailand)</t>
  </si>
  <si>
    <t>PD26011142|FP0346|RACK (510-30149-020)|510-30149-020|RACK|12.00|PCS|20.00|KGS|TSK2|FB010337/1/26|5C1361|C00137|Astemo (Thailand)</t>
  </si>
  <si>
    <t>PD26011177|SB0140|NSC_S45CS1-V_22.0_3200|JGC10-003230-40-0|Rack, MS|668.00|KGS|69.00|PCS|TSK-PRD3|SB010155/2/26|D400533|||23P1275517</t>
  </si>
  <si>
    <t>PD26011177|SB0140|NSC_S45CS1-V_22.0_3200|JGC10-003230-40-0|Rack, MS|668.00|KGS|69.00|PCS|TSK-PRD3|SB010155/1/26|D400533|||23P1275516</t>
  </si>
  <si>
    <t>PD26011213|SB0104|KMS_DSS1_15.57_6000|TG028152-5190|Pole Core|996.00|KGS|111.00|PCS|TSK-PRD3|SB010173/3/26|KS005C9016|KMS|KOBELCO Millcon Steel Co.,Ltd|23P1276949</t>
  </si>
  <si>
    <t>PD26011295|SB0503|POSCO_SWRCH35K_18.27_4660|2550T0749P|SHAFT SPLINE|1,000.00|KGS|104.00|pcs|TSK-PRD3|SB010180/3/26|SF95636|||23P1279066</t>
  </si>
  <si>
    <t>PD26011294|SB0503|POSCO_SWRCH35K_18.27_4660|2550T0749P|SHAFT SPLINE|980.00|KGS|102.00|pcs|TSK-PRD3|SB010180/2/26|SF95636|||23P1279060</t>
  </si>
  <si>
    <t>PD26011134|SB0501|NSC_DSCR420_16.92_5100|TG028383-0420|SHAFT, 2W|890.00|KGS|98.00|PCS|TSK-PRD3|SB010154/3/26|5E0424|||23P1273940</t>
  </si>
  <si>
    <t>PD26011086|SB0232|NSC_S43C_36.80_5100|TGY95613-0020|SLUG VALVE ROTARY|1,197.00|KGS|28.00|PCS|TSK-PRD3|SB010149/3/26|E585734|||23P1272966</t>
  </si>
  <si>
    <t>PD26011141|Cutting#1|FP0346|RACK (510-30149-020)|510-30149-020|RACK|200.00|PCS|327.00|KGS|TSK2|FB010342/2/26|5C1361</t>
  </si>
  <si>
    <t>PD26011141|Cutting#1|FP0346|RACK (510-30149-020)|510-30149-020|RACK|200.00|PCS|327.00|KGS|TSK2|FB010342/4/26|5C1361</t>
  </si>
  <si>
    <t>PD26011142|Cutting#1|FP0346|RACK (510-30149-020)|510-30149-020|RACK|200.00|PCS|327.00|KGS|TSK2|FB010337/3/26|5C1361</t>
  </si>
  <si>
    <t>PD26011142|Cutting#1|FP0346|RACK (510-30149-020)|510-30149-020|RACK|200.00|PCS|327.00|KGS|TSK2|FB010337/2/26|5C1361</t>
  </si>
  <si>
    <t>PD26011141|Cutting#1|FP0346|RACK (510-30149-020)|510-30149-020|RACK|200.00|PCS|327.00|KGS|TSK2|FB010342/3/26|5C1361</t>
  </si>
  <si>
    <t>PD26011142|Cutting#1|FP0346|RACK (510-30149-020)|510-30149-020|RACK|200.00|PCS|327.00|KGS|TSK2|FB010337/5/26|5C1361</t>
  </si>
  <si>
    <t>PD26010816|SB0158|JFE_S25C_43.0_6200|16171-05030|SEAT,WATER PUMP PULLEY|990.00|KGS|14.00|PCS|TSK-PRD3|SB010101/2/26|665900|||23P1266129</t>
  </si>
  <si>
    <t>PD26010894|SB0338|NSC_S45CS1-V_26.0_3480_JAMY|JGC10-M09008-51-0|RACK BAR|880.00|KGS|60.00|PCS|TSK-PRD3|SB010110/3/26|E586966|||23P1267436</t>
  </si>
  <si>
    <t>PD26010894|SB0338|NSC_S45CS1-V_26.0_3480_JAMY|JGC10-M09008-51-0|RACK BAR|880.00|KGS|60.00|PCS|TSK-PRD3|SB010110/2/26|E586966|||23P1267435</t>
  </si>
  <si>
    <t>PD26010894|SB0338|NSC_S45CS1-V_26.0_3480_JAMY|JGC10-M09008-51-0|RACK BAR|870.00|KGS|60.00|PCS|TSK-PRD3|SB010110/1/26|E586966|||23P1267434</t>
  </si>
  <si>
    <t>PD26010893|SB0338|NSC_S45CS1-V_26.0_3480_JAMY|JGC10-M09008-51-0|RACK BAR|870.00|KGS|60.00|PCS|TSK-PRD3|SB010107/5/26|E586966|||23P1267430</t>
  </si>
  <si>
    <t>PD26011280|SB0143|NSC_S45CS1-V_26.0_3480|JGC10S002020-B|RACK BAR|872.00|KGS|60.00|PCS|TSK-PRD3|SB010162/1/26|E586664|||23P1278907</t>
  </si>
  <si>
    <t>PD26011280|SB0143|NSC_S45CS1-V_26.0_3480|JGC10S002020-B|RACK BAR|872.00|KGS|60.00|PCS|TSK-PRD3|SB010162/2/26|E586664|||23P1278908</t>
  </si>
  <si>
    <t>PD26011281|SB0143|NSC_S45CS1-V_26.0_3480|JGC10S002020-B|RACK BAR|684.00|KGS|47.00|PCS|TSK-PRD3|SB010162/4/26|E586664|||23P1278910</t>
  </si>
  <si>
    <t>PD26011213|SB0104|KMS_DSS1_15.57_6000|TG028152-5190|Pole Core|996.00|KGS|111.00|PCS|TSK-PRD3|SB010173/4/26|KS005C9016|KMS|KOBELCO Millcon Steel Co.,Ltd|23P1276950</t>
  </si>
  <si>
    <t>PD26011008|SB0482|JFE_S45CS1-QDS_32.25_3000|JGD10-000751/000761-A|RACK BAR|988.00|KGS|51.00|pcs|TSK-PRD3|SB010133/3/26|665484|JFE-SC|JFE Steel Corporation|23P1271084</t>
  </si>
  <si>
    <t>PD26011008|SB0482|JFE_S45CS1-QDS_32.25_3000|JGD10-000751/000761-A|RACK BAR|988.00|KGS|51.00|pcs|TSK-PRD3|SB010133/4/26|665484|JFE-SC|JFE Steel Corporation|23P1271085</t>
  </si>
  <si>
    <t>PD26011005|SB0482|JFE_S45CS1-QDS_32.25_3000|JGD10-000751/000761-A|RACK BAR|984.00|KGS|51.00|pcs|TSK-PRD3|SB010131/1/26|665077|JFE-SC|JFE Steel Corporation|23P1271075</t>
  </si>
  <si>
    <t>PD26011005|SB0482|JFE_S45CS1-QDS_32.25_3000|JGD10-000751/000761-A|RACK BAR|984.00|KGS|51.00|pcs|TSK-PRD3|SB010131/2/26|665077|JFE-SC|JFE Steel Corporation|23P1271076</t>
  </si>
  <si>
    <t>PD26010938|MB0033|S25C Dia 60.00x4000-5500 mm.|141411-60140-20|Piston Disc Brake, Forging|1,342.00|KGS|11.00|PCS|TSK-PRD3|2B2600238|663961|JFE-SC|JFE Steel Corporation|23P1268041</t>
  </si>
  <si>
    <t>PD26011010|SB0482|JFE_S45CS1-QDS_32.25_3000|JGD10-000751/000761-A|RACK BAR|988.00|KGS|51.00|pcs|TSK-PRD3|SB010136/3/26|665077|JFE-SC|JFE Steel Corporation|23P1271090</t>
  </si>
  <si>
    <t>PD26011010|SB0482|JFE_S45CS1-QDS_32.25_3000|JGD10-000751/000761-A|RACK BAR|988.00|KGS|51.00|pcs|TSK-PRD3|SB010136/4/26|665077|JFE-SC|JFE Steel Corporation|23P1271091</t>
  </si>
  <si>
    <t>PD26011009|SB0482|JFE_S45CS1-QDS_32.25_3000|JGD10-000751/000761-A|RACK BAR|988.00|KGS|51.00|pcs|TSK-PRD3|SB010136/1/26|665077|JFE-SC|JFE Steel Corporation|23P1271086</t>
  </si>
  <si>
    <t>PD26011009|SB0482|JFE_S45CS1-QDS_32.25_3000|JGD10-000751/000761-A|RACK BAR|988.00|KGS|51.00|pcs|TSK-PRD3|SB010136/2/26|665077|JFE-SC|JFE Steel Corporation|23P1271089</t>
  </si>
  <si>
    <t>PD26011281|SB0143|NSC_S45CS1-V_26.0_3480|JGC10S002020-B|RACK BAR|684.00|KGS|47.00|PCS|TSK-PRD3|SB010162/3/26|E586664|||23P1278909</t>
  </si>
  <si>
    <t>PD26011132|SB0478|NSC_S45CS1-V_32.25_3200|JGD10-001260-40-1|RACK, PS|970.00|KGS|47.00|PCS|TSK-PRD3|SB010153/2/26|E586967|||23P1273829</t>
  </si>
  <si>
    <t>PD26011132|SB0478|NSC_S45CS1-V_32.25_3200|JGD10-001260-40-1|RACK, PS|970.00|KGS|47.00|PCS|TSK-PRD3|SB010153/3/26|E586967|||23P1273832</t>
  </si>
  <si>
    <t>PD26011294|SB0503|POSCO_SWRCH35K_18.27_4660|2550T0749P|SHAFT SPLINE|1,018.00|KGS|106.00|pcs|TSK-PRD3|SB010180/1/26|SF95636|||23P1279059</t>
  </si>
  <si>
    <t>PD26010860|SB0158|JFE_S25C_43.0_6200|16171-05030|SEAT,WATER PUMP PULLEY|990.00|KGS|14.00|PCS|TSK-PRD3|SB010105/1/26|665900|||23P1266484</t>
  </si>
  <si>
    <t>PD26011340|SB0101|KOBE_SUM22_20.7_6700|TG053661-7151|PLUNGER|812.00|KGS|46.00|PCS|TSK-PRD3|SB010184/1/26|5A5885|||23P1280352</t>
  </si>
  <si>
    <t>PD26011091|SB0484|NSC_S45CS1-V_32.25_5540|JGD10-001230-40-0|RACK, PS|890.00|KGS|25.00|PCS|TSK-PRD3|SB010146/6/26|E586236|||23P1272996</t>
  </si>
  <si>
    <t>PD26011092|SB0484|NSC_S45CS1-V_32.25_5540|JGD10-001230-40-0|RACK, PS|890.00|KGS|25.00|PCS|TSK-PRD3|SB010148/1/26|E586967|||23P1272998</t>
  </si>
  <si>
    <t>PD26011092|SB0484|NSC_S45CS1-V_32.25_5540|JGD10-001230-40-0|RACK, PS|785.00|KGS|22.00|PCS|TSK-PRD3|SB010148/2/26|E586967|||23P1272999</t>
  </si>
  <si>
    <t>PD26011092|SB0484|NSC_S45CS1-V_32.25_5540|JGD10-001230-40-0|RACK, PS|105.00|KGS|3.00|PCS|TSK-PRD3|SB010148/3/26|E586967|||23P1273000</t>
  </si>
  <si>
    <t>PD26010794|SB0024|NSC_S45CS1-QDS_30.35_3060|2-30JG-0711|RACK POWER STEERING|878.00|KGS|50.00|PCS|TSK-PRD3|SB010095/1/26|E586102|||23P1266051</t>
  </si>
  <si>
    <t>PD26010893|SB0338|NSC_S45CS1-V_26.0_3480_JAMY|JGC10-M09008-51-0|RACK BAR|782.00|KGS|54.00|PCS|TSK-PRD3|SB010107/6/26|E586966|||23P1267431</t>
  </si>
  <si>
    <t>PD26010893|SB0338|NSC_S45CS1-V_26.0_3480_JAMY|JGC10-M09008-51-0|RACK BAR|88.00|KGS|6.00|PCS|TSK-PRD3|SB010107/7/26|E586966|||23P1267432</t>
  </si>
  <si>
    <t>PD26011139|SB0145|NSC_S48CS1H_32.3_3050|510-30133-020|RACK|782.00|KGS|40.00|PCS|TSK-PRD3|SB010157/2/26|5C1361|||23P1274628</t>
  </si>
  <si>
    <t>PD26011139|SB0145|NSC_S48CS1H_32.3_3050|510-30133-020|RACK|782.00|KGS|40.00|PCS|TSK-PRD3|SB010157/1/26|5C1361|||23P1274627</t>
  </si>
  <si>
    <t>PD26011211|SB0103|KMS_DSS1_14.47_6000|TG028152-5180|Pole Core|1,015.00|KGS|131.00|PCS|TSK-PRD3|SB010170/1/26|KS005B2825|KMS|KOBELCO Millcon Steel Co.,Ltd|23P1276944</t>
  </si>
  <si>
    <t>PD26010860|SB0158|JFE_S25C_43.0_6200|16171-05030|SEAT,WATER PUMP PULLEY|990.00|KGS|14.00|PCS|TSK-PRD3|SB010105/2/26|665900|||23P1266485</t>
  </si>
  <si>
    <t>PD26011340|SB0101|KOBE_SUM22_20.7_6700|TG053661-7151|PLUNGER|812.00|KGS|46.00|PCS|TSK-PRD3|SB010184/2/26|5A5885|||23P1280353</t>
  </si>
  <si>
    <t>PD26011139|SB0145|NSC_S48CS1H_32.3_3050|510-30133-020|RACK|782.00|KGS|40.00|PCS|TSK-PRD3|SB010157/3/26|5C1361|||23P1274629</t>
  </si>
  <si>
    <t>PD26011140|SB0145|NSC_S48CS1H_32.3_3050|510-30133-020|RACK|782.00|KGS|40.00|PCS|TSK-PRD3|SB010157/5/26|5C1361|||23P1274637</t>
  </si>
  <si>
    <t>PD26011140|SB0145|NSC_S48CS1H_32.3_3050|510-30133-020|RACK|782.00|KGS|40.00|PCS|TSK-PRD3|SB010157/6/26|5C1361|||23P1274638</t>
  </si>
  <si>
    <t>PD26011140|SB0145|NSC_S48CS1H_32.3_3050|510-30133-020|RACK|782.00|KGS|40.00|PCS|TSK-PRD3|SB010157/4/26|5C1361|||23P1274633</t>
  </si>
  <si>
    <t>PD26010973|SB0237|NSC_S45CS1-QDS_30.25_3050|JGD10S000830-51-0|RACK BAR|868.00|KGS|50.00|PCS|TSK-PRD3|SB010118/1/26|E586442|||23P1269456</t>
  </si>
  <si>
    <t>PD26010794|SB0024|NSC_S45CS1-QDS_30.35_3060|2-30JG-0711|RACK POWER STEERING|878.00|KGS|50.00|PCS|TSK-PRD3|SB010095/3/26|E586102|||23P1266053</t>
  </si>
  <si>
    <t>PD26010794|SB0024|NSC_S45CS1-QDS_30.35_3060|2-30JG-0711|RACK POWER STEERING|878.00|KGS|50.00|PCS|TSK-PRD3|SB010095/2/26|E586102|||23P1266052</t>
  </si>
  <si>
    <t>PD26010795|SB0024|NSC_S45CS1-QDS_30.35_3060|2-30JG-0711|RACK POWER STEERING|878.00|KGS|50.00|PCS|TSK-PRD3|SB010095/5/26|E586102|||23P1266056</t>
  </si>
  <si>
    <t>PD26010795|SB0024|NSC_S45CS1-QDS_30.35_3060|2-30JG-0711|RACK POWER STEERING|878.00|KGS|50.00|PCS|TSK-PRD3|SB010095/6/26|E586102|||23P1266057</t>
  </si>
  <si>
    <t>PD26010795|SB0024|NSC_S45CS1-QDS_30.35_3060|2-30JG-0711|RACK POWER STEERING|878.00|KGS|50.00|PCS|TSK-PRD3|SB010095/4/26|E586102|||23P1266055</t>
  </si>
  <si>
    <t>PD25120622|Heat#1|FP0520|RACK BAR BLANK (JGF02-002060-31-3) 58*D|JGF02-002060-31-3|RACK BAR BLANK|28.00|PCS|131.00|kgs|TSK2|FB010143/1/26|5B0230</t>
  </si>
  <si>
    <t>PD25120622|Heat#1|FP0520|RACK BAR BLANK (JGF02-002060-31-3) 58*D|JGF02-002060-31-3|RACK BAR BLANK|58.00|PCS|271.00|kgs|TSK2|FB010143/15/26|5B0230</t>
  </si>
  <si>
    <t>PD25120622|Heat#1|FP0520|RACK BAR BLANK (JGF02-002060-31-3) 58*D|JGF02-002060-31-3|RACK BAR BLANK|58.00|PCS|271.00|kgs|TSK2|FB010143/14/26|5B0230</t>
  </si>
  <si>
    <t>PD25120622|Heat#1|FP0520|RACK BAR BLANK (JGF02-002060-31-3) 58*D|JGF02-002060-31-3|RACK BAR BLANK|58.00|PCS|271.00|kgs|TSK2|FB010143/8/26|5B0230</t>
  </si>
  <si>
    <t>PD25120622|Heat#1|FP0520|RACK BAR BLANK (JGF02-002060-31-3) 58*D|JGF02-002060-31-3|RACK BAR BLANK|58.00|PCS|271.00|kgs|TSK2|FB010143/17/26|5B0230</t>
  </si>
  <si>
    <t>PD26011132|SB0478|NSC_S45CS1-V_32.25_3200|JGD10-001260-40-1|RACK, PS|970.00|KGS|47.00|PCS|TSK-PRD3|SB010153/1/26|E586967|||23P1273825</t>
  </si>
  <si>
    <t>PD26011133|SB0478|NSC_S45CS1-V_32.25_3200|JGD10-001260-40-1|RACK, PS|970.00|KGS|47.00|PCS|TSK-PRD3|SB010153/5/26|E586967|||23P1273842</t>
  </si>
  <si>
    <t>PD26011133|SB0478|NSC_S45CS1-V_32.25_3200|JGD10-001260-40-1|RACK, PS|970.00|KGS|47.00|PCS|TSK-PRD3|SB010153/6/26|E586967|||23P1273843</t>
  </si>
  <si>
    <t>PD26011133|SB0478|NSC_S45CS1-V_32.25_3200|JGD10-001260-40-1|RACK, PS|970.00|KGS|47.00|PCS|TSK-PRD3|SB010153/4/26|E586967|||23P1273839</t>
  </si>
  <si>
    <t>PD26011357|SB0002|NSC_SCM415_21_5000|TG028986-0050|Barrel|1,032.00|KGS|75.00|PCS|TSK-PRD3|SB010192/1/26|E587474|||23P1280583</t>
  </si>
  <si>
    <t>PD26011086|SB0232|NSC_S43C_36.80_5100|TGY95613-0020|SLUG VALVE ROTARY|941.00|KGS|22.00|PCS|TSK-PRD3|SB010149/2/26|E585734|||23P1272965</t>
  </si>
  <si>
    <t>PD26011211|SB0103|KMS_DSS1_14.47_6000|TG028152-5180|Pole Core|1,020.00|KGS|131.00|PCS|TSK-PRD3|SB010170/2/26|KS005B2825|KMS|KOBELCO Millcon Steel Co.,Ltd|23P1276945</t>
  </si>
  <si>
    <t>PD26011007|SB0482|JFE_S45CS1-QDS_32.25_3000|JGD10-000751/000761-A|RACK BAR|988.00|KGS|51.00|pcs|TSK-PRD3|SB010133/1/26|665484|JFE-SC|JFE Steel Corporation|23P1271079</t>
  </si>
  <si>
    <t>PD26011007|SB0482|JFE_S45CS1-QDS_32.25_3000|JGD10-000751/000761-A|RACK BAR|988.00|KGS|51.00|pcs|TSK-PRD3|SB010133/2/26|665484|JFE-SC|JFE Steel Corporation|23P1271080</t>
  </si>
  <si>
    <t>PD26011232|SB0482|JFE_S45CS1-QDS_32.25_3000|JGD10-000751/000761-A|RACK BAR|990.00|KGS|51.00|pcs|TSK-PRD3|SB010163/6/26|665484|JFE-SC|JFE Steel Corporation|23P1277123</t>
  </si>
  <si>
    <t>PD26011232|SB0482|JFE_S45CS1-QDS_32.25_3000|JGD10-000751/000761-A|RACK BAR|990.00|KGS|51.00|pcs|TSK-PRD3|SB010163/5/26|665484|JFE-SC|JFE Steel Corporation|23P1277122</t>
  </si>
  <si>
    <t>PD26011087|SB0232|NSC_S43C_36.80_5100|TGY95613-0020|SLUG VALVE ROTARY|1,283.00|KGS|30.00|PCS|TSK-PRD3|SB010152/1/26|E587528|||23P1272967</t>
  </si>
  <si>
    <t>PD26010939|MB0033|S25C Dia 60.00x4000-5500 mm.|141411-60140-20|Piston Disc Brake, Forging|1,952.00|KGS|16.00|PCS|TSK-PRD3|2B2600239|663962|JFE-SC|JFE Steel Corporation|23P1268042</t>
  </si>
  <si>
    <t>PD26011232|SB0482|JFE_S45CS1-QDS_32.25_3000|JGD10-000751/000761-A|RACK BAR|990.00|KGS|51.00|pcs|TSK-PRD3|SB010163/4/26|665484|JFE-SC|JFE Steel Corporation|23P1277121</t>
  </si>
  <si>
    <t>PD26011231|SB0482|JFE_S45CS1-QDS_32.25_3000|JGD10-000751/000761-A|RACK BAR|990.00|KGS|51.00|pcs|TSK-PRD3|SB010163/3/26|665484|JFE-SC|JFE Steel Corporation|23P1277112</t>
  </si>
  <si>
    <t>PD26011231|SB0482|JFE_S45CS1-QDS_32.25_3000|JGD10-000751/000761-A|RACK BAR|990.00|KGS|51.00|pcs|TSK-PRD3|SB010163/1/26|665484|JFE-SC|JFE Steel Corporation|23P1277110</t>
  </si>
  <si>
    <t>PD26011231|SB0482|JFE_S45CS1-QDS_32.25_3000|JGD10-000751/000761-A|RACK BAR|990.00|KGS|51.00|pcs|TSK-PRD3|SB010163/2/26|665484|JFE-SC|JFE Steel Corporation|23P1277111</t>
  </si>
  <si>
    <t>PD26011286|SB0413|NSC_S45CS1-QDS_24.00_3250/3810|JGC10-003280-40-0|Rack, MS|875.00|KGS|70.00|pcs|TSK-PRD3|SB010164/2/26|E586613|||23P1278991</t>
  </si>
  <si>
    <t>อบรม</t>
  </si>
  <si>
    <t>PD26011286|SB0413|NSC_S45CS1-QDS_24.00_3250/3810|JGC10-003280-40-0|Rack, MS|1,175.00|KGS|94.00|pcs|TSK-PRD3|SB010164/3/26|E586613|||23P1278992</t>
  </si>
  <si>
    <t>PD26010973|SB0237|NSC_S45CS1-QDS_30.25_3050|JGD10S000830-51-0|RACK BAR|1,250.00|KGS|72.00|PCS|TSK-PRD3|SB010118/3/26|E586442|||23P1269462</t>
  </si>
  <si>
    <t>PD26010973|SB0237|NSC_S45CS1-QDS_30.25_3050|JGD10S000830-51-0|RACK BAR|868.00|KGS|50.00|PCS|TSK-PRD3|SB010118/2/26|E586442|||23P1269457</t>
  </si>
  <si>
    <t>PD26011285|SB0130|NSC_S45CS1-QDS_24.0_3170|JGC10-003770-40-0|Rack, MS|900.00|KGS|80.00|PCS|TSK-PRD3|SB010168/4/26|E585970|||23P1278982</t>
  </si>
  <si>
    <t>PD26010793|SB0024|NSC_S45CS1-QDS_30.35_3060|2-30JG-0711|RACK POWER STEERING|878.00|KGS|50.00|PCS|TSK-PRD3|SB010090/6/26|E586102|||23P1266050</t>
  </si>
  <si>
    <t>PD26010793|SB0024|NSC_S45CS1-QDS_30.35_3060|2-30JG-0711|RACK POWER STEERING|878.00|KGS|50.00|PCS|TSK-PRD3|SB010090/5/26|E586102|||23P1266049</t>
  </si>
  <si>
    <t>PD26010793|SB0024|NSC_S45CS1-QDS_30.35_3060|2-30JG-0711|RACK POWER STEERING|878.00|KGS|50.00|PCS|TSK-PRD3|SB010090/4/26|E586102|||23P1266042</t>
  </si>
  <si>
    <t>PD26010797|SB0024|NSC_S45CS1-QDS_30.35_3060|2-30JG-0711|RACK POWER STEERING|878.00|KGS|50.00|PCS|TSK-PRD3|SB010098/3/26|E586102|||23P1266071</t>
  </si>
  <si>
    <t>PD26010974|Cutting#1|FP0533|STG.SHAFT (2528S0250C)|2528S0250C|STG.SHAFT|800.00|PCS|340.00|KGS|TSK2|FP010298/4/26|E484056</t>
  </si>
  <si>
    <t>PD26010974|Cutting#1|FP0533|STG.SHAFT (2528S0250C)|2528S0250C|STG.SHAFT|800.00|PCS|340.00|KGS|TSK2|FP010298/5/26|E484056</t>
  </si>
  <si>
    <t>PD26010974|Cutting#1|FP0533|STG.SHAFT (2528S0250C)|2528S0250C|STG.SHAFT|617.00|PCS|262.00|KGS|TSK2|FP010298/6/26|E484056</t>
  </si>
  <si>
    <t>PD26011285|SB0130|NSC_S45CS1-QDS_24.0_3170|JGC10-003770-40-0|Rack, MS|810.00|KGS|72.00|PCS|TSK-PRD3|SB010168/5/26|E585970|||23P1278983</t>
  </si>
  <si>
    <t>PD26011285|SB0130|NSC_S45CS1-QDS_24.0_3170|JGC10-003770-40-0|Rack, MS|810.00|KGS|72.00|PCS|TSK-PRD3|SB010168/6/26|E585970|||23P1278984</t>
  </si>
  <si>
    <t>PD25111201|FP0179|SHAFT, 2W (TG028383-0040)|TG028383-0040|SHAFT, 2W|1,500.00|PCS|581.00|KGS|TSK2|FP120395/4/25|E483074|C00013|DNTH</t>
  </si>
  <si>
    <t>PD25111201|FP0179|SHAFT, 2W (TG028383-0040)|TG028383-0040|SHAFT, 2W|1,661.00|PCS|643.00|KGS|TSK2|FP120395/5/25|E483074|C00013|DNTH</t>
  </si>
  <si>
    <t>PD26010797|SB0024|NSC_S45CS1-QDS_30.35_3060|2-30JG-0711|RACK POWER STEERING|878.00|KGS|50.00|PCS|TSK-PRD3|SB010098/2/26|E586102|||23P1266070</t>
  </si>
  <si>
    <t>PD26010797|SB0024|NSC_S45CS1-QDS_30.35_3060|2-30JG-0711|RACK POWER STEERING|878.00|KGS|50.00|PCS|TSK-PRD3|SB010098/1/26|E586102|||23P1266069</t>
  </si>
  <si>
    <t>PD26011348|SB0338|NSC_S45CS1-V_26.0_3480_JAMY|JGC10-M09008-51-0|RACK BAR|874.00|KGS|60.00|PCS|TSK-PRD3|SB010179/3/26|E586966|||23P1280556</t>
  </si>
  <si>
    <t>PD25110971|FP0283|SHAFT, 2W (TG028383-0090)|TG028383-0090|SHAFT, 2W|1,500.00|PCS|513.00|KGS|TSK2|FP010259/1/26|E483074|C00013|DNTH</t>
  </si>
  <si>
    <t>PD25110971|FP0283|SHAFT, 2W (TG028383-0090)|TG028383-0090|SHAFT, 2W|1,500.00|PCS|513.00|KGS|TSK2|FP010259/2/26|E483074|C00013|DNTH</t>
  </si>
  <si>
    <t>PD26010939|MB0033|S25C Dia 60.00x4000-5500 mm.|141411-60140-20|Piston Disc Brake, Forging|1,952.00|KGS|16.00|PCS|TSK-PRD3|2B2600240|663962|JFE-SC|JFE Steel Corporation|23P1268043</t>
  </si>
  <si>
    <t>PD26011357|SB0002|NSC_SCM415_21_5000|TG028986-0050|Barrel|1,045.00|KGS|76.00|PCS|TSK-PRD3|SB010192/2/26|E587474|||23P1280592</t>
  </si>
  <si>
    <t>PD26011004|SB0482|JFE_S45CS1-QDS_32.25_3000|JGD10-000751/000761-A|RACK BAR|37.00|KGS|2.00|pcs|TSK-PRD3|SB010129/6/26|665077|JFE-SC|JFE Steel Corporation|23P1271074</t>
  </si>
  <si>
    <t>PD26011004|SB0482|JFE_S45CS1-QDS_32.25_3000|JGD10-000751/000761-A|RACK BAR|348.00|KGS|18.00|pcs|TSK-PRD3|SB010129/5/26|665077|JFE-SC|JFE Steel Corporation|23P1271073</t>
  </si>
  <si>
    <t>PD26011004|SB0482|JFE_S45CS1-QDS_32.25_3000|JGD10-000751/000761-A|RACK BAR|984.00|KGS|51.00|pcs|TSK-PRD3|SB010129/4/26|665077|JFE-SC|JFE Steel Corporation|23P1271072</t>
  </si>
  <si>
    <t>PD26011233|SB0482|JFE_S45CS1-QDS_32.25_3000|JGD10-000751/000761-A|RACK BAR|988.00|KGS|51.00|pcs|TSK-PRD3|SB010165/1/26|665484|JFE-SC|JFE Steel Corporation|23P1277129</t>
  </si>
  <si>
    <t>PD26011233|SB0482|JFE_S45CS1-QDS_32.25_3000|JGD10-000751/000761-A|RACK BAR|988.00|KGS|51.00|pcs|TSK-PRD3|SB010165/2/26|665484|JFE-SC|JFE Steel Corporation|23P1277130</t>
  </si>
  <si>
    <t>PD26011345|SB0130|NSC_S45CS1-QDS_24.0_3170|JGC10-001180-S|RACK, MS|900.00|KGS|80.00|PCS|TSK-PRD3|SB010186/2/26|E586613|||23P1280458</t>
  </si>
  <si>
    <t>PD26011286|SB0413|NSC_S45CS1-QDS_24.00_3250/3810|JGC10-003280-40-0|Rack, MS|875.00|KGS|70.00|pcs|TSK-PRD3|SB010164/1/26|E586613|||23P1278990</t>
  </si>
  <si>
    <t>PD26011287|SB0413|NSC_S45CS1-QDS_24.00_3250/3810|JGC10-003280-40-0|Rack, MS|875.00|KGS|70.00|pcs|TSK-PRD3|SB010164/5/26|E586613|||23P1278998</t>
  </si>
  <si>
    <t>PD26011287|SB0413|NSC_S45CS1-QDS_24.00_3250/3810|JGC10-003280-40-0|Rack, MS|875.00|KGS|70.00|pcs|TSK-PRD3|SB010164/4/26|E586613|||23P1278997</t>
  </si>
  <si>
    <t>PD25120622|Heat#1|FP0520|RACK BAR BLANK (JGF02-002060-31-3) 58*D|JGF02-002060-31-3|RACK BAR BLANK|58.00|PCS|271.00|kgs|TSK2|FB010143/10/26|5B0230</t>
  </si>
  <si>
    <t>PD25120622|Heat#1|FP0520|RACK BAR BLANK (JGF02-002060-31-3) 58*D|JGF02-002060-31-3|RACK BAR BLANK|58.00|PCS|271.00|kgs|TSK2|FB010143/11/26|5B0230</t>
  </si>
  <si>
    <t>PD25120622|Heat#1|FP0520|RACK BAR BLANK (JGF02-002060-31-3) 58*D|JGF02-002060-31-3|RACK BAR BLANK|58.00|PCS|271.00|kgs|TSK2|FB010143/12/26|5B0230</t>
  </si>
  <si>
    <t>PD25120622|Heat#1|FP0520|RACK BAR BLANK (JGF02-002060-31-3) 58*D|JGF02-002060-31-3|RACK BAR BLANK|58.00|PCS|271.00|kgs|TSK2|FB010143/16/26|5B0230</t>
  </si>
  <si>
    <t>PD25120622|Heat#1|FP0520|RACK BAR BLANK (JGF02-002060-31-3) 58*D|JGF02-002060-31-3|RACK BAR BLANK|58.00|PCS|271.00|kgs|TSK2|FB010143/19/26|5B0230</t>
  </si>
  <si>
    <t>PD25120622|Heat#1|FP0520|RACK BAR BLANK (JGF02-002060-31-3) 58*D|JGF02-002060-31-3|RACK BAR BLANK|58.00|PCS|271.00|kgs|TSK2|FB010143/13/26|5B0230</t>
  </si>
  <si>
    <t>PD25120622|Heat#1|FP0520|RACK BAR BLANK (JGF02-002060-31-3) 58*D|JGF02-002060-31-3|RACK BAR BLANK|58.00|PCS|271.00|kgs|TSK2|FB010143/6/26|5B0230</t>
  </si>
  <si>
    <t>PD25120622|Heat#1|FP0520|RACK BAR BLANK (JGF02-002060-31-3) 58*D|JGF02-002060-31-3|RACK BAR BLANK|58.00|PCS|271.00|kgs|TSK2|FB010143/4/26|5B0230</t>
  </si>
  <si>
    <t>CHECKSTOCK</t>
  </si>
  <si>
    <t>PD26011345|SB0130|NSC_S45CS1-QDS_24.0_3170|JGC10-001180-S|RACK, MS|900.00|KGS|80.00|PCS|TSK-PRD3|SB010186/1/26|E586613|||23P1280457</t>
  </si>
  <si>
    <t>PD26011284|SB0130|NSC_S45CS1-QDS_24.0_3170|JGC10-003770-40-0|Rack, MS|900.00|KGS|80.00|PCS|TSK-PRD3|SB010168/3/26|E585970|||23P1278981</t>
  </si>
  <si>
    <t>PD26011284|SB0130|NSC_S45CS1-QDS_24.0_3170|JGC10-003770-40-0|Rack, MS|900.00|KGS|80.00|PCS|TSK-PRD3|SB010168/2/26|E585970|||23P1278975</t>
  </si>
  <si>
    <t>PD26011348|SB0338|NSC_S45CS1-V_26.0_3480_JAMY|JGC10-M09008-51-0|RACK BAR|874.00|KGS|60.00|PCS|TSK-PRD3|SB010179/1/26|E586966|||23P1280553</t>
  </si>
  <si>
    <t>PD26011348|SB0338|NSC_S45CS1-V_26.0_3480_JAMY|JGC10-M09008-51-0|RACK BAR|874.00|KGS|60.00|PCS|TSK-PRD3|SB010179/2/26|E586966|||23P1280554</t>
  </si>
  <si>
    <t>PD26010778|SB0412|NSC_S45CS1-QDS_Dia.27.95_2980|JGD10-001150-40-1|Rack, PS|866.00|KGS|60.00|PCS|TSK-PRD3|SB010099/2/26|E585970|||23P1265769</t>
  </si>
  <si>
    <t>PD26011374|SB0187|NSC_S48C_15.20_4000|TG028993-540B|SHAFT STARTER ARMATURE, 1W|209.00|KGS|36.00|PCS|TSK-PRD3|SB010082/6/26|E586473|||23P1280967</t>
  </si>
  <si>
    <t>PD26011284|SB0130|NSC_S45CS1-QDS_24.0_3170|JGC10-003770-40-0|Rack, MS|900.00|KGS|80.00|PCS|TSK-PRD3|SB010168/1/26|E585970|||23P1278974</t>
  </si>
  <si>
    <t>PD26011290|SB0139|NSC_S45CS1-QDS_32.25_5540|JGD10S00670-B|RACK, PS|886.00|KGS|25.00|PCS|TSK-PRD3|SB010178/1/26|E586447|||23P1279026</t>
  </si>
  <si>
    <t>PD26011349|SB0338|NSC_S45CS1-V_26.0_3480_JAMY|JGC10-M09008-51-0|RACK BAR|874.00|KGS|60.00|PCS|TSK-PRD3|SB010179/4/26|E586966|||23P1280557</t>
  </si>
  <si>
    <t>PD26011349|SB0338|NSC_S45CS1-V_26.0_3480_JAMY|JGC10-M09008-51-0|RACK BAR|874.00|KGS|60.00|PCS|TSK-PRD3|SB010179/5/26|E586966|||23P1280558</t>
  </si>
  <si>
    <t>PD26011349|SB0338|NSC_S45CS1-V_26.0_3480_JAMY|JGC10-M09008-51-0|RACK BAR|874.00|KGS|60.00|PCS|TSK-PRD3|SB010179/6/26|E586966|||23P1280559</t>
  </si>
  <si>
    <t>PD26011346|SB0130|NSC_S45CS1-QDS_24.0_3170|JGC10-001180-S|RACK, MS|1,103.00|KGS|98.00|PCS|TSK-PRD3|SB010186/3/26|E586613|||23P1280462</t>
  </si>
  <si>
    <t>PD26011346|SB0130|NSC_S45CS1-QDS_24.0_3170|JGC10-001180-S|RACK, MS|1,103.00|KGS|98.00|PCS|TSK-PRD3|SB010186/4/26|E586613|||23P1280463</t>
  </si>
  <si>
    <t>PD25121287|SB0179|NSC_DSCR420_20.70_5400|TG028383-0040|SHAFT, 2W|1,028.00|KGS|72.00|PCS|TSK-PRD3|SB120179/1/25|E483074|||23P1245405</t>
  </si>
  <si>
    <t>PD25121287|SB0179|NSC_DSCR420_20.70_5400|TG028383-0040|SHAFT, 2W|1,057.00|KGS|74.00|PCS|TSK-PRD3|SB120179/2/25|E483074|||23P1245406</t>
  </si>
  <si>
    <t>PD26010778|SB0412|NSC_S45CS1-QDS_Dia.27.95_2980|JGD10-001150-40-1|Rack, PS|852.00|KGS|59.00|PCS|TSK-PRD3|SB010099/1/26|E585970|||23P1265768</t>
  </si>
  <si>
    <t>PD26010780|SB0412|NSC_S45CS1-QDS_Dia.27.95_2980|JGD10-001150-40-1|Rack, PS|101.00|KGS|7.00|PCS|TSK-PRD3|SB010099/7/26|E585970|||23P1265776</t>
  </si>
  <si>
    <t>PD26010780|SB0412|NSC_S45CS1-QDS_Dia.27.95_2980|JGD10-001150-40-1|Rack, PS|765.00|KGS|53.00|PCS|TSK-PRD3|SB010099/6/26|E585970|||23P1265775</t>
  </si>
  <si>
    <t>PD26010780|SB0412|NSC_S45CS1-QDS_Dia.27.95_2980|JGD10-001150-40-1|Rack, PS|866.00|KGS|60.00|PCS|TSK-PRD3|SB010099/5/26|E585970|||23P1265774</t>
  </si>
  <si>
    <t>PD26011374|SB0187|NSC_S48C_15.20_4000|TG028993-540B|SHAFT STARTER ARMATURE, 1W|209.00|KGS|36.00|PCS|TSK-PRD3|SB010082/4/26|E586473|||23P1280963</t>
  </si>
  <si>
    <t>PD25120622|Heat#1|FP0520|RACK BAR BLANK (JGF02-002060-31-3) 58*D|JGF02-002060-31-3|RACK BAR BLANK|58.00|PCS|271.00|kgs|TSK2|FB010143/3/26|5B0230</t>
  </si>
  <si>
    <t>PD25120622|Heat#1|FP0520|RACK BAR BLANK (JGF02-002060-31-3) 58*D|JGF02-002060-31-3|RACK BAR BLANK|58.00|PCS|271.00|kgs|TSK2|FB010143/2/26|5B0230</t>
  </si>
  <si>
    <t>PD25120622|Heat#1|FP0520|RACK BAR BLANK (JGF02-002060-31-3) 58*D|JGF02-002060-31-3|RACK BAR BLANK|58.00|PCS|271.00|kgs|TSK2|FB010143/9/26|5B0230</t>
  </si>
  <si>
    <t>PD25120622|Heat#1|FP0520|RACK BAR BLANK (JGF02-002060-31-3) 58*D|JGF02-002060-31-3|RACK BAR BLANK|58.00|PCS|271.00|kgs|TSK2|FB010143/18/26|5B0230</t>
  </si>
  <si>
    <t>PD25120622|Heat#1|FP0520|RACK BAR BLANK (JGF02-002060-31-3) 58*D|JGF02-002060-31-3|RACK BAR BLANK|58.00|PCS|271.00|kgs|TSK2|FB010143/5/26|5B0230</t>
  </si>
  <si>
    <t>PD25120622|Heat#1|FP0520|RACK BAR BLANK (JGF02-002060-31-3) 58*D|JGF02-002060-31-3|RACK BAR BLANK|58.00|PCS|271.00|kgs|TSK2|FB010143/7/26|5B0230</t>
  </si>
  <si>
    <t>PD25120622|Heat#1|FP0520|RACK BAR BLANK (JGF02-002060-31-3) 58*D|JGF02-002060-31-3|RACK BAR BLANK|58.00|PCS|271.00|kgs|TSK2|FB010143/20/26|5B0230</t>
  </si>
  <si>
    <t>PD25120622|Heat#1|FP0520|RACK BAR BLANK (JGF02-002060-31-3) 58*D|JGF02-002060-31-3|RACK BAR BLANK|46.00|PCS|215.00|kgs|TSK2|FB010143/21/26|5B0230</t>
  </si>
  <si>
    <t>PD25120620|Heat#1|FP0520|RACK BAR BLANK (JGF02-002060-31-3) 58*D|JGF02-002060-31-3|RACK BAR BLANK|12.00|PCS|56.00|kgs|TSK2|FB010164/1/26|5B0230</t>
  </si>
  <si>
    <t>PD25120620|Heat#1|FP0520|RACK BAR BLANK (JGF02-002060-31-3) 58*D|JGF02-002060-31-3|RACK BAR BLANK|58.00|PCS|271.00|kgs|TSK2|FB010164/3/26|5B0230</t>
  </si>
  <si>
    <t>PD25120620|Heat#1|FP0520|RACK BAR BLANK (JGF02-002060-31-3) 58*D|JGF02-002060-31-3|RACK BAR BLANK|58.00|PCS|271.00|kgs|TSK2|FB010164/2/26|5B0230</t>
  </si>
  <si>
    <t>NG</t>
  </si>
  <si>
    <t>OK%</t>
  </si>
  <si>
    <t>NG%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</si>
</sst>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"/>
    <numFmt numFmtId="166" formatCode="h:mm;@"/>
    <numFmt numFmtId="167" formatCode="[$-409]d\-mmm\-yy;@"/>
    <numFmt numFmtId="168" formatCode="[h]:mm"/>
    <numFmt numFmtId="169" formatCode="[h]:mm:ss;@"/>
  </numFmts>
  <fonts count="30">
    <font>
      <sz val="14"/>
      <name val="Angsana New"/>
      <family val="1"/>
    </font>
    <font>
      <sz val="14"/>
      <name val="Angsana New"/>
      <family val="1"/>
    </font>
    <font>
      <b/>
      <sz val="20"/>
      <name val="Angsana New"/>
      <family val="1"/>
    </font>
    <font>
      <b/>
      <sz val="12"/>
      <name val="Angsana New"/>
      <family val="1"/>
    </font>
    <font>
      <sz val="12"/>
      <name val="Angsana New"/>
      <family val="1"/>
    </font>
    <font>
      <sz val="12"/>
      <name val="Comic Sans MS"/>
      <family val="4"/>
    </font>
    <font>
      <sz val="14"/>
      <name val="Comic Sans MS"/>
      <family val="4"/>
    </font>
    <font>
      <sz val="8"/>
      <name val="Comic Sans MS"/>
      <family val="4"/>
    </font>
    <font>
      <b/>
      <sz val="8"/>
      <color theme="3"/>
      <name val="Comic Sans MS"/>
      <family val="4"/>
    </font>
    <font>
      <b/>
      <sz val="8"/>
      <color indexed="30"/>
      <name val="Comic Sans MS"/>
      <family val="4"/>
    </font>
    <font>
      <b/>
      <sz val="16"/>
      <color rgb="FFFF0000"/>
      <name val="Comic Sans MS"/>
      <family val="4"/>
    </font>
    <font>
      <sz val="9"/>
      <name val="Comic Sans MS"/>
      <family val="4"/>
    </font>
    <font>
      <sz val="9"/>
      <color indexed="12"/>
      <name val="Comic Sans MS"/>
      <family val="4"/>
    </font>
    <font>
      <sz val="8"/>
      <color indexed="8"/>
      <name val="Comic Sans MS"/>
      <family val="4"/>
    </font>
    <font>
      <sz val="8"/>
      <color indexed="12"/>
      <name val="Comic Sans MS"/>
      <family val="4"/>
    </font>
    <font>
      <sz val="8"/>
      <color indexed="10"/>
      <name val="Comic Sans MS"/>
      <family val="4"/>
    </font>
    <font>
      <b/>
      <sz val="14"/>
      <color indexed="12"/>
      <name val="Comic Sans MS"/>
      <family val="4"/>
    </font>
    <font>
      <b/>
      <sz val="14"/>
      <name val="Comic Sans MS"/>
      <family val="4"/>
    </font>
    <font>
      <sz val="20"/>
      <name val="Angsana New"/>
      <family val="1"/>
    </font>
    <font>
      <sz val="10"/>
      <name val="Arial"/>
      <family val="2"/>
    </font>
    <font>
      <b/>
      <sz val="12"/>
      <color theme="0"/>
      <name val="Angsana New"/>
      <family val="1"/>
    </font>
    <font>
      <sz val="10"/>
      <color rgb="FF111111"/>
      <name val="Arial Unicode MS"/>
    </font>
    <font>
      <sz val="16"/>
      <name val="Angsana New"/>
      <family val="1"/>
    </font>
    <font>
      <sz val="9"/>
      <color indexed="10"/>
      <name val="Comic Sans MS"/>
      <family val="4"/>
    </font>
    <font>
      <sz val="8"/>
      <color indexed="14"/>
      <name val="Comic Sans MS"/>
      <family val="4"/>
    </font>
    <font>
      <sz val="14"/>
      <color indexed="10"/>
      <name val="Comic Sans MS"/>
      <family val="4"/>
    </font>
    <font>
      <b/>
      <sz val="8"/>
      <color indexed="10"/>
      <name val="Comic Sans MS"/>
      <family val="4"/>
    </font>
    <font>
      <sz val="14"/>
      <color rgb="FFFF0000"/>
      <name val="Comic Sans MS"/>
      <family val="4"/>
    </font>
    <font>
      <sz val="8"/>
      <color rgb="FFFF0000"/>
      <name val="Comic Sans MS"/>
      <family val="4"/>
    </font>
    <font>
      <b/>
      <sz val="8"/>
      <color rgb="FFFF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9" fillId="0" borderId="0"/>
    <xf numFmtId="164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 applyAlignment="1" applyProtection="1">
      <alignment wrapText="1"/>
      <protection locked="0"/>
    </xf>
    <xf numFmtId="0" fontId="2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 shrinkToFit="1"/>
    </xf>
    <xf numFmtId="0" fontId="6" fillId="2" borderId="5" xfId="0" applyFont="1" applyFill="1" applyBorder="1" applyAlignment="1">
      <alignment horizontal="left" vertical="center" wrapText="1" shrinkToFit="1"/>
    </xf>
    <xf numFmtId="49" fontId="6" fillId="2" borderId="5" xfId="0" applyNumberFormat="1" applyFont="1" applyFill="1" applyBorder="1" applyAlignment="1">
      <alignment horizontal="left" vertical="center" wrapText="1" shrinkToFit="1"/>
    </xf>
    <xf numFmtId="49" fontId="7" fillId="2" borderId="2" xfId="0" applyNumberFormat="1" applyFont="1" applyFill="1" applyBorder="1" applyAlignment="1">
      <alignment vertical="center" wrapText="1" shrinkToFit="1"/>
    </xf>
    <xf numFmtId="3" fontId="8" fillId="0" borderId="5" xfId="1" applyNumberFormat="1" applyFont="1" applyFill="1" applyBorder="1" applyAlignment="1" applyProtection="1">
      <alignment vertical="center" wrapText="1" shrinkToFit="1"/>
      <protection locked="0"/>
    </xf>
    <xf numFmtId="3" fontId="9" fillId="0" borderId="5" xfId="1" applyNumberFormat="1" applyFont="1" applyFill="1" applyBorder="1" applyAlignment="1" applyProtection="1">
      <alignment vertical="center" wrapText="1" shrinkToFit="1"/>
      <protection locked="0"/>
    </xf>
    <xf numFmtId="3" fontId="10" fillId="0" borderId="2" xfId="1" applyNumberFormat="1" applyFont="1" applyFill="1" applyBorder="1" applyAlignment="1" applyProtection="1">
      <alignment vertical="center" wrapText="1" shrinkToFit="1"/>
      <protection locked="0"/>
    </xf>
    <xf numFmtId="165" fontId="11" fillId="0" borderId="5" xfId="0" applyNumberFormat="1" applyFont="1" applyBorder="1" applyAlignment="1" applyProtection="1">
      <alignment vertical="center" textRotation="90" shrinkToFit="1"/>
      <protection locked="0"/>
    </xf>
    <xf numFmtId="3" fontId="12" fillId="2" borderId="5" xfId="1" applyNumberFormat="1" applyFont="1" applyFill="1" applyBorder="1" applyAlignment="1">
      <alignment vertical="center" textRotation="90" wrapText="1" shrinkToFit="1"/>
    </xf>
    <xf numFmtId="166" fontId="13" fillId="2" borderId="5" xfId="0" applyNumberFormat="1" applyFont="1" applyFill="1" applyBorder="1" applyAlignment="1">
      <alignment vertical="center" wrapText="1"/>
    </xf>
    <xf numFmtId="166" fontId="14" fillId="2" borderId="6" xfId="0" applyNumberFormat="1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 shrinkToFit="1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/>
    <xf numFmtId="166" fontId="7" fillId="0" borderId="16" xfId="0" applyNumberFormat="1" applyFont="1" applyBorder="1" applyAlignment="1" applyProtection="1">
      <alignment vertical="center" shrinkToFit="1"/>
      <protection locked="0"/>
    </xf>
    <xf numFmtId="166" fontId="7" fillId="0" borderId="10" xfId="0" applyNumberFormat="1" applyFont="1" applyBorder="1" applyAlignment="1" applyProtection="1">
      <alignment vertical="center" shrinkToFit="1"/>
      <protection locked="0"/>
    </xf>
    <xf numFmtId="166" fontId="7" fillId="0" borderId="17" xfId="0" applyNumberFormat="1" applyFont="1" applyBorder="1" applyAlignment="1" applyProtection="1">
      <alignment vertical="center" shrinkToFit="1"/>
      <protection locked="0"/>
    </xf>
    <xf numFmtId="14" fontId="7" fillId="0" borderId="18" xfId="0" applyNumberFormat="1" applyFont="1" applyBorder="1" applyAlignment="1" applyProtection="1">
      <alignment vertical="center" wrapText="1" shrinkToFit="1"/>
      <protection locked="0"/>
    </xf>
    <xf numFmtId="2" fontId="7" fillId="0" borderId="5" xfId="0" applyNumberFormat="1" applyFont="1" applyBorder="1" applyAlignment="1" applyProtection="1">
      <alignment vertical="center" wrapText="1" shrinkToFit="1"/>
      <protection locked="0"/>
    </xf>
    <xf numFmtId="0" fontId="7" fillId="0" borderId="5" xfId="0" applyFont="1" applyBorder="1" applyAlignment="1" applyProtection="1">
      <alignment vertical="center" wrapText="1" shrinkToFit="1"/>
      <protection locked="0"/>
    </xf>
    <xf numFmtId="0" fontId="5" fillId="2" borderId="18" xfId="0" applyFont="1" applyFill="1" applyBorder="1" applyAlignment="1">
      <alignment horizontal="left" vertical="center" wrapText="1" shrinkToFit="1"/>
    </xf>
    <xf numFmtId="49" fontId="7" fillId="2" borderId="18" xfId="0" applyNumberFormat="1" applyFont="1" applyFill="1" applyBorder="1" applyAlignment="1">
      <alignment vertical="center" wrapText="1" shrinkToFit="1"/>
    </xf>
    <xf numFmtId="49" fontId="7" fillId="4" borderId="18" xfId="0" applyNumberFormat="1" applyFont="1" applyFill="1" applyBorder="1" applyAlignment="1">
      <alignment vertical="center" wrapText="1" shrinkToFit="1"/>
    </xf>
    <xf numFmtId="3" fontId="10" fillId="0" borderId="18" xfId="1" applyNumberFormat="1" applyFont="1" applyFill="1" applyBorder="1" applyAlignment="1" applyProtection="1">
      <alignment vertical="center" wrapText="1" shrinkToFit="1"/>
      <protection locked="0"/>
    </xf>
    <xf numFmtId="0" fontId="16" fillId="0" borderId="19" xfId="0" applyFont="1" applyBorder="1" applyAlignment="1" applyProtection="1">
      <alignment horizontal="center" vertical="center" shrinkToFit="1"/>
      <protection locked="0"/>
    </xf>
    <xf numFmtId="0" fontId="14" fillId="0" borderId="7" xfId="0" applyFont="1" applyBorder="1" applyAlignment="1" applyProtection="1">
      <alignment horizontal="center" vertical="center" shrinkToFit="1"/>
      <protection locked="0"/>
    </xf>
    <xf numFmtId="0" fontId="16" fillId="0" borderId="9" xfId="0" applyFont="1" applyBorder="1" applyAlignment="1" applyProtection="1">
      <alignment horizontal="center" vertical="center" shrinkToFit="1"/>
      <protection locked="0"/>
    </xf>
    <xf numFmtId="0" fontId="14" fillId="0" borderId="20" xfId="0" applyFont="1" applyBorder="1" applyAlignment="1" applyProtection="1">
      <alignment horizontal="center" vertical="center" shrinkToFit="1"/>
      <protection locked="0"/>
    </xf>
    <xf numFmtId="0" fontId="14" fillId="2" borderId="21" xfId="0" applyFont="1" applyFill="1" applyBorder="1" applyAlignment="1" applyProtection="1">
      <alignment horizontal="center" vertical="center" shrinkToFit="1"/>
      <protection locked="0"/>
    </xf>
    <xf numFmtId="0" fontId="14" fillId="0" borderId="8" xfId="0" applyFont="1" applyBorder="1" applyAlignment="1" applyProtection="1">
      <alignment horizontal="center" vertical="center" shrinkToFit="1"/>
      <protection locked="0"/>
    </xf>
    <xf numFmtId="0" fontId="16" fillId="0" borderId="20" xfId="0" applyFont="1" applyBorder="1" applyAlignment="1" applyProtection="1">
      <alignment horizontal="center" vertical="center" shrinkToFit="1"/>
      <protection locked="0"/>
    </xf>
    <xf numFmtId="0" fontId="17" fillId="0" borderId="22" xfId="0" applyFont="1" applyBorder="1" applyAlignment="1" applyProtection="1">
      <alignment horizontal="center" vertical="center" shrinkToFit="1"/>
      <protection locked="0"/>
    </xf>
    <xf numFmtId="0" fontId="16" fillId="0" borderId="23" xfId="0" applyFont="1" applyBorder="1" applyAlignment="1" applyProtection="1">
      <alignment horizontal="center" vertical="center" shrinkToFit="1"/>
      <protection locked="0"/>
    </xf>
    <xf numFmtId="0" fontId="14" fillId="0" borderId="24" xfId="0" applyFont="1" applyBorder="1" applyAlignment="1" applyProtection="1">
      <alignment horizontal="center" vertical="center" shrinkToFi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18" fillId="2" borderId="5" xfId="0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 applyProtection="1">
      <alignment horizont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 shrinkToFit="1"/>
      <protection locked="0"/>
    </xf>
    <xf numFmtId="0" fontId="3" fillId="2" borderId="5" xfId="2" applyFont="1" applyFill="1" applyBorder="1" applyAlignment="1">
      <alignment horizontal="left" vertical="center"/>
    </xf>
    <xf numFmtId="0" fontId="20" fillId="2" borderId="5" xfId="2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right" vertical="center" indent="1"/>
    </xf>
    <xf numFmtId="0" fontId="22" fillId="2" borderId="25" xfId="0" applyFont="1" applyFill="1" applyBorder="1" applyAlignment="1">
      <alignment horizontal="center"/>
    </xf>
    <xf numFmtId="0" fontId="22" fillId="4" borderId="25" xfId="0" applyFont="1" applyFill="1" applyBorder="1" applyAlignment="1">
      <alignment horizontal="center"/>
    </xf>
    <xf numFmtId="3" fontId="9" fillId="0" borderId="5" xfId="1" applyNumberFormat="1" applyFont="1" applyFill="1" applyBorder="1" applyAlignment="1" applyProtection="1">
      <alignment horizontal="center" vertical="center"/>
      <protection locked="0"/>
    </xf>
    <xf numFmtId="3" fontId="23" fillId="0" borderId="5" xfId="1" applyNumberFormat="1" applyFont="1" applyFill="1" applyBorder="1" applyAlignment="1" applyProtection="1">
      <alignment horizontal="center" vertical="center" shrinkToFit="1"/>
      <protection locked="0"/>
    </xf>
    <xf numFmtId="3" fontId="12" fillId="2" borderId="5" xfId="1" applyNumberFormat="1" applyFont="1" applyFill="1" applyBorder="1" applyAlignment="1">
      <alignment horizontal="center" vertical="center" shrinkToFit="1"/>
    </xf>
    <xf numFmtId="166" fontId="13" fillId="2" borderId="5" xfId="3" applyNumberFormat="1" applyFont="1" applyFill="1" applyBorder="1" applyAlignment="1" applyProtection="1">
      <alignment horizontal="center" vertical="center" shrinkToFit="1"/>
    </xf>
    <xf numFmtId="0" fontId="14" fillId="2" borderId="6" xfId="1" applyNumberFormat="1" applyFont="1" applyFill="1" applyBorder="1" applyAlignment="1" applyProtection="1">
      <alignment horizontal="center" vertical="center" shrinkToFit="1"/>
    </xf>
    <xf numFmtId="166" fontId="24" fillId="0" borderId="26" xfId="1" applyNumberFormat="1" applyFont="1" applyFill="1" applyBorder="1" applyAlignment="1" applyProtection="1">
      <alignment horizontal="center" vertical="center" shrinkToFit="1"/>
      <protection locked="0"/>
    </xf>
    <xf numFmtId="166" fontId="24" fillId="0" borderId="10" xfId="1" applyNumberFormat="1" applyFont="1" applyFill="1" applyBorder="1" applyAlignment="1" applyProtection="1">
      <alignment horizontal="center" vertical="center" shrinkToFit="1"/>
      <protection locked="0"/>
    </xf>
    <xf numFmtId="166" fontId="24" fillId="2" borderId="6" xfId="1" applyNumberFormat="1" applyFont="1" applyFill="1" applyBorder="1" applyAlignment="1" applyProtection="1">
      <alignment horizontal="center" vertical="center" shrinkToFit="1"/>
      <protection locked="0"/>
    </xf>
    <xf numFmtId="166" fontId="7" fillId="0" borderId="0" xfId="0" applyNumberFormat="1" applyFont="1" applyProtection="1">
      <protection locked="0"/>
    </xf>
    <xf numFmtId="166" fontId="7" fillId="2" borderId="10" xfId="0" applyNumberFormat="1" applyFont="1" applyFill="1" applyBorder="1"/>
    <xf numFmtId="0" fontId="0" fillId="0" borderId="4" xfId="0" applyBorder="1" applyAlignment="1" applyProtection="1">
      <alignment horizontal="center"/>
      <protection locked="0"/>
    </xf>
    <xf numFmtId="0" fontId="21" fillId="2" borderId="5" xfId="0" applyFont="1" applyFill="1" applyBorder="1" applyAlignment="1">
      <alignment horizontal="right" vertical="center" indent="1"/>
    </xf>
    <xf numFmtId="0" fontId="22" fillId="0" borderId="25" xfId="0" applyFont="1" applyBorder="1" applyAlignment="1" applyProtection="1">
      <alignment horizontal="center"/>
      <protection locked="0"/>
    </xf>
    <xf numFmtId="14" fontId="0" fillId="0" borderId="5" xfId="0" applyNumberFormat="1" applyBorder="1" applyProtection="1"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66" fontId="7" fillId="0" borderId="27" xfId="0" applyNumberFormat="1" applyFont="1" applyBorder="1" applyProtection="1">
      <protection locked="0"/>
    </xf>
    <xf numFmtId="166" fontId="7" fillId="0" borderId="28" xfId="0" applyNumberFormat="1" applyFont="1" applyBorder="1" applyProtection="1">
      <protection locked="0"/>
    </xf>
    <xf numFmtId="0" fontId="11" fillId="0" borderId="0" xfId="0" applyFont="1" applyProtection="1">
      <protection locked="0"/>
    </xf>
    <xf numFmtId="0" fontId="1" fillId="0" borderId="5" xfId="0" applyFont="1" applyBorder="1" applyProtection="1">
      <protection locked="0"/>
    </xf>
    <xf numFmtId="166" fontId="7" fillId="0" borderId="29" xfId="0" applyNumberFormat="1" applyFont="1" applyBorder="1" applyProtection="1">
      <protection locked="0"/>
    </xf>
    <xf numFmtId="0" fontId="0" fillId="0" borderId="5" xfId="0" applyBorder="1" applyAlignment="1" applyProtection="1">
      <alignment shrinkToFit="1"/>
      <protection locked="0"/>
    </xf>
    <xf numFmtId="0" fontId="0" fillId="0" borderId="0" xfId="0" applyAlignment="1">
      <alignment shrinkToFit="1"/>
    </xf>
    <xf numFmtId="0" fontId="22" fillId="0" borderId="5" xfId="0" applyFont="1" applyBorder="1" applyAlignment="1" applyProtection="1">
      <alignment shrinkToFit="1"/>
      <protection locked="0"/>
    </xf>
    <xf numFmtId="0" fontId="22" fillId="4" borderId="2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9" fillId="0" borderId="0" xfId="0" applyFont="1" applyProtection="1">
      <protection locked="0"/>
    </xf>
    <xf numFmtId="14" fontId="1" fillId="0" borderId="5" xfId="0" applyNumberFormat="1" applyFont="1" applyBorder="1" applyProtection="1">
      <protection locked="0"/>
    </xf>
    <xf numFmtId="3" fontId="22" fillId="0" borderId="25" xfId="0" applyNumberFormat="1" applyFont="1" applyBorder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3" fontId="9" fillId="0" borderId="0" xfId="1" applyNumberFormat="1" applyFont="1" applyFill="1" applyBorder="1" applyAlignment="1" applyProtection="1">
      <alignment horizontal="center" vertical="center"/>
      <protection locked="0"/>
    </xf>
    <xf numFmtId="3" fontId="12" fillId="2" borderId="0" xfId="1" applyNumberFormat="1" applyFont="1" applyFill="1" applyBorder="1" applyAlignment="1">
      <alignment horizontal="center" vertical="center" shrinkToFit="1"/>
    </xf>
    <xf numFmtId="0" fontId="14" fillId="2" borderId="0" xfId="1" applyNumberFormat="1" applyFont="1" applyFill="1" applyBorder="1" applyAlignment="1" applyProtection="1">
      <alignment horizontal="center" vertical="center" shrinkToFit="1"/>
    </xf>
    <xf numFmtId="166" fontId="24" fillId="0" borderId="27" xfId="1" applyNumberFormat="1" applyFont="1" applyFill="1" applyBorder="1" applyAlignment="1" applyProtection="1">
      <alignment horizontal="center" vertical="center" shrinkToFit="1"/>
      <protection locked="0"/>
    </xf>
    <xf numFmtId="166" fontId="24" fillId="0" borderId="0" xfId="1" applyNumberFormat="1" applyFont="1" applyFill="1" applyBorder="1" applyAlignment="1" applyProtection="1">
      <alignment horizontal="center" vertical="center" shrinkToFit="1"/>
      <protection locked="0"/>
    </xf>
    <xf numFmtId="166" fontId="24" fillId="2" borderId="0" xfId="1" applyNumberFormat="1" applyFont="1" applyFill="1" applyBorder="1" applyAlignment="1" applyProtection="1">
      <alignment horizontal="center" vertical="center" shrinkToFit="1"/>
      <protection locked="0"/>
    </xf>
    <xf numFmtId="3" fontId="23" fillId="0" borderId="0" xfId="1" applyNumberFormat="1" applyFont="1" applyFill="1" applyBorder="1" applyAlignment="1" applyProtection="1">
      <alignment horizontal="center" vertical="center" shrinkToFit="1"/>
      <protection locked="0"/>
    </xf>
    <xf numFmtId="3" fontId="23" fillId="0" borderId="0" xfId="1" quotePrefix="1" applyNumberFormat="1" applyFont="1" applyFill="1" applyBorder="1" applyAlignment="1" applyProtection="1">
      <alignment horizontal="center" vertical="center" shrinkToFit="1"/>
      <protection locked="0"/>
    </xf>
    <xf numFmtId="167" fontId="7" fillId="0" borderId="30" xfId="0" applyNumberFormat="1" applyFont="1" applyBorder="1" applyAlignment="1" applyProtection="1">
      <alignment horizontal="center"/>
      <protection locked="0"/>
    </xf>
    <xf numFmtId="167" fontId="7" fillId="0" borderId="25" xfId="0" applyNumberFormat="1" applyFont="1" applyBorder="1" applyAlignment="1" applyProtection="1">
      <alignment horizontal="center"/>
      <protection locked="0"/>
    </xf>
    <xf numFmtId="166" fontId="24" fillId="0" borderId="1" xfId="1" applyNumberFormat="1" applyFont="1" applyFill="1" applyBorder="1" applyAlignment="1" applyProtection="1">
      <alignment horizontal="center" vertical="center" shrinkToFit="1"/>
      <protection locked="0"/>
    </xf>
    <xf numFmtId="166" fontId="7" fillId="2" borderId="0" xfId="0" applyNumberFormat="1" applyFont="1" applyFill="1"/>
    <xf numFmtId="167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 shrinkToFit="1"/>
      <protection locked="0"/>
    </xf>
    <xf numFmtId="0" fontId="6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left" vertical="center"/>
    </xf>
    <xf numFmtId="49" fontId="15" fillId="2" borderId="0" xfId="0" applyNumberFormat="1" applyFont="1" applyFill="1" applyAlignment="1">
      <alignment horizontal="center" vertical="center"/>
    </xf>
    <xf numFmtId="49" fontId="15" fillId="0" borderId="0" xfId="0" applyNumberFormat="1" applyFont="1" applyAlignment="1" applyProtection="1">
      <alignment horizontal="center" vertical="center"/>
      <protection locked="0"/>
    </xf>
    <xf numFmtId="3" fontId="26" fillId="0" borderId="0" xfId="1" applyNumberFormat="1" applyFont="1" applyFill="1" applyBorder="1" applyAlignment="1" applyProtection="1">
      <alignment horizontal="center" vertical="center"/>
      <protection locked="0"/>
    </xf>
    <xf numFmtId="168" fontId="14" fillId="2" borderId="0" xfId="1" applyNumberFormat="1" applyFont="1" applyFill="1" applyBorder="1" applyAlignment="1">
      <alignment horizontal="center" vertical="center" shrinkToFit="1"/>
    </xf>
    <xf numFmtId="166" fontId="7" fillId="0" borderId="27" xfId="1" applyNumberFormat="1" applyFont="1" applyFill="1" applyBorder="1" applyAlignment="1" applyProtection="1">
      <alignment vertical="center" shrinkToFit="1"/>
      <protection locked="0"/>
    </xf>
    <xf numFmtId="166" fontId="7" fillId="0" borderId="0" xfId="1" applyNumberFormat="1" applyFont="1" applyFill="1" applyBorder="1" applyAlignment="1" applyProtection="1">
      <alignment vertical="center" shrinkToFit="1"/>
      <protection locked="0"/>
    </xf>
    <xf numFmtId="166" fontId="7" fillId="0" borderId="28" xfId="1" applyNumberFormat="1" applyFont="1" applyFill="1" applyBorder="1" applyAlignment="1" applyProtection="1">
      <alignment vertical="center" shrinkToFit="1"/>
      <protection locked="0"/>
    </xf>
    <xf numFmtId="166" fontId="7" fillId="2" borderId="0" xfId="1" applyNumberFormat="1" applyFont="1" applyFill="1" applyBorder="1" applyAlignment="1" applyProtection="1">
      <alignment vertical="center" shrinkToFit="1"/>
      <protection locked="0"/>
    </xf>
    <xf numFmtId="166" fontId="7" fillId="0" borderId="29" xfId="1" applyNumberFormat="1" applyFont="1" applyFill="1" applyBorder="1" applyAlignment="1" applyProtection="1">
      <alignment vertical="center" shrinkToFit="1"/>
      <protection locked="0"/>
    </xf>
    <xf numFmtId="166" fontId="7" fillId="0" borderId="3" xfId="0" applyNumberFormat="1" applyFont="1" applyBorder="1" applyProtection="1">
      <protection locked="0"/>
    </xf>
    <xf numFmtId="169" fontId="7" fillId="0" borderId="31" xfId="0" applyNumberFormat="1" applyFont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center"/>
    </xf>
    <xf numFmtId="49" fontId="7" fillId="0" borderId="0" xfId="0" applyNumberFormat="1" applyFont="1" applyAlignment="1" applyProtection="1">
      <alignment horizontal="center"/>
      <protection locked="0"/>
    </xf>
    <xf numFmtId="4" fontId="9" fillId="0" borderId="0" xfId="0" applyNumberFormat="1" applyFont="1" applyAlignment="1" applyProtection="1">
      <alignment horizontal="center"/>
      <protection locked="0"/>
    </xf>
    <xf numFmtId="0" fontId="12" fillId="2" borderId="0" xfId="0" applyFont="1" applyFill="1"/>
    <xf numFmtId="0" fontId="13" fillId="2" borderId="0" xfId="0" applyFont="1" applyFill="1"/>
    <xf numFmtId="0" fontId="7" fillId="2" borderId="0" xfId="0" applyFont="1" applyFill="1"/>
    <xf numFmtId="0" fontId="7" fillId="0" borderId="31" xfId="0" applyFont="1" applyBorder="1" applyProtection="1">
      <protection locked="0"/>
    </xf>
    <xf numFmtId="49" fontId="27" fillId="2" borderId="0" xfId="0" applyNumberFormat="1" applyFont="1" applyFill="1" applyAlignment="1">
      <alignment horizontal="left"/>
    </xf>
    <xf numFmtId="49" fontId="28" fillId="2" borderId="0" xfId="0" applyNumberFormat="1" applyFont="1" applyFill="1" applyAlignment="1">
      <alignment horizontal="center"/>
    </xf>
    <xf numFmtId="49" fontId="28" fillId="0" borderId="0" xfId="0" applyNumberFormat="1" applyFont="1" applyAlignment="1" applyProtection="1">
      <alignment horizontal="center"/>
      <protection locked="0"/>
    </xf>
    <xf numFmtId="4" fontId="29" fillId="0" borderId="0" xfId="0" applyNumberFormat="1" applyFont="1" applyAlignment="1" applyProtection="1">
      <alignment horizontal="center"/>
      <protection locked="0"/>
    </xf>
    <xf numFmtId="166" fontId="7" fillId="2" borderId="0" xfId="0" applyNumberFormat="1" applyFont="1" applyFill="1" applyProtection="1">
      <protection locked="0"/>
    </xf>
    <xf numFmtId="49" fontId="7" fillId="2" borderId="0" xfId="0" applyNumberFormat="1" applyFont="1" applyFill="1" applyAlignment="1">
      <alignment horizontal="center" shrinkToFit="1"/>
    </xf>
    <xf numFmtId="0" fontId="5" fillId="2" borderId="0" xfId="0" applyFont="1" applyFill="1" applyAlignment="1">
      <alignment horizontal="left" shrinkToFit="1"/>
    </xf>
    <xf numFmtId="0" fontId="5" fillId="2" borderId="0" xfId="0" applyFont="1" applyFill="1" applyAlignment="1">
      <alignment horizontal="left" vertical="center"/>
    </xf>
    <xf numFmtId="0" fontId="1" fillId="0" borderId="0" xfId="0" applyFont="1" applyProtection="1">
      <protection locked="0"/>
    </xf>
    <xf numFmtId="0" fontId="1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7" fillId="0" borderId="32" xfId="0" applyFont="1" applyBorder="1" applyProtection="1">
      <protection locked="0"/>
    </xf>
    <xf numFmtId="14" fontId="6" fillId="0" borderId="11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12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13" xfId="0" applyNumberFormat="1" applyFont="1" applyBorder="1" applyAlignment="1" applyProtection="1">
      <alignment horizontal="center" vertical="center" wrapText="1" shrinkToFit="1"/>
      <protection locked="0"/>
    </xf>
    <xf numFmtId="166" fontId="7" fillId="3" borderId="14" xfId="0" applyNumberFormat="1" applyFont="1" applyFill="1" applyBorder="1" applyAlignment="1" applyProtection="1">
      <alignment horizontal="center" vertical="center" shrinkToFit="1"/>
      <protection locked="0"/>
    </xf>
    <xf numFmtId="166" fontId="7" fillId="3" borderId="10" xfId="0" applyNumberFormat="1" applyFont="1" applyFill="1" applyBorder="1" applyAlignment="1" applyProtection="1">
      <alignment horizontal="center" vertical="center" shrinkToFit="1"/>
      <protection locked="0"/>
    </xf>
    <xf numFmtId="166" fontId="7" fillId="3" borderId="15" xfId="0" applyNumberFormat="1" applyFont="1" applyFill="1" applyBorder="1" applyAlignment="1" applyProtection="1">
      <alignment horizontal="center" vertical="center" shrinkToFit="1"/>
      <protection locked="0"/>
    </xf>
    <xf numFmtId="166" fontId="7" fillId="0" borderId="0" xfId="0" applyNumberFormat="1" applyFont="1" applyAlignment="1" applyProtection="1">
      <alignment horizontal="center"/>
      <protection locked="0"/>
    </xf>
  </cellXfs>
  <cellStyles count="4">
    <cellStyle name="Comma" xfId="1" builtinId="3"/>
    <cellStyle name="Comma 2" xfId="3" xr:uid="{BB6836BA-E3E3-41F9-9E2D-43867184AE20}"/>
    <cellStyle name="Normal" xfId="0" builtinId="0"/>
    <cellStyle name="Normal 3" xfId="2" xr:uid="{CA366B45-38FD-4CFF-83EF-B37543D5104E}"/>
  </cellStyles>
  <dxfs count="27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theme="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Users\User\Downloads\Sales%20Seasonality%20by%20Month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F\2551\inspec-forging-bar-2008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6.211\Data\Production4\RESULTCUTTING1\INPUTDATA\FORM%20RESULT1.xlsx" TargetMode="External"/><Relationship Id="rId1" Type="http://schemas.openxmlformats.org/officeDocument/2006/relationships/externalLinkPath" Target="file:///Z:\Production4\RESULTCUTTING1\INPUTDATA\FORM%20RESULT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duction4\RESULTCUTTING2\INPUTDATA\FORM%20RESULT2.xlsx" TargetMode="External"/><Relationship Id="rId1" Type="http://schemas.openxmlformats.org/officeDocument/2006/relationships/externalLinkPath" Target="file:///Z:\Production4\RESULTCUTTING2\INPUTDATA\FORM%20RESULT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Users\User\Downloads\Service%20Invoice9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d-134\Sommai\ProductionControl\PC-2010\T.S.K.PLAN%202\PLAN%20PLANTH%202\Factory%20Engineer\Check%20capacity\&#3586;&#3629;&#3591;&#3610;&#3629;&#3618;\Production%20Capacity%20Cut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1\d\NANTIPAT\Raw%20mat\2007\Rm-07-Oct\stock-wire-coil-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Z-PC\Raw%20mat\Rm-09-Aug\stock-tsk-coil-Aug-09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duction4\RESULTCUTTING2\INPUTDATA\Customer.xlsx" TargetMode="External"/><Relationship Id="rId1" Type="http://schemas.openxmlformats.org/officeDocument/2006/relationships/externalLinkPath" Target="file:///Z:\Production4\RESULTCUTTING2\INPUTDATA\Custo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inputinspec"/>
      <sheetName val="datainspec"/>
      <sheetName val="inputsale"/>
      <sheetName val="datasale"/>
      <sheetName val="Sheet1"/>
      <sheetName val="forminspec"/>
      <sheetName val="form1"/>
      <sheetName val="form2"/>
      <sheetName val="DATA REPORT 2023"/>
      <sheetName val="SUMMARY REPORT (NEW)"/>
      <sheetName val="Sum Del 2023"/>
      <sheetName val="Box Rack bar"/>
    </sheetNames>
    <sheetDataSet>
      <sheetData sheetId="0" refreshError="1">
        <row r="4">
          <cell r="A4" t="str">
            <v>Count of ORDR NO.</v>
          </cell>
        </row>
        <row r="5">
          <cell r="A5" t="str">
            <v>ORDR NO.</v>
          </cell>
        </row>
        <row r="6">
          <cell r="A6">
            <v>3120326</v>
          </cell>
          <cell r="K6" t="str">
            <v>- -  18 -</v>
          </cell>
          <cell r="R6" t="str">
            <v>B06-10405 6070814 132 999</v>
          </cell>
          <cell r="W6" t="str">
            <v>B06-24500 6121513-H 53 904</v>
          </cell>
        </row>
        <row r="7">
          <cell r="A7">
            <v>3121724</v>
          </cell>
        </row>
        <row r="8">
          <cell r="A8">
            <v>4020734</v>
          </cell>
        </row>
        <row r="9">
          <cell r="A9">
            <v>4030439</v>
          </cell>
        </row>
        <row r="10">
          <cell r="A10">
            <v>4050524</v>
          </cell>
        </row>
        <row r="11">
          <cell r="A11">
            <v>4101615</v>
          </cell>
        </row>
        <row r="12">
          <cell r="A12">
            <v>4101617</v>
          </cell>
        </row>
        <row r="13">
          <cell r="A13">
            <v>4101618</v>
          </cell>
        </row>
        <row r="14">
          <cell r="A14">
            <v>4101619</v>
          </cell>
        </row>
        <row r="15">
          <cell r="A15">
            <v>5031026</v>
          </cell>
        </row>
        <row r="16">
          <cell r="A16">
            <v>5050735</v>
          </cell>
        </row>
        <row r="17">
          <cell r="A17">
            <v>5112005</v>
          </cell>
        </row>
        <row r="18">
          <cell r="A18">
            <v>5112330</v>
          </cell>
        </row>
        <row r="19">
          <cell r="A19">
            <v>6020121</v>
          </cell>
        </row>
        <row r="20">
          <cell r="A20">
            <v>6020721</v>
          </cell>
        </row>
        <row r="21">
          <cell r="A21">
            <v>6021216</v>
          </cell>
        </row>
        <row r="22">
          <cell r="A22">
            <v>6030819</v>
          </cell>
        </row>
        <row r="23">
          <cell r="A23">
            <v>6031729</v>
          </cell>
        </row>
        <row r="24">
          <cell r="A24">
            <v>6040819</v>
          </cell>
        </row>
        <row r="25">
          <cell r="A25">
            <v>6050930</v>
          </cell>
        </row>
        <row r="26">
          <cell r="A26">
            <v>6052036</v>
          </cell>
        </row>
        <row r="27">
          <cell r="A27">
            <v>6060730</v>
          </cell>
        </row>
        <row r="28">
          <cell r="A28">
            <v>6061223</v>
          </cell>
        </row>
        <row r="29">
          <cell r="A29">
            <v>6061921</v>
          </cell>
        </row>
        <row r="30">
          <cell r="A30">
            <v>6062347</v>
          </cell>
        </row>
        <row r="31">
          <cell r="A31">
            <v>6062817</v>
          </cell>
        </row>
        <row r="32">
          <cell r="A32">
            <v>6071928</v>
          </cell>
        </row>
        <row r="33">
          <cell r="A33">
            <v>6080331</v>
          </cell>
        </row>
        <row r="34">
          <cell r="A34">
            <v>6080810</v>
          </cell>
        </row>
        <row r="35">
          <cell r="A35">
            <v>6081209</v>
          </cell>
        </row>
        <row r="36">
          <cell r="A36">
            <v>6090506</v>
          </cell>
        </row>
        <row r="37">
          <cell r="A37">
            <v>6092113</v>
          </cell>
        </row>
        <row r="38">
          <cell r="A38">
            <v>6092219</v>
          </cell>
        </row>
        <row r="39">
          <cell r="A39">
            <v>6100326</v>
          </cell>
        </row>
        <row r="40">
          <cell r="A40">
            <v>6100621</v>
          </cell>
        </row>
        <row r="41">
          <cell r="A41">
            <v>6101518</v>
          </cell>
        </row>
        <row r="42">
          <cell r="A42">
            <v>6101519</v>
          </cell>
        </row>
        <row r="43">
          <cell r="A43">
            <v>6111619</v>
          </cell>
        </row>
        <row r="44">
          <cell r="A44">
            <v>6120918</v>
          </cell>
        </row>
        <row r="45">
          <cell r="A45">
            <v>6120919</v>
          </cell>
        </row>
        <row r="46">
          <cell r="A46">
            <v>6120920</v>
          </cell>
        </row>
        <row r="47">
          <cell r="A47">
            <v>6121201</v>
          </cell>
        </row>
        <row r="48">
          <cell r="A48">
            <v>6121429</v>
          </cell>
        </row>
        <row r="49">
          <cell r="A49">
            <v>7010617</v>
          </cell>
        </row>
        <row r="50">
          <cell r="A50">
            <v>7011033</v>
          </cell>
        </row>
        <row r="51">
          <cell r="A51">
            <v>7011413</v>
          </cell>
        </row>
        <row r="52">
          <cell r="A52">
            <v>7011414</v>
          </cell>
        </row>
        <row r="53">
          <cell r="A53">
            <v>7012809</v>
          </cell>
        </row>
        <row r="54">
          <cell r="A54">
            <v>7020107</v>
          </cell>
        </row>
        <row r="55">
          <cell r="A55">
            <v>7020919</v>
          </cell>
        </row>
        <row r="56">
          <cell r="A56">
            <v>7021218</v>
          </cell>
        </row>
        <row r="57">
          <cell r="A57">
            <v>7021420</v>
          </cell>
        </row>
        <row r="58">
          <cell r="A58">
            <v>7032021</v>
          </cell>
        </row>
        <row r="59">
          <cell r="A59">
            <v>7032418</v>
          </cell>
        </row>
        <row r="60">
          <cell r="A60">
            <v>7041935</v>
          </cell>
        </row>
        <row r="61">
          <cell r="A61">
            <v>7042552</v>
          </cell>
        </row>
        <row r="62">
          <cell r="A62">
            <v>7042715</v>
          </cell>
        </row>
        <row r="63">
          <cell r="A63">
            <v>7050339</v>
          </cell>
        </row>
        <row r="64">
          <cell r="A64">
            <v>7050840</v>
          </cell>
        </row>
        <row r="65">
          <cell r="A65">
            <v>7050921</v>
          </cell>
        </row>
        <row r="66">
          <cell r="A66">
            <v>7051452</v>
          </cell>
        </row>
        <row r="67">
          <cell r="A67">
            <v>7051916</v>
          </cell>
        </row>
        <row r="68">
          <cell r="A68">
            <v>7052126</v>
          </cell>
        </row>
        <row r="69">
          <cell r="A69">
            <v>7052935</v>
          </cell>
        </row>
        <row r="70">
          <cell r="A70">
            <v>7060403</v>
          </cell>
        </row>
        <row r="71">
          <cell r="A71">
            <v>7060404</v>
          </cell>
        </row>
        <row r="72">
          <cell r="A72">
            <v>7060502</v>
          </cell>
        </row>
        <row r="73">
          <cell r="A73">
            <v>7060609</v>
          </cell>
        </row>
        <row r="74">
          <cell r="A74">
            <v>7060611</v>
          </cell>
        </row>
        <row r="75">
          <cell r="A75">
            <v>7060612</v>
          </cell>
        </row>
        <row r="76">
          <cell r="A76">
            <v>7061015</v>
          </cell>
        </row>
        <row r="77">
          <cell r="A77">
            <v>7061125</v>
          </cell>
        </row>
        <row r="78">
          <cell r="A78">
            <v>7061218</v>
          </cell>
        </row>
        <row r="79">
          <cell r="A79">
            <v>7061631</v>
          </cell>
        </row>
        <row r="80">
          <cell r="A80">
            <v>7062732</v>
          </cell>
        </row>
        <row r="81">
          <cell r="A81">
            <v>7062816</v>
          </cell>
        </row>
        <row r="82">
          <cell r="A82">
            <v>7071414</v>
          </cell>
        </row>
        <row r="83">
          <cell r="A83">
            <v>7071816</v>
          </cell>
        </row>
        <row r="84">
          <cell r="A84">
            <v>7071848</v>
          </cell>
        </row>
        <row r="85">
          <cell r="A85">
            <v>7072830</v>
          </cell>
        </row>
        <row r="86">
          <cell r="A86">
            <v>7073109</v>
          </cell>
        </row>
        <row r="87">
          <cell r="A87">
            <v>7080408</v>
          </cell>
        </row>
        <row r="88">
          <cell r="A88">
            <v>7080431</v>
          </cell>
        </row>
        <row r="89">
          <cell r="A89">
            <v>7080712</v>
          </cell>
        </row>
        <row r="90">
          <cell r="A90">
            <v>7081506</v>
          </cell>
        </row>
        <row r="91">
          <cell r="A91">
            <v>7081547</v>
          </cell>
        </row>
        <row r="92">
          <cell r="A92">
            <v>7081640</v>
          </cell>
        </row>
        <row r="93">
          <cell r="A93">
            <v>7082408</v>
          </cell>
        </row>
        <row r="94">
          <cell r="A94">
            <v>7083013</v>
          </cell>
        </row>
        <row r="95">
          <cell r="A95">
            <v>7083107</v>
          </cell>
        </row>
        <row r="96">
          <cell r="A96">
            <v>7083119</v>
          </cell>
        </row>
        <row r="97">
          <cell r="A97">
            <v>7090126</v>
          </cell>
        </row>
        <row r="98">
          <cell r="A98">
            <v>7090408</v>
          </cell>
        </row>
        <row r="99">
          <cell r="A99">
            <v>7090416</v>
          </cell>
        </row>
        <row r="100">
          <cell r="A100">
            <v>7090427</v>
          </cell>
        </row>
        <row r="101">
          <cell r="A101">
            <v>7090739</v>
          </cell>
        </row>
        <row r="102">
          <cell r="A102">
            <v>7090807</v>
          </cell>
        </row>
        <row r="103">
          <cell r="A103">
            <v>7091119</v>
          </cell>
        </row>
        <row r="104">
          <cell r="A104">
            <v>7091334</v>
          </cell>
        </row>
        <row r="105">
          <cell r="A105">
            <v>7091423</v>
          </cell>
        </row>
        <row r="106">
          <cell r="A106">
            <v>7091508</v>
          </cell>
        </row>
        <row r="107">
          <cell r="A107">
            <v>7091716</v>
          </cell>
        </row>
        <row r="108">
          <cell r="A108">
            <v>7091816</v>
          </cell>
        </row>
        <row r="109">
          <cell r="A109">
            <v>7091914</v>
          </cell>
        </row>
        <row r="110">
          <cell r="A110">
            <v>7091916</v>
          </cell>
        </row>
        <row r="111">
          <cell r="A111">
            <v>7092101</v>
          </cell>
        </row>
        <row r="112">
          <cell r="A112">
            <v>7092115</v>
          </cell>
        </row>
        <row r="113">
          <cell r="A113">
            <v>7092511</v>
          </cell>
        </row>
        <row r="114">
          <cell r="A114">
            <v>7092525</v>
          </cell>
        </row>
        <row r="115">
          <cell r="A115">
            <v>7092619</v>
          </cell>
        </row>
        <row r="116">
          <cell r="A116">
            <v>7092635</v>
          </cell>
        </row>
        <row r="117">
          <cell r="A117">
            <v>7092733</v>
          </cell>
        </row>
        <row r="118">
          <cell r="A118">
            <v>7092843</v>
          </cell>
        </row>
        <row r="119">
          <cell r="A119">
            <v>7092911</v>
          </cell>
        </row>
        <row r="120">
          <cell r="A120">
            <v>7100115</v>
          </cell>
        </row>
        <row r="121">
          <cell r="A121">
            <v>7100326</v>
          </cell>
        </row>
        <row r="122">
          <cell r="A122">
            <v>7100515</v>
          </cell>
        </row>
        <row r="123">
          <cell r="A123">
            <v>7100804</v>
          </cell>
        </row>
        <row r="124">
          <cell r="A124">
            <v>7101055</v>
          </cell>
        </row>
        <row r="125">
          <cell r="A125">
            <v>7101210</v>
          </cell>
        </row>
        <row r="126">
          <cell r="A126">
            <v>7101219</v>
          </cell>
        </row>
        <row r="127">
          <cell r="A127">
            <v>7101308</v>
          </cell>
        </row>
        <row r="128">
          <cell r="A128">
            <v>7101410</v>
          </cell>
        </row>
        <row r="129">
          <cell r="A129">
            <v>7101501</v>
          </cell>
        </row>
        <row r="130">
          <cell r="A130">
            <v>7101503</v>
          </cell>
        </row>
        <row r="131">
          <cell r="A131">
            <v>7101504</v>
          </cell>
        </row>
        <row r="132">
          <cell r="A132">
            <v>7101505</v>
          </cell>
        </row>
        <row r="133">
          <cell r="A133">
            <v>7101638</v>
          </cell>
        </row>
        <row r="134">
          <cell r="A134">
            <v>7101818</v>
          </cell>
        </row>
        <row r="135">
          <cell r="A135">
            <v>7101905</v>
          </cell>
        </row>
        <row r="136">
          <cell r="A136">
            <v>7101951</v>
          </cell>
        </row>
        <row r="137">
          <cell r="A137">
            <v>7102030</v>
          </cell>
        </row>
        <row r="138">
          <cell r="A138">
            <v>7102210</v>
          </cell>
        </row>
        <row r="139">
          <cell r="A139">
            <v>7102221</v>
          </cell>
        </row>
        <row r="140">
          <cell r="A140">
            <v>7102222</v>
          </cell>
        </row>
        <row r="141">
          <cell r="A141">
            <v>7102224</v>
          </cell>
        </row>
        <row r="142">
          <cell r="A142">
            <v>7102304</v>
          </cell>
        </row>
        <row r="143">
          <cell r="A143">
            <v>7102305</v>
          </cell>
        </row>
        <row r="144">
          <cell r="A144">
            <v>7102313</v>
          </cell>
        </row>
        <row r="145">
          <cell r="A145">
            <v>7102317</v>
          </cell>
        </row>
        <row r="146">
          <cell r="A146">
            <v>7102331</v>
          </cell>
        </row>
        <row r="147">
          <cell r="A147">
            <v>7102332</v>
          </cell>
        </row>
        <row r="148">
          <cell r="A148">
            <v>7102334</v>
          </cell>
        </row>
        <row r="149">
          <cell r="A149">
            <v>7102415</v>
          </cell>
        </row>
        <row r="150">
          <cell r="A150">
            <v>7102418</v>
          </cell>
        </row>
        <row r="151">
          <cell r="A151">
            <v>7102432</v>
          </cell>
        </row>
        <row r="152">
          <cell r="A152">
            <v>7102436</v>
          </cell>
        </row>
        <row r="153">
          <cell r="A153">
            <v>7102445</v>
          </cell>
        </row>
        <row r="154">
          <cell r="A154">
            <v>7102447</v>
          </cell>
        </row>
        <row r="155">
          <cell r="A155">
            <v>7102450</v>
          </cell>
        </row>
        <row r="156">
          <cell r="A156">
            <v>7102504</v>
          </cell>
        </row>
        <row r="157">
          <cell r="A157">
            <v>7102617</v>
          </cell>
        </row>
        <row r="158">
          <cell r="A158">
            <v>7102622</v>
          </cell>
        </row>
        <row r="159">
          <cell r="A159">
            <v>7102706</v>
          </cell>
        </row>
        <row r="160">
          <cell r="A160">
            <v>7102816</v>
          </cell>
        </row>
        <row r="161">
          <cell r="A161">
            <v>7102820</v>
          </cell>
        </row>
        <row r="162">
          <cell r="A162">
            <v>7102906</v>
          </cell>
        </row>
        <row r="163">
          <cell r="A163">
            <v>7102912</v>
          </cell>
        </row>
        <row r="164">
          <cell r="A164">
            <v>7103036</v>
          </cell>
        </row>
        <row r="165">
          <cell r="A165">
            <v>7103103</v>
          </cell>
        </row>
        <row r="166">
          <cell r="A166">
            <v>7103105</v>
          </cell>
        </row>
        <row r="167">
          <cell r="A167">
            <v>7110104</v>
          </cell>
        </row>
        <row r="168">
          <cell r="A168">
            <v>7110106</v>
          </cell>
        </row>
        <row r="169">
          <cell r="A169">
            <v>7110112</v>
          </cell>
        </row>
        <row r="170">
          <cell r="A170">
            <v>7110113</v>
          </cell>
        </row>
        <row r="171">
          <cell r="A171">
            <v>7110119</v>
          </cell>
        </row>
        <row r="172">
          <cell r="A172">
            <v>7110140</v>
          </cell>
        </row>
        <row r="173">
          <cell r="A173">
            <v>7110143</v>
          </cell>
        </row>
        <row r="174">
          <cell r="A174">
            <v>7110210</v>
          </cell>
        </row>
        <row r="175">
          <cell r="A175">
            <v>7110215</v>
          </cell>
        </row>
        <row r="176">
          <cell r="A176">
            <v>7110220</v>
          </cell>
        </row>
        <row r="177">
          <cell r="A177">
            <v>7110221</v>
          </cell>
        </row>
        <row r="178">
          <cell r="A178">
            <v>7110315</v>
          </cell>
        </row>
        <row r="179">
          <cell r="A179">
            <v>7110316</v>
          </cell>
        </row>
        <row r="180">
          <cell r="A180">
            <v>7110317</v>
          </cell>
        </row>
        <row r="181">
          <cell r="A181">
            <v>7110532</v>
          </cell>
        </row>
        <row r="182">
          <cell r="A182">
            <v>7110533</v>
          </cell>
        </row>
        <row r="183">
          <cell r="A183">
            <v>7110603</v>
          </cell>
        </row>
        <row r="184">
          <cell r="A184">
            <v>7110710</v>
          </cell>
        </row>
        <row r="185">
          <cell r="A185">
            <v>7110830</v>
          </cell>
        </row>
        <row r="186">
          <cell r="A186">
            <v>7110902</v>
          </cell>
        </row>
        <row r="187">
          <cell r="A187">
            <v>7110905</v>
          </cell>
        </row>
        <row r="188">
          <cell r="A188">
            <v>7110911</v>
          </cell>
        </row>
        <row r="189">
          <cell r="A189">
            <v>7110929</v>
          </cell>
        </row>
        <row r="190">
          <cell r="A190">
            <v>7110930</v>
          </cell>
        </row>
        <row r="191">
          <cell r="A191">
            <v>7110932</v>
          </cell>
        </row>
        <row r="192">
          <cell r="A192">
            <v>7110933</v>
          </cell>
        </row>
        <row r="193">
          <cell r="A193">
            <v>7110941</v>
          </cell>
        </row>
        <row r="194">
          <cell r="A194">
            <v>7110942</v>
          </cell>
        </row>
        <row r="195">
          <cell r="A195">
            <v>7110952</v>
          </cell>
        </row>
        <row r="196">
          <cell r="A196">
            <v>7111018</v>
          </cell>
        </row>
        <row r="197">
          <cell r="A197">
            <v>7111019</v>
          </cell>
        </row>
        <row r="198">
          <cell r="A198">
            <v>7111020</v>
          </cell>
        </row>
        <row r="199">
          <cell r="A199">
            <v>7111021</v>
          </cell>
        </row>
        <row r="200">
          <cell r="A200">
            <v>7111107</v>
          </cell>
        </row>
        <row r="201">
          <cell r="A201">
            <v>7111201</v>
          </cell>
        </row>
        <row r="202">
          <cell r="A202">
            <v>7111238</v>
          </cell>
        </row>
        <row r="203">
          <cell r="A203">
            <v>7111239</v>
          </cell>
        </row>
        <row r="204">
          <cell r="A204">
            <v>7111301</v>
          </cell>
        </row>
        <row r="205">
          <cell r="A205">
            <v>7111311</v>
          </cell>
        </row>
        <row r="206">
          <cell r="A206">
            <v>7111313</v>
          </cell>
        </row>
        <row r="207">
          <cell r="A207">
            <v>7111315</v>
          </cell>
        </row>
        <row r="208">
          <cell r="A208">
            <v>7111339</v>
          </cell>
        </row>
        <row r="209">
          <cell r="A209">
            <v>7111425</v>
          </cell>
        </row>
        <row r="210">
          <cell r="A210">
            <v>7111428</v>
          </cell>
        </row>
        <row r="211">
          <cell r="A211">
            <v>7111440</v>
          </cell>
        </row>
        <row r="212">
          <cell r="A212">
            <v>7111502</v>
          </cell>
        </row>
        <row r="213">
          <cell r="A213">
            <v>7111505</v>
          </cell>
        </row>
        <row r="214">
          <cell r="A214">
            <v>7111521</v>
          </cell>
        </row>
        <row r="215">
          <cell r="A215">
            <v>7111542</v>
          </cell>
        </row>
        <row r="216">
          <cell r="A216">
            <v>7111623</v>
          </cell>
        </row>
        <row r="217">
          <cell r="A217">
            <v>7111624</v>
          </cell>
        </row>
        <row r="218">
          <cell r="A218">
            <v>7111628</v>
          </cell>
        </row>
        <row r="219">
          <cell r="A219">
            <v>7111629</v>
          </cell>
        </row>
        <row r="220">
          <cell r="A220">
            <v>7111630</v>
          </cell>
        </row>
        <row r="221">
          <cell r="A221">
            <v>7111631</v>
          </cell>
        </row>
        <row r="222">
          <cell r="A222">
            <v>7111632</v>
          </cell>
        </row>
        <row r="223">
          <cell r="A223">
            <v>7111705</v>
          </cell>
        </row>
        <row r="224">
          <cell r="A224">
            <v>7111706</v>
          </cell>
        </row>
        <row r="225">
          <cell r="A225">
            <v>7111710</v>
          </cell>
        </row>
        <row r="226">
          <cell r="A226">
            <v>7111719</v>
          </cell>
        </row>
        <row r="227">
          <cell r="A227">
            <v>7111720</v>
          </cell>
        </row>
        <row r="228">
          <cell r="A228">
            <v>7111722</v>
          </cell>
        </row>
        <row r="229">
          <cell r="A229">
            <v>7111809</v>
          </cell>
        </row>
        <row r="230">
          <cell r="A230">
            <v>7111810</v>
          </cell>
        </row>
        <row r="231">
          <cell r="A231">
            <v>7111811</v>
          </cell>
        </row>
        <row r="232">
          <cell r="A232">
            <v>7111814</v>
          </cell>
        </row>
        <row r="233">
          <cell r="A233">
            <v>7111817</v>
          </cell>
        </row>
        <row r="234">
          <cell r="A234">
            <v>7111901</v>
          </cell>
        </row>
        <row r="235">
          <cell r="A235">
            <v>7111903</v>
          </cell>
        </row>
        <row r="236">
          <cell r="A236">
            <v>7111904</v>
          </cell>
        </row>
        <row r="237">
          <cell r="A237">
            <v>7111908</v>
          </cell>
        </row>
        <row r="238">
          <cell r="A238">
            <v>7111929</v>
          </cell>
        </row>
        <row r="239">
          <cell r="A239">
            <v>7112021</v>
          </cell>
        </row>
        <row r="240">
          <cell r="A240">
            <v>7112022</v>
          </cell>
        </row>
        <row r="241">
          <cell r="A241">
            <v>7112023</v>
          </cell>
        </row>
        <row r="242">
          <cell r="A242">
            <v>7112025</v>
          </cell>
        </row>
        <row r="243">
          <cell r="A243">
            <v>7112026</v>
          </cell>
        </row>
        <row r="244">
          <cell r="A244">
            <v>7112027</v>
          </cell>
        </row>
        <row r="245">
          <cell r="A245">
            <v>7112028</v>
          </cell>
        </row>
        <row r="246">
          <cell r="A246">
            <v>7112029</v>
          </cell>
        </row>
        <row r="247">
          <cell r="A247">
            <v>7112030</v>
          </cell>
        </row>
        <row r="248">
          <cell r="A248">
            <v>7112031</v>
          </cell>
        </row>
        <row r="249">
          <cell r="A249">
            <v>7112105</v>
          </cell>
        </row>
        <row r="250">
          <cell r="A250">
            <v>7112106</v>
          </cell>
        </row>
        <row r="251">
          <cell r="A251">
            <v>7112108</v>
          </cell>
        </row>
        <row r="252">
          <cell r="A252">
            <v>7112119</v>
          </cell>
        </row>
        <row r="253">
          <cell r="A253">
            <v>7112120</v>
          </cell>
        </row>
        <row r="254">
          <cell r="A254">
            <v>7112121</v>
          </cell>
        </row>
        <row r="255">
          <cell r="A255">
            <v>7112122</v>
          </cell>
        </row>
        <row r="256">
          <cell r="A256">
            <v>7112123</v>
          </cell>
        </row>
        <row r="257">
          <cell r="A257">
            <v>7112124</v>
          </cell>
        </row>
        <row r="258">
          <cell r="A258">
            <v>7112125</v>
          </cell>
        </row>
        <row r="259">
          <cell r="A259">
            <v>7112139</v>
          </cell>
        </row>
        <row r="260">
          <cell r="A260">
            <v>7112209</v>
          </cell>
        </row>
        <row r="261">
          <cell r="A261">
            <v>7112217</v>
          </cell>
        </row>
        <row r="262">
          <cell r="A262">
            <v>7112310</v>
          </cell>
        </row>
        <row r="263">
          <cell r="A263">
            <v>7112312</v>
          </cell>
        </row>
        <row r="264">
          <cell r="A264">
            <v>7112313</v>
          </cell>
        </row>
        <row r="265">
          <cell r="A265">
            <v>7112321</v>
          </cell>
        </row>
        <row r="266">
          <cell r="A266">
            <v>7112324</v>
          </cell>
        </row>
        <row r="267">
          <cell r="A267">
            <v>7112327</v>
          </cell>
        </row>
        <row r="268">
          <cell r="A268">
            <v>7112328</v>
          </cell>
        </row>
        <row r="269">
          <cell r="A269">
            <v>7112407</v>
          </cell>
        </row>
        <row r="270">
          <cell r="A270">
            <v>7112415</v>
          </cell>
        </row>
        <row r="271">
          <cell r="A271">
            <v>7112416</v>
          </cell>
        </row>
        <row r="272">
          <cell r="A272">
            <v>7112417</v>
          </cell>
        </row>
        <row r="273">
          <cell r="A273">
            <v>7112418</v>
          </cell>
        </row>
        <row r="274">
          <cell r="A274">
            <v>7112419</v>
          </cell>
        </row>
        <row r="275">
          <cell r="A275">
            <v>7112420</v>
          </cell>
        </row>
        <row r="276">
          <cell r="A276">
            <v>7112422</v>
          </cell>
        </row>
        <row r="277">
          <cell r="A277">
            <v>7112426</v>
          </cell>
        </row>
        <row r="278">
          <cell r="A278">
            <v>7112427</v>
          </cell>
        </row>
        <row r="279">
          <cell r="A279">
            <v>7112433</v>
          </cell>
        </row>
        <row r="280">
          <cell r="A280">
            <v>7112501</v>
          </cell>
        </row>
        <row r="281">
          <cell r="A281">
            <v>7112502</v>
          </cell>
        </row>
        <row r="282">
          <cell r="A282">
            <v>7112503</v>
          </cell>
        </row>
        <row r="283">
          <cell r="A283">
            <v>7112504</v>
          </cell>
        </row>
        <row r="284">
          <cell r="A284">
            <v>7112505</v>
          </cell>
        </row>
        <row r="285">
          <cell r="A285">
            <v>7112601</v>
          </cell>
        </row>
        <row r="286">
          <cell r="A286">
            <v>7112602</v>
          </cell>
        </row>
        <row r="287">
          <cell r="A287">
            <v>7112603</v>
          </cell>
        </row>
        <row r="288">
          <cell r="A288">
            <v>7112608</v>
          </cell>
        </row>
        <row r="289">
          <cell r="A289">
            <v>7112613</v>
          </cell>
        </row>
        <row r="290">
          <cell r="A290">
            <v>7112614</v>
          </cell>
        </row>
        <row r="291">
          <cell r="A291">
            <v>7112615</v>
          </cell>
        </row>
        <row r="292">
          <cell r="A292">
            <v>7112625</v>
          </cell>
        </row>
        <row r="293">
          <cell r="A293">
            <v>7112633</v>
          </cell>
        </row>
        <row r="294">
          <cell r="A294">
            <v>7112713</v>
          </cell>
        </row>
        <row r="295">
          <cell r="A295">
            <v>7112714</v>
          </cell>
        </row>
        <row r="296">
          <cell r="A296">
            <v>7112715</v>
          </cell>
        </row>
        <row r="297">
          <cell r="A297">
            <v>7112730</v>
          </cell>
        </row>
        <row r="298">
          <cell r="A298">
            <v>7112739</v>
          </cell>
        </row>
        <row r="299">
          <cell r="A299">
            <v>7112810</v>
          </cell>
        </row>
        <row r="300">
          <cell r="A300">
            <v>7112811</v>
          </cell>
        </row>
        <row r="301">
          <cell r="A301">
            <v>7112814</v>
          </cell>
        </row>
        <row r="302">
          <cell r="A302">
            <v>7112815</v>
          </cell>
        </row>
        <row r="303">
          <cell r="A303">
            <v>7112823</v>
          </cell>
        </row>
        <row r="304">
          <cell r="A304">
            <v>7112827</v>
          </cell>
        </row>
        <row r="305">
          <cell r="A305">
            <v>7112831</v>
          </cell>
        </row>
        <row r="306">
          <cell r="A306">
            <v>7112832</v>
          </cell>
        </row>
        <row r="307">
          <cell r="A307">
            <v>7112833</v>
          </cell>
        </row>
        <row r="308">
          <cell r="A308">
            <v>7112843</v>
          </cell>
        </row>
        <row r="309">
          <cell r="A309">
            <v>7112909</v>
          </cell>
        </row>
        <row r="310">
          <cell r="A310">
            <v>7112916</v>
          </cell>
        </row>
        <row r="311">
          <cell r="A311">
            <v>7112917</v>
          </cell>
        </row>
        <row r="312">
          <cell r="A312">
            <v>7112918</v>
          </cell>
        </row>
        <row r="313">
          <cell r="A313">
            <v>7112919</v>
          </cell>
        </row>
        <row r="314">
          <cell r="A314">
            <v>7112923</v>
          </cell>
        </row>
        <row r="315">
          <cell r="A315">
            <v>7112926</v>
          </cell>
        </row>
        <row r="316">
          <cell r="A316">
            <v>7112927</v>
          </cell>
        </row>
        <row r="317">
          <cell r="A317">
            <v>7112928</v>
          </cell>
        </row>
        <row r="318">
          <cell r="A318">
            <v>7112929</v>
          </cell>
        </row>
        <row r="319">
          <cell r="A319">
            <v>7112930</v>
          </cell>
        </row>
        <row r="320">
          <cell r="A320">
            <v>7112931</v>
          </cell>
        </row>
        <row r="321">
          <cell r="A321">
            <v>7112932</v>
          </cell>
        </row>
        <row r="322">
          <cell r="A322">
            <v>7112933</v>
          </cell>
        </row>
        <row r="323">
          <cell r="A323">
            <v>7112934</v>
          </cell>
        </row>
        <row r="324">
          <cell r="A324">
            <v>7112944</v>
          </cell>
        </row>
        <row r="325">
          <cell r="A325">
            <v>7113005</v>
          </cell>
        </row>
        <row r="326">
          <cell r="A326">
            <v>7113007</v>
          </cell>
        </row>
        <row r="327">
          <cell r="A327">
            <v>7113008</v>
          </cell>
        </row>
        <row r="328">
          <cell r="A328">
            <v>7113009</v>
          </cell>
        </row>
        <row r="329">
          <cell r="A329">
            <v>7113010</v>
          </cell>
        </row>
        <row r="330">
          <cell r="A330">
            <v>7113011</v>
          </cell>
        </row>
        <row r="331">
          <cell r="A331">
            <v>7113012</v>
          </cell>
        </row>
        <row r="332">
          <cell r="A332">
            <v>7113013</v>
          </cell>
        </row>
        <row r="333">
          <cell r="A333">
            <v>7113023</v>
          </cell>
        </row>
        <row r="334">
          <cell r="A334">
            <v>7113024</v>
          </cell>
        </row>
        <row r="335">
          <cell r="A335">
            <v>7113027</v>
          </cell>
        </row>
        <row r="336">
          <cell r="A336">
            <v>7113030</v>
          </cell>
        </row>
        <row r="337">
          <cell r="A337">
            <v>7120113</v>
          </cell>
        </row>
        <row r="338">
          <cell r="A338">
            <v>7120114</v>
          </cell>
        </row>
        <row r="339">
          <cell r="A339">
            <v>7120118</v>
          </cell>
        </row>
        <row r="340">
          <cell r="A340">
            <v>7120121</v>
          </cell>
        </row>
        <row r="341">
          <cell r="A341">
            <v>7120122</v>
          </cell>
        </row>
        <row r="342">
          <cell r="A342">
            <v>7120123</v>
          </cell>
        </row>
        <row r="343">
          <cell r="A343">
            <v>7120124</v>
          </cell>
        </row>
        <row r="344">
          <cell r="A344">
            <v>7120126</v>
          </cell>
        </row>
        <row r="345">
          <cell r="A345">
            <v>7120207</v>
          </cell>
        </row>
        <row r="346">
          <cell r="A346">
            <v>7120208</v>
          </cell>
        </row>
        <row r="347">
          <cell r="A347">
            <v>7120209</v>
          </cell>
        </row>
        <row r="348">
          <cell r="A348">
            <v>7120210</v>
          </cell>
        </row>
        <row r="349">
          <cell r="A349">
            <v>7120211</v>
          </cell>
        </row>
        <row r="350">
          <cell r="A350">
            <v>7120212</v>
          </cell>
        </row>
        <row r="351">
          <cell r="A351">
            <v>7120305</v>
          </cell>
        </row>
        <row r="352">
          <cell r="A352">
            <v>7120317</v>
          </cell>
        </row>
        <row r="353">
          <cell r="A353">
            <v>7120319</v>
          </cell>
        </row>
        <row r="354">
          <cell r="A354">
            <v>7120320</v>
          </cell>
        </row>
        <row r="355">
          <cell r="A355">
            <v>7120325</v>
          </cell>
        </row>
        <row r="356">
          <cell r="A356">
            <v>7120403</v>
          </cell>
        </row>
        <row r="357">
          <cell r="A357">
            <v>7120414</v>
          </cell>
        </row>
        <row r="358">
          <cell r="A358">
            <v>7120415</v>
          </cell>
        </row>
        <row r="359">
          <cell r="A359">
            <v>7120426</v>
          </cell>
        </row>
        <row r="360">
          <cell r="A360">
            <v>7120427</v>
          </cell>
        </row>
        <row r="361">
          <cell r="A361">
            <v>7120428</v>
          </cell>
        </row>
        <row r="362">
          <cell r="A362">
            <v>7120429</v>
          </cell>
        </row>
        <row r="363">
          <cell r="A363">
            <v>7120430</v>
          </cell>
        </row>
        <row r="364">
          <cell r="A364">
            <v>7120601</v>
          </cell>
        </row>
        <row r="365">
          <cell r="A365">
            <v>7120602</v>
          </cell>
        </row>
        <row r="366">
          <cell r="A366">
            <v>7120603</v>
          </cell>
        </row>
        <row r="367">
          <cell r="A367">
            <v>7120609</v>
          </cell>
        </row>
        <row r="368">
          <cell r="A368">
            <v>7120620</v>
          </cell>
        </row>
        <row r="369">
          <cell r="A369">
            <v>7120621</v>
          </cell>
        </row>
        <row r="370">
          <cell r="A370">
            <v>7120626</v>
          </cell>
        </row>
        <row r="371">
          <cell r="A371">
            <v>7120627</v>
          </cell>
        </row>
        <row r="372">
          <cell r="A372">
            <v>7120628</v>
          </cell>
        </row>
        <row r="373">
          <cell r="A373">
            <v>7120632</v>
          </cell>
        </row>
        <row r="374">
          <cell r="A374">
            <v>7120633</v>
          </cell>
        </row>
        <row r="375">
          <cell r="A375">
            <v>7120701</v>
          </cell>
        </row>
        <row r="376">
          <cell r="A376">
            <v>7120723</v>
          </cell>
        </row>
        <row r="377">
          <cell r="A377">
            <v>7120728</v>
          </cell>
        </row>
        <row r="378">
          <cell r="A378">
            <v>7120730</v>
          </cell>
        </row>
        <row r="379">
          <cell r="A379">
            <v>7120731</v>
          </cell>
        </row>
        <row r="380">
          <cell r="A380">
            <v>7120732</v>
          </cell>
        </row>
        <row r="381">
          <cell r="A381">
            <v>7120742</v>
          </cell>
        </row>
        <row r="382">
          <cell r="A382">
            <v>7120743</v>
          </cell>
        </row>
        <row r="383">
          <cell r="A383">
            <v>7120745</v>
          </cell>
        </row>
        <row r="384">
          <cell r="A384">
            <v>7120746</v>
          </cell>
        </row>
        <row r="385">
          <cell r="A385">
            <v>7120759</v>
          </cell>
        </row>
        <row r="386">
          <cell r="A386">
            <v>7120760</v>
          </cell>
        </row>
        <row r="387">
          <cell r="A387">
            <v>7120762</v>
          </cell>
        </row>
        <row r="388">
          <cell r="A388">
            <v>7120802</v>
          </cell>
        </row>
        <row r="389">
          <cell r="A389">
            <v>7120803</v>
          </cell>
        </row>
        <row r="390">
          <cell r="A390">
            <v>7120813</v>
          </cell>
        </row>
        <row r="391">
          <cell r="A391">
            <v>7120814</v>
          </cell>
        </row>
        <row r="392">
          <cell r="A392">
            <v>7120815</v>
          </cell>
        </row>
        <row r="393">
          <cell r="A393">
            <v>7120816</v>
          </cell>
        </row>
        <row r="394">
          <cell r="A394">
            <v>7120817</v>
          </cell>
        </row>
        <row r="395">
          <cell r="A395">
            <v>7120830</v>
          </cell>
        </row>
        <row r="396">
          <cell r="A396">
            <v>7120831</v>
          </cell>
        </row>
        <row r="397">
          <cell r="A397">
            <v>7120910</v>
          </cell>
        </row>
        <row r="398">
          <cell r="A398">
            <v>7120911</v>
          </cell>
        </row>
        <row r="399">
          <cell r="A399">
            <v>7120912</v>
          </cell>
        </row>
        <row r="400">
          <cell r="A400">
            <v>7120918</v>
          </cell>
        </row>
        <row r="401">
          <cell r="A401">
            <v>7120919</v>
          </cell>
        </row>
        <row r="402">
          <cell r="A402">
            <v>7121005</v>
          </cell>
        </row>
        <row r="403">
          <cell r="A403">
            <v>7121008</v>
          </cell>
        </row>
        <row r="404">
          <cell r="A404">
            <v>7121106</v>
          </cell>
        </row>
        <row r="405">
          <cell r="A405">
            <v>7121114</v>
          </cell>
        </row>
        <row r="406">
          <cell r="A406">
            <v>7121116</v>
          </cell>
        </row>
        <row r="407">
          <cell r="A407">
            <v>7121124</v>
          </cell>
        </row>
        <row r="408">
          <cell r="A408">
            <v>7121125</v>
          </cell>
        </row>
        <row r="409">
          <cell r="A409">
            <v>7121126</v>
          </cell>
        </row>
        <row r="410">
          <cell r="A410">
            <v>7121127</v>
          </cell>
        </row>
        <row r="411">
          <cell r="A411">
            <v>7121128</v>
          </cell>
        </row>
        <row r="412">
          <cell r="A412">
            <v>7121129</v>
          </cell>
        </row>
        <row r="413">
          <cell r="A413">
            <v>7121130</v>
          </cell>
        </row>
        <row r="414">
          <cell r="A414">
            <v>7121131</v>
          </cell>
        </row>
        <row r="415">
          <cell r="A415">
            <v>7121132</v>
          </cell>
        </row>
        <row r="416">
          <cell r="A416">
            <v>7121137</v>
          </cell>
        </row>
        <row r="417">
          <cell r="A417">
            <v>7121138</v>
          </cell>
        </row>
        <row r="418">
          <cell r="A418">
            <v>7121153</v>
          </cell>
        </row>
        <row r="419">
          <cell r="A419">
            <v>7121201</v>
          </cell>
        </row>
        <row r="420">
          <cell r="A420">
            <v>7121202</v>
          </cell>
        </row>
        <row r="421">
          <cell r="A421">
            <v>7121203</v>
          </cell>
        </row>
        <row r="422">
          <cell r="A422">
            <v>7121213</v>
          </cell>
        </row>
        <row r="423">
          <cell r="A423">
            <v>7121217</v>
          </cell>
        </row>
        <row r="424">
          <cell r="A424">
            <v>7121218</v>
          </cell>
        </row>
        <row r="425">
          <cell r="A425">
            <v>7121219</v>
          </cell>
        </row>
        <row r="426">
          <cell r="A426">
            <v>7121226</v>
          </cell>
        </row>
        <row r="427">
          <cell r="A427">
            <v>7121227</v>
          </cell>
        </row>
        <row r="428">
          <cell r="A428">
            <v>7121228</v>
          </cell>
        </row>
        <row r="429">
          <cell r="A429">
            <v>7121229</v>
          </cell>
        </row>
        <row r="430">
          <cell r="A430">
            <v>7121234</v>
          </cell>
        </row>
        <row r="431">
          <cell r="A431">
            <v>7121235</v>
          </cell>
        </row>
        <row r="432">
          <cell r="A432">
            <v>7121251</v>
          </cell>
        </row>
        <row r="433">
          <cell r="A433">
            <v>7121252</v>
          </cell>
        </row>
        <row r="434">
          <cell r="A434">
            <v>7121255</v>
          </cell>
        </row>
        <row r="435">
          <cell r="A435">
            <v>7121256</v>
          </cell>
        </row>
        <row r="436">
          <cell r="A436">
            <v>7121258</v>
          </cell>
        </row>
        <row r="437">
          <cell r="A437">
            <v>7121305</v>
          </cell>
        </row>
        <row r="438">
          <cell r="A438">
            <v>7121310</v>
          </cell>
        </row>
        <row r="439">
          <cell r="A439">
            <v>7121319</v>
          </cell>
        </row>
        <row r="440">
          <cell r="A440">
            <v>7121320</v>
          </cell>
        </row>
        <row r="441">
          <cell r="A441">
            <v>7121321</v>
          </cell>
        </row>
        <row r="442">
          <cell r="A442">
            <v>7121322</v>
          </cell>
        </row>
        <row r="443">
          <cell r="A443">
            <v>7121323</v>
          </cell>
        </row>
        <row r="444">
          <cell r="A444">
            <v>7121324</v>
          </cell>
        </row>
        <row r="445">
          <cell r="A445">
            <v>7121328</v>
          </cell>
        </row>
        <row r="446">
          <cell r="A446">
            <v>7121334</v>
          </cell>
        </row>
        <row r="447">
          <cell r="A447">
            <v>7121339</v>
          </cell>
        </row>
        <row r="448">
          <cell r="A448">
            <v>7121340</v>
          </cell>
        </row>
        <row r="449">
          <cell r="A449">
            <v>7121341</v>
          </cell>
        </row>
        <row r="450">
          <cell r="A450">
            <v>7121353</v>
          </cell>
        </row>
        <row r="451">
          <cell r="A451">
            <v>7121355</v>
          </cell>
        </row>
        <row r="452">
          <cell r="A452">
            <v>7121402</v>
          </cell>
        </row>
        <row r="453">
          <cell r="A453">
            <v>7121403</v>
          </cell>
        </row>
        <row r="454">
          <cell r="A454">
            <v>7121406</v>
          </cell>
        </row>
        <row r="455">
          <cell r="A455">
            <v>7121410</v>
          </cell>
        </row>
        <row r="456">
          <cell r="A456">
            <v>7121413</v>
          </cell>
        </row>
        <row r="457">
          <cell r="A457">
            <v>7121414</v>
          </cell>
        </row>
        <row r="458">
          <cell r="A458">
            <v>7121415</v>
          </cell>
        </row>
        <row r="459">
          <cell r="A459">
            <v>7121416</v>
          </cell>
        </row>
        <row r="460">
          <cell r="A460">
            <v>7121417</v>
          </cell>
        </row>
        <row r="461">
          <cell r="A461">
            <v>7121418</v>
          </cell>
        </row>
        <row r="462">
          <cell r="A462">
            <v>7121422</v>
          </cell>
        </row>
        <row r="463">
          <cell r="A463">
            <v>7121425</v>
          </cell>
        </row>
        <row r="464">
          <cell r="A464">
            <v>7121426</v>
          </cell>
        </row>
        <row r="465">
          <cell r="A465">
            <v>7121427</v>
          </cell>
        </row>
        <row r="466">
          <cell r="A466">
            <v>7121435</v>
          </cell>
        </row>
        <row r="467">
          <cell r="A467">
            <v>7121436</v>
          </cell>
        </row>
        <row r="468">
          <cell r="A468">
            <v>7121441</v>
          </cell>
        </row>
        <row r="469">
          <cell r="A469">
            <v>7121442</v>
          </cell>
        </row>
        <row r="470">
          <cell r="A470">
            <v>7121443</v>
          </cell>
        </row>
        <row r="471">
          <cell r="A471">
            <v>7121444</v>
          </cell>
        </row>
        <row r="472">
          <cell r="A472">
            <v>7121445</v>
          </cell>
        </row>
        <row r="473">
          <cell r="A473">
            <v>7121446</v>
          </cell>
        </row>
        <row r="474">
          <cell r="A474">
            <v>7121447</v>
          </cell>
        </row>
        <row r="475">
          <cell r="A475">
            <v>7121449</v>
          </cell>
        </row>
        <row r="476">
          <cell r="A476">
            <v>7121453</v>
          </cell>
        </row>
        <row r="477">
          <cell r="A477">
            <v>7121461</v>
          </cell>
        </row>
        <row r="478">
          <cell r="A478">
            <v>7121463</v>
          </cell>
        </row>
        <row r="479">
          <cell r="A479">
            <v>7121505</v>
          </cell>
        </row>
        <row r="480">
          <cell r="A480">
            <v>7121506</v>
          </cell>
        </row>
        <row r="481">
          <cell r="A481">
            <v>7121507</v>
          </cell>
        </row>
        <row r="482">
          <cell r="A482">
            <v>7121508</v>
          </cell>
        </row>
        <row r="483">
          <cell r="A483">
            <v>7121509</v>
          </cell>
        </row>
        <row r="484">
          <cell r="A484">
            <v>7121511</v>
          </cell>
        </row>
        <row r="485">
          <cell r="A485">
            <v>7121512</v>
          </cell>
        </row>
        <row r="486">
          <cell r="A486">
            <v>7121513</v>
          </cell>
        </row>
        <row r="487">
          <cell r="A487">
            <v>7121514</v>
          </cell>
        </row>
        <row r="488">
          <cell r="A488">
            <v>7121515</v>
          </cell>
        </row>
        <row r="489">
          <cell r="A489">
            <v>7121516</v>
          </cell>
        </row>
        <row r="490">
          <cell r="A490">
            <v>7121517</v>
          </cell>
        </row>
        <row r="491">
          <cell r="A491">
            <v>7121518</v>
          </cell>
        </row>
        <row r="492">
          <cell r="A492">
            <v>7121520</v>
          </cell>
        </row>
        <row r="493">
          <cell r="A493">
            <v>7121521</v>
          </cell>
        </row>
        <row r="494">
          <cell r="A494">
            <v>7121522</v>
          </cell>
        </row>
        <row r="495">
          <cell r="A495">
            <v>7121539</v>
          </cell>
        </row>
        <row r="496">
          <cell r="A496">
            <v>7121542</v>
          </cell>
        </row>
        <row r="497">
          <cell r="A497">
            <v>7121601</v>
          </cell>
        </row>
        <row r="498">
          <cell r="A498">
            <v>7121602</v>
          </cell>
        </row>
        <row r="499">
          <cell r="A499">
            <v>7121603</v>
          </cell>
        </row>
        <row r="500">
          <cell r="A500">
            <v>7121604</v>
          </cell>
        </row>
        <row r="501">
          <cell r="A501">
            <v>7121605</v>
          </cell>
        </row>
        <row r="502">
          <cell r="A502">
            <v>7121606</v>
          </cell>
        </row>
        <row r="503">
          <cell r="A503">
            <v>7121611</v>
          </cell>
        </row>
        <row r="504">
          <cell r="A504">
            <v>7121612</v>
          </cell>
        </row>
        <row r="505">
          <cell r="A505">
            <v>7121702</v>
          </cell>
        </row>
        <row r="506">
          <cell r="A506">
            <v>7121703</v>
          </cell>
        </row>
        <row r="507">
          <cell r="A507">
            <v>7121704</v>
          </cell>
        </row>
        <row r="508">
          <cell r="A508">
            <v>7121709</v>
          </cell>
        </row>
        <row r="509">
          <cell r="A509">
            <v>7121712</v>
          </cell>
        </row>
        <row r="510">
          <cell r="A510">
            <v>7121713</v>
          </cell>
        </row>
        <row r="511">
          <cell r="A511">
            <v>7121714</v>
          </cell>
        </row>
        <row r="512">
          <cell r="A512">
            <v>7121718</v>
          </cell>
        </row>
        <row r="513">
          <cell r="A513">
            <v>7121719</v>
          </cell>
        </row>
        <row r="514">
          <cell r="A514">
            <v>7121720</v>
          </cell>
        </row>
        <row r="515">
          <cell r="A515">
            <v>7121721</v>
          </cell>
        </row>
        <row r="516">
          <cell r="A516">
            <v>7121722</v>
          </cell>
        </row>
        <row r="517">
          <cell r="A517">
            <v>7121723</v>
          </cell>
        </row>
        <row r="518">
          <cell r="A518">
            <v>7121724</v>
          </cell>
        </row>
        <row r="519">
          <cell r="A519">
            <v>7121725</v>
          </cell>
        </row>
        <row r="520">
          <cell r="A520">
            <v>7121726</v>
          </cell>
        </row>
        <row r="521">
          <cell r="A521">
            <v>7121727</v>
          </cell>
        </row>
        <row r="522">
          <cell r="A522">
            <v>7121728</v>
          </cell>
        </row>
        <row r="523">
          <cell r="A523">
            <v>7121729</v>
          </cell>
        </row>
        <row r="524">
          <cell r="A524">
            <v>7121730</v>
          </cell>
        </row>
        <row r="525">
          <cell r="A525">
            <v>7121733</v>
          </cell>
        </row>
        <row r="526">
          <cell r="A526">
            <v>7121736</v>
          </cell>
        </row>
        <row r="527">
          <cell r="A527">
            <v>7121803</v>
          </cell>
        </row>
        <row r="528">
          <cell r="A528">
            <v>7121804</v>
          </cell>
        </row>
        <row r="529">
          <cell r="A529">
            <v>7121805</v>
          </cell>
        </row>
        <row r="530">
          <cell r="A530">
            <v>7121806</v>
          </cell>
        </row>
        <row r="531">
          <cell r="A531">
            <v>7121808</v>
          </cell>
        </row>
        <row r="532">
          <cell r="A532">
            <v>7121813</v>
          </cell>
        </row>
        <row r="533">
          <cell r="A533">
            <v>7121814</v>
          </cell>
        </row>
        <row r="534">
          <cell r="A534">
            <v>7121818</v>
          </cell>
        </row>
        <row r="535">
          <cell r="A535">
            <v>7121819</v>
          </cell>
        </row>
        <row r="536">
          <cell r="A536">
            <v>7121820</v>
          </cell>
        </row>
        <row r="537">
          <cell r="A537">
            <v>7121821</v>
          </cell>
        </row>
        <row r="538">
          <cell r="A538">
            <v>7121822</v>
          </cell>
        </row>
        <row r="539">
          <cell r="A539">
            <v>7121823</v>
          </cell>
        </row>
        <row r="540">
          <cell r="A540">
            <v>7121824</v>
          </cell>
        </row>
        <row r="541">
          <cell r="A541">
            <v>7121825</v>
          </cell>
        </row>
        <row r="542">
          <cell r="A542">
            <v>7121826</v>
          </cell>
        </row>
        <row r="543">
          <cell r="A543">
            <v>7121827</v>
          </cell>
        </row>
        <row r="544">
          <cell r="A544">
            <v>7121828</v>
          </cell>
        </row>
        <row r="545">
          <cell r="A545">
            <v>7121829</v>
          </cell>
        </row>
        <row r="546">
          <cell r="A546">
            <v>7121830</v>
          </cell>
        </row>
        <row r="547">
          <cell r="A547">
            <v>7121831</v>
          </cell>
        </row>
        <row r="548">
          <cell r="A548">
            <v>7121833</v>
          </cell>
        </row>
        <row r="549">
          <cell r="A549">
            <v>7121834</v>
          </cell>
        </row>
        <row r="550">
          <cell r="A550">
            <v>7121835</v>
          </cell>
        </row>
        <row r="551">
          <cell r="A551">
            <v>7121836</v>
          </cell>
        </row>
        <row r="552">
          <cell r="A552">
            <v>7121837</v>
          </cell>
        </row>
        <row r="553">
          <cell r="A553">
            <v>7121838</v>
          </cell>
        </row>
        <row r="554">
          <cell r="A554">
            <v>7121839</v>
          </cell>
        </row>
        <row r="555">
          <cell r="A555">
            <v>7121840</v>
          </cell>
        </row>
        <row r="556">
          <cell r="A556">
            <v>7121841</v>
          </cell>
        </row>
        <row r="557">
          <cell r="A557">
            <v>7121842</v>
          </cell>
        </row>
        <row r="558">
          <cell r="A558">
            <v>7121849</v>
          </cell>
        </row>
        <row r="559">
          <cell r="A559">
            <v>7121854</v>
          </cell>
        </row>
        <row r="560">
          <cell r="A560">
            <v>7121855</v>
          </cell>
        </row>
        <row r="561">
          <cell r="A561">
            <v>7121901</v>
          </cell>
        </row>
        <row r="562">
          <cell r="A562">
            <v>7121902</v>
          </cell>
        </row>
        <row r="563">
          <cell r="A563">
            <v>7121905</v>
          </cell>
        </row>
        <row r="564">
          <cell r="A564">
            <v>7121906</v>
          </cell>
        </row>
        <row r="565">
          <cell r="A565">
            <v>7121907</v>
          </cell>
        </row>
        <row r="566">
          <cell r="A566">
            <v>7121908</v>
          </cell>
        </row>
        <row r="567">
          <cell r="A567">
            <v>7121909</v>
          </cell>
        </row>
        <row r="568">
          <cell r="A568">
            <v>7121910</v>
          </cell>
        </row>
        <row r="569">
          <cell r="A569">
            <v>7121911</v>
          </cell>
        </row>
        <row r="570">
          <cell r="A570">
            <v>7121912</v>
          </cell>
        </row>
        <row r="571">
          <cell r="A571">
            <v>7121914</v>
          </cell>
        </row>
        <row r="572">
          <cell r="A572">
            <v>7121915</v>
          </cell>
        </row>
        <row r="573">
          <cell r="A573">
            <v>7121916</v>
          </cell>
        </row>
        <row r="574">
          <cell r="A574">
            <v>7121917</v>
          </cell>
        </row>
        <row r="575">
          <cell r="A575">
            <v>7121918</v>
          </cell>
        </row>
        <row r="576">
          <cell r="A576">
            <v>7121920</v>
          </cell>
        </row>
        <row r="577">
          <cell r="A577">
            <v>7121921</v>
          </cell>
        </row>
        <row r="578">
          <cell r="A578">
            <v>7121922</v>
          </cell>
        </row>
        <row r="579">
          <cell r="A579">
            <v>7121924</v>
          </cell>
        </row>
        <row r="580">
          <cell r="A580">
            <v>7121925</v>
          </cell>
        </row>
        <row r="581">
          <cell r="A581">
            <v>7121926</v>
          </cell>
        </row>
        <row r="582">
          <cell r="A582">
            <v>7121935</v>
          </cell>
        </row>
        <row r="583">
          <cell r="A583">
            <v>7121937</v>
          </cell>
        </row>
        <row r="584">
          <cell r="A584">
            <v>7121938</v>
          </cell>
        </row>
        <row r="585">
          <cell r="A585">
            <v>7121940</v>
          </cell>
        </row>
        <row r="586">
          <cell r="A586">
            <v>7121943</v>
          </cell>
        </row>
        <row r="587">
          <cell r="A587">
            <v>7121944</v>
          </cell>
        </row>
        <row r="588">
          <cell r="A588">
            <v>7121945</v>
          </cell>
        </row>
        <row r="589">
          <cell r="A589">
            <v>7121946</v>
          </cell>
        </row>
        <row r="590">
          <cell r="A590">
            <v>7121947</v>
          </cell>
        </row>
        <row r="591">
          <cell r="A591">
            <v>7121948</v>
          </cell>
        </row>
        <row r="592">
          <cell r="A592">
            <v>7121950</v>
          </cell>
        </row>
        <row r="593">
          <cell r="A593">
            <v>7121951</v>
          </cell>
        </row>
        <row r="594">
          <cell r="A594">
            <v>7121953</v>
          </cell>
        </row>
        <row r="595">
          <cell r="A595">
            <v>7121954</v>
          </cell>
        </row>
        <row r="596">
          <cell r="A596">
            <v>7121955</v>
          </cell>
        </row>
        <row r="597">
          <cell r="A597">
            <v>7121956</v>
          </cell>
        </row>
        <row r="598">
          <cell r="A598">
            <v>7122001</v>
          </cell>
        </row>
        <row r="599">
          <cell r="A599">
            <v>7122002</v>
          </cell>
        </row>
        <row r="600">
          <cell r="A600">
            <v>7122003</v>
          </cell>
        </row>
        <row r="601">
          <cell r="A601">
            <v>7122004</v>
          </cell>
        </row>
        <row r="602">
          <cell r="A602">
            <v>7122006</v>
          </cell>
        </row>
        <row r="603">
          <cell r="A603">
            <v>7122007</v>
          </cell>
        </row>
        <row r="604">
          <cell r="A604">
            <v>7122008</v>
          </cell>
        </row>
        <row r="605">
          <cell r="A605">
            <v>7122010</v>
          </cell>
        </row>
        <row r="606">
          <cell r="A606">
            <v>7122011</v>
          </cell>
        </row>
        <row r="607">
          <cell r="A607">
            <v>7122012</v>
          </cell>
        </row>
        <row r="608">
          <cell r="A608">
            <v>7122013</v>
          </cell>
        </row>
        <row r="609">
          <cell r="A609">
            <v>7122014</v>
          </cell>
        </row>
        <row r="610">
          <cell r="A610">
            <v>7122015</v>
          </cell>
        </row>
        <row r="611">
          <cell r="A611">
            <v>7122016</v>
          </cell>
        </row>
        <row r="612">
          <cell r="A612">
            <v>7122017</v>
          </cell>
        </row>
        <row r="613">
          <cell r="A613">
            <v>7122019</v>
          </cell>
        </row>
        <row r="614">
          <cell r="A614">
            <v>7122020</v>
          </cell>
        </row>
        <row r="615">
          <cell r="A615">
            <v>7122021</v>
          </cell>
        </row>
        <row r="616">
          <cell r="A616">
            <v>7122022</v>
          </cell>
        </row>
        <row r="617">
          <cell r="A617">
            <v>7122023</v>
          </cell>
        </row>
        <row r="618">
          <cell r="A618">
            <v>7122024</v>
          </cell>
        </row>
        <row r="619">
          <cell r="A619">
            <v>7122025</v>
          </cell>
        </row>
        <row r="620">
          <cell r="A620">
            <v>7122026</v>
          </cell>
        </row>
        <row r="621">
          <cell r="A621">
            <v>7122027</v>
          </cell>
        </row>
        <row r="622">
          <cell r="A622">
            <v>7122028</v>
          </cell>
        </row>
        <row r="623">
          <cell r="A623">
            <v>7122029</v>
          </cell>
        </row>
        <row r="624">
          <cell r="A624">
            <v>7122030</v>
          </cell>
        </row>
        <row r="625">
          <cell r="A625">
            <v>7122031</v>
          </cell>
        </row>
        <row r="626">
          <cell r="A626">
            <v>7122032</v>
          </cell>
        </row>
        <row r="627">
          <cell r="A627">
            <v>7122033</v>
          </cell>
        </row>
        <row r="628">
          <cell r="A628">
            <v>7122034</v>
          </cell>
        </row>
        <row r="629">
          <cell r="A629">
            <v>7122035</v>
          </cell>
        </row>
        <row r="630">
          <cell r="A630">
            <v>7122036</v>
          </cell>
        </row>
        <row r="631">
          <cell r="A631">
            <v>7122043</v>
          </cell>
        </row>
        <row r="632">
          <cell r="A632">
            <v>7122044</v>
          </cell>
        </row>
        <row r="633">
          <cell r="A633">
            <v>7122045</v>
          </cell>
        </row>
        <row r="634">
          <cell r="A634">
            <v>7122046</v>
          </cell>
        </row>
        <row r="635">
          <cell r="A635">
            <v>7122047</v>
          </cell>
        </row>
        <row r="636">
          <cell r="A636">
            <v>7122048</v>
          </cell>
        </row>
        <row r="637">
          <cell r="A637">
            <v>7122051</v>
          </cell>
        </row>
        <row r="638">
          <cell r="A638">
            <v>7122053</v>
          </cell>
        </row>
        <row r="639">
          <cell r="A639">
            <v>7122057</v>
          </cell>
        </row>
        <row r="640">
          <cell r="A640">
            <v>7122101</v>
          </cell>
        </row>
        <row r="641">
          <cell r="A641">
            <v>7122102</v>
          </cell>
        </row>
        <row r="642">
          <cell r="A642">
            <v>7122103</v>
          </cell>
        </row>
        <row r="643">
          <cell r="A643">
            <v>7122104</v>
          </cell>
        </row>
        <row r="644">
          <cell r="A644">
            <v>7122105</v>
          </cell>
        </row>
        <row r="645">
          <cell r="A645">
            <v>7122107</v>
          </cell>
        </row>
        <row r="646">
          <cell r="A646">
            <v>7122108</v>
          </cell>
        </row>
        <row r="647">
          <cell r="A647">
            <v>7122109</v>
          </cell>
        </row>
        <row r="648">
          <cell r="A648">
            <v>7122111</v>
          </cell>
        </row>
        <row r="649">
          <cell r="A649">
            <v>7122112</v>
          </cell>
        </row>
        <row r="650">
          <cell r="A650">
            <v>7122113</v>
          </cell>
        </row>
        <row r="651">
          <cell r="A651">
            <v>7122114</v>
          </cell>
        </row>
        <row r="652">
          <cell r="A652">
            <v>7122115</v>
          </cell>
        </row>
        <row r="653">
          <cell r="A653">
            <v>7122116</v>
          </cell>
        </row>
        <row r="654">
          <cell r="A654">
            <v>7122117</v>
          </cell>
        </row>
        <row r="655">
          <cell r="A655">
            <v>7122118</v>
          </cell>
        </row>
        <row r="656">
          <cell r="A656">
            <v>7122119</v>
          </cell>
        </row>
        <row r="657">
          <cell r="A657">
            <v>7122120</v>
          </cell>
        </row>
        <row r="658">
          <cell r="A658">
            <v>7122121</v>
          </cell>
        </row>
        <row r="659">
          <cell r="A659">
            <v>7122122</v>
          </cell>
        </row>
        <row r="660">
          <cell r="A660">
            <v>7122123</v>
          </cell>
        </row>
        <row r="661">
          <cell r="A661">
            <v>7122124</v>
          </cell>
        </row>
        <row r="662">
          <cell r="A662">
            <v>7122125</v>
          </cell>
        </row>
        <row r="663">
          <cell r="A663">
            <v>7122126</v>
          </cell>
        </row>
        <row r="664">
          <cell r="A664">
            <v>7122127</v>
          </cell>
        </row>
        <row r="665">
          <cell r="A665">
            <v>7122128</v>
          </cell>
        </row>
        <row r="666">
          <cell r="A666">
            <v>7122129</v>
          </cell>
        </row>
        <row r="667">
          <cell r="A667">
            <v>7122130</v>
          </cell>
        </row>
        <row r="668">
          <cell r="A668">
            <v>7122131</v>
          </cell>
        </row>
        <row r="669">
          <cell r="A669">
            <v>7122132</v>
          </cell>
        </row>
        <row r="670">
          <cell r="A670">
            <v>7122133</v>
          </cell>
        </row>
        <row r="671">
          <cell r="A671">
            <v>7122134</v>
          </cell>
        </row>
        <row r="672">
          <cell r="A672">
            <v>7122135</v>
          </cell>
        </row>
        <row r="673">
          <cell r="A673">
            <v>7122136</v>
          </cell>
        </row>
        <row r="674">
          <cell r="A674">
            <v>7122137</v>
          </cell>
        </row>
        <row r="675">
          <cell r="A675">
            <v>7122138</v>
          </cell>
        </row>
        <row r="676">
          <cell r="A676">
            <v>7122139</v>
          </cell>
        </row>
        <row r="677">
          <cell r="A677">
            <v>7122140</v>
          </cell>
        </row>
        <row r="678">
          <cell r="A678">
            <v>7122141</v>
          </cell>
        </row>
        <row r="679">
          <cell r="A679">
            <v>7122142</v>
          </cell>
        </row>
        <row r="680">
          <cell r="A680">
            <v>7122143</v>
          </cell>
        </row>
        <row r="681">
          <cell r="A681">
            <v>7122144</v>
          </cell>
        </row>
        <row r="682">
          <cell r="A682">
            <v>7122146</v>
          </cell>
        </row>
        <row r="683">
          <cell r="A683">
            <v>7122147</v>
          </cell>
        </row>
        <row r="684">
          <cell r="A684">
            <v>7122148</v>
          </cell>
        </row>
        <row r="685">
          <cell r="A685">
            <v>7122149</v>
          </cell>
        </row>
        <row r="686">
          <cell r="A686">
            <v>7122150</v>
          </cell>
        </row>
        <row r="687">
          <cell r="A687">
            <v>7122151</v>
          </cell>
        </row>
        <row r="688">
          <cell r="A688">
            <v>7122152</v>
          </cell>
        </row>
        <row r="689">
          <cell r="A689">
            <v>7122160</v>
          </cell>
        </row>
        <row r="690">
          <cell r="A690">
            <v>7122201</v>
          </cell>
        </row>
        <row r="691">
          <cell r="A691">
            <v>7122202</v>
          </cell>
        </row>
        <row r="692">
          <cell r="A692">
            <v>7122203</v>
          </cell>
        </row>
        <row r="693">
          <cell r="A693">
            <v>7122204</v>
          </cell>
        </row>
        <row r="694">
          <cell r="A694">
            <v>7122206</v>
          </cell>
        </row>
        <row r="695">
          <cell r="A695">
            <v>7122207</v>
          </cell>
        </row>
        <row r="696">
          <cell r="A696">
            <v>7122208</v>
          </cell>
        </row>
        <row r="697">
          <cell r="A697">
            <v>7122209</v>
          </cell>
        </row>
        <row r="698">
          <cell r="A698">
            <v>7122210</v>
          </cell>
        </row>
        <row r="699">
          <cell r="A699">
            <v>7122211</v>
          </cell>
        </row>
        <row r="700">
          <cell r="A700">
            <v>7122212</v>
          </cell>
        </row>
        <row r="701">
          <cell r="A701">
            <v>7122213</v>
          </cell>
        </row>
        <row r="702">
          <cell r="A702">
            <v>7122214</v>
          </cell>
        </row>
        <row r="703">
          <cell r="A703">
            <v>7122215</v>
          </cell>
        </row>
        <row r="704">
          <cell r="A704">
            <v>7122216</v>
          </cell>
        </row>
        <row r="705">
          <cell r="A705">
            <v>7122217</v>
          </cell>
        </row>
        <row r="706">
          <cell r="A706">
            <v>7122218</v>
          </cell>
        </row>
        <row r="707">
          <cell r="A707">
            <v>7122219</v>
          </cell>
        </row>
        <row r="708">
          <cell r="A708">
            <v>7122220</v>
          </cell>
        </row>
        <row r="709">
          <cell r="A709">
            <v>7122221</v>
          </cell>
        </row>
        <row r="710">
          <cell r="A710">
            <v>7122222</v>
          </cell>
        </row>
        <row r="711">
          <cell r="A711">
            <v>7122223</v>
          </cell>
        </row>
        <row r="712">
          <cell r="A712">
            <v>7122224</v>
          </cell>
        </row>
        <row r="713">
          <cell r="A713">
            <v>7122225</v>
          </cell>
        </row>
        <row r="714">
          <cell r="A714">
            <v>7122226</v>
          </cell>
        </row>
        <row r="715">
          <cell r="A715">
            <v>7122227</v>
          </cell>
        </row>
        <row r="716">
          <cell r="A716">
            <v>7122228</v>
          </cell>
        </row>
        <row r="717">
          <cell r="A717">
            <v>7122229</v>
          </cell>
        </row>
        <row r="718">
          <cell r="A718">
            <v>7122232</v>
          </cell>
        </row>
        <row r="719">
          <cell r="A719">
            <v>7122233</v>
          </cell>
        </row>
        <row r="720">
          <cell r="A720">
            <v>7122234</v>
          </cell>
        </row>
        <row r="721">
          <cell r="A721">
            <v>7122236</v>
          </cell>
        </row>
        <row r="722">
          <cell r="A722">
            <v>7122237</v>
          </cell>
        </row>
        <row r="723">
          <cell r="A723">
            <v>7122238</v>
          </cell>
        </row>
        <row r="724">
          <cell r="A724">
            <v>7122239</v>
          </cell>
        </row>
        <row r="725">
          <cell r="A725">
            <v>7122401</v>
          </cell>
        </row>
        <row r="726">
          <cell r="A726">
            <v>7122402</v>
          </cell>
        </row>
        <row r="727">
          <cell r="A727">
            <v>7122403</v>
          </cell>
        </row>
        <row r="728">
          <cell r="A728">
            <v>7122404</v>
          </cell>
        </row>
        <row r="729">
          <cell r="A729">
            <v>7122405</v>
          </cell>
        </row>
        <row r="730">
          <cell r="A730">
            <v>7122406</v>
          </cell>
        </row>
        <row r="731">
          <cell r="A731">
            <v>7122407</v>
          </cell>
        </row>
        <row r="732">
          <cell r="A732">
            <v>7122408</v>
          </cell>
        </row>
        <row r="733">
          <cell r="A733">
            <v>7122409</v>
          </cell>
        </row>
        <row r="734">
          <cell r="A734">
            <v>7122410</v>
          </cell>
        </row>
        <row r="735">
          <cell r="A735">
            <v>7122411</v>
          </cell>
        </row>
        <row r="736">
          <cell r="A736">
            <v>7122412</v>
          </cell>
        </row>
        <row r="737">
          <cell r="A737">
            <v>7122413</v>
          </cell>
        </row>
        <row r="738">
          <cell r="A738">
            <v>7122414</v>
          </cell>
        </row>
        <row r="739">
          <cell r="A739">
            <v>7122415</v>
          </cell>
        </row>
        <row r="740">
          <cell r="A740">
            <v>7122416</v>
          </cell>
        </row>
        <row r="741">
          <cell r="A741">
            <v>7122417</v>
          </cell>
        </row>
        <row r="742">
          <cell r="A742">
            <v>7122418</v>
          </cell>
        </row>
        <row r="743">
          <cell r="A743">
            <v>7122420</v>
          </cell>
        </row>
        <row r="744">
          <cell r="A744">
            <v>7122421</v>
          </cell>
        </row>
        <row r="745">
          <cell r="A745">
            <v>7122422</v>
          </cell>
        </row>
        <row r="746">
          <cell r="A746">
            <v>7122423</v>
          </cell>
        </row>
        <row r="747">
          <cell r="A747">
            <v>7122424</v>
          </cell>
        </row>
        <row r="748">
          <cell r="A748">
            <v>7122425</v>
          </cell>
        </row>
        <row r="749">
          <cell r="A749">
            <v>7122429</v>
          </cell>
        </row>
        <row r="750">
          <cell r="A750">
            <v>7122430</v>
          </cell>
        </row>
        <row r="751">
          <cell r="A751">
            <v>7122431</v>
          </cell>
        </row>
        <row r="752">
          <cell r="A752">
            <v>7122432</v>
          </cell>
        </row>
        <row r="753">
          <cell r="A753">
            <v>7122433</v>
          </cell>
        </row>
        <row r="754">
          <cell r="A754">
            <v>7122434</v>
          </cell>
        </row>
        <row r="755">
          <cell r="A755">
            <v>7122435</v>
          </cell>
        </row>
        <row r="756">
          <cell r="A756">
            <v>7122436</v>
          </cell>
        </row>
        <row r="757">
          <cell r="A757">
            <v>7122441</v>
          </cell>
        </row>
        <row r="758">
          <cell r="A758">
            <v>7122443</v>
          </cell>
        </row>
        <row r="759">
          <cell r="A759">
            <v>7122444</v>
          </cell>
        </row>
        <row r="760">
          <cell r="A760">
            <v>7122445</v>
          </cell>
        </row>
        <row r="761">
          <cell r="A761">
            <v>7122446</v>
          </cell>
        </row>
        <row r="762">
          <cell r="A762">
            <v>7122447</v>
          </cell>
        </row>
        <row r="763">
          <cell r="A763">
            <v>7122448</v>
          </cell>
        </row>
        <row r="764">
          <cell r="A764">
            <v>7122449</v>
          </cell>
        </row>
        <row r="765">
          <cell r="A765">
            <v>7122450</v>
          </cell>
        </row>
        <row r="766">
          <cell r="A766">
            <v>7122452</v>
          </cell>
        </row>
        <row r="767">
          <cell r="A767">
            <v>7122454</v>
          </cell>
        </row>
        <row r="768">
          <cell r="A768">
            <v>7122455</v>
          </cell>
        </row>
        <row r="769">
          <cell r="A769">
            <v>7122456</v>
          </cell>
        </row>
        <row r="770">
          <cell r="A770">
            <v>7122501</v>
          </cell>
        </row>
        <row r="771">
          <cell r="A771">
            <v>7122502</v>
          </cell>
        </row>
        <row r="772">
          <cell r="A772">
            <v>7122503</v>
          </cell>
        </row>
        <row r="773">
          <cell r="A773">
            <v>7122504</v>
          </cell>
        </row>
        <row r="774">
          <cell r="A774">
            <v>7122505</v>
          </cell>
        </row>
        <row r="775">
          <cell r="A775">
            <v>7122506</v>
          </cell>
        </row>
        <row r="776">
          <cell r="A776">
            <v>7122507</v>
          </cell>
        </row>
        <row r="777">
          <cell r="A777">
            <v>7122508</v>
          </cell>
        </row>
        <row r="778">
          <cell r="A778">
            <v>7122509</v>
          </cell>
        </row>
        <row r="779">
          <cell r="A779">
            <v>7122510</v>
          </cell>
        </row>
        <row r="780">
          <cell r="A780">
            <v>7122511</v>
          </cell>
        </row>
        <row r="781">
          <cell r="A781">
            <v>7122512</v>
          </cell>
        </row>
        <row r="782">
          <cell r="A782">
            <v>7122513</v>
          </cell>
        </row>
        <row r="783">
          <cell r="A783">
            <v>7122514</v>
          </cell>
        </row>
        <row r="784">
          <cell r="A784">
            <v>7122515</v>
          </cell>
        </row>
        <row r="785">
          <cell r="A785">
            <v>7122516</v>
          </cell>
        </row>
        <row r="786">
          <cell r="A786">
            <v>7122521</v>
          </cell>
        </row>
        <row r="787">
          <cell r="A787">
            <v>7122522</v>
          </cell>
        </row>
        <row r="788">
          <cell r="A788">
            <v>7122523</v>
          </cell>
        </row>
        <row r="789">
          <cell r="A789">
            <v>7122524</v>
          </cell>
        </row>
        <row r="790">
          <cell r="A790">
            <v>7122525</v>
          </cell>
        </row>
        <row r="791">
          <cell r="A791">
            <v>7122526</v>
          </cell>
        </row>
        <row r="792">
          <cell r="A792">
            <v>7122527</v>
          </cell>
        </row>
        <row r="793">
          <cell r="A793">
            <v>7122528</v>
          </cell>
        </row>
        <row r="794">
          <cell r="A794">
            <v>7122529</v>
          </cell>
        </row>
        <row r="795">
          <cell r="A795">
            <v>7122530</v>
          </cell>
        </row>
        <row r="796">
          <cell r="A796">
            <v>7122531</v>
          </cell>
        </row>
        <row r="797">
          <cell r="A797">
            <v>7122532</v>
          </cell>
        </row>
        <row r="798">
          <cell r="A798">
            <v>7122533</v>
          </cell>
        </row>
        <row r="799">
          <cell r="A799">
            <v>7122534</v>
          </cell>
        </row>
        <row r="800">
          <cell r="A800">
            <v>7122535</v>
          </cell>
        </row>
        <row r="801">
          <cell r="A801">
            <v>7122601</v>
          </cell>
        </row>
        <row r="802">
          <cell r="A802">
            <v>7122602</v>
          </cell>
        </row>
        <row r="803">
          <cell r="A803">
            <v>7122603</v>
          </cell>
        </row>
        <row r="804">
          <cell r="A804">
            <v>7122604</v>
          </cell>
        </row>
        <row r="805">
          <cell r="A805">
            <v>7122605</v>
          </cell>
        </row>
        <row r="806">
          <cell r="A806">
            <v>7122606</v>
          </cell>
        </row>
        <row r="807">
          <cell r="A807">
            <v>7122607</v>
          </cell>
        </row>
        <row r="808">
          <cell r="A808">
            <v>7122608</v>
          </cell>
        </row>
        <row r="809">
          <cell r="A809">
            <v>7122609</v>
          </cell>
        </row>
        <row r="810">
          <cell r="A810">
            <v>7122610</v>
          </cell>
        </row>
        <row r="811">
          <cell r="A811">
            <v>7122611</v>
          </cell>
        </row>
        <row r="812">
          <cell r="A812">
            <v>7122612</v>
          </cell>
        </row>
        <row r="813">
          <cell r="A813">
            <v>7122613</v>
          </cell>
        </row>
        <row r="814">
          <cell r="A814">
            <v>7122614</v>
          </cell>
        </row>
        <row r="815">
          <cell r="A815">
            <v>7122615</v>
          </cell>
        </row>
        <row r="816">
          <cell r="A816">
            <v>7122616</v>
          </cell>
        </row>
        <row r="817">
          <cell r="A817">
            <v>7122617</v>
          </cell>
        </row>
        <row r="818">
          <cell r="A818">
            <v>7122618</v>
          </cell>
        </row>
        <row r="819">
          <cell r="A819">
            <v>7122619</v>
          </cell>
        </row>
        <row r="820">
          <cell r="A820">
            <v>7122620</v>
          </cell>
        </row>
        <row r="821">
          <cell r="A821">
            <v>7122621</v>
          </cell>
        </row>
        <row r="822">
          <cell r="A822">
            <v>7122622</v>
          </cell>
        </row>
        <row r="823">
          <cell r="A823">
            <v>7122623</v>
          </cell>
        </row>
        <row r="824">
          <cell r="A824">
            <v>7122624</v>
          </cell>
        </row>
        <row r="825">
          <cell r="A825">
            <v>7122625</v>
          </cell>
        </row>
        <row r="826">
          <cell r="A826">
            <v>7122626</v>
          </cell>
        </row>
        <row r="827">
          <cell r="A827">
            <v>7122627</v>
          </cell>
        </row>
        <row r="828">
          <cell r="A828">
            <v>8010401</v>
          </cell>
        </row>
        <row r="829">
          <cell r="A829">
            <v>8010402</v>
          </cell>
        </row>
        <row r="830">
          <cell r="A830">
            <v>8010403</v>
          </cell>
        </row>
        <row r="831">
          <cell r="A831">
            <v>8010404</v>
          </cell>
        </row>
        <row r="832">
          <cell r="A832">
            <v>8010405</v>
          </cell>
        </row>
        <row r="833">
          <cell r="A833">
            <v>8010406</v>
          </cell>
        </row>
        <row r="834">
          <cell r="A834">
            <v>8010407</v>
          </cell>
        </row>
        <row r="835">
          <cell r="A835">
            <v>8010408</v>
          </cell>
        </row>
        <row r="836">
          <cell r="A836">
            <v>8010409</v>
          </cell>
        </row>
        <row r="837">
          <cell r="A837">
            <v>8010410</v>
          </cell>
        </row>
        <row r="838">
          <cell r="A838">
            <v>8010415</v>
          </cell>
        </row>
        <row r="839">
          <cell r="A839">
            <v>8010416</v>
          </cell>
        </row>
        <row r="840">
          <cell r="A840">
            <v>8010417</v>
          </cell>
        </row>
        <row r="841">
          <cell r="A841">
            <v>8010418</v>
          </cell>
        </row>
        <row r="842">
          <cell r="A842">
            <v>8010419</v>
          </cell>
        </row>
        <row r="843">
          <cell r="A843">
            <v>8010420</v>
          </cell>
        </row>
        <row r="844">
          <cell r="A844">
            <v>8010421</v>
          </cell>
        </row>
        <row r="845">
          <cell r="A845">
            <v>8010422</v>
          </cell>
        </row>
        <row r="846">
          <cell r="A846">
            <v>8010423</v>
          </cell>
        </row>
        <row r="847">
          <cell r="A847">
            <v>8010424</v>
          </cell>
        </row>
        <row r="848">
          <cell r="A848">
            <v>8010425</v>
          </cell>
        </row>
        <row r="849">
          <cell r="A849">
            <v>8010426</v>
          </cell>
        </row>
        <row r="850">
          <cell r="A850">
            <v>8010501</v>
          </cell>
        </row>
        <row r="851">
          <cell r="A851">
            <v>8010502</v>
          </cell>
        </row>
        <row r="852">
          <cell r="A852">
            <v>8010503</v>
          </cell>
        </row>
        <row r="853">
          <cell r="A853">
            <v>8010504</v>
          </cell>
        </row>
        <row r="854">
          <cell r="A854">
            <v>8010505</v>
          </cell>
        </row>
        <row r="855">
          <cell r="A855">
            <v>8010506</v>
          </cell>
        </row>
        <row r="856">
          <cell r="A856">
            <v>8010507</v>
          </cell>
        </row>
        <row r="857">
          <cell r="A857">
            <v>8010508</v>
          </cell>
        </row>
        <row r="858">
          <cell r="A858">
            <v>8010509</v>
          </cell>
        </row>
        <row r="859">
          <cell r="A859">
            <v>8010510</v>
          </cell>
        </row>
        <row r="860">
          <cell r="A860">
            <v>8010511</v>
          </cell>
        </row>
        <row r="861">
          <cell r="A861">
            <v>8010512</v>
          </cell>
        </row>
        <row r="862">
          <cell r="A862">
            <v>8010513</v>
          </cell>
        </row>
        <row r="863">
          <cell r="A863">
            <v>8010514</v>
          </cell>
        </row>
        <row r="864">
          <cell r="A864">
            <v>8010515</v>
          </cell>
        </row>
        <row r="865">
          <cell r="A865">
            <v>8010516</v>
          </cell>
        </row>
        <row r="866">
          <cell r="A866">
            <v>8010517</v>
          </cell>
        </row>
        <row r="867">
          <cell r="A867">
            <v>8010518</v>
          </cell>
        </row>
        <row r="868">
          <cell r="A868">
            <v>8010519</v>
          </cell>
        </row>
        <row r="869">
          <cell r="A869">
            <v>8010520</v>
          </cell>
        </row>
        <row r="870">
          <cell r="A870">
            <v>8010525</v>
          </cell>
        </row>
        <row r="871">
          <cell r="A871">
            <v>8010526</v>
          </cell>
        </row>
        <row r="872">
          <cell r="A872">
            <v>8010527</v>
          </cell>
        </row>
        <row r="873">
          <cell r="A873">
            <v>8010528</v>
          </cell>
        </row>
        <row r="874">
          <cell r="A874">
            <v>8010529</v>
          </cell>
        </row>
        <row r="875">
          <cell r="A875">
            <v>8010530</v>
          </cell>
        </row>
        <row r="876">
          <cell r="A876">
            <v>8010531</v>
          </cell>
        </row>
        <row r="877">
          <cell r="A877">
            <v>8010601</v>
          </cell>
        </row>
        <row r="878">
          <cell r="A878">
            <v>8010602</v>
          </cell>
        </row>
        <row r="879">
          <cell r="A879">
            <v>8010603</v>
          </cell>
        </row>
        <row r="880">
          <cell r="A880">
            <v>8010604</v>
          </cell>
        </row>
        <row r="881">
          <cell r="A881">
            <v>8010605</v>
          </cell>
        </row>
        <row r="882">
          <cell r="A882">
            <v>8010606</v>
          </cell>
        </row>
        <row r="883">
          <cell r="A883">
            <v>8010607</v>
          </cell>
        </row>
        <row r="884">
          <cell r="A884">
            <v>8010608</v>
          </cell>
        </row>
        <row r="885">
          <cell r="A885">
            <v>8010614</v>
          </cell>
        </row>
        <row r="886">
          <cell r="A886">
            <v>8010615</v>
          </cell>
        </row>
        <row r="887">
          <cell r="A887">
            <v>8010616</v>
          </cell>
        </row>
        <row r="888">
          <cell r="A888">
            <v>8010617</v>
          </cell>
        </row>
        <row r="889">
          <cell r="A889">
            <v>8010618</v>
          </cell>
        </row>
        <row r="890">
          <cell r="A890">
            <v>8010701</v>
          </cell>
        </row>
        <row r="891">
          <cell r="A891">
            <v>8010702</v>
          </cell>
        </row>
        <row r="892">
          <cell r="A892">
            <v>8010703</v>
          </cell>
        </row>
        <row r="893">
          <cell r="A893">
            <v>8010704</v>
          </cell>
        </row>
        <row r="894">
          <cell r="A894">
            <v>8010705</v>
          </cell>
        </row>
        <row r="895">
          <cell r="A895">
            <v>8010706</v>
          </cell>
        </row>
        <row r="896">
          <cell r="A896">
            <v>8010707</v>
          </cell>
        </row>
        <row r="897">
          <cell r="A897">
            <v>8010708</v>
          </cell>
        </row>
        <row r="898">
          <cell r="A898">
            <v>8010709</v>
          </cell>
        </row>
        <row r="899">
          <cell r="A899">
            <v>8010710</v>
          </cell>
        </row>
        <row r="900">
          <cell r="A900">
            <v>8010711</v>
          </cell>
        </row>
        <row r="901">
          <cell r="A901">
            <v>8010712</v>
          </cell>
        </row>
        <row r="902">
          <cell r="A902">
            <v>8010713</v>
          </cell>
        </row>
        <row r="903">
          <cell r="A903">
            <v>8010714</v>
          </cell>
        </row>
        <row r="904">
          <cell r="A904">
            <v>8010715</v>
          </cell>
        </row>
        <row r="905">
          <cell r="A905">
            <v>8010716</v>
          </cell>
        </row>
        <row r="906">
          <cell r="A906">
            <v>8010717</v>
          </cell>
        </row>
        <row r="907">
          <cell r="A907">
            <v>8010718</v>
          </cell>
        </row>
        <row r="908">
          <cell r="A908">
            <v>8010719</v>
          </cell>
        </row>
        <row r="909">
          <cell r="A909">
            <v>8010720</v>
          </cell>
        </row>
        <row r="910">
          <cell r="A910">
            <v>8010721</v>
          </cell>
        </row>
        <row r="911">
          <cell r="A911">
            <v>8010722</v>
          </cell>
        </row>
        <row r="912">
          <cell r="A912">
            <v>8010728</v>
          </cell>
        </row>
        <row r="913">
          <cell r="A913">
            <v>8010729</v>
          </cell>
        </row>
        <row r="914">
          <cell r="A914">
            <v>8010730</v>
          </cell>
        </row>
        <row r="915">
          <cell r="A915">
            <v>8010731</v>
          </cell>
        </row>
        <row r="916">
          <cell r="A916">
            <v>8010732</v>
          </cell>
        </row>
        <row r="917">
          <cell r="A917">
            <v>8010733</v>
          </cell>
        </row>
        <row r="918">
          <cell r="A918">
            <v>8010734</v>
          </cell>
        </row>
        <row r="919">
          <cell r="A919">
            <v>8010735</v>
          </cell>
        </row>
        <row r="920">
          <cell r="A920">
            <v>8010736</v>
          </cell>
        </row>
        <row r="921">
          <cell r="A921">
            <v>8010737</v>
          </cell>
        </row>
        <row r="922">
          <cell r="A922">
            <v>8010738</v>
          </cell>
        </row>
        <row r="923">
          <cell r="A923">
            <v>8010801</v>
          </cell>
        </row>
        <row r="924">
          <cell r="A924">
            <v>8010802</v>
          </cell>
        </row>
        <row r="925">
          <cell r="A925">
            <v>8010803</v>
          </cell>
        </row>
        <row r="926">
          <cell r="A926">
            <v>8010804</v>
          </cell>
        </row>
        <row r="927">
          <cell r="A927">
            <v>8010805</v>
          </cell>
        </row>
        <row r="928">
          <cell r="A928">
            <v>8010806</v>
          </cell>
        </row>
        <row r="929">
          <cell r="A929">
            <v>8010807</v>
          </cell>
        </row>
        <row r="930">
          <cell r="A930">
            <v>8010808</v>
          </cell>
        </row>
        <row r="931">
          <cell r="A931">
            <v>8010809</v>
          </cell>
        </row>
        <row r="932">
          <cell r="A932">
            <v>8010810</v>
          </cell>
        </row>
        <row r="933">
          <cell r="A933">
            <v>8010811</v>
          </cell>
        </row>
        <row r="934">
          <cell r="A934">
            <v>8010812</v>
          </cell>
        </row>
        <row r="935">
          <cell r="A935">
            <v>8010813</v>
          </cell>
        </row>
        <row r="936">
          <cell r="A936">
            <v>8010814</v>
          </cell>
        </row>
        <row r="937">
          <cell r="A937">
            <v>8010815</v>
          </cell>
        </row>
        <row r="938">
          <cell r="A938">
            <v>8010816</v>
          </cell>
        </row>
        <row r="939">
          <cell r="A939">
            <v>8010817</v>
          </cell>
        </row>
        <row r="940">
          <cell r="A940">
            <v>8010818</v>
          </cell>
        </row>
        <row r="941">
          <cell r="A941">
            <v>8010819</v>
          </cell>
        </row>
        <row r="942">
          <cell r="A942">
            <v>8010820</v>
          </cell>
        </row>
        <row r="943">
          <cell r="A943">
            <v>8010821</v>
          </cell>
        </row>
        <row r="944">
          <cell r="A944">
            <v>8010822</v>
          </cell>
        </row>
        <row r="945">
          <cell r="A945">
            <v>8010823</v>
          </cell>
        </row>
        <row r="946">
          <cell r="A946">
            <v>8010824</v>
          </cell>
        </row>
        <row r="947">
          <cell r="A947">
            <v>8010825</v>
          </cell>
        </row>
        <row r="948">
          <cell r="A948">
            <v>8010826</v>
          </cell>
        </row>
        <row r="949">
          <cell r="A949">
            <v>8010827</v>
          </cell>
        </row>
        <row r="950">
          <cell r="A950">
            <v>8010828</v>
          </cell>
        </row>
        <row r="951">
          <cell r="A951">
            <v>8010829</v>
          </cell>
        </row>
        <row r="952">
          <cell r="A952">
            <v>8010832</v>
          </cell>
        </row>
        <row r="953">
          <cell r="A953">
            <v>8010901</v>
          </cell>
        </row>
        <row r="954">
          <cell r="A954">
            <v>8010902</v>
          </cell>
        </row>
        <row r="955">
          <cell r="A955">
            <v>8010903</v>
          </cell>
        </row>
        <row r="956">
          <cell r="A956">
            <v>8010904</v>
          </cell>
        </row>
        <row r="957">
          <cell r="A957">
            <v>8010905</v>
          </cell>
        </row>
        <row r="958">
          <cell r="A958">
            <v>8010906</v>
          </cell>
        </row>
        <row r="959">
          <cell r="A959">
            <v>8010907</v>
          </cell>
        </row>
        <row r="960">
          <cell r="A960">
            <v>8010908</v>
          </cell>
        </row>
        <row r="961">
          <cell r="A961">
            <v>8010909</v>
          </cell>
        </row>
        <row r="962">
          <cell r="A962">
            <v>8010910</v>
          </cell>
        </row>
        <row r="963">
          <cell r="A963">
            <v>8010911</v>
          </cell>
        </row>
        <row r="964">
          <cell r="A964">
            <v>8010912</v>
          </cell>
        </row>
        <row r="965">
          <cell r="A965">
            <v>8010913</v>
          </cell>
        </row>
        <row r="966">
          <cell r="A966">
            <v>8010914</v>
          </cell>
        </row>
        <row r="967">
          <cell r="A967">
            <v>8010915</v>
          </cell>
        </row>
        <row r="968">
          <cell r="A968">
            <v>8010916</v>
          </cell>
        </row>
        <row r="969">
          <cell r="A969">
            <v>8010917</v>
          </cell>
        </row>
        <row r="970">
          <cell r="A970">
            <v>8010918</v>
          </cell>
        </row>
        <row r="971">
          <cell r="A971">
            <v>8010919</v>
          </cell>
        </row>
        <row r="972">
          <cell r="A972">
            <v>8010920</v>
          </cell>
        </row>
        <row r="973">
          <cell r="A973">
            <v>8010921</v>
          </cell>
        </row>
        <row r="974">
          <cell r="A974">
            <v>8010922</v>
          </cell>
        </row>
        <row r="975">
          <cell r="A975">
            <v>8010923</v>
          </cell>
        </row>
        <row r="976">
          <cell r="A976">
            <v>8010924</v>
          </cell>
        </row>
        <row r="977">
          <cell r="A977">
            <v>8010925</v>
          </cell>
        </row>
        <row r="978">
          <cell r="A978">
            <v>8010926</v>
          </cell>
        </row>
        <row r="979">
          <cell r="A979">
            <v>8010927</v>
          </cell>
        </row>
        <row r="980">
          <cell r="A980">
            <v>8010928</v>
          </cell>
        </row>
        <row r="981">
          <cell r="A981">
            <v>8010929</v>
          </cell>
        </row>
        <row r="982">
          <cell r="A982">
            <v>8010930</v>
          </cell>
        </row>
        <row r="983">
          <cell r="A983">
            <v>8010931</v>
          </cell>
        </row>
        <row r="984">
          <cell r="A984">
            <v>8010932</v>
          </cell>
        </row>
        <row r="985">
          <cell r="A985">
            <v>8010933</v>
          </cell>
        </row>
        <row r="986">
          <cell r="A986">
            <v>8010934</v>
          </cell>
        </row>
        <row r="987">
          <cell r="A987">
            <v>8010935</v>
          </cell>
        </row>
        <row r="988">
          <cell r="A988">
            <v>8010936</v>
          </cell>
        </row>
        <row r="989">
          <cell r="A989">
            <v>8010937</v>
          </cell>
        </row>
        <row r="990">
          <cell r="A990">
            <v>8010938</v>
          </cell>
        </row>
        <row r="991">
          <cell r="A991">
            <v>8010939</v>
          </cell>
        </row>
        <row r="992">
          <cell r="A992">
            <v>8010940</v>
          </cell>
        </row>
        <row r="993">
          <cell r="A993">
            <v>8010941</v>
          </cell>
        </row>
        <row r="994">
          <cell r="A994">
            <v>8010942</v>
          </cell>
        </row>
        <row r="995">
          <cell r="A995">
            <v>8010943</v>
          </cell>
        </row>
        <row r="996">
          <cell r="A996">
            <v>8010944</v>
          </cell>
        </row>
        <row r="997">
          <cell r="A997">
            <v>8010945</v>
          </cell>
        </row>
        <row r="998">
          <cell r="A998">
            <v>8010946</v>
          </cell>
        </row>
        <row r="999">
          <cell r="A999">
            <v>8010947</v>
          </cell>
        </row>
        <row r="1000">
          <cell r="A1000">
            <v>8011001</v>
          </cell>
        </row>
        <row r="1001">
          <cell r="A1001">
            <v>8011002</v>
          </cell>
        </row>
        <row r="1002">
          <cell r="A1002">
            <v>8011003</v>
          </cell>
        </row>
        <row r="1003">
          <cell r="A1003">
            <v>8011004</v>
          </cell>
        </row>
        <row r="1004">
          <cell r="A1004">
            <v>8011005</v>
          </cell>
        </row>
        <row r="1005">
          <cell r="A1005">
            <v>8011006</v>
          </cell>
        </row>
        <row r="1006">
          <cell r="A1006">
            <v>8011007</v>
          </cell>
        </row>
        <row r="1007">
          <cell r="A1007">
            <v>8011008</v>
          </cell>
        </row>
        <row r="1008">
          <cell r="A1008">
            <v>8011009</v>
          </cell>
        </row>
        <row r="1009">
          <cell r="A1009">
            <v>8011010</v>
          </cell>
        </row>
        <row r="1010">
          <cell r="A1010">
            <v>8011011</v>
          </cell>
        </row>
        <row r="1011">
          <cell r="A1011">
            <v>8011012</v>
          </cell>
        </row>
        <row r="1012">
          <cell r="A1012">
            <v>8011013</v>
          </cell>
        </row>
        <row r="1013">
          <cell r="A1013">
            <v>8011014</v>
          </cell>
        </row>
        <row r="1014">
          <cell r="A1014">
            <v>8011015</v>
          </cell>
        </row>
        <row r="1015">
          <cell r="A1015">
            <v>8011016</v>
          </cell>
        </row>
        <row r="1016">
          <cell r="A1016">
            <v>8011017</v>
          </cell>
        </row>
        <row r="1017">
          <cell r="A1017">
            <v>8011026</v>
          </cell>
        </row>
        <row r="1018">
          <cell r="A1018">
            <v>8011032</v>
          </cell>
        </row>
        <row r="1019">
          <cell r="A1019">
            <v>8011033</v>
          </cell>
        </row>
        <row r="1020">
          <cell r="A1020">
            <v>8011034</v>
          </cell>
        </row>
        <row r="1021">
          <cell r="A1021">
            <v>8011101</v>
          </cell>
        </row>
        <row r="1022">
          <cell r="A1022">
            <v>8011102</v>
          </cell>
        </row>
        <row r="1023">
          <cell r="A1023">
            <v>8011103</v>
          </cell>
        </row>
        <row r="1024">
          <cell r="A1024">
            <v>8011104</v>
          </cell>
        </row>
        <row r="1025">
          <cell r="A1025">
            <v>8011105</v>
          </cell>
        </row>
        <row r="1026">
          <cell r="A1026">
            <v>8011106</v>
          </cell>
        </row>
        <row r="1027">
          <cell r="A1027">
            <v>8011107</v>
          </cell>
        </row>
        <row r="1028">
          <cell r="A1028">
            <v>8011108</v>
          </cell>
        </row>
        <row r="1029">
          <cell r="A1029">
            <v>8011109</v>
          </cell>
        </row>
        <row r="1030">
          <cell r="A1030">
            <v>8011110</v>
          </cell>
        </row>
        <row r="1031">
          <cell r="A1031">
            <v>8011111</v>
          </cell>
        </row>
        <row r="1032">
          <cell r="A1032">
            <v>8011112</v>
          </cell>
        </row>
        <row r="1033">
          <cell r="A1033">
            <v>8011113</v>
          </cell>
        </row>
        <row r="1034">
          <cell r="A1034">
            <v>8011114</v>
          </cell>
        </row>
        <row r="1035">
          <cell r="A1035">
            <v>8011115</v>
          </cell>
        </row>
        <row r="1036">
          <cell r="A1036">
            <v>8011116</v>
          </cell>
        </row>
        <row r="1037">
          <cell r="A1037">
            <v>8011117</v>
          </cell>
        </row>
        <row r="1038">
          <cell r="A1038">
            <v>8011118</v>
          </cell>
        </row>
        <row r="1039">
          <cell r="A1039">
            <v>8011119</v>
          </cell>
        </row>
        <row r="1040">
          <cell r="A1040">
            <v>8011120</v>
          </cell>
        </row>
        <row r="1041">
          <cell r="A1041">
            <v>8011121</v>
          </cell>
        </row>
        <row r="1042">
          <cell r="A1042">
            <v>8011122</v>
          </cell>
        </row>
        <row r="1043">
          <cell r="A1043">
            <v>8011123</v>
          </cell>
        </row>
        <row r="1044">
          <cell r="A1044">
            <v>8011124</v>
          </cell>
        </row>
        <row r="1045">
          <cell r="A1045">
            <v>8011125</v>
          </cell>
        </row>
        <row r="1046">
          <cell r="A1046">
            <v>8011126</v>
          </cell>
        </row>
        <row r="1047">
          <cell r="A1047">
            <v>8011127</v>
          </cell>
        </row>
        <row r="1048">
          <cell r="A1048">
            <v>8011128</v>
          </cell>
        </row>
        <row r="1049">
          <cell r="A1049">
            <v>8011129</v>
          </cell>
        </row>
        <row r="1050">
          <cell r="A1050">
            <v>8011130</v>
          </cell>
        </row>
        <row r="1051">
          <cell r="A1051">
            <v>8011131</v>
          </cell>
        </row>
        <row r="1052">
          <cell r="A1052">
            <v>8011132</v>
          </cell>
        </row>
        <row r="1053">
          <cell r="A1053">
            <v>8011133</v>
          </cell>
        </row>
        <row r="1054">
          <cell r="A1054">
            <v>8011134</v>
          </cell>
        </row>
        <row r="1055">
          <cell r="A1055">
            <v>8011135</v>
          </cell>
        </row>
        <row r="1056">
          <cell r="A1056">
            <v>8011136</v>
          </cell>
        </row>
        <row r="1057">
          <cell r="A1057">
            <v>8011137</v>
          </cell>
        </row>
        <row r="1058">
          <cell r="A1058">
            <v>8011143</v>
          </cell>
        </row>
        <row r="1059">
          <cell r="A1059">
            <v>8011144</v>
          </cell>
        </row>
        <row r="1060">
          <cell r="A1060">
            <v>8011145</v>
          </cell>
        </row>
        <row r="1061">
          <cell r="A1061">
            <v>8011146</v>
          </cell>
        </row>
        <row r="1062">
          <cell r="A1062">
            <v>8011147</v>
          </cell>
        </row>
        <row r="1063">
          <cell r="A1063">
            <v>8011148</v>
          </cell>
        </row>
        <row r="1064">
          <cell r="A1064">
            <v>8011149</v>
          </cell>
        </row>
        <row r="1065">
          <cell r="A1065">
            <v>8011150</v>
          </cell>
        </row>
        <row r="1066">
          <cell r="A1066">
            <v>8011151</v>
          </cell>
        </row>
        <row r="1067">
          <cell r="A1067">
            <v>8011152</v>
          </cell>
        </row>
        <row r="1068">
          <cell r="A1068">
            <v>8011201</v>
          </cell>
        </row>
        <row r="1069">
          <cell r="A1069">
            <v>8011202</v>
          </cell>
        </row>
        <row r="1070">
          <cell r="A1070">
            <v>8011203</v>
          </cell>
        </row>
        <row r="1071">
          <cell r="A1071">
            <v>8011204</v>
          </cell>
        </row>
        <row r="1072">
          <cell r="A1072">
            <v>8011205</v>
          </cell>
        </row>
        <row r="1073">
          <cell r="A1073">
            <v>8011206</v>
          </cell>
        </row>
        <row r="1074">
          <cell r="A1074">
            <v>8011207</v>
          </cell>
        </row>
        <row r="1075">
          <cell r="A1075">
            <v>8011208</v>
          </cell>
        </row>
        <row r="1076">
          <cell r="A1076">
            <v>8011209</v>
          </cell>
        </row>
        <row r="1077">
          <cell r="A1077">
            <v>8011210</v>
          </cell>
        </row>
        <row r="1078">
          <cell r="A1078">
            <v>8011211</v>
          </cell>
        </row>
        <row r="1079">
          <cell r="A1079">
            <v>8011212</v>
          </cell>
        </row>
        <row r="1080">
          <cell r="A1080">
            <v>8011213</v>
          </cell>
        </row>
        <row r="1081">
          <cell r="A1081">
            <v>8011214</v>
          </cell>
        </row>
        <row r="1082">
          <cell r="A1082">
            <v>8011215</v>
          </cell>
        </row>
        <row r="1083">
          <cell r="A1083">
            <v>8011216</v>
          </cell>
        </row>
        <row r="1084">
          <cell r="A1084">
            <v>8011218</v>
          </cell>
        </row>
        <row r="1085">
          <cell r="A1085">
            <v>8011219</v>
          </cell>
        </row>
        <row r="1086">
          <cell r="A1086">
            <v>8011220</v>
          </cell>
        </row>
        <row r="1087">
          <cell r="A1087">
            <v>8011221</v>
          </cell>
        </row>
        <row r="1088">
          <cell r="A1088">
            <v>8011222</v>
          </cell>
        </row>
        <row r="1089">
          <cell r="A1089">
            <v>8011223</v>
          </cell>
        </row>
        <row r="1090">
          <cell r="A1090">
            <v>8011224</v>
          </cell>
        </row>
        <row r="1091">
          <cell r="A1091">
            <v>8011225</v>
          </cell>
        </row>
        <row r="1092">
          <cell r="A1092">
            <v>8011226</v>
          </cell>
        </row>
        <row r="1093">
          <cell r="A1093">
            <v>8011227</v>
          </cell>
        </row>
        <row r="1094">
          <cell r="A1094">
            <v>8011228</v>
          </cell>
        </row>
        <row r="1095">
          <cell r="A1095">
            <v>8011229</v>
          </cell>
        </row>
        <row r="1096">
          <cell r="A1096">
            <v>8011230</v>
          </cell>
        </row>
        <row r="1097">
          <cell r="A1097">
            <v>8011231</v>
          </cell>
        </row>
        <row r="1098">
          <cell r="A1098">
            <v>8011232</v>
          </cell>
        </row>
        <row r="1099">
          <cell r="A1099">
            <v>8011301</v>
          </cell>
        </row>
        <row r="1100">
          <cell r="A1100">
            <v>8011401</v>
          </cell>
        </row>
        <row r="1101">
          <cell r="A1101">
            <v>8011402</v>
          </cell>
        </row>
        <row r="1102">
          <cell r="A1102">
            <v>8011403</v>
          </cell>
        </row>
        <row r="1103">
          <cell r="A1103">
            <v>8011404</v>
          </cell>
        </row>
        <row r="1104">
          <cell r="A1104">
            <v>8011405</v>
          </cell>
        </row>
        <row r="1105">
          <cell r="A1105">
            <v>8011406</v>
          </cell>
        </row>
        <row r="1106">
          <cell r="A1106">
            <v>8011407</v>
          </cell>
        </row>
        <row r="1107">
          <cell r="A1107">
            <v>8011408</v>
          </cell>
        </row>
        <row r="1108">
          <cell r="A1108">
            <v>8011409</v>
          </cell>
        </row>
        <row r="1109">
          <cell r="A1109">
            <v>8011410</v>
          </cell>
        </row>
        <row r="1110">
          <cell r="A1110">
            <v>8011411</v>
          </cell>
        </row>
        <row r="1111">
          <cell r="A1111">
            <v>8011412</v>
          </cell>
        </row>
        <row r="1112">
          <cell r="A1112">
            <v>8011413</v>
          </cell>
        </row>
        <row r="1113">
          <cell r="A1113">
            <v>8011414</v>
          </cell>
        </row>
        <row r="1114">
          <cell r="A1114">
            <v>8011415</v>
          </cell>
        </row>
        <row r="1115">
          <cell r="A1115">
            <v>8011416</v>
          </cell>
        </row>
        <row r="1116">
          <cell r="A1116">
            <v>8011417</v>
          </cell>
        </row>
        <row r="1117">
          <cell r="A1117">
            <v>8011418</v>
          </cell>
        </row>
        <row r="1118">
          <cell r="A1118">
            <v>8011419</v>
          </cell>
        </row>
        <row r="1119">
          <cell r="A1119">
            <v>8011420</v>
          </cell>
        </row>
        <row r="1120">
          <cell r="A1120">
            <v>8011421</v>
          </cell>
        </row>
        <row r="1121">
          <cell r="A1121">
            <v>8011422</v>
          </cell>
        </row>
        <row r="1122">
          <cell r="A1122">
            <v>8011423</v>
          </cell>
        </row>
        <row r="1123">
          <cell r="A1123">
            <v>8011424</v>
          </cell>
        </row>
        <row r="1124">
          <cell r="A1124">
            <v>8011425</v>
          </cell>
        </row>
        <row r="1125">
          <cell r="A1125">
            <v>8011426</v>
          </cell>
        </row>
        <row r="1126">
          <cell r="A1126">
            <v>8011427</v>
          </cell>
        </row>
        <row r="1127">
          <cell r="A1127">
            <v>8011428</v>
          </cell>
        </row>
        <row r="1128">
          <cell r="A1128">
            <v>8011429</v>
          </cell>
        </row>
        <row r="1129">
          <cell r="A1129">
            <v>8011430</v>
          </cell>
        </row>
        <row r="1130">
          <cell r="A1130">
            <v>8011431</v>
          </cell>
        </row>
        <row r="1131">
          <cell r="A1131">
            <v>8011432</v>
          </cell>
        </row>
        <row r="1132">
          <cell r="A1132">
            <v>8011433</v>
          </cell>
        </row>
        <row r="1133">
          <cell r="A1133">
            <v>8011434</v>
          </cell>
        </row>
        <row r="1134">
          <cell r="A1134">
            <v>8011435</v>
          </cell>
        </row>
        <row r="1135">
          <cell r="A1135">
            <v>8011436</v>
          </cell>
        </row>
        <row r="1136">
          <cell r="A1136">
            <v>8011437</v>
          </cell>
        </row>
        <row r="1137">
          <cell r="A1137">
            <v>8011438</v>
          </cell>
        </row>
        <row r="1138">
          <cell r="A1138">
            <v>8011439</v>
          </cell>
        </row>
        <row r="1139">
          <cell r="A1139">
            <v>8011440</v>
          </cell>
        </row>
        <row r="1140">
          <cell r="A1140">
            <v>8011441</v>
          </cell>
        </row>
        <row r="1141">
          <cell r="A1141">
            <v>8011442</v>
          </cell>
        </row>
        <row r="1142">
          <cell r="A1142">
            <v>8011443</v>
          </cell>
        </row>
        <row r="1143">
          <cell r="A1143">
            <v>8011444</v>
          </cell>
        </row>
        <row r="1144">
          <cell r="A1144">
            <v>8011445</v>
          </cell>
        </row>
        <row r="1145">
          <cell r="A1145">
            <v>8011446</v>
          </cell>
        </row>
        <row r="1146">
          <cell r="A1146">
            <v>8011447</v>
          </cell>
        </row>
        <row r="1147">
          <cell r="A1147">
            <v>8011448</v>
          </cell>
        </row>
        <row r="1148">
          <cell r="A1148">
            <v>8011449</v>
          </cell>
        </row>
        <row r="1149">
          <cell r="A1149">
            <v>8011452</v>
          </cell>
        </row>
        <row r="1150">
          <cell r="A1150">
            <v>8011501</v>
          </cell>
        </row>
        <row r="1151">
          <cell r="A1151">
            <v>8011502</v>
          </cell>
        </row>
        <row r="1152">
          <cell r="A1152">
            <v>8011503</v>
          </cell>
        </row>
        <row r="1153">
          <cell r="A1153">
            <v>8011504</v>
          </cell>
        </row>
        <row r="1154">
          <cell r="A1154">
            <v>8011505</v>
          </cell>
        </row>
        <row r="1155">
          <cell r="A1155">
            <v>8011506</v>
          </cell>
        </row>
        <row r="1156">
          <cell r="A1156">
            <v>8011507</v>
          </cell>
        </row>
        <row r="1157">
          <cell r="A1157">
            <v>8011508</v>
          </cell>
        </row>
        <row r="1158">
          <cell r="A1158">
            <v>8011509</v>
          </cell>
        </row>
        <row r="1159">
          <cell r="A1159">
            <v>8011510</v>
          </cell>
        </row>
        <row r="1160">
          <cell r="A1160">
            <v>8011511</v>
          </cell>
        </row>
        <row r="1161">
          <cell r="A1161">
            <v>8011512</v>
          </cell>
        </row>
        <row r="1162">
          <cell r="A1162">
            <v>8011513</v>
          </cell>
        </row>
        <row r="1163">
          <cell r="A1163">
            <v>8011514</v>
          </cell>
        </row>
        <row r="1164">
          <cell r="A1164">
            <v>8011515</v>
          </cell>
        </row>
        <row r="1165">
          <cell r="A1165">
            <v>8011516</v>
          </cell>
        </row>
        <row r="1166">
          <cell r="A1166">
            <v>8011517</v>
          </cell>
        </row>
        <row r="1167">
          <cell r="A1167">
            <v>8011518</v>
          </cell>
        </row>
        <row r="1168">
          <cell r="A1168">
            <v>8011519</v>
          </cell>
        </row>
        <row r="1169">
          <cell r="A1169">
            <v>8011520</v>
          </cell>
        </row>
        <row r="1170">
          <cell r="A1170">
            <v>8011524</v>
          </cell>
        </row>
        <row r="1171">
          <cell r="A1171">
            <v>8011525</v>
          </cell>
        </row>
        <row r="1172">
          <cell r="A1172">
            <v>8011526</v>
          </cell>
        </row>
        <row r="1173">
          <cell r="A1173">
            <v>8011527</v>
          </cell>
        </row>
        <row r="1174">
          <cell r="A1174">
            <v>8011528</v>
          </cell>
        </row>
        <row r="1175">
          <cell r="A1175">
            <v>8011529</v>
          </cell>
        </row>
        <row r="1176">
          <cell r="A1176">
            <v>8011530</v>
          </cell>
        </row>
        <row r="1177">
          <cell r="A1177">
            <v>8011531</v>
          </cell>
        </row>
        <row r="1178">
          <cell r="A1178">
            <v>8011532</v>
          </cell>
        </row>
        <row r="1179">
          <cell r="A1179">
            <v>8011534</v>
          </cell>
        </row>
        <row r="1180">
          <cell r="A1180">
            <v>8011535</v>
          </cell>
        </row>
        <row r="1181">
          <cell r="A1181">
            <v>8011536</v>
          </cell>
        </row>
        <row r="1182">
          <cell r="A1182">
            <v>8011537</v>
          </cell>
        </row>
        <row r="1183">
          <cell r="A1183">
            <v>8011538</v>
          </cell>
        </row>
        <row r="1184">
          <cell r="A1184">
            <v>8011539</v>
          </cell>
        </row>
        <row r="1185">
          <cell r="A1185">
            <v>8011540</v>
          </cell>
        </row>
        <row r="1186">
          <cell r="A1186">
            <v>8011541</v>
          </cell>
        </row>
        <row r="1187">
          <cell r="A1187">
            <v>8011542</v>
          </cell>
        </row>
        <row r="1188">
          <cell r="A1188">
            <v>8011601</v>
          </cell>
        </row>
        <row r="1189">
          <cell r="A1189">
            <v>8011602</v>
          </cell>
        </row>
        <row r="1190">
          <cell r="A1190">
            <v>8011603</v>
          </cell>
        </row>
        <row r="1191">
          <cell r="A1191">
            <v>8011604</v>
          </cell>
        </row>
        <row r="1192">
          <cell r="A1192">
            <v>8011605</v>
          </cell>
        </row>
        <row r="1193">
          <cell r="A1193">
            <v>8011606</v>
          </cell>
        </row>
        <row r="1194">
          <cell r="A1194">
            <v>8011607</v>
          </cell>
        </row>
        <row r="1195">
          <cell r="A1195">
            <v>8011608</v>
          </cell>
        </row>
        <row r="1196">
          <cell r="A1196">
            <v>8011609</v>
          </cell>
        </row>
        <row r="1197">
          <cell r="A1197">
            <v>8011610</v>
          </cell>
        </row>
        <row r="1198">
          <cell r="A1198">
            <v>8011611</v>
          </cell>
        </row>
        <row r="1199">
          <cell r="A1199">
            <v>8011615</v>
          </cell>
        </row>
        <row r="1200">
          <cell r="A1200">
            <v>8011616</v>
          </cell>
        </row>
        <row r="1201">
          <cell r="A1201">
            <v>8011617</v>
          </cell>
        </row>
        <row r="1202">
          <cell r="A1202">
            <v>8011618</v>
          </cell>
        </row>
        <row r="1203">
          <cell r="A1203">
            <v>8011619</v>
          </cell>
        </row>
        <row r="1204">
          <cell r="A1204">
            <v>8011620</v>
          </cell>
        </row>
        <row r="1205">
          <cell r="A1205">
            <v>8011621</v>
          </cell>
        </row>
        <row r="1206">
          <cell r="A1206">
            <v>8011622</v>
          </cell>
        </row>
        <row r="1207">
          <cell r="A1207">
            <v>8011623</v>
          </cell>
        </row>
        <row r="1208">
          <cell r="A1208">
            <v>8011624</v>
          </cell>
        </row>
        <row r="1209">
          <cell r="A1209">
            <v>8011629</v>
          </cell>
        </row>
        <row r="1210">
          <cell r="A1210">
            <v>8011630</v>
          </cell>
        </row>
        <row r="1211">
          <cell r="A1211">
            <v>8011631</v>
          </cell>
        </row>
        <row r="1212">
          <cell r="A1212">
            <v>8011632</v>
          </cell>
        </row>
        <row r="1213">
          <cell r="A1213">
            <v>8011633</v>
          </cell>
        </row>
        <row r="1214">
          <cell r="A1214">
            <v>8011634</v>
          </cell>
        </row>
        <row r="1215">
          <cell r="A1215">
            <v>8011635</v>
          </cell>
        </row>
        <row r="1216">
          <cell r="A1216">
            <v>8011636</v>
          </cell>
        </row>
        <row r="1217">
          <cell r="A1217">
            <v>8011637</v>
          </cell>
        </row>
        <row r="1218">
          <cell r="A1218">
            <v>8011638</v>
          </cell>
        </row>
        <row r="1219">
          <cell r="A1219">
            <v>8011639</v>
          </cell>
        </row>
        <row r="1220">
          <cell r="A1220">
            <v>8011640</v>
          </cell>
        </row>
        <row r="1221">
          <cell r="A1221">
            <v>8011641</v>
          </cell>
        </row>
        <row r="1222">
          <cell r="A1222">
            <v>8011642</v>
          </cell>
        </row>
        <row r="1223">
          <cell r="A1223">
            <v>8011701</v>
          </cell>
        </row>
        <row r="1224">
          <cell r="A1224">
            <v>8011702</v>
          </cell>
        </row>
        <row r="1225">
          <cell r="A1225">
            <v>8011703</v>
          </cell>
        </row>
        <row r="1226">
          <cell r="A1226">
            <v>8011704</v>
          </cell>
        </row>
        <row r="1227">
          <cell r="A1227">
            <v>8011705</v>
          </cell>
        </row>
        <row r="1228">
          <cell r="A1228">
            <v>8011706</v>
          </cell>
        </row>
        <row r="1229">
          <cell r="A1229">
            <v>8011707</v>
          </cell>
        </row>
        <row r="1230">
          <cell r="A1230">
            <v>8011708</v>
          </cell>
        </row>
        <row r="1231">
          <cell r="A1231">
            <v>8011709</v>
          </cell>
        </row>
        <row r="1232">
          <cell r="A1232">
            <v>8011710</v>
          </cell>
        </row>
        <row r="1233">
          <cell r="A1233">
            <v>8011711</v>
          </cell>
        </row>
        <row r="1234">
          <cell r="A1234">
            <v>8011712</v>
          </cell>
        </row>
        <row r="1235">
          <cell r="A1235">
            <v>8011713</v>
          </cell>
        </row>
        <row r="1236">
          <cell r="A1236">
            <v>8011714</v>
          </cell>
        </row>
        <row r="1237">
          <cell r="A1237">
            <v>8011715</v>
          </cell>
        </row>
        <row r="1238">
          <cell r="A1238">
            <v>8011716</v>
          </cell>
        </row>
        <row r="1239">
          <cell r="A1239">
            <v>8011717</v>
          </cell>
        </row>
        <row r="1240">
          <cell r="A1240">
            <v>8011719</v>
          </cell>
        </row>
        <row r="1241">
          <cell r="A1241">
            <v>8011720</v>
          </cell>
        </row>
        <row r="1242">
          <cell r="A1242">
            <v>8011721</v>
          </cell>
        </row>
        <row r="1243">
          <cell r="A1243">
            <v>8011722</v>
          </cell>
        </row>
        <row r="1244">
          <cell r="A1244">
            <v>8011723</v>
          </cell>
        </row>
        <row r="1245">
          <cell r="A1245">
            <v>8011724</v>
          </cell>
        </row>
        <row r="1246">
          <cell r="A1246">
            <v>8011725</v>
          </cell>
        </row>
        <row r="1247">
          <cell r="A1247">
            <v>8011726</v>
          </cell>
        </row>
        <row r="1248">
          <cell r="A1248">
            <v>8011727</v>
          </cell>
        </row>
        <row r="1249">
          <cell r="A1249">
            <v>8011728</v>
          </cell>
        </row>
        <row r="1250">
          <cell r="A1250">
            <v>8011729</v>
          </cell>
        </row>
        <row r="1251">
          <cell r="A1251">
            <v>8011730</v>
          </cell>
        </row>
        <row r="1252">
          <cell r="A1252">
            <v>8011735</v>
          </cell>
        </row>
        <row r="1253">
          <cell r="A1253">
            <v>8011738</v>
          </cell>
        </row>
        <row r="1254">
          <cell r="A1254">
            <v>8011739</v>
          </cell>
        </row>
        <row r="1255">
          <cell r="A1255">
            <v>8011740</v>
          </cell>
        </row>
        <row r="1256">
          <cell r="A1256">
            <v>8011741</v>
          </cell>
        </row>
        <row r="1257">
          <cell r="A1257">
            <v>8011742</v>
          </cell>
        </row>
        <row r="1258">
          <cell r="A1258">
            <v>8011743</v>
          </cell>
        </row>
        <row r="1259">
          <cell r="A1259">
            <v>8011744</v>
          </cell>
        </row>
        <row r="1260">
          <cell r="A1260">
            <v>8011745</v>
          </cell>
        </row>
        <row r="1261">
          <cell r="A1261">
            <v>8011751</v>
          </cell>
        </row>
        <row r="1262">
          <cell r="A1262">
            <v>8011801</v>
          </cell>
        </row>
        <row r="1263">
          <cell r="A1263">
            <v>8011802</v>
          </cell>
        </row>
        <row r="1264">
          <cell r="A1264">
            <v>8011803</v>
          </cell>
        </row>
        <row r="1265">
          <cell r="A1265">
            <v>8011804</v>
          </cell>
        </row>
        <row r="1266">
          <cell r="A1266">
            <v>8011805</v>
          </cell>
        </row>
        <row r="1267">
          <cell r="A1267">
            <v>8011806</v>
          </cell>
        </row>
        <row r="1268">
          <cell r="A1268">
            <v>8011807</v>
          </cell>
        </row>
        <row r="1269">
          <cell r="A1269">
            <v>8011808</v>
          </cell>
        </row>
        <row r="1270">
          <cell r="A1270">
            <v>8011809</v>
          </cell>
        </row>
        <row r="1271">
          <cell r="A1271">
            <v>8011810</v>
          </cell>
        </row>
        <row r="1272">
          <cell r="A1272">
            <v>8011811</v>
          </cell>
        </row>
        <row r="1273">
          <cell r="A1273">
            <v>8011812</v>
          </cell>
        </row>
        <row r="1274">
          <cell r="A1274">
            <v>8011813</v>
          </cell>
        </row>
        <row r="1275">
          <cell r="A1275">
            <v>8011814</v>
          </cell>
        </row>
        <row r="1276">
          <cell r="A1276">
            <v>8011815</v>
          </cell>
        </row>
        <row r="1277">
          <cell r="A1277">
            <v>8011816</v>
          </cell>
        </row>
        <row r="1278">
          <cell r="A1278">
            <v>8011820</v>
          </cell>
        </row>
        <row r="1279">
          <cell r="A1279">
            <v>8011821</v>
          </cell>
        </row>
        <row r="1280">
          <cell r="A1280">
            <v>8011822</v>
          </cell>
        </row>
        <row r="1281">
          <cell r="A1281">
            <v>8011823</v>
          </cell>
        </row>
        <row r="1282">
          <cell r="A1282">
            <v>8011824</v>
          </cell>
        </row>
        <row r="1283">
          <cell r="A1283">
            <v>8011825</v>
          </cell>
        </row>
        <row r="1284">
          <cell r="A1284">
            <v>8011826</v>
          </cell>
        </row>
        <row r="1285">
          <cell r="A1285">
            <v>8011827</v>
          </cell>
        </row>
        <row r="1286">
          <cell r="A1286">
            <v>8011828</v>
          </cell>
        </row>
        <row r="1287">
          <cell r="A1287">
            <v>8011829</v>
          </cell>
        </row>
        <row r="1288">
          <cell r="A1288">
            <v>8011830</v>
          </cell>
        </row>
        <row r="1289">
          <cell r="A1289">
            <v>8011831</v>
          </cell>
        </row>
        <row r="1290">
          <cell r="A1290">
            <v>8011832</v>
          </cell>
        </row>
        <row r="1291">
          <cell r="A1291">
            <v>8011833</v>
          </cell>
        </row>
        <row r="1292">
          <cell r="A1292">
            <v>8011837</v>
          </cell>
        </row>
        <row r="1293">
          <cell r="A1293">
            <v>8011838</v>
          </cell>
        </row>
        <row r="1294">
          <cell r="A1294">
            <v>8011839</v>
          </cell>
        </row>
        <row r="1295">
          <cell r="A1295">
            <v>8011840</v>
          </cell>
        </row>
        <row r="1296">
          <cell r="A1296">
            <v>8011841</v>
          </cell>
        </row>
        <row r="1297">
          <cell r="A1297">
            <v>8011842</v>
          </cell>
        </row>
        <row r="1298">
          <cell r="A1298">
            <v>8011843</v>
          </cell>
        </row>
        <row r="1299">
          <cell r="A1299">
            <v>8011844</v>
          </cell>
        </row>
        <row r="1300">
          <cell r="A1300">
            <v>8011845</v>
          </cell>
        </row>
        <row r="1301">
          <cell r="A1301">
            <v>8011846</v>
          </cell>
        </row>
        <row r="1302">
          <cell r="A1302">
            <v>8011847</v>
          </cell>
        </row>
        <row r="1303">
          <cell r="A1303">
            <v>8011848</v>
          </cell>
        </row>
        <row r="1304">
          <cell r="A1304">
            <v>8011849</v>
          </cell>
        </row>
        <row r="1305">
          <cell r="A1305">
            <v>8011850</v>
          </cell>
        </row>
        <row r="1306">
          <cell r="A1306">
            <v>8011851</v>
          </cell>
        </row>
        <row r="1307">
          <cell r="A1307">
            <v>8011901</v>
          </cell>
        </row>
        <row r="1308">
          <cell r="A1308">
            <v>8011902</v>
          </cell>
        </row>
        <row r="1309">
          <cell r="A1309">
            <v>8011903</v>
          </cell>
        </row>
        <row r="1310">
          <cell r="A1310">
            <v>8011904</v>
          </cell>
        </row>
        <row r="1311">
          <cell r="A1311">
            <v>8011905</v>
          </cell>
        </row>
        <row r="1312">
          <cell r="A1312">
            <v>8011906</v>
          </cell>
        </row>
        <row r="1313">
          <cell r="A1313">
            <v>8011907</v>
          </cell>
        </row>
        <row r="1314">
          <cell r="A1314">
            <v>8011908</v>
          </cell>
        </row>
        <row r="1315">
          <cell r="A1315">
            <v>8011909</v>
          </cell>
        </row>
        <row r="1316">
          <cell r="A1316">
            <v>8011910</v>
          </cell>
        </row>
        <row r="1317">
          <cell r="A1317">
            <v>8011911</v>
          </cell>
        </row>
        <row r="1318">
          <cell r="A1318">
            <v>8011912</v>
          </cell>
        </row>
        <row r="1319">
          <cell r="A1319">
            <v>8011913</v>
          </cell>
        </row>
        <row r="1320">
          <cell r="A1320">
            <v>8011914</v>
          </cell>
        </row>
        <row r="1321">
          <cell r="A1321">
            <v>8011915</v>
          </cell>
        </row>
        <row r="1322">
          <cell r="A1322">
            <v>8011916</v>
          </cell>
        </row>
        <row r="1323">
          <cell r="A1323">
            <v>8011917</v>
          </cell>
        </row>
        <row r="1324">
          <cell r="A1324">
            <v>8011918</v>
          </cell>
        </row>
        <row r="1325">
          <cell r="A1325">
            <v>8011919</v>
          </cell>
        </row>
        <row r="1326">
          <cell r="A1326">
            <v>8011920</v>
          </cell>
        </row>
        <row r="1327">
          <cell r="A1327">
            <v>8011921</v>
          </cell>
        </row>
        <row r="1328">
          <cell r="A1328">
            <v>8011922</v>
          </cell>
        </row>
        <row r="1329">
          <cell r="A1329">
            <v>8011923</v>
          </cell>
        </row>
        <row r="1330">
          <cell r="A1330">
            <v>8011924</v>
          </cell>
        </row>
        <row r="1331">
          <cell r="A1331">
            <v>8011925</v>
          </cell>
        </row>
        <row r="1332">
          <cell r="A1332">
            <v>8011926</v>
          </cell>
        </row>
        <row r="1333">
          <cell r="A1333">
            <v>8011927</v>
          </cell>
        </row>
        <row r="1334">
          <cell r="A1334">
            <v>8011928</v>
          </cell>
        </row>
        <row r="1335">
          <cell r="A1335">
            <v>8011929</v>
          </cell>
        </row>
        <row r="1336">
          <cell r="A1336">
            <v>8011930</v>
          </cell>
        </row>
        <row r="1337">
          <cell r="A1337">
            <v>8011931</v>
          </cell>
        </row>
        <row r="1338">
          <cell r="A1338">
            <v>8011932</v>
          </cell>
        </row>
        <row r="1339">
          <cell r="A1339">
            <v>8011933</v>
          </cell>
        </row>
        <row r="1340">
          <cell r="A1340">
            <v>8011934</v>
          </cell>
        </row>
        <row r="1341">
          <cell r="A1341">
            <v>8011935</v>
          </cell>
        </row>
        <row r="1342">
          <cell r="A1342">
            <v>8011936</v>
          </cell>
        </row>
        <row r="1343">
          <cell r="A1343">
            <v>8011937</v>
          </cell>
        </row>
        <row r="1344">
          <cell r="A1344">
            <v>8011938</v>
          </cell>
        </row>
        <row r="1345">
          <cell r="A1345">
            <v>8012101</v>
          </cell>
        </row>
        <row r="1346">
          <cell r="A1346">
            <v>8012102</v>
          </cell>
        </row>
        <row r="1347">
          <cell r="A1347">
            <v>8012103</v>
          </cell>
        </row>
        <row r="1348">
          <cell r="A1348">
            <v>8012104</v>
          </cell>
        </row>
        <row r="1349">
          <cell r="A1349">
            <v>8012105</v>
          </cell>
        </row>
        <row r="1350">
          <cell r="A1350">
            <v>8012106</v>
          </cell>
        </row>
        <row r="1351">
          <cell r="A1351">
            <v>8012107</v>
          </cell>
        </row>
        <row r="1352">
          <cell r="A1352">
            <v>8012108</v>
          </cell>
        </row>
        <row r="1353">
          <cell r="A1353">
            <v>8012109</v>
          </cell>
        </row>
        <row r="1354">
          <cell r="A1354">
            <v>8012110</v>
          </cell>
        </row>
        <row r="1355">
          <cell r="A1355">
            <v>8012111</v>
          </cell>
        </row>
        <row r="1356">
          <cell r="A1356">
            <v>8012112</v>
          </cell>
        </row>
        <row r="1357">
          <cell r="A1357">
            <v>8012113</v>
          </cell>
        </row>
        <row r="1358">
          <cell r="A1358">
            <v>8012114</v>
          </cell>
        </row>
        <row r="1359">
          <cell r="A1359">
            <v>8012115</v>
          </cell>
        </row>
        <row r="1360">
          <cell r="A1360">
            <v>8012116</v>
          </cell>
        </row>
        <row r="1361">
          <cell r="A1361">
            <v>8012117</v>
          </cell>
        </row>
        <row r="1362">
          <cell r="A1362">
            <v>8012118</v>
          </cell>
        </row>
        <row r="1363">
          <cell r="A1363">
            <v>8012119</v>
          </cell>
        </row>
        <row r="1364">
          <cell r="A1364">
            <v>8012120</v>
          </cell>
        </row>
        <row r="1365">
          <cell r="A1365">
            <v>8012121</v>
          </cell>
        </row>
        <row r="1366">
          <cell r="A1366">
            <v>8012122</v>
          </cell>
        </row>
        <row r="1367">
          <cell r="A1367">
            <v>8012123</v>
          </cell>
        </row>
        <row r="1368">
          <cell r="A1368">
            <v>8012124</v>
          </cell>
        </row>
        <row r="1369">
          <cell r="A1369">
            <v>8012125</v>
          </cell>
        </row>
        <row r="1370">
          <cell r="A1370">
            <v>8012126</v>
          </cell>
        </row>
        <row r="1371">
          <cell r="A1371">
            <v>8012127</v>
          </cell>
        </row>
        <row r="1372">
          <cell r="A1372">
            <v>8012128</v>
          </cell>
        </row>
        <row r="1373">
          <cell r="A1373">
            <v>8012129</v>
          </cell>
        </row>
        <row r="1374">
          <cell r="A1374">
            <v>8012130</v>
          </cell>
        </row>
        <row r="1375">
          <cell r="A1375">
            <v>8012131</v>
          </cell>
        </row>
        <row r="1376">
          <cell r="A1376">
            <v>8012132</v>
          </cell>
        </row>
        <row r="1377">
          <cell r="A1377">
            <v>8012133</v>
          </cell>
        </row>
        <row r="1378">
          <cell r="A1378">
            <v>8012134</v>
          </cell>
        </row>
        <row r="1379">
          <cell r="A1379">
            <v>8012135</v>
          </cell>
        </row>
        <row r="1380">
          <cell r="A1380">
            <v>8012136</v>
          </cell>
        </row>
        <row r="1381">
          <cell r="A1381">
            <v>8012137</v>
          </cell>
        </row>
        <row r="1382">
          <cell r="A1382">
            <v>8012138</v>
          </cell>
        </row>
        <row r="1383">
          <cell r="A1383">
            <v>8012139</v>
          </cell>
        </row>
        <row r="1384">
          <cell r="A1384">
            <v>8012140</v>
          </cell>
        </row>
        <row r="1385">
          <cell r="A1385">
            <v>8012141</v>
          </cell>
        </row>
        <row r="1386">
          <cell r="A1386">
            <v>8012142</v>
          </cell>
        </row>
        <row r="1387">
          <cell r="A1387">
            <v>8012144</v>
          </cell>
        </row>
        <row r="1388">
          <cell r="A1388">
            <v>8012145</v>
          </cell>
        </row>
        <row r="1389">
          <cell r="A1389">
            <v>8012146</v>
          </cell>
        </row>
        <row r="1390">
          <cell r="A1390">
            <v>8012147</v>
          </cell>
        </row>
        <row r="1391">
          <cell r="A1391">
            <v>8012148</v>
          </cell>
        </row>
        <row r="1392">
          <cell r="A1392">
            <v>8012150</v>
          </cell>
        </row>
        <row r="1393">
          <cell r="A1393">
            <v>8012151</v>
          </cell>
        </row>
        <row r="1394">
          <cell r="A1394">
            <v>8012152</v>
          </cell>
        </row>
        <row r="1395">
          <cell r="A1395">
            <v>8012153</v>
          </cell>
        </row>
        <row r="1396">
          <cell r="A1396">
            <v>8012154</v>
          </cell>
        </row>
        <row r="1397">
          <cell r="A1397">
            <v>8012159</v>
          </cell>
        </row>
        <row r="1398">
          <cell r="A1398">
            <v>8012201</v>
          </cell>
        </row>
        <row r="1399">
          <cell r="A1399">
            <v>8012202</v>
          </cell>
        </row>
        <row r="1400">
          <cell r="A1400">
            <v>8012203</v>
          </cell>
        </row>
        <row r="1401">
          <cell r="A1401">
            <v>8012204</v>
          </cell>
        </row>
        <row r="1402">
          <cell r="A1402">
            <v>8012205</v>
          </cell>
        </row>
        <row r="1403">
          <cell r="A1403">
            <v>8012206</v>
          </cell>
        </row>
        <row r="1404">
          <cell r="A1404">
            <v>8012210</v>
          </cell>
        </row>
        <row r="1405">
          <cell r="A1405">
            <v>8012212</v>
          </cell>
        </row>
        <row r="1406">
          <cell r="A1406">
            <v>8012213</v>
          </cell>
        </row>
        <row r="1407">
          <cell r="A1407">
            <v>8012214</v>
          </cell>
        </row>
        <row r="1408">
          <cell r="A1408">
            <v>8012215</v>
          </cell>
        </row>
        <row r="1409">
          <cell r="A1409">
            <v>8012223</v>
          </cell>
        </row>
        <row r="1410">
          <cell r="A1410">
            <v>8012224</v>
          </cell>
        </row>
        <row r="1411">
          <cell r="A1411">
            <v>8012225</v>
          </cell>
        </row>
        <row r="1412">
          <cell r="A1412">
            <v>8012226</v>
          </cell>
        </row>
        <row r="1413">
          <cell r="A1413">
            <v>8012227</v>
          </cell>
        </row>
        <row r="1414">
          <cell r="A1414">
            <v>8012228</v>
          </cell>
        </row>
        <row r="1415">
          <cell r="A1415">
            <v>8012229</v>
          </cell>
        </row>
        <row r="1416">
          <cell r="A1416">
            <v>8012230</v>
          </cell>
        </row>
        <row r="1417">
          <cell r="A1417">
            <v>8012231</v>
          </cell>
        </row>
        <row r="1418">
          <cell r="A1418">
            <v>8012232</v>
          </cell>
        </row>
        <row r="1419">
          <cell r="A1419">
            <v>8012233</v>
          </cell>
        </row>
        <row r="1420">
          <cell r="A1420">
            <v>8012234</v>
          </cell>
        </row>
        <row r="1421">
          <cell r="A1421">
            <v>8012235</v>
          </cell>
        </row>
        <row r="1422">
          <cell r="A1422">
            <v>8012236</v>
          </cell>
        </row>
        <row r="1423">
          <cell r="A1423">
            <v>8012237</v>
          </cell>
        </row>
        <row r="1424">
          <cell r="A1424">
            <v>8012238</v>
          </cell>
        </row>
        <row r="1425">
          <cell r="A1425">
            <v>8012239</v>
          </cell>
        </row>
        <row r="1426">
          <cell r="A1426">
            <v>8012240</v>
          </cell>
        </row>
        <row r="1427">
          <cell r="A1427">
            <v>8012241</v>
          </cell>
        </row>
        <row r="1428">
          <cell r="A1428">
            <v>8012242</v>
          </cell>
        </row>
        <row r="1429">
          <cell r="A1429">
            <v>8012243</v>
          </cell>
        </row>
        <row r="1430">
          <cell r="A1430">
            <v>8012244</v>
          </cell>
        </row>
        <row r="1431">
          <cell r="A1431">
            <v>8012245</v>
          </cell>
        </row>
        <row r="1432">
          <cell r="A1432">
            <v>8012246</v>
          </cell>
        </row>
        <row r="1433">
          <cell r="A1433">
            <v>8012247</v>
          </cell>
        </row>
        <row r="1434">
          <cell r="A1434">
            <v>8012248</v>
          </cell>
        </row>
        <row r="1435">
          <cell r="A1435">
            <v>8012301</v>
          </cell>
        </row>
        <row r="1436">
          <cell r="A1436">
            <v>8012302</v>
          </cell>
        </row>
        <row r="1437">
          <cell r="A1437">
            <v>8012303</v>
          </cell>
        </row>
        <row r="1438">
          <cell r="A1438">
            <v>8012304</v>
          </cell>
        </row>
        <row r="1439">
          <cell r="A1439">
            <v>8012305</v>
          </cell>
        </row>
        <row r="1440">
          <cell r="A1440">
            <v>8012306</v>
          </cell>
        </row>
        <row r="1441">
          <cell r="A1441">
            <v>8012307</v>
          </cell>
        </row>
        <row r="1442">
          <cell r="A1442">
            <v>8012308</v>
          </cell>
        </row>
        <row r="1443">
          <cell r="A1443">
            <v>8012309</v>
          </cell>
        </row>
        <row r="1444">
          <cell r="A1444">
            <v>8012311</v>
          </cell>
        </row>
        <row r="1445">
          <cell r="A1445">
            <v>8012312</v>
          </cell>
        </row>
        <row r="1446">
          <cell r="A1446">
            <v>8012313</v>
          </cell>
        </row>
        <row r="1447">
          <cell r="A1447">
            <v>8012314</v>
          </cell>
        </row>
        <row r="1448">
          <cell r="A1448">
            <v>8012315</v>
          </cell>
        </row>
        <row r="1449">
          <cell r="A1449">
            <v>8012316</v>
          </cell>
        </row>
        <row r="1450">
          <cell r="A1450">
            <v>8012317</v>
          </cell>
        </row>
        <row r="1451">
          <cell r="A1451">
            <v>8012318</v>
          </cell>
        </row>
        <row r="1452">
          <cell r="A1452">
            <v>8012319</v>
          </cell>
        </row>
        <row r="1453">
          <cell r="A1453">
            <v>8012320</v>
          </cell>
        </row>
        <row r="1454">
          <cell r="A1454">
            <v>8012321</v>
          </cell>
        </row>
        <row r="1455">
          <cell r="A1455">
            <v>8012322</v>
          </cell>
        </row>
        <row r="1456">
          <cell r="A1456">
            <v>8012323</v>
          </cell>
        </row>
        <row r="1457">
          <cell r="A1457">
            <v>8012327</v>
          </cell>
        </row>
        <row r="1458">
          <cell r="A1458">
            <v>8012328</v>
          </cell>
        </row>
        <row r="1459">
          <cell r="A1459">
            <v>8012329</v>
          </cell>
        </row>
        <row r="1460">
          <cell r="A1460">
            <v>8012330</v>
          </cell>
        </row>
        <row r="1461">
          <cell r="A1461">
            <v>8012331</v>
          </cell>
        </row>
        <row r="1462">
          <cell r="A1462">
            <v>8012332</v>
          </cell>
        </row>
        <row r="1463">
          <cell r="A1463">
            <v>8012333</v>
          </cell>
        </row>
        <row r="1464">
          <cell r="A1464">
            <v>8012334</v>
          </cell>
        </row>
        <row r="1465">
          <cell r="A1465">
            <v>8012335</v>
          </cell>
        </row>
        <row r="1466">
          <cell r="A1466">
            <v>8012336</v>
          </cell>
        </row>
        <row r="1467">
          <cell r="A1467">
            <v>8012337</v>
          </cell>
        </row>
        <row r="1468">
          <cell r="A1468">
            <v>8012338</v>
          </cell>
        </row>
        <row r="1469">
          <cell r="A1469">
            <v>8012342</v>
          </cell>
        </row>
        <row r="1470">
          <cell r="A1470">
            <v>8012401</v>
          </cell>
        </row>
        <row r="1471">
          <cell r="A1471">
            <v>8012402</v>
          </cell>
        </row>
        <row r="1472">
          <cell r="A1472">
            <v>8012403</v>
          </cell>
        </row>
        <row r="1473">
          <cell r="A1473">
            <v>8012404</v>
          </cell>
        </row>
        <row r="1474">
          <cell r="A1474">
            <v>8012405</v>
          </cell>
        </row>
        <row r="1475">
          <cell r="A1475">
            <v>8012406</v>
          </cell>
        </row>
        <row r="1476">
          <cell r="A1476">
            <v>8012407</v>
          </cell>
        </row>
        <row r="1477">
          <cell r="A1477">
            <v>8012408</v>
          </cell>
        </row>
        <row r="1478">
          <cell r="A1478">
            <v>8012409</v>
          </cell>
        </row>
        <row r="1479">
          <cell r="A1479">
            <v>8012410</v>
          </cell>
        </row>
        <row r="1480">
          <cell r="A1480">
            <v>8012411</v>
          </cell>
        </row>
        <row r="1481">
          <cell r="A1481">
            <v>8012412</v>
          </cell>
        </row>
        <row r="1482">
          <cell r="A1482">
            <v>8012413</v>
          </cell>
        </row>
        <row r="1483">
          <cell r="A1483">
            <v>8012414</v>
          </cell>
        </row>
        <row r="1484">
          <cell r="A1484">
            <v>8012415</v>
          </cell>
        </row>
        <row r="1485">
          <cell r="A1485">
            <v>8012416</v>
          </cell>
        </row>
        <row r="1486">
          <cell r="A1486">
            <v>8012417</v>
          </cell>
        </row>
        <row r="1487">
          <cell r="A1487">
            <v>8012418</v>
          </cell>
        </row>
        <row r="1488">
          <cell r="A1488">
            <v>8012419</v>
          </cell>
        </row>
        <row r="1489">
          <cell r="A1489">
            <v>8012420</v>
          </cell>
        </row>
        <row r="1490">
          <cell r="A1490">
            <v>8012421</v>
          </cell>
        </row>
        <row r="1491">
          <cell r="A1491">
            <v>8012422</v>
          </cell>
        </row>
        <row r="1492">
          <cell r="A1492">
            <v>8012423</v>
          </cell>
        </row>
        <row r="1493">
          <cell r="A1493">
            <v>8012424</v>
          </cell>
        </row>
        <row r="1494">
          <cell r="A1494">
            <v>8012425</v>
          </cell>
        </row>
        <row r="1495">
          <cell r="A1495">
            <v>8012426</v>
          </cell>
        </row>
        <row r="1496">
          <cell r="A1496">
            <v>8012427</v>
          </cell>
        </row>
        <row r="1497">
          <cell r="A1497">
            <v>8012428</v>
          </cell>
        </row>
        <row r="1498">
          <cell r="A1498">
            <v>8012429</v>
          </cell>
        </row>
        <row r="1499">
          <cell r="A1499">
            <v>8012430</v>
          </cell>
        </row>
        <row r="1500">
          <cell r="A1500">
            <v>8012436</v>
          </cell>
        </row>
        <row r="1501">
          <cell r="A1501">
            <v>8012437</v>
          </cell>
        </row>
        <row r="1502">
          <cell r="A1502">
            <v>8012438</v>
          </cell>
        </row>
        <row r="1503">
          <cell r="A1503">
            <v>8012439</v>
          </cell>
        </row>
        <row r="1504">
          <cell r="A1504">
            <v>8012440</v>
          </cell>
        </row>
        <row r="1505">
          <cell r="A1505">
            <v>8012441</v>
          </cell>
        </row>
        <row r="1506">
          <cell r="A1506">
            <v>8012442</v>
          </cell>
        </row>
        <row r="1507">
          <cell r="A1507">
            <v>8012443</v>
          </cell>
        </row>
        <row r="1508">
          <cell r="A1508">
            <v>8012444</v>
          </cell>
        </row>
        <row r="1509">
          <cell r="A1509">
            <v>8012445</v>
          </cell>
        </row>
        <row r="1510">
          <cell r="A1510">
            <v>8012446</v>
          </cell>
        </row>
        <row r="1511">
          <cell r="A1511">
            <v>8012447</v>
          </cell>
        </row>
        <row r="1512">
          <cell r="A1512">
            <v>8012448</v>
          </cell>
        </row>
        <row r="1513">
          <cell r="A1513">
            <v>8012501</v>
          </cell>
        </row>
        <row r="1514">
          <cell r="A1514">
            <v>8012502</v>
          </cell>
        </row>
        <row r="1515">
          <cell r="A1515">
            <v>8012503</v>
          </cell>
        </row>
        <row r="1516">
          <cell r="A1516">
            <v>8012504</v>
          </cell>
        </row>
        <row r="1517">
          <cell r="A1517">
            <v>8012505</v>
          </cell>
        </row>
        <row r="1518">
          <cell r="A1518">
            <v>8012506</v>
          </cell>
        </row>
        <row r="1519">
          <cell r="A1519">
            <v>8012507</v>
          </cell>
        </row>
        <row r="1520">
          <cell r="A1520">
            <v>8012508</v>
          </cell>
        </row>
        <row r="1521">
          <cell r="A1521">
            <v>8012509</v>
          </cell>
        </row>
        <row r="1522">
          <cell r="A1522">
            <v>8012510</v>
          </cell>
        </row>
        <row r="1523">
          <cell r="A1523">
            <v>8012511</v>
          </cell>
        </row>
        <row r="1524">
          <cell r="A1524">
            <v>8012512</v>
          </cell>
        </row>
        <row r="1525">
          <cell r="A1525">
            <v>8012513</v>
          </cell>
        </row>
        <row r="1526">
          <cell r="A1526">
            <v>8012514</v>
          </cell>
        </row>
        <row r="1527">
          <cell r="A1527">
            <v>8012515</v>
          </cell>
        </row>
        <row r="1528">
          <cell r="A1528">
            <v>8012520</v>
          </cell>
        </row>
        <row r="1529">
          <cell r="A1529">
            <v>8012521</v>
          </cell>
        </row>
        <row r="1530">
          <cell r="A1530">
            <v>8012522</v>
          </cell>
        </row>
        <row r="1531">
          <cell r="A1531">
            <v>8012523</v>
          </cell>
        </row>
        <row r="1532">
          <cell r="A1532">
            <v>8012524</v>
          </cell>
        </row>
        <row r="1533">
          <cell r="A1533">
            <v>8012525</v>
          </cell>
        </row>
        <row r="1534">
          <cell r="A1534">
            <v>8012526</v>
          </cell>
        </row>
        <row r="1535">
          <cell r="A1535">
            <v>8012527</v>
          </cell>
        </row>
        <row r="1536">
          <cell r="A1536">
            <v>8012528</v>
          </cell>
        </row>
        <row r="1537">
          <cell r="A1537">
            <v>8012529</v>
          </cell>
        </row>
        <row r="1538">
          <cell r="A1538">
            <v>8012530</v>
          </cell>
        </row>
        <row r="1539">
          <cell r="A1539">
            <v>8012531</v>
          </cell>
        </row>
        <row r="1540">
          <cell r="A1540">
            <v>8012532</v>
          </cell>
        </row>
        <row r="1541">
          <cell r="A1541">
            <v>8012533</v>
          </cell>
        </row>
        <row r="1542">
          <cell r="A1542">
            <v>8012534</v>
          </cell>
        </row>
        <row r="1543">
          <cell r="A1543">
            <v>8012535</v>
          </cell>
        </row>
        <row r="1544">
          <cell r="A1544">
            <v>8012536</v>
          </cell>
        </row>
        <row r="1545">
          <cell r="A1545">
            <v>8012537</v>
          </cell>
        </row>
        <row r="1546">
          <cell r="A1546">
            <v>8012538</v>
          </cell>
        </row>
        <row r="1547">
          <cell r="A1547">
            <v>8012542</v>
          </cell>
        </row>
        <row r="1548">
          <cell r="A1548">
            <v>8012543</v>
          </cell>
        </row>
        <row r="1549">
          <cell r="A1549">
            <v>8012544</v>
          </cell>
        </row>
        <row r="1550">
          <cell r="A1550">
            <v>8012545</v>
          </cell>
        </row>
        <row r="1551">
          <cell r="A1551">
            <v>8012546</v>
          </cell>
        </row>
        <row r="1552">
          <cell r="A1552">
            <v>8012547</v>
          </cell>
        </row>
        <row r="1553">
          <cell r="A1553">
            <v>8012551</v>
          </cell>
        </row>
        <row r="1554">
          <cell r="A1554">
            <v>8012552</v>
          </cell>
        </row>
        <row r="1555">
          <cell r="A1555">
            <v>8012553</v>
          </cell>
        </row>
        <row r="1556">
          <cell r="A1556">
            <v>8012554</v>
          </cell>
        </row>
        <row r="1557">
          <cell r="A1557">
            <v>8012555</v>
          </cell>
        </row>
        <row r="1558">
          <cell r="A1558">
            <v>8012556</v>
          </cell>
        </row>
        <row r="1559">
          <cell r="A1559">
            <v>8012557</v>
          </cell>
        </row>
        <row r="1560">
          <cell r="A1560">
            <v>8012558</v>
          </cell>
        </row>
        <row r="1561">
          <cell r="A1561">
            <v>8012601</v>
          </cell>
        </row>
        <row r="1562">
          <cell r="A1562">
            <v>8012602</v>
          </cell>
        </row>
        <row r="1563">
          <cell r="A1563">
            <v>8012603</v>
          </cell>
        </row>
        <row r="1564">
          <cell r="A1564">
            <v>8012604</v>
          </cell>
        </row>
        <row r="1565">
          <cell r="A1565">
            <v>8012605</v>
          </cell>
        </row>
        <row r="1566">
          <cell r="A1566">
            <v>8012606</v>
          </cell>
        </row>
        <row r="1567">
          <cell r="A1567">
            <v>8012607</v>
          </cell>
        </row>
        <row r="1568">
          <cell r="A1568">
            <v>8012608</v>
          </cell>
        </row>
        <row r="1569">
          <cell r="A1569">
            <v>8012609</v>
          </cell>
        </row>
        <row r="1570">
          <cell r="A1570">
            <v>8012610</v>
          </cell>
        </row>
        <row r="1571">
          <cell r="A1571">
            <v>8012611</v>
          </cell>
        </row>
        <row r="1572">
          <cell r="A1572">
            <v>8012612</v>
          </cell>
        </row>
        <row r="1573">
          <cell r="A1573">
            <v>8012613</v>
          </cell>
        </row>
        <row r="1574">
          <cell r="A1574">
            <v>8012614</v>
          </cell>
        </row>
        <row r="1575">
          <cell r="A1575">
            <v>8012615</v>
          </cell>
        </row>
        <row r="1576">
          <cell r="A1576">
            <v>8012616</v>
          </cell>
        </row>
        <row r="1577">
          <cell r="A1577">
            <v>8012617</v>
          </cell>
        </row>
        <row r="1578">
          <cell r="A1578">
            <v>8012618</v>
          </cell>
        </row>
        <row r="1579">
          <cell r="A1579">
            <v>8012619</v>
          </cell>
        </row>
        <row r="1580">
          <cell r="A1580">
            <v>8012620</v>
          </cell>
        </row>
        <row r="1581">
          <cell r="A1581">
            <v>8012621</v>
          </cell>
        </row>
        <row r="1582">
          <cell r="A1582">
            <v>8012622</v>
          </cell>
        </row>
        <row r="1583">
          <cell r="A1583">
            <v>8012623</v>
          </cell>
        </row>
        <row r="1584">
          <cell r="A1584">
            <v>8012629</v>
          </cell>
        </row>
        <row r="1585">
          <cell r="A1585">
            <v>8012630</v>
          </cell>
        </row>
        <row r="1586">
          <cell r="A1586">
            <v>8012631</v>
          </cell>
        </row>
        <row r="1587">
          <cell r="A1587">
            <v>8012635</v>
          </cell>
        </row>
        <row r="1588">
          <cell r="A1588">
            <v>8012701</v>
          </cell>
        </row>
        <row r="1589">
          <cell r="A1589">
            <v>8012702</v>
          </cell>
        </row>
        <row r="1590">
          <cell r="A1590">
            <v>8012703</v>
          </cell>
        </row>
        <row r="1591">
          <cell r="A1591">
            <v>8012704</v>
          </cell>
        </row>
        <row r="1592">
          <cell r="A1592">
            <v>8012705</v>
          </cell>
        </row>
        <row r="1593">
          <cell r="A1593">
            <v>8012706</v>
          </cell>
        </row>
        <row r="1594">
          <cell r="A1594">
            <v>8012707</v>
          </cell>
        </row>
        <row r="1595">
          <cell r="A1595">
            <v>8012708</v>
          </cell>
        </row>
        <row r="1596">
          <cell r="A1596">
            <v>8012709</v>
          </cell>
        </row>
        <row r="1597">
          <cell r="A1597">
            <v>8012710</v>
          </cell>
        </row>
        <row r="1598">
          <cell r="A1598">
            <v>8012711</v>
          </cell>
        </row>
        <row r="1599">
          <cell r="A1599">
            <v>8012712</v>
          </cell>
        </row>
        <row r="1600">
          <cell r="A1600">
            <v>8012713</v>
          </cell>
        </row>
        <row r="1601">
          <cell r="A1601">
            <v>8012714</v>
          </cell>
        </row>
        <row r="1602">
          <cell r="A1602">
            <v>8012715</v>
          </cell>
        </row>
        <row r="1603">
          <cell r="A1603">
            <v>8012801</v>
          </cell>
        </row>
        <row r="1604">
          <cell r="A1604">
            <v>8012802</v>
          </cell>
        </row>
        <row r="1605">
          <cell r="A1605">
            <v>8012803</v>
          </cell>
        </row>
        <row r="1606">
          <cell r="A1606">
            <v>8012804</v>
          </cell>
        </row>
        <row r="1607">
          <cell r="A1607">
            <v>8012805</v>
          </cell>
        </row>
        <row r="1608">
          <cell r="A1608">
            <v>8012806</v>
          </cell>
        </row>
        <row r="1609">
          <cell r="A1609">
            <v>8012807</v>
          </cell>
        </row>
        <row r="1610">
          <cell r="A1610">
            <v>8012808</v>
          </cell>
        </row>
        <row r="1611">
          <cell r="A1611">
            <v>8012809</v>
          </cell>
        </row>
        <row r="1612">
          <cell r="A1612">
            <v>8012810</v>
          </cell>
        </row>
        <row r="1613">
          <cell r="A1613">
            <v>8012811</v>
          </cell>
        </row>
        <row r="1614">
          <cell r="A1614">
            <v>8012812</v>
          </cell>
        </row>
        <row r="1615">
          <cell r="A1615">
            <v>8012815</v>
          </cell>
        </row>
        <row r="1616">
          <cell r="A1616">
            <v>8012816</v>
          </cell>
        </row>
        <row r="1617">
          <cell r="A1617">
            <v>8012817</v>
          </cell>
        </row>
        <row r="1618">
          <cell r="A1618">
            <v>8012818</v>
          </cell>
        </row>
        <row r="1619">
          <cell r="A1619">
            <v>8012819</v>
          </cell>
        </row>
        <row r="1620">
          <cell r="A1620">
            <v>8012820</v>
          </cell>
        </row>
        <row r="1621">
          <cell r="A1621">
            <v>8012821</v>
          </cell>
        </row>
        <row r="1622">
          <cell r="A1622">
            <v>8012822</v>
          </cell>
        </row>
        <row r="1623">
          <cell r="A1623">
            <v>8012823</v>
          </cell>
        </row>
        <row r="1624">
          <cell r="A1624">
            <v>8012824</v>
          </cell>
        </row>
        <row r="1625">
          <cell r="A1625">
            <v>8012825</v>
          </cell>
        </row>
        <row r="1626">
          <cell r="A1626">
            <v>8012826</v>
          </cell>
        </row>
        <row r="1627">
          <cell r="A1627">
            <v>8012827</v>
          </cell>
        </row>
        <row r="1628">
          <cell r="A1628">
            <v>8012828</v>
          </cell>
        </row>
        <row r="1629">
          <cell r="A1629">
            <v>8012829</v>
          </cell>
        </row>
        <row r="1630">
          <cell r="A1630">
            <v>8012830</v>
          </cell>
        </row>
        <row r="1631">
          <cell r="A1631">
            <v>8012831</v>
          </cell>
        </row>
        <row r="1632">
          <cell r="A1632">
            <v>8012832</v>
          </cell>
        </row>
        <row r="1633">
          <cell r="A1633">
            <v>8012833</v>
          </cell>
        </row>
        <row r="1634">
          <cell r="A1634">
            <v>8012834</v>
          </cell>
        </row>
        <row r="1635">
          <cell r="A1635">
            <v>8012835</v>
          </cell>
        </row>
        <row r="1636">
          <cell r="A1636">
            <v>8012836</v>
          </cell>
        </row>
        <row r="1637">
          <cell r="A1637">
            <v>8012837</v>
          </cell>
        </row>
        <row r="1638">
          <cell r="A1638">
            <v>8012838</v>
          </cell>
        </row>
        <row r="1639">
          <cell r="A1639">
            <v>8012839</v>
          </cell>
        </row>
        <row r="1640">
          <cell r="A1640">
            <v>8012840</v>
          </cell>
        </row>
        <row r="1641">
          <cell r="A1641">
            <v>8012841</v>
          </cell>
        </row>
        <row r="1642">
          <cell r="A1642">
            <v>8012845</v>
          </cell>
        </row>
        <row r="1643">
          <cell r="A1643">
            <v>8012846</v>
          </cell>
        </row>
        <row r="1644">
          <cell r="A1644">
            <v>8012847</v>
          </cell>
        </row>
        <row r="1645">
          <cell r="A1645">
            <v>8012848</v>
          </cell>
        </row>
        <row r="1646">
          <cell r="A1646">
            <v>8012849</v>
          </cell>
        </row>
        <row r="1647">
          <cell r="A1647">
            <v>8012850</v>
          </cell>
        </row>
        <row r="1648">
          <cell r="A1648">
            <v>8012851</v>
          </cell>
        </row>
        <row r="1649">
          <cell r="A1649">
            <v>8012852</v>
          </cell>
        </row>
        <row r="1650">
          <cell r="A1650">
            <v>8012853</v>
          </cell>
        </row>
        <row r="1651">
          <cell r="A1651">
            <v>8012901</v>
          </cell>
        </row>
        <row r="1652">
          <cell r="A1652">
            <v>8012902</v>
          </cell>
        </row>
        <row r="1653">
          <cell r="A1653">
            <v>8012903</v>
          </cell>
        </row>
        <row r="1654">
          <cell r="A1654">
            <v>8012904</v>
          </cell>
        </row>
        <row r="1655">
          <cell r="A1655">
            <v>8012905</v>
          </cell>
        </row>
        <row r="1656">
          <cell r="A1656">
            <v>8012906</v>
          </cell>
        </row>
        <row r="1657">
          <cell r="A1657">
            <v>8012907</v>
          </cell>
        </row>
        <row r="1658">
          <cell r="A1658">
            <v>8012908</v>
          </cell>
        </row>
        <row r="1659">
          <cell r="A1659">
            <v>8012909</v>
          </cell>
        </row>
        <row r="1660">
          <cell r="A1660">
            <v>8012910</v>
          </cell>
        </row>
        <row r="1661">
          <cell r="A1661">
            <v>8012917</v>
          </cell>
        </row>
        <row r="1662">
          <cell r="A1662">
            <v>8012918</v>
          </cell>
        </row>
        <row r="1663">
          <cell r="A1663">
            <v>8012919</v>
          </cell>
        </row>
        <row r="1664">
          <cell r="A1664">
            <v>8012920</v>
          </cell>
        </row>
        <row r="1665">
          <cell r="A1665">
            <v>8012921</v>
          </cell>
        </row>
        <row r="1666">
          <cell r="A1666">
            <v>8012922</v>
          </cell>
        </row>
        <row r="1667">
          <cell r="A1667">
            <v>8012923</v>
          </cell>
        </row>
        <row r="1668">
          <cell r="A1668">
            <v>8012924</v>
          </cell>
        </row>
        <row r="1669">
          <cell r="A1669">
            <v>8012925</v>
          </cell>
        </row>
        <row r="1670">
          <cell r="A1670">
            <v>8012926</v>
          </cell>
        </row>
        <row r="1671">
          <cell r="A1671">
            <v>8012927</v>
          </cell>
        </row>
        <row r="1672">
          <cell r="A1672">
            <v>8012928</v>
          </cell>
        </row>
        <row r="1673">
          <cell r="A1673">
            <v>8012929</v>
          </cell>
        </row>
        <row r="1674">
          <cell r="A1674">
            <v>8012930</v>
          </cell>
        </row>
        <row r="1675">
          <cell r="A1675">
            <v>8012931</v>
          </cell>
        </row>
        <row r="1676">
          <cell r="A1676">
            <v>8012932</v>
          </cell>
        </row>
        <row r="1677">
          <cell r="A1677">
            <v>8012933</v>
          </cell>
        </row>
        <row r="1678">
          <cell r="A1678">
            <v>8013001</v>
          </cell>
        </row>
        <row r="1679">
          <cell r="A1679">
            <v>8013002</v>
          </cell>
        </row>
        <row r="1680">
          <cell r="A1680">
            <v>8013003</v>
          </cell>
        </row>
        <row r="1681">
          <cell r="A1681">
            <v>8013004</v>
          </cell>
        </row>
        <row r="1682">
          <cell r="A1682">
            <v>8013005</v>
          </cell>
        </row>
        <row r="1683">
          <cell r="A1683">
            <v>8013006</v>
          </cell>
        </row>
        <row r="1684">
          <cell r="A1684">
            <v>8013007</v>
          </cell>
        </row>
        <row r="1685">
          <cell r="A1685">
            <v>8013008</v>
          </cell>
        </row>
        <row r="1686">
          <cell r="A1686">
            <v>8013009</v>
          </cell>
        </row>
        <row r="1687">
          <cell r="A1687">
            <v>8013010</v>
          </cell>
        </row>
        <row r="1688">
          <cell r="A1688">
            <v>8013011</v>
          </cell>
        </row>
        <row r="1689">
          <cell r="A1689">
            <v>8013012</v>
          </cell>
        </row>
        <row r="1690">
          <cell r="A1690">
            <v>8013013</v>
          </cell>
        </row>
        <row r="1691">
          <cell r="A1691">
            <v>8013014</v>
          </cell>
        </row>
        <row r="1692">
          <cell r="A1692">
            <v>8013015</v>
          </cell>
        </row>
        <row r="1693">
          <cell r="A1693">
            <v>8013016</v>
          </cell>
        </row>
        <row r="1694">
          <cell r="A1694">
            <v>8013017</v>
          </cell>
        </row>
        <row r="1695">
          <cell r="A1695">
            <v>8013018</v>
          </cell>
        </row>
        <row r="1696">
          <cell r="A1696">
            <v>8013019</v>
          </cell>
        </row>
        <row r="1697">
          <cell r="A1697">
            <v>8013020</v>
          </cell>
        </row>
        <row r="1698">
          <cell r="A1698">
            <v>8013021</v>
          </cell>
        </row>
        <row r="1699">
          <cell r="A1699">
            <v>8013022</v>
          </cell>
        </row>
        <row r="1700">
          <cell r="A1700">
            <v>8013023</v>
          </cell>
        </row>
        <row r="1701">
          <cell r="A1701">
            <v>8013024</v>
          </cell>
        </row>
        <row r="1702">
          <cell r="A1702">
            <v>8013025</v>
          </cell>
        </row>
        <row r="1703">
          <cell r="A1703">
            <v>8013026</v>
          </cell>
        </row>
        <row r="1704">
          <cell r="A1704">
            <v>8013027</v>
          </cell>
        </row>
        <row r="1705">
          <cell r="A1705">
            <v>8013028</v>
          </cell>
        </row>
        <row r="1706">
          <cell r="A1706">
            <v>8013029</v>
          </cell>
        </row>
        <row r="1707">
          <cell r="A1707">
            <v>8013030</v>
          </cell>
        </row>
        <row r="1708">
          <cell r="A1708">
            <v>8013031</v>
          </cell>
        </row>
        <row r="1709">
          <cell r="A1709">
            <v>8013032</v>
          </cell>
        </row>
        <row r="1710">
          <cell r="A1710">
            <v>8013033</v>
          </cell>
        </row>
        <row r="1711">
          <cell r="A1711">
            <v>8013034</v>
          </cell>
        </row>
        <row r="1712">
          <cell r="A1712">
            <v>8013035</v>
          </cell>
        </row>
        <row r="1713">
          <cell r="A1713">
            <v>8013036</v>
          </cell>
        </row>
        <row r="1714">
          <cell r="A1714">
            <v>8013037</v>
          </cell>
        </row>
        <row r="1715">
          <cell r="A1715">
            <v>8013038</v>
          </cell>
        </row>
        <row r="1716">
          <cell r="A1716">
            <v>8013039</v>
          </cell>
        </row>
        <row r="1717">
          <cell r="A1717">
            <v>8013040</v>
          </cell>
        </row>
        <row r="1718">
          <cell r="A1718">
            <v>8013041</v>
          </cell>
        </row>
        <row r="1719">
          <cell r="A1719">
            <v>8013042</v>
          </cell>
        </row>
        <row r="1720">
          <cell r="A1720">
            <v>8013043</v>
          </cell>
        </row>
        <row r="1721">
          <cell r="A1721">
            <v>8013044</v>
          </cell>
        </row>
        <row r="1722">
          <cell r="A1722">
            <v>8013045</v>
          </cell>
        </row>
        <row r="1723">
          <cell r="A1723">
            <v>8013046</v>
          </cell>
        </row>
        <row r="1724">
          <cell r="A1724">
            <v>8013047</v>
          </cell>
        </row>
        <row r="1725">
          <cell r="A1725">
            <v>8013048</v>
          </cell>
        </row>
        <row r="1726">
          <cell r="A1726">
            <v>8013104</v>
          </cell>
        </row>
        <row r="1727">
          <cell r="A1727">
            <v>8013108</v>
          </cell>
        </row>
        <row r="1728">
          <cell r="A1728">
            <v>8013109</v>
          </cell>
        </row>
        <row r="1729">
          <cell r="A1729">
            <v>8013110</v>
          </cell>
        </row>
        <row r="1730">
          <cell r="A1730">
            <v>8013111</v>
          </cell>
        </row>
        <row r="1731">
          <cell r="A1731">
            <v>8013112</v>
          </cell>
        </row>
        <row r="1732">
          <cell r="A1732">
            <v>8013113</v>
          </cell>
        </row>
        <row r="1733">
          <cell r="A1733">
            <v>8013114</v>
          </cell>
        </row>
        <row r="1734">
          <cell r="A1734">
            <v>8013115</v>
          </cell>
        </row>
        <row r="1735">
          <cell r="A1735">
            <v>8013116</v>
          </cell>
        </row>
        <row r="1736">
          <cell r="A1736">
            <v>8013117</v>
          </cell>
        </row>
        <row r="1737">
          <cell r="A1737">
            <v>8013118</v>
          </cell>
        </row>
        <row r="1738">
          <cell r="A1738">
            <v>8013119</v>
          </cell>
        </row>
        <row r="1739">
          <cell r="A1739">
            <v>8013120</v>
          </cell>
        </row>
        <row r="1740">
          <cell r="A1740">
            <v>8013121</v>
          </cell>
        </row>
        <row r="1741">
          <cell r="A1741">
            <v>8013122</v>
          </cell>
        </row>
        <row r="1742">
          <cell r="A1742">
            <v>8013123</v>
          </cell>
        </row>
        <row r="1743">
          <cell r="A1743">
            <v>8013124</v>
          </cell>
        </row>
        <row r="1744">
          <cell r="A1744">
            <v>8020101</v>
          </cell>
        </row>
        <row r="1745">
          <cell r="A1745">
            <v>8020102</v>
          </cell>
        </row>
        <row r="1746">
          <cell r="A1746">
            <v>8020103</v>
          </cell>
        </row>
        <row r="1747">
          <cell r="A1747">
            <v>8020104</v>
          </cell>
        </row>
        <row r="1748">
          <cell r="A1748">
            <v>8020105</v>
          </cell>
        </row>
        <row r="1749">
          <cell r="A1749">
            <v>8020106</v>
          </cell>
        </row>
        <row r="1750">
          <cell r="A1750">
            <v>8020107</v>
          </cell>
        </row>
        <row r="1751">
          <cell r="A1751">
            <v>8020108</v>
          </cell>
        </row>
        <row r="1752">
          <cell r="A1752">
            <v>8020109</v>
          </cell>
        </row>
        <row r="1753">
          <cell r="A1753">
            <v>8020110</v>
          </cell>
        </row>
        <row r="1754">
          <cell r="A1754">
            <v>8020111</v>
          </cell>
        </row>
        <row r="1755">
          <cell r="A1755">
            <v>8020112</v>
          </cell>
        </row>
        <row r="1756">
          <cell r="A1756">
            <v>8020113</v>
          </cell>
        </row>
        <row r="1757">
          <cell r="A1757">
            <v>8020114</v>
          </cell>
        </row>
        <row r="1758">
          <cell r="A1758">
            <v>8020115</v>
          </cell>
        </row>
        <row r="1759">
          <cell r="A1759">
            <v>8020116</v>
          </cell>
        </row>
        <row r="1760">
          <cell r="A1760">
            <v>8020117</v>
          </cell>
        </row>
        <row r="1761">
          <cell r="A1761">
            <v>8020118</v>
          </cell>
        </row>
        <row r="1762">
          <cell r="A1762">
            <v>8020119</v>
          </cell>
        </row>
        <row r="1763">
          <cell r="A1763">
            <v>8020120</v>
          </cell>
        </row>
        <row r="1764">
          <cell r="A1764">
            <v>8020121</v>
          </cell>
        </row>
        <row r="1765">
          <cell r="A1765">
            <v>8020122</v>
          </cell>
        </row>
        <row r="1766">
          <cell r="A1766">
            <v>8020125</v>
          </cell>
        </row>
        <row r="1767">
          <cell r="A1767">
            <v>8020126</v>
          </cell>
        </row>
        <row r="1768">
          <cell r="A1768">
            <v>8020127</v>
          </cell>
        </row>
        <row r="1769">
          <cell r="A1769">
            <v>8020128</v>
          </cell>
        </row>
        <row r="1770">
          <cell r="A1770">
            <v>8020129</v>
          </cell>
        </row>
        <row r="1771">
          <cell r="A1771">
            <v>8020130</v>
          </cell>
        </row>
        <row r="1772">
          <cell r="A1772">
            <v>8020131</v>
          </cell>
        </row>
        <row r="1773">
          <cell r="A1773">
            <v>8020132</v>
          </cell>
        </row>
        <row r="1774">
          <cell r="A1774">
            <v>8020133</v>
          </cell>
        </row>
        <row r="1775">
          <cell r="A1775">
            <v>8020134</v>
          </cell>
        </row>
        <row r="1776">
          <cell r="A1776">
            <v>8020135</v>
          </cell>
        </row>
        <row r="1777">
          <cell r="A1777">
            <v>8020136</v>
          </cell>
        </row>
        <row r="1778">
          <cell r="A1778">
            <v>8020137</v>
          </cell>
        </row>
        <row r="1779">
          <cell r="A1779">
            <v>8020138</v>
          </cell>
        </row>
        <row r="1780">
          <cell r="A1780">
            <v>8020139</v>
          </cell>
        </row>
        <row r="1781">
          <cell r="A1781">
            <v>8020140</v>
          </cell>
        </row>
        <row r="1782">
          <cell r="A1782">
            <v>8020141</v>
          </cell>
        </row>
        <row r="1783">
          <cell r="A1783">
            <v>8020201</v>
          </cell>
        </row>
        <row r="1784">
          <cell r="A1784">
            <v>8020202</v>
          </cell>
        </row>
        <row r="1785">
          <cell r="A1785">
            <v>8020203</v>
          </cell>
        </row>
        <row r="1786">
          <cell r="A1786">
            <v>8020204</v>
          </cell>
        </row>
        <row r="1787">
          <cell r="A1787">
            <v>8020205</v>
          </cell>
        </row>
        <row r="1788">
          <cell r="A1788">
            <v>8020206</v>
          </cell>
        </row>
        <row r="1789">
          <cell r="A1789">
            <v>8020207</v>
          </cell>
        </row>
        <row r="1790">
          <cell r="A1790">
            <v>8020208</v>
          </cell>
        </row>
        <row r="1791">
          <cell r="A1791">
            <v>8020209</v>
          </cell>
        </row>
        <row r="1792">
          <cell r="A1792">
            <v>8020210</v>
          </cell>
        </row>
        <row r="1793">
          <cell r="A1793">
            <v>8020211</v>
          </cell>
        </row>
        <row r="1794">
          <cell r="A1794">
            <v>8020212</v>
          </cell>
        </row>
        <row r="1795">
          <cell r="A1795">
            <v>8020213</v>
          </cell>
        </row>
        <row r="1796">
          <cell r="A1796">
            <v>8020214</v>
          </cell>
        </row>
        <row r="1797">
          <cell r="A1797">
            <v>8020215</v>
          </cell>
        </row>
        <row r="1798">
          <cell r="A1798">
            <v>8020216</v>
          </cell>
        </row>
        <row r="1799">
          <cell r="A1799">
            <v>8020217</v>
          </cell>
        </row>
        <row r="1800">
          <cell r="A1800">
            <v>8020218</v>
          </cell>
        </row>
        <row r="1801">
          <cell r="A1801">
            <v>8020219</v>
          </cell>
        </row>
        <row r="1802">
          <cell r="A1802">
            <v>8020220</v>
          </cell>
        </row>
        <row r="1803">
          <cell r="A1803">
            <v>8020221</v>
          </cell>
        </row>
        <row r="1804">
          <cell r="A1804">
            <v>8020222</v>
          </cell>
        </row>
        <row r="1805">
          <cell r="A1805">
            <v>8020223</v>
          </cell>
        </row>
        <row r="1806">
          <cell r="A1806">
            <v>8020224</v>
          </cell>
        </row>
        <row r="1807">
          <cell r="A1807">
            <v>8020225</v>
          </cell>
        </row>
        <row r="1808">
          <cell r="A1808">
            <v>8020226</v>
          </cell>
        </row>
        <row r="1809">
          <cell r="A1809">
            <v>8020227</v>
          </cell>
        </row>
        <row r="1810">
          <cell r="A1810">
            <v>8020228</v>
          </cell>
        </row>
        <row r="1811">
          <cell r="A1811">
            <v>8020229</v>
          </cell>
        </row>
        <row r="1812">
          <cell r="A1812">
            <v>8020230</v>
          </cell>
        </row>
        <row r="1813">
          <cell r="A1813">
            <v>8020231</v>
          </cell>
        </row>
        <row r="1814">
          <cell r="A1814">
            <v>8020232</v>
          </cell>
        </row>
        <row r="1815">
          <cell r="A1815">
            <v>8020233</v>
          </cell>
        </row>
        <row r="1816">
          <cell r="A1816">
            <v>8020237</v>
          </cell>
        </row>
        <row r="1817">
          <cell r="A1817">
            <v>8020301</v>
          </cell>
        </row>
        <row r="1818">
          <cell r="A1818">
            <v>8020302</v>
          </cell>
        </row>
        <row r="1819">
          <cell r="A1819">
            <v>8020303</v>
          </cell>
        </row>
        <row r="1820">
          <cell r="A1820">
            <v>8020304</v>
          </cell>
        </row>
        <row r="1821">
          <cell r="A1821">
            <v>8020305</v>
          </cell>
        </row>
        <row r="1822">
          <cell r="A1822">
            <v>8020306</v>
          </cell>
        </row>
        <row r="1823">
          <cell r="A1823">
            <v>8020307</v>
          </cell>
        </row>
        <row r="1824">
          <cell r="A1824">
            <v>8020308</v>
          </cell>
        </row>
        <row r="1825">
          <cell r="A1825">
            <v>8020401</v>
          </cell>
        </row>
        <row r="1826">
          <cell r="A1826">
            <v>8020402</v>
          </cell>
        </row>
        <row r="1827">
          <cell r="A1827">
            <v>8020403</v>
          </cell>
        </row>
        <row r="1828">
          <cell r="A1828">
            <v>8020404</v>
          </cell>
        </row>
        <row r="1829">
          <cell r="A1829">
            <v>8020405</v>
          </cell>
        </row>
        <row r="1830">
          <cell r="A1830">
            <v>8020406</v>
          </cell>
        </row>
        <row r="1831">
          <cell r="A1831">
            <v>8020407</v>
          </cell>
        </row>
        <row r="1832">
          <cell r="A1832">
            <v>8020408</v>
          </cell>
        </row>
        <row r="1833">
          <cell r="A1833">
            <v>8020409</v>
          </cell>
        </row>
        <row r="1834">
          <cell r="A1834">
            <v>8020410</v>
          </cell>
        </row>
        <row r="1835">
          <cell r="A1835">
            <v>8020411</v>
          </cell>
        </row>
        <row r="1836">
          <cell r="A1836">
            <v>8020412</v>
          </cell>
        </row>
        <row r="1837">
          <cell r="A1837">
            <v>8020413</v>
          </cell>
        </row>
        <row r="1838">
          <cell r="A1838">
            <v>8020414</v>
          </cell>
        </row>
        <row r="1839">
          <cell r="A1839">
            <v>8020415</v>
          </cell>
        </row>
        <row r="1840">
          <cell r="A1840">
            <v>8020416</v>
          </cell>
        </row>
        <row r="1841">
          <cell r="A1841">
            <v>8020417</v>
          </cell>
        </row>
        <row r="1842">
          <cell r="A1842">
            <v>8020418</v>
          </cell>
        </row>
        <row r="1843">
          <cell r="A1843">
            <v>8020419</v>
          </cell>
        </row>
        <row r="1844">
          <cell r="A1844">
            <v>8020420</v>
          </cell>
        </row>
        <row r="1845">
          <cell r="A1845">
            <v>8020422</v>
          </cell>
        </row>
        <row r="1846">
          <cell r="A1846">
            <v>8020423</v>
          </cell>
        </row>
        <row r="1847">
          <cell r="A1847">
            <v>8020426</v>
          </cell>
        </row>
        <row r="1848">
          <cell r="A1848">
            <v>8020427</v>
          </cell>
        </row>
        <row r="1849">
          <cell r="A1849">
            <v>8020428</v>
          </cell>
        </row>
        <row r="1850">
          <cell r="A1850">
            <v>8020429</v>
          </cell>
        </row>
        <row r="1851">
          <cell r="A1851">
            <v>8020430</v>
          </cell>
        </row>
        <row r="1852">
          <cell r="A1852">
            <v>8020431</v>
          </cell>
        </row>
        <row r="1853">
          <cell r="A1853">
            <v>8020432</v>
          </cell>
        </row>
        <row r="1854">
          <cell r="A1854">
            <v>8020433</v>
          </cell>
        </row>
        <row r="1855">
          <cell r="A1855">
            <v>8020434</v>
          </cell>
        </row>
        <row r="1856">
          <cell r="A1856">
            <v>8020435</v>
          </cell>
        </row>
        <row r="1857">
          <cell r="A1857">
            <v>8020436</v>
          </cell>
        </row>
        <row r="1858">
          <cell r="A1858">
            <v>8020437</v>
          </cell>
        </row>
        <row r="1859">
          <cell r="A1859">
            <v>8020438</v>
          </cell>
        </row>
        <row r="1860">
          <cell r="A1860">
            <v>8020442</v>
          </cell>
        </row>
        <row r="1861">
          <cell r="A1861">
            <v>8020501</v>
          </cell>
        </row>
        <row r="1862">
          <cell r="A1862">
            <v>8020502</v>
          </cell>
        </row>
        <row r="1863">
          <cell r="A1863">
            <v>8020503</v>
          </cell>
        </row>
        <row r="1864">
          <cell r="A1864">
            <v>8020504</v>
          </cell>
        </row>
        <row r="1865">
          <cell r="A1865">
            <v>8020505</v>
          </cell>
        </row>
        <row r="1866">
          <cell r="A1866">
            <v>8020506</v>
          </cell>
        </row>
        <row r="1867">
          <cell r="A1867">
            <v>8020507</v>
          </cell>
        </row>
        <row r="1868">
          <cell r="A1868">
            <v>8020508</v>
          </cell>
        </row>
        <row r="1869">
          <cell r="A1869">
            <v>8020509</v>
          </cell>
        </row>
        <row r="1870">
          <cell r="A1870">
            <v>8020510</v>
          </cell>
        </row>
        <row r="1871">
          <cell r="A1871">
            <v>8020511</v>
          </cell>
        </row>
        <row r="1872">
          <cell r="A1872">
            <v>8020512</v>
          </cell>
        </row>
        <row r="1873">
          <cell r="A1873">
            <v>8020513</v>
          </cell>
        </row>
        <row r="1874">
          <cell r="A1874">
            <v>8020514</v>
          </cell>
        </row>
        <row r="1875">
          <cell r="A1875">
            <v>8020515</v>
          </cell>
        </row>
        <row r="1876">
          <cell r="A1876">
            <v>8020516</v>
          </cell>
        </row>
        <row r="1877">
          <cell r="A1877">
            <v>8020517</v>
          </cell>
        </row>
        <row r="1878">
          <cell r="A1878">
            <v>8020518</v>
          </cell>
        </row>
        <row r="1879">
          <cell r="A1879">
            <v>8020519</v>
          </cell>
        </row>
        <row r="1880">
          <cell r="A1880">
            <v>8020520</v>
          </cell>
        </row>
        <row r="1881">
          <cell r="A1881">
            <v>8020521</v>
          </cell>
        </row>
        <row r="1882">
          <cell r="A1882">
            <v>8020524</v>
          </cell>
        </row>
        <row r="1883">
          <cell r="A1883">
            <v>8020525</v>
          </cell>
        </row>
        <row r="1884">
          <cell r="A1884">
            <v>8020526</v>
          </cell>
        </row>
        <row r="1885">
          <cell r="A1885">
            <v>8020527</v>
          </cell>
        </row>
        <row r="1886">
          <cell r="A1886">
            <v>8020528</v>
          </cell>
        </row>
        <row r="1887">
          <cell r="A1887">
            <v>8020529</v>
          </cell>
        </row>
        <row r="1888">
          <cell r="A1888">
            <v>8020534</v>
          </cell>
        </row>
        <row r="1889">
          <cell r="A1889">
            <v>8020535</v>
          </cell>
        </row>
        <row r="1890">
          <cell r="A1890">
            <v>8020536</v>
          </cell>
        </row>
        <row r="1891">
          <cell r="A1891">
            <v>8020537</v>
          </cell>
        </row>
        <row r="1892">
          <cell r="A1892">
            <v>8020538</v>
          </cell>
        </row>
        <row r="1893">
          <cell r="A1893">
            <v>8020539</v>
          </cell>
        </row>
        <row r="1894">
          <cell r="A1894">
            <v>8020540</v>
          </cell>
        </row>
        <row r="1895">
          <cell r="A1895">
            <v>8020541</v>
          </cell>
        </row>
        <row r="1896">
          <cell r="A1896">
            <v>8020542</v>
          </cell>
        </row>
        <row r="1897">
          <cell r="A1897">
            <v>8020546</v>
          </cell>
        </row>
        <row r="1898">
          <cell r="A1898">
            <v>8020547</v>
          </cell>
        </row>
        <row r="1899">
          <cell r="A1899">
            <v>8020548</v>
          </cell>
        </row>
        <row r="1900">
          <cell r="A1900">
            <v>8020601</v>
          </cell>
        </row>
        <row r="1901">
          <cell r="A1901">
            <v>8020602</v>
          </cell>
        </row>
        <row r="1902">
          <cell r="A1902">
            <v>8020603</v>
          </cell>
        </row>
        <row r="1903">
          <cell r="A1903">
            <v>8020604</v>
          </cell>
        </row>
        <row r="1904">
          <cell r="A1904">
            <v>8020605</v>
          </cell>
        </row>
        <row r="1905">
          <cell r="A1905">
            <v>8020606</v>
          </cell>
        </row>
        <row r="1906">
          <cell r="A1906">
            <v>8020607</v>
          </cell>
        </row>
        <row r="1907">
          <cell r="A1907">
            <v>8020608</v>
          </cell>
        </row>
        <row r="1908">
          <cell r="A1908">
            <v>8020609</v>
          </cell>
        </row>
        <row r="1909">
          <cell r="A1909">
            <v>8020610</v>
          </cell>
        </row>
        <row r="1910">
          <cell r="A1910">
            <v>8020611</v>
          </cell>
        </row>
        <row r="1911">
          <cell r="A1911">
            <v>8020612</v>
          </cell>
        </row>
        <row r="1912">
          <cell r="A1912">
            <v>8020613</v>
          </cell>
        </row>
        <row r="1913">
          <cell r="A1913">
            <v>8020614</v>
          </cell>
        </row>
        <row r="1914">
          <cell r="A1914">
            <v>8020615</v>
          </cell>
        </row>
        <row r="1915">
          <cell r="A1915">
            <v>8020616</v>
          </cell>
        </row>
        <row r="1916">
          <cell r="A1916">
            <v>8020617</v>
          </cell>
        </row>
        <row r="1917">
          <cell r="A1917">
            <v>8020618</v>
          </cell>
        </row>
        <row r="1918">
          <cell r="A1918">
            <v>8020619</v>
          </cell>
        </row>
        <row r="1919">
          <cell r="A1919">
            <v>8020620</v>
          </cell>
        </row>
        <row r="1920">
          <cell r="A1920">
            <v>8020621</v>
          </cell>
        </row>
        <row r="1921">
          <cell r="A1921">
            <v>8020622</v>
          </cell>
        </row>
        <row r="1922">
          <cell r="A1922">
            <v>8020623</v>
          </cell>
        </row>
        <row r="1923">
          <cell r="A1923">
            <v>8020624</v>
          </cell>
        </row>
        <row r="1924">
          <cell r="A1924">
            <v>8020625</v>
          </cell>
        </row>
        <row r="1925">
          <cell r="A1925">
            <v>8020626</v>
          </cell>
        </row>
        <row r="1926">
          <cell r="A1926">
            <v>8020627</v>
          </cell>
        </row>
        <row r="1927">
          <cell r="A1927">
            <v>8020628</v>
          </cell>
        </row>
        <row r="1928">
          <cell r="A1928">
            <v>8020629</v>
          </cell>
        </row>
        <row r="1929">
          <cell r="A1929">
            <v>8020636</v>
          </cell>
        </row>
        <row r="1930">
          <cell r="A1930">
            <v>8020637</v>
          </cell>
        </row>
        <row r="1931">
          <cell r="A1931">
            <v>8020638</v>
          </cell>
        </row>
        <row r="1932">
          <cell r="A1932">
            <v>8020639</v>
          </cell>
        </row>
        <row r="1933">
          <cell r="A1933">
            <v>8020640</v>
          </cell>
        </row>
        <row r="1934">
          <cell r="A1934">
            <v>8020641</v>
          </cell>
        </row>
        <row r="1935">
          <cell r="A1935">
            <v>8020642</v>
          </cell>
        </row>
        <row r="1936">
          <cell r="A1936">
            <v>8020643</v>
          </cell>
        </row>
        <row r="1937">
          <cell r="A1937">
            <v>8020644</v>
          </cell>
        </row>
        <row r="1938">
          <cell r="A1938">
            <v>8020646</v>
          </cell>
        </row>
        <row r="1939">
          <cell r="A1939">
            <v>8020647</v>
          </cell>
        </row>
        <row r="1940">
          <cell r="A1940">
            <v>8020648</v>
          </cell>
        </row>
        <row r="1941">
          <cell r="A1941">
            <v>8020701</v>
          </cell>
        </row>
        <row r="1942">
          <cell r="A1942">
            <v>8020702</v>
          </cell>
        </row>
        <row r="1943">
          <cell r="A1943">
            <v>8020703</v>
          </cell>
        </row>
        <row r="1944">
          <cell r="A1944">
            <v>8020704</v>
          </cell>
        </row>
        <row r="1945">
          <cell r="A1945">
            <v>8020705</v>
          </cell>
        </row>
        <row r="1946">
          <cell r="A1946">
            <v>8020706</v>
          </cell>
        </row>
        <row r="1947">
          <cell r="A1947">
            <v>8020707</v>
          </cell>
        </row>
        <row r="1948">
          <cell r="A1948">
            <v>8020708</v>
          </cell>
        </row>
        <row r="1949">
          <cell r="A1949">
            <v>8020709</v>
          </cell>
        </row>
        <row r="1950">
          <cell r="A1950">
            <v>8020710</v>
          </cell>
        </row>
        <row r="1951">
          <cell r="A1951">
            <v>8020711</v>
          </cell>
        </row>
        <row r="1952">
          <cell r="A1952">
            <v>8020712</v>
          </cell>
        </row>
        <row r="1953">
          <cell r="A1953">
            <v>8020713</v>
          </cell>
        </row>
        <row r="1954">
          <cell r="A1954">
            <v>8020714</v>
          </cell>
        </row>
        <row r="1955">
          <cell r="A1955">
            <v>8020715</v>
          </cell>
        </row>
        <row r="1956">
          <cell r="A1956">
            <v>8020716</v>
          </cell>
        </row>
        <row r="1957">
          <cell r="A1957">
            <v>8020717</v>
          </cell>
        </row>
        <row r="1958">
          <cell r="A1958">
            <v>8020718</v>
          </cell>
        </row>
        <row r="1959">
          <cell r="A1959">
            <v>8020719</v>
          </cell>
        </row>
        <row r="1960">
          <cell r="A1960">
            <v>8020720</v>
          </cell>
        </row>
        <row r="1961">
          <cell r="A1961">
            <v>8020721</v>
          </cell>
        </row>
        <row r="1962">
          <cell r="A1962">
            <v>8020722</v>
          </cell>
        </row>
        <row r="1963">
          <cell r="A1963">
            <v>8020723</v>
          </cell>
        </row>
        <row r="1964">
          <cell r="A1964">
            <v>8020724</v>
          </cell>
        </row>
        <row r="1965">
          <cell r="A1965">
            <v>8020725</v>
          </cell>
        </row>
        <row r="1966">
          <cell r="A1966">
            <v>8020726</v>
          </cell>
        </row>
        <row r="1967">
          <cell r="A1967">
            <v>8020727</v>
          </cell>
        </row>
        <row r="1968">
          <cell r="A1968">
            <v>8020728</v>
          </cell>
        </row>
        <row r="1969">
          <cell r="A1969">
            <v>8020729</v>
          </cell>
        </row>
        <row r="1970">
          <cell r="A1970">
            <v>8020730</v>
          </cell>
        </row>
        <row r="1971">
          <cell r="A1971">
            <v>8020731</v>
          </cell>
        </row>
        <row r="1972">
          <cell r="A1972">
            <v>8020732</v>
          </cell>
        </row>
        <row r="1973">
          <cell r="A1973">
            <v>8020733</v>
          </cell>
        </row>
        <row r="1974">
          <cell r="A1974">
            <v>8020734</v>
          </cell>
        </row>
        <row r="1975">
          <cell r="A1975">
            <v>8020735</v>
          </cell>
        </row>
        <row r="1976">
          <cell r="A1976">
            <v>8020736</v>
          </cell>
        </row>
        <row r="1977">
          <cell r="A1977">
            <v>8020737</v>
          </cell>
        </row>
        <row r="1978">
          <cell r="A1978">
            <v>8020738</v>
          </cell>
        </row>
        <row r="1979">
          <cell r="A1979">
            <v>8020739</v>
          </cell>
        </row>
        <row r="1980">
          <cell r="A1980">
            <v>8020740</v>
          </cell>
        </row>
        <row r="1981">
          <cell r="A1981">
            <v>8020741</v>
          </cell>
        </row>
        <row r="1982">
          <cell r="A1982">
            <v>8020742</v>
          </cell>
        </row>
        <row r="1983">
          <cell r="A1983">
            <v>8020743</v>
          </cell>
        </row>
        <row r="1984">
          <cell r="A1984">
            <v>8020745</v>
          </cell>
        </row>
        <row r="1985">
          <cell r="A1985">
            <v>8020746</v>
          </cell>
        </row>
        <row r="1986">
          <cell r="A1986">
            <v>8020747</v>
          </cell>
        </row>
        <row r="1987">
          <cell r="A1987">
            <v>8020748</v>
          </cell>
        </row>
        <row r="1988">
          <cell r="A1988">
            <v>8020749</v>
          </cell>
        </row>
        <row r="1989">
          <cell r="A1989">
            <v>8020750</v>
          </cell>
        </row>
        <row r="1990">
          <cell r="A1990">
            <v>8020751</v>
          </cell>
        </row>
        <row r="1991">
          <cell r="A1991">
            <v>8020801</v>
          </cell>
        </row>
        <row r="1992">
          <cell r="A1992">
            <v>8020802</v>
          </cell>
        </row>
        <row r="1993">
          <cell r="A1993">
            <v>8020803</v>
          </cell>
        </row>
        <row r="1994">
          <cell r="A1994">
            <v>8020804</v>
          </cell>
        </row>
        <row r="1995">
          <cell r="A1995">
            <v>8020805</v>
          </cell>
        </row>
        <row r="1996">
          <cell r="A1996">
            <v>8020806</v>
          </cell>
        </row>
        <row r="1997">
          <cell r="A1997">
            <v>8020807</v>
          </cell>
        </row>
        <row r="1998">
          <cell r="A1998">
            <v>8020808</v>
          </cell>
        </row>
        <row r="1999">
          <cell r="A1999">
            <v>8020809</v>
          </cell>
        </row>
        <row r="2000">
          <cell r="A2000">
            <v>8020810</v>
          </cell>
        </row>
        <row r="2001">
          <cell r="A2001">
            <v>8020811</v>
          </cell>
        </row>
        <row r="2002">
          <cell r="A2002">
            <v>8020812</v>
          </cell>
        </row>
        <row r="2003">
          <cell r="A2003">
            <v>8020813</v>
          </cell>
        </row>
        <row r="2004">
          <cell r="A2004">
            <v>8020814</v>
          </cell>
        </row>
        <row r="2005">
          <cell r="A2005">
            <v>8020818</v>
          </cell>
        </row>
        <row r="2006">
          <cell r="A2006">
            <v>8020819</v>
          </cell>
        </row>
        <row r="2007">
          <cell r="A2007">
            <v>8020820</v>
          </cell>
        </row>
        <row r="2008">
          <cell r="A2008">
            <v>8020821</v>
          </cell>
        </row>
        <row r="2009">
          <cell r="A2009">
            <v>8020822</v>
          </cell>
        </row>
        <row r="2010">
          <cell r="A2010">
            <v>8020823</v>
          </cell>
        </row>
        <row r="2011">
          <cell r="A2011">
            <v>8020824</v>
          </cell>
        </row>
        <row r="2012">
          <cell r="A2012">
            <v>8020825</v>
          </cell>
        </row>
        <row r="2013">
          <cell r="A2013">
            <v>8020826</v>
          </cell>
        </row>
        <row r="2014">
          <cell r="A2014">
            <v>8020837</v>
          </cell>
        </row>
        <row r="2015">
          <cell r="A2015">
            <v>8020838</v>
          </cell>
        </row>
        <row r="2016">
          <cell r="A2016">
            <v>8020839</v>
          </cell>
        </row>
        <row r="2017">
          <cell r="A2017">
            <v>8020840</v>
          </cell>
        </row>
        <row r="2018">
          <cell r="A2018">
            <v>8020841</v>
          </cell>
        </row>
        <row r="2019">
          <cell r="A2019">
            <v>8020842</v>
          </cell>
        </row>
        <row r="2020">
          <cell r="A2020">
            <v>8020843</v>
          </cell>
        </row>
        <row r="2021">
          <cell r="A2021">
            <v>8020844</v>
          </cell>
        </row>
        <row r="2022">
          <cell r="A2022">
            <v>8020845</v>
          </cell>
        </row>
        <row r="2023">
          <cell r="A2023">
            <v>8020846</v>
          </cell>
        </row>
        <row r="2024">
          <cell r="A2024">
            <v>8020847</v>
          </cell>
        </row>
        <row r="2025">
          <cell r="A2025">
            <v>8020901</v>
          </cell>
        </row>
        <row r="2026">
          <cell r="A2026">
            <v>8020902</v>
          </cell>
        </row>
        <row r="2027">
          <cell r="A2027">
            <v>8020903</v>
          </cell>
        </row>
        <row r="2028">
          <cell r="A2028">
            <v>8020904</v>
          </cell>
        </row>
        <row r="2029">
          <cell r="A2029">
            <v>8020905</v>
          </cell>
        </row>
        <row r="2030">
          <cell r="A2030">
            <v>8020906</v>
          </cell>
        </row>
        <row r="2031">
          <cell r="A2031">
            <v>8020907</v>
          </cell>
        </row>
        <row r="2032">
          <cell r="A2032">
            <v>8020908</v>
          </cell>
        </row>
        <row r="2033">
          <cell r="A2033">
            <v>8020909</v>
          </cell>
        </row>
        <row r="2034">
          <cell r="A2034">
            <v>8020910</v>
          </cell>
        </row>
        <row r="2035">
          <cell r="A2035">
            <v>8020911</v>
          </cell>
        </row>
        <row r="2036">
          <cell r="A2036">
            <v>8020912</v>
          </cell>
        </row>
        <row r="2037">
          <cell r="A2037">
            <v>8020913</v>
          </cell>
        </row>
        <row r="2038">
          <cell r="A2038">
            <v>8020914</v>
          </cell>
        </row>
        <row r="2039">
          <cell r="A2039">
            <v>8020915</v>
          </cell>
        </row>
        <row r="2040">
          <cell r="A2040">
            <v>8020916</v>
          </cell>
        </row>
        <row r="2041">
          <cell r="A2041">
            <v>8020917</v>
          </cell>
        </row>
        <row r="2042">
          <cell r="A2042">
            <v>8020918</v>
          </cell>
        </row>
        <row r="2043">
          <cell r="A2043">
            <v>8020919</v>
          </cell>
        </row>
        <row r="2044">
          <cell r="A2044">
            <v>8020920</v>
          </cell>
        </row>
        <row r="2045">
          <cell r="A2045">
            <v>8020921</v>
          </cell>
        </row>
        <row r="2046">
          <cell r="A2046">
            <v>8020922</v>
          </cell>
        </row>
        <row r="2047">
          <cell r="A2047">
            <v>8020923</v>
          </cell>
        </row>
        <row r="2048">
          <cell r="A2048">
            <v>8020924</v>
          </cell>
        </row>
        <row r="2049">
          <cell r="A2049">
            <v>8020925</v>
          </cell>
        </row>
        <row r="2050">
          <cell r="A2050">
            <v>8020926</v>
          </cell>
        </row>
        <row r="2051">
          <cell r="A2051">
            <v>8020927</v>
          </cell>
        </row>
        <row r="2052">
          <cell r="A2052">
            <v>8020928</v>
          </cell>
        </row>
        <row r="2053">
          <cell r="A2053">
            <v>8020929</v>
          </cell>
        </row>
        <row r="2054">
          <cell r="A2054">
            <v>8020930</v>
          </cell>
        </row>
        <row r="2055">
          <cell r="A2055">
            <v>8020931</v>
          </cell>
        </row>
        <row r="2056">
          <cell r="A2056">
            <v>8020932</v>
          </cell>
        </row>
        <row r="2057">
          <cell r="A2057">
            <v>8020933</v>
          </cell>
        </row>
        <row r="2058">
          <cell r="A2058">
            <v>8020934</v>
          </cell>
        </row>
        <row r="2059">
          <cell r="A2059">
            <v>8020935</v>
          </cell>
        </row>
        <row r="2060">
          <cell r="A2060">
            <v>8020936</v>
          </cell>
        </row>
        <row r="2061">
          <cell r="A2061">
            <v>8020937</v>
          </cell>
        </row>
        <row r="2062">
          <cell r="A2062">
            <v>8020938</v>
          </cell>
        </row>
        <row r="2063">
          <cell r="A2063">
            <v>8020943</v>
          </cell>
        </row>
        <row r="2064">
          <cell r="A2064">
            <v>8020944</v>
          </cell>
        </row>
        <row r="2065">
          <cell r="A2065">
            <v>8020945</v>
          </cell>
        </row>
        <row r="2066">
          <cell r="A2066">
            <v>8020946</v>
          </cell>
        </row>
        <row r="2067">
          <cell r="A2067">
            <v>8020947</v>
          </cell>
        </row>
        <row r="2068">
          <cell r="A2068">
            <v>8021003</v>
          </cell>
        </row>
        <row r="2069">
          <cell r="A2069">
            <v>8021004</v>
          </cell>
        </row>
        <row r="2070">
          <cell r="A2070">
            <v>8021005</v>
          </cell>
        </row>
        <row r="2071">
          <cell r="A2071">
            <v>8021006</v>
          </cell>
        </row>
        <row r="2072">
          <cell r="A2072">
            <v>8021007</v>
          </cell>
        </row>
        <row r="2073">
          <cell r="A2073">
            <v>8021008</v>
          </cell>
        </row>
        <row r="2074">
          <cell r="A2074">
            <v>8021009</v>
          </cell>
        </row>
        <row r="2075">
          <cell r="A2075">
            <v>8021010</v>
          </cell>
        </row>
        <row r="2076">
          <cell r="A2076">
            <v>8021011</v>
          </cell>
        </row>
        <row r="2077">
          <cell r="A2077">
            <v>8021012</v>
          </cell>
        </row>
        <row r="2078">
          <cell r="A2078">
            <v>8021013</v>
          </cell>
        </row>
        <row r="2079">
          <cell r="A2079">
            <v>8021014</v>
          </cell>
        </row>
        <row r="2080">
          <cell r="A2080">
            <v>8021018</v>
          </cell>
        </row>
        <row r="2081">
          <cell r="A2081">
            <v>8021019</v>
          </cell>
        </row>
        <row r="2082">
          <cell r="A2082">
            <v>8021020</v>
          </cell>
        </row>
        <row r="2083">
          <cell r="A2083">
            <v>8021021</v>
          </cell>
        </row>
        <row r="2084">
          <cell r="A2084">
            <v>8021022</v>
          </cell>
        </row>
        <row r="2085">
          <cell r="A2085">
            <v>8021023</v>
          </cell>
        </row>
        <row r="2086">
          <cell r="A2086">
            <v>8021024</v>
          </cell>
        </row>
        <row r="2087">
          <cell r="A2087">
            <v>8021025</v>
          </cell>
        </row>
        <row r="2088">
          <cell r="A2088">
            <v>8021026</v>
          </cell>
        </row>
        <row r="2089">
          <cell r="A2089">
            <v>8021027</v>
          </cell>
        </row>
        <row r="2090">
          <cell r="A2090">
            <v>8021028</v>
          </cell>
        </row>
        <row r="2091">
          <cell r="A2091">
            <v>8021029</v>
          </cell>
        </row>
        <row r="2092">
          <cell r="A2092">
            <v>8021030</v>
          </cell>
        </row>
        <row r="2093">
          <cell r="A2093">
            <v>8021101</v>
          </cell>
        </row>
        <row r="2094">
          <cell r="A2094">
            <v>8021102</v>
          </cell>
        </row>
        <row r="2095">
          <cell r="A2095">
            <v>8021103</v>
          </cell>
        </row>
        <row r="2096">
          <cell r="A2096">
            <v>8021104</v>
          </cell>
        </row>
        <row r="2097">
          <cell r="A2097">
            <v>8021105</v>
          </cell>
        </row>
        <row r="2098">
          <cell r="A2098">
            <v>8021106</v>
          </cell>
        </row>
        <row r="2099">
          <cell r="A2099">
            <v>8021107</v>
          </cell>
        </row>
        <row r="2100">
          <cell r="A2100">
            <v>8021108</v>
          </cell>
        </row>
        <row r="2101">
          <cell r="A2101">
            <v>8021109</v>
          </cell>
        </row>
        <row r="2102">
          <cell r="A2102">
            <v>8021110</v>
          </cell>
        </row>
        <row r="2103">
          <cell r="A2103">
            <v>8021111</v>
          </cell>
        </row>
        <row r="2104">
          <cell r="A2104">
            <v>8021112</v>
          </cell>
        </row>
        <row r="2105">
          <cell r="A2105">
            <v>8021113</v>
          </cell>
        </row>
        <row r="2106">
          <cell r="A2106">
            <v>8021114</v>
          </cell>
        </row>
        <row r="2107">
          <cell r="A2107">
            <v>8021115</v>
          </cell>
        </row>
        <row r="2108">
          <cell r="A2108">
            <v>8021116</v>
          </cell>
        </row>
        <row r="2109">
          <cell r="A2109">
            <v>8021117</v>
          </cell>
        </row>
        <row r="2110">
          <cell r="A2110">
            <v>8021118</v>
          </cell>
        </row>
        <row r="2111">
          <cell r="A2111">
            <v>8021119</v>
          </cell>
        </row>
        <row r="2112">
          <cell r="A2112">
            <v>8021120</v>
          </cell>
        </row>
        <row r="2113">
          <cell r="A2113">
            <v>8021121</v>
          </cell>
        </row>
        <row r="2114">
          <cell r="A2114">
            <v>8021122</v>
          </cell>
        </row>
        <row r="2115">
          <cell r="A2115">
            <v>8021123</v>
          </cell>
        </row>
        <row r="2116">
          <cell r="A2116">
            <v>8021124</v>
          </cell>
        </row>
        <row r="2117">
          <cell r="A2117">
            <v>8021128</v>
          </cell>
        </row>
        <row r="2118">
          <cell r="A2118">
            <v>8021129</v>
          </cell>
        </row>
        <row r="2119">
          <cell r="A2119">
            <v>8021130</v>
          </cell>
        </row>
        <row r="2120">
          <cell r="A2120">
            <v>8021131</v>
          </cell>
        </row>
        <row r="2121">
          <cell r="A2121">
            <v>8021132</v>
          </cell>
        </row>
        <row r="2122">
          <cell r="A2122">
            <v>8021133</v>
          </cell>
        </row>
        <row r="2123">
          <cell r="A2123">
            <v>8021134</v>
          </cell>
        </row>
        <row r="2124">
          <cell r="A2124">
            <v>8021135</v>
          </cell>
        </row>
        <row r="2125">
          <cell r="A2125">
            <v>8021136</v>
          </cell>
        </row>
        <row r="2126">
          <cell r="A2126">
            <v>8021137</v>
          </cell>
        </row>
        <row r="2127">
          <cell r="A2127">
            <v>8021138</v>
          </cell>
        </row>
        <row r="2128">
          <cell r="A2128">
            <v>8021139</v>
          </cell>
        </row>
        <row r="2129">
          <cell r="A2129">
            <v>8021140</v>
          </cell>
        </row>
        <row r="2130">
          <cell r="A2130">
            <v>8021141</v>
          </cell>
        </row>
        <row r="2131">
          <cell r="A2131">
            <v>8021142</v>
          </cell>
        </row>
        <row r="2132">
          <cell r="A2132">
            <v>8021143</v>
          </cell>
        </row>
        <row r="2133">
          <cell r="A2133">
            <v>8021144</v>
          </cell>
        </row>
        <row r="2134">
          <cell r="A2134">
            <v>8021201</v>
          </cell>
        </row>
        <row r="2135">
          <cell r="A2135">
            <v>8021202</v>
          </cell>
        </row>
        <row r="2136">
          <cell r="A2136">
            <v>8021203</v>
          </cell>
        </row>
        <row r="2137">
          <cell r="A2137">
            <v>8021204</v>
          </cell>
        </row>
        <row r="2138">
          <cell r="A2138">
            <v>8021205</v>
          </cell>
        </row>
        <row r="2139">
          <cell r="A2139">
            <v>8021206</v>
          </cell>
        </row>
        <row r="2140">
          <cell r="A2140">
            <v>8021207</v>
          </cell>
        </row>
        <row r="2141">
          <cell r="A2141">
            <v>8021208</v>
          </cell>
        </row>
        <row r="2142">
          <cell r="A2142">
            <v>8021212</v>
          </cell>
        </row>
        <row r="2143">
          <cell r="A2143">
            <v>8021213</v>
          </cell>
        </row>
        <row r="2144">
          <cell r="A2144">
            <v>8021214</v>
          </cell>
        </row>
        <row r="2145">
          <cell r="A2145">
            <v>8021215</v>
          </cell>
        </row>
        <row r="2146">
          <cell r="A2146">
            <v>8021216</v>
          </cell>
        </row>
        <row r="2147">
          <cell r="A2147">
            <v>8021217</v>
          </cell>
        </row>
        <row r="2148">
          <cell r="A2148">
            <v>8021218</v>
          </cell>
        </row>
        <row r="2149">
          <cell r="A2149">
            <v>8021219</v>
          </cell>
        </row>
        <row r="2150">
          <cell r="A2150">
            <v>8021220</v>
          </cell>
        </row>
        <row r="2151">
          <cell r="A2151">
            <v>8021230</v>
          </cell>
        </row>
        <row r="2152">
          <cell r="A2152">
            <v>8021231</v>
          </cell>
        </row>
        <row r="2153">
          <cell r="A2153">
            <v>8021233</v>
          </cell>
        </row>
        <row r="2154">
          <cell r="A2154">
            <v>8021234</v>
          </cell>
        </row>
        <row r="2155">
          <cell r="A2155">
            <v>8021235</v>
          </cell>
        </row>
        <row r="2156">
          <cell r="A2156">
            <v>8021236</v>
          </cell>
        </row>
        <row r="2157">
          <cell r="A2157">
            <v>8021237</v>
          </cell>
        </row>
        <row r="2158">
          <cell r="A2158">
            <v>8021301</v>
          </cell>
        </row>
        <row r="2159">
          <cell r="A2159">
            <v>8021302</v>
          </cell>
        </row>
        <row r="2160">
          <cell r="A2160">
            <v>8021303</v>
          </cell>
        </row>
        <row r="2161">
          <cell r="A2161">
            <v>8021304</v>
          </cell>
        </row>
        <row r="2162">
          <cell r="A2162">
            <v>8021305</v>
          </cell>
        </row>
        <row r="2163">
          <cell r="A2163">
            <v>8021306</v>
          </cell>
        </row>
        <row r="2164">
          <cell r="A2164">
            <v>8021307</v>
          </cell>
        </row>
        <row r="2165">
          <cell r="A2165">
            <v>8021308</v>
          </cell>
        </row>
        <row r="2166">
          <cell r="A2166">
            <v>8021309</v>
          </cell>
        </row>
        <row r="2167">
          <cell r="A2167">
            <v>8021310</v>
          </cell>
        </row>
        <row r="2168">
          <cell r="A2168">
            <v>8021311</v>
          </cell>
        </row>
        <row r="2169">
          <cell r="A2169">
            <v>8021312</v>
          </cell>
        </row>
        <row r="2170">
          <cell r="A2170">
            <v>8021313</v>
          </cell>
        </row>
        <row r="2171">
          <cell r="A2171">
            <v>8021314</v>
          </cell>
        </row>
        <row r="2172">
          <cell r="A2172">
            <v>8021315</v>
          </cell>
        </row>
        <row r="2173">
          <cell r="A2173">
            <v>8021316</v>
          </cell>
        </row>
        <row r="2174">
          <cell r="A2174">
            <v>8021317</v>
          </cell>
        </row>
        <row r="2175">
          <cell r="A2175">
            <v>8021318</v>
          </cell>
        </row>
        <row r="2176">
          <cell r="A2176">
            <v>8021319</v>
          </cell>
        </row>
        <row r="2177">
          <cell r="A2177">
            <v>8021320</v>
          </cell>
        </row>
        <row r="2178">
          <cell r="A2178">
            <v>8021321</v>
          </cell>
        </row>
        <row r="2179">
          <cell r="A2179">
            <v>8021322</v>
          </cell>
        </row>
        <row r="2180">
          <cell r="A2180">
            <v>8021323</v>
          </cell>
        </row>
        <row r="2181">
          <cell r="A2181">
            <v>8021324</v>
          </cell>
        </row>
        <row r="2182">
          <cell r="A2182">
            <v>8021325</v>
          </cell>
        </row>
        <row r="2183">
          <cell r="A2183">
            <v>8021326</v>
          </cell>
        </row>
        <row r="2184">
          <cell r="A2184">
            <v>8021328</v>
          </cell>
        </row>
        <row r="2185">
          <cell r="A2185">
            <v>8021329</v>
          </cell>
        </row>
        <row r="2186">
          <cell r="A2186">
            <v>8021330</v>
          </cell>
        </row>
        <row r="2187">
          <cell r="A2187">
            <v>8021331</v>
          </cell>
        </row>
        <row r="2188">
          <cell r="A2188">
            <v>8021332</v>
          </cell>
        </row>
        <row r="2189">
          <cell r="A2189">
            <v>8021333</v>
          </cell>
        </row>
        <row r="2190">
          <cell r="A2190">
            <v>8021334</v>
          </cell>
        </row>
        <row r="2191">
          <cell r="A2191">
            <v>8021335</v>
          </cell>
        </row>
        <row r="2192">
          <cell r="A2192">
            <v>8021336</v>
          </cell>
        </row>
        <row r="2193">
          <cell r="A2193">
            <v>8021337</v>
          </cell>
        </row>
        <row r="2194">
          <cell r="A2194">
            <v>8021338</v>
          </cell>
        </row>
        <row r="2195">
          <cell r="A2195">
            <v>8021343</v>
          </cell>
        </row>
        <row r="2196">
          <cell r="A2196">
            <v>8021344</v>
          </cell>
        </row>
        <row r="2197">
          <cell r="A2197">
            <v>8021345</v>
          </cell>
        </row>
        <row r="2198">
          <cell r="A2198">
            <v>8021346</v>
          </cell>
        </row>
        <row r="2199">
          <cell r="A2199">
            <v>8021347</v>
          </cell>
        </row>
        <row r="2200">
          <cell r="A2200">
            <v>8021348</v>
          </cell>
        </row>
        <row r="2201">
          <cell r="A2201">
            <v>8021349</v>
          </cell>
        </row>
        <row r="2202">
          <cell r="A2202">
            <v>8021350</v>
          </cell>
        </row>
        <row r="2203">
          <cell r="A2203">
            <v>8021351</v>
          </cell>
        </row>
        <row r="2204">
          <cell r="A2204">
            <v>8021352</v>
          </cell>
        </row>
        <row r="2205">
          <cell r="A2205">
            <v>8021353</v>
          </cell>
        </row>
        <row r="2206">
          <cell r="A2206">
            <v>8021354</v>
          </cell>
        </row>
        <row r="2207">
          <cell r="A2207">
            <v>8021355</v>
          </cell>
        </row>
        <row r="2208">
          <cell r="A2208">
            <v>8021356</v>
          </cell>
        </row>
        <row r="2209">
          <cell r="A2209">
            <v>8021357</v>
          </cell>
        </row>
        <row r="2210">
          <cell r="A2210">
            <v>8021358</v>
          </cell>
        </row>
        <row r="2211">
          <cell r="A2211">
            <v>8021359</v>
          </cell>
        </row>
        <row r="2212">
          <cell r="A2212">
            <v>8021401</v>
          </cell>
        </row>
        <row r="2213">
          <cell r="A2213">
            <v>8021402</v>
          </cell>
        </row>
        <row r="2214">
          <cell r="A2214">
            <v>8021403</v>
          </cell>
        </row>
        <row r="2215">
          <cell r="A2215">
            <v>8021404</v>
          </cell>
        </row>
        <row r="2216">
          <cell r="A2216">
            <v>8021405</v>
          </cell>
        </row>
        <row r="2217">
          <cell r="A2217">
            <v>8021406</v>
          </cell>
        </row>
        <row r="2218">
          <cell r="A2218">
            <v>8021407</v>
          </cell>
        </row>
        <row r="2219">
          <cell r="A2219">
            <v>8021408</v>
          </cell>
        </row>
        <row r="2220">
          <cell r="A2220">
            <v>8021409</v>
          </cell>
        </row>
        <row r="2221">
          <cell r="A2221">
            <v>8021410</v>
          </cell>
        </row>
        <row r="2222">
          <cell r="A2222">
            <v>8021411</v>
          </cell>
        </row>
        <row r="2223">
          <cell r="A2223">
            <v>8021412</v>
          </cell>
        </row>
        <row r="2224">
          <cell r="A2224">
            <v>8021413</v>
          </cell>
        </row>
        <row r="2225">
          <cell r="A2225">
            <v>8021414</v>
          </cell>
        </row>
        <row r="2226">
          <cell r="A2226">
            <v>8021415</v>
          </cell>
        </row>
        <row r="2227">
          <cell r="A2227">
            <v>8021416</v>
          </cell>
        </row>
        <row r="2228">
          <cell r="A2228">
            <v>8021417</v>
          </cell>
        </row>
        <row r="2229">
          <cell r="A2229">
            <v>8021418</v>
          </cell>
        </row>
        <row r="2230">
          <cell r="A2230">
            <v>8021419</v>
          </cell>
        </row>
        <row r="2231">
          <cell r="A2231">
            <v>8021420</v>
          </cell>
        </row>
        <row r="2232">
          <cell r="A2232">
            <v>8021421</v>
          </cell>
        </row>
        <row r="2233">
          <cell r="A2233">
            <v>8021422</v>
          </cell>
        </row>
        <row r="2234">
          <cell r="A2234">
            <v>8021423</v>
          </cell>
        </row>
        <row r="2235">
          <cell r="A2235">
            <v>8021424</v>
          </cell>
        </row>
        <row r="2236">
          <cell r="A2236">
            <v>8021425</v>
          </cell>
        </row>
        <row r="2237">
          <cell r="A2237">
            <v>8021426</v>
          </cell>
        </row>
        <row r="2238">
          <cell r="A2238">
            <v>8021427</v>
          </cell>
        </row>
        <row r="2239">
          <cell r="A2239">
            <v>8021428</v>
          </cell>
        </row>
        <row r="2240">
          <cell r="A2240">
            <v>8021429</v>
          </cell>
        </row>
        <row r="2241">
          <cell r="A2241">
            <v>8021430</v>
          </cell>
        </row>
        <row r="2242">
          <cell r="A2242">
            <v>8021431</v>
          </cell>
        </row>
        <row r="2243">
          <cell r="A2243">
            <v>8021432</v>
          </cell>
        </row>
        <row r="2244">
          <cell r="A2244">
            <v>8021433</v>
          </cell>
        </row>
        <row r="2245">
          <cell r="A2245">
            <v>8021434</v>
          </cell>
        </row>
        <row r="2246">
          <cell r="A2246">
            <v>8021435</v>
          </cell>
        </row>
        <row r="2247">
          <cell r="A2247">
            <v>8021436</v>
          </cell>
        </row>
        <row r="2248">
          <cell r="A2248">
            <v>8021437</v>
          </cell>
        </row>
        <row r="2249">
          <cell r="A2249">
            <v>8021438</v>
          </cell>
        </row>
        <row r="2250">
          <cell r="A2250">
            <v>8021439</v>
          </cell>
        </row>
        <row r="2251">
          <cell r="A2251">
            <v>8021440</v>
          </cell>
        </row>
        <row r="2252">
          <cell r="A2252">
            <v>8021441</v>
          </cell>
        </row>
        <row r="2253">
          <cell r="A2253">
            <v>8021442</v>
          </cell>
        </row>
        <row r="2254">
          <cell r="A2254">
            <v>8021443</v>
          </cell>
        </row>
        <row r="2255">
          <cell r="A2255">
            <v>8021444</v>
          </cell>
        </row>
        <row r="2256">
          <cell r="A2256">
            <v>8021445</v>
          </cell>
        </row>
        <row r="2257">
          <cell r="A2257">
            <v>8021450</v>
          </cell>
        </row>
        <row r="2258">
          <cell r="A2258">
            <v>8021451</v>
          </cell>
        </row>
        <row r="2259">
          <cell r="A2259">
            <v>8021452</v>
          </cell>
        </row>
        <row r="2260">
          <cell r="A2260">
            <v>8021453</v>
          </cell>
        </row>
        <row r="2261">
          <cell r="A2261">
            <v>8021454</v>
          </cell>
        </row>
        <row r="2262">
          <cell r="A2262">
            <v>8021455</v>
          </cell>
        </row>
        <row r="2263">
          <cell r="A2263">
            <v>8021456</v>
          </cell>
        </row>
        <row r="2264">
          <cell r="A2264">
            <v>8021457</v>
          </cell>
        </row>
        <row r="2265">
          <cell r="A2265">
            <v>8021458</v>
          </cell>
        </row>
        <row r="2266">
          <cell r="A2266">
            <v>8021459</v>
          </cell>
        </row>
        <row r="2267">
          <cell r="A2267">
            <v>8021461</v>
          </cell>
        </row>
        <row r="2268">
          <cell r="A2268">
            <v>8021463</v>
          </cell>
        </row>
        <row r="2269">
          <cell r="A2269">
            <v>8021464</v>
          </cell>
        </row>
        <row r="2270">
          <cell r="A2270">
            <v>8021465</v>
          </cell>
        </row>
        <row r="2271">
          <cell r="A2271">
            <v>8021466</v>
          </cell>
        </row>
        <row r="2272">
          <cell r="A2272">
            <v>8021501</v>
          </cell>
        </row>
        <row r="2273">
          <cell r="A2273">
            <v>8021502</v>
          </cell>
        </row>
        <row r="2274">
          <cell r="A2274">
            <v>8021503</v>
          </cell>
        </row>
        <row r="2275">
          <cell r="A2275">
            <v>8021504</v>
          </cell>
        </row>
        <row r="2276">
          <cell r="A2276">
            <v>8021505</v>
          </cell>
        </row>
        <row r="2277">
          <cell r="A2277">
            <v>8021506</v>
          </cell>
        </row>
        <row r="2278">
          <cell r="A2278">
            <v>8021507</v>
          </cell>
        </row>
        <row r="2279">
          <cell r="A2279">
            <v>8021508</v>
          </cell>
        </row>
        <row r="2280">
          <cell r="A2280">
            <v>8021509</v>
          </cell>
        </row>
        <row r="2281">
          <cell r="A2281">
            <v>8021510</v>
          </cell>
        </row>
        <row r="2282">
          <cell r="A2282">
            <v>8021511</v>
          </cell>
        </row>
        <row r="2283">
          <cell r="A2283">
            <v>8021512</v>
          </cell>
        </row>
        <row r="2284">
          <cell r="A2284">
            <v>8021513</v>
          </cell>
        </row>
        <row r="2285">
          <cell r="A2285">
            <v>8021514</v>
          </cell>
        </row>
        <row r="2286">
          <cell r="A2286">
            <v>8021515</v>
          </cell>
        </row>
        <row r="2287">
          <cell r="A2287">
            <v>8021516</v>
          </cell>
        </row>
        <row r="2288">
          <cell r="A2288">
            <v>8021517</v>
          </cell>
        </row>
        <row r="2289">
          <cell r="A2289">
            <v>8021518</v>
          </cell>
        </row>
        <row r="2290">
          <cell r="A2290">
            <v>8021519</v>
          </cell>
        </row>
        <row r="2291">
          <cell r="A2291">
            <v>8021520</v>
          </cell>
        </row>
        <row r="2292">
          <cell r="A2292">
            <v>8021521</v>
          </cell>
        </row>
        <row r="2293">
          <cell r="A2293">
            <v>8021522</v>
          </cell>
        </row>
        <row r="2294">
          <cell r="A2294">
            <v>8021523</v>
          </cell>
        </row>
        <row r="2295">
          <cell r="A2295">
            <v>8021524</v>
          </cell>
        </row>
        <row r="2296">
          <cell r="A2296">
            <v>8021525</v>
          </cell>
        </row>
        <row r="2297">
          <cell r="A2297">
            <v>8021526</v>
          </cell>
        </row>
        <row r="2298">
          <cell r="A2298">
            <v>8021527</v>
          </cell>
        </row>
        <row r="2299">
          <cell r="A2299">
            <v>8021528</v>
          </cell>
        </row>
        <row r="2300">
          <cell r="A2300">
            <v>8021529</v>
          </cell>
        </row>
        <row r="2301">
          <cell r="A2301">
            <v>8021530</v>
          </cell>
        </row>
        <row r="2302">
          <cell r="A2302">
            <v>8021531</v>
          </cell>
        </row>
        <row r="2303">
          <cell r="A2303">
            <v>8021532</v>
          </cell>
        </row>
        <row r="2304">
          <cell r="A2304">
            <v>8021533</v>
          </cell>
        </row>
        <row r="2305">
          <cell r="A2305">
            <v>8021534</v>
          </cell>
        </row>
        <row r="2306">
          <cell r="A2306">
            <v>8021535</v>
          </cell>
        </row>
        <row r="2307">
          <cell r="A2307">
            <v>8021536</v>
          </cell>
        </row>
        <row r="2308">
          <cell r="A2308">
            <v>8021537</v>
          </cell>
        </row>
        <row r="2309">
          <cell r="A2309">
            <v>8021540</v>
          </cell>
        </row>
        <row r="2310">
          <cell r="A2310">
            <v>8021541</v>
          </cell>
        </row>
        <row r="2311">
          <cell r="A2311">
            <v>8021542</v>
          </cell>
        </row>
        <row r="2312">
          <cell r="A2312">
            <v>8021543</v>
          </cell>
        </row>
        <row r="2313">
          <cell r="A2313">
            <v>8021544</v>
          </cell>
        </row>
        <row r="2314">
          <cell r="A2314">
            <v>8021545</v>
          </cell>
        </row>
        <row r="2315">
          <cell r="A2315">
            <v>8021546</v>
          </cell>
        </row>
        <row r="2316">
          <cell r="A2316">
            <v>8021547</v>
          </cell>
        </row>
        <row r="2317">
          <cell r="A2317">
            <v>8021548</v>
          </cell>
        </row>
        <row r="2318">
          <cell r="A2318">
            <v>8021549</v>
          </cell>
        </row>
        <row r="2319">
          <cell r="A2319">
            <v>8021550</v>
          </cell>
        </row>
        <row r="2320">
          <cell r="A2320">
            <v>8021551</v>
          </cell>
        </row>
        <row r="2321">
          <cell r="A2321">
            <v>8021552</v>
          </cell>
        </row>
        <row r="2322">
          <cell r="A2322">
            <v>8021553</v>
          </cell>
        </row>
        <row r="2323">
          <cell r="A2323">
            <v>8021554</v>
          </cell>
        </row>
        <row r="2324">
          <cell r="A2324">
            <v>8021555</v>
          </cell>
        </row>
        <row r="2325">
          <cell r="A2325">
            <v>8021556</v>
          </cell>
        </row>
        <row r="2326">
          <cell r="A2326">
            <v>8021557</v>
          </cell>
        </row>
        <row r="2327">
          <cell r="A2327">
            <v>8021558</v>
          </cell>
        </row>
        <row r="2328">
          <cell r="A2328">
            <v>8021601</v>
          </cell>
        </row>
        <row r="2329">
          <cell r="A2329">
            <v>8021602</v>
          </cell>
        </row>
        <row r="2330">
          <cell r="A2330">
            <v>8021603</v>
          </cell>
        </row>
        <row r="2331">
          <cell r="A2331">
            <v>8021604</v>
          </cell>
        </row>
        <row r="2332">
          <cell r="A2332">
            <v>8021605</v>
          </cell>
        </row>
        <row r="2333">
          <cell r="A2333">
            <v>8021606</v>
          </cell>
        </row>
        <row r="2334">
          <cell r="A2334">
            <v>8021607</v>
          </cell>
        </row>
        <row r="2335">
          <cell r="A2335">
            <v>8021608</v>
          </cell>
        </row>
        <row r="2336">
          <cell r="A2336">
            <v>8021609</v>
          </cell>
        </row>
        <row r="2337">
          <cell r="A2337">
            <v>8021610</v>
          </cell>
        </row>
        <row r="2338">
          <cell r="A2338">
            <v>8021611</v>
          </cell>
        </row>
        <row r="2339">
          <cell r="A2339">
            <v>8021612</v>
          </cell>
        </row>
        <row r="2340">
          <cell r="A2340">
            <v>8021613</v>
          </cell>
        </row>
        <row r="2341">
          <cell r="A2341">
            <v>8021614</v>
          </cell>
        </row>
        <row r="2342">
          <cell r="A2342">
            <v>8021615</v>
          </cell>
        </row>
        <row r="2343">
          <cell r="A2343">
            <v>8021617</v>
          </cell>
        </row>
        <row r="2344">
          <cell r="A2344">
            <v>8021618</v>
          </cell>
        </row>
        <row r="2345">
          <cell r="A2345">
            <v>8021619</v>
          </cell>
        </row>
        <row r="2346">
          <cell r="A2346">
            <v>8021620</v>
          </cell>
        </row>
        <row r="2347">
          <cell r="A2347">
            <v>8021621</v>
          </cell>
        </row>
        <row r="2348">
          <cell r="A2348">
            <v>8021628</v>
          </cell>
        </row>
        <row r="2349">
          <cell r="A2349">
            <v>8021629</v>
          </cell>
        </row>
        <row r="2350">
          <cell r="A2350">
            <v>8021630</v>
          </cell>
        </row>
        <row r="2351">
          <cell r="A2351">
            <v>8021631</v>
          </cell>
        </row>
        <row r="2352">
          <cell r="A2352">
            <v>8021632</v>
          </cell>
        </row>
        <row r="2353">
          <cell r="A2353">
            <v>8021633</v>
          </cell>
        </row>
        <row r="2354">
          <cell r="A2354">
            <v>8021634</v>
          </cell>
        </row>
        <row r="2355">
          <cell r="A2355">
            <v>8021635</v>
          </cell>
        </row>
        <row r="2356">
          <cell r="A2356">
            <v>8021636</v>
          </cell>
        </row>
        <row r="2357">
          <cell r="A2357">
            <v>8021637</v>
          </cell>
        </row>
        <row r="2358">
          <cell r="A2358">
            <v>8021638</v>
          </cell>
        </row>
        <row r="2359">
          <cell r="A2359">
            <v>8021639</v>
          </cell>
        </row>
        <row r="2360">
          <cell r="A2360">
            <v>8021640</v>
          </cell>
        </row>
        <row r="2361">
          <cell r="A2361">
            <v>8021641</v>
          </cell>
        </row>
        <row r="2362">
          <cell r="A2362">
            <v>8021642</v>
          </cell>
        </row>
        <row r="2363">
          <cell r="A2363">
            <v>8021643</v>
          </cell>
        </row>
        <row r="2364">
          <cell r="A2364">
            <v>8021644</v>
          </cell>
        </row>
        <row r="2365">
          <cell r="A2365">
            <v>8021645</v>
          </cell>
        </row>
        <row r="2366">
          <cell r="A2366">
            <v>8021646</v>
          </cell>
        </row>
        <row r="2367">
          <cell r="A2367">
            <v>8021647</v>
          </cell>
        </row>
        <row r="2368">
          <cell r="A2368">
            <v>8021648</v>
          </cell>
        </row>
        <row r="2369">
          <cell r="A2369">
            <v>8021649</v>
          </cell>
        </row>
        <row r="2370">
          <cell r="A2370">
            <v>8021650</v>
          </cell>
        </row>
        <row r="2371">
          <cell r="A2371">
            <v>8021651</v>
          </cell>
        </row>
        <row r="2372">
          <cell r="A2372">
            <v>8021652</v>
          </cell>
        </row>
        <row r="2373">
          <cell r="A2373">
            <v>8021653</v>
          </cell>
        </row>
        <row r="2374">
          <cell r="A2374">
            <v>8021701</v>
          </cell>
        </row>
        <row r="2375">
          <cell r="A2375">
            <v>8021702</v>
          </cell>
        </row>
        <row r="2376">
          <cell r="A2376">
            <v>8021703</v>
          </cell>
        </row>
        <row r="2377">
          <cell r="A2377">
            <v>8021704</v>
          </cell>
        </row>
        <row r="2378">
          <cell r="A2378">
            <v>8021705</v>
          </cell>
        </row>
        <row r="2379">
          <cell r="A2379">
            <v>8021706</v>
          </cell>
        </row>
        <row r="2380">
          <cell r="A2380">
            <v>8021801</v>
          </cell>
        </row>
        <row r="2381">
          <cell r="A2381">
            <v>8021802</v>
          </cell>
        </row>
        <row r="2382">
          <cell r="A2382">
            <v>8021803</v>
          </cell>
        </row>
        <row r="2383">
          <cell r="A2383">
            <v>8021804</v>
          </cell>
        </row>
        <row r="2384">
          <cell r="A2384">
            <v>8021805</v>
          </cell>
        </row>
        <row r="2385">
          <cell r="A2385">
            <v>8021806</v>
          </cell>
        </row>
        <row r="2386">
          <cell r="A2386">
            <v>8021807</v>
          </cell>
        </row>
        <row r="2387">
          <cell r="A2387">
            <v>8021808</v>
          </cell>
        </row>
        <row r="2388">
          <cell r="A2388">
            <v>8021809</v>
          </cell>
        </row>
        <row r="2389">
          <cell r="A2389">
            <v>8021810</v>
          </cell>
        </row>
        <row r="2390">
          <cell r="A2390">
            <v>8021811</v>
          </cell>
        </row>
        <row r="2391">
          <cell r="A2391">
            <v>8021812</v>
          </cell>
        </row>
        <row r="2392">
          <cell r="A2392">
            <v>8021813</v>
          </cell>
        </row>
        <row r="2393">
          <cell r="A2393">
            <v>8021814</v>
          </cell>
        </row>
        <row r="2394">
          <cell r="A2394">
            <v>8021815</v>
          </cell>
        </row>
        <row r="2395">
          <cell r="A2395">
            <v>8021816</v>
          </cell>
        </row>
        <row r="2396">
          <cell r="A2396">
            <v>8021817</v>
          </cell>
        </row>
        <row r="2397">
          <cell r="A2397">
            <v>8021818</v>
          </cell>
        </row>
        <row r="2398">
          <cell r="A2398">
            <v>8021819</v>
          </cell>
        </row>
        <row r="2399">
          <cell r="A2399">
            <v>8021820</v>
          </cell>
        </row>
        <row r="2400">
          <cell r="A2400">
            <v>8021821</v>
          </cell>
        </row>
        <row r="2401">
          <cell r="A2401">
            <v>8021823</v>
          </cell>
        </row>
        <row r="2402">
          <cell r="A2402">
            <v>8021824</v>
          </cell>
        </row>
        <row r="2403">
          <cell r="A2403">
            <v>8021825</v>
          </cell>
        </row>
        <row r="2404">
          <cell r="A2404">
            <v>8021826</v>
          </cell>
        </row>
        <row r="2405">
          <cell r="A2405">
            <v>8021827</v>
          </cell>
        </row>
        <row r="2406">
          <cell r="A2406">
            <v>8021828</v>
          </cell>
        </row>
        <row r="2407">
          <cell r="A2407">
            <v>8021829</v>
          </cell>
        </row>
        <row r="2408">
          <cell r="A2408">
            <v>8021830</v>
          </cell>
        </row>
        <row r="2409">
          <cell r="A2409">
            <v>8021832</v>
          </cell>
        </row>
        <row r="2410">
          <cell r="A2410">
            <v>8021833</v>
          </cell>
        </row>
        <row r="2411">
          <cell r="A2411">
            <v>8021834</v>
          </cell>
        </row>
        <row r="2412">
          <cell r="A2412">
            <v>8021835</v>
          </cell>
        </row>
        <row r="2413">
          <cell r="A2413">
            <v>8021836</v>
          </cell>
        </row>
        <row r="2414">
          <cell r="A2414">
            <v>8021837</v>
          </cell>
        </row>
        <row r="2415">
          <cell r="A2415">
            <v>8021838</v>
          </cell>
        </row>
        <row r="2416">
          <cell r="A2416">
            <v>8021839</v>
          </cell>
        </row>
        <row r="2417">
          <cell r="A2417">
            <v>8021840</v>
          </cell>
        </row>
        <row r="2418">
          <cell r="A2418">
            <v>8021841</v>
          </cell>
        </row>
        <row r="2419">
          <cell r="A2419">
            <v>8021842</v>
          </cell>
        </row>
        <row r="2420">
          <cell r="A2420">
            <v>8021843</v>
          </cell>
        </row>
        <row r="2421">
          <cell r="A2421">
            <v>8021844</v>
          </cell>
        </row>
        <row r="2422">
          <cell r="A2422">
            <v>8021845</v>
          </cell>
        </row>
        <row r="2423">
          <cell r="A2423">
            <v>8021850</v>
          </cell>
        </row>
        <row r="2424">
          <cell r="A2424">
            <v>8021851</v>
          </cell>
        </row>
        <row r="2425">
          <cell r="A2425">
            <v>8021852</v>
          </cell>
        </row>
        <row r="2426">
          <cell r="A2426">
            <v>8021853</v>
          </cell>
        </row>
        <row r="2427">
          <cell r="A2427">
            <v>8021854</v>
          </cell>
        </row>
        <row r="2428">
          <cell r="A2428">
            <v>8021855</v>
          </cell>
        </row>
        <row r="2429">
          <cell r="A2429">
            <v>8021856</v>
          </cell>
        </row>
        <row r="2430">
          <cell r="A2430">
            <v>8021857</v>
          </cell>
        </row>
        <row r="2431">
          <cell r="A2431">
            <v>8021858</v>
          </cell>
        </row>
        <row r="2432">
          <cell r="A2432">
            <v>8021859</v>
          </cell>
        </row>
        <row r="2433">
          <cell r="A2433">
            <v>8021901</v>
          </cell>
        </row>
        <row r="2434">
          <cell r="A2434">
            <v>8021902</v>
          </cell>
        </row>
        <row r="2435">
          <cell r="A2435">
            <v>8021903</v>
          </cell>
        </row>
        <row r="2436">
          <cell r="A2436">
            <v>8021904</v>
          </cell>
        </row>
        <row r="2437">
          <cell r="A2437">
            <v>8021905</v>
          </cell>
        </row>
        <row r="2438">
          <cell r="A2438">
            <v>8021906</v>
          </cell>
        </row>
        <row r="2439">
          <cell r="A2439">
            <v>8021907</v>
          </cell>
        </row>
        <row r="2440">
          <cell r="A2440">
            <v>8021908</v>
          </cell>
        </row>
        <row r="2441">
          <cell r="A2441">
            <v>8021909</v>
          </cell>
        </row>
        <row r="2442">
          <cell r="A2442">
            <v>8021910</v>
          </cell>
        </row>
        <row r="2443">
          <cell r="A2443">
            <v>8021911</v>
          </cell>
        </row>
        <row r="2444">
          <cell r="A2444">
            <v>8021912</v>
          </cell>
        </row>
        <row r="2445">
          <cell r="A2445">
            <v>8021913</v>
          </cell>
        </row>
        <row r="2446">
          <cell r="A2446">
            <v>8021914</v>
          </cell>
        </row>
        <row r="2447">
          <cell r="A2447">
            <v>8021915</v>
          </cell>
        </row>
        <row r="2448">
          <cell r="A2448">
            <v>8021916</v>
          </cell>
        </row>
        <row r="2449">
          <cell r="A2449">
            <v>8021917</v>
          </cell>
        </row>
        <row r="2450">
          <cell r="A2450">
            <v>8021918</v>
          </cell>
        </row>
        <row r="2451">
          <cell r="A2451">
            <v>8021919</v>
          </cell>
        </row>
        <row r="2452">
          <cell r="A2452">
            <v>8021922</v>
          </cell>
        </row>
        <row r="2453">
          <cell r="A2453">
            <v>8021923</v>
          </cell>
        </row>
        <row r="2454">
          <cell r="A2454">
            <v>8021927</v>
          </cell>
        </row>
        <row r="2455">
          <cell r="A2455">
            <v>8021928</v>
          </cell>
        </row>
        <row r="2456">
          <cell r="A2456">
            <v>8021929</v>
          </cell>
        </row>
        <row r="2457">
          <cell r="A2457">
            <v>8021930</v>
          </cell>
        </row>
        <row r="2458">
          <cell r="A2458">
            <v>8021931</v>
          </cell>
        </row>
        <row r="2459">
          <cell r="A2459">
            <v>8021932</v>
          </cell>
        </row>
        <row r="2460">
          <cell r="A2460">
            <v>8021934</v>
          </cell>
        </row>
        <row r="2461">
          <cell r="A2461">
            <v>8021935</v>
          </cell>
        </row>
        <row r="2462">
          <cell r="A2462">
            <v>8021936</v>
          </cell>
        </row>
        <row r="2463">
          <cell r="A2463">
            <v>8021937</v>
          </cell>
        </row>
        <row r="2464">
          <cell r="A2464">
            <v>8021939</v>
          </cell>
        </row>
        <row r="2465">
          <cell r="A2465">
            <v>8021940</v>
          </cell>
        </row>
        <row r="2466">
          <cell r="A2466">
            <v>8021941</v>
          </cell>
        </row>
        <row r="2467">
          <cell r="A2467">
            <v>8022001</v>
          </cell>
        </row>
        <row r="2468">
          <cell r="A2468">
            <v>8022002</v>
          </cell>
        </row>
        <row r="2469">
          <cell r="A2469">
            <v>8022003</v>
          </cell>
        </row>
        <row r="2470">
          <cell r="A2470">
            <v>8022004</v>
          </cell>
        </row>
        <row r="2471">
          <cell r="A2471">
            <v>8022005</v>
          </cell>
        </row>
        <row r="2472">
          <cell r="A2472">
            <v>8022006</v>
          </cell>
        </row>
        <row r="2473">
          <cell r="A2473">
            <v>8022007</v>
          </cell>
        </row>
        <row r="2474">
          <cell r="A2474">
            <v>8022008</v>
          </cell>
        </row>
        <row r="2475">
          <cell r="A2475">
            <v>8022009</v>
          </cell>
        </row>
        <row r="2476">
          <cell r="A2476">
            <v>8022010</v>
          </cell>
        </row>
        <row r="2477">
          <cell r="A2477">
            <v>8022011</v>
          </cell>
        </row>
        <row r="2478">
          <cell r="A2478">
            <v>8022012</v>
          </cell>
        </row>
        <row r="2479">
          <cell r="A2479">
            <v>8022013</v>
          </cell>
        </row>
        <row r="2480">
          <cell r="A2480">
            <v>8022014</v>
          </cell>
        </row>
        <row r="2481">
          <cell r="A2481">
            <v>8022015</v>
          </cell>
        </row>
        <row r="2482">
          <cell r="A2482">
            <v>8022016</v>
          </cell>
        </row>
        <row r="2483">
          <cell r="A2483">
            <v>8022017</v>
          </cell>
        </row>
        <row r="2484">
          <cell r="A2484">
            <v>8022018</v>
          </cell>
        </row>
        <row r="2485">
          <cell r="A2485">
            <v>8022019</v>
          </cell>
        </row>
        <row r="2486">
          <cell r="A2486">
            <v>8022020</v>
          </cell>
        </row>
        <row r="2487">
          <cell r="A2487">
            <v>8022021</v>
          </cell>
        </row>
        <row r="2488">
          <cell r="A2488">
            <v>8022026</v>
          </cell>
        </row>
        <row r="2489">
          <cell r="A2489">
            <v>8022027</v>
          </cell>
        </row>
        <row r="2490">
          <cell r="A2490">
            <v>8022028</v>
          </cell>
        </row>
        <row r="2491">
          <cell r="A2491">
            <v>8022029</v>
          </cell>
        </row>
        <row r="2492">
          <cell r="A2492">
            <v>8022030</v>
          </cell>
        </row>
        <row r="2493">
          <cell r="A2493">
            <v>8022031</v>
          </cell>
        </row>
        <row r="2494">
          <cell r="A2494">
            <v>8022032</v>
          </cell>
        </row>
        <row r="2495">
          <cell r="A2495">
            <v>8022033</v>
          </cell>
        </row>
        <row r="2496">
          <cell r="A2496">
            <v>8022034</v>
          </cell>
        </row>
        <row r="2497">
          <cell r="A2497">
            <v>8022035</v>
          </cell>
        </row>
        <row r="2498">
          <cell r="A2498">
            <v>8022040</v>
          </cell>
        </row>
        <row r="2499">
          <cell r="A2499">
            <v>8022041</v>
          </cell>
        </row>
        <row r="2500">
          <cell r="A2500">
            <v>8022042</v>
          </cell>
        </row>
        <row r="2501">
          <cell r="A2501">
            <v>8022043</v>
          </cell>
        </row>
        <row r="2502">
          <cell r="A2502">
            <v>8022044</v>
          </cell>
        </row>
        <row r="2503">
          <cell r="A2503">
            <v>8022045</v>
          </cell>
        </row>
        <row r="2504">
          <cell r="A2504">
            <v>8022046</v>
          </cell>
        </row>
        <row r="2505">
          <cell r="A2505">
            <v>8022047</v>
          </cell>
        </row>
        <row r="2506">
          <cell r="A2506">
            <v>8022048</v>
          </cell>
        </row>
        <row r="2507">
          <cell r="A2507">
            <v>8022049</v>
          </cell>
        </row>
        <row r="2508">
          <cell r="A2508">
            <v>8022050</v>
          </cell>
        </row>
        <row r="2509">
          <cell r="A2509">
            <v>8022051</v>
          </cell>
        </row>
        <row r="2510">
          <cell r="A2510">
            <v>8022052</v>
          </cell>
        </row>
        <row r="2511">
          <cell r="A2511">
            <v>8022053</v>
          </cell>
        </row>
        <row r="2512">
          <cell r="A2512">
            <v>8022054</v>
          </cell>
        </row>
        <row r="2513">
          <cell r="A2513">
            <v>8022055</v>
          </cell>
        </row>
        <row r="2514">
          <cell r="A2514">
            <v>8022058</v>
          </cell>
        </row>
        <row r="2515">
          <cell r="A2515">
            <v>8022059</v>
          </cell>
        </row>
        <row r="2516">
          <cell r="A2516">
            <v>8022103</v>
          </cell>
        </row>
        <row r="2517">
          <cell r="A2517">
            <v>8022104</v>
          </cell>
        </row>
        <row r="2518">
          <cell r="A2518">
            <v>8022105</v>
          </cell>
        </row>
        <row r="2519">
          <cell r="A2519">
            <v>8022106</v>
          </cell>
        </row>
        <row r="2520">
          <cell r="A2520">
            <v>8022107</v>
          </cell>
        </row>
        <row r="2521">
          <cell r="A2521">
            <v>8022108</v>
          </cell>
        </row>
        <row r="2522">
          <cell r="A2522">
            <v>8022109</v>
          </cell>
        </row>
        <row r="2523">
          <cell r="A2523">
            <v>8022110</v>
          </cell>
        </row>
        <row r="2524">
          <cell r="A2524">
            <v>8022111</v>
          </cell>
        </row>
        <row r="2525">
          <cell r="A2525">
            <v>8022112</v>
          </cell>
        </row>
        <row r="2526">
          <cell r="A2526">
            <v>8022113</v>
          </cell>
        </row>
        <row r="2527">
          <cell r="A2527">
            <v>8022114</v>
          </cell>
        </row>
        <row r="2528">
          <cell r="A2528">
            <v>8022115</v>
          </cell>
        </row>
        <row r="2529">
          <cell r="A2529">
            <v>8022116</v>
          </cell>
        </row>
        <row r="2530">
          <cell r="A2530">
            <v>8022117</v>
          </cell>
        </row>
        <row r="2531">
          <cell r="A2531">
            <v>8022118</v>
          </cell>
        </row>
        <row r="2532">
          <cell r="A2532">
            <v>8022119</v>
          </cell>
        </row>
        <row r="2533">
          <cell r="A2533">
            <v>8022120</v>
          </cell>
        </row>
        <row r="2534">
          <cell r="A2534">
            <v>8022121</v>
          </cell>
        </row>
        <row r="2535">
          <cell r="A2535">
            <v>8022122</v>
          </cell>
        </row>
        <row r="2536">
          <cell r="A2536">
            <v>8022123</v>
          </cell>
        </row>
        <row r="2537">
          <cell r="A2537">
            <v>8022130</v>
          </cell>
        </row>
        <row r="2538">
          <cell r="A2538">
            <v>8022131</v>
          </cell>
        </row>
        <row r="2539">
          <cell r="A2539">
            <v>8022132</v>
          </cell>
        </row>
        <row r="2540">
          <cell r="A2540">
            <v>8022133</v>
          </cell>
        </row>
        <row r="2541">
          <cell r="A2541">
            <v>8022135</v>
          </cell>
        </row>
        <row r="2542">
          <cell r="A2542">
            <v>8022136</v>
          </cell>
        </row>
        <row r="2543">
          <cell r="A2543">
            <v>8022137</v>
          </cell>
        </row>
        <row r="2544">
          <cell r="A2544">
            <v>8022138</v>
          </cell>
        </row>
        <row r="2545">
          <cell r="A2545">
            <v>8022139</v>
          </cell>
        </row>
        <row r="2546">
          <cell r="A2546">
            <v>8022140</v>
          </cell>
        </row>
        <row r="2547">
          <cell r="A2547">
            <v>8022141</v>
          </cell>
        </row>
        <row r="2548">
          <cell r="A2548">
            <v>8022142</v>
          </cell>
        </row>
        <row r="2549">
          <cell r="A2549">
            <v>8022143</v>
          </cell>
        </row>
        <row r="2550">
          <cell r="A2550">
            <v>8022201</v>
          </cell>
        </row>
        <row r="2551">
          <cell r="A2551">
            <v>8022202</v>
          </cell>
        </row>
        <row r="2552">
          <cell r="A2552">
            <v>8022203</v>
          </cell>
        </row>
        <row r="2553">
          <cell r="A2553">
            <v>8022204</v>
          </cell>
        </row>
        <row r="2554">
          <cell r="A2554">
            <v>8022205</v>
          </cell>
        </row>
        <row r="2555">
          <cell r="A2555">
            <v>8022206</v>
          </cell>
        </row>
        <row r="2556">
          <cell r="A2556">
            <v>8022207</v>
          </cell>
        </row>
        <row r="2557">
          <cell r="A2557">
            <v>8022208</v>
          </cell>
        </row>
        <row r="2558">
          <cell r="A2558">
            <v>8022209</v>
          </cell>
        </row>
        <row r="2559">
          <cell r="A2559">
            <v>8022210</v>
          </cell>
        </row>
        <row r="2560">
          <cell r="A2560">
            <v>8022211</v>
          </cell>
        </row>
        <row r="2561">
          <cell r="A2561">
            <v>8022212</v>
          </cell>
        </row>
        <row r="2562">
          <cell r="A2562">
            <v>8022214</v>
          </cell>
        </row>
        <row r="2563">
          <cell r="A2563">
            <v>8022215</v>
          </cell>
        </row>
        <row r="2564">
          <cell r="A2564">
            <v>8022216</v>
          </cell>
        </row>
        <row r="2565">
          <cell r="A2565">
            <v>8022217</v>
          </cell>
        </row>
        <row r="2566">
          <cell r="A2566">
            <v>8022218</v>
          </cell>
        </row>
        <row r="2567">
          <cell r="A2567">
            <v>8022219</v>
          </cell>
        </row>
        <row r="2568">
          <cell r="A2568">
            <v>8022220</v>
          </cell>
        </row>
        <row r="2569">
          <cell r="A2569">
            <v>8022221</v>
          </cell>
        </row>
        <row r="2570">
          <cell r="A2570">
            <v>8022222</v>
          </cell>
        </row>
        <row r="2571">
          <cell r="A2571">
            <v>8022223</v>
          </cell>
        </row>
        <row r="2572">
          <cell r="A2572">
            <v>8022224</v>
          </cell>
        </row>
        <row r="2573">
          <cell r="A2573">
            <v>8022225</v>
          </cell>
        </row>
        <row r="2574">
          <cell r="A2574">
            <v>8022226</v>
          </cell>
        </row>
        <row r="2575">
          <cell r="A2575">
            <v>8022227</v>
          </cell>
        </row>
        <row r="2576">
          <cell r="A2576">
            <v>8022228</v>
          </cell>
        </row>
        <row r="2577">
          <cell r="A2577">
            <v>8022229</v>
          </cell>
        </row>
        <row r="2578">
          <cell r="A2578">
            <v>8022230</v>
          </cell>
        </row>
        <row r="2579">
          <cell r="A2579">
            <v>8022231</v>
          </cell>
        </row>
        <row r="2580">
          <cell r="A2580">
            <v>8022232</v>
          </cell>
        </row>
        <row r="2581">
          <cell r="A2581">
            <v>8022233</v>
          </cell>
        </row>
        <row r="2582">
          <cell r="A2582">
            <v>8022234</v>
          </cell>
        </row>
        <row r="2583">
          <cell r="A2583">
            <v>8022235</v>
          </cell>
        </row>
        <row r="2584">
          <cell r="A2584">
            <v>8022236</v>
          </cell>
        </row>
        <row r="2585">
          <cell r="A2585">
            <v>8022237</v>
          </cell>
        </row>
        <row r="2586">
          <cell r="A2586">
            <v>8022238</v>
          </cell>
        </row>
        <row r="2587">
          <cell r="A2587">
            <v>8022239</v>
          </cell>
        </row>
        <row r="2588">
          <cell r="A2588">
            <v>8022240</v>
          </cell>
        </row>
        <row r="2589">
          <cell r="A2589">
            <v>8022241</v>
          </cell>
        </row>
        <row r="2590">
          <cell r="A2590">
            <v>8022242</v>
          </cell>
        </row>
        <row r="2591">
          <cell r="A2591">
            <v>8022243</v>
          </cell>
        </row>
        <row r="2592">
          <cell r="A2592">
            <v>8022244</v>
          </cell>
        </row>
        <row r="2593">
          <cell r="A2593">
            <v>8022301</v>
          </cell>
        </row>
        <row r="2594">
          <cell r="A2594">
            <v>8022302</v>
          </cell>
        </row>
        <row r="2595">
          <cell r="A2595">
            <v>8022303</v>
          </cell>
        </row>
        <row r="2596">
          <cell r="A2596">
            <v>8022304</v>
          </cell>
        </row>
        <row r="2597">
          <cell r="A2597">
            <v>8022305</v>
          </cell>
        </row>
        <row r="2598">
          <cell r="A2598">
            <v>8022306</v>
          </cell>
        </row>
        <row r="2599">
          <cell r="A2599">
            <v>8022307</v>
          </cell>
        </row>
        <row r="2600">
          <cell r="A2600">
            <v>8022308</v>
          </cell>
        </row>
        <row r="2601">
          <cell r="A2601">
            <v>8022309</v>
          </cell>
        </row>
        <row r="2602">
          <cell r="A2602">
            <v>8022310</v>
          </cell>
        </row>
        <row r="2603">
          <cell r="A2603">
            <v>8022311</v>
          </cell>
        </row>
        <row r="2604">
          <cell r="A2604">
            <v>8022312</v>
          </cell>
        </row>
        <row r="2605">
          <cell r="A2605">
            <v>8022314</v>
          </cell>
        </row>
        <row r="2606">
          <cell r="A2606">
            <v>8022315</v>
          </cell>
        </row>
        <row r="2607">
          <cell r="A2607">
            <v>8022316</v>
          </cell>
        </row>
        <row r="2608">
          <cell r="A2608">
            <v>8022317</v>
          </cell>
        </row>
        <row r="2609">
          <cell r="A2609">
            <v>8022318</v>
          </cell>
        </row>
        <row r="2610">
          <cell r="A2610">
            <v>8022319</v>
          </cell>
        </row>
        <row r="2611">
          <cell r="A2611">
            <v>8022320</v>
          </cell>
        </row>
        <row r="2612">
          <cell r="A2612">
            <v>8022321</v>
          </cell>
        </row>
        <row r="2613">
          <cell r="A2613">
            <v>8022322</v>
          </cell>
        </row>
        <row r="2614">
          <cell r="A2614">
            <v>8022323</v>
          </cell>
        </row>
        <row r="2615">
          <cell r="A2615">
            <v>8022324</v>
          </cell>
        </row>
        <row r="2616">
          <cell r="A2616">
            <v>8022325</v>
          </cell>
        </row>
        <row r="2617">
          <cell r="A2617">
            <v>8022329</v>
          </cell>
        </row>
        <row r="2618">
          <cell r="A2618">
            <v>8022330</v>
          </cell>
        </row>
        <row r="2619">
          <cell r="A2619">
            <v>8022331</v>
          </cell>
        </row>
        <row r="2620">
          <cell r="A2620">
            <v>8022332</v>
          </cell>
        </row>
        <row r="2621">
          <cell r="A2621">
            <v>8022333</v>
          </cell>
        </row>
        <row r="2622">
          <cell r="A2622">
            <v>8022334</v>
          </cell>
        </row>
        <row r="2623">
          <cell r="A2623">
            <v>8022335</v>
          </cell>
        </row>
        <row r="2624">
          <cell r="A2624">
            <v>8022336</v>
          </cell>
        </row>
        <row r="2625">
          <cell r="A2625">
            <v>8022337</v>
          </cell>
        </row>
        <row r="2626">
          <cell r="A2626">
            <v>8022338</v>
          </cell>
        </row>
        <row r="2627">
          <cell r="A2627">
            <v>8022401</v>
          </cell>
        </row>
        <row r="2628">
          <cell r="A2628">
            <v>8022407</v>
          </cell>
        </row>
        <row r="2629">
          <cell r="A2629">
            <v>8022408</v>
          </cell>
        </row>
        <row r="2630">
          <cell r="A2630">
            <v>8022409</v>
          </cell>
        </row>
        <row r="2631">
          <cell r="A2631">
            <v>8022410</v>
          </cell>
        </row>
        <row r="2632">
          <cell r="A2632">
            <v>8022411</v>
          </cell>
        </row>
        <row r="2633">
          <cell r="A2633">
            <v>8022412</v>
          </cell>
        </row>
        <row r="2634">
          <cell r="A2634">
            <v>8022413</v>
          </cell>
        </row>
        <row r="2635">
          <cell r="A2635">
            <v>8022414</v>
          </cell>
        </row>
        <row r="2636">
          <cell r="A2636">
            <v>8022415</v>
          </cell>
        </row>
        <row r="2637">
          <cell r="A2637">
            <v>8022416</v>
          </cell>
        </row>
        <row r="2638">
          <cell r="A2638">
            <v>8022417</v>
          </cell>
        </row>
        <row r="2639">
          <cell r="A2639">
            <v>8022418</v>
          </cell>
        </row>
        <row r="2640">
          <cell r="A2640">
            <v>8022419</v>
          </cell>
        </row>
        <row r="2641">
          <cell r="A2641">
            <v>8022420</v>
          </cell>
        </row>
        <row r="2642">
          <cell r="A2642">
            <v>8022421</v>
          </cell>
        </row>
        <row r="2643">
          <cell r="A2643">
            <v>8022422</v>
          </cell>
        </row>
        <row r="2644">
          <cell r="A2644">
            <v>8022423</v>
          </cell>
        </row>
        <row r="2645">
          <cell r="A2645">
            <v>8022424</v>
          </cell>
        </row>
        <row r="2646">
          <cell r="A2646">
            <v>8022425</v>
          </cell>
        </row>
        <row r="2647">
          <cell r="A2647">
            <v>8022426</v>
          </cell>
        </row>
        <row r="2648">
          <cell r="A2648">
            <v>8022427</v>
          </cell>
        </row>
        <row r="2649">
          <cell r="A2649">
            <v>8022428</v>
          </cell>
        </row>
        <row r="2650">
          <cell r="A2650">
            <v>8022429</v>
          </cell>
        </row>
        <row r="2651">
          <cell r="A2651">
            <v>8022501</v>
          </cell>
        </row>
        <row r="2652">
          <cell r="A2652">
            <v>8022502</v>
          </cell>
        </row>
        <row r="2653">
          <cell r="A2653">
            <v>8022503</v>
          </cell>
        </row>
        <row r="2654">
          <cell r="A2654">
            <v>8022504</v>
          </cell>
        </row>
        <row r="2655">
          <cell r="A2655">
            <v>8022505</v>
          </cell>
        </row>
        <row r="2656">
          <cell r="A2656">
            <v>8022506</v>
          </cell>
        </row>
        <row r="2657">
          <cell r="A2657">
            <v>8022507</v>
          </cell>
        </row>
        <row r="2658">
          <cell r="A2658">
            <v>8022508</v>
          </cell>
        </row>
        <row r="2659">
          <cell r="A2659">
            <v>8022509</v>
          </cell>
        </row>
        <row r="2660">
          <cell r="A2660">
            <v>8022510</v>
          </cell>
        </row>
        <row r="2661">
          <cell r="A2661">
            <v>8022511</v>
          </cell>
        </row>
        <row r="2662">
          <cell r="A2662">
            <v>8022513</v>
          </cell>
        </row>
        <row r="2663">
          <cell r="A2663">
            <v>8022514</v>
          </cell>
        </row>
        <row r="2664">
          <cell r="A2664">
            <v>8022515</v>
          </cell>
        </row>
        <row r="2665">
          <cell r="A2665">
            <v>8022516</v>
          </cell>
        </row>
        <row r="2666">
          <cell r="A2666">
            <v>8022517</v>
          </cell>
        </row>
        <row r="2667">
          <cell r="A2667">
            <v>8022518</v>
          </cell>
        </row>
        <row r="2668">
          <cell r="A2668">
            <v>8022519</v>
          </cell>
        </row>
        <row r="2669">
          <cell r="A2669">
            <v>8022520</v>
          </cell>
        </row>
        <row r="2670">
          <cell r="A2670">
            <v>8022521</v>
          </cell>
        </row>
        <row r="2671">
          <cell r="A2671">
            <v>8022522</v>
          </cell>
        </row>
        <row r="2672">
          <cell r="A2672">
            <v>8022523</v>
          </cell>
        </row>
        <row r="2673">
          <cell r="A2673">
            <v>8022524</v>
          </cell>
        </row>
        <row r="2674">
          <cell r="A2674">
            <v>8022525</v>
          </cell>
        </row>
        <row r="2675">
          <cell r="A2675">
            <v>8022526</v>
          </cell>
        </row>
        <row r="2676">
          <cell r="A2676">
            <v>8022527</v>
          </cell>
        </row>
        <row r="2677">
          <cell r="A2677">
            <v>8022528</v>
          </cell>
        </row>
        <row r="2678">
          <cell r="A2678">
            <v>8022529</v>
          </cell>
        </row>
        <row r="2679">
          <cell r="A2679">
            <v>8022530</v>
          </cell>
        </row>
        <row r="2680">
          <cell r="A2680">
            <v>8022531</v>
          </cell>
        </row>
        <row r="2681">
          <cell r="A2681">
            <v>8022532</v>
          </cell>
        </row>
        <row r="2682">
          <cell r="A2682">
            <v>8022533</v>
          </cell>
        </row>
        <row r="2683">
          <cell r="A2683">
            <v>8022534</v>
          </cell>
        </row>
        <row r="2684">
          <cell r="A2684">
            <v>8022535</v>
          </cell>
        </row>
        <row r="2685">
          <cell r="A2685">
            <v>8022536</v>
          </cell>
        </row>
        <row r="2686">
          <cell r="A2686">
            <v>8022601</v>
          </cell>
        </row>
        <row r="2687">
          <cell r="A2687">
            <v>8022602</v>
          </cell>
        </row>
        <row r="2688">
          <cell r="A2688">
            <v>8022603</v>
          </cell>
        </row>
        <row r="2689">
          <cell r="A2689">
            <v>8022604</v>
          </cell>
        </row>
        <row r="2690">
          <cell r="A2690">
            <v>8022605</v>
          </cell>
        </row>
        <row r="2691">
          <cell r="A2691">
            <v>8022606</v>
          </cell>
        </row>
        <row r="2692">
          <cell r="A2692">
            <v>8022607</v>
          </cell>
        </row>
        <row r="2693">
          <cell r="A2693">
            <v>8022608</v>
          </cell>
        </row>
        <row r="2694">
          <cell r="A2694">
            <v>8022609</v>
          </cell>
        </row>
        <row r="2695">
          <cell r="A2695">
            <v>8022610</v>
          </cell>
        </row>
        <row r="2696">
          <cell r="A2696">
            <v>8022611</v>
          </cell>
        </row>
        <row r="2697">
          <cell r="A2697">
            <v>8022612</v>
          </cell>
        </row>
        <row r="2698">
          <cell r="A2698">
            <v>8022613</v>
          </cell>
        </row>
        <row r="2699">
          <cell r="A2699">
            <v>8022614</v>
          </cell>
        </row>
        <row r="2700">
          <cell r="A2700">
            <v>8022615</v>
          </cell>
        </row>
        <row r="2701">
          <cell r="A2701">
            <v>8022616</v>
          </cell>
        </row>
        <row r="2702">
          <cell r="A2702">
            <v>8022617</v>
          </cell>
        </row>
        <row r="2703">
          <cell r="A2703">
            <v>8022618</v>
          </cell>
        </row>
        <row r="2704">
          <cell r="A2704">
            <v>8022621</v>
          </cell>
        </row>
        <row r="2705">
          <cell r="A2705">
            <v>8022622</v>
          </cell>
        </row>
        <row r="2706">
          <cell r="A2706">
            <v>8022623</v>
          </cell>
        </row>
        <row r="2707">
          <cell r="A2707">
            <v>8022624</v>
          </cell>
        </row>
        <row r="2708">
          <cell r="A2708">
            <v>8022625</v>
          </cell>
        </row>
        <row r="2709">
          <cell r="A2709">
            <v>8022626</v>
          </cell>
        </row>
        <row r="2710">
          <cell r="A2710">
            <v>8022627</v>
          </cell>
        </row>
        <row r="2711">
          <cell r="A2711">
            <v>8022628</v>
          </cell>
        </row>
        <row r="2712">
          <cell r="A2712">
            <v>8022631</v>
          </cell>
        </row>
        <row r="2713">
          <cell r="A2713">
            <v>8022632</v>
          </cell>
        </row>
        <row r="2714">
          <cell r="A2714">
            <v>8022633</v>
          </cell>
        </row>
        <row r="2715">
          <cell r="A2715">
            <v>8022641</v>
          </cell>
        </row>
        <row r="2716">
          <cell r="A2716">
            <v>8022642</v>
          </cell>
        </row>
        <row r="2717">
          <cell r="A2717">
            <v>8022643</v>
          </cell>
        </row>
        <row r="2718">
          <cell r="A2718">
            <v>8022644</v>
          </cell>
        </row>
        <row r="2719">
          <cell r="A2719">
            <v>8022645</v>
          </cell>
        </row>
        <row r="2720">
          <cell r="A2720">
            <v>8022646</v>
          </cell>
        </row>
        <row r="2721">
          <cell r="A2721">
            <v>8022647</v>
          </cell>
        </row>
        <row r="2722">
          <cell r="A2722">
            <v>8022648</v>
          </cell>
        </row>
        <row r="2723">
          <cell r="A2723">
            <v>8022649</v>
          </cell>
        </row>
        <row r="2724">
          <cell r="A2724">
            <v>8022650</v>
          </cell>
        </row>
        <row r="2725">
          <cell r="A2725">
            <v>8022656</v>
          </cell>
        </row>
        <row r="2726">
          <cell r="A2726">
            <v>8022657</v>
          </cell>
        </row>
        <row r="2727">
          <cell r="A2727">
            <v>8022658</v>
          </cell>
        </row>
        <row r="2728">
          <cell r="A2728">
            <v>8022701</v>
          </cell>
        </row>
        <row r="2729">
          <cell r="A2729">
            <v>8022702</v>
          </cell>
        </row>
        <row r="2730">
          <cell r="A2730">
            <v>8022703</v>
          </cell>
        </row>
        <row r="2731">
          <cell r="A2731">
            <v>8022704</v>
          </cell>
        </row>
        <row r="2732">
          <cell r="A2732">
            <v>8022705</v>
          </cell>
        </row>
        <row r="2733">
          <cell r="A2733">
            <v>8022706</v>
          </cell>
        </row>
        <row r="2734">
          <cell r="A2734">
            <v>8022707</v>
          </cell>
        </row>
        <row r="2735">
          <cell r="A2735">
            <v>8022708</v>
          </cell>
        </row>
        <row r="2736">
          <cell r="A2736">
            <v>8022709</v>
          </cell>
        </row>
        <row r="2737">
          <cell r="A2737">
            <v>8022710</v>
          </cell>
        </row>
        <row r="2738">
          <cell r="A2738">
            <v>8022711</v>
          </cell>
        </row>
        <row r="2739">
          <cell r="A2739">
            <v>8022712</v>
          </cell>
        </row>
        <row r="2740">
          <cell r="A2740">
            <v>8022713</v>
          </cell>
        </row>
        <row r="2741">
          <cell r="A2741">
            <v>8022714</v>
          </cell>
        </row>
        <row r="2742">
          <cell r="A2742">
            <v>8022715</v>
          </cell>
        </row>
        <row r="2743">
          <cell r="A2743">
            <v>8022716</v>
          </cell>
        </row>
        <row r="2744">
          <cell r="A2744">
            <v>8022717</v>
          </cell>
        </row>
        <row r="2745">
          <cell r="A2745">
            <v>8022718</v>
          </cell>
        </row>
        <row r="2746">
          <cell r="A2746">
            <v>8022719</v>
          </cell>
        </row>
        <row r="2747">
          <cell r="A2747">
            <v>8022720</v>
          </cell>
        </row>
        <row r="2748">
          <cell r="A2748">
            <v>8022721</v>
          </cell>
        </row>
        <row r="2749">
          <cell r="A2749">
            <v>8022722</v>
          </cell>
        </row>
        <row r="2750">
          <cell r="A2750">
            <v>8022723</v>
          </cell>
        </row>
        <row r="2751">
          <cell r="A2751">
            <v>8022724</v>
          </cell>
        </row>
        <row r="2752">
          <cell r="A2752">
            <v>8022725</v>
          </cell>
        </row>
        <row r="2753">
          <cell r="A2753">
            <v>8022726</v>
          </cell>
        </row>
        <row r="2754">
          <cell r="A2754">
            <v>8022728</v>
          </cell>
        </row>
        <row r="2755">
          <cell r="A2755">
            <v>8022729</v>
          </cell>
        </row>
        <row r="2756">
          <cell r="A2756">
            <v>8022730</v>
          </cell>
        </row>
        <row r="2757">
          <cell r="A2757">
            <v>8022731</v>
          </cell>
        </row>
        <row r="2758">
          <cell r="A2758">
            <v>8022732</v>
          </cell>
        </row>
        <row r="2759">
          <cell r="A2759">
            <v>8022733</v>
          </cell>
        </row>
        <row r="2760">
          <cell r="A2760">
            <v>8022734</v>
          </cell>
        </row>
        <row r="2761">
          <cell r="A2761">
            <v>8022735</v>
          </cell>
        </row>
        <row r="2762">
          <cell r="A2762">
            <v>8022736</v>
          </cell>
        </row>
        <row r="2763">
          <cell r="A2763">
            <v>8022737</v>
          </cell>
        </row>
        <row r="2764">
          <cell r="A2764">
            <v>8022738</v>
          </cell>
        </row>
        <row r="2765">
          <cell r="A2765">
            <v>8022739</v>
          </cell>
        </row>
        <row r="2766">
          <cell r="A2766">
            <v>8022740</v>
          </cell>
        </row>
        <row r="2767">
          <cell r="A2767">
            <v>8022741</v>
          </cell>
        </row>
        <row r="2768">
          <cell r="A2768">
            <v>8022742</v>
          </cell>
        </row>
        <row r="2769">
          <cell r="A2769">
            <v>8022743</v>
          </cell>
        </row>
        <row r="2770">
          <cell r="A2770">
            <v>8022744</v>
          </cell>
        </row>
        <row r="2771">
          <cell r="A2771">
            <v>8022745</v>
          </cell>
        </row>
        <row r="2772">
          <cell r="A2772">
            <v>8022746</v>
          </cell>
        </row>
        <row r="2773">
          <cell r="A2773">
            <v>8022747</v>
          </cell>
        </row>
        <row r="2774">
          <cell r="A2774">
            <v>8022748</v>
          </cell>
        </row>
        <row r="2775">
          <cell r="A2775">
            <v>8022749</v>
          </cell>
        </row>
        <row r="2776">
          <cell r="A2776">
            <v>8022750</v>
          </cell>
        </row>
        <row r="2777">
          <cell r="A2777">
            <v>8022751</v>
          </cell>
        </row>
        <row r="2778">
          <cell r="A2778">
            <v>8022752</v>
          </cell>
        </row>
        <row r="2779">
          <cell r="A2779">
            <v>8022753</v>
          </cell>
        </row>
        <row r="2780">
          <cell r="A2780">
            <v>8022754</v>
          </cell>
        </row>
        <row r="2781">
          <cell r="A2781">
            <v>8022801</v>
          </cell>
        </row>
        <row r="2782">
          <cell r="A2782">
            <v>8022802</v>
          </cell>
        </row>
        <row r="2783">
          <cell r="A2783">
            <v>8022803</v>
          </cell>
        </row>
        <row r="2784">
          <cell r="A2784">
            <v>8022804</v>
          </cell>
        </row>
        <row r="2785">
          <cell r="A2785">
            <v>8022805</v>
          </cell>
        </row>
        <row r="2786">
          <cell r="A2786">
            <v>8022806</v>
          </cell>
        </row>
        <row r="2787">
          <cell r="A2787">
            <v>8022807</v>
          </cell>
        </row>
        <row r="2788">
          <cell r="A2788">
            <v>8022808</v>
          </cell>
        </row>
        <row r="2789">
          <cell r="A2789">
            <v>8022809</v>
          </cell>
        </row>
        <row r="2790">
          <cell r="A2790">
            <v>8022810</v>
          </cell>
        </row>
        <row r="2791">
          <cell r="A2791">
            <v>8022811</v>
          </cell>
        </row>
        <row r="2792">
          <cell r="A2792">
            <v>8022812</v>
          </cell>
        </row>
        <row r="2793">
          <cell r="A2793">
            <v>8022813</v>
          </cell>
        </row>
        <row r="2794">
          <cell r="A2794">
            <v>8022814</v>
          </cell>
        </row>
        <row r="2795">
          <cell r="A2795">
            <v>8022815</v>
          </cell>
        </row>
        <row r="2796">
          <cell r="A2796">
            <v>8022816</v>
          </cell>
        </row>
        <row r="2797">
          <cell r="A2797">
            <v>8022817</v>
          </cell>
        </row>
        <row r="2798">
          <cell r="A2798">
            <v>8022818</v>
          </cell>
        </row>
        <row r="2799">
          <cell r="A2799">
            <v>8022819</v>
          </cell>
        </row>
        <row r="2800">
          <cell r="A2800">
            <v>8022820</v>
          </cell>
        </row>
        <row r="2801">
          <cell r="A2801">
            <v>8022821</v>
          </cell>
        </row>
        <row r="2802">
          <cell r="A2802">
            <v>8022822</v>
          </cell>
        </row>
        <row r="2803">
          <cell r="A2803">
            <v>8022823</v>
          </cell>
        </row>
        <row r="2804">
          <cell r="A2804">
            <v>8022825</v>
          </cell>
        </row>
        <row r="2805">
          <cell r="A2805">
            <v>8022827</v>
          </cell>
        </row>
        <row r="2806">
          <cell r="A2806">
            <v>8022828</v>
          </cell>
        </row>
        <row r="2807">
          <cell r="A2807">
            <v>8022829</v>
          </cell>
        </row>
        <row r="2808">
          <cell r="A2808">
            <v>8022830</v>
          </cell>
        </row>
        <row r="2809">
          <cell r="A2809">
            <v>8022831</v>
          </cell>
        </row>
        <row r="2810">
          <cell r="A2810">
            <v>8022832</v>
          </cell>
        </row>
        <row r="2811">
          <cell r="A2811">
            <v>8022833</v>
          </cell>
        </row>
        <row r="2812">
          <cell r="A2812">
            <v>8022834</v>
          </cell>
        </row>
        <row r="2813">
          <cell r="A2813">
            <v>8022835</v>
          </cell>
        </row>
        <row r="2814">
          <cell r="A2814">
            <v>8022836</v>
          </cell>
        </row>
        <row r="2815">
          <cell r="A2815">
            <v>8022841</v>
          </cell>
        </row>
        <row r="2816">
          <cell r="A2816">
            <v>8022842</v>
          </cell>
        </row>
        <row r="2817">
          <cell r="A2817">
            <v>8022843</v>
          </cell>
        </row>
        <row r="2818">
          <cell r="A2818">
            <v>8022844</v>
          </cell>
        </row>
        <row r="2819">
          <cell r="A2819">
            <v>8022845</v>
          </cell>
        </row>
        <row r="2820">
          <cell r="A2820">
            <v>8022846</v>
          </cell>
        </row>
        <row r="2821">
          <cell r="A2821">
            <v>8022847</v>
          </cell>
        </row>
        <row r="2822">
          <cell r="A2822">
            <v>8022848</v>
          </cell>
        </row>
        <row r="2823">
          <cell r="A2823">
            <v>8022849</v>
          </cell>
        </row>
        <row r="2824">
          <cell r="A2824">
            <v>8022850</v>
          </cell>
        </row>
        <row r="2825">
          <cell r="A2825">
            <v>8022851</v>
          </cell>
        </row>
        <row r="2826">
          <cell r="A2826">
            <v>8022852</v>
          </cell>
        </row>
        <row r="2827">
          <cell r="A2827">
            <v>8022901</v>
          </cell>
        </row>
        <row r="2828">
          <cell r="A2828">
            <v>8022902</v>
          </cell>
        </row>
        <row r="2829">
          <cell r="A2829">
            <v>8022903</v>
          </cell>
        </row>
        <row r="2830">
          <cell r="A2830">
            <v>8022904</v>
          </cell>
        </row>
        <row r="2831">
          <cell r="A2831">
            <v>8022905</v>
          </cell>
        </row>
        <row r="2832">
          <cell r="A2832">
            <v>8022906</v>
          </cell>
        </row>
        <row r="2833">
          <cell r="A2833">
            <v>8022914</v>
          </cell>
        </row>
        <row r="2834">
          <cell r="A2834">
            <v>8022915</v>
          </cell>
        </row>
        <row r="2835">
          <cell r="A2835">
            <v>8022916</v>
          </cell>
        </row>
        <row r="2836">
          <cell r="A2836">
            <v>8022917</v>
          </cell>
        </row>
        <row r="2837">
          <cell r="A2837">
            <v>8022918</v>
          </cell>
        </row>
        <row r="2838">
          <cell r="A2838">
            <v>8022919</v>
          </cell>
        </row>
        <row r="2839">
          <cell r="A2839">
            <v>8022920</v>
          </cell>
        </row>
        <row r="2840">
          <cell r="A2840">
            <v>8022921</v>
          </cell>
        </row>
        <row r="2841">
          <cell r="A2841">
            <v>8022922</v>
          </cell>
        </row>
        <row r="2842">
          <cell r="A2842">
            <v>8022923</v>
          </cell>
        </row>
        <row r="2843">
          <cell r="A2843">
            <v>8022924</v>
          </cell>
        </row>
        <row r="2844">
          <cell r="A2844">
            <v>8030104</v>
          </cell>
        </row>
        <row r="2845">
          <cell r="A2845">
            <v>8030105</v>
          </cell>
        </row>
        <row r="2846">
          <cell r="A2846">
            <v>8030106</v>
          </cell>
        </row>
        <row r="2847">
          <cell r="A2847">
            <v>8030107</v>
          </cell>
        </row>
        <row r="2848">
          <cell r="A2848">
            <v>8030108</v>
          </cell>
        </row>
        <row r="2849">
          <cell r="A2849">
            <v>8030109</v>
          </cell>
        </row>
        <row r="2850">
          <cell r="A2850">
            <v>8030110</v>
          </cell>
        </row>
        <row r="2851">
          <cell r="A2851">
            <v>8030111</v>
          </cell>
        </row>
        <row r="2852">
          <cell r="A2852">
            <v>8030112</v>
          </cell>
        </row>
        <row r="2853">
          <cell r="A2853">
            <v>8030113</v>
          </cell>
        </row>
        <row r="2854">
          <cell r="A2854">
            <v>8030114</v>
          </cell>
        </row>
        <row r="2855">
          <cell r="A2855">
            <v>8030115</v>
          </cell>
        </row>
        <row r="2856">
          <cell r="A2856">
            <v>8030116</v>
          </cell>
        </row>
        <row r="2857">
          <cell r="A2857">
            <v>8030117</v>
          </cell>
        </row>
        <row r="2858">
          <cell r="A2858">
            <v>8030118</v>
          </cell>
        </row>
        <row r="2859">
          <cell r="A2859">
            <v>8030119</v>
          </cell>
        </row>
        <row r="2860">
          <cell r="A2860">
            <v>8030120</v>
          </cell>
        </row>
        <row r="2861">
          <cell r="A2861">
            <v>8030121</v>
          </cell>
        </row>
        <row r="2862">
          <cell r="A2862">
            <v>8030122</v>
          </cell>
        </row>
        <row r="2863">
          <cell r="A2863">
            <v>8030123</v>
          </cell>
        </row>
        <row r="2864">
          <cell r="A2864">
            <v>8030124</v>
          </cell>
        </row>
        <row r="2865">
          <cell r="A2865">
            <v>8030125</v>
          </cell>
        </row>
        <row r="2866">
          <cell r="A2866">
            <v>8030126</v>
          </cell>
        </row>
        <row r="2867">
          <cell r="A2867">
            <v>8030127</v>
          </cell>
        </row>
        <row r="2868">
          <cell r="A2868">
            <v>8030128</v>
          </cell>
        </row>
        <row r="2869">
          <cell r="A2869">
            <v>8030129</v>
          </cell>
        </row>
        <row r="2870">
          <cell r="A2870">
            <v>8030130</v>
          </cell>
        </row>
        <row r="2871">
          <cell r="A2871">
            <v>8030131</v>
          </cell>
        </row>
        <row r="2872">
          <cell r="A2872">
            <v>8030132</v>
          </cell>
        </row>
        <row r="2873">
          <cell r="A2873">
            <v>8030133</v>
          </cell>
        </row>
        <row r="2874">
          <cell r="A2874">
            <v>8030134</v>
          </cell>
        </row>
        <row r="2875">
          <cell r="A2875">
            <v>8030135</v>
          </cell>
        </row>
        <row r="2876">
          <cell r="A2876">
            <v>8030136</v>
          </cell>
        </row>
        <row r="2877">
          <cell r="A2877">
            <v>8030144</v>
          </cell>
        </row>
        <row r="2878">
          <cell r="A2878">
            <v>8030145</v>
          </cell>
        </row>
        <row r="2879">
          <cell r="A2879">
            <v>8030146</v>
          </cell>
        </row>
        <row r="2880">
          <cell r="A2880">
            <v>8030147</v>
          </cell>
        </row>
        <row r="2881">
          <cell r="A2881">
            <v>8030301</v>
          </cell>
        </row>
        <row r="2882">
          <cell r="A2882">
            <v>8030302</v>
          </cell>
        </row>
        <row r="2883">
          <cell r="A2883">
            <v>8030303</v>
          </cell>
        </row>
        <row r="2884">
          <cell r="A2884">
            <v>8030304</v>
          </cell>
        </row>
        <row r="2885">
          <cell r="A2885">
            <v>8030305</v>
          </cell>
        </row>
        <row r="2886">
          <cell r="A2886">
            <v>8030306</v>
          </cell>
        </row>
        <row r="2887">
          <cell r="A2887">
            <v>8030307</v>
          </cell>
        </row>
        <row r="2888">
          <cell r="A2888">
            <v>8030308</v>
          </cell>
        </row>
        <row r="2889">
          <cell r="A2889">
            <v>8030309</v>
          </cell>
        </row>
        <row r="2890">
          <cell r="A2890">
            <v>8030310</v>
          </cell>
        </row>
        <row r="2891">
          <cell r="A2891">
            <v>8030311</v>
          </cell>
        </row>
        <row r="2892">
          <cell r="A2892">
            <v>8030312</v>
          </cell>
        </row>
        <row r="2893">
          <cell r="A2893">
            <v>8030313</v>
          </cell>
        </row>
        <row r="2894">
          <cell r="A2894">
            <v>8030314</v>
          </cell>
        </row>
        <row r="2895">
          <cell r="A2895">
            <v>8030315</v>
          </cell>
        </row>
        <row r="2896">
          <cell r="A2896">
            <v>8030316</v>
          </cell>
        </row>
        <row r="2897">
          <cell r="A2897">
            <v>8030317</v>
          </cell>
        </row>
        <row r="2898">
          <cell r="A2898">
            <v>8030318</v>
          </cell>
        </row>
        <row r="2899">
          <cell r="A2899">
            <v>8030319</v>
          </cell>
        </row>
        <row r="2900">
          <cell r="A2900">
            <v>8030320</v>
          </cell>
        </row>
        <row r="2901">
          <cell r="A2901">
            <v>8030321</v>
          </cell>
        </row>
        <row r="2902">
          <cell r="A2902">
            <v>8030322</v>
          </cell>
        </row>
        <row r="2903">
          <cell r="A2903">
            <v>8030323</v>
          </cell>
        </row>
        <row r="2904">
          <cell r="A2904">
            <v>8030324</v>
          </cell>
        </row>
        <row r="2905">
          <cell r="A2905">
            <v>8030325</v>
          </cell>
        </row>
        <row r="2906">
          <cell r="A2906">
            <v>8030326</v>
          </cell>
        </row>
        <row r="2907">
          <cell r="A2907">
            <v>8030327</v>
          </cell>
        </row>
        <row r="2908">
          <cell r="A2908">
            <v>8030328</v>
          </cell>
        </row>
        <row r="2909">
          <cell r="A2909">
            <v>8030329</v>
          </cell>
        </row>
        <row r="2910">
          <cell r="A2910">
            <v>8030330</v>
          </cell>
        </row>
        <row r="2911">
          <cell r="A2911">
            <v>8030331</v>
          </cell>
        </row>
        <row r="2912">
          <cell r="A2912">
            <v>8030332</v>
          </cell>
        </row>
        <row r="2913">
          <cell r="A2913">
            <v>8030334</v>
          </cell>
        </row>
        <row r="2914">
          <cell r="A2914">
            <v>8030401</v>
          </cell>
        </row>
        <row r="2915">
          <cell r="A2915">
            <v>8030402</v>
          </cell>
        </row>
        <row r="2916">
          <cell r="A2916">
            <v>8030403</v>
          </cell>
        </row>
        <row r="2917">
          <cell r="A2917">
            <v>8030404</v>
          </cell>
        </row>
        <row r="2918">
          <cell r="A2918">
            <v>8030405</v>
          </cell>
        </row>
        <row r="2919">
          <cell r="A2919">
            <v>8030406</v>
          </cell>
        </row>
        <row r="2920">
          <cell r="A2920">
            <v>8030407</v>
          </cell>
        </row>
        <row r="2921">
          <cell r="A2921">
            <v>8030408</v>
          </cell>
        </row>
        <row r="2922">
          <cell r="A2922">
            <v>8030409</v>
          </cell>
        </row>
        <row r="2923">
          <cell r="A2923">
            <v>8030410</v>
          </cell>
        </row>
        <row r="2924">
          <cell r="A2924">
            <v>8030411</v>
          </cell>
        </row>
        <row r="2925">
          <cell r="A2925">
            <v>8030412</v>
          </cell>
        </row>
        <row r="2926">
          <cell r="A2926">
            <v>8030413</v>
          </cell>
        </row>
        <row r="2927">
          <cell r="A2927">
            <v>8030414</v>
          </cell>
        </row>
        <row r="2928">
          <cell r="A2928">
            <v>8030415</v>
          </cell>
        </row>
        <row r="2929">
          <cell r="A2929">
            <v>8030416</v>
          </cell>
        </row>
        <row r="2930">
          <cell r="A2930">
            <v>8030417</v>
          </cell>
        </row>
        <row r="2931">
          <cell r="A2931">
            <v>8030418</v>
          </cell>
        </row>
        <row r="2932">
          <cell r="A2932">
            <v>8030419</v>
          </cell>
        </row>
        <row r="2933">
          <cell r="A2933">
            <v>8030420</v>
          </cell>
        </row>
        <row r="2934">
          <cell r="A2934">
            <v>8030421</v>
          </cell>
        </row>
        <row r="2935">
          <cell r="A2935">
            <v>8030422</v>
          </cell>
        </row>
        <row r="2936">
          <cell r="A2936">
            <v>8030423</v>
          </cell>
        </row>
        <row r="2937">
          <cell r="A2937">
            <v>8030424</v>
          </cell>
        </row>
        <row r="2938">
          <cell r="A2938">
            <v>8030425</v>
          </cell>
        </row>
        <row r="2939">
          <cell r="A2939">
            <v>8030426</v>
          </cell>
        </row>
        <row r="2940">
          <cell r="A2940">
            <v>8030427</v>
          </cell>
        </row>
        <row r="2941">
          <cell r="A2941">
            <v>8030428</v>
          </cell>
        </row>
        <row r="2942">
          <cell r="A2942">
            <v>8030429</v>
          </cell>
        </row>
        <row r="2943">
          <cell r="A2943">
            <v>8030430</v>
          </cell>
        </row>
        <row r="2944">
          <cell r="A2944">
            <v>8030431</v>
          </cell>
        </row>
        <row r="2945">
          <cell r="A2945">
            <v>8030432</v>
          </cell>
        </row>
        <row r="2946">
          <cell r="A2946">
            <v>8030433</v>
          </cell>
        </row>
        <row r="2947">
          <cell r="A2947">
            <v>8030434</v>
          </cell>
        </row>
        <row r="2948">
          <cell r="A2948">
            <v>8030435</v>
          </cell>
        </row>
        <row r="2949">
          <cell r="A2949">
            <v>8030436</v>
          </cell>
        </row>
        <row r="2950">
          <cell r="A2950">
            <v>8030437</v>
          </cell>
        </row>
        <row r="2951">
          <cell r="A2951">
            <v>8030438</v>
          </cell>
        </row>
        <row r="2952">
          <cell r="A2952">
            <v>8030439</v>
          </cell>
        </row>
        <row r="2953">
          <cell r="A2953">
            <v>8030440</v>
          </cell>
        </row>
        <row r="2954">
          <cell r="A2954">
            <v>8030441</v>
          </cell>
        </row>
        <row r="2955">
          <cell r="A2955">
            <v>8030442</v>
          </cell>
        </row>
        <row r="2956">
          <cell r="A2956">
            <v>8030443</v>
          </cell>
        </row>
        <row r="2957">
          <cell r="A2957">
            <v>8030444</v>
          </cell>
        </row>
        <row r="2958">
          <cell r="A2958">
            <v>8030445</v>
          </cell>
        </row>
        <row r="2959">
          <cell r="A2959">
            <v>8030446</v>
          </cell>
        </row>
        <row r="2960">
          <cell r="A2960">
            <v>8030447</v>
          </cell>
        </row>
        <row r="2961">
          <cell r="A2961">
            <v>8030448</v>
          </cell>
        </row>
        <row r="2962">
          <cell r="A2962">
            <v>8030449</v>
          </cell>
        </row>
        <row r="2963">
          <cell r="A2963">
            <v>8030450</v>
          </cell>
        </row>
        <row r="2964">
          <cell r="A2964">
            <v>8030501</v>
          </cell>
        </row>
        <row r="2965">
          <cell r="A2965">
            <v>8030502</v>
          </cell>
        </row>
        <row r="2966">
          <cell r="A2966">
            <v>8030503</v>
          </cell>
        </row>
        <row r="2967">
          <cell r="A2967">
            <v>8030504</v>
          </cell>
        </row>
        <row r="2968">
          <cell r="A2968">
            <v>8030505</v>
          </cell>
        </row>
        <row r="2969">
          <cell r="A2969">
            <v>8030507</v>
          </cell>
        </row>
        <row r="2970">
          <cell r="A2970">
            <v>8030508</v>
          </cell>
        </row>
        <row r="2971">
          <cell r="A2971">
            <v>8030509</v>
          </cell>
        </row>
        <row r="2972">
          <cell r="A2972">
            <v>8030510</v>
          </cell>
        </row>
        <row r="2973">
          <cell r="A2973">
            <v>8030511</v>
          </cell>
        </row>
        <row r="2974">
          <cell r="A2974">
            <v>8030512</v>
          </cell>
        </row>
        <row r="2975">
          <cell r="A2975">
            <v>8030513</v>
          </cell>
        </row>
        <row r="2976">
          <cell r="A2976">
            <v>8030514</v>
          </cell>
        </row>
        <row r="2977">
          <cell r="A2977">
            <v>8030515</v>
          </cell>
        </row>
        <row r="2978">
          <cell r="A2978">
            <v>8030516</v>
          </cell>
        </row>
        <row r="2979">
          <cell r="A2979">
            <v>8030517</v>
          </cell>
        </row>
        <row r="2980">
          <cell r="A2980">
            <v>8030518</v>
          </cell>
        </row>
        <row r="2981">
          <cell r="A2981">
            <v>8030519</v>
          </cell>
        </row>
        <row r="2982">
          <cell r="A2982">
            <v>8030523</v>
          </cell>
        </row>
        <row r="2983">
          <cell r="A2983">
            <v>8030524</v>
          </cell>
        </row>
        <row r="2984">
          <cell r="A2984">
            <v>8030525</v>
          </cell>
        </row>
        <row r="2985">
          <cell r="A2985">
            <v>8030526</v>
          </cell>
        </row>
        <row r="2986">
          <cell r="A2986">
            <v>8030527</v>
          </cell>
        </row>
        <row r="2987">
          <cell r="A2987">
            <v>8030528</v>
          </cell>
        </row>
        <row r="2988">
          <cell r="A2988">
            <v>8030529</v>
          </cell>
        </row>
        <row r="2989">
          <cell r="A2989">
            <v>8030530</v>
          </cell>
        </row>
        <row r="2990">
          <cell r="A2990">
            <v>8030531</v>
          </cell>
        </row>
        <row r="2991">
          <cell r="A2991">
            <v>8030532</v>
          </cell>
        </row>
        <row r="2992">
          <cell r="A2992">
            <v>8030533</v>
          </cell>
        </row>
        <row r="2993">
          <cell r="A2993">
            <v>8030534</v>
          </cell>
        </row>
        <row r="2994">
          <cell r="A2994">
            <v>8030535</v>
          </cell>
        </row>
        <row r="2995">
          <cell r="A2995">
            <v>8030536</v>
          </cell>
        </row>
        <row r="2996">
          <cell r="A2996">
            <v>8030537</v>
          </cell>
        </row>
        <row r="2997">
          <cell r="A2997">
            <v>8030538</v>
          </cell>
        </row>
        <row r="2998">
          <cell r="A2998">
            <v>8030539</v>
          </cell>
        </row>
        <row r="2999">
          <cell r="A2999">
            <v>8030540</v>
          </cell>
        </row>
        <row r="3000">
          <cell r="A3000">
            <v>8030541</v>
          </cell>
        </row>
        <row r="3001">
          <cell r="A3001">
            <v>8030542</v>
          </cell>
        </row>
        <row r="3002">
          <cell r="A3002">
            <v>8030543</v>
          </cell>
        </row>
        <row r="3003">
          <cell r="A3003">
            <v>8030549</v>
          </cell>
        </row>
        <row r="3004">
          <cell r="A3004">
            <v>8030601</v>
          </cell>
        </row>
        <row r="3005">
          <cell r="A3005">
            <v>8030602</v>
          </cell>
        </row>
        <row r="3006">
          <cell r="A3006">
            <v>8030603</v>
          </cell>
        </row>
        <row r="3007">
          <cell r="A3007">
            <v>8030604</v>
          </cell>
        </row>
        <row r="3008">
          <cell r="A3008">
            <v>8030605</v>
          </cell>
        </row>
        <row r="3009">
          <cell r="A3009">
            <v>8030606</v>
          </cell>
        </row>
        <row r="3010">
          <cell r="A3010">
            <v>8030607</v>
          </cell>
        </row>
        <row r="3011">
          <cell r="A3011">
            <v>8030608</v>
          </cell>
        </row>
        <row r="3012">
          <cell r="A3012">
            <v>8030609</v>
          </cell>
        </row>
        <row r="3013">
          <cell r="A3013">
            <v>8030610</v>
          </cell>
        </row>
        <row r="3014">
          <cell r="A3014">
            <v>8030611</v>
          </cell>
        </row>
        <row r="3015">
          <cell r="A3015">
            <v>8030612</v>
          </cell>
        </row>
        <row r="3016">
          <cell r="A3016">
            <v>8030613</v>
          </cell>
        </row>
        <row r="3017">
          <cell r="A3017">
            <v>8030614</v>
          </cell>
        </row>
        <row r="3018">
          <cell r="A3018">
            <v>8030615</v>
          </cell>
        </row>
        <row r="3019">
          <cell r="A3019">
            <v>8030616</v>
          </cell>
        </row>
        <row r="3020">
          <cell r="A3020">
            <v>8030617</v>
          </cell>
        </row>
        <row r="3021">
          <cell r="A3021">
            <v>8030618</v>
          </cell>
        </row>
        <row r="3022">
          <cell r="A3022">
            <v>8030619</v>
          </cell>
        </row>
        <row r="3023">
          <cell r="A3023">
            <v>8030620</v>
          </cell>
        </row>
        <row r="3024">
          <cell r="A3024">
            <v>8030626</v>
          </cell>
        </row>
        <row r="3025">
          <cell r="A3025">
            <v>8030627</v>
          </cell>
        </row>
        <row r="3026">
          <cell r="A3026">
            <v>8030628</v>
          </cell>
        </row>
        <row r="3027">
          <cell r="A3027">
            <v>8030629</v>
          </cell>
        </row>
        <row r="3028">
          <cell r="A3028">
            <v>8030630</v>
          </cell>
        </row>
        <row r="3029">
          <cell r="A3029">
            <v>8030631</v>
          </cell>
        </row>
        <row r="3030">
          <cell r="A3030">
            <v>8030632</v>
          </cell>
        </row>
        <row r="3031">
          <cell r="A3031">
            <v>8030633</v>
          </cell>
        </row>
        <row r="3032">
          <cell r="A3032">
            <v>8030634</v>
          </cell>
        </row>
        <row r="3033">
          <cell r="A3033">
            <v>8030635</v>
          </cell>
        </row>
        <row r="3034">
          <cell r="A3034">
            <v>8030636</v>
          </cell>
        </row>
        <row r="3035">
          <cell r="A3035">
            <v>8030637</v>
          </cell>
        </row>
        <row r="3036">
          <cell r="A3036">
            <v>8030638</v>
          </cell>
        </row>
        <row r="3037">
          <cell r="A3037">
            <v>8030639</v>
          </cell>
        </row>
        <row r="3038">
          <cell r="A3038">
            <v>8030640</v>
          </cell>
        </row>
        <row r="3039">
          <cell r="A3039">
            <v>8030641</v>
          </cell>
        </row>
        <row r="3040">
          <cell r="A3040">
            <v>8030642</v>
          </cell>
        </row>
        <row r="3041">
          <cell r="A3041">
            <v>8030647</v>
          </cell>
        </row>
        <row r="3042">
          <cell r="A3042">
            <v>8030648</v>
          </cell>
        </row>
        <row r="3043">
          <cell r="A3043">
            <v>8030649</v>
          </cell>
        </row>
        <row r="3044">
          <cell r="A3044">
            <v>8030701</v>
          </cell>
        </row>
        <row r="3045">
          <cell r="A3045">
            <v>8030702</v>
          </cell>
        </row>
        <row r="3046">
          <cell r="A3046">
            <v>8030703</v>
          </cell>
        </row>
        <row r="3047">
          <cell r="A3047">
            <v>8030704</v>
          </cell>
        </row>
        <row r="3048">
          <cell r="A3048">
            <v>8030705</v>
          </cell>
        </row>
        <row r="3049">
          <cell r="A3049">
            <v>8030706</v>
          </cell>
        </row>
        <row r="3050">
          <cell r="A3050">
            <v>8030707</v>
          </cell>
        </row>
        <row r="3051">
          <cell r="A3051">
            <v>8030708</v>
          </cell>
        </row>
        <row r="3052">
          <cell r="A3052">
            <v>8030709</v>
          </cell>
        </row>
        <row r="3053">
          <cell r="A3053">
            <v>8030710</v>
          </cell>
        </row>
        <row r="3054">
          <cell r="A3054">
            <v>8030711</v>
          </cell>
        </row>
        <row r="3055">
          <cell r="A3055">
            <v>8030712</v>
          </cell>
        </row>
        <row r="3056">
          <cell r="A3056">
            <v>8030713</v>
          </cell>
        </row>
        <row r="3057">
          <cell r="A3057">
            <v>8030714</v>
          </cell>
        </row>
        <row r="3058">
          <cell r="A3058">
            <v>8030715</v>
          </cell>
        </row>
        <row r="3059">
          <cell r="A3059">
            <v>8030716</v>
          </cell>
        </row>
        <row r="3060">
          <cell r="A3060">
            <v>8030717</v>
          </cell>
        </row>
        <row r="3061">
          <cell r="A3061">
            <v>8030718</v>
          </cell>
        </row>
        <row r="3062">
          <cell r="A3062">
            <v>8030719</v>
          </cell>
        </row>
        <row r="3063">
          <cell r="A3063">
            <v>8030720</v>
          </cell>
        </row>
        <row r="3064">
          <cell r="A3064">
            <v>8030721</v>
          </cell>
        </row>
        <row r="3065">
          <cell r="A3065">
            <v>8030722</v>
          </cell>
        </row>
        <row r="3066">
          <cell r="A3066">
            <v>8030723</v>
          </cell>
        </row>
        <row r="3067">
          <cell r="A3067">
            <v>8030725</v>
          </cell>
        </row>
        <row r="3068">
          <cell r="A3068">
            <v>8030726</v>
          </cell>
        </row>
        <row r="3069">
          <cell r="A3069">
            <v>8030727</v>
          </cell>
        </row>
        <row r="3070">
          <cell r="A3070">
            <v>8030728</v>
          </cell>
        </row>
        <row r="3071">
          <cell r="A3071">
            <v>8030729</v>
          </cell>
        </row>
        <row r="3072">
          <cell r="A3072">
            <v>8030730</v>
          </cell>
        </row>
        <row r="3073">
          <cell r="A3073">
            <v>8030731</v>
          </cell>
        </row>
        <row r="3074">
          <cell r="A3074">
            <v>8030732</v>
          </cell>
        </row>
        <row r="3075">
          <cell r="A3075">
            <v>8030733</v>
          </cell>
        </row>
        <row r="3076">
          <cell r="A3076">
            <v>8030734</v>
          </cell>
        </row>
        <row r="3077">
          <cell r="A3077">
            <v>8030735</v>
          </cell>
        </row>
        <row r="3078">
          <cell r="A3078">
            <v>8030736</v>
          </cell>
        </row>
        <row r="3079">
          <cell r="A3079">
            <v>8030737</v>
          </cell>
        </row>
        <row r="3080">
          <cell r="A3080">
            <v>8030738</v>
          </cell>
        </row>
        <row r="3081">
          <cell r="A3081">
            <v>8030739</v>
          </cell>
        </row>
        <row r="3082">
          <cell r="A3082">
            <v>8030740</v>
          </cell>
        </row>
        <row r="3083">
          <cell r="A3083">
            <v>8030741</v>
          </cell>
        </row>
        <row r="3084">
          <cell r="A3084">
            <v>8030742</v>
          </cell>
        </row>
        <row r="3085">
          <cell r="A3085">
            <v>8030743</v>
          </cell>
        </row>
        <row r="3086">
          <cell r="A3086">
            <v>8030744</v>
          </cell>
        </row>
        <row r="3087">
          <cell r="A3087">
            <v>8030745</v>
          </cell>
        </row>
        <row r="3088">
          <cell r="A3088">
            <v>8030746</v>
          </cell>
        </row>
        <row r="3089">
          <cell r="A3089">
            <v>8030747</v>
          </cell>
        </row>
        <row r="3090">
          <cell r="A3090">
            <v>8030748</v>
          </cell>
        </row>
        <row r="3091">
          <cell r="A3091">
            <v>8030749</v>
          </cell>
        </row>
        <row r="3092">
          <cell r="A3092">
            <v>8030801</v>
          </cell>
        </row>
        <row r="3093">
          <cell r="A3093">
            <v>8030802</v>
          </cell>
        </row>
        <row r="3094">
          <cell r="A3094">
            <v>8030803</v>
          </cell>
        </row>
        <row r="3095">
          <cell r="A3095">
            <v>8030804</v>
          </cell>
        </row>
        <row r="3096">
          <cell r="A3096">
            <v>8030805</v>
          </cell>
        </row>
        <row r="3097">
          <cell r="A3097">
            <v>8030806</v>
          </cell>
        </row>
        <row r="3098">
          <cell r="A3098">
            <v>8030807</v>
          </cell>
        </row>
        <row r="3099">
          <cell r="A3099">
            <v>8030808</v>
          </cell>
        </row>
        <row r="3100">
          <cell r="A3100">
            <v>8030809</v>
          </cell>
        </row>
        <row r="3101">
          <cell r="A3101">
            <v>8030810</v>
          </cell>
        </row>
        <row r="3102">
          <cell r="A3102">
            <v>8030811</v>
          </cell>
        </row>
        <row r="3103">
          <cell r="A3103">
            <v>8030812</v>
          </cell>
        </row>
        <row r="3104">
          <cell r="A3104">
            <v>8030813</v>
          </cell>
        </row>
        <row r="3105">
          <cell r="A3105">
            <v>8030814</v>
          </cell>
        </row>
        <row r="3106">
          <cell r="A3106">
            <v>8030815</v>
          </cell>
        </row>
        <row r="3107">
          <cell r="A3107">
            <v>8030816</v>
          </cell>
        </row>
        <row r="3108">
          <cell r="A3108">
            <v>8030817</v>
          </cell>
        </row>
        <row r="3109">
          <cell r="A3109">
            <v>8030818</v>
          </cell>
        </row>
        <row r="3110">
          <cell r="A3110">
            <v>8030819</v>
          </cell>
        </row>
        <row r="3111">
          <cell r="A3111">
            <v>8030820</v>
          </cell>
        </row>
        <row r="3112">
          <cell r="A3112">
            <v>8030821</v>
          </cell>
        </row>
        <row r="3113">
          <cell r="A3113">
            <v>8030822</v>
          </cell>
        </row>
        <row r="3114">
          <cell r="A3114">
            <v>8030823</v>
          </cell>
        </row>
        <row r="3115">
          <cell r="A3115">
            <v>8030824</v>
          </cell>
        </row>
        <row r="3116">
          <cell r="A3116">
            <v>8030825</v>
          </cell>
        </row>
        <row r="3117">
          <cell r="A3117">
            <v>8030826</v>
          </cell>
        </row>
        <row r="3118">
          <cell r="A3118">
            <v>8030827</v>
          </cell>
        </row>
        <row r="3119">
          <cell r="A3119">
            <v>8030828</v>
          </cell>
        </row>
        <row r="3120">
          <cell r="A3120">
            <v>8030829</v>
          </cell>
        </row>
        <row r="3121">
          <cell r="A3121">
            <v>8030830</v>
          </cell>
        </row>
        <row r="3122">
          <cell r="A3122">
            <v>8030831</v>
          </cell>
        </row>
        <row r="3123">
          <cell r="A3123">
            <v>8030832</v>
          </cell>
        </row>
        <row r="3124">
          <cell r="A3124">
            <v>8030833</v>
          </cell>
        </row>
        <row r="3125">
          <cell r="A3125">
            <v>8030834</v>
          </cell>
        </row>
        <row r="3126">
          <cell r="A3126">
            <v>8030835</v>
          </cell>
        </row>
        <row r="3127">
          <cell r="A3127">
            <v>8030836</v>
          </cell>
        </row>
        <row r="3128">
          <cell r="A3128">
            <v>8030837</v>
          </cell>
        </row>
        <row r="3129">
          <cell r="A3129">
            <v>8030838</v>
          </cell>
        </row>
        <row r="3130">
          <cell r="A3130">
            <v>8030839</v>
          </cell>
        </row>
        <row r="3131">
          <cell r="A3131">
            <v>8030840</v>
          </cell>
        </row>
        <row r="3132">
          <cell r="A3132">
            <v>8030841</v>
          </cell>
        </row>
        <row r="3133">
          <cell r="A3133">
            <v>8030902</v>
          </cell>
        </row>
        <row r="3134">
          <cell r="A3134">
            <v>8030903</v>
          </cell>
        </row>
        <row r="3135">
          <cell r="A3135">
            <v>8030904</v>
          </cell>
        </row>
        <row r="3136">
          <cell r="A3136">
            <v>8030905</v>
          </cell>
        </row>
        <row r="3137">
          <cell r="A3137">
            <v>8030906</v>
          </cell>
        </row>
        <row r="3138">
          <cell r="A3138">
            <v>8030907</v>
          </cell>
        </row>
        <row r="3139">
          <cell r="A3139">
            <v>8030908</v>
          </cell>
        </row>
        <row r="3140">
          <cell r="A3140">
            <v>8030909</v>
          </cell>
        </row>
        <row r="3141">
          <cell r="A3141">
            <v>8030910</v>
          </cell>
        </row>
        <row r="3142">
          <cell r="A3142">
            <v>8030911</v>
          </cell>
        </row>
        <row r="3143">
          <cell r="A3143">
            <v>8030912</v>
          </cell>
        </row>
        <row r="3144">
          <cell r="A3144">
            <v>8030913</v>
          </cell>
        </row>
        <row r="3145">
          <cell r="A3145">
            <v>8031001</v>
          </cell>
        </row>
        <row r="3146">
          <cell r="A3146">
            <v>8031002</v>
          </cell>
        </row>
        <row r="3147">
          <cell r="A3147">
            <v>8031003</v>
          </cell>
        </row>
        <row r="3148">
          <cell r="A3148">
            <v>8031004</v>
          </cell>
        </row>
        <row r="3149">
          <cell r="A3149">
            <v>8031005</v>
          </cell>
        </row>
        <row r="3150">
          <cell r="A3150">
            <v>8031006</v>
          </cell>
        </row>
        <row r="3151">
          <cell r="A3151">
            <v>8031007</v>
          </cell>
        </row>
        <row r="3152">
          <cell r="A3152">
            <v>8031008</v>
          </cell>
        </row>
        <row r="3153">
          <cell r="A3153">
            <v>8031009</v>
          </cell>
        </row>
        <row r="3154">
          <cell r="A3154">
            <v>8031010</v>
          </cell>
        </row>
        <row r="3155">
          <cell r="A3155">
            <v>8031011</v>
          </cell>
        </row>
        <row r="3156">
          <cell r="A3156">
            <v>8031012</v>
          </cell>
        </row>
        <row r="3157">
          <cell r="A3157">
            <v>8031013</v>
          </cell>
        </row>
        <row r="3158">
          <cell r="A3158">
            <v>8031014</v>
          </cell>
        </row>
        <row r="3159">
          <cell r="A3159">
            <v>8031015</v>
          </cell>
        </row>
        <row r="3160">
          <cell r="A3160">
            <v>8031016</v>
          </cell>
        </row>
        <row r="3161">
          <cell r="A3161">
            <v>8031017</v>
          </cell>
        </row>
        <row r="3162">
          <cell r="A3162">
            <v>8031018</v>
          </cell>
        </row>
        <row r="3163">
          <cell r="A3163">
            <v>8031019</v>
          </cell>
        </row>
        <row r="3164">
          <cell r="A3164">
            <v>8031020</v>
          </cell>
        </row>
        <row r="3165">
          <cell r="A3165">
            <v>8031023</v>
          </cell>
        </row>
        <row r="3166">
          <cell r="A3166">
            <v>8031024</v>
          </cell>
        </row>
        <row r="3167">
          <cell r="A3167">
            <v>8031025</v>
          </cell>
        </row>
        <row r="3168">
          <cell r="A3168">
            <v>8031026</v>
          </cell>
        </row>
        <row r="3169">
          <cell r="A3169">
            <v>8031027</v>
          </cell>
        </row>
        <row r="3170">
          <cell r="A3170">
            <v>8031028</v>
          </cell>
        </row>
        <row r="3171">
          <cell r="A3171">
            <v>8031029</v>
          </cell>
        </row>
        <row r="3172">
          <cell r="A3172">
            <v>8031030</v>
          </cell>
        </row>
        <row r="3173">
          <cell r="A3173">
            <v>8031031</v>
          </cell>
        </row>
        <row r="3174">
          <cell r="A3174">
            <v>8031032</v>
          </cell>
        </row>
        <row r="3175">
          <cell r="A3175">
            <v>8031039</v>
          </cell>
        </row>
        <row r="3176">
          <cell r="A3176">
            <v>8031040</v>
          </cell>
        </row>
        <row r="3177">
          <cell r="A3177">
            <v>8031041</v>
          </cell>
        </row>
        <row r="3178">
          <cell r="A3178">
            <v>8031042</v>
          </cell>
        </row>
        <row r="3179">
          <cell r="A3179">
            <v>8031043</v>
          </cell>
        </row>
        <row r="3180">
          <cell r="A3180">
            <v>8031044</v>
          </cell>
        </row>
        <row r="3181">
          <cell r="A3181">
            <v>8031045</v>
          </cell>
        </row>
        <row r="3182">
          <cell r="A3182">
            <v>8031046</v>
          </cell>
        </row>
        <row r="3183">
          <cell r="A3183">
            <v>8031047</v>
          </cell>
        </row>
        <row r="3184">
          <cell r="A3184">
            <v>8031048</v>
          </cell>
        </row>
        <row r="3185">
          <cell r="A3185">
            <v>8031049</v>
          </cell>
        </row>
        <row r="3186">
          <cell r="A3186">
            <v>8031050</v>
          </cell>
        </row>
        <row r="3187">
          <cell r="A3187">
            <v>8031051</v>
          </cell>
        </row>
        <row r="3188">
          <cell r="A3188">
            <v>8031052</v>
          </cell>
        </row>
        <row r="3189">
          <cell r="A3189">
            <v>8031053</v>
          </cell>
        </row>
        <row r="3190">
          <cell r="A3190">
            <v>8031054</v>
          </cell>
        </row>
        <row r="3191">
          <cell r="A3191">
            <v>8031055</v>
          </cell>
        </row>
        <row r="3192">
          <cell r="A3192">
            <v>8031101</v>
          </cell>
        </row>
        <row r="3193">
          <cell r="A3193">
            <v>8031102</v>
          </cell>
        </row>
        <row r="3194">
          <cell r="A3194">
            <v>8031103</v>
          </cell>
        </row>
        <row r="3195">
          <cell r="A3195">
            <v>8031104</v>
          </cell>
        </row>
        <row r="3196">
          <cell r="A3196">
            <v>8031105</v>
          </cell>
        </row>
        <row r="3197">
          <cell r="A3197">
            <v>8031106</v>
          </cell>
        </row>
        <row r="3198">
          <cell r="A3198">
            <v>8031107</v>
          </cell>
        </row>
        <row r="3199">
          <cell r="A3199">
            <v>8031108</v>
          </cell>
        </row>
        <row r="3200">
          <cell r="A3200">
            <v>8031109</v>
          </cell>
        </row>
        <row r="3201">
          <cell r="A3201">
            <v>8031110</v>
          </cell>
        </row>
        <row r="3202">
          <cell r="A3202">
            <v>8031111</v>
          </cell>
        </row>
        <row r="3203">
          <cell r="A3203">
            <v>8031112</v>
          </cell>
        </row>
        <row r="3204">
          <cell r="A3204">
            <v>8031113</v>
          </cell>
        </row>
        <row r="3205">
          <cell r="A3205">
            <v>8031114</v>
          </cell>
        </row>
        <row r="3206">
          <cell r="A3206">
            <v>8031115</v>
          </cell>
        </row>
        <row r="3207">
          <cell r="A3207">
            <v>8031116</v>
          </cell>
        </row>
        <row r="3208">
          <cell r="A3208">
            <v>8031117</v>
          </cell>
        </row>
        <row r="3209">
          <cell r="A3209">
            <v>8031118</v>
          </cell>
        </row>
        <row r="3210">
          <cell r="A3210">
            <v>8031119</v>
          </cell>
        </row>
        <row r="3211">
          <cell r="A3211">
            <v>8031120</v>
          </cell>
        </row>
        <row r="3212">
          <cell r="A3212">
            <v>8031121</v>
          </cell>
        </row>
        <row r="3213">
          <cell r="A3213">
            <v>8031122</v>
          </cell>
        </row>
        <row r="3214">
          <cell r="A3214">
            <v>8031123</v>
          </cell>
        </row>
        <row r="3215">
          <cell r="A3215">
            <v>8031124</v>
          </cell>
        </row>
        <row r="3216">
          <cell r="A3216">
            <v>8031125</v>
          </cell>
        </row>
        <row r="3217">
          <cell r="A3217">
            <v>8031126</v>
          </cell>
        </row>
        <row r="3218">
          <cell r="A3218">
            <v>8031127</v>
          </cell>
        </row>
        <row r="3219">
          <cell r="A3219">
            <v>8031128</v>
          </cell>
        </row>
        <row r="3220">
          <cell r="A3220">
            <v>8031129</v>
          </cell>
        </row>
        <row r="3221">
          <cell r="A3221">
            <v>8031130</v>
          </cell>
        </row>
        <row r="3222">
          <cell r="A3222">
            <v>8031131</v>
          </cell>
        </row>
        <row r="3223">
          <cell r="A3223">
            <v>8031132</v>
          </cell>
        </row>
        <row r="3224">
          <cell r="A3224">
            <v>8031133</v>
          </cell>
        </row>
        <row r="3225">
          <cell r="A3225">
            <v>8031134</v>
          </cell>
        </row>
        <row r="3226">
          <cell r="A3226">
            <v>8031135</v>
          </cell>
        </row>
        <row r="3227">
          <cell r="A3227">
            <v>8031136</v>
          </cell>
        </row>
        <row r="3228">
          <cell r="A3228">
            <v>8031137</v>
          </cell>
        </row>
        <row r="3229">
          <cell r="A3229">
            <v>8031139</v>
          </cell>
        </row>
        <row r="3230">
          <cell r="A3230">
            <v>8031201</v>
          </cell>
        </row>
        <row r="3231">
          <cell r="A3231">
            <v>8031202</v>
          </cell>
        </row>
        <row r="3232">
          <cell r="A3232">
            <v>8031203</v>
          </cell>
        </row>
        <row r="3233">
          <cell r="A3233">
            <v>8031204</v>
          </cell>
        </row>
        <row r="3234">
          <cell r="A3234">
            <v>8031205</v>
          </cell>
        </row>
        <row r="3235">
          <cell r="A3235">
            <v>8031206</v>
          </cell>
        </row>
        <row r="3236">
          <cell r="A3236">
            <v>8031207</v>
          </cell>
        </row>
        <row r="3237">
          <cell r="A3237">
            <v>8031208</v>
          </cell>
        </row>
        <row r="3238">
          <cell r="A3238">
            <v>8031209</v>
          </cell>
        </row>
        <row r="3239">
          <cell r="A3239">
            <v>8031210</v>
          </cell>
        </row>
        <row r="3240">
          <cell r="A3240">
            <v>8031211</v>
          </cell>
        </row>
        <row r="3241">
          <cell r="A3241">
            <v>8031212</v>
          </cell>
        </row>
        <row r="3242">
          <cell r="A3242">
            <v>8031213</v>
          </cell>
        </row>
        <row r="3243">
          <cell r="A3243">
            <v>8031214</v>
          </cell>
        </row>
        <row r="3244">
          <cell r="A3244">
            <v>8031215</v>
          </cell>
        </row>
        <row r="3245">
          <cell r="A3245">
            <v>8031221</v>
          </cell>
        </row>
        <row r="3246">
          <cell r="A3246">
            <v>8031222</v>
          </cell>
        </row>
        <row r="3247">
          <cell r="A3247">
            <v>8031223</v>
          </cell>
        </row>
        <row r="3248">
          <cell r="A3248">
            <v>8031224</v>
          </cell>
        </row>
        <row r="3249">
          <cell r="A3249">
            <v>8031225</v>
          </cell>
        </row>
        <row r="3250">
          <cell r="A3250">
            <v>8031230</v>
          </cell>
        </row>
        <row r="3251">
          <cell r="A3251">
            <v>8031231</v>
          </cell>
        </row>
        <row r="3252">
          <cell r="A3252">
            <v>8031232</v>
          </cell>
        </row>
        <row r="3253">
          <cell r="A3253">
            <v>8031233</v>
          </cell>
        </row>
        <row r="3254">
          <cell r="A3254">
            <v>8031234</v>
          </cell>
        </row>
        <row r="3255">
          <cell r="A3255">
            <v>8031235</v>
          </cell>
        </row>
        <row r="3256">
          <cell r="A3256">
            <v>8031236</v>
          </cell>
        </row>
        <row r="3257">
          <cell r="A3257">
            <v>8031237</v>
          </cell>
        </row>
        <row r="3258">
          <cell r="A3258">
            <v>8031248</v>
          </cell>
        </row>
        <row r="3259">
          <cell r="A3259">
            <v>8031249</v>
          </cell>
        </row>
        <row r="3260">
          <cell r="A3260">
            <v>8031250</v>
          </cell>
        </row>
        <row r="3261">
          <cell r="A3261">
            <v>8031301</v>
          </cell>
        </row>
        <row r="3262">
          <cell r="A3262">
            <v>8031302</v>
          </cell>
        </row>
        <row r="3263">
          <cell r="A3263">
            <v>8031303</v>
          </cell>
        </row>
        <row r="3264">
          <cell r="A3264">
            <v>8031304</v>
          </cell>
        </row>
        <row r="3265">
          <cell r="A3265">
            <v>8031305</v>
          </cell>
        </row>
        <row r="3266">
          <cell r="A3266">
            <v>8031306</v>
          </cell>
        </row>
        <row r="3267">
          <cell r="A3267">
            <v>8031307</v>
          </cell>
        </row>
        <row r="3268">
          <cell r="A3268">
            <v>8031308</v>
          </cell>
        </row>
        <row r="3269">
          <cell r="A3269">
            <v>8031309</v>
          </cell>
        </row>
        <row r="3270">
          <cell r="A3270">
            <v>8031310</v>
          </cell>
        </row>
        <row r="3271">
          <cell r="A3271">
            <v>8031311</v>
          </cell>
        </row>
        <row r="3272">
          <cell r="A3272">
            <v>8031312</v>
          </cell>
        </row>
        <row r="3273">
          <cell r="A3273">
            <v>8031313</v>
          </cell>
        </row>
        <row r="3274">
          <cell r="A3274">
            <v>8031314</v>
          </cell>
        </row>
        <row r="3275">
          <cell r="A3275">
            <v>8031315</v>
          </cell>
        </row>
        <row r="3276">
          <cell r="A3276">
            <v>8031316</v>
          </cell>
        </row>
        <row r="3277">
          <cell r="A3277">
            <v>8031317</v>
          </cell>
        </row>
        <row r="3278">
          <cell r="A3278">
            <v>8031320</v>
          </cell>
        </row>
        <row r="3279">
          <cell r="A3279">
            <v>8031321</v>
          </cell>
        </row>
        <row r="3280">
          <cell r="A3280">
            <v>8031322</v>
          </cell>
        </row>
        <row r="3281">
          <cell r="A3281">
            <v>8031323</v>
          </cell>
        </row>
        <row r="3282">
          <cell r="A3282">
            <v>8031324</v>
          </cell>
        </row>
        <row r="3283">
          <cell r="A3283">
            <v>8031325</v>
          </cell>
        </row>
        <row r="3284">
          <cell r="A3284">
            <v>8031326</v>
          </cell>
        </row>
        <row r="3285">
          <cell r="A3285">
            <v>8031327</v>
          </cell>
        </row>
        <row r="3286">
          <cell r="A3286">
            <v>8031328</v>
          </cell>
        </row>
        <row r="3287">
          <cell r="A3287">
            <v>8031329</v>
          </cell>
        </row>
        <row r="3288">
          <cell r="A3288">
            <v>8031330</v>
          </cell>
        </row>
        <row r="3289">
          <cell r="A3289">
            <v>8031331</v>
          </cell>
        </row>
        <row r="3290">
          <cell r="A3290">
            <v>8031332</v>
          </cell>
        </row>
        <row r="3291">
          <cell r="A3291">
            <v>8031333</v>
          </cell>
        </row>
        <row r="3292">
          <cell r="A3292">
            <v>8031334</v>
          </cell>
        </row>
        <row r="3293">
          <cell r="A3293">
            <v>8031335</v>
          </cell>
        </row>
        <row r="3294">
          <cell r="A3294">
            <v>8031336</v>
          </cell>
        </row>
        <row r="3295">
          <cell r="A3295">
            <v>8031337</v>
          </cell>
        </row>
        <row r="3296">
          <cell r="A3296">
            <v>8031338</v>
          </cell>
        </row>
        <row r="3297">
          <cell r="A3297">
            <v>8031339</v>
          </cell>
        </row>
        <row r="3298">
          <cell r="A3298">
            <v>8031340</v>
          </cell>
        </row>
        <row r="3299">
          <cell r="A3299">
            <v>8031341</v>
          </cell>
        </row>
        <row r="3300">
          <cell r="A3300">
            <v>8031342</v>
          </cell>
        </row>
        <row r="3301">
          <cell r="A3301">
            <v>8031343</v>
          </cell>
        </row>
        <row r="3302">
          <cell r="A3302">
            <v>8031344</v>
          </cell>
        </row>
        <row r="3303">
          <cell r="A3303">
            <v>8031345</v>
          </cell>
        </row>
        <row r="3304">
          <cell r="A3304">
            <v>8031346</v>
          </cell>
        </row>
        <row r="3305">
          <cell r="A3305">
            <v>8031347</v>
          </cell>
        </row>
        <row r="3306">
          <cell r="A3306">
            <v>8031348</v>
          </cell>
        </row>
        <row r="3307">
          <cell r="A3307">
            <v>8031349</v>
          </cell>
        </row>
        <row r="3308">
          <cell r="A3308">
            <v>8031350</v>
          </cell>
        </row>
        <row r="3309">
          <cell r="A3309">
            <v>8031361</v>
          </cell>
        </row>
        <row r="3310">
          <cell r="A3310">
            <v>8031362</v>
          </cell>
        </row>
        <row r="3311">
          <cell r="A3311">
            <v>8031401</v>
          </cell>
        </row>
        <row r="3312">
          <cell r="A3312">
            <v>8031402</v>
          </cell>
        </row>
        <row r="3313">
          <cell r="A3313">
            <v>8031403</v>
          </cell>
        </row>
        <row r="3314">
          <cell r="A3314">
            <v>8031404</v>
          </cell>
        </row>
        <row r="3315">
          <cell r="A3315">
            <v>8031405</v>
          </cell>
        </row>
        <row r="3316">
          <cell r="A3316">
            <v>8031406</v>
          </cell>
        </row>
        <row r="3317">
          <cell r="A3317">
            <v>8031407</v>
          </cell>
        </row>
        <row r="3318">
          <cell r="A3318">
            <v>8031408</v>
          </cell>
        </row>
        <row r="3319">
          <cell r="A3319">
            <v>8031409</v>
          </cell>
        </row>
        <row r="3320">
          <cell r="A3320">
            <v>8031410</v>
          </cell>
        </row>
        <row r="3321">
          <cell r="A3321">
            <v>8031411</v>
          </cell>
        </row>
        <row r="3322">
          <cell r="A3322">
            <v>8031412</v>
          </cell>
        </row>
        <row r="3323">
          <cell r="A3323">
            <v>8031413</v>
          </cell>
        </row>
        <row r="3324">
          <cell r="A3324">
            <v>8031414</v>
          </cell>
        </row>
        <row r="3325">
          <cell r="A3325">
            <v>8031415</v>
          </cell>
        </row>
        <row r="3326">
          <cell r="A3326">
            <v>8031416</v>
          </cell>
        </row>
        <row r="3327">
          <cell r="A3327">
            <v>8031417</v>
          </cell>
        </row>
        <row r="3328">
          <cell r="A3328">
            <v>8031418</v>
          </cell>
        </row>
        <row r="3329">
          <cell r="A3329">
            <v>8031419</v>
          </cell>
        </row>
        <row r="3330">
          <cell r="A3330">
            <v>8031420</v>
          </cell>
        </row>
        <row r="3331">
          <cell r="A3331">
            <v>8031421</v>
          </cell>
        </row>
        <row r="3332">
          <cell r="A3332">
            <v>8031422</v>
          </cell>
        </row>
        <row r="3333">
          <cell r="A3333">
            <v>8031423</v>
          </cell>
        </row>
        <row r="3334">
          <cell r="A3334">
            <v>8031424</v>
          </cell>
        </row>
        <row r="3335">
          <cell r="A3335">
            <v>8031425</v>
          </cell>
        </row>
        <row r="3336">
          <cell r="A3336">
            <v>8031426</v>
          </cell>
        </row>
        <row r="3337">
          <cell r="A3337">
            <v>8031427</v>
          </cell>
        </row>
        <row r="3338">
          <cell r="A3338">
            <v>8031428</v>
          </cell>
        </row>
        <row r="3339">
          <cell r="A3339">
            <v>8031429</v>
          </cell>
        </row>
        <row r="3340">
          <cell r="A3340">
            <v>8031430</v>
          </cell>
        </row>
        <row r="3341">
          <cell r="A3341">
            <v>8031431</v>
          </cell>
        </row>
        <row r="3342">
          <cell r="A3342">
            <v>8031432</v>
          </cell>
        </row>
        <row r="3343">
          <cell r="A3343">
            <v>8031433</v>
          </cell>
        </row>
        <row r="3344">
          <cell r="A3344">
            <v>8031434</v>
          </cell>
        </row>
        <row r="3345">
          <cell r="A3345">
            <v>8031435</v>
          </cell>
        </row>
        <row r="3346">
          <cell r="A3346">
            <v>8031436</v>
          </cell>
        </row>
        <row r="3347">
          <cell r="A3347">
            <v>8031437</v>
          </cell>
        </row>
        <row r="3348">
          <cell r="A3348">
            <v>8031438</v>
          </cell>
        </row>
        <row r="3349">
          <cell r="A3349">
            <v>8031439</v>
          </cell>
        </row>
        <row r="3350">
          <cell r="A3350">
            <v>8031440</v>
          </cell>
        </row>
        <row r="3351">
          <cell r="A3351">
            <v>8031441</v>
          </cell>
        </row>
        <row r="3352">
          <cell r="A3352">
            <v>8031442</v>
          </cell>
        </row>
        <row r="3353">
          <cell r="A3353">
            <v>8031443</v>
          </cell>
        </row>
        <row r="3354">
          <cell r="A3354">
            <v>8031444</v>
          </cell>
        </row>
        <row r="3355">
          <cell r="A3355">
            <v>8031445</v>
          </cell>
        </row>
        <row r="3356">
          <cell r="A3356">
            <v>8031446</v>
          </cell>
        </row>
        <row r="3357">
          <cell r="A3357">
            <v>8031501</v>
          </cell>
        </row>
        <row r="3358">
          <cell r="A3358">
            <v>8031502</v>
          </cell>
        </row>
        <row r="3359">
          <cell r="A3359">
            <v>8031503</v>
          </cell>
        </row>
        <row r="3360">
          <cell r="A3360">
            <v>8031504</v>
          </cell>
        </row>
        <row r="3361">
          <cell r="A3361">
            <v>8031505</v>
          </cell>
        </row>
        <row r="3362">
          <cell r="A3362">
            <v>8031506</v>
          </cell>
        </row>
        <row r="3363">
          <cell r="A3363">
            <v>8031507</v>
          </cell>
        </row>
        <row r="3364">
          <cell r="A3364">
            <v>8031508</v>
          </cell>
        </row>
        <row r="3365">
          <cell r="A3365">
            <v>8031509</v>
          </cell>
        </row>
        <row r="3366">
          <cell r="A3366">
            <v>8031510</v>
          </cell>
        </row>
        <row r="3367">
          <cell r="A3367">
            <v>8031511</v>
          </cell>
        </row>
        <row r="3368">
          <cell r="A3368">
            <v>8031512</v>
          </cell>
        </row>
        <row r="3369">
          <cell r="A3369">
            <v>8031513</v>
          </cell>
        </row>
        <row r="3370">
          <cell r="A3370">
            <v>8031514</v>
          </cell>
        </row>
        <row r="3371">
          <cell r="A3371">
            <v>8031515</v>
          </cell>
        </row>
        <row r="3372">
          <cell r="A3372">
            <v>8031516</v>
          </cell>
        </row>
        <row r="3373">
          <cell r="A3373">
            <v>8031517</v>
          </cell>
        </row>
        <row r="3374">
          <cell r="A3374">
            <v>8031518</v>
          </cell>
        </row>
        <row r="3375">
          <cell r="A3375">
            <v>8031519</v>
          </cell>
        </row>
        <row r="3376">
          <cell r="A3376">
            <v>8031520</v>
          </cell>
        </row>
        <row r="3377">
          <cell r="A3377">
            <v>8031521</v>
          </cell>
        </row>
        <row r="3378">
          <cell r="A3378">
            <v>8031522</v>
          </cell>
        </row>
        <row r="3379">
          <cell r="A3379">
            <v>8031523</v>
          </cell>
        </row>
        <row r="3380">
          <cell r="A3380">
            <v>8031525</v>
          </cell>
        </row>
        <row r="3381">
          <cell r="A3381">
            <v>8031529</v>
          </cell>
        </row>
        <row r="3382">
          <cell r="A3382">
            <v>8031530</v>
          </cell>
        </row>
        <row r="3383">
          <cell r="A3383">
            <v>8031531</v>
          </cell>
        </row>
        <row r="3384">
          <cell r="A3384">
            <v>8031532</v>
          </cell>
        </row>
        <row r="3385">
          <cell r="A3385">
            <v>8031533</v>
          </cell>
        </row>
        <row r="3386">
          <cell r="A3386">
            <v>8031534</v>
          </cell>
        </row>
        <row r="3387">
          <cell r="A3387">
            <v>8031537</v>
          </cell>
        </row>
        <row r="3388">
          <cell r="A3388">
            <v>8031538</v>
          </cell>
        </row>
        <row r="3389">
          <cell r="A3389">
            <v>8031539</v>
          </cell>
        </row>
        <row r="3390">
          <cell r="A3390">
            <v>8031540</v>
          </cell>
        </row>
        <row r="3391">
          <cell r="A3391">
            <v>8031541</v>
          </cell>
        </row>
        <row r="3392">
          <cell r="A3392">
            <v>8031601</v>
          </cell>
        </row>
        <row r="3393">
          <cell r="A3393">
            <v>8031602</v>
          </cell>
        </row>
        <row r="3394">
          <cell r="A3394">
            <v>8031603</v>
          </cell>
        </row>
        <row r="3395">
          <cell r="A3395">
            <v>8031604</v>
          </cell>
        </row>
        <row r="3396">
          <cell r="A3396">
            <v>8031605</v>
          </cell>
        </row>
        <row r="3397">
          <cell r="A3397">
            <v>8031606</v>
          </cell>
        </row>
        <row r="3398">
          <cell r="A3398">
            <v>8031607</v>
          </cell>
        </row>
        <row r="3399">
          <cell r="A3399">
            <v>8031608</v>
          </cell>
        </row>
        <row r="3400">
          <cell r="A3400">
            <v>8031609</v>
          </cell>
        </row>
        <row r="3401">
          <cell r="A3401">
            <v>8031610</v>
          </cell>
        </row>
        <row r="3402">
          <cell r="A3402">
            <v>8031611</v>
          </cell>
        </row>
        <row r="3403">
          <cell r="A3403">
            <v>8031612</v>
          </cell>
        </row>
        <row r="3404">
          <cell r="A3404">
            <v>8031613</v>
          </cell>
        </row>
        <row r="3405">
          <cell r="A3405">
            <v>8031614</v>
          </cell>
        </row>
        <row r="3406">
          <cell r="A3406">
            <v>8031615</v>
          </cell>
        </row>
        <row r="3407">
          <cell r="A3407">
            <v>8031701</v>
          </cell>
        </row>
        <row r="3408">
          <cell r="A3408">
            <v>8031702</v>
          </cell>
        </row>
        <row r="3409">
          <cell r="A3409">
            <v>8031703</v>
          </cell>
        </row>
        <row r="3410">
          <cell r="A3410">
            <v>8031704</v>
          </cell>
        </row>
        <row r="3411">
          <cell r="A3411">
            <v>8031705</v>
          </cell>
        </row>
        <row r="3412">
          <cell r="A3412">
            <v>8031706</v>
          </cell>
        </row>
        <row r="3413">
          <cell r="A3413">
            <v>8031707</v>
          </cell>
        </row>
        <row r="3414">
          <cell r="A3414">
            <v>8031708</v>
          </cell>
        </row>
        <row r="3415">
          <cell r="A3415">
            <v>8031709</v>
          </cell>
        </row>
        <row r="3416">
          <cell r="A3416">
            <v>8031710</v>
          </cell>
        </row>
        <row r="3417">
          <cell r="A3417">
            <v>8031711</v>
          </cell>
        </row>
        <row r="3418">
          <cell r="A3418">
            <v>8031712</v>
          </cell>
        </row>
        <row r="3419">
          <cell r="A3419">
            <v>8031713</v>
          </cell>
        </row>
        <row r="3420">
          <cell r="A3420">
            <v>8031714</v>
          </cell>
        </row>
        <row r="3421">
          <cell r="A3421">
            <v>8031715</v>
          </cell>
        </row>
        <row r="3422">
          <cell r="A3422">
            <v>8031716</v>
          </cell>
        </row>
        <row r="3423">
          <cell r="A3423">
            <v>8031717</v>
          </cell>
        </row>
        <row r="3424">
          <cell r="A3424">
            <v>8031718</v>
          </cell>
        </row>
        <row r="3425">
          <cell r="A3425">
            <v>8031719</v>
          </cell>
        </row>
        <row r="3426">
          <cell r="A3426">
            <v>8031720</v>
          </cell>
        </row>
        <row r="3427">
          <cell r="A3427">
            <v>8031721</v>
          </cell>
        </row>
        <row r="3428">
          <cell r="A3428">
            <v>8031722</v>
          </cell>
        </row>
        <row r="3429">
          <cell r="A3429">
            <v>8031723</v>
          </cell>
        </row>
        <row r="3430">
          <cell r="A3430">
            <v>8031724</v>
          </cell>
        </row>
        <row r="3431">
          <cell r="A3431">
            <v>8031725</v>
          </cell>
        </row>
        <row r="3432">
          <cell r="A3432">
            <v>8031726</v>
          </cell>
        </row>
        <row r="3433">
          <cell r="A3433">
            <v>8031727</v>
          </cell>
        </row>
        <row r="3434">
          <cell r="A3434">
            <v>8031728</v>
          </cell>
        </row>
        <row r="3435">
          <cell r="A3435">
            <v>8031729</v>
          </cell>
        </row>
        <row r="3436">
          <cell r="A3436">
            <v>8031730</v>
          </cell>
        </row>
        <row r="3437">
          <cell r="A3437">
            <v>8031731</v>
          </cell>
        </row>
        <row r="3438">
          <cell r="A3438">
            <v>8031732</v>
          </cell>
        </row>
        <row r="3439">
          <cell r="A3439">
            <v>8031733</v>
          </cell>
        </row>
        <row r="3440">
          <cell r="A3440">
            <v>8031734</v>
          </cell>
        </row>
        <row r="3441">
          <cell r="A3441">
            <v>8031735</v>
          </cell>
        </row>
        <row r="3442">
          <cell r="A3442">
            <v>8031801</v>
          </cell>
        </row>
        <row r="3443">
          <cell r="A3443">
            <v>8031802</v>
          </cell>
        </row>
        <row r="3444">
          <cell r="A3444">
            <v>8031803</v>
          </cell>
        </row>
        <row r="3445">
          <cell r="A3445">
            <v>8031804</v>
          </cell>
        </row>
        <row r="3446">
          <cell r="A3446">
            <v>8031805</v>
          </cell>
        </row>
        <row r="3447">
          <cell r="A3447">
            <v>8031806</v>
          </cell>
        </row>
        <row r="3448">
          <cell r="A3448">
            <v>8031807</v>
          </cell>
        </row>
        <row r="3449">
          <cell r="A3449">
            <v>8031808</v>
          </cell>
        </row>
        <row r="3450">
          <cell r="A3450">
            <v>8031809</v>
          </cell>
        </row>
        <row r="3451">
          <cell r="A3451">
            <v>8031810</v>
          </cell>
        </row>
        <row r="3452">
          <cell r="A3452">
            <v>8031811</v>
          </cell>
        </row>
        <row r="3453">
          <cell r="A3453">
            <v>8031812</v>
          </cell>
        </row>
        <row r="3454">
          <cell r="A3454">
            <v>8031813</v>
          </cell>
        </row>
        <row r="3455">
          <cell r="A3455">
            <v>8031814</v>
          </cell>
        </row>
        <row r="3456">
          <cell r="A3456">
            <v>8031815</v>
          </cell>
        </row>
        <row r="3457">
          <cell r="A3457">
            <v>8031816</v>
          </cell>
        </row>
        <row r="3458">
          <cell r="A3458">
            <v>8031817</v>
          </cell>
        </row>
        <row r="3459">
          <cell r="A3459">
            <v>8031818</v>
          </cell>
        </row>
        <row r="3460">
          <cell r="A3460">
            <v>8031819</v>
          </cell>
        </row>
        <row r="3461">
          <cell r="A3461">
            <v>8031820</v>
          </cell>
        </row>
        <row r="3462">
          <cell r="A3462">
            <v>8031821</v>
          </cell>
        </row>
        <row r="3463">
          <cell r="A3463">
            <v>8031822</v>
          </cell>
        </row>
        <row r="3464">
          <cell r="A3464">
            <v>8031823</v>
          </cell>
        </row>
        <row r="3465">
          <cell r="A3465">
            <v>8031824</v>
          </cell>
        </row>
        <row r="3466">
          <cell r="A3466">
            <v>8031825</v>
          </cell>
        </row>
        <row r="3467">
          <cell r="A3467">
            <v>8031826</v>
          </cell>
        </row>
        <row r="3468">
          <cell r="A3468">
            <v>8031827</v>
          </cell>
        </row>
        <row r="3469">
          <cell r="A3469">
            <v>8031828</v>
          </cell>
        </row>
        <row r="3470">
          <cell r="A3470">
            <v>8031901</v>
          </cell>
        </row>
        <row r="3471">
          <cell r="A3471">
            <v>8031902</v>
          </cell>
        </row>
        <row r="3472">
          <cell r="A3472">
            <v>8031903</v>
          </cell>
        </row>
        <row r="3473">
          <cell r="A3473">
            <v>8031904</v>
          </cell>
        </row>
        <row r="3474">
          <cell r="A3474">
            <v>8031905</v>
          </cell>
        </row>
        <row r="3475">
          <cell r="A3475">
            <v>8031906</v>
          </cell>
        </row>
        <row r="3476">
          <cell r="A3476">
            <v>8031907</v>
          </cell>
        </row>
        <row r="3477">
          <cell r="A3477">
            <v>8031908</v>
          </cell>
        </row>
        <row r="3478">
          <cell r="A3478">
            <v>8031909</v>
          </cell>
        </row>
        <row r="3479">
          <cell r="A3479">
            <v>8031910</v>
          </cell>
        </row>
        <row r="3480">
          <cell r="A3480">
            <v>8031911</v>
          </cell>
        </row>
        <row r="3481">
          <cell r="A3481">
            <v>8031912</v>
          </cell>
        </row>
        <row r="3482">
          <cell r="A3482">
            <v>8031920</v>
          </cell>
        </row>
        <row r="3483">
          <cell r="A3483">
            <v>8031921</v>
          </cell>
        </row>
        <row r="3484">
          <cell r="A3484">
            <v>8031922</v>
          </cell>
        </row>
        <row r="3485">
          <cell r="A3485">
            <v>8031923</v>
          </cell>
        </row>
        <row r="3486">
          <cell r="A3486">
            <v>8031924</v>
          </cell>
        </row>
        <row r="3487">
          <cell r="A3487">
            <v>8031925</v>
          </cell>
        </row>
        <row r="3488">
          <cell r="A3488">
            <v>8031930</v>
          </cell>
        </row>
        <row r="3489">
          <cell r="A3489">
            <v>8031931</v>
          </cell>
        </row>
        <row r="3490">
          <cell r="A3490">
            <v>8031932</v>
          </cell>
        </row>
        <row r="3491">
          <cell r="A3491">
            <v>8031933</v>
          </cell>
        </row>
        <row r="3492">
          <cell r="A3492">
            <v>8031934</v>
          </cell>
        </row>
        <row r="3493">
          <cell r="A3493">
            <v>8031935</v>
          </cell>
        </row>
        <row r="3494">
          <cell r="A3494">
            <v>8031936</v>
          </cell>
        </row>
        <row r="3495">
          <cell r="A3495">
            <v>8031938</v>
          </cell>
        </row>
        <row r="3496">
          <cell r="A3496">
            <v>8031939</v>
          </cell>
        </row>
        <row r="3497">
          <cell r="A3497">
            <v>8031940</v>
          </cell>
        </row>
        <row r="3498">
          <cell r="A3498">
            <v>8031941</v>
          </cell>
        </row>
        <row r="3499">
          <cell r="A3499">
            <v>8031942</v>
          </cell>
        </row>
        <row r="3500">
          <cell r="A3500">
            <v>8031943</v>
          </cell>
        </row>
        <row r="3501">
          <cell r="A3501">
            <v>8031944</v>
          </cell>
        </row>
        <row r="3502">
          <cell r="A3502">
            <v>8031945</v>
          </cell>
        </row>
        <row r="3503">
          <cell r="A3503">
            <v>8031946</v>
          </cell>
        </row>
        <row r="3504">
          <cell r="A3504">
            <v>8032001</v>
          </cell>
        </row>
        <row r="3505">
          <cell r="A3505">
            <v>8032002</v>
          </cell>
        </row>
        <row r="3506">
          <cell r="A3506">
            <v>8032003</v>
          </cell>
        </row>
        <row r="3507">
          <cell r="A3507">
            <v>8032004</v>
          </cell>
        </row>
        <row r="3508">
          <cell r="A3508">
            <v>8032005</v>
          </cell>
        </row>
        <row r="3509">
          <cell r="A3509">
            <v>8032006</v>
          </cell>
        </row>
        <row r="3510">
          <cell r="A3510">
            <v>8032007</v>
          </cell>
        </row>
        <row r="3511">
          <cell r="A3511">
            <v>8032008</v>
          </cell>
        </row>
        <row r="3512">
          <cell r="A3512">
            <v>8032009</v>
          </cell>
        </row>
        <row r="3513">
          <cell r="A3513">
            <v>8032010</v>
          </cell>
        </row>
        <row r="3514">
          <cell r="A3514">
            <v>8032011</v>
          </cell>
        </row>
        <row r="3515">
          <cell r="A3515">
            <v>8032012</v>
          </cell>
        </row>
        <row r="3516">
          <cell r="A3516">
            <v>8032013</v>
          </cell>
        </row>
        <row r="3517">
          <cell r="A3517">
            <v>8032014</v>
          </cell>
        </row>
        <row r="3518">
          <cell r="A3518">
            <v>8032015</v>
          </cell>
        </row>
        <row r="3519">
          <cell r="A3519">
            <v>8032016</v>
          </cell>
        </row>
        <row r="3520">
          <cell r="A3520">
            <v>8032017</v>
          </cell>
        </row>
        <row r="3521">
          <cell r="A3521">
            <v>8032019</v>
          </cell>
        </row>
        <row r="3522">
          <cell r="A3522">
            <v>8032020</v>
          </cell>
        </row>
        <row r="3523">
          <cell r="A3523">
            <v>8032021</v>
          </cell>
        </row>
        <row r="3524">
          <cell r="A3524">
            <v>8032022</v>
          </cell>
        </row>
        <row r="3525">
          <cell r="A3525">
            <v>8032023</v>
          </cell>
        </row>
        <row r="3526">
          <cell r="A3526">
            <v>8032024</v>
          </cell>
        </row>
        <row r="3527">
          <cell r="A3527">
            <v>8032025</v>
          </cell>
        </row>
        <row r="3528">
          <cell r="A3528">
            <v>8032026</v>
          </cell>
        </row>
        <row r="3529">
          <cell r="A3529">
            <v>8032027</v>
          </cell>
        </row>
        <row r="3530">
          <cell r="A3530">
            <v>8032028</v>
          </cell>
        </row>
        <row r="3531">
          <cell r="A3531">
            <v>8032029</v>
          </cell>
        </row>
        <row r="3532">
          <cell r="A3532">
            <v>8032030</v>
          </cell>
        </row>
        <row r="3533">
          <cell r="A3533">
            <v>8032031</v>
          </cell>
        </row>
        <row r="3534">
          <cell r="A3534">
            <v>8032032</v>
          </cell>
        </row>
        <row r="3535">
          <cell r="A3535">
            <v>8032033</v>
          </cell>
        </row>
        <row r="3536">
          <cell r="A3536">
            <v>8032038</v>
          </cell>
        </row>
        <row r="3537">
          <cell r="A3537">
            <v>8032039</v>
          </cell>
        </row>
        <row r="3538">
          <cell r="A3538">
            <v>8032040</v>
          </cell>
        </row>
        <row r="3539">
          <cell r="A3539">
            <v>8032041</v>
          </cell>
        </row>
        <row r="3540">
          <cell r="A3540">
            <v>8032042</v>
          </cell>
        </row>
        <row r="3541">
          <cell r="A3541">
            <v>8032043</v>
          </cell>
        </row>
        <row r="3542">
          <cell r="A3542">
            <v>8032044</v>
          </cell>
        </row>
        <row r="3543">
          <cell r="A3543">
            <v>8032045</v>
          </cell>
        </row>
        <row r="3544">
          <cell r="A3544">
            <v>8032046</v>
          </cell>
        </row>
        <row r="3545">
          <cell r="A3545">
            <v>8032047</v>
          </cell>
        </row>
        <row r="3546">
          <cell r="A3546">
            <v>8032048</v>
          </cell>
        </row>
        <row r="3547">
          <cell r="A3547">
            <v>8032049</v>
          </cell>
        </row>
        <row r="3548">
          <cell r="A3548">
            <v>8032050</v>
          </cell>
        </row>
        <row r="3549">
          <cell r="A3549">
            <v>8032051</v>
          </cell>
        </row>
        <row r="3550">
          <cell r="A3550">
            <v>8032052</v>
          </cell>
        </row>
        <row r="3551">
          <cell r="A3551">
            <v>8032053</v>
          </cell>
        </row>
        <row r="3552">
          <cell r="A3552">
            <v>8032054</v>
          </cell>
        </row>
        <row r="3553">
          <cell r="A3553">
            <v>8032101</v>
          </cell>
        </row>
        <row r="3554">
          <cell r="A3554">
            <v>8032102</v>
          </cell>
        </row>
        <row r="3555">
          <cell r="A3555">
            <v>8032103</v>
          </cell>
        </row>
        <row r="3556">
          <cell r="A3556">
            <v>8032105</v>
          </cell>
        </row>
        <row r="3557">
          <cell r="A3557">
            <v>8032106</v>
          </cell>
        </row>
        <row r="3558">
          <cell r="A3558">
            <v>8032107</v>
          </cell>
        </row>
        <row r="3559">
          <cell r="A3559">
            <v>8032108</v>
          </cell>
        </row>
        <row r="3560">
          <cell r="A3560">
            <v>8032109</v>
          </cell>
        </row>
        <row r="3561">
          <cell r="A3561">
            <v>8032110</v>
          </cell>
        </row>
        <row r="3562">
          <cell r="A3562">
            <v>8032111</v>
          </cell>
        </row>
        <row r="3563">
          <cell r="A3563">
            <v>8032112</v>
          </cell>
        </row>
        <row r="3564">
          <cell r="A3564">
            <v>8032113</v>
          </cell>
        </row>
        <row r="3565">
          <cell r="A3565">
            <v>8032114</v>
          </cell>
        </row>
        <row r="3566">
          <cell r="A3566">
            <v>8032115</v>
          </cell>
        </row>
        <row r="3567">
          <cell r="A3567">
            <v>8032116</v>
          </cell>
        </row>
        <row r="3568">
          <cell r="A3568">
            <v>8032117</v>
          </cell>
        </row>
        <row r="3569">
          <cell r="A3569">
            <v>8032118</v>
          </cell>
        </row>
        <row r="3570">
          <cell r="A3570">
            <v>8032119</v>
          </cell>
        </row>
        <row r="3571">
          <cell r="A3571">
            <v>8032120</v>
          </cell>
        </row>
        <row r="3572">
          <cell r="A3572">
            <v>8032121</v>
          </cell>
        </row>
        <row r="3573">
          <cell r="A3573">
            <v>8032122</v>
          </cell>
        </row>
        <row r="3574">
          <cell r="A3574">
            <v>8032123</v>
          </cell>
        </row>
        <row r="3575">
          <cell r="A3575">
            <v>8032124</v>
          </cell>
        </row>
        <row r="3576">
          <cell r="A3576">
            <v>8032125</v>
          </cell>
        </row>
        <row r="3577">
          <cell r="A3577">
            <v>8032126</v>
          </cell>
        </row>
        <row r="3578">
          <cell r="A3578">
            <v>8032127</v>
          </cell>
        </row>
        <row r="3579">
          <cell r="A3579">
            <v>8032128</v>
          </cell>
        </row>
        <row r="3580">
          <cell r="A3580">
            <v>8032129</v>
          </cell>
        </row>
        <row r="3581">
          <cell r="A3581">
            <v>8032130</v>
          </cell>
        </row>
        <row r="3582">
          <cell r="A3582">
            <v>8032131</v>
          </cell>
        </row>
        <row r="3583">
          <cell r="A3583">
            <v>8032132</v>
          </cell>
        </row>
        <row r="3584">
          <cell r="A3584">
            <v>8032133</v>
          </cell>
        </row>
        <row r="3585">
          <cell r="A3585">
            <v>8032134</v>
          </cell>
        </row>
        <row r="3586">
          <cell r="A3586">
            <v>8032135</v>
          </cell>
        </row>
        <row r="3587">
          <cell r="A3587">
            <v>8032136</v>
          </cell>
        </row>
        <row r="3588">
          <cell r="A3588">
            <v>8032137</v>
          </cell>
        </row>
        <row r="3589">
          <cell r="A3589">
            <v>8032138</v>
          </cell>
        </row>
        <row r="3590">
          <cell r="A3590">
            <v>8032139</v>
          </cell>
        </row>
        <row r="3591">
          <cell r="A3591">
            <v>8032140</v>
          </cell>
        </row>
        <row r="3592">
          <cell r="A3592">
            <v>8032141</v>
          </cell>
        </row>
        <row r="3593">
          <cell r="A3593">
            <v>8032142</v>
          </cell>
        </row>
        <row r="3594">
          <cell r="A3594">
            <v>8032143</v>
          </cell>
        </row>
        <row r="3595">
          <cell r="A3595">
            <v>8032145</v>
          </cell>
        </row>
        <row r="3596">
          <cell r="A3596">
            <v>8032146</v>
          </cell>
        </row>
        <row r="3597">
          <cell r="A3597">
            <v>8032147</v>
          </cell>
        </row>
        <row r="3598">
          <cell r="A3598">
            <v>8032148</v>
          </cell>
        </row>
        <row r="3599">
          <cell r="A3599">
            <v>8032149</v>
          </cell>
        </row>
        <row r="3600">
          <cell r="A3600">
            <v>8032150</v>
          </cell>
        </row>
        <row r="3601">
          <cell r="A3601">
            <v>8032151</v>
          </cell>
        </row>
        <row r="3602">
          <cell r="A3602">
            <v>8032152</v>
          </cell>
        </row>
        <row r="3603">
          <cell r="A3603">
            <v>8032154</v>
          </cell>
        </row>
        <row r="3604">
          <cell r="A3604">
            <v>8032201</v>
          </cell>
        </row>
        <row r="3605">
          <cell r="A3605">
            <v>8032202</v>
          </cell>
        </row>
        <row r="3606">
          <cell r="A3606">
            <v>8032203</v>
          </cell>
        </row>
        <row r="3607">
          <cell r="A3607">
            <v>8032204</v>
          </cell>
        </row>
        <row r="3608">
          <cell r="A3608">
            <v>8032205</v>
          </cell>
        </row>
        <row r="3609">
          <cell r="A3609">
            <v>8032206</v>
          </cell>
        </row>
        <row r="3610">
          <cell r="A3610">
            <v>8032207</v>
          </cell>
        </row>
        <row r="3611">
          <cell r="A3611">
            <v>8032208</v>
          </cell>
        </row>
        <row r="3612">
          <cell r="A3612">
            <v>8032209</v>
          </cell>
        </row>
        <row r="3613">
          <cell r="A3613">
            <v>8032210</v>
          </cell>
        </row>
        <row r="3614">
          <cell r="A3614">
            <v>8032211</v>
          </cell>
        </row>
        <row r="3615">
          <cell r="A3615">
            <v>8032212</v>
          </cell>
        </row>
        <row r="3616">
          <cell r="A3616">
            <v>8032213</v>
          </cell>
        </row>
        <row r="3617">
          <cell r="A3617">
            <v>8032214</v>
          </cell>
        </row>
        <row r="3618">
          <cell r="A3618">
            <v>8032219</v>
          </cell>
        </row>
        <row r="3619">
          <cell r="A3619">
            <v>8032220</v>
          </cell>
        </row>
        <row r="3620">
          <cell r="A3620">
            <v>8032221</v>
          </cell>
        </row>
        <row r="3621">
          <cell r="A3621">
            <v>8032226</v>
          </cell>
        </row>
        <row r="3622">
          <cell r="A3622">
            <v>8032227</v>
          </cell>
        </row>
        <row r="3623">
          <cell r="A3623">
            <v>8032228</v>
          </cell>
        </row>
        <row r="3624">
          <cell r="A3624">
            <v>8032229</v>
          </cell>
        </row>
        <row r="3625">
          <cell r="A3625">
            <v>8032230</v>
          </cell>
        </row>
        <row r="3626">
          <cell r="A3626">
            <v>8032231</v>
          </cell>
        </row>
        <row r="3627">
          <cell r="A3627">
            <v>8032232</v>
          </cell>
        </row>
        <row r="3628">
          <cell r="A3628">
            <v>8032233</v>
          </cell>
        </row>
        <row r="3629">
          <cell r="A3629">
            <v>8032234</v>
          </cell>
        </row>
        <row r="3630">
          <cell r="A3630">
            <v>8032235</v>
          </cell>
        </row>
        <row r="3631">
          <cell r="A3631">
            <v>8032236</v>
          </cell>
        </row>
        <row r="3632">
          <cell r="A3632">
            <v>8032237</v>
          </cell>
        </row>
        <row r="3633">
          <cell r="A3633">
            <v>8032238</v>
          </cell>
        </row>
        <row r="3634">
          <cell r="A3634">
            <v>8032239</v>
          </cell>
        </row>
        <row r="3635">
          <cell r="A3635">
            <v>8032240</v>
          </cell>
        </row>
        <row r="3636">
          <cell r="A3636">
            <v>8032241</v>
          </cell>
        </row>
        <row r="3637">
          <cell r="A3637">
            <v>8032242</v>
          </cell>
        </row>
        <row r="3638">
          <cell r="A3638">
            <v>8032243</v>
          </cell>
        </row>
        <row r="3639">
          <cell r="A3639">
            <v>8032244</v>
          </cell>
        </row>
        <row r="3640">
          <cell r="A3640">
            <v>8032245</v>
          </cell>
        </row>
        <row r="3641">
          <cell r="A3641">
            <v>8032248</v>
          </cell>
        </row>
        <row r="3642">
          <cell r="A3642">
            <v>8032249</v>
          </cell>
        </row>
        <row r="3643">
          <cell r="A3643">
            <v>8032250</v>
          </cell>
        </row>
        <row r="3644">
          <cell r="A3644">
            <v>8032251</v>
          </cell>
        </row>
        <row r="3645">
          <cell r="A3645">
            <v>8032252</v>
          </cell>
        </row>
        <row r="3646">
          <cell r="A3646">
            <v>8032253</v>
          </cell>
        </row>
        <row r="3647">
          <cell r="A3647">
            <v>8032254</v>
          </cell>
        </row>
        <row r="3648">
          <cell r="A3648">
            <v>8032255</v>
          </cell>
        </row>
        <row r="3649">
          <cell r="A3649">
            <v>8032256</v>
          </cell>
        </row>
        <row r="3650">
          <cell r="A3650">
            <v>8032303</v>
          </cell>
        </row>
        <row r="3651">
          <cell r="A3651">
            <v>8032304</v>
          </cell>
        </row>
        <row r="3652">
          <cell r="A3652">
            <v>8032305</v>
          </cell>
        </row>
        <row r="3653">
          <cell r="A3653">
            <v>8032306</v>
          </cell>
        </row>
        <row r="3654">
          <cell r="A3654">
            <v>8032307</v>
          </cell>
        </row>
        <row r="3655">
          <cell r="A3655">
            <v>8032308</v>
          </cell>
        </row>
        <row r="3656">
          <cell r="A3656">
            <v>8032309</v>
          </cell>
        </row>
        <row r="3657">
          <cell r="A3657">
            <v>8032310</v>
          </cell>
        </row>
        <row r="3658">
          <cell r="A3658">
            <v>8032312</v>
          </cell>
        </row>
        <row r="3659">
          <cell r="A3659">
            <v>8032313</v>
          </cell>
        </row>
        <row r="3660">
          <cell r="A3660">
            <v>8032314</v>
          </cell>
        </row>
        <row r="3661">
          <cell r="A3661">
            <v>8032401</v>
          </cell>
        </row>
        <row r="3662">
          <cell r="A3662">
            <v>8032402</v>
          </cell>
        </row>
        <row r="3663">
          <cell r="A3663">
            <v>8032403</v>
          </cell>
        </row>
        <row r="3664">
          <cell r="A3664">
            <v>8032404</v>
          </cell>
        </row>
        <row r="3665">
          <cell r="A3665">
            <v>8032405</v>
          </cell>
        </row>
        <row r="3666">
          <cell r="A3666">
            <v>8032406</v>
          </cell>
        </row>
        <row r="3667">
          <cell r="A3667">
            <v>8032407</v>
          </cell>
        </row>
        <row r="3668">
          <cell r="A3668">
            <v>8032408</v>
          </cell>
        </row>
        <row r="3669">
          <cell r="A3669">
            <v>8032409</v>
          </cell>
        </row>
        <row r="3670">
          <cell r="A3670">
            <v>8032410</v>
          </cell>
        </row>
        <row r="3671">
          <cell r="A3671">
            <v>8032411</v>
          </cell>
        </row>
        <row r="3672">
          <cell r="A3672">
            <v>8032412</v>
          </cell>
        </row>
        <row r="3673">
          <cell r="A3673">
            <v>8032413</v>
          </cell>
        </row>
        <row r="3674">
          <cell r="A3674">
            <v>8032414</v>
          </cell>
        </row>
        <row r="3675">
          <cell r="A3675">
            <v>8032415</v>
          </cell>
        </row>
        <row r="3676">
          <cell r="A3676">
            <v>8032416</v>
          </cell>
        </row>
        <row r="3677">
          <cell r="A3677">
            <v>8032417</v>
          </cell>
        </row>
        <row r="3678">
          <cell r="A3678">
            <v>8032418</v>
          </cell>
        </row>
        <row r="3679">
          <cell r="A3679">
            <v>8032419</v>
          </cell>
        </row>
        <row r="3680">
          <cell r="A3680">
            <v>8032420</v>
          </cell>
        </row>
        <row r="3681">
          <cell r="A3681">
            <v>8032421</v>
          </cell>
        </row>
        <row r="3682">
          <cell r="A3682">
            <v>8032422</v>
          </cell>
        </row>
        <row r="3683">
          <cell r="A3683">
            <v>8032423</v>
          </cell>
        </row>
        <row r="3684">
          <cell r="A3684">
            <v>8032424</v>
          </cell>
        </row>
        <row r="3685">
          <cell r="A3685">
            <v>8032425</v>
          </cell>
        </row>
        <row r="3686">
          <cell r="A3686">
            <v>8032426</v>
          </cell>
        </row>
        <row r="3687">
          <cell r="A3687">
            <v>8032427</v>
          </cell>
        </row>
        <row r="3688">
          <cell r="A3688">
            <v>8032428</v>
          </cell>
        </row>
        <row r="3689">
          <cell r="A3689">
            <v>8032429</v>
          </cell>
        </row>
        <row r="3690">
          <cell r="A3690">
            <v>8032430</v>
          </cell>
        </row>
        <row r="3691">
          <cell r="A3691">
            <v>8032431</v>
          </cell>
        </row>
        <row r="3692">
          <cell r="A3692">
            <v>8032432</v>
          </cell>
        </row>
        <row r="3693">
          <cell r="A3693">
            <v>8032433</v>
          </cell>
        </row>
        <row r="3694">
          <cell r="A3694">
            <v>8032434</v>
          </cell>
        </row>
        <row r="3695">
          <cell r="A3695">
            <v>8032435</v>
          </cell>
        </row>
        <row r="3696">
          <cell r="A3696">
            <v>8032436</v>
          </cell>
        </row>
        <row r="3697">
          <cell r="A3697">
            <v>8032448</v>
          </cell>
        </row>
        <row r="3698">
          <cell r="A3698">
            <v>8032449</v>
          </cell>
        </row>
        <row r="3699">
          <cell r="A3699">
            <v>8032450</v>
          </cell>
        </row>
        <row r="3700">
          <cell r="A3700">
            <v>8032451</v>
          </cell>
        </row>
        <row r="3701">
          <cell r="A3701">
            <v>8032452</v>
          </cell>
        </row>
        <row r="3702">
          <cell r="A3702">
            <v>8032453</v>
          </cell>
        </row>
        <row r="3703">
          <cell r="A3703">
            <v>8032454</v>
          </cell>
        </row>
        <row r="3704">
          <cell r="A3704">
            <v>8032455</v>
          </cell>
        </row>
        <row r="3705">
          <cell r="A3705">
            <v>8032456</v>
          </cell>
        </row>
        <row r="3706">
          <cell r="A3706">
            <v>8032457</v>
          </cell>
        </row>
        <row r="3707">
          <cell r="A3707">
            <v>8032458</v>
          </cell>
        </row>
        <row r="3708">
          <cell r="A3708">
            <v>8032501</v>
          </cell>
        </row>
        <row r="3709">
          <cell r="A3709">
            <v>8032502</v>
          </cell>
        </row>
        <row r="3710">
          <cell r="A3710">
            <v>8032503</v>
          </cell>
        </row>
        <row r="3711">
          <cell r="A3711">
            <v>8032504</v>
          </cell>
        </row>
        <row r="3712">
          <cell r="A3712">
            <v>8032505</v>
          </cell>
        </row>
        <row r="3713">
          <cell r="A3713">
            <v>8032506</v>
          </cell>
        </row>
        <row r="3714">
          <cell r="A3714">
            <v>8032507</v>
          </cell>
        </row>
        <row r="3715">
          <cell r="A3715">
            <v>8032508</v>
          </cell>
        </row>
        <row r="3716">
          <cell r="A3716">
            <v>8032509</v>
          </cell>
        </row>
        <row r="3717">
          <cell r="A3717">
            <v>8032510</v>
          </cell>
        </row>
        <row r="3718">
          <cell r="A3718">
            <v>8032511</v>
          </cell>
        </row>
        <row r="3719">
          <cell r="A3719">
            <v>8032512</v>
          </cell>
        </row>
        <row r="3720">
          <cell r="A3720">
            <v>8032513</v>
          </cell>
        </row>
        <row r="3721">
          <cell r="A3721">
            <v>8032514</v>
          </cell>
        </row>
        <row r="3722">
          <cell r="A3722">
            <v>8032515</v>
          </cell>
        </row>
        <row r="3723">
          <cell r="A3723">
            <v>8032516</v>
          </cell>
        </row>
        <row r="3724">
          <cell r="A3724">
            <v>8032517</v>
          </cell>
        </row>
        <row r="3725">
          <cell r="A3725">
            <v>8032518</v>
          </cell>
        </row>
        <row r="3726">
          <cell r="A3726">
            <v>8032519</v>
          </cell>
        </row>
        <row r="3727">
          <cell r="A3727">
            <v>8032520</v>
          </cell>
        </row>
        <row r="3728">
          <cell r="A3728">
            <v>8032521</v>
          </cell>
        </row>
        <row r="3729">
          <cell r="A3729">
            <v>8032522</v>
          </cell>
        </row>
        <row r="3730">
          <cell r="A3730">
            <v>8032523</v>
          </cell>
        </row>
        <row r="3731">
          <cell r="A3731">
            <v>8032524</v>
          </cell>
        </row>
        <row r="3732">
          <cell r="A3732">
            <v>8032525</v>
          </cell>
        </row>
        <row r="3733">
          <cell r="A3733">
            <v>8032526</v>
          </cell>
        </row>
        <row r="3734">
          <cell r="A3734">
            <v>8032527</v>
          </cell>
        </row>
        <row r="3735">
          <cell r="A3735">
            <v>8032528</v>
          </cell>
        </row>
        <row r="3736">
          <cell r="A3736">
            <v>8032529</v>
          </cell>
        </row>
        <row r="3737">
          <cell r="A3737">
            <v>8032530</v>
          </cell>
        </row>
        <row r="3738">
          <cell r="A3738">
            <v>8032532</v>
          </cell>
        </row>
        <row r="3739">
          <cell r="A3739">
            <v>8032533</v>
          </cell>
        </row>
        <row r="3740">
          <cell r="A3740">
            <v>8032537</v>
          </cell>
        </row>
        <row r="3741">
          <cell r="A3741">
            <v>8032538</v>
          </cell>
        </row>
        <row r="3742">
          <cell r="A3742">
            <v>8032539</v>
          </cell>
        </row>
        <row r="3743">
          <cell r="A3743">
            <v>8032540</v>
          </cell>
        </row>
        <row r="3744">
          <cell r="A3744">
            <v>8032541</v>
          </cell>
        </row>
        <row r="3745">
          <cell r="A3745">
            <v>8032546</v>
          </cell>
        </row>
        <row r="3746">
          <cell r="A3746">
            <v>8032547</v>
          </cell>
        </row>
        <row r="3747">
          <cell r="A3747">
            <v>8032548</v>
          </cell>
        </row>
        <row r="3748">
          <cell r="A3748">
            <v>8032549</v>
          </cell>
        </row>
        <row r="3749">
          <cell r="A3749">
            <v>8032601</v>
          </cell>
        </row>
        <row r="3750">
          <cell r="A3750">
            <v>8032602</v>
          </cell>
        </row>
        <row r="3751">
          <cell r="A3751">
            <v>8032603</v>
          </cell>
        </row>
        <row r="3752">
          <cell r="A3752">
            <v>8032604</v>
          </cell>
        </row>
        <row r="3753">
          <cell r="A3753">
            <v>8032605</v>
          </cell>
        </row>
        <row r="3754">
          <cell r="A3754">
            <v>8032606</v>
          </cell>
        </row>
        <row r="3755">
          <cell r="A3755">
            <v>8032607</v>
          </cell>
        </row>
        <row r="3756">
          <cell r="A3756">
            <v>8032608</v>
          </cell>
        </row>
        <row r="3757">
          <cell r="A3757">
            <v>8032609</v>
          </cell>
        </row>
        <row r="3758">
          <cell r="A3758">
            <v>8032610</v>
          </cell>
        </row>
        <row r="3759">
          <cell r="A3759">
            <v>8032611</v>
          </cell>
        </row>
        <row r="3760">
          <cell r="A3760">
            <v>8032612</v>
          </cell>
        </row>
        <row r="3761">
          <cell r="A3761">
            <v>8032613</v>
          </cell>
        </row>
        <row r="3762">
          <cell r="A3762">
            <v>8032614</v>
          </cell>
        </row>
        <row r="3763">
          <cell r="A3763">
            <v>8032615</v>
          </cell>
        </row>
        <row r="3764">
          <cell r="A3764">
            <v>8032616</v>
          </cell>
        </row>
        <row r="3765">
          <cell r="A3765">
            <v>8032617</v>
          </cell>
        </row>
        <row r="3766">
          <cell r="A3766">
            <v>8032618</v>
          </cell>
        </row>
        <row r="3767">
          <cell r="A3767">
            <v>8032619</v>
          </cell>
        </row>
        <row r="3768">
          <cell r="A3768">
            <v>8032620</v>
          </cell>
        </row>
        <row r="3769">
          <cell r="A3769">
            <v>8032621</v>
          </cell>
        </row>
        <row r="3770">
          <cell r="A3770">
            <v>8032632</v>
          </cell>
        </row>
        <row r="3771">
          <cell r="A3771">
            <v>8032633</v>
          </cell>
        </row>
        <row r="3772">
          <cell r="A3772">
            <v>8032634</v>
          </cell>
        </row>
        <row r="3773">
          <cell r="A3773">
            <v>8032635</v>
          </cell>
        </row>
        <row r="3774">
          <cell r="A3774">
            <v>8032636</v>
          </cell>
        </row>
        <row r="3775">
          <cell r="A3775">
            <v>8032637</v>
          </cell>
        </row>
        <row r="3776">
          <cell r="A3776">
            <v>8032638</v>
          </cell>
        </row>
        <row r="3777">
          <cell r="A3777">
            <v>8032639</v>
          </cell>
        </row>
        <row r="3778">
          <cell r="A3778">
            <v>8032640</v>
          </cell>
        </row>
        <row r="3779">
          <cell r="A3779">
            <v>8032641</v>
          </cell>
        </row>
        <row r="3780">
          <cell r="A3780">
            <v>8032642</v>
          </cell>
        </row>
        <row r="3781">
          <cell r="A3781">
            <v>8032643</v>
          </cell>
        </row>
        <row r="3782">
          <cell r="A3782">
            <v>8032644</v>
          </cell>
        </row>
        <row r="3783">
          <cell r="A3783">
            <v>8032645</v>
          </cell>
        </row>
        <row r="3784">
          <cell r="A3784">
            <v>8032646</v>
          </cell>
        </row>
        <row r="3785">
          <cell r="A3785">
            <v>8032647</v>
          </cell>
        </row>
        <row r="3786">
          <cell r="A3786">
            <v>8032648</v>
          </cell>
        </row>
        <row r="3787">
          <cell r="A3787">
            <v>8032649</v>
          </cell>
        </row>
        <row r="3788">
          <cell r="A3788">
            <v>8032650</v>
          </cell>
        </row>
        <row r="3789">
          <cell r="A3789">
            <v>8032651</v>
          </cell>
        </row>
        <row r="3790">
          <cell r="A3790">
            <v>8032652</v>
          </cell>
        </row>
        <row r="3791">
          <cell r="A3791">
            <v>8032653</v>
          </cell>
        </row>
        <row r="3792">
          <cell r="A3792">
            <v>8032701</v>
          </cell>
        </row>
        <row r="3793">
          <cell r="A3793">
            <v>8032702</v>
          </cell>
        </row>
        <row r="3794">
          <cell r="A3794">
            <v>8032703</v>
          </cell>
        </row>
        <row r="3795">
          <cell r="A3795">
            <v>8032704</v>
          </cell>
        </row>
        <row r="3796">
          <cell r="A3796">
            <v>8032705</v>
          </cell>
        </row>
        <row r="3797">
          <cell r="A3797">
            <v>8032706</v>
          </cell>
        </row>
        <row r="3798">
          <cell r="A3798">
            <v>8032707</v>
          </cell>
        </row>
        <row r="3799">
          <cell r="A3799">
            <v>8032708</v>
          </cell>
        </row>
        <row r="3800">
          <cell r="A3800">
            <v>8032709</v>
          </cell>
        </row>
        <row r="3801">
          <cell r="A3801">
            <v>8032710</v>
          </cell>
        </row>
        <row r="3802">
          <cell r="A3802">
            <v>8032711</v>
          </cell>
        </row>
        <row r="3803">
          <cell r="A3803">
            <v>8032712</v>
          </cell>
        </row>
        <row r="3804">
          <cell r="A3804">
            <v>8032713</v>
          </cell>
        </row>
        <row r="3805">
          <cell r="A3805">
            <v>8032714</v>
          </cell>
        </row>
        <row r="3806">
          <cell r="A3806">
            <v>8032715</v>
          </cell>
        </row>
        <row r="3807">
          <cell r="A3807">
            <v>8032716</v>
          </cell>
        </row>
        <row r="3808">
          <cell r="A3808">
            <v>8032717</v>
          </cell>
        </row>
        <row r="3809">
          <cell r="A3809">
            <v>8032718</v>
          </cell>
        </row>
        <row r="3810">
          <cell r="A3810">
            <v>8032719</v>
          </cell>
        </row>
        <row r="3811">
          <cell r="A3811">
            <v>8032720</v>
          </cell>
        </row>
        <row r="3812">
          <cell r="A3812">
            <v>8032721</v>
          </cell>
        </row>
        <row r="3813">
          <cell r="A3813">
            <v>8032722</v>
          </cell>
        </row>
        <row r="3814">
          <cell r="A3814">
            <v>8032723</v>
          </cell>
        </row>
        <row r="3815">
          <cell r="A3815">
            <v>8032728</v>
          </cell>
        </row>
        <row r="3816">
          <cell r="A3816">
            <v>8032729</v>
          </cell>
        </row>
        <row r="3817">
          <cell r="A3817">
            <v>8032730</v>
          </cell>
        </row>
        <row r="3818">
          <cell r="A3818">
            <v>8032731</v>
          </cell>
        </row>
        <row r="3819">
          <cell r="A3819">
            <v>8032732</v>
          </cell>
        </row>
        <row r="3820">
          <cell r="A3820">
            <v>8032733</v>
          </cell>
        </row>
        <row r="3821">
          <cell r="A3821">
            <v>8032734</v>
          </cell>
        </row>
        <row r="3822">
          <cell r="A3822">
            <v>8032735</v>
          </cell>
        </row>
        <row r="3823">
          <cell r="A3823">
            <v>8032736</v>
          </cell>
        </row>
        <row r="3824">
          <cell r="A3824">
            <v>8032737</v>
          </cell>
        </row>
        <row r="3825">
          <cell r="A3825">
            <v>8032738</v>
          </cell>
        </row>
        <row r="3826">
          <cell r="A3826">
            <v>8032739</v>
          </cell>
        </row>
        <row r="3827">
          <cell r="A3827">
            <v>8032741</v>
          </cell>
        </row>
        <row r="3828">
          <cell r="A3828">
            <v>8032742</v>
          </cell>
        </row>
        <row r="3829">
          <cell r="A3829">
            <v>8032743</v>
          </cell>
        </row>
        <row r="3830">
          <cell r="A3830">
            <v>8032744</v>
          </cell>
        </row>
        <row r="3831">
          <cell r="A3831">
            <v>8032745</v>
          </cell>
        </row>
        <row r="3832">
          <cell r="A3832">
            <v>8032746</v>
          </cell>
        </row>
        <row r="3833">
          <cell r="A3833">
            <v>8032747</v>
          </cell>
        </row>
        <row r="3834">
          <cell r="A3834">
            <v>8032748</v>
          </cell>
        </row>
        <row r="3835">
          <cell r="A3835">
            <v>8032749</v>
          </cell>
        </row>
        <row r="3836">
          <cell r="A3836">
            <v>8032750</v>
          </cell>
        </row>
        <row r="3837">
          <cell r="A3837">
            <v>8032801</v>
          </cell>
        </row>
        <row r="3838">
          <cell r="A3838">
            <v>8032802</v>
          </cell>
        </row>
        <row r="3839">
          <cell r="A3839">
            <v>8032803</v>
          </cell>
        </row>
        <row r="3840">
          <cell r="A3840">
            <v>8032804</v>
          </cell>
        </row>
        <row r="3841">
          <cell r="A3841">
            <v>8032805</v>
          </cell>
        </row>
        <row r="3842">
          <cell r="A3842">
            <v>8032806</v>
          </cell>
        </row>
        <row r="3843">
          <cell r="A3843">
            <v>8032807</v>
          </cell>
        </row>
        <row r="3844">
          <cell r="A3844">
            <v>8032808</v>
          </cell>
        </row>
        <row r="3845">
          <cell r="A3845">
            <v>8032809</v>
          </cell>
        </row>
        <row r="3846">
          <cell r="A3846">
            <v>8032810</v>
          </cell>
        </row>
        <row r="3847">
          <cell r="A3847">
            <v>8032811</v>
          </cell>
        </row>
        <row r="3848">
          <cell r="A3848">
            <v>8032814</v>
          </cell>
        </row>
        <row r="3849">
          <cell r="A3849">
            <v>8032815</v>
          </cell>
        </row>
        <row r="3850">
          <cell r="A3850">
            <v>8032816</v>
          </cell>
        </row>
        <row r="3851">
          <cell r="A3851">
            <v>8032817</v>
          </cell>
        </row>
        <row r="3852">
          <cell r="A3852">
            <v>8032818</v>
          </cell>
        </row>
        <row r="3853">
          <cell r="A3853">
            <v>8032819</v>
          </cell>
        </row>
        <row r="3854">
          <cell r="A3854">
            <v>8032820</v>
          </cell>
        </row>
        <row r="3855">
          <cell r="A3855">
            <v>8032821</v>
          </cell>
        </row>
        <row r="3856">
          <cell r="A3856">
            <v>8032822</v>
          </cell>
        </row>
        <row r="3857">
          <cell r="A3857">
            <v>8032823</v>
          </cell>
        </row>
        <row r="3858">
          <cell r="A3858">
            <v>8032833</v>
          </cell>
        </row>
        <row r="3859">
          <cell r="A3859">
            <v>8032834</v>
          </cell>
        </row>
        <row r="3860">
          <cell r="A3860">
            <v>8032835</v>
          </cell>
        </row>
        <row r="3861">
          <cell r="A3861">
            <v>8032836</v>
          </cell>
        </row>
        <row r="3862">
          <cell r="A3862">
            <v>8032837</v>
          </cell>
        </row>
        <row r="3863">
          <cell r="A3863">
            <v>8032838</v>
          </cell>
        </row>
        <row r="3864">
          <cell r="A3864">
            <v>8032839</v>
          </cell>
        </row>
        <row r="3865">
          <cell r="A3865">
            <v>8032840</v>
          </cell>
        </row>
        <row r="3866">
          <cell r="A3866">
            <v>8032841</v>
          </cell>
        </row>
        <row r="3867">
          <cell r="A3867">
            <v>8032842</v>
          </cell>
        </row>
        <row r="3868">
          <cell r="A3868">
            <v>8032843</v>
          </cell>
        </row>
        <row r="3869">
          <cell r="A3869">
            <v>8032844</v>
          </cell>
        </row>
        <row r="3870">
          <cell r="A3870">
            <v>8032845</v>
          </cell>
        </row>
        <row r="3871">
          <cell r="A3871">
            <v>8032846</v>
          </cell>
        </row>
        <row r="3872">
          <cell r="A3872">
            <v>8032847</v>
          </cell>
        </row>
        <row r="3873">
          <cell r="A3873">
            <v>8032848</v>
          </cell>
        </row>
        <row r="3874">
          <cell r="A3874">
            <v>8032849</v>
          </cell>
        </row>
        <row r="3875">
          <cell r="A3875">
            <v>8032850</v>
          </cell>
        </row>
        <row r="3876">
          <cell r="A3876">
            <v>8032901</v>
          </cell>
        </row>
        <row r="3877">
          <cell r="A3877">
            <v>8032902</v>
          </cell>
        </row>
        <row r="3878">
          <cell r="A3878">
            <v>8032903</v>
          </cell>
        </row>
        <row r="3879">
          <cell r="A3879">
            <v>8032904</v>
          </cell>
        </row>
        <row r="3880">
          <cell r="A3880">
            <v>8032905</v>
          </cell>
        </row>
        <row r="3881">
          <cell r="A3881">
            <v>8032906</v>
          </cell>
        </row>
        <row r="3882">
          <cell r="A3882">
            <v>8032907</v>
          </cell>
        </row>
        <row r="3883">
          <cell r="A3883">
            <v>8032908</v>
          </cell>
        </row>
        <row r="3884">
          <cell r="A3884">
            <v>8032909</v>
          </cell>
        </row>
        <row r="3885">
          <cell r="A3885">
            <v>8032910</v>
          </cell>
        </row>
        <row r="3886">
          <cell r="A3886">
            <v>8032911</v>
          </cell>
        </row>
        <row r="3887">
          <cell r="A3887">
            <v>8032912</v>
          </cell>
        </row>
        <row r="3888">
          <cell r="A3888">
            <v>8032913</v>
          </cell>
        </row>
        <row r="3889">
          <cell r="A3889">
            <v>8032914</v>
          </cell>
        </row>
        <row r="3890">
          <cell r="A3890">
            <v>8032915</v>
          </cell>
        </row>
        <row r="3891">
          <cell r="A3891">
            <v>8032916</v>
          </cell>
        </row>
        <row r="3892">
          <cell r="A3892">
            <v>8032917</v>
          </cell>
        </row>
        <row r="3893">
          <cell r="A3893">
            <v>8032918</v>
          </cell>
        </row>
        <row r="3894">
          <cell r="A3894">
            <v>8032919</v>
          </cell>
        </row>
        <row r="3895">
          <cell r="A3895">
            <v>8032920</v>
          </cell>
        </row>
        <row r="3896">
          <cell r="A3896">
            <v>8032924</v>
          </cell>
        </row>
        <row r="3897">
          <cell r="A3897">
            <v>8032925</v>
          </cell>
        </row>
        <row r="3898">
          <cell r="A3898">
            <v>8032937</v>
          </cell>
        </row>
        <row r="3899">
          <cell r="A3899">
            <v>8032942</v>
          </cell>
        </row>
        <row r="3900">
          <cell r="A3900">
            <v>8033001</v>
          </cell>
        </row>
        <row r="3901">
          <cell r="A3901">
            <v>8033002</v>
          </cell>
        </row>
        <row r="3902">
          <cell r="A3902">
            <v>8033003</v>
          </cell>
        </row>
        <row r="3903">
          <cell r="A3903">
            <v>8033004</v>
          </cell>
        </row>
        <row r="3904">
          <cell r="A3904">
            <v>8033005</v>
          </cell>
        </row>
        <row r="3905">
          <cell r="A3905">
            <v>8033006</v>
          </cell>
        </row>
        <row r="3906">
          <cell r="A3906">
            <v>8033007</v>
          </cell>
        </row>
        <row r="3907">
          <cell r="A3907">
            <v>8033008</v>
          </cell>
        </row>
        <row r="3908">
          <cell r="A3908">
            <v>8033009</v>
          </cell>
        </row>
        <row r="3909">
          <cell r="A3909">
            <v>8033010</v>
          </cell>
        </row>
        <row r="3910">
          <cell r="A3910">
            <v>8033011</v>
          </cell>
        </row>
        <row r="3911">
          <cell r="A3911">
            <v>8033012</v>
          </cell>
        </row>
        <row r="3912">
          <cell r="A3912">
            <v>8033101</v>
          </cell>
        </row>
        <row r="3913">
          <cell r="A3913">
            <v>8033102</v>
          </cell>
        </row>
        <row r="3914">
          <cell r="A3914">
            <v>8033103</v>
          </cell>
        </row>
        <row r="3915">
          <cell r="A3915">
            <v>8033104</v>
          </cell>
        </row>
        <row r="3916">
          <cell r="A3916">
            <v>8033105</v>
          </cell>
        </row>
        <row r="3917">
          <cell r="A3917">
            <v>8033106</v>
          </cell>
        </row>
        <row r="3918">
          <cell r="A3918">
            <v>8033107</v>
          </cell>
        </row>
        <row r="3919">
          <cell r="A3919">
            <v>8033108</v>
          </cell>
        </row>
        <row r="3920">
          <cell r="A3920">
            <v>8033109</v>
          </cell>
        </row>
        <row r="3921">
          <cell r="A3921">
            <v>8033110</v>
          </cell>
        </row>
        <row r="3922">
          <cell r="A3922">
            <v>8033111</v>
          </cell>
        </row>
        <row r="3923">
          <cell r="A3923">
            <v>8033112</v>
          </cell>
        </row>
        <row r="3924">
          <cell r="A3924">
            <v>8033113</v>
          </cell>
        </row>
        <row r="3925">
          <cell r="A3925">
            <v>8033114</v>
          </cell>
        </row>
        <row r="3926">
          <cell r="A3926">
            <v>8033115</v>
          </cell>
        </row>
        <row r="3927">
          <cell r="A3927">
            <v>8033116</v>
          </cell>
        </row>
        <row r="3928">
          <cell r="A3928">
            <v>8033117</v>
          </cell>
        </row>
        <row r="3929">
          <cell r="A3929">
            <v>8033118</v>
          </cell>
        </row>
        <row r="3930">
          <cell r="A3930">
            <v>8033119</v>
          </cell>
        </row>
        <row r="3931">
          <cell r="A3931">
            <v>8033120</v>
          </cell>
        </row>
        <row r="3932">
          <cell r="A3932">
            <v>8033121</v>
          </cell>
        </row>
        <row r="3933">
          <cell r="A3933">
            <v>8033122</v>
          </cell>
        </row>
        <row r="3934">
          <cell r="A3934">
            <v>8040101</v>
          </cell>
        </row>
        <row r="3935">
          <cell r="A3935">
            <v>8040102</v>
          </cell>
        </row>
        <row r="3936">
          <cell r="A3936">
            <v>8040103</v>
          </cell>
        </row>
        <row r="3937">
          <cell r="A3937">
            <v>8040104</v>
          </cell>
        </row>
        <row r="3938">
          <cell r="A3938">
            <v>8040105</v>
          </cell>
        </row>
        <row r="3939">
          <cell r="A3939">
            <v>8040106</v>
          </cell>
        </row>
        <row r="3940">
          <cell r="A3940">
            <v>8040107</v>
          </cell>
        </row>
        <row r="3941">
          <cell r="A3941">
            <v>8040108</v>
          </cell>
        </row>
        <row r="3942">
          <cell r="A3942">
            <v>8040109</v>
          </cell>
        </row>
        <row r="3943">
          <cell r="A3943">
            <v>8040110</v>
          </cell>
        </row>
        <row r="3944">
          <cell r="A3944">
            <v>8040111</v>
          </cell>
        </row>
        <row r="3945">
          <cell r="A3945">
            <v>8040112</v>
          </cell>
        </row>
        <row r="3946">
          <cell r="A3946">
            <v>8040113</v>
          </cell>
        </row>
        <row r="3947">
          <cell r="A3947">
            <v>8040114</v>
          </cell>
        </row>
        <row r="3948">
          <cell r="A3948">
            <v>8040115</v>
          </cell>
        </row>
        <row r="3949">
          <cell r="A3949">
            <v>8040116</v>
          </cell>
        </row>
        <row r="3950">
          <cell r="A3950">
            <v>8040117</v>
          </cell>
        </row>
        <row r="3951">
          <cell r="A3951">
            <v>8040118</v>
          </cell>
        </row>
        <row r="3952">
          <cell r="A3952">
            <v>8040119</v>
          </cell>
        </row>
        <row r="3953">
          <cell r="A3953">
            <v>8040120</v>
          </cell>
        </row>
        <row r="3954">
          <cell r="A3954">
            <v>8040131</v>
          </cell>
        </row>
        <row r="3955">
          <cell r="A3955">
            <v>8040132</v>
          </cell>
        </row>
        <row r="3956">
          <cell r="A3956">
            <v>8040133</v>
          </cell>
        </row>
        <row r="3957">
          <cell r="A3957">
            <v>8040134</v>
          </cell>
        </row>
        <row r="3958">
          <cell r="A3958">
            <v>8040135</v>
          </cell>
        </row>
        <row r="3959">
          <cell r="A3959">
            <v>8040136</v>
          </cell>
        </row>
        <row r="3960">
          <cell r="A3960">
            <v>8040137</v>
          </cell>
        </row>
        <row r="3961">
          <cell r="A3961">
            <v>8040138</v>
          </cell>
        </row>
        <row r="3962">
          <cell r="A3962">
            <v>8040140</v>
          </cell>
        </row>
        <row r="3963">
          <cell r="A3963">
            <v>8040141</v>
          </cell>
        </row>
        <row r="3964">
          <cell r="A3964">
            <v>8040201</v>
          </cell>
        </row>
        <row r="3965">
          <cell r="A3965">
            <v>8040202</v>
          </cell>
        </row>
        <row r="3966">
          <cell r="A3966">
            <v>8040203</v>
          </cell>
        </row>
        <row r="3967">
          <cell r="A3967">
            <v>8040204</v>
          </cell>
        </row>
        <row r="3968">
          <cell r="A3968">
            <v>8040205</v>
          </cell>
        </row>
        <row r="3969">
          <cell r="A3969">
            <v>8040206</v>
          </cell>
        </row>
        <row r="3970">
          <cell r="A3970">
            <v>8040207</v>
          </cell>
        </row>
        <row r="3971">
          <cell r="A3971">
            <v>8040208</v>
          </cell>
        </row>
        <row r="3972">
          <cell r="A3972">
            <v>8040209</v>
          </cell>
        </row>
        <row r="3973">
          <cell r="A3973">
            <v>8040210</v>
          </cell>
        </row>
        <row r="3974">
          <cell r="A3974">
            <v>8040211</v>
          </cell>
        </row>
        <row r="3975">
          <cell r="A3975">
            <v>8040212</v>
          </cell>
        </row>
        <row r="3976">
          <cell r="A3976">
            <v>8040213</v>
          </cell>
        </row>
        <row r="3977">
          <cell r="A3977">
            <v>8040214</v>
          </cell>
        </row>
        <row r="3978">
          <cell r="A3978">
            <v>8040215</v>
          </cell>
        </row>
        <row r="3979">
          <cell r="A3979">
            <v>8040216</v>
          </cell>
        </row>
        <row r="3980">
          <cell r="A3980">
            <v>8040217</v>
          </cell>
        </row>
        <row r="3981">
          <cell r="A3981">
            <v>8040218</v>
          </cell>
        </row>
        <row r="3982">
          <cell r="A3982">
            <v>8040219</v>
          </cell>
        </row>
        <row r="3983">
          <cell r="A3983">
            <v>8040220</v>
          </cell>
        </row>
        <row r="3984">
          <cell r="A3984">
            <v>8040221</v>
          </cell>
        </row>
        <row r="3985">
          <cell r="A3985">
            <v>8040222</v>
          </cell>
        </row>
        <row r="3986">
          <cell r="A3986">
            <v>8040228</v>
          </cell>
        </row>
        <row r="3987">
          <cell r="A3987">
            <v>8040229</v>
          </cell>
        </row>
        <row r="3988">
          <cell r="A3988">
            <v>8040230</v>
          </cell>
        </row>
        <row r="3989">
          <cell r="A3989">
            <v>8040231</v>
          </cell>
        </row>
        <row r="3990">
          <cell r="A3990">
            <v>8040232</v>
          </cell>
        </row>
        <row r="3991">
          <cell r="A3991">
            <v>8040233</v>
          </cell>
        </row>
        <row r="3992">
          <cell r="A3992">
            <v>8040234</v>
          </cell>
        </row>
        <row r="3993">
          <cell r="A3993">
            <v>8040235</v>
          </cell>
        </row>
        <row r="3994">
          <cell r="A3994">
            <v>8040236</v>
          </cell>
        </row>
        <row r="3995">
          <cell r="A3995">
            <v>8040237</v>
          </cell>
        </row>
        <row r="3996">
          <cell r="A3996">
            <v>8040238</v>
          </cell>
        </row>
        <row r="3997">
          <cell r="A3997">
            <v>8040239</v>
          </cell>
        </row>
        <row r="3998">
          <cell r="A3998">
            <v>8040240</v>
          </cell>
        </row>
        <row r="3999">
          <cell r="A3999">
            <v>8040241</v>
          </cell>
        </row>
        <row r="4000">
          <cell r="A4000">
            <v>8040242</v>
          </cell>
        </row>
        <row r="4001">
          <cell r="A4001">
            <v>8040243</v>
          </cell>
        </row>
        <row r="4002">
          <cell r="A4002">
            <v>8040244</v>
          </cell>
        </row>
        <row r="4003">
          <cell r="A4003">
            <v>8040245</v>
          </cell>
        </row>
        <row r="4004">
          <cell r="A4004">
            <v>8040246</v>
          </cell>
        </row>
        <row r="4005">
          <cell r="A4005">
            <v>8040247</v>
          </cell>
        </row>
        <row r="4006">
          <cell r="A4006">
            <v>8040248</v>
          </cell>
        </row>
        <row r="4007">
          <cell r="A4007">
            <v>8040249</v>
          </cell>
        </row>
        <row r="4008">
          <cell r="A4008">
            <v>8040301</v>
          </cell>
        </row>
        <row r="4009">
          <cell r="A4009">
            <v>8040302</v>
          </cell>
        </row>
        <row r="4010">
          <cell r="A4010">
            <v>8040303</v>
          </cell>
        </row>
        <row r="4011">
          <cell r="A4011">
            <v>8040304</v>
          </cell>
        </row>
        <row r="4012">
          <cell r="A4012">
            <v>8040305</v>
          </cell>
        </row>
        <row r="4013">
          <cell r="A4013">
            <v>8040306</v>
          </cell>
        </row>
        <row r="4014">
          <cell r="A4014">
            <v>8040307</v>
          </cell>
        </row>
        <row r="4015">
          <cell r="A4015">
            <v>8040308</v>
          </cell>
        </row>
        <row r="4016">
          <cell r="A4016">
            <v>8040309</v>
          </cell>
        </row>
        <row r="4017">
          <cell r="A4017">
            <v>8040310</v>
          </cell>
        </row>
        <row r="4018">
          <cell r="A4018">
            <v>8040311</v>
          </cell>
        </row>
        <row r="4019">
          <cell r="A4019">
            <v>8040312</v>
          </cell>
        </row>
        <row r="4020">
          <cell r="A4020">
            <v>8040313</v>
          </cell>
        </row>
        <row r="4021">
          <cell r="A4021">
            <v>8040314</v>
          </cell>
        </row>
        <row r="4022">
          <cell r="A4022">
            <v>8040315</v>
          </cell>
        </row>
        <row r="4023">
          <cell r="A4023">
            <v>8040316</v>
          </cell>
        </row>
        <row r="4024">
          <cell r="A4024">
            <v>8040317</v>
          </cell>
        </row>
        <row r="4025">
          <cell r="A4025">
            <v>8040318</v>
          </cell>
        </row>
        <row r="4026">
          <cell r="A4026">
            <v>8040319</v>
          </cell>
        </row>
        <row r="4027">
          <cell r="A4027">
            <v>8040320</v>
          </cell>
        </row>
        <row r="4028">
          <cell r="A4028">
            <v>8040321</v>
          </cell>
        </row>
        <row r="4029">
          <cell r="A4029">
            <v>8040322</v>
          </cell>
        </row>
        <row r="4030">
          <cell r="A4030">
            <v>8040323</v>
          </cell>
        </row>
        <row r="4031">
          <cell r="A4031">
            <v>8040324</v>
          </cell>
        </row>
        <row r="4032">
          <cell r="A4032">
            <v>8040325</v>
          </cell>
        </row>
        <row r="4033">
          <cell r="A4033">
            <v>8040326</v>
          </cell>
        </row>
        <row r="4034">
          <cell r="A4034">
            <v>8040327</v>
          </cell>
        </row>
        <row r="4035">
          <cell r="A4035">
            <v>8040328</v>
          </cell>
        </row>
        <row r="4036">
          <cell r="A4036">
            <v>8040329</v>
          </cell>
        </row>
        <row r="4037">
          <cell r="A4037">
            <v>8040331</v>
          </cell>
        </row>
        <row r="4038">
          <cell r="A4038">
            <v>8040333</v>
          </cell>
        </row>
        <row r="4039">
          <cell r="A4039">
            <v>8040334</v>
          </cell>
        </row>
        <row r="4040">
          <cell r="A4040">
            <v>8040335</v>
          </cell>
        </row>
        <row r="4041">
          <cell r="A4041">
            <v>8040336</v>
          </cell>
        </row>
        <row r="4042">
          <cell r="A4042">
            <v>8040337</v>
          </cell>
        </row>
        <row r="4043">
          <cell r="A4043">
            <v>8040338</v>
          </cell>
        </row>
        <row r="4044">
          <cell r="A4044">
            <v>8040339</v>
          </cell>
        </row>
        <row r="4045">
          <cell r="A4045">
            <v>8040343</v>
          </cell>
        </row>
        <row r="4046">
          <cell r="A4046">
            <v>8040354</v>
          </cell>
        </row>
        <row r="4047">
          <cell r="A4047">
            <v>8040355</v>
          </cell>
        </row>
        <row r="4048">
          <cell r="A4048">
            <v>8040356</v>
          </cell>
        </row>
        <row r="4049">
          <cell r="A4049">
            <v>8040357</v>
          </cell>
        </row>
        <row r="4050">
          <cell r="A4050">
            <v>8040358</v>
          </cell>
        </row>
        <row r="4051">
          <cell r="A4051">
            <v>8040359</v>
          </cell>
        </row>
        <row r="4052">
          <cell r="A4052">
            <v>8040361</v>
          </cell>
        </row>
        <row r="4053">
          <cell r="A4053">
            <v>8040362</v>
          </cell>
        </row>
        <row r="4054">
          <cell r="A4054">
            <v>8040363</v>
          </cell>
        </row>
        <row r="4055">
          <cell r="A4055">
            <v>8040402</v>
          </cell>
        </row>
        <row r="4056">
          <cell r="A4056">
            <v>8040403</v>
          </cell>
        </row>
        <row r="4057">
          <cell r="A4057">
            <v>8040404</v>
          </cell>
        </row>
        <row r="4058">
          <cell r="A4058">
            <v>8040405</v>
          </cell>
        </row>
        <row r="4059">
          <cell r="A4059">
            <v>8040406</v>
          </cell>
        </row>
        <row r="4060">
          <cell r="A4060">
            <v>8040407</v>
          </cell>
        </row>
        <row r="4061">
          <cell r="A4061">
            <v>8040408</v>
          </cell>
        </row>
        <row r="4062">
          <cell r="A4062">
            <v>8040409</v>
          </cell>
        </row>
        <row r="4063">
          <cell r="A4063">
            <v>8040410</v>
          </cell>
        </row>
        <row r="4064">
          <cell r="A4064">
            <v>8040411</v>
          </cell>
        </row>
        <row r="4065">
          <cell r="A4065">
            <v>8040412</v>
          </cell>
        </row>
        <row r="4066">
          <cell r="A4066">
            <v>8040413</v>
          </cell>
        </row>
        <row r="4067">
          <cell r="A4067">
            <v>8040414</v>
          </cell>
        </row>
        <row r="4068">
          <cell r="A4068">
            <v>8040415</v>
          </cell>
        </row>
        <row r="4069">
          <cell r="A4069">
            <v>8040416</v>
          </cell>
        </row>
        <row r="4070">
          <cell r="A4070">
            <v>8040417</v>
          </cell>
        </row>
        <row r="4071">
          <cell r="A4071">
            <v>8040418</v>
          </cell>
        </row>
        <row r="4072">
          <cell r="A4072">
            <v>8040419</v>
          </cell>
        </row>
        <row r="4073">
          <cell r="A4073">
            <v>8040420</v>
          </cell>
        </row>
        <row r="4074">
          <cell r="A4074">
            <v>8040421</v>
          </cell>
        </row>
        <row r="4075">
          <cell r="A4075">
            <v>8040422</v>
          </cell>
        </row>
        <row r="4076">
          <cell r="A4076">
            <v>8040423</v>
          </cell>
        </row>
        <row r="4077">
          <cell r="A4077">
            <v>8040424</v>
          </cell>
        </row>
        <row r="4078">
          <cell r="A4078">
            <v>8040425</v>
          </cell>
        </row>
        <row r="4079">
          <cell r="A4079">
            <v>8040426</v>
          </cell>
        </row>
        <row r="4080">
          <cell r="A4080">
            <v>8040427</v>
          </cell>
        </row>
        <row r="4081">
          <cell r="A4081">
            <v>8040428</v>
          </cell>
        </row>
        <row r="4082">
          <cell r="A4082">
            <v>8040429</v>
          </cell>
        </row>
        <row r="4083">
          <cell r="A4083">
            <v>8040435</v>
          </cell>
        </row>
        <row r="4084">
          <cell r="A4084">
            <v>8040436</v>
          </cell>
        </row>
        <row r="4085">
          <cell r="A4085">
            <v>8040437</v>
          </cell>
        </row>
        <row r="4086">
          <cell r="A4086">
            <v>8040438</v>
          </cell>
        </row>
        <row r="4087">
          <cell r="A4087">
            <v>8040439</v>
          </cell>
        </row>
        <row r="4088">
          <cell r="A4088">
            <v>8040440</v>
          </cell>
        </row>
        <row r="4089">
          <cell r="A4089">
            <v>8040441</v>
          </cell>
        </row>
        <row r="4090">
          <cell r="A4090">
            <v>8040442</v>
          </cell>
        </row>
        <row r="4091">
          <cell r="A4091">
            <v>8040443</v>
          </cell>
        </row>
        <row r="4092">
          <cell r="A4092">
            <v>8040444</v>
          </cell>
        </row>
        <row r="4093">
          <cell r="A4093">
            <v>8040445</v>
          </cell>
        </row>
        <row r="4094">
          <cell r="A4094">
            <v>8040446</v>
          </cell>
        </row>
        <row r="4095">
          <cell r="A4095">
            <v>8040447</v>
          </cell>
        </row>
        <row r="4096">
          <cell r="A4096">
            <v>8040448</v>
          </cell>
        </row>
        <row r="4097">
          <cell r="A4097">
            <v>8040449</v>
          </cell>
        </row>
        <row r="4098">
          <cell r="A4098">
            <v>8040450</v>
          </cell>
        </row>
        <row r="4099">
          <cell r="A4099">
            <v>8040451</v>
          </cell>
        </row>
        <row r="4100">
          <cell r="A4100">
            <v>8040452</v>
          </cell>
        </row>
        <row r="4101">
          <cell r="A4101">
            <v>8040453</v>
          </cell>
        </row>
        <row r="4102">
          <cell r="A4102">
            <v>8040454</v>
          </cell>
        </row>
        <row r="4103">
          <cell r="A4103">
            <v>8040455</v>
          </cell>
        </row>
        <row r="4104">
          <cell r="A4104">
            <v>8040456</v>
          </cell>
        </row>
        <row r="4105">
          <cell r="A4105">
            <v>8040457</v>
          </cell>
        </row>
        <row r="4106">
          <cell r="A4106">
            <v>8040458</v>
          </cell>
        </row>
        <row r="4107">
          <cell r="A4107">
            <v>8040460</v>
          </cell>
        </row>
        <row r="4108">
          <cell r="A4108">
            <v>8040501</v>
          </cell>
        </row>
        <row r="4109">
          <cell r="A4109">
            <v>8040502</v>
          </cell>
        </row>
        <row r="4110">
          <cell r="A4110">
            <v>8040503</v>
          </cell>
        </row>
        <row r="4111">
          <cell r="A4111">
            <v>8040504</v>
          </cell>
        </row>
        <row r="4112">
          <cell r="A4112">
            <v>8040505</v>
          </cell>
        </row>
        <row r="4113">
          <cell r="A4113">
            <v>8040506</v>
          </cell>
        </row>
        <row r="4114">
          <cell r="A4114">
            <v>8040507</v>
          </cell>
        </row>
        <row r="4115">
          <cell r="A4115">
            <v>8040508</v>
          </cell>
        </row>
        <row r="4116">
          <cell r="A4116">
            <v>8040509</v>
          </cell>
        </row>
        <row r="4117">
          <cell r="A4117">
            <v>8040510</v>
          </cell>
        </row>
        <row r="4118">
          <cell r="A4118">
            <v>8040511</v>
          </cell>
        </row>
        <row r="4119">
          <cell r="A4119">
            <v>8040512</v>
          </cell>
        </row>
        <row r="4120">
          <cell r="A4120">
            <v>8040513</v>
          </cell>
        </row>
        <row r="4121">
          <cell r="A4121">
            <v>8040514</v>
          </cell>
        </row>
        <row r="4122">
          <cell r="A4122">
            <v>8040515</v>
          </cell>
        </row>
        <row r="4123">
          <cell r="A4123">
            <v>8040516</v>
          </cell>
        </row>
        <row r="4124">
          <cell r="A4124">
            <v>8040517</v>
          </cell>
        </row>
        <row r="4125">
          <cell r="A4125">
            <v>8040518</v>
          </cell>
        </row>
        <row r="4126">
          <cell r="A4126">
            <v>8040519</v>
          </cell>
        </row>
        <row r="4127">
          <cell r="A4127">
            <v>8040520</v>
          </cell>
        </row>
        <row r="4128">
          <cell r="A4128">
            <v>8040521</v>
          </cell>
        </row>
        <row r="4129">
          <cell r="A4129">
            <v>8040522</v>
          </cell>
        </row>
        <row r="4130">
          <cell r="A4130">
            <v>8040523</v>
          </cell>
        </row>
        <row r="4131">
          <cell r="A4131">
            <v>8040524</v>
          </cell>
        </row>
        <row r="4132">
          <cell r="A4132">
            <v>8040525</v>
          </cell>
        </row>
        <row r="4133">
          <cell r="A4133">
            <v>8040526</v>
          </cell>
        </row>
        <row r="4134">
          <cell r="A4134">
            <v>8040527</v>
          </cell>
        </row>
        <row r="4135">
          <cell r="A4135">
            <v>8040528</v>
          </cell>
        </row>
        <row r="4136">
          <cell r="A4136">
            <v>8040529</v>
          </cell>
        </row>
        <row r="4137">
          <cell r="A4137">
            <v>8040530</v>
          </cell>
        </row>
        <row r="4138">
          <cell r="A4138">
            <v>8040531</v>
          </cell>
        </row>
        <row r="4139">
          <cell r="A4139">
            <v>8040532</v>
          </cell>
        </row>
        <row r="4140">
          <cell r="A4140">
            <v>8040533</v>
          </cell>
        </row>
        <row r="4141">
          <cell r="A4141">
            <v>8040534</v>
          </cell>
        </row>
        <row r="4142">
          <cell r="A4142">
            <v>8040535</v>
          </cell>
        </row>
        <row r="4143">
          <cell r="A4143">
            <v>8040536</v>
          </cell>
        </row>
        <row r="4144">
          <cell r="A4144">
            <v>8040537</v>
          </cell>
        </row>
        <row r="4145">
          <cell r="A4145">
            <v>8040538</v>
          </cell>
        </row>
        <row r="4146">
          <cell r="A4146">
            <v>8040539</v>
          </cell>
        </row>
        <row r="4147">
          <cell r="A4147">
            <v>8040540</v>
          </cell>
        </row>
        <row r="4148">
          <cell r="A4148">
            <v>8040541</v>
          </cell>
        </row>
        <row r="4149">
          <cell r="A4149">
            <v>8040543</v>
          </cell>
        </row>
        <row r="4150">
          <cell r="A4150">
            <v>8040544</v>
          </cell>
        </row>
        <row r="4151">
          <cell r="A4151">
            <v>8040545</v>
          </cell>
        </row>
        <row r="4152">
          <cell r="A4152">
            <v>8040546</v>
          </cell>
        </row>
        <row r="4153">
          <cell r="A4153">
            <v>8040604</v>
          </cell>
        </row>
        <row r="4154">
          <cell r="A4154">
            <v>8040605</v>
          </cell>
        </row>
        <row r="4155">
          <cell r="A4155">
            <v>8040606</v>
          </cell>
        </row>
        <row r="4156">
          <cell r="A4156">
            <v>8040607</v>
          </cell>
        </row>
        <row r="4157">
          <cell r="A4157">
            <v>8040608</v>
          </cell>
        </row>
        <row r="4158">
          <cell r="A4158">
            <v>8040609</v>
          </cell>
        </row>
        <row r="4159">
          <cell r="A4159">
            <v>8040610</v>
          </cell>
        </row>
        <row r="4160">
          <cell r="A4160">
            <v>8040611</v>
          </cell>
        </row>
        <row r="4161">
          <cell r="A4161">
            <v>8040612</v>
          </cell>
        </row>
        <row r="4162">
          <cell r="A4162">
            <v>8040613</v>
          </cell>
        </row>
        <row r="4163">
          <cell r="A4163">
            <v>8040614</v>
          </cell>
        </row>
        <row r="4164">
          <cell r="A4164">
            <v>8040615</v>
          </cell>
        </row>
        <row r="4165">
          <cell r="A4165">
            <v>8040616</v>
          </cell>
        </row>
        <row r="4166">
          <cell r="A4166">
            <v>8040617</v>
          </cell>
        </row>
        <row r="4167">
          <cell r="A4167">
            <v>8040618</v>
          </cell>
        </row>
        <row r="4168">
          <cell r="A4168">
            <v>8040619</v>
          </cell>
        </row>
        <row r="4169">
          <cell r="A4169">
            <v>8040620</v>
          </cell>
        </row>
        <row r="4170">
          <cell r="A4170">
            <v>8040621</v>
          </cell>
        </row>
        <row r="4171">
          <cell r="A4171">
            <v>8040622</v>
          </cell>
        </row>
        <row r="4172">
          <cell r="A4172">
            <v>8040701</v>
          </cell>
        </row>
        <row r="4173">
          <cell r="A4173">
            <v>8040702</v>
          </cell>
        </row>
        <row r="4174">
          <cell r="A4174">
            <v>8040703</v>
          </cell>
        </row>
        <row r="4175">
          <cell r="A4175">
            <v>8040704</v>
          </cell>
        </row>
        <row r="4176">
          <cell r="A4176">
            <v>8040705</v>
          </cell>
        </row>
        <row r="4177">
          <cell r="A4177">
            <v>8040706</v>
          </cell>
        </row>
        <row r="4178">
          <cell r="A4178">
            <v>8040707</v>
          </cell>
        </row>
        <row r="4179">
          <cell r="A4179">
            <v>8040708</v>
          </cell>
        </row>
        <row r="4180">
          <cell r="A4180">
            <v>8040709</v>
          </cell>
        </row>
        <row r="4181">
          <cell r="A4181">
            <v>8040710</v>
          </cell>
        </row>
        <row r="4182">
          <cell r="A4182">
            <v>8040711</v>
          </cell>
        </row>
        <row r="4183">
          <cell r="A4183">
            <v>8040712</v>
          </cell>
        </row>
        <row r="4184">
          <cell r="A4184">
            <v>8040713</v>
          </cell>
        </row>
        <row r="4185">
          <cell r="A4185">
            <v>8040714</v>
          </cell>
        </row>
        <row r="4186">
          <cell r="A4186">
            <v>8040715</v>
          </cell>
        </row>
        <row r="4187">
          <cell r="A4187">
            <v>8040716</v>
          </cell>
        </row>
        <row r="4188">
          <cell r="A4188">
            <v>8040717</v>
          </cell>
        </row>
        <row r="4189">
          <cell r="A4189">
            <v>8040718</v>
          </cell>
        </row>
        <row r="4190">
          <cell r="A4190">
            <v>8040719</v>
          </cell>
        </row>
        <row r="4191">
          <cell r="A4191">
            <v>8040720</v>
          </cell>
        </row>
        <row r="4192">
          <cell r="A4192">
            <v>8040721</v>
          </cell>
        </row>
        <row r="4193">
          <cell r="A4193">
            <v>8040722</v>
          </cell>
        </row>
        <row r="4194">
          <cell r="A4194">
            <v>8040723</v>
          </cell>
        </row>
        <row r="4195">
          <cell r="A4195">
            <v>8040724</v>
          </cell>
        </row>
        <row r="4196">
          <cell r="A4196">
            <v>8040725</v>
          </cell>
        </row>
        <row r="4197">
          <cell r="A4197">
            <v>8040726</v>
          </cell>
        </row>
        <row r="4198">
          <cell r="A4198">
            <v>8040727</v>
          </cell>
        </row>
        <row r="4199">
          <cell r="A4199">
            <v>8040728</v>
          </cell>
        </row>
        <row r="4200">
          <cell r="A4200">
            <v>8040729</v>
          </cell>
        </row>
        <row r="4201">
          <cell r="A4201">
            <v>8040730</v>
          </cell>
        </row>
        <row r="4202">
          <cell r="A4202">
            <v>8040731</v>
          </cell>
        </row>
        <row r="4203">
          <cell r="A4203">
            <v>8040732</v>
          </cell>
        </row>
        <row r="4204">
          <cell r="A4204">
            <v>8040733</v>
          </cell>
        </row>
        <row r="4205">
          <cell r="A4205">
            <v>8040734</v>
          </cell>
        </row>
        <row r="4206">
          <cell r="A4206">
            <v>8040735</v>
          </cell>
        </row>
        <row r="4207">
          <cell r="A4207">
            <v>8040736</v>
          </cell>
        </row>
        <row r="4208">
          <cell r="A4208">
            <v>8040737</v>
          </cell>
        </row>
        <row r="4209">
          <cell r="A4209">
            <v>8040738</v>
          </cell>
        </row>
        <row r="4210">
          <cell r="A4210">
            <v>8040739</v>
          </cell>
        </row>
        <row r="4211">
          <cell r="A4211">
            <v>8040740</v>
          </cell>
        </row>
        <row r="4212">
          <cell r="A4212">
            <v>8040742</v>
          </cell>
        </row>
        <row r="4213">
          <cell r="A4213">
            <v>8040801</v>
          </cell>
        </row>
        <row r="4214">
          <cell r="A4214">
            <v>8040802</v>
          </cell>
        </row>
        <row r="4215">
          <cell r="A4215">
            <v>8040803</v>
          </cell>
        </row>
        <row r="4216">
          <cell r="A4216">
            <v>8040804</v>
          </cell>
        </row>
        <row r="4217">
          <cell r="A4217">
            <v>8040805</v>
          </cell>
        </row>
        <row r="4218">
          <cell r="A4218">
            <v>8040806</v>
          </cell>
        </row>
        <row r="4219">
          <cell r="A4219">
            <v>8040807</v>
          </cell>
        </row>
        <row r="4220">
          <cell r="A4220">
            <v>8040808</v>
          </cell>
        </row>
        <row r="4221">
          <cell r="A4221">
            <v>8040809</v>
          </cell>
        </row>
        <row r="4222">
          <cell r="A4222">
            <v>8040810</v>
          </cell>
        </row>
        <row r="4223">
          <cell r="A4223">
            <v>8040811</v>
          </cell>
        </row>
        <row r="4224">
          <cell r="A4224">
            <v>8040812</v>
          </cell>
        </row>
        <row r="4225">
          <cell r="A4225">
            <v>8040813</v>
          </cell>
        </row>
        <row r="4226">
          <cell r="A4226">
            <v>8040814</v>
          </cell>
        </row>
        <row r="4227">
          <cell r="A4227">
            <v>8040815</v>
          </cell>
        </row>
        <row r="4228">
          <cell r="A4228">
            <v>8040816</v>
          </cell>
        </row>
        <row r="4229">
          <cell r="A4229">
            <v>8040817</v>
          </cell>
        </row>
        <row r="4230">
          <cell r="A4230">
            <v>8040818</v>
          </cell>
        </row>
        <row r="4231">
          <cell r="A4231">
            <v>8040819</v>
          </cell>
        </row>
        <row r="4232">
          <cell r="A4232">
            <v>8040820</v>
          </cell>
        </row>
        <row r="4233">
          <cell r="A4233">
            <v>8040821</v>
          </cell>
        </row>
        <row r="4234">
          <cell r="A4234">
            <v>8040822</v>
          </cell>
        </row>
        <row r="4235">
          <cell r="A4235">
            <v>8040823</v>
          </cell>
        </row>
        <row r="4236">
          <cell r="A4236">
            <v>8040824</v>
          </cell>
        </row>
        <row r="4237">
          <cell r="A4237">
            <v>8040825</v>
          </cell>
        </row>
        <row r="4238">
          <cell r="A4238">
            <v>8040826</v>
          </cell>
        </row>
        <row r="4239">
          <cell r="A4239">
            <v>8040827</v>
          </cell>
        </row>
        <row r="4240">
          <cell r="A4240">
            <v>8040828</v>
          </cell>
        </row>
        <row r="4241">
          <cell r="A4241">
            <v>8040829</v>
          </cell>
        </row>
        <row r="4242">
          <cell r="A4242">
            <v>8040830</v>
          </cell>
        </row>
        <row r="4243">
          <cell r="A4243">
            <v>8040831</v>
          </cell>
        </row>
        <row r="4244">
          <cell r="A4244">
            <v>8040832</v>
          </cell>
        </row>
        <row r="4245">
          <cell r="A4245">
            <v>8040833</v>
          </cell>
        </row>
        <row r="4246">
          <cell r="A4246">
            <v>8040834</v>
          </cell>
        </row>
        <row r="4247">
          <cell r="A4247">
            <v>8040835</v>
          </cell>
        </row>
        <row r="4248">
          <cell r="A4248">
            <v>8040836</v>
          </cell>
        </row>
        <row r="4249">
          <cell r="A4249">
            <v>8040837</v>
          </cell>
        </row>
        <row r="4250">
          <cell r="A4250">
            <v>8040838</v>
          </cell>
        </row>
        <row r="4251">
          <cell r="A4251">
            <v>8040839</v>
          </cell>
        </row>
        <row r="4252">
          <cell r="A4252">
            <v>8040840</v>
          </cell>
        </row>
        <row r="4253">
          <cell r="A4253">
            <v>8040841</v>
          </cell>
        </row>
        <row r="4254">
          <cell r="A4254">
            <v>8040842</v>
          </cell>
        </row>
        <row r="4255">
          <cell r="A4255">
            <v>8040843</v>
          </cell>
        </row>
        <row r="4256">
          <cell r="A4256">
            <v>8040844</v>
          </cell>
        </row>
        <row r="4257">
          <cell r="A4257">
            <v>8040845</v>
          </cell>
        </row>
        <row r="4258">
          <cell r="A4258">
            <v>8040846</v>
          </cell>
        </row>
        <row r="4259">
          <cell r="A4259">
            <v>8040847</v>
          </cell>
        </row>
        <row r="4260">
          <cell r="A4260">
            <v>8040848</v>
          </cell>
        </row>
        <row r="4261">
          <cell r="A4261">
            <v>8040849</v>
          </cell>
        </row>
        <row r="4262">
          <cell r="A4262">
            <v>8040850</v>
          </cell>
        </row>
        <row r="4263">
          <cell r="A4263">
            <v>8040851</v>
          </cell>
        </row>
        <row r="4264">
          <cell r="A4264">
            <v>8040852</v>
          </cell>
        </row>
        <row r="4265">
          <cell r="A4265">
            <v>8040853</v>
          </cell>
        </row>
        <row r="4266">
          <cell r="A4266">
            <v>8040854</v>
          </cell>
        </row>
        <row r="4267">
          <cell r="A4267">
            <v>8040855</v>
          </cell>
        </row>
        <row r="4268">
          <cell r="A4268">
            <v>8040856</v>
          </cell>
        </row>
        <row r="4269">
          <cell r="A4269">
            <v>8040859</v>
          </cell>
        </row>
        <row r="4270">
          <cell r="A4270">
            <v>8040901</v>
          </cell>
        </row>
        <row r="4271">
          <cell r="A4271">
            <v>8040902</v>
          </cell>
        </row>
        <row r="4272">
          <cell r="A4272">
            <v>8040903</v>
          </cell>
        </row>
        <row r="4273">
          <cell r="A4273">
            <v>8040904</v>
          </cell>
        </row>
        <row r="4274">
          <cell r="A4274">
            <v>8040905</v>
          </cell>
        </row>
        <row r="4275">
          <cell r="A4275">
            <v>8040906</v>
          </cell>
        </row>
        <row r="4276">
          <cell r="A4276">
            <v>8040907</v>
          </cell>
        </row>
        <row r="4277">
          <cell r="A4277">
            <v>8040908</v>
          </cell>
        </row>
        <row r="4278">
          <cell r="A4278">
            <v>8040909</v>
          </cell>
        </row>
        <row r="4279">
          <cell r="A4279">
            <v>8040910</v>
          </cell>
        </row>
        <row r="4280">
          <cell r="A4280">
            <v>8040911</v>
          </cell>
        </row>
        <row r="4281">
          <cell r="A4281">
            <v>8040912</v>
          </cell>
        </row>
        <row r="4282">
          <cell r="A4282">
            <v>8040913</v>
          </cell>
        </row>
        <row r="4283">
          <cell r="A4283">
            <v>8040914</v>
          </cell>
        </row>
        <row r="4284">
          <cell r="A4284">
            <v>8040915</v>
          </cell>
        </row>
        <row r="4285">
          <cell r="A4285">
            <v>8040916</v>
          </cell>
        </row>
        <row r="4286">
          <cell r="A4286">
            <v>8040917</v>
          </cell>
        </row>
        <row r="4287">
          <cell r="A4287">
            <v>8040918</v>
          </cell>
        </row>
        <row r="4288">
          <cell r="A4288">
            <v>8040919</v>
          </cell>
        </row>
        <row r="4289">
          <cell r="A4289">
            <v>8040920</v>
          </cell>
        </row>
        <row r="4290">
          <cell r="A4290">
            <v>8040921</v>
          </cell>
        </row>
        <row r="4291">
          <cell r="A4291">
            <v>8040922</v>
          </cell>
        </row>
        <row r="4292">
          <cell r="A4292">
            <v>8040923</v>
          </cell>
        </row>
        <row r="4293">
          <cell r="A4293">
            <v>8040924</v>
          </cell>
        </row>
        <row r="4294">
          <cell r="A4294">
            <v>8040925</v>
          </cell>
        </row>
        <row r="4295">
          <cell r="A4295">
            <v>8040926</v>
          </cell>
        </row>
        <row r="4296">
          <cell r="A4296">
            <v>8040927</v>
          </cell>
        </row>
        <row r="4297">
          <cell r="A4297">
            <v>8040928</v>
          </cell>
        </row>
        <row r="4298">
          <cell r="A4298">
            <v>8040929</v>
          </cell>
        </row>
        <row r="4299">
          <cell r="A4299">
            <v>8040930</v>
          </cell>
        </row>
        <row r="4300">
          <cell r="A4300">
            <v>8040931</v>
          </cell>
        </row>
        <row r="4301">
          <cell r="A4301">
            <v>8040932</v>
          </cell>
        </row>
        <row r="4302">
          <cell r="A4302">
            <v>8040933</v>
          </cell>
        </row>
        <row r="4303">
          <cell r="A4303">
            <v>8040934</v>
          </cell>
        </row>
        <row r="4304">
          <cell r="A4304">
            <v>8040935</v>
          </cell>
        </row>
        <row r="4305">
          <cell r="A4305">
            <v>8040936</v>
          </cell>
        </row>
        <row r="4306">
          <cell r="A4306">
            <v>8040937</v>
          </cell>
        </row>
        <row r="4307">
          <cell r="A4307">
            <v>8040938</v>
          </cell>
        </row>
        <row r="4308">
          <cell r="A4308">
            <v>8040939</v>
          </cell>
        </row>
        <row r="4309">
          <cell r="A4309">
            <v>8040940</v>
          </cell>
        </row>
        <row r="4310">
          <cell r="A4310">
            <v>8040941</v>
          </cell>
        </row>
        <row r="4311">
          <cell r="A4311">
            <v>8040942</v>
          </cell>
        </row>
        <row r="4312">
          <cell r="A4312">
            <v>8040943</v>
          </cell>
        </row>
        <row r="4313">
          <cell r="A4313">
            <v>8040944</v>
          </cell>
        </row>
        <row r="4314">
          <cell r="A4314">
            <v>8040945</v>
          </cell>
        </row>
        <row r="4315">
          <cell r="A4315">
            <v>8040946</v>
          </cell>
        </row>
        <row r="4316">
          <cell r="A4316">
            <v>8040947</v>
          </cell>
        </row>
        <row r="4317">
          <cell r="A4317">
            <v>8040948</v>
          </cell>
        </row>
        <row r="4318">
          <cell r="A4318">
            <v>8040949</v>
          </cell>
        </row>
        <row r="4319">
          <cell r="A4319">
            <v>8040950</v>
          </cell>
        </row>
        <row r="4320">
          <cell r="A4320">
            <v>8040951</v>
          </cell>
        </row>
        <row r="4321">
          <cell r="A4321">
            <v>8040952</v>
          </cell>
        </row>
        <row r="4322">
          <cell r="A4322">
            <v>8040953</v>
          </cell>
        </row>
        <row r="4323">
          <cell r="A4323">
            <v>8040954</v>
          </cell>
        </row>
        <row r="4324">
          <cell r="A4324">
            <v>8040955</v>
          </cell>
        </row>
        <row r="4325">
          <cell r="A4325">
            <v>8040956</v>
          </cell>
        </row>
        <row r="4326">
          <cell r="A4326">
            <v>8040957</v>
          </cell>
        </row>
        <row r="4327">
          <cell r="A4327">
            <v>8040958</v>
          </cell>
        </row>
        <row r="4328">
          <cell r="A4328">
            <v>8040968</v>
          </cell>
        </row>
        <row r="4329">
          <cell r="A4329">
            <v>8040969</v>
          </cell>
        </row>
        <row r="4330">
          <cell r="A4330">
            <v>8040971</v>
          </cell>
        </row>
        <row r="4331">
          <cell r="A4331">
            <v>8041001</v>
          </cell>
        </row>
        <row r="4332">
          <cell r="A4332">
            <v>8041002</v>
          </cell>
        </row>
        <row r="4333">
          <cell r="A4333">
            <v>8041003</v>
          </cell>
        </row>
        <row r="4334">
          <cell r="A4334">
            <v>8041004</v>
          </cell>
        </row>
        <row r="4335">
          <cell r="A4335">
            <v>8041005</v>
          </cell>
        </row>
        <row r="4336">
          <cell r="A4336">
            <v>8041006</v>
          </cell>
        </row>
        <row r="4337">
          <cell r="A4337">
            <v>8041007</v>
          </cell>
        </row>
        <row r="4338">
          <cell r="A4338">
            <v>8041008</v>
          </cell>
        </row>
        <row r="4339">
          <cell r="A4339">
            <v>8041009</v>
          </cell>
        </row>
        <row r="4340">
          <cell r="A4340">
            <v>8041010</v>
          </cell>
        </row>
        <row r="4341">
          <cell r="A4341">
            <v>8041011</v>
          </cell>
        </row>
        <row r="4342">
          <cell r="A4342">
            <v>8041012</v>
          </cell>
        </row>
        <row r="4343">
          <cell r="A4343">
            <v>8041013</v>
          </cell>
        </row>
        <row r="4344">
          <cell r="A4344">
            <v>8041014</v>
          </cell>
        </row>
        <row r="4345">
          <cell r="A4345">
            <v>8041015</v>
          </cell>
        </row>
        <row r="4346">
          <cell r="A4346">
            <v>8041016</v>
          </cell>
        </row>
        <row r="4347">
          <cell r="A4347">
            <v>8041017</v>
          </cell>
        </row>
        <row r="4348">
          <cell r="A4348">
            <v>8041018</v>
          </cell>
        </row>
        <row r="4349">
          <cell r="A4349">
            <v>8041019</v>
          </cell>
        </row>
        <row r="4350">
          <cell r="A4350">
            <v>8041020</v>
          </cell>
        </row>
        <row r="4351">
          <cell r="A4351">
            <v>8041024</v>
          </cell>
        </row>
        <row r="4352">
          <cell r="A4352">
            <v>8041025</v>
          </cell>
        </row>
        <row r="4353">
          <cell r="A4353">
            <v>8041026</v>
          </cell>
        </row>
        <row r="4354">
          <cell r="A4354">
            <v>8041027</v>
          </cell>
        </row>
        <row r="4355">
          <cell r="A4355">
            <v>8041028</v>
          </cell>
        </row>
        <row r="4356">
          <cell r="A4356">
            <v>8041029</v>
          </cell>
        </row>
        <row r="4357">
          <cell r="A4357">
            <v>8041030</v>
          </cell>
        </row>
        <row r="4358">
          <cell r="A4358">
            <v>8041031</v>
          </cell>
        </row>
        <row r="4359">
          <cell r="A4359">
            <v>8041032</v>
          </cell>
        </row>
        <row r="4360">
          <cell r="A4360">
            <v>8041033</v>
          </cell>
        </row>
        <row r="4361">
          <cell r="A4361">
            <v>8041034</v>
          </cell>
        </row>
        <row r="4362">
          <cell r="A4362">
            <v>8041035</v>
          </cell>
        </row>
        <row r="4363">
          <cell r="A4363">
            <v>8041036</v>
          </cell>
        </row>
        <row r="4364">
          <cell r="A4364">
            <v>8041037</v>
          </cell>
        </row>
        <row r="4365">
          <cell r="A4365">
            <v>8041038</v>
          </cell>
        </row>
        <row r="4366">
          <cell r="A4366">
            <v>8041039</v>
          </cell>
        </row>
        <row r="4367">
          <cell r="A4367">
            <v>8041040</v>
          </cell>
        </row>
        <row r="4368">
          <cell r="A4368">
            <v>8041041</v>
          </cell>
        </row>
        <row r="4369">
          <cell r="A4369">
            <v>8041042</v>
          </cell>
        </row>
        <row r="4370">
          <cell r="A4370">
            <v>8041043</v>
          </cell>
        </row>
        <row r="4371">
          <cell r="A4371">
            <v>8041044</v>
          </cell>
        </row>
        <row r="4372">
          <cell r="A4372">
            <v>8041045</v>
          </cell>
        </row>
        <row r="4373">
          <cell r="A4373">
            <v>8041046</v>
          </cell>
        </row>
        <row r="4374">
          <cell r="A4374">
            <v>8041047</v>
          </cell>
        </row>
        <row r="4375">
          <cell r="A4375">
            <v>8041048</v>
          </cell>
        </row>
        <row r="4376">
          <cell r="A4376">
            <v>8041049</v>
          </cell>
        </row>
        <row r="4377">
          <cell r="A4377">
            <v>8041050</v>
          </cell>
        </row>
        <row r="4378">
          <cell r="A4378">
            <v>8041051</v>
          </cell>
        </row>
        <row r="4379">
          <cell r="A4379">
            <v>8041052</v>
          </cell>
        </row>
        <row r="4380">
          <cell r="A4380">
            <v>8041053</v>
          </cell>
        </row>
        <row r="4381">
          <cell r="A4381">
            <v>8041054</v>
          </cell>
        </row>
        <row r="4382">
          <cell r="A4382">
            <v>8041055</v>
          </cell>
        </row>
        <row r="4383">
          <cell r="A4383">
            <v>8041056</v>
          </cell>
        </row>
        <row r="4384">
          <cell r="A4384">
            <v>8041057</v>
          </cell>
        </row>
        <row r="4385">
          <cell r="A4385">
            <v>8041058</v>
          </cell>
        </row>
        <row r="4386">
          <cell r="A4386">
            <v>8041059</v>
          </cell>
        </row>
        <row r="4387">
          <cell r="A4387">
            <v>8041060</v>
          </cell>
        </row>
        <row r="4388">
          <cell r="A4388">
            <v>8041061</v>
          </cell>
        </row>
        <row r="4389">
          <cell r="A4389">
            <v>8041062</v>
          </cell>
        </row>
        <row r="4390">
          <cell r="A4390">
            <v>8041073</v>
          </cell>
        </row>
        <row r="4391">
          <cell r="A4391">
            <v>8041101</v>
          </cell>
        </row>
        <row r="4392">
          <cell r="A4392">
            <v>8041102</v>
          </cell>
        </row>
        <row r="4393">
          <cell r="A4393">
            <v>8041103</v>
          </cell>
        </row>
        <row r="4394">
          <cell r="A4394">
            <v>8041104</v>
          </cell>
        </row>
        <row r="4395">
          <cell r="A4395">
            <v>8041105</v>
          </cell>
        </row>
        <row r="4396">
          <cell r="A4396">
            <v>8041106</v>
          </cell>
        </row>
        <row r="4397">
          <cell r="A4397">
            <v>8041107</v>
          </cell>
        </row>
        <row r="4398">
          <cell r="A4398">
            <v>8041108</v>
          </cell>
        </row>
        <row r="4399">
          <cell r="A4399">
            <v>8041109</v>
          </cell>
        </row>
        <row r="4400">
          <cell r="A4400">
            <v>8041110</v>
          </cell>
        </row>
        <row r="4401">
          <cell r="A4401">
            <v>8041111</v>
          </cell>
        </row>
        <row r="4402">
          <cell r="A4402">
            <v>8041112</v>
          </cell>
        </row>
        <row r="4403">
          <cell r="A4403">
            <v>8041113</v>
          </cell>
        </row>
        <row r="4404">
          <cell r="A4404">
            <v>8041114</v>
          </cell>
        </row>
        <row r="4405">
          <cell r="A4405">
            <v>8041115</v>
          </cell>
        </row>
        <row r="4406">
          <cell r="A4406">
            <v>8041116</v>
          </cell>
        </row>
        <row r="4407">
          <cell r="A4407">
            <v>8041117</v>
          </cell>
        </row>
        <row r="4408">
          <cell r="A4408">
            <v>8041118</v>
          </cell>
        </row>
        <row r="4409">
          <cell r="A4409">
            <v>8041119</v>
          </cell>
        </row>
        <row r="4410">
          <cell r="A4410">
            <v>8041120</v>
          </cell>
        </row>
        <row r="4411">
          <cell r="A4411">
            <v>8041121</v>
          </cell>
        </row>
        <row r="4412">
          <cell r="A4412">
            <v>8041122</v>
          </cell>
        </row>
        <row r="4413">
          <cell r="A4413">
            <v>8041123</v>
          </cell>
        </row>
        <row r="4414">
          <cell r="A4414">
            <v>8041124</v>
          </cell>
        </row>
        <row r="4415">
          <cell r="A4415">
            <v>8041125</v>
          </cell>
        </row>
        <row r="4416">
          <cell r="A4416">
            <v>8041126</v>
          </cell>
        </row>
        <row r="4417">
          <cell r="A4417">
            <v>8041127</v>
          </cell>
        </row>
        <row r="4418">
          <cell r="A4418">
            <v>8041128</v>
          </cell>
        </row>
        <row r="4419">
          <cell r="A4419">
            <v>8041129</v>
          </cell>
        </row>
        <row r="4420">
          <cell r="A4420">
            <v>8041130</v>
          </cell>
        </row>
        <row r="4421">
          <cell r="A4421">
            <v>8041131</v>
          </cell>
        </row>
        <row r="4422">
          <cell r="A4422">
            <v>8041132</v>
          </cell>
        </row>
        <row r="4423">
          <cell r="A4423">
            <v>8041133</v>
          </cell>
        </row>
        <row r="4424">
          <cell r="A4424">
            <v>8041139</v>
          </cell>
        </row>
        <row r="4425">
          <cell r="A4425">
            <v>8041140</v>
          </cell>
        </row>
        <row r="4426">
          <cell r="A4426">
            <v>8041141</v>
          </cell>
        </row>
        <row r="4427">
          <cell r="A4427">
            <v>8041142</v>
          </cell>
        </row>
        <row r="4428">
          <cell r="A4428">
            <v>8041143</v>
          </cell>
        </row>
        <row r="4429">
          <cell r="A4429">
            <v>8041144</v>
          </cell>
        </row>
        <row r="4430">
          <cell r="A4430">
            <v>8041145</v>
          </cell>
        </row>
        <row r="4431">
          <cell r="A4431">
            <v>8041146</v>
          </cell>
        </row>
        <row r="4432">
          <cell r="A4432">
            <v>8041147</v>
          </cell>
        </row>
        <row r="4433">
          <cell r="A4433">
            <v>8041148</v>
          </cell>
        </row>
        <row r="4434">
          <cell r="A4434">
            <v>8041149</v>
          </cell>
        </row>
        <row r="4435">
          <cell r="A4435">
            <v>8041201</v>
          </cell>
        </row>
        <row r="4436">
          <cell r="A4436">
            <v>8041202</v>
          </cell>
        </row>
        <row r="4437">
          <cell r="A4437">
            <v>8041203</v>
          </cell>
        </row>
        <row r="4438">
          <cell r="A4438">
            <v>8041204</v>
          </cell>
        </row>
        <row r="4439">
          <cell r="A4439">
            <v>8041205</v>
          </cell>
        </row>
        <row r="4440">
          <cell r="A4440">
            <v>8041206</v>
          </cell>
        </row>
        <row r="4441">
          <cell r="A4441">
            <v>8041207</v>
          </cell>
        </row>
        <row r="4442">
          <cell r="A4442">
            <v>8041208</v>
          </cell>
        </row>
        <row r="4443">
          <cell r="A4443">
            <v>8041209</v>
          </cell>
        </row>
        <row r="4444">
          <cell r="A4444">
            <v>8041210</v>
          </cell>
        </row>
        <row r="4445">
          <cell r="A4445">
            <v>8041211</v>
          </cell>
        </row>
        <row r="4446">
          <cell r="A4446">
            <v>8041213</v>
          </cell>
        </row>
        <row r="4447">
          <cell r="A4447">
            <v>8041214</v>
          </cell>
        </row>
        <row r="4448">
          <cell r="A4448">
            <v>8041601</v>
          </cell>
        </row>
        <row r="4449">
          <cell r="A4449">
            <v>8041602</v>
          </cell>
        </row>
        <row r="4450">
          <cell r="A4450">
            <v>8041701</v>
          </cell>
        </row>
        <row r="4451">
          <cell r="A4451">
            <v>8041702</v>
          </cell>
        </row>
        <row r="4452">
          <cell r="A4452">
            <v>8041703</v>
          </cell>
        </row>
        <row r="4453">
          <cell r="A4453">
            <v>8041704</v>
          </cell>
        </row>
        <row r="4454">
          <cell r="A4454">
            <v>8041705</v>
          </cell>
        </row>
        <row r="4455">
          <cell r="A4455">
            <v>8041706</v>
          </cell>
        </row>
        <row r="4456">
          <cell r="A4456">
            <v>8041707</v>
          </cell>
        </row>
        <row r="4457">
          <cell r="A4457">
            <v>8041708</v>
          </cell>
        </row>
        <row r="4458">
          <cell r="A4458">
            <v>8041709</v>
          </cell>
        </row>
        <row r="4459">
          <cell r="A4459">
            <v>8041710</v>
          </cell>
        </row>
        <row r="4460">
          <cell r="A4460">
            <v>8041711</v>
          </cell>
        </row>
        <row r="4461">
          <cell r="A4461">
            <v>8041712</v>
          </cell>
        </row>
        <row r="4462">
          <cell r="A4462">
            <v>8041713</v>
          </cell>
        </row>
        <row r="4463">
          <cell r="A4463">
            <v>8041714</v>
          </cell>
        </row>
        <row r="4464">
          <cell r="A4464">
            <v>8041715</v>
          </cell>
        </row>
        <row r="4465">
          <cell r="A4465">
            <v>8041716</v>
          </cell>
        </row>
        <row r="4466">
          <cell r="A4466">
            <v>8041717</v>
          </cell>
        </row>
        <row r="4467">
          <cell r="A4467">
            <v>8041718</v>
          </cell>
        </row>
        <row r="4468">
          <cell r="A4468">
            <v>8041719</v>
          </cell>
        </row>
        <row r="4469">
          <cell r="A4469">
            <v>8041720</v>
          </cell>
        </row>
        <row r="4470">
          <cell r="A4470">
            <v>8041721</v>
          </cell>
        </row>
        <row r="4471">
          <cell r="A4471">
            <v>8041722</v>
          </cell>
        </row>
        <row r="4472">
          <cell r="A4472">
            <v>8041723</v>
          </cell>
        </row>
        <row r="4473">
          <cell r="A4473">
            <v>8041724</v>
          </cell>
        </row>
        <row r="4474">
          <cell r="A4474">
            <v>8041725</v>
          </cell>
        </row>
        <row r="4475">
          <cell r="A4475">
            <v>8041726</v>
          </cell>
        </row>
        <row r="4476">
          <cell r="A4476">
            <v>8041727</v>
          </cell>
        </row>
        <row r="4477">
          <cell r="A4477">
            <v>8041728</v>
          </cell>
        </row>
        <row r="4478">
          <cell r="A4478">
            <v>8041739</v>
          </cell>
        </row>
        <row r="4479">
          <cell r="A4479">
            <v>8041801</v>
          </cell>
        </row>
        <row r="4480">
          <cell r="A4480">
            <v>8041802</v>
          </cell>
        </row>
        <row r="4481">
          <cell r="A4481">
            <v>8041803</v>
          </cell>
        </row>
        <row r="4482">
          <cell r="A4482">
            <v>8041804</v>
          </cell>
        </row>
        <row r="4483">
          <cell r="A4483">
            <v>8041805</v>
          </cell>
        </row>
        <row r="4484">
          <cell r="A4484">
            <v>8041806</v>
          </cell>
        </row>
        <row r="4485">
          <cell r="A4485">
            <v>8041807</v>
          </cell>
        </row>
        <row r="4486">
          <cell r="A4486">
            <v>8041808</v>
          </cell>
        </row>
        <row r="4487">
          <cell r="A4487">
            <v>8041809</v>
          </cell>
        </row>
        <row r="4488">
          <cell r="A4488">
            <v>8041810</v>
          </cell>
        </row>
        <row r="4489">
          <cell r="A4489">
            <v>8041811</v>
          </cell>
        </row>
        <row r="4490">
          <cell r="A4490">
            <v>8041812</v>
          </cell>
        </row>
        <row r="4491">
          <cell r="A4491">
            <v>8041813</v>
          </cell>
        </row>
        <row r="4492">
          <cell r="A4492">
            <v>8041814</v>
          </cell>
        </row>
        <row r="4493">
          <cell r="A4493">
            <v>8041815</v>
          </cell>
        </row>
        <row r="4494">
          <cell r="A4494">
            <v>8041816</v>
          </cell>
        </row>
        <row r="4495">
          <cell r="A4495">
            <v>8041817</v>
          </cell>
        </row>
        <row r="4496">
          <cell r="A4496">
            <v>8041818</v>
          </cell>
        </row>
        <row r="4497">
          <cell r="A4497">
            <v>8041819</v>
          </cell>
        </row>
        <row r="4498">
          <cell r="A4498">
            <v>8041820</v>
          </cell>
        </row>
        <row r="4499">
          <cell r="A4499">
            <v>8041821</v>
          </cell>
        </row>
        <row r="4500">
          <cell r="A4500">
            <v>8041822</v>
          </cell>
        </row>
        <row r="4501">
          <cell r="A4501">
            <v>8041823</v>
          </cell>
        </row>
        <row r="4502">
          <cell r="A4502">
            <v>8041824</v>
          </cell>
        </row>
        <row r="4503">
          <cell r="A4503">
            <v>8041825</v>
          </cell>
        </row>
        <row r="4504">
          <cell r="A4504">
            <v>8041826</v>
          </cell>
        </row>
        <row r="4505">
          <cell r="A4505">
            <v>8041827</v>
          </cell>
        </row>
        <row r="4506">
          <cell r="A4506">
            <v>8041828</v>
          </cell>
        </row>
        <row r="4507">
          <cell r="A4507">
            <v>8041829</v>
          </cell>
        </row>
        <row r="4508">
          <cell r="A4508">
            <v>8041830</v>
          </cell>
        </row>
        <row r="4509">
          <cell r="A4509">
            <v>8041831</v>
          </cell>
        </row>
        <row r="4510">
          <cell r="A4510">
            <v>8041832</v>
          </cell>
        </row>
        <row r="4511">
          <cell r="A4511">
            <v>8041833</v>
          </cell>
        </row>
        <row r="4512">
          <cell r="A4512">
            <v>8041834</v>
          </cell>
        </row>
        <row r="4513">
          <cell r="A4513">
            <v>8041835</v>
          </cell>
        </row>
        <row r="4514">
          <cell r="A4514">
            <v>8041836</v>
          </cell>
        </row>
        <row r="4515">
          <cell r="A4515">
            <v>8041837</v>
          </cell>
        </row>
        <row r="4516">
          <cell r="A4516">
            <v>8041838</v>
          </cell>
        </row>
        <row r="4517">
          <cell r="A4517">
            <v>8041839</v>
          </cell>
        </row>
        <row r="4518">
          <cell r="A4518">
            <v>8041840</v>
          </cell>
        </row>
        <row r="4519">
          <cell r="A4519">
            <v>8041841</v>
          </cell>
        </row>
        <row r="4520">
          <cell r="A4520">
            <v>8041842</v>
          </cell>
        </row>
        <row r="4521">
          <cell r="A4521">
            <v>8041843</v>
          </cell>
        </row>
        <row r="4522">
          <cell r="A4522">
            <v>8041844</v>
          </cell>
        </row>
        <row r="4523">
          <cell r="A4523">
            <v>8041901</v>
          </cell>
        </row>
        <row r="4524">
          <cell r="A4524">
            <v>8041902</v>
          </cell>
        </row>
        <row r="4525">
          <cell r="A4525">
            <v>8041903</v>
          </cell>
        </row>
        <row r="4526">
          <cell r="A4526">
            <v>8041904</v>
          </cell>
        </row>
        <row r="4527">
          <cell r="A4527">
            <v>8041905</v>
          </cell>
        </row>
        <row r="4528">
          <cell r="A4528">
            <v>8041906</v>
          </cell>
        </row>
        <row r="4529">
          <cell r="A4529">
            <v>8041907</v>
          </cell>
        </row>
        <row r="4530">
          <cell r="A4530">
            <v>8041908</v>
          </cell>
        </row>
        <row r="4531">
          <cell r="A4531">
            <v>8041909</v>
          </cell>
        </row>
        <row r="4532">
          <cell r="A4532">
            <v>8041910</v>
          </cell>
        </row>
        <row r="4533">
          <cell r="A4533">
            <v>8041911</v>
          </cell>
        </row>
        <row r="4534">
          <cell r="A4534">
            <v>8041912</v>
          </cell>
        </row>
        <row r="4535">
          <cell r="A4535">
            <v>8041913</v>
          </cell>
        </row>
        <row r="4536">
          <cell r="A4536">
            <v>8041914</v>
          </cell>
        </row>
        <row r="4537">
          <cell r="A4537">
            <v>8041915</v>
          </cell>
        </row>
        <row r="4538">
          <cell r="A4538">
            <v>8041916</v>
          </cell>
        </row>
        <row r="4539">
          <cell r="A4539">
            <v>8041917</v>
          </cell>
        </row>
        <row r="4540">
          <cell r="A4540">
            <v>8041918</v>
          </cell>
        </row>
        <row r="4541">
          <cell r="A4541">
            <v>8041919</v>
          </cell>
        </row>
        <row r="4542">
          <cell r="A4542">
            <v>8041920</v>
          </cell>
        </row>
        <row r="4543">
          <cell r="A4543">
            <v>8041921</v>
          </cell>
        </row>
        <row r="4544">
          <cell r="A4544">
            <v>8041922</v>
          </cell>
        </row>
        <row r="4545">
          <cell r="A4545">
            <v>8041923</v>
          </cell>
        </row>
        <row r="4546">
          <cell r="A4546">
            <v>8041924</v>
          </cell>
        </row>
        <row r="4547">
          <cell r="A4547">
            <v>8041925</v>
          </cell>
        </row>
        <row r="4548">
          <cell r="A4548">
            <v>8041926</v>
          </cell>
        </row>
        <row r="4549">
          <cell r="A4549">
            <v>8041927</v>
          </cell>
        </row>
        <row r="4550">
          <cell r="A4550">
            <v>8041928</v>
          </cell>
        </row>
        <row r="4551">
          <cell r="A4551">
            <v>8041929</v>
          </cell>
        </row>
        <row r="4552">
          <cell r="A4552">
            <v>8041930</v>
          </cell>
        </row>
        <row r="4553">
          <cell r="A4553">
            <v>8041940</v>
          </cell>
        </row>
        <row r="4554">
          <cell r="A4554">
            <v>8041941</v>
          </cell>
        </row>
        <row r="4555">
          <cell r="A4555">
            <v>8041942</v>
          </cell>
        </row>
        <row r="4556">
          <cell r="A4556">
            <v>8041943</v>
          </cell>
        </row>
        <row r="4557">
          <cell r="A4557">
            <v>8041944</v>
          </cell>
        </row>
        <row r="4558">
          <cell r="A4558">
            <v>8041945</v>
          </cell>
        </row>
        <row r="4559">
          <cell r="A4559">
            <v>8041946</v>
          </cell>
        </row>
        <row r="4560">
          <cell r="A4560">
            <v>8042001</v>
          </cell>
        </row>
        <row r="4561">
          <cell r="A4561">
            <v>8042002</v>
          </cell>
        </row>
        <row r="4562">
          <cell r="A4562">
            <v>8042003</v>
          </cell>
        </row>
        <row r="4563">
          <cell r="A4563">
            <v>8042004</v>
          </cell>
        </row>
        <row r="4564">
          <cell r="A4564">
            <v>8042005</v>
          </cell>
        </row>
        <row r="4565">
          <cell r="A4565">
            <v>8042006</v>
          </cell>
        </row>
        <row r="4566">
          <cell r="A4566">
            <v>8042007</v>
          </cell>
        </row>
        <row r="4567">
          <cell r="A4567">
            <v>8042008</v>
          </cell>
        </row>
        <row r="4568">
          <cell r="A4568">
            <v>8042009</v>
          </cell>
        </row>
        <row r="4569">
          <cell r="A4569">
            <v>8042010</v>
          </cell>
        </row>
        <row r="4570">
          <cell r="A4570">
            <v>8042101</v>
          </cell>
        </row>
        <row r="4571">
          <cell r="A4571">
            <v>8042102</v>
          </cell>
        </row>
        <row r="4572">
          <cell r="A4572">
            <v>8042103</v>
          </cell>
        </row>
        <row r="4573">
          <cell r="A4573">
            <v>8042104</v>
          </cell>
        </row>
        <row r="4574">
          <cell r="A4574">
            <v>8042105</v>
          </cell>
        </row>
        <row r="4575">
          <cell r="A4575">
            <v>8042106</v>
          </cell>
        </row>
        <row r="4576">
          <cell r="A4576">
            <v>8042107</v>
          </cell>
        </row>
        <row r="4577">
          <cell r="A4577">
            <v>8042108</v>
          </cell>
        </row>
        <row r="4578">
          <cell r="A4578">
            <v>8042109</v>
          </cell>
        </row>
        <row r="4579">
          <cell r="A4579">
            <v>8042110</v>
          </cell>
        </row>
        <row r="4580">
          <cell r="A4580">
            <v>8042111</v>
          </cell>
        </row>
        <row r="4581">
          <cell r="A4581">
            <v>8042112</v>
          </cell>
        </row>
        <row r="4582">
          <cell r="A4582">
            <v>8042113</v>
          </cell>
        </row>
        <row r="4583">
          <cell r="A4583">
            <v>8042114</v>
          </cell>
        </row>
        <row r="4584">
          <cell r="A4584">
            <v>8042115</v>
          </cell>
        </row>
        <row r="4585">
          <cell r="A4585">
            <v>8042116</v>
          </cell>
        </row>
        <row r="4586">
          <cell r="A4586">
            <v>8042117</v>
          </cell>
        </row>
        <row r="4587">
          <cell r="A4587">
            <v>8042118</v>
          </cell>
        </row>
        <row r="4588">
          <cell r="A4588">
            <v>8042119</v>
          </cell>
        </row>
        <row r="4589">
          <cell r="A4589">
            <v>8042120</v>
          </cell>
        </row>
        <row r="4590">
          <cell r="A4590">
            <v>8042121</v>
          </cell>
        </row>
        <row r="4591">
          <cell r="A4591">
            <v>8042122</v>
          </cell>
        </row>
        <row r="4592">
          <cell r="A4592">
            <v>8042123</v>
          </cell>
        </row>
        <row r="4593">
          <cell r="A4593">
            <v>8042124</v>
          </cell>
        </row>
        <row r="4594">
          <cell r="A4594">
            <v>8042125</v>
          </cell>
        </row>
        <row r="4595">
          <cell r="A4595">
            <v>8042126</v>
          </cell>
        </row>
        <row r="4596">
          <cell r="A4596">
            <v>8042127</v>
          </cell>
        </row>
        <row r="4597">
          <cell r="A4597">
            <v>8042128</v>
          </cell>
        </row>
        <row r="4598">
          <cell r="A4598">
            <v>8042129</v>
          </cell>
        </row>
        <row r="4599">
          <cell r="A4599">
            <v>8042130</v>
          </cell>
        </row>
        <row r="4600">
          <cell r="A4600">
            <v>8042131</v>
          </cell>
        </row>
        <row r="4601">
          <cell r="A4601">
            <v>8042132</v>
          </cell>
        </row>
        <row r="4602">
          <cell r="A4602">
            <v>8042133</v>
          </cell>
        </row>
        <row r="4603">
          <cell r="A4603">
            <v>8042134</v>
          </cell>
        </row>
        <row r="4604">
          <cell r="A4604">
            <v>8042135</v>
          </cell>
        </row>
        <row r="4605">
          <cell r="A4605">
            <v>8042136</v>
          </cell>
        </row>
        <row r="4606">
          <cell r="A4606">
            <v>8042137</v>
          </cell>
        </row>
        <row r="4607">
          <cell r="A4607">
            <v>8042138</v>
          </cell>
        </row>
        <row r="4608">
          <cell r="A4608">
            <v>8042139</v>
          </cell>
        </row>
        <row r="4609">
          <cell r="A4609">
            <v>8042140</v>
          </cell>
        </row>
        <row r="4610">
          <cell r="A4610">
            <v>8042141</v>
          </cell>
        </row>
        <row r="4611">
          <cell r="A4611">
            <v>8042142</v>
          </cell>
        </row>
        <row r="4612">
          <cell r="A4612">
            <v>8042201</v>
          </cell>
        </row>
        <row r="4613">
          <cell r="A4613">
            <v>8042202</v>
          </cell>
        </row>
        <row r="4614">
          <cell r="A4614">
            <v>8042203</v>
          </cell>
        </row>
        <row r="4615">
          <cell r="A4615">
            <v>8042204</v>
          </cell>
        </row>
        <row r="4616">
          <cell r="A4616">
            <v>8042205</v>
          </cell>
        </row>
        <row r="4617">
          <cell r="A4617">
            <v>8042206</v>
          </cell>
        </row>
        <row r="4618">
          <cell r="A4618">
            <v>8042207</v>
          </cell>
        </row>
        <row r="4619">
          <cell r="A4619">
            <v>8042208</v>
          </cell>
        </row>
        <row r="4620">
          <cell r="A4620">
            <v>8042209</v>
          </cell>
        </row>
        <row r="4621">
          <cell r="A4621">
            <v>8042210</v>
          </cell>
        </row>
        <row r="4622">
          <cell r="A4622">
            <v>8042211</v>
          </cell>
        </row>
        <row r="4623">
          <cell r="A4623">
            <v>8042212</v>
          </cell>
        </row>
        <row r="4624">
          <cell r="A4624">
            <v>8042213</v>
          </cell>
        </row>
        <row r="4625">
          <cell r="A4625">
            <v>8042214</v>
          </cell>
        </row>
        <row r="4626">
          <cell r="A4626">
            <v>8042215</v>
          </cell>
        </row>
        <row r="4627">
          <cell r="A4627">
            <v>8042216</v>
          </cell>
        </row>
        <row r="4628">
          <cell r="A4628">
            <v>8042217</v>
          </cell>
        </row>
        <row r="4629">
          <cell r="A4629">
            <v>8042218</v>
          </cell>
        </row>
        <row r="4630">
          <cell r="A4630">
            <v>8042219</v>
          </cell>
        </row>
        <row r="4631">
          <cell r="A4631">
            <v>8042220</v>
          </cell>
        </row>
        <row r="4632">
          <cell r="A4632">
            <v>8042221</v>
          </cell>
        </row>
        <row r="4633">
          <cell r="A4633">
            <v>8042222</v>
          </cell>
        </row>
        <row r="4634">
          <cell r="A4634">
            <v>8042223</v>
          </cell>
        </row>
        <row r="4635">
          <cell r="A4635">
            <v>8042224</v>
          </cell>
        </row>
        <row r="4636">
          <cell r="A4636">
            <v>8042225</v>
          </cell>
        </row>
        <row r="4637">
          <cell r="A4637">
            <v>8042226</v>
          </cell>
        </row>
        <row r="4638">
          <cell r="A4638">
            <v>8042227</v>
          </cell>
        </row>
        <row r="4639">
          <cell r="A4639">
            <v>8042228</v>
          </cell>
        </row>
        <row r="4640">
          <cell r="A4640">
            <v>8042229</v>
          </cell>
        </row>
        <row r="4641">
          <cell r="A4641">
            <v>8042230</v>
          </cell>
        </row>
        <row r="4642">
          <cell r="A4642">
            <v>8042231</v>
          </cell>
        </row>
        <row r="4643">
          <cell r="A4643">
            <v>8042232</v>
          </cell>
        </row>
        <row r="4644">
          <cell r="A4644">
            <v>8042233</v>
          </cell>
        </row>
        <row r="4645">
          <cell r="A4645">
            <v>8042234</v>
          </cell>
        </row>
        <row r="4646">
          <cell r="A4646">
            <v>8042235</v>
          </cell>
        </row>
        <row r="4647">
          <cell r="A4647">
            <v>8042236</v>
          </cell>
        </row>
        <row r="4648">
          <cell r="A4648">
            <v>8042237</v>
          </cell>
        </row>
        <row r="4649">
          <cell r="A4649">
            <v>8042238</v>
          </cell>
        </row>
        <row r="4650">
          <cell r="A4650">
            <v>8042239</v>
          </cell>
        </row>
        <row r="4651">
          <cell r="A4651">
            <v>8042240</v>
          </cell>
        </row>
        <row r="4652">
          <cell r="A4652">
            <v>8042241</v>
          </cell>
        </row>
        <row r="4653">
          <cell r="A4653">
            <v>8042242</v>
          </cell>
        </row>
        <row r="4654">
          <cell r="A4654">
            <v>8042243</v>
          </cell>
        </row>
        <row r="4655">
          <cell r="A4655">
            <v>8042244</v>
          </cell>
        </row>
        <row r="4656">
          <cell r="A4656">
            <v>8042245</v>
          </cell>
        </row>
        <row r="4657">
          <cell r="A4657">
            <v>8042246</v>
          </cell>
        </row>
        <row r="4658">
          <cell r="A4658">
            <v>8042247</v>
          </cell>
        </row>
        <row r="4659">
          <cell r="A4659">
            <v>8042248</v>
          </cell>
        </row>
        <row r="4660">
          <cell r="A4660">
            <v>8042255</v>
          </cell>
        </row>
        <row r="4661">
          <cell r="A4661">
            <v>8042256</v>
          </cell>
        </row>
        <row r="4662">
          <cell r="A4662">
            <v>8042257</v>
          </cell>
        </row>
        <row r="4663">
          <cell r="A4663">
            <v>8042258</v>
          </cell>
        </row>
        <row r="4664">
          <cell r="A4664">
            <v>8042259</v>
          </cell>
        </row>
        <row r="4665">
          <cell r="A4665">
            <v>8042260</v>
          </cell>
        </row>
        <row r="4666">
          <cell r="A4666">
            <v>8042261</v>
          </cell>
        </row>
        <row r="4667">
          <cell r="A4667">
            <v>8042262</v>
          </cell>
        </row>
        <row r="4668">
          <cell r="A4668">
            <v>8042263</v>
          </cell>
        </row>
        <row r="4669">
          <cell r="A4669">
            <v>8042264</v>
          </cell>
        </row>
        <row r="4670">
          <cell r="A4670">
            <v>8042265</v>
          </cell>
        </row>
        <row r="4671">
          <cell r="A4671">
            <v>8042266</v>
          </cell>
        </row>
        <row r="4672">
          <cell r="A4672">
            <v>8042301</v>
          </cell>
        </row>
        <row r="4673">
          <cell r="A4673">
            <v>8042302</v>
          </cell>
        </row>
        <row r="4674">
          <cell r="A4674">
            <v>8042303</v>
          </cell>
        </row>
        <row r="4675">
          <cell r="A4675">
            <v>8042304</v>
          </cell>
        </row>
        <row r="4676">
          <cell r="A4676">
            <v>8042305</v>
          </cell>
        </row>
        <row r="4677">
          <cell r="A4677">
            <v>8042306</v>
          </cell>
        </row>
        <row r="4678">
          <cell r="A4678">
            <v>8042307</v>
          </cell>
        </row>
        <row r="4679">
          <cell r="A4679">
            <v>8042308</v>
          </cell>
        </row>
        <row r="4680">
          <cell r="A4680">
            <v>8042309</v>
          </cell>
        </row>
        <row r="4681">
          <cell r="A4681">
            <v>8042310</v>
          </cell>
        </row>
        <row r="4682">
          <cell r="A4682">
            <v>8042311</v>
          </cell>
        </row>
        <row r="4683">
          <cell r="A4683">
            <v>8042312</v>
          </cell>
        </row>
        <row r="4684">
          <cell r="A4684">
            <v>8042313</v>
          </cell>
        </row>
        <row r="4685">
          <cell r="A4685">
            <v>8042314</v>
          </cell>
        </row>
        <row r="4686">
          <cell r="A4686">
            <v>8042315</v>
          </cell>
        </row>
        <row r="4687">
          <cell r="A4687">
            <v>8042316</v>
          </cell>
        </row>
        <row r="4688">
          <cell r="A4688">
            <v>8042317</v>
          </cell>
        </row>
        <row r="4689">
          <cell r="A4689">
            <v>8042318</v>
          </cell>
        </row>
        <row r="4690">
          <cell r="A4690">
            <v>8042319</v>
          </cell>
        </row>
        <row r="4691">
          <cell r="A4691">
            <v>8042320</v>
          </cell>
        </row>
        <row r="4692">
          <cell r="A4692">
            <v>8042321</v>
          </cell>
        </row>
        <row r="4693">
          <cell r="A4693">
            <v>8042322</v>
          </cell>
        </row>
        <row r="4694">
          <cell r="A4694">
            <v>8042323</v>
          </cell>
        </row>
        <row r="4695">
          <cell r="A4695">
            <v>8042324</v>
          </cell>
        </row>
        <row r="4696">
          <cell r="A4696">
            <v>8042325</v>
          </cell>
        </row>
        <row r="4697">
          <cell r="A4697">
            <v>8042326</v>
          </cell>
        </row>
        <row r="4698">
          <cell r="A4698">
            <v>8042327</v>
          </cell>
        </row>
        <row r="4699">
          <cell r="A4699">
            <v>8042328</v>
          </cell>
        </row>
        <row r="4700">
          <cell r="A4700">
            <v>8042329</v>
          </cell>
        </row>
        <row r="4701">
          <cell r="A4701">
            <v>8042330</v>
          </cell>
        </row>
        <row r="4702">
          <cell r="A4702">
            <v>8042331</v>
          </cell>
        </row>
        <row r="4703">
          <cell r="A4703">
            <v>8042332</v>
          </cell>
        </row>
        <row r="4704">
          <cell r="A4704">
            <v>8042333</v>
          </cell>
        </row>
        <row r="4705">
          <cell r="A4705">
            <v>8042334</v>
          </cell>
        </row>
        <row r="4706">
          <cell r="A4706">
            <v>8042335</v>
          </cell>
        </row>
        <row r="4707">
          <cell r="A4707">
            <v>8042336</v>
          </cell>
        </row>
        <row r="4708">
          <cell r="A4708">
            <v>8042337</v>
          </cell>
        </row>
        <row r="4709">
          <cell r="A4709">
            <v>8042338</v>
          </cell>
        </row>
        <row r="4710">
          <cell r="A4710">
            <v>8042339</v>
          </cell>
        </row>
        <row r="4711">
          <cell r="A4711">
            <v>8042340</v>
          </cell>
        </row>
        <row r="4712">
          <cell r="A4712">
            <v>8042341</v>
          </cell>
        </row>
        <row r="4713">
          <cell r="A4713">
            <v>8042342</v>
          </cell>
        </row>
        <row r="4714">
          <cell r="A4714">
            <v>8042343</v>
          </cell>
        </row>
        <row r="4715">
          <cell r="A4715">
            <v>8042344</v>
          </cell>
        </row>
        <row r="4716">
          <cell r="A4716">
            <v>8042345</v>
          </cell>
        </row>
        <row r="4717">
          <cell r="A4717">
            <v>8042346</v>
          </cell>
        </row>
        <row r="4718">
          <cell r="A4718">
            <v>8042347</v>
          </cell>
        </row>
        <row r="4719">
          <cell r="A4719">
            <v>8042348</v>
          </cell>
        </row>
        <row r="4720">
          <cell r="A4720">
            <v>8042349</v>
          </cell>
        </row>
        <row r="4721">
          <cell r="A4721">
            <v>8042350</v>
          </cell>
        </row>
        <row r="4722">
          <cell r="A4722">
            <v>8042351</v>
          </cell>
        </row>
        <row r="4723">
          <cell r="A4723">
            <v>8042352</v>
          </cell>
        </row>
        <row r="4724">
          <cell r="A4724">
            <v>8042353</v>
          </cell>
        </row>
        <row r="4725">
          <cell r="A4725">
            <v>8042354</v>
          </cell>
        </row>
        <row r="4726">
          <cell r="A4726">
            <v>8042355</v>
          </cell>
        </row>
        <row r="4727">
          <cell r="A4727">
            <v>8042356</v>
          </cell>
        </row>
        <row r="4728">
          <cell r="A4728">
            <v>8042357</v>
          </cell>
        </row>
        <row r="4729">
          <cell r="A4729">
            <v>8042401</v>
          </cell>
        </row>
        <row r="4730">
          <cell r="A4730">
            <v>8042402</v>
          </cell>
        </row>
        <row r="4731">
          <cell r="A4731">
            <v>8042403</v>
          </cell>
        </row>
        <row r="4732">
          <cell r="A4732">
            <v>8042404</v>
          </cell>
        </row>
        <row r="4733">
          <cell r="A4733">
            <v>8042405</v>
          </cell>
        </row>
        <row r="4734">
          <cell r="A4734">
            <v>8042406</v>
          </cell>
        </row>
        <row r="4735">
          <cell r="A4735">
            <v>8042407</v>
          </cell>
        </row>
        <row r="4736">
          <cell r="A4736">
            <v>8042408</v>
          </cell>
        </row>
        <row r="4737">
          <cell r="A4737">
            <v>8042409</v>
          </cell>
        </row>
        <row r="4738">
          <cell r="A4738">
            <v>8042410</v>
          </cell>
        </row>
        <row r="4739">
          <cell r="A4739">
            <v>8042411</v>
          </cell>
        </row>
        <row r="4740">
          <cell r="A4740">
            <v>8042412</v>
          </cell>
        </row>
        <row r="4741">
          <cell r="A4741">
            <v>8042413</v>
          </cell>
        </row>
        <row r="4742">
          <cell r="A4742">
            <v>8042414</v>
          </cell>
        </row>
        <row r="4743">
          <cell r="A4743">
            <v>8042421</v>
          </cell>
        </row>
        <row r="4744">
          <cell r="A4744">
            <v>8042422</v>
          </cell>
        </row>
        <row r="4745">
          <cell r="A4745">
            <v>8042423</v>
          </cell>
        </row>
        <row r="4746">
          <cell r="A4746">
            <v>8042424</v>
          </cell>
        </row>
        <row r="4747">
          <cell r="A4747">
            <v>8042425</v>
          </cell>
        </row>
        <row r="4748">
          <cell r="A4748">
            <v>8042426</v>
          </cell>
        </row>
        <row r="4749">
          <cell r="A4749">
            <v>8042427</v>
          </cell>
        </row>
        <row r="4750">
          <cell r="A4750">
            <v>8042432</v>
          </cell>
        </row>
        <row r="4751">
          <cell r="A4751">
            <v>8042433</v>
          </cell>
        </row>
        <row r="4752">
          <cell r="A4752">
            <v>8042434</v>
          </cell>
        </row>
        <row r="4753">
          <cell r="A4753">
            <v>8042435</v>
          </cell>
        </row>
        <row r="4754">
          <cell r="A4754">
            <v>8042436</v>
          </cell>
        </row>
        <row r="4755">
          <cell r="A4755">
            <v>8042443</v>
          </cell>
        </row>
        <row r="4756">
          <cell r="A4756">
            <v>8042444</v>
          </cell>
        </row>
        <row r="4757">
          <cell r="A4757">
            <v>8042445</v>
          </cell>
        </row>
        <row r="4758">
          <cell r="A4758">
            <v>8042446</v>
          </cell>
        </row>
        <row r="4759">
          <cell r="A4759">
            <v>8042447</v>
          </cell>
        </row>
        <row r="4760">
          <cell r="A4760">
            <v>8042501</v>
          </cell>
        </row>
        <row r="4761">
          <cell r="A4761">
            <v>8042502</v>
          </cell>
        </row>
        <row r="4762">
          <cell r="A4762">
            <v>8042503</v>
          </cell>
        </row>
        <row r="4763">
          <cell r="A4763">
            <v>8042504</v>
          </cell>
        </row>
        <row r="4764">
          <cell r="A4764">
            <v>8042505</v>
          </cell>
        </row>
        <row r="4765">
          <cell r="A4765">
            <v>8042506</v>
          </cell>
        </row>
        <row r="4766">
          <cell r="A4766">
            <v>8042507</v>
          </cell>
        </row>
        <row r="4767">
          <cell r="A4767">
            <v>8042508</v>
          </cell>
        </row>
        <row r="4768">
          <cell r="A4768">
            <v>8042509</v>
          </cell>
        </row>
        <row r="4769">
          <cell r="A4769">
            <v>8042510</v>
          </cell>
        </row>
        <row r="4770">
          <cell r="A4770">
            <v>8042511</v>
          </cell>
        </row>
        <row r="4771">
          <cell r="A4771">
            <v>8042512</v>
          </cell>
        </row>
        <row r="4772">
          <cell r="A4772">
            <v>8042513</v>
          </cell>
        </row>
        <row r="4773">
          <cell r="A4773">
            <v>8042514</v>
          </cell>
        </row>
        <row r="4774">
          <cell r="A4774">
            <v>8042515</v>
          </cell>
        </row>
        <row r="4775">
          <cell r="A4775">
            <v>8042516</v>
          </cell>
        </row>
        <row r="4776">
          <cell r="A4776">
            <v>8042517</v>
          </cell>
        </row>
        <row r="4777">
          <cell r="A4777">
            <v>8042518</v>
          </cell>
        </row>
        <row r="4778">
          <cell r="A4778">
            <v>8042519</v>
          </cell>
        </row>
        <row r="4779">
          <cell r="A4779">
            <v>8042520</v>
          </cell>
        </row>
        <row r="4780">
          <cell r="A4780">
            <v>8042521</v>
          </cell>
        </row>
        <row r="4781">
          <cell r="A4781">
            <v>8042522</v>
          </cell>
        </row>
        <row r="4782">
          <cell r="A4782">
            <v>8042523</v>
          </cell>
        </row>
        <row r="4783">
          <cell r="A4783">
            <v>8042524</v>
          </cell>
        </row>
        <row r="4784">
          <cell r="A4784">
            <v>8042525</v>
          </cell>
        </row>
        <row r="4785">
          <cell r="A4785">
            <v>8042526</v>
          </cell>
        </row>
        <row r="4786">
          <cell r="A4786">
            <v>8042527</v>
          </cell>
        </row>
        <row r="4787">
          <cell r="A4787">
            <v>8042528</v>
          </cell>
        </row>
        <row r="4788">
          <cell r="A4788">
            <v>8042529</v>
          </cell>
        </row>
        <row r="4789">
          <cell r="A4789">
            <v>8042530</v>
          </cell>
        </row>
        <row r="4790">
          <cell r="A4790">
            <v>8042531</v>
          </cell>
        </row>
        <row r="4791">
          <cell r="A4791">
            <v>8042532</v>
          </cell>
        </row>
        <row r="4792">
          <cell r="A4792">
            <v>8042533</v>
          </cell>
        </row>
        <row r="4793">
          <cell r="A4793">
            <v>8042534</v>
          </cell>
        </row>
        <row r="4794">
          <cell r="A4794">
            <v>8042535</v>
          </cell>
        </row>
        <row r="4795">
          <cell r="A4795">
            <v>8042536</v>
          </cell>
        </row>
        <row r="4796">
          <cell r="A4796">
            <v>8042537</v>
          </cell>
        </row>
        <row r="4797">
          <cell r="A4797">
            <v>8042538</v>
          </cell>
        </row>
        <row r="4798">
          <cell r="A4798">
            <v>8042539</v>
          </cell>
        </row>
        <row r="4799">
          <cell r="A4799">
            <v>8042540</v>
          </cell>
        </row>
        <row r="4800">
          <cell r="A4800">
            <v>8042541</v>
          </cell>
        </row>
        <row r="4801">
          <cell r="A4801">
            <v>8042542</v>
          </cell>
        </row>
        <row r="4802">
          <cell r="A4802">
            <v>8042543</v>
          </cell>
        </row>
        <row r="4803">
          <cell r="A4803">
            <v>8042544</v>
          </cell>
        </row>
        <row r="4804">
          <cell r="A4804">
            <v>8042545</v>
          </cell>
        </row>
        <row r="4805">
          <cell r="A4805">
            <v>8042546</v>
          </cell>
        </row>
        <row r="4806">
          <cell r="A4806">
            <v>8042547</v>
          </cell>
        </row>
        <row r="4807">
          <cell r="A4807">
            <v>8042548</v>
          </cell>
        </row>
        <row r="4808">
          <cell r="A4808">
            <v>8042549</v>
          </cell>
        </row>
        <row r="4809">
          <cell r="A4809">
            <v>8042550</v>
          </cell>
        </row>
        <row r="4810">
          <cell r="A4810">
            <v>8042551</v>
          </cell>
        </row>
        <row r="4811">
          <cell r="A4811">
            <v>8042560</v>
          </cell>
        </row>
        <row r="4812">
          <cell r="A4812">
            <v>8042561</v>
          </cell>
        </row>
        <row r="4813">
          <cell r="A4813">
            <v>8042562</v>
          </cell>
        </row>
        <row r="4814">
          <cell r="A4814">
            <v>8042563</v>
          </cell>
        </row>
        <row r="4815">
          <cell r="A4815">
            <v>8042564</v>
          </cell>
        </row>
        <row r="4816">
          <cell r="A4816">
            <v>8042565</v>
          </cell>
        </row>
        <row r="4817">
          <cell r="A4817">
            <v>8042566</v>
          </cell>
        </row>
        <row r="4818">
          <cell r="A4818">
            <v>8042567</v>
          </cell>
        </row>
        <row r="4819">
          <cell r="A4819">
            <v>8042568</v>
          </cell>
        </row>
        <row r="4820">
          <cell r="A4820">
            <v>8042569</v>
          </cell>
        </row>
        <row r="4821">
          <cell r="A4821">
            <v>8042571</v>
          </cell>
        </row>
        <row r="4822">
          <cell r="A4822">
            <v>8042601</v>
          </cell>
        </row>
        <row r="4823">
          <cell r="A4823">
            <v>8042602</v>
          </cell>
        </row>
        <row r="4824">
          <cell r="A4824">
            <v>8042603</v>
          </cell>
        </row>
        <row r="4825">
          <cell r="A4825">
            <v>8042604</v>
          </cell>
        </row>
        <row r="4826">
          <cell r="A4826">
            <v>8042605</v>
          </cell>
        </row>
        <row r="4827">
          <cell r="A4827">
            <v>8042606</v>
          </cell>
        </row>
        <row r="4828">
          <cell r="A4828">
            <v>8042607</v>
          </cell>
        </row>
        <row r="4829">
          <cell r="A4829">
            <v>8042608</v>
          </cell>
        </row>
        <row r="4830">
          <cell r="A4830">
            <v>8042609</v>
          </cell>
        </row>
        <row r="4831">
          <cell r="A4831">
            <v>8042610</v>
          </cell>
        </row>
        <row r="4832">
          <cell r="A4832">
            <v>8042611</v>
          </cell>
        </row>
        <row r="4833">
          <cell r="A4833">
            <v>8042612</v>
          </cell>
        </row>
        <row r="4834">
          <cell r="A4834">
            <v>8042613</v>
          </cell>
        </row>
        <row r="4835">
          <cell r="A4835">
            <v>8042614</v>
          </cell>
        </row>
        <row r="4836">
          <cell r="A4836">
            <v>8042615</v>
          </cell>
        </row>
        <row r="4837">
          <cell r="A4837">
            <v>8042616</v>
          </cell>
        </row>
        <row r="4838">
          <cell r="A4838">
            <v>8042617</v>
          </cell>
        </row>
        <row r="4839">
          <cell r="A4839">
            <v>8042622</v>
          </cell>
        </row>
        <row r="4840">
          <cell r="A4840">
            <v>8042623</v>
          </cell>
        </row>
        <row r="4841">
          <cell r="A4841">
            <v>8042624</v>
          </cell>
        </row>
        <row r="4842">
          <cell r="A4842">
            <v>8042625</v>
          </cell>
        </row>
        <row r="4843">
          <cell r="A4843">
            <v>8042626</v>
          </cell>
        </row>
        <row r="4844">
          <cell r="A4844">
            <v>8042627</v>
          </cell>
        </row>
        <row r="4845">
          <cell r="A4845">
            <v>8042628</v>
          </cell>
        </row>
        <row r="4846">
          <cell r="A4846">
            <v>8042629</v>
          </cell>
        </row>
        <row r="4847">
          <cell r="A4847">
            <v>8042630</v>
          </cell>
        </row>
        <row r="4848">
          <cell r="A4848">
            <v>8042631</v>
          </cell>
        </row>
        <row r="4849">
          <cell r="A4849">
            <v>8042632</v>
          </cell>
        </row>
        <row r="4850">
          <cell r="A4850">
            <v>8042633</v>
          </cell>
        </row>
        <row r="4851">
          <cell r="A4851">
            <v>8042634</v>
          </cell>
        </row>
        <row r="4852">
          <cell r="A4852">
            <v>8042635</v>
          </cell>
        </row>
        <row r="4853">
          <cell r="A4853">
            <v>8042636</v>
          </cell>
        </row>
        <row r="4854">
          <cell r="A4854">
            <v>8042637</v>
          </cell>
        </row>
        <row r="4855">
          <cell r="A4855">
            <v>8042638</v>
          </cell>
        </row>
        <row r="4856">
          <cell r="A4856">
            <v>8042639</v>
          </cell>
        </row>
        <row r="4857">
          <cell r="A4857">
            <v>8042640</v>
          </cell>
        </row>
        <row r="4858">
          <cell r="A4858">
            <v>8042641</v>
          </cell>
        </row>
        <row r="4859">
          <cell r="A4859">
            <v>8042642</v>
          </cell>
        </row>
        <row r="4860">
          <cell r="A4860">
            <v>8042643</v>
          </cell>
        </row>
        <row r="4861">
          <cell r="A4861">
            <v>8042644</v>
          </cell>
        </row>
        <row r="4862">
          <cell r="A4862">
            <v>8042645</v>
          </cell>
        </row>
        <row r="4863">
          <cell r="A4863">
            <v>8042651</v>
          </cell>
        </row>
        <row r="4864">
          <cell r="A4864">
            <v>8042652</v>
          </cell>
        </row>
        <row r="4865">
          <cell r="A4865">
            <v>8042654</v>
          </cell>
        </row>
        <row r="4866">
          <cell r="A4866">
            <v>8042655</v>
          </cell>
        </row>
        <row r="4867">
          <cell r="A4867">
            <v>8042656</v>
          </cell>
        </row>
        <row r="4868">
          <cell r="A4868">
            <v>8042657</v>
          </cell>
        </row>
        <row r="4869">
          <cell r="A4869">
            <v>8042658</v>
          </cell>
        </row>
        <row r="4870">
          <cell r="A4870">
            <v>8042659</v>
          </cell>
        </row>
        <row r="4871">
          <cell r="A4871">
            <v>8042660</v>
          </cell>
        </row>
        <row r="4872">
          <cell r="A4872">
            <v>8042661</v>
          </cell>
        </row>
        <row r="4873">
          <cell r="A4873">
            <v>8042701</v>
          </cell>
        </row>
        <row r="4874">
          <cell r="A4874">
            <v>8042702</v>
          </cell>
        </row>
        <row r="4875">
          <cell r="A4875">
            <v>8042703</v>
          </cell>
        </row>
        <row r="4876">
          <cell r="A4876">
            <v>8042704</v>
          </cell>
        </row>
        <row r="4877">
          <cell r="A4877">
            <v>8042705</v>
          </cell>
        </row>
        <row r="4878">
          <cell r="A4878">
            <v>8042706</v>
          </cell>
        </row>
        <row r="4879">
          <cell r="A4879">
            <v>8042707</v>
          </cell>
        </row>
        <row r="4880">
          <cell r="A4880">
            <v>8042708</v>
          </cell>
        </row>
        <row r="4881">
          <cell r="A4881">
            <v>8042709</v>
          </cell>
        </row>
        <row r="4882">
          <cell r="A4882">
            <v>8042710</v>
          </cell>
        </row>
        <row r="4883">
          <cell r="A4883">
            <v>8042711</v>
          </cell>
        </row>
        <row r="4884">
          <cell r="A4884">
            <v>8042712</v>
          </cell>
        </row>
        <row r="4885">
          <cell r="A4885">
            <v>8042713</v>
          </cell>
        </row>
        <row r="4886">
          <cell r="A4886">
            <v>8042801</v>
          </cell>
        </row>
        <row r="4887">
          <cell r="A4887">
            <v>8042802</v>
          </cell>
        </row>
        <row r="4888">
          <cell r="A4888">
            <v>8042803</v>
          </cell>
        </row>
        <row r="4889">
          <cell r="A4889">
            <v>8042804</v>
          </cell>
        </row>
        <row r="4890">
          <cell r="A4890">
            <v>8042805</v>
          </cell>
        </row>
        <row r="4891">
          <cell r="A4891">
            <v>8042806</v>
          </cell>
        </row>
        <row r="4892">
          <cell r="A4892">
            <v>8042807</v>
          </cell>
        </row>
        <row r="4893">
          <cell r="A4893">
            <v>8042808</v>
          </cell>
        </row>
        <row r="4894">
          <cell r="A4894">
            <v>8042809</v>
          </cell>
        </row>
        <row r="4895">
          <cell r="A4895">
            <v>8042810</v>
          </cell>
        </row>
        <row r="4896">
          <cell r="A4896">
            <v>8042811</v>
          </cell>
        </row>
        <row r="4897">
          <cell r="A4897">
            <v>8042812</v>
          </cell>
        </row>
        <row r="4898">
          <cell r="A4898">
            <v>8042813</v>
          </cell>
        </row>
        <row r="4899">
          <cell r="A4899">
            <v>8042814</v>
          </cell>
        </row>
        <row r="4900">
          <cell r="A4900">
            <v>8042815</v>
          </cell>
        </row>
        <row r="4901">
          <cell r="A4901">
            <v>8042816</v>
          </cell>
        </row>
        <row r="4902">
          <cell r="A4902">
            <v>8042817</v>
          </cell>
        </row>
        <row r="4903">
          <cell r="A4903">
            <v>8042818</v>
          </cell>
        </row>
        <row r="4904">
          <cell r="A4904">
            <v>8042819</v>
          </cell>
        </row>
        <row r="4905">
          <cell r="A4905">
            <v>8042820</v>
          </cell>
        </row>
        <row r="4906">
          <cell r="A4906">
            <v>8042821</v>
          </cell>
        </row>
        <row r="4907">
          <cell r="A4907">
            <v>8042822</v>
          </cell>
        </row>
        <row r="4908">
          <cell r="A4908">
            <v>8042823</v>
          </cell>
        </row>
        <row r="4909">
          <cell r="A4909">
            <v>8042824</v>
          </cell>
        </row>
        <row r="4910">
          <cell r="A4910">
            <v>8042825</v>
          </cell>
        </row>
        <row r="4911">
          <cell r="A4911">
            <v>8042826</v>
          </cell>
        </row>
        <row r="4912">
          <cell r="A4912">
            <v>8042834</v>
          </cell>
        </row>
        <row r="4913">
          <cell r="A4913">
            <v>8042835</v>
          </cell>
        </row>
        <row r="4914">
          <cell r="A4914">
            <v>8042836</v>
          </cell>
        </row>
        <row r="4915">
          <cell r="A4915">
            <v>8042837</v>
          </cell>
        </row>
        <row r="4916">
          <cell r="A4916">
            <v>8042838</v>
          </cell>
        </row>
        <row r="4917">
          <cell r="A4917">
            <v>8042839</v>
          </cell>
        </row>
        <row r="4918">
          <cell r="A4918">
            <v>8042840</v>
          </cell>
        </row>
        <row r="4919">
          <cell r="A4919">
            <v>8042841</v>
          </cell>
        </row>
        <row r="4920">
          <cell r="A4920">
            <v>8042842</v>
          </cell>
        </row>
        <row r="4921">
          <cell r="A4921">
            <v>8042901</v>
          </cell>
        </row>
        <row r="4922">
          <cell r="A4922">
            <v>8042902</v>
          </cell>
        </row>
        <row r="4923">
          <cell r="A4923">
            <v>8042903</v>
          </cell>
        </row>
        <row r="4924">
          <cell r="A4924">
            <v>8042904</v>
          </cell>
        </row>
        <row r="4925">
          <cell r="A4925">
            <v>8042905</v>
          </cell>
        </row>
        <row r="4926">
          <cell r="A4926">
            <v>8042906</v>
          </cell>
        </row>
        <row r="4927">
          <cell r="A4927">
            <v>8042907</v>
          </cell>
        </row>
        <row r="4928">
          <cell r="A4928">
            <v>8042908</v>
          </cell>
        </row>
        <row r="4929">
          <cell r="A4929">
            <v>8042909</v>
          </cell>
        </row>
        <row r="4930">
          <cell r="A4930">
            <v>8042910</v>
          </cell>
        </row>
        <row r="4931">
          <cell r="A4931">
            <v>8042911</v>
          </cell>
        </row>
        <row r="4932">
          <cell r="A4932">
            <v>8042912</v>
          </cell>
        </row>
        <row r="4933">
          <cell r="A4933">
            <v>8042913</v>
          </cell>
        </row>
        <row r="4934">
          <cell r="A4934">
            <v>8042914</v>
          </cell>
        </row>
        <row r="4935">
          <cell r="A4935">
            <v>8042915</v>
          </cell>
        </row>
        <row r="4936">
          <cell r="A4936">
            <v>8042916</v>
          </cell>
        </row>
        <row r="4937">
          <cell r="A4937">
            <v>8042917</v>
          </cell>
        </row>
        <row r="4938">
          <cell r="A4938">
            <v>8042918</v>
          </cell>
        </row>
        <row r="4939">
          <cell r="A4939">
            <v>8042919</v>
          </cell>
        </row>
        <row r="4940">
          <cell r="A4940">
            <v>8042920</v>
          </cell>
        </row>
        <row r="4941">
          <cell r="A4941">
            <v>8042921</v>
          </cell>
        </row>
        <row r="4942">
          <cell r="A4942">
            <v>8042922</v>
          </cell>
        </row>
        <row r="4943">
          <cell r="A4943">
            <v>8042923</v>
          </cell>
        </row>
        <row r="4944">
          <cell r="A4944">
            <v>8042924</v>
          </cell>
        </row>
        <row r="4945">
          <cell r="A4945">
            <v>8042925</v>
          </cell>
        </row>
        <row r="4946">
          <cell r="A4946">
            <v>8042926</v>
          </cell>
        </row>
        <row r="4947">
          <cell r="A4947">
            <v>8042927</v>
          </cell>
        </row>
        <row r="4948">
          <cell r="A4948">
            <v>8042928</v>
          </cell>
        </row>
        <row r="4949">
          <cell r="A4949">
            <v>8042929</v>
          </cell>
        </row>
        <row r="4950">
          <cell r="A4950">
            <v>8042930</v>
          </cell>
        </row>
        <row r="4951">
          <cell r="A4951">
            <v>8042931</v>
          </cell>
        </row>
        <row r="4952">
          <cell r="A4952">
            <v>8042932</v>
          </cell>
        </row>
        <row r="4953">
          <cell r="A4953">
            <v>8042933</v>
          </cell>
        </row>
        <row r="4954">
          <cell r="A4954">
            <v>8042934</v>
          </cell>
        </row>
        <row r="4955">
          <cell r="A4955">
            <v>8042935</v>
          </cell>
        </row>
        <row r="4956">
          <cell r="A4956">
            <v>8042944</v>
          </cell>
        </row>
        <row r="4957">
          <cell r="A4957">
            <v>8042945</v>
          </cell>
        </row>
        <row r="4958">
          <cell r="A4958">
            <v>8042946</v>
          </cell>
        </row>
        <row r="4959">
          <cell r="A4959">
            <v>8042947</v>
          </cell>
        </row>
        <row r="4960">
          <cell r="A4960">
            <v>8042948</v>
          </cell>
        </row>
        <row r="4961">
          <cell r="A4961">
            <v>8042949</v>
          </cell>
        </row>
        <row r="4962">
          <cell r="A4962">
            <v>8043001</v>
          </cell>
        </row>
        <row r="4963">
          <cell r="A4963">
            <v>8043002</v>
          </cell>
        </row>
        <row r="4964">
          <cell r="A4964">
            <v>8043003</v>
          </cell>
        </row>
        <row r="4965">
          <cell r="A4965">
            <v>8043004</v>
          </cell>
        </row>
        <row r="4966">
          <cell r="A4966">
            <v>8043005</v>
          </cell>
        </row>
        <row r="4967">
          <cell r="A4967">
            <v>8043006</v>
          </cell>
        </row>
        <row r="4968">
          <cell r="A4968">
            <v>8043007</v>
          </cell>
        </row>
        <row r="4969">
          <cell r="A4969">
            <v>8043008</v>
          </cell>
        </row>
        <row r="4970">
          <cell r="A4970">
            <v>8043009</v>
          </cell>
        </row>
        <row r="4971">
          <cell r="A4971">
            <v>8043010</v>
          </cell>
        </row>
        <row r="4972">
          <cell r="A4972">
            <v>8043011</v>
          </cell>
        </row>
        <row r="4973">
          <cell r="A4973">
            <v>8043012</v>
          </cell>
        </row>
        <row r="4974">
          <cell r="A4974">
            <v>8043013</v>
          </cell>
        </row>
        <row r="4975">
          <cell r="A4975">
            <v>8043014</v>
          </cell>
        </row>
        <row r="4976">
          <cell r="A4976">
            <v>8043015</v>
          </cell>
        </row>
        <row r="4977">
          <cell r="A4977">
            <v>8043016</v>
          </cell>
        </row>
        <row r="4978">
          <cell r="A4978">
            <v>8043017</v>
          </cell>
        </row>
        <row r="4979">
          <cell r="A4979">
            <v>8043018</v>
          </cell>
        </row>
        <row r="4980">
          <cell r="A4980">
            <v>8050101</v>
          </cell>
        </row>
        <row r="4981">
          <cell r="A4981">
            <v>8050102</v>
          </cell>
        </row>
        <row r="4982">
          <cell r="A4982">
            <v>8050103</v>
          </cell>
        </row>
        <row r="4983">
          <cell r="A4983">
            <v>8050201</v>
          </cell>
        </row>
        <row r="4984">
          <cell r="A4984">
            <v>8050202</v>
          </cell>
        </row>
        <row r="4985">
          <cell r="A4985">
            <v>8050203</v>
          </cell>
        </row>
        <row r="4986">
          <cell r="A4986">
            <v>8050204</v>
          </cell>
        </row>
        <row r="4987">
          <cell r="A4987">
            <v>8050205</v>
          </cell>
        </row>
        <row r="4988">
          <cell r="A4988">
            <v>8050206</v>
          </cell>
        </row>
        <row r="4989">
          <cell r="A4989">
            <v>8050207</v>
          </cell>
        </row>
        <row r="4990">
          <cell r="A4990">
            <v>8050208</v>
          </cell>
        </row>
        <row r="4991">
          <cell r="A4991">
            <v>8050209</v>
          </cell>
        </row>
        <row r="4992">
          <cell r="A4992">
            <v>8050210</v>
          </cell>
        </row>
        <row r="4993">
          <cell r="A4993">
            <v>8050211</v>
          </cell>
        </row>
        <row r="4994">
          <cell r="A4994">
            <v>8050212</v>
          </cell>
        </row>
        <row r="4995">
          <cell r="A4995">
            <v>8050213</v>
          </cell>
        </row>
        <row r="4996">
          <cell r="A4996">
            <v>8050214</v>
          </cell>
        </row>
        <row r="4997">
          <cell r="A4997">
            <v>8050215</v>
          </cell>
        </row>
        <row r="4998">
          <cell r="A4998">
            <v>8050216</v>
          </cell>
        </row>
        <row r="4999">
          <cell r="A4999">
            <v>8050217</v>
          </cell>
        </row>
        <row r="5000">
          <cell r="A5000">
            <v>8050218</v>
          </cell>
        </row>
        <row r="5001">
          <cell r="A5001">
            <v>8050219</v>
          </cell>
        </row>
        <row r="5002">
          <cell r="A5002">
            <v>8050220</v>
          </cell>
        </row>
        <row r="5003">
          <cell r="A5003">
            <v>8050221</v>
          </cell>
        </row>
        <row r="5004">
          <cell r="A5004">
            <v>8050222</v>
          </cell>
        </row>
        <row r="5005">
          <cell r="A5005">
            <v>8050223</v>
          </cell>
        </row>
        <row r="5006">
          <cell r="A5006">
            <v>8050226</v>
          </cell>
        </row>
        <row r="5007">
          <cell r="A5007">
            <v>8050227</v>
          </cell>
        </row>
        <row r="5008">
          <cell r="A5008">
            <v>8050228</v>
          </cell>
        </row>
        <row r="5009">
          <cell r="A5009">
            <v>8050229</v>
          </cell>
        </row>
        <row r="5010">
          <cell r="A5010">
            <v>8050230</v>
          </cell>
        </row>
        <row r="5011">
          <cell r="A5011">
            <v>8050231</v>
          </cell>
        </row>
        <row r="5012">
          <cell r="A5012">
            <v>8050232</v>
          </cell>
        </row>
        <row r="5013">
          <cell r="A5013">
            <v>8050233</v>
          </cell>
        </row>
        <row r="5014">
          <cell r="A5014">
            <v>8050234</v>
          </cell>
        </row>
        <row r="5015">
          <cell r="A5015">
            <v>8050235</v>
          </cell>
        </row>
        <row r="5016">
          <cell r="A5016">
            <v>8050243</v>
          </cell>
        </row>
        <row r="5017">
          <cell r="A5017">
            <v>8050244</v>
          </cell>
        </row>
        <row r="5018">
          <cell r="A5018">
            <v>8050245</v>
          </cell>
        </row>
        <row r="5019">
          <cell r="A5019">
            <v>8050247</v>
          </cell>
        </row>
        <row r="5020">
          <cell r="A5020">
            <v>8050248</v>
          </cell>
        </row>
        <row r="5021">
          <cell r="A5021">
            <v>8050249</v>
          </cell>
        </row>
        <row r="5022">
          <cell r="A5022">
            <v>8050250</v>
          </cell>
        </row>
        <row r="5023">
          <cell r="A5023">
            <v>8050252</v>
          </cell>
        </row>
        <row r="5024">
          <cell r="A5024">
            <v>8050253</v>
          </cell>
        </row>
        <row r="5025">
          <cell r="A5025">
            <v>8050301</v>
          </cell>
        </row>
        <row r="5026">
          <cell r="A5026">
            <v>8050302</v>
          </cell>
        </row>
        <row r="5027">
          <cell r="A5027">
            <v>8050303</v>
          </cell>
        </row>
        <row r="5028">
          <cell r="A5028">
            <v>8050304</v>
          </cell>
        </row>
        <row r="5029">
          <cell r="A5029">
            <v>8050305</v>
          </cell>
        </row>
        <row r="5030">
          <cell r="A5030">
            <v>8050306</v>
          </cell>
        </row>
        <row r="5031">
          <cell r="A5031">
            <v>8050307</v>
          </cell>
        </row>
        <row r="5032">
          <cell r="A5032">
            <v>8050308</v>
          </cell>
        </row>
        <row r="5033">
          <cell r="A5033">
            <v>8050309</v>
          </cell>
        </row>
        <row r="5034">
          <cell r="A5034">
            <v>8050310</v>
          </cell>
        </row>
        <row r="5035">
          <cell r="A5035">
            <v>8050311</v>
          </cell>
        </row>
        <row r="5036">
          <cell r="A5036">
            <v>8050312</v>
          </cell>
        </row>
        <row r="5037">
          <cell r="A5037">
            <v>8050313</v>
          </cell>
        </row>
        <row r="5038">
          <cell r="A5038">
            <v>8050314</v>
          </cell>
        </row>
        <row r="5039">
          <cell r="A5039">
            <v>8050315</v>
          </cell>
        </row>
        <row r="5040">
          <cell r="A5040">
            <v>8050316</v>
          </cell>
        </row>
        <row r="5041">
          <cell r="A5041">
            <v>8050317</v>
          </cell>
        </row>
        <row r="5042">
          <cell r="A5042">
            <v>8050318</v>
          </cell>
        </row>
        <row r="5043">
          <cell r="A5043">
            <v>8050319</v>
          </cell>
        </row>
        <row r="5044">
          <cell r="A5044">
            <v>8050320</v>
          </cell>
        </row>
        <row r="5045">
          <cell r="A5045">
            <v>8050321</v>
          </cell>
        </row>
        <row r="5046">
          <cell r="A5046">
            <v>8050322</v>
          </cell>
        </row>
        <row r="5047">
          <cell r="A5047">
            <v>8050323</v>
          </cell>
        </row>
        <row r="5048">
          <cell r="A5048">
            <v>8050327</v>
          </cell>
        </row>
        <row r="5049">
          <cell r="A5049">
            <v>8050328</v>
          </cell>
        </row>
        <row r="5050">
          <cell r="A5050">
            <v>8050329</v>
          </cell>
        </row>
        <row r="5051">
          <cell r="A5051">
            <v>8050330</v>
          </cell>
        </row>
        <row r="5052">
          <cell r="A5052">
            <v>8050331</v>
          </cell>
        </row>
        <row r="5053">
          <cell r="A5053">
            <v>8050332</v>
          </cell>
        </row>
        <row r="5054">
          <cell r="A5054">
            <v>8050333</v>
          </cell>
        </row>
        <row r="5055">
          <cell r="A5055">
            <v>8050334</v>
          </cell>
        </row>
        <row r="5056">
          <cell r="A5056">
            <v>8050335</v>
          </cell>
        </row>
        <row r="5057">
          <cell r="A5057">
            <v>8050336</v>
          </cell>
        </row>
        <row r="5058">
          <cell r="A5058">
            <v>8050337</v>
          </cell>
        </row>
        <row r="5059">
          <cell r="A5059">
            <v>8050338</v>
          </cell>
        </row>
        <row r="5060">
          <cell r="A5060">
            <v>8050339</v>
          </cell>
        </row>
        <row r="5061">
          <cell r="A5061">
            <v>8050341</v>
          </cell>
        </row>
        <row r="5062">
          <cell r="A5062">
            <v>8050342</v>
          </cell>
        </row>
        <row r="5063">
          <cell r="A5063">
            <v>8050343</v>
          </cell>
        </row>
        <row r="5064">
          <cell r="A5064">
            <v>8050344</v>
          </cell>
        </row>
        <row r="5065">
          <cell r="A5065">
            <v>8050345</v>
          </cell>
        </row>
        <row r="5066">
          <cell r="A5066">
            <v>8050346</v>
          </cell>
        </row>
        <row r="5067">
          <cell r="A5067">
            <v>8050347</v>
          </cell>
        </row>
        <row r="5068">
          <cell r="A5068">
            <v>8050354</v>
          </cell>
        </row>
        <row r="5069">
          <cell r="A5069">
            <v>8050355</v>
          </cell>
        </row>
        <row r="5070">
          <cell r="A5070">
            <v>8050356</v>
          </cell>
        </row>
        <row r="5071">
          <cell r="A5071">
            <v>8050404</v>
          </cell>
        </row>
        <row r="5072">
          <cell r="A5072">
            <v>8050405</v>
          </cell>
        </row>
        <row r="5073">
          <cell r="A5073">
            <v>8050406</v>
          </cell>
        </row>
        <row r="5074">
          <cell r="A5074">
            <v>8050407</v>
          </cell>
        </row>
        <row r="5075">
          <cell r="A5075">
            <v>8050408</v>
          </cell>
        </row>
        <row r="5076">
          <cell r="A5076">
            <v>8050409</v>
          </cell>
        </row>
        <row r="5077">
          <cell r="A5077">
            <v>8050410</v>
          </cell>
        </row>
        <row r="5078">
          <cell r="A5078">
            <v>8050411</v>
          </cell>
        </row>
        <row r="5079">
          <cell r="A5079">
            <v>8050412</v>
          </cell>
        </row>
        <row r="5080">
          <cell r="A5080">
            <v>8050413</v>
          </cell>
        </row>
        <row r="5081">
          <cell r="A5081">
            <v>8050501</v>
          </cell>
        </row>
        <row r="5082">
          <cell r="A5082">
            <v>8050502</v>
          </cell>
        </row>
        <row r="5083">
          <cell r="A5083">
            <v>8050503</v>
          </cell>
        </row>
        <row r="5084">
          <cell r="A5084">
            <v>8050504</v>
          </cell>
        </row>
        <row r="5085">
          <cell r="A5085">
            <v>8050508</v>
          </cell>
        </row>
        <row r="5086">
          <cell r="A5086">
            <v>8050509</v>
          </cell>
        </row>
        <row r="5087">
          <cell r="A5087">
            <v>8050510</v>
          </cell>
        </row>
        <row r="5088">
          <cell r="A5088">
            <v>8050511</v>
          </cell>
        </row>
        <row r="5089">
          <cell r="A5089">
            <v>8050512</v>
          </cell>
        </row>
        <row r="5090">
          <cell r="A5090">
            <v>8050513</v>
          </cell>
        </row>
        <row r="5091">
          <cell r="A5091">
            <v>8050514</v>
          </cell>
        </row>
        <row r="5092">
          <cell r="A5092">
            <v>8050515</v>
          </cell>
        </row>
        <row r="5093">
          <cell r="A5093">
            <v>8050516</v>
          </cell>
        </row>
        <row r="5094">
          <cell r="A5094">
            <v>8050517</v>
          </cell>
        </row>
        <row r="5095">
          <cell r="A5095">
            <v>8050518</v>
          </cell>
        </row>
        <row r="5096">
          <cell r="A5096">
            <v>8050519</v>
          </cell>
        </row>
        <row r="5097">
          <cell r="A5097">
            <v>8050520</v>
          </cell>
        </row>
        <row r="5098">
          <cell r="A5098">
            <v>8050521</v>
          </cell>
        </row>
        <row r="5099">
          <cell r="A5099">
            <v>8050522</v>
          </cell>
        </row>
        <row r="5100">
          <cell r="A5100">
            <v>8050523</v>
          </cell>
        </row>
        <row r="5101">
          <cell r="A5101">
            <v>8050525</v>
          </cell>
        </row>
        <row r="5102">
          <cell r="A5102">
            <v>8050526</v>
          </cell>
        </row>
        <row r="5103">
          <cell r="A5103">
            <v>8050527</v>
          </cell>
        </row>
        <row r="5104">
          <cell r="A5104">
            <v>8050528</v>
          </cell>
        </row>
        <row r="5105">
          <cell r="A5105">
            <v>8050529</v>
          </cell>
        </row>
        <row r="5106">
          <cell r="A5106">
            <v>8050530</v>
          </cell>
        </row>
        <row r="5107">
          <cell r="A5107">
            <v>8050601</v>
          </cell>
        </row>
        <row r="5108">
          <cell r="A5108">
            <v>8050602</v>
          </cell>
        </row>
        <row r="5109">
          <cell r="A5109">
            <v>8050603</v>
          </cell>
        </row>
        <row r="5110">
          <cell r="A5110">
            <v>8050604</v>
          </cell>
        </row>
        <row r="5111">
          <cell r="A5111">
            <v>8050605</v>
          </cell>
        </row>
        <row r="5112">
          <cell r="A5112">
            <v>8050606</v>
          </cell>
        </row>
        <row r="5113">
          <cell r="A5113">
            <v>8050607</v>
          </cell>
        </row>
        <row r="5114">
          <cell r="A5114">
            <v>8050608</v>
          </cell>
        </row>
        <row r="5115">
          <cell r="A5115">
            <v>8050609</v>
          </cell>
        </row>
        <row r="5116">
          <cell r="A5116">
            <v>8050610</v>
          </cell>
        </row>
        <row r="5117">
          <cell r="A5117">
            <v>8050611</v>
          </cell>
        </row>
        <row r="5118">
          <cell r="A5118">
            <v>8050612</v>
          </cell>
        </row>
        <row r="5119">
          <cell r="A5119">
            <v>8050613</v>
          </cell>
        </row>
        <row r="5120">
          <cell r="A5120">
            <v>8050614</v>
          </cell>
        </row>
        <row r="5121">
          <cell r="A5121">
            <v>8050615</v>
          </cell>
        </row>
        <row r="5122">
          <cell r="A5122">
            <v>8050616</v>
          </cell>
        </row>
        <row r="5123">
          <cell r="A5123">
            <v>8050617</v>
          </cell>
        </row>
        <row r="5124">
          <cell r="A5124">
            <v>8050618</v>
          </cell>
        </row>
        <row r="5125">
          <cell r="A5125">
            <v>8050619</v>
          </cell>
        </row>
        <row r="5126">
          <cell r="A5126">
            <v>8050620</v>
          </cell>
        </row>
        <row r="5127">
          <cell r="A5127">
            <v>8050621</v>
          </cell>
        </row>
        <row r="5128">
          <cell r="A5128">
            <v>8050622</v>
          </cell>
        </row>
        <row r="5129">
          <cell r="A5129">
            <v>8050623</v>
          </cell>
        </row>
        <row r="5130">
          <cell r="A5130">
            <v>8050624</v>
          </cell>
        </row>
        <row r="5131">
          <cell r="A5131">
            <v>8050625</v>
          </cell>
        </row>
        <row r="5132">
          <cell r="A5132">
            <v>8050626</v>
          </cell>
        </row>
        <row r="5133">
          <cell r="A5133">
            <v>8050627</v>
          </cell>
        </row>
        <row r="5134">
          <cell r="A5134">
            <v>8050628</v>
          </cell>
        </row>
        <row r="5135">
          <cell r="A5135">
            <v>8050629</v>
          </cell>
        </row>
        <row r="5136">
          <cell r="A5136">
            <v>8050630</v>
          </cell>
        </row>
        <row r="5137">
          <cell r="A5137">
            <v>8050633</v>
          </cell>
        </row>
        <row r="5138">
          <cell r="A5138">
            <v>8050634</v>
          </cell>
        </row>
        <row r="5139">
          <cell r="A5139">
            <v>8050635</v>
          </cell>
        </row>
        <row r="5140">
          <cell r="A5140">
            <v>8050636</v>
          </cell>
        </row>
        <row r="5141">
          <cell r="A5141">
            <v>8050637</v>
          </cell>
        </row>
        <row r="5142">
          <cell r="A5142">
            <v>8050638</v>
          </cell>
        </row>
        <row r="5143">
          <cell r="A5143">
            <v>8050639</v>
          </cell>
        </row>
        <row r="5144">
          <cell r="A5144">
            <v>8050640</v>
          </cell>
        </row>
        <row r="5145">
          <cell r="A5145">
            <v>8050648</v>
          </cell>
        </row>
        <row r="5146">
          <cell r="A5146">
            <v>8050649</v>
          </cell>
        </row>
        <row r="5147">
          <cell r="A5147">
            <v>8050650</v>
          </cell>
        </row>
        <row r="5148">
          <cell r="A5148">
            <v>8050651</v>
          </cell>
        </row>
        <row r="5149">
          <cell r="A5149">
            <v>8050652</v>
          </cell>
        </row>
        <row r="5150">
          <cell r="A5150">
            <v>8050653</v>
          </cell>
        </row>
        <row r="5151">
          <cell r="A5151">
            <v>8050655</v>
          </cell>
        </row>
        <row r="5152">
          <cell r="A5152">
            <v>8050656</v>
          </cell>
        </row>
        <row r="5153">
          <cell r="A5153">
            <v>8050657</v>
          </cell>
        </row>
        <row r="5154">
          <cell r="A5154">
            <v>8050658</v>
          </cell>
        </row>
        <row r="5155">
          <cell r="A5155">
            <v>8050701</v>
          </cell>
        </row>
        <row r="5156">
          <cell r="A5156">
            <v>8050702</v>
          </cell>
        </row>
        <row r="5157">
          <cell r="A5157">
            <v>8050703</v>
          </cell>
        </row>
        <row r="5158">
          <cell r="A5158">
            <v>8050704</v>
          </cell>
        </row>
        <row r="5159">
          <cell r="A5159">
            <v>8050705</v>
          </cell>
        </row>
        <row r="5160">
          <cell r="A5160">
            <v>8050706</v>
          </cell>
        </row>
        <row r="5161">
          <cell r="A5161">
            <v>8050707</v>
          </cell>
        </row>
        <row r="5162">
          <cell r="A5162">
            <v>8050708</v>
          </cell>
        </row>
        <row r="5163">
          <cell r="A5163">
            <v>8050709</v>
          </cell>
        </row>
        <row r="5164">
          <cell r="A5164">
            <v>8050710</v>
          </cell>
        </row>
        <row r="5165">
          <cell r="A5165">
            <v>8050711</v>
          </cell>
        </row>
        <row r="5166">
          <cell r="A5166">
            <v>8050712</v>
          </cell>
        </row>
        <row r="5167">
          <cell r="A5167">
            <v>8050713</v>
          </cell>
        </row>
        <row r="5168">
          <cell r="A5168">
            <v>8050714</v>
          </cell>
        </row>
        <row r="5169">
          <cell r="A5169">
            <v>8050715</v>
          </cell>
        </row>
        <row r="5170">
          <cell r="A5170">
            <v>8050716</v>
          </cell>
        </row>
        <row r="5171">
          <cell r="A5171">
            <v>8050717</v>
          </cell>
        </row>
        <row r="5172">
          <cell r="A5172">
            <v>8050718</v>
          </cell>
        </row>
        <row r="5173">
          <cell r="A5173">
            <v>8050719</v>
          </cell>
        </row>
        <row r="5174">
          <cell r="A5174">
            <v>8050720</v>
          </cell>
        </row>
        <row r="5175">
          <cell r="A5175">
            <v>8050721</v>
          </cell>
        </row>
        <row r="5176">
          <cell r="A5176">
            <v>8050722</v>
          </cell>
        </row>
        <row r="5177">
          <cell r="A5177">
            <v>8050723</v>
          </cell>
        </row>
        <row r="5178">
          <cell r="A5178">
            <v>8050724</v>
          </cell>
        </row>
        <row r="5179">
          <cell r="A5179">
            <v>8050725</v>
          </cell>
        </row>
        <row r="5180">
          <cell r="A5180">
            <v>8050726</v>
          </cell>
        </row>
        <row r="5181">
          <cell r="A5181">
            <v>8050727</v>
          </cell>
        </row>
        <row r="5182">
          <cell r="A5182">
            <v>8050728</v>
          </cell>
        </row>
        <row r="5183">
          <cell r="A5183">
            <v>8050729</v>
          </cell>
        </row>
        <row r="5184">
          <cell r="A5184">
            <v>8050730</v>
          </cell>
        </row>
        <row r="5185">
          <cell r="A5185">
            <v>8050731</v>
          </cell>
        </row>
        <row r="5186">
          <cell r="A5186">
            <v>8050732</v>
          </cell>
        </row>
        <row r="5187">
          <cell r="A5187">
            <v>8050733</v>
          </cell>
        </row>
        <row r="5188">
          <cell r="A5188">
            <v>8050734</v>
          </cell>
        </row>
        <row r="5189">
          <cell r="A5189">
            <v>8050735</v>
          </cell>
        </row>
        <row r="5190">
          <cell r="A5190">
            <v>8050736</v>
          </cell>
        </row>
        <row r="5191">
          <cell r="A5191">
            <v>8050737</v>
          </cell>
        </row>
        <row r="5192">
          <cell r="A5192">
            <v>8050738</v>
          </cell>
        </row>
        <row r="5193">
          <cell r="A5193">
            <v>8050739</v>
          </cell>
        </row>
        <row r="5194">
          <cell r="A5194">
            <v>8050740</v>
          </cell>
        </row>
        <row r="5195">
          <cell r="A5195">
            <v>8050741</v>
          </cell>
        </row>
        <row r="5196">
          <cell r="A5196">
            <v>8050742</v>
          </cell>
        </row>
        <row r="5197">
          <cell r="A5197">
            <v>8050743</v>
          </cell>
        </row>
        <row r="5198">
          <cell r="A5198">
            <v>8050744</v>
          </cell>
        </row>
        <row r="5199">
          <cell r="A5199">
            <v>8050746</v>
          </cell>
        </row>
        <row r="5200">
          <cell r="A5200">
            <v>8050747</v>
          </cell>
        </row>
        <row r="5201">
          <cell r="A5201">
            <v>8050748</v>
          </cell>
        </row>
        <row r="5202">
          <cell r="A5202">
            <v>8050749</v>
          </cell>
        </row>
        <row r="5203">
          <cell r="A5203">
            <v>8050750</v>
          </cell>
        </row>
        <row r="5204">
          <cell r="A5204">
            <v>8050751</v>
          </cell>
        </row>
        <row r="5205">
          <cell r="A5205">
            <v>8050752</v>
          </cell>
        </row>
        <row r="5206">
          <cell r="A5206">
            <v>8050753</v>
          </cell>
        </row>
        <row r="5207">
          <cell r="A5207">
            <v>8050754</v>
          </cell>
        </row>
        <row r="5208">
          <cell r="A5208">
            <v>8050755</v>
          </cell>
        </row>
        <row r="5209">
          <cell r="A5209">
            <v>8050756</v>
          </cell>
        </row>
        <row r="5210">
          <cell r="A5210">
            <v>8050757</v>
          </cell>
        </row>
        <row r="5211">
          <cell r="A5211">
            <v>8050758</v>
          </cell>
        </row>
        <row r="5212">
          <cell r="A5212">
            <v>8050759</v>
          </cell>
        </row>
        <row r="5213">
          <cell r="A5213">
            <v>8050760</v>
          </cell>
        </row>
        <row r="5214">
          <cell r="A5214">
            <v>8050761</v>
          </cell>
        </row>
        <row r="5215">
          <cell r="A5215">
            <v>8050801</v>
          </cell>
        </row>
        <row r="5216">
          <cell r="A5216">
            <v>8050802</v>
          </cell>
        </row>
        <row r="5217">
          <cell r="A5217">
            <v>8050803</v>
          </cell>
        </row>
        <row r="5218">
          <cell r="A5218">
            <v>8050804</v>
          </cell>
        </row>
        <row r="5219">
          <cell r="A5219">
            <v>8050805</v>
          </cell>
        </row>
        <row r="5220">
          <cell r="A5220">
            <v>8050806</v>
          </cell>
        </row>
        <row r="5221">
          <cell r="A5221">
            <v>8050807</v>
          </cell>
        </row>
        <row r="5222">
          <cell r="A5222">
            <v>8050808</v>
          </cell>
        </row>
        <row r="5223">
          <cell r="A5223">
            <v>8050809</v>
          </cell>
        </row>
        <row r="5224">
          <cell r="A5224">
            <v>8050810</v>
          </cell>
        </row>
        <row r="5225">
          <cell r="A5225">
            <v>8050811</v>
          </cell>
        </row>
        <row r="5226">
          <cell r="A5226">
            <v>8050812</v>
          </cell>
        </row>
        <row r="5227">
          <cell r="A5227">
            <v>8050813</v>
          </cell>
        </row>
        <row r="5228">
          <cell r="A5228">
            <v>8050814</v>
          </cell>
        </row>
        <row r="5229">
          <cell r="A5229">
            <v>8050815</v>
          </cell>
        </row>
        <row r="5230">
          <cell r="A5230">
            <v>8050816</v>
          </cell>
        </row>
        <row r="5231">
          <cell r="A5231">
            <v>8050817</v>
          </cell>
        </row>
        <row r="5232">
          <cell r="A5232">
            <v>8050818</v>
          </cell>
        </row>
        <row r="5233">
          <cell r="A5233">
            <v>8050819</v>
          </cell>
        </row>
        <row r="5234">
          <cell r="A5234">
            <v>8050820</v>
          </cell>
        </row>
        <row r="5235">
          <cell r="A5235">
            <v>8050821</v>
          </cell>
        </row>
        <row r="5236">
          <cell r="A5236">
            <v>8050822</v>
          </cell>
        </row>
        <row r="5237">
          <cell r="A5237">
            <v>8050823</v>
          </cell>
        </row>
        <row r="5238">
          <cell r="A5238">
            <v>8050824</v>
          </cell>
        </row>
        <row r="5239">
          <cell r="A5239">
            <v>8050825</v>
          </cell>
        </row>
        <row r="5240">
          <cell r="A5240">
            <v>8050826</v>
          </cell>
        </row>
        <row r="5241">
          <cell r="A5241">
            <v>8050827</v>
          </cell>
        </row>
        <row r="5242">
          <cell r="A5242">
            <v>8050828</v>
          </cell>
        </row>
        <row r="5243">
          <cell r="A5243">
            <v>8050829</v>
          </cell>
        </row>
        <row r="5244">
          <cell r="A5244">
            <v>8050830</v>
          </cell>
        </row>
        <row r="5245">
          <cell r="A5245">
            <v>8050831</v>
          </cell>
        </row>
        <row r="5246">
          <cell r="A5246">
            <v>8050832</v>
          </cell>
        </row>
        <row r="5247">
          <cell r="A5247">
            <v>8050833</v>
          </cell>
        </row>
        <row r="5248">
          <cell r="A5248">
            <v>8050842</v>
          </cell>
        </row>
        <row r="5249">
          <cell r="A5249">
            <v>8050843</v>
          </cell>
        </row>
        <row r="5250">
          <cell r="A5250">
            <v>8050844</v>
          </cell>
        </row>
        <row r="5251">
          <cell r="A5251">
            <v>8050845</v>
          </cell>
        </row>
        <row r="5252">
          <cell r="A5252">
            <v>8050846</v>
          </cell>
        </row>
        <row r="5253">
          <cell r="A5253">
            <v>8050847</v>
          </cell>
        </row>
        <row r="5254">
          <cell r="A5254">
            <v>8050848</v>
          </cell>
        </row>
        <row r="5255">
          <cell r="A5255">
            <v>8050851</v>
          </cell>
        </row>
        <row r="5256">
          <cell r="A5256">
            <v>8050852</v>
          </cell>
        </row>
        <row r="5257">
          <cell r="A5257">
            <v>8050853</v>
          </cell>
        </row>
        <row r="5258">
          <cell r="A5258">
            <v>8050854</v>
          </cell>
        </row>
        <row r="5259">
          <cell r="A5259">
            <v>8050855</v>
          </cell>
        </row>
        <row r="5260">
          <cell r="A5260">
            <v>8050856</v>
          </cell>
        </row>
        <row r="5261">
          <cell r="A5261">
            <v>8050857</v>
          </cell>
        </row>
        <row r="5262">
          <cell r="A5262">
            <v>8050858</v>
          </cell>
        </row>
        <row r="5263">
          <cell r="A5263">
            <v>8050859</v>
          </cell>
        </row>
        <row r="5264">
          <cell r="A5264">
            <v>8050860</v>
          </cell>
        </row>
        <row r="5265">
          <cell r="A5265">
            <v>8050861</v>
          </cell>
        </row>
        <row r="5266">
          <cell r="A5266">
            <v>8050868</v>
          </cell>
        </row>
        <row r="5267">
          <cell r="A5267">
            <v>8050869</v>
          </cell>
        </row>
        <row r="5268">
          <cell r="A5268">
            <v>8050901</v>
          </cell>
        </row>
        <row r="5269">
          <cell r="A5269">
            <v>8050902</v>
          </cell>
        </row>
        <row r="5270">
          <cell r="A5270">
            <v>8050903</v>
          </cell>
        </row>
        <row r="5271">
          <cell r="A5271">
            <v>8050904</v>
          </cell>
        </row>
        <row r="5272">
          <cell r="A5272">
            <v>8050905</v>
          </cell>
        </row>
        <row r="5273">
          <cell r="A5273">
            <v>8050906</v>
          </cell>
        </row>
        <row r="5274">
          <cell r="A5274">
            <v>8050907</v>
          </cell>
        </row>
        <row r="5275">
          <cell r="A5275">
            <v>8050908</v>
          </cell>
        </row>
        <row r="5276">
          <cell r="A5276">
            <v>8050909</v>
          </cell>
        </row>
        <row r="5277">
          <cell r="A5277">
            <v>8050910</v>
          </cell>
        </row>
        <row r="5278">
          <cell r="A5278">
            <v>8050911</v>
          </cell>
        </row>
        <row r="5279">
          <cell r="A5279">
            <v>8050912</v>
          </cell>
        </row>
        <row r="5280">
          <cell r="A5280">
            <v>8050913</v>
          </cell>
        </row>
        <row r="5281">
          <cell r="A5281">
            <v>8050914</v>
          </cell>
        </row>
        <row r="5282">
          <cell r="A5282">
            <v>8050915</v>
          </cell>
        </row>
        <row r="5283">
          <cell r="A5283">
            <v>8050916</v>
          </cell>
        </row>
        <row r="5284">
          <cell r="A5284">
            <v>8050917</v>
          </cell>
        </row>
        <row r="5285">
          <cell r="A5285">
            <v>8050918</v>
          </cell>
        </row>
        <row r="5286">
          <cell r="A5286">
            <v>8050919</v>
          </cell>
        </row>
        <row r="5287">
          <cell r="A5287">
            <v>8050920</v>
          </cell>
        </row>
        <row r="5288">
          <cell r="A5288">
            <v>8050921</v>
          </cell>
        </row>
        <row r="5289">
          <cell r="A5289">
            <v>8050922</v>
          </cell>
        </row>
        <row r="5290">
          <cell r="A5290">
            <v>8050923</v>
          </cell>
        </row>
        <row r="5291">
          <cell r="A5291">
            <v>8050924</v>
          </cell>
        </row>
        <row r="5292">
          <cell r="A5292">
            <v>8050925</v>
          </cell>
        </row>
        <row r="5293">
          <cell r="A5293">
            <v>8050926</v>
          </cell>
        </row>
        <row r="5294">
          <cell r="A5294">
            <v>8050927</v>
          </cell>
        </row>
        <row r="5295">
          <cell r="A5295">
            <v>8050928</v>
          </cell>
        </row>
        <row r="5296">
          <cell r="A5296">
            <v>8050929</v>
          </cell>
        </row>
        <row r="5297">
          <cell r="A5297">
            <v>8050930</v>
          </cell>
        </row>
        <row r="5298">
          <cell r="A5298">
            <v>8050931</v>
          </cell>
        </row>
        <row r="5299">
          <cell r="A5299">
            <v>8050932</v>
          </cell>
        </row>
        <row r="5300">
          <cell r="A5300">
            <v>8050933</v>
          </cell>
        </row>
        <row r="5301">
          <cell r="A5301">
            <v>8050937</v>
          </cell>
        </row>
        <row r="5302">
          <cell r="A5302">
            <v>8050938</v>
          </cell>
        </row>
        <row r="5303">
          <cell r="A5303">
            <v>8050939</v>
          </cell>
        </row>
        <row r="5304">
          <cell r="A5304">
            <v>8050941</v>
          </cell>
        </row>
        <row r="5305">
          <cell r="A5305">
            <v>8050942</v>
          </cell>
        </row>
        <row r="5306">
          <cell r="A5306">
            <v>8050943</v>
          </cell>
        </row>
        <row r="5307">
          <cell r="A5307">
            <v>8050944</v>
          </cell>
        </row>
        <row r="5308">
          <cell r="A5308">
            <v>8050945</v>
          </cell>
        </row>
        <row r="5309">
          <cell r="A5309">
            <v>8050946</v>
          </cell>
        </row>
        <row r="5310">
          <cell r="A5310">
            <v>8050947</v>
          </cell>
        </row>
        <row r="5311">
          <cell r="A5311">
            <v>8050948</v>
          </cell>
        </row>
        <row r="5312">
          <cell r="A5312">
            <v>8050949</v>
          </cell>
        </row>
        <row r="5313">
          <cell r="A5313">
            <v>8050950</v>
          </cell>
        </row>
        <row r="5314">
          <cell r="A5314">
            <v>8050951</v>
          </cell>
        </row>
        <row r="5315">
          <cell r="A5315">
            <v>8050952</v>
          </cell>
        </row>
        <row r="5316">
          <cell r="A5316">
            <v>8050953</v>
          </cell>
        </row>
        <row r="5317">
          <cell r="A5317">
            <v>8051001</v>
          </cell>
        </row>
        <row r="5318">
          <cell r="A5318">
            <v>8051002</v>
          </cell>
        </row>
        <row r="5319">
          <cell r="A5319">
            <v>8051003</v>
          </cell>
        </row>
        <row r="5320">
          <cell r="A5320">
            <v>8051004</v>
          </cell>
        </row>
        <row r="5321">
          <cell r="A5321">
            <v>8051005</v>
          </cell>
        </row>
        <row r="5322">
          <cell r="A5322">
            <v>8051006</v>
          </cell>
        </row>
        <row r="5323">
          <cell r="A5323">
            <v>8051007</v>
          </cell>
        </row>
        <row r="5324">
          <cell r="A5324">
            <v>8051008</v>
          </cell>
        </row>
        <row r="5325">
          <cell r="A5325">
            <v>8051009</v>
          </cell>
        </row>
        <row r="5326">
          <cell r="A5326">
            <v>8051010</v>
          </cell>
        </row>
        <row r="5327">
          <cell r="A5327">
            <v>8051011</v>
          </cell>
        </row>
        <row r="5328">
          <cell r="A5328">
            <v>8051012</v>
          </cell>
        </row>
        <row r="5329">
          <cell r="A5329">
            <v>8051013</v>
          </cell>
        </row>
        <row r="5330">
          <cell r="A5330">
            <v>8051014</v>
          </cell>
        </row>
        <row r="5331">
          <cell r="A5331">
            <v>8051015</v>
          </cell>
        </row>
        <row r="5332">
          <cell r="A5332">
            <v>8051016</v>
          </cell>
        </row>
        <row r="5333">
          <cell r="A5333">
            <v>8051017</v>
          </cell>
        </row>
        <row r="5334">
          <cell r="A5334">
            <v>8051018</v>
          </cell>
        </row>
        <row r="5335">
          <cell r="A5335">
            <v>8051019</v>
          </cell>
        </row>
        <row r="5336">
          <cell r="A5336">
            <v>8051020</v>
          </cell>
        </row>
        <row r="5337">
          <cell r="A5337">
            <v>8051021</v>
          </cell>
        </row>
        <row r="5338">
          <cell r="A5338">
            <v>8051022</v>
          </cell>
        </row>
        <row r="5339">
          <cell r="A5339">
            <v>8051023</v>
          </cell>
        </row>
        <row r="5340">
          <cell r="A5340">
            <v>8051024</v>
          </cell>
        </row>
        <row r="5341">
          <cell r="A5341">
            <v>8051025</v>
          </cell>
        </row>
        <row r="5342">
          <cell r="A5342">
            <v>8051026</v>
          </cell>
        </row>
        <row r="5343">
          <cell r="A5343">
            <v>8051027</v>
          </cell>
        </row>
        <row r="5344">
          <cell r="A5344">
            <v>8051028</v>
          </cell>
        </row>
        <row r="5345">
          <cell r="A5345">
            <v>8051029</v>
          </cell>
        </row>
        <row r="5346">
          <cell r="A5346">
            <v>8051030</v>
          </cell>
        </row>
        <row r="5347">
          <cell r="A5347">
            <v>8051031</v>
          </cell>
        </row>
        <row r="5348">
          <cell r="A5348">
            <v>8051032</v>
          </cell>
        </row>
        <row r="5349">
          <cell r="A5349">
            <v>8051033</v>
          </cell>
        </row>
        <row r="5350">
          <cell r="A5350">
            <v>8051034</v>
          </cell>
        </row>
        <row r="5351">
          <cell r="A5351">
            <v>8051035</v>
          </cell>
        </row>
        <row r="5352">
          <cell r="A5352">
            <v>8051036</v>
          </cell>
        </row>
        <row r="5353">
          <cell r="A5353">
            <v>8051037</v>
          </cell>
        </row>
        <row r="5354">
          <cell r="A5354">
            <v>8051038</v>
          </cell>
        </row>
        <row r="5355">
          <cell r="A5355">
            <v>8051039</v>
          </cell>
        </row>
        <row r="5356">
          <cell r="A5356">
            <v>8051040</v>
          </cell>
        </row>
        <row r="5357">
          <cell r="A5357">
            <v>8051041</v>
          </cell>
        </row>
        <row r="5358">
          <cell r="A5358">
            <v>8051042</v>
          </cell>
        </row>
        <row r="5359">
          <cell r="A5359">
            <v>8051061</v>
          </cell>
        </row>
        <row r="5360">
          <cell r="A5360">
            <v>8051062</v>
          </cell>
        </row>
        <row r="5361">
          <cell r="A5361">
            <v>8051063</v>
          </cell>
        </row>
        <row r="5362">
          <cell r="A5362">
            <v>8051064</v>
          </cell>
        </row>
        <row r="5363">
          <cell r="A5363">
            <v>8051065</v>
          </cell>
        </row>
        <row r="5364">
          <cell r="A5364">
            <v>8051066</v>
          </cell>
        </row>
        <row r="5365">
          <cell r="A5365">
            <v>8051067</v>
          </cell>
        </row>
        <row r="5366">
          <cell r="A5366">
            <v>8051068</v>
          </cell>
        </row>
        <row r="5367">
          <cell r="A5367">
            <v>8051069</v>
          </cell>
        </row>
        <row r="5368">
          <cell r="A5368">
            <v>8051103</v>
          </cell>
        </row>
        <row r="5369">
          <cell r="A5369">
            <v>8051104</v>
          </cell>
        </row>
        <row r="5370">
          <cell r="A5370">
            <v>8051105</v>
          </cell>
        </row>
        <row r="5371">
          <cell r="A5371">
            <v>8051106</v>
          </cell>
        </row>
        <row r="5372">
          <cell r="A5372">
            <v>8051107</v>
          </cell>
        </row>
        <row r="5373">
          <cell r="A5373">
            <v>8051108</v>
          </cell>
        </row>
        <row r="5374">
          <cell r="A5374">
            <v>8051109</v>
          </cell>
        </row>
        <row r="5375">
          <cell r="A5375">
            <v>8051110</v>
          </cell>
        </row>
        <row r="5376">
          <cell r="A5376">
            <v>8051111</v>
          </cell>
        </row>
        <row r="5377">
          <cell r="A5377">
            <v>8051112</v>
          </cell>
        </row>
        <row r="5378">
          <cell r="A5378">
            <v>8051113</v>
          </cell>
        </row>
        <row r="5379">
          <cell r="A5379">
            <v>8051115</v>
          </cell>
        </row>
        <row r="5380">
          <cell r="A5380">
            <v>8051116</v>
          </cell>
        </row>
        <row r="5381">
          <cell r="A5381">
            <v>8051117</v>
          </cell>
        </row>
        <row r="5382">
          <cell r="A5382">
            <v>8051118</v>
          </cell>
        </row>
        <row r="5383">
          <cell r="A5383">
            <v>8051201</v>
          </cell>
        </row>
        <row r="5384">
          <cell r="A5384">
            <v>8051202</v>
          </cell>
        </row>
        <row r="5385">
          <cell r="A5385">
            <v>8051203</v>
          </cell>
        </row>
        <row r="5386">
          <cell r="A5386">
            <v>8051204</v>
          </cell>
        </row>
        <row r="5387">
          <cell r="A5387">
            <v>8051205</v>
          </cell>
        </row>
        <row r="5388">
          <cell r="A5388">
            <v>8051206</v>
          </cell>
        </row>
        <row r="5389">
          <cell r="A5389">
            <v>8051207</v>
          </cell>
        </row>
        <row r="5390">
          <cell r="A5390">
            <v>8051208</v>
          </cell>
        </row>
        <row r="5391">
          <cell r="A5391">
            <v>8051209</v>
          </cell>
        </row>
        <row r="5392">
          <cell r="A5392">
            <v>8051210</v>
          </cell>
        </row>
        <row r="5393">
          <cell r="A5393">
            <v>8051211</v>
          </cell>
        </row>
        <row r="5394">
          <cell r="A5394">
            <v>8051212</v>
          </cell>
        </row>
        <row r="5395">
          <cell r="A5395">
            <v>8051213</v>
          </cell>
        </row>
        <row r="5396">
          <cell r="A5396">
            <v>8051214</v>
          </cell>
        </row>
        <row r="5397">
          <cell r="A5397">
            <v>8051215</v>
          </cell>
        </row>
        <row r="5398">
          <cell r="A5398">
            <v>8051216</v>
          </cell>
        </row>
        <row r="5399">
          <cell r="A5399">
            <v>8051217</v>
          </cell>
        </row>
        <row r="5400">
          <cell r="A5400">
            <v>8051218</v>
          </cell>
        </row>
        <row r="5401">
          <cell r="A5401">
            <v>8051219</v>
          </cell>
        </row>
        <row r="5402">
          <cell r="A5402">
            <v>8051220</v>
          </cell>
        </row>
        <row r="5403">
          <cell r="A5403">
            <v>8051221</v>
          </cell>
        </row>
        <row r="5404">
          <cell r="A5404">
            <v>8051222</v>
          </cell>
        </row>
        <row r="5405">
          <cell r="A5405">
            <v>8051223</v>
          </cell>
        </row>
        <row r="5406">
          <cell r="A5406">
            <v>8051224</v>
          </cell>
        </row>
        <row r="5407">
          <cell r="A5407">
            <v>8051225</v>
          </cell>
        </row>
        <row r="5408">
          <cell r="A5408">
            <v>8051226</v>
          </cell>
        </row>
        <row r="5409">
          <cell r="A5409">
            <v>8051227</v>
          </cell>
        </row>
        <row r="5410">
          <cell r="A5410">
            <v>8051228</v>
          </cell>
        </row>
        <row r="5411">
          <cell r="A5411">
            <v>8051229</v>
          </cell>
        </row>
        <row r="5412">
          <cell r="A5412">
            <v>8051230</v>
          </cell>
        </row>
        <row r="5413">
          <cell r="A5413">
            <v>8051231</v>
          </cell>
        </row>
        <row r="5414">
          <cell r="A5414">
            <v>8051232</v>
          </cell>
        </row>
        <row r="5415">
          <cell r="A5415">
            <v>8051233</v>
          </cell>
        </row>
        <row r="5416">
          <cell r="A5416">
            <v>8051234</v>
          </cell>
        </row>
        <row r="5417">
          <cell r="A5417">
            <v>8051235</v>
          </cell>
        </row>
        <row r="5418">
          <cell r="A5418">
            <v>8051236</v>
          </cell>
        </row>
        <row r="5419">
          <cell r="A5419">
            <v>8051237</v>
          </cell>
        </row>
        <row r="5420">
          <cell r="A5420">
            <v>8051238</v>
          </cell>
        </row>
        <row r="5421">
          <cell r="A5421">
            <v>8051239</v>
          </cell>
        </row>
        <row r="5422">
          <cell r="A5422">
            <v>8051240</v>
          </cell>
        </row>
        <row r="5423">
          <cell r="A5423">
            <v>8051241</v>
          </cell>
        </row>
        <row r="5424">
          <cell r="A5424">
            <v>8051242</v>
          </cell>
        </row>
        <row r="5425">
          <cell r="A5425">
            <v>8051243</v>
          </cell>
        </row>
        <row r="5426">
          <cell r="A5426">
            <v>8051244</v>
          </cell>
        </row>
        <row r="5427">
          <cell r="A5427">
            <v>8051245</v>
          </cell>
        </row>
        <row r="5428">
          <cell r="A5428">
            <v>8051246</v>
          </cell>
        </row>
        <row r="5429">
          <cell r="A5429">
            <v>8051247</v>
          </cell>
        </row>
        <row r="5430">
          <cell r="A5430">
            <v>8051248</v>
          </cell>
        </row>
        <row r="5431">
          <cell r="A5431">
            <v>8051249</v>
          </cell>
        </row>
        <row r="5432">
          <cell r="A5432">
            <v>8051250</v>
          </cell>
        </row>
        <row r="5433">
          <cell r="A5433">
            <v>8051251</v>
          </cell>
        </row>
        <row r="5434">
          <cell r="A5434">
            <v>8051252</v>
          </cell>
        </row>
        <row r="5435">
          <cell r="A5435">
            <v>8051253</v>
          </cell>
        </row>
        <row r="5436">
          <cell r="A5436">
            <v>8051254</v>
          </cell>
        </row>
        <row r="5437">
          <cell r="A5437">
            <v>8051255</v>
          </cell>
        </row>
        <row r="5438">
          <cell r="A5438">
            <v>8051256</v>
          </cell>
        </row>
        <row r="5439">
          <cell r="A5439">
            <v>8051257</v>
          </cell>
        </row>
        <row r="5440">
          <cell r="A5440">
            <v>8051258</v>
          </cell>
        </row>
        <row r="5441">
          <cell r="A5441">
            <v>8051301</v>
          </cell>
        </row>
        <row r="5442">
          <cell r="A5442">
            <v>8051302</v>
          </cell>
        </row>
        <row r="5443">
          <cell r="A5443">
            <v>8051303</v>
          </cell>
        </row>
        <row r="5444">
          <cell r="A5444">
            <v>8051304</v>
          </cell>
        </row>
        <row r="5445">
          <cell r="A5445">
            <v>8051305</v>
          </cell>
        </row>
        <row r="5446">
          <cell r="A5446">
            <v>8051306</v>
          </cell>
        </row>
        <row r="5447">
          <cell r="A5447">
            <v>8051307</v>
          </cell>
        </row>
        <row r="5448">
          <cell r="A5448">
            <v>8051308</v>
          </cell>
        </row>
        <row r="5449">
          <cell r="A5449">
            <v>8051309</v>
          </cell>
        </row>
        <row r="5450">
          <cell r="A5450">
            <v>8051310</v>
          </cell>
        </row>
        <row r="5451">
          <cell r="A5451">
            <v>8051311</v>
          </cell>
        </row>
        <row r="5452">
          <cell r="A5452">
            <v>8051312</v>
          </cell>
        </row>
        <row r="5453">
          <cell r="A5453">
            <v>8051313</v>
          </cell>
        </row>
        <row r="5454">
          <cell r="A5454">
            <v>8051314</v>
          </cell>
        </row>
        <row r="5455">
          <cell r="A5455">
            <v>8051315</v>
          </cell>
        </row>
        <row r="5456">
          <cell r="A5456">
            <v>8051316</v>
          </cell>
        </row>
        <row r="5457">
          <cell r="A5457">
            <v>8051317</v>
          </cell>
        </row>
        <row r="5458">
          <cell r="A5458">
            <v>8051318</v>
          </cell>
        </row>
        <row r="5459">
          <cell r="A5459">
            <v>8051319</v>
          </cell>
        </row>
        <row r="5460">
          <cell r="A5460">
            <v>8051320</v>
          </cell>
        </row>
        <row r="5461">
          <cell r="A5461">
            <v>8051323</v>
          </cell>
        </row>
        <row r="5462">
          <cell r="A5462">
            <v>8051324</v>
          </cell>
        </row>
        <row r="5463">
          <cell r="A5463">
            <v>8051325</v>
          </cell>
        </row>
        <row r="5464">
          <cell r="A5464">
            <v>8051326</v>
          </cell>
        </row>
        <row r="5465">
          <cell r="A5465">
            <v>8051327</v>
          </cell>
        </row>
        <row r="5466">
          <cell r="A5466">
            <v>8051328</v>
          </cell>
        </row>
        <row r="5467">
          <cell r="A5467">
            <v>8051329</v>
          </cell>
        </row>
        <row r="5468">
          <cell r="A5468">
            <v>8051330</v>
          </cell>
        </row>
        <row r="5469">
          <cell r="A5469">
            <v>8051331</v>
          </cell>
        </row>
        <row r="5470">
          <cell r="A5470">
            <v>8051332</v>
          </cell>
        </row>
        <row r="5471">
          <cell r="A5471">
            <v>8051333</v>
          </cell>
        </row>
        <row r="5472">
          <cell r="A5472">
            <v>8051334</v>
          </cell>
        </row>
        <row r="5473">
          <cell r="A5473">
            <v>8051335</v>
          </cell>
        </row>
        <row r="5474">
          <cell r="A5474">
            <v>8051336</v>
          </cell>
        </row>
        <row r="5475">
          <cell r="A5475">
            <v>8051337</v>
          </cell>
        </row>
        <row r="5476">
          <cell r="A5476">
            <v>8051340</v>
          </cell>
        </row>
        <row r="5477">
          <cell r="A5477">
            <v>8051341</v>
          </cell>
        </row>
        <row r="5478">
          <cell r="A5478">
            <v>8051342</v>
          </cell>
        </row>
        <row r="5479">
          <cell r="A5479">
            <v>8051343</v>
          </cell>
        </row>
        <row r="5480">
          <cell r="A5480">
            <v>8051344</v>
          </cell>
        </row>
        <row r="5481">
          <cell r="A5481">
            <v>8051347</v>
          </cell>
        </row>
        <row r="5482">
          <cell r="A5482">
            <v>8051348</v>
          </cell>
        </row>
        <row r="5483">
          <cell r="A5483">
            <v>8051401</v>
          </cell>
        </row>
        <row r="5484">
          <cell r="A5484">
            <v>8051402</v>
          </cell>
        </row>
        <row r="5485">
          <cell r="A5485">
            <v>8051403</v>
          </cell>
        </row>
        <row r="5486">
          <cell r="A5486">
            <v>8051404</v>
          </cell>
        </row>
        <row r="5487">
          <cell r="A5487">
            <v>8051405</v>
          </cell>
        </row>
        <row r="5488">
          <cell r="A5488">
            <v>8051406</v>
          </cell>
        </row>
        <row r="5489">
          <cell r="A5489">
            <v>8051407</v>
          </cell>
        </row>
        <row r="5490">
          <cell r="A5490">
            <v>8051408</v>
          </cell>
        </row>
        <row r="5491">
          <cell r="A5491">
            <v>8051409</v>
          </cell>
        </row>
        <row r="5492">
          <cell r="A5492">
            <v>8051410</v>
          </cell>
        </row>
        <row r="5493">
          <cell r="A5493">
            <v>8051411</v>
          </cell>
        </row>
        <row r="5494">
          <cell r="A5494">
            <v>8051412</v>
          </cell>
        </row>
        <row r="5495">
          <cell r="A5495">
            <v>8051413</v>
          </cell>
        </row>
        <row r="5496">
          <cell r="A5496">
            <v>8051414</v>
          </cell>
        </row>
        <row r="5497">
          <cell r="A5497">
            <v>8051417</v>
          </cell>
        </row>
        <row r="5498">
          <cell r="A5498">
            <v>8051418</v>
          </cell>
        </row>
        <row r="5499">
          <cell r="A5499">
            <v>8051419</v>
          </cell>
        </row>
        <row r="5500">
          <cell r="A5500">
            <v>8051421</v>
          </cell>
        </row>
        <row r="5501">
          <cell r="A5501">
            <v>8051422</v>
          </cell>
        </row>
        <row r="5502">
          <cell r="A5502">
            <v>8051423</v>
          </cell>
        </row>
        <row r="5503">
          <cell r="A5503">
            <v>8051424</v>
          </cell>
        </row>
        <row r="5504">
          <cell r="A5504">
            <v>8051425</v>
          </cell>
        </row>
        <row r="5505">
          <cell r="A5505">
            <v>8051426</v>
          </cell>
        </row>
        <row r="5506">
          <cell r="A5506">
            <v>8051427</v>
          </cell>
        </row>
        <row r="5507">
          <cell r="A5507">
            <v>8051430</v>
          </cell>
        </row>
        <row r="5508">
          <cell r="A5508">
            <v>8051431</v>
          </cell>
        </row>
        <row r="5509">
          <cell r="A5509">
            <v>8051432</v>
          </cell>
        </row>
        <row r="5510">
          <cell r="A5510">
            <v>8051433</v>
          </cell>
        </row>
        <row r="5511">
          <cell r="A5511">
            <v>8051434</v>
          </cell>
        </row>
        <row r="5512">
          <cell r="A5512">
            <v>8051435</v>
          </cell>
        </row>
        <row r="5513">
          <cell r="A5513">
            <v>8051437</v>
          </cell>
        </row>
        <row r="5514">
          <cell r="A5514">
            <v>8051438</v>
          </cell>
        </row>
        <row r="5515">
          <cell r="A5515">
            <v>8051439</v>
          </cell>
        </row>
        <row r="5516">
          <cell r="A5516">
            <v>8051440</v>
          </cell>
        </row>
        <row r="5517">
          <cell r="A5517">
            <v>8051441</v>
          </cell>
        </row>
        <row r="5518">
          <cell r="A5518">
            <v>8051442</v>
          </cell>
        </row>
        <row r="5519">
          <cell r="A5519">
            <v>8051443</v>
          </cell>
        </row>
        <row r="5520">
          <cell r="A5520">
            <v>8051444</v>
          </cell>
        </row>
        <row r="5521">
          <cell r="A5521">
            <v>8051450</v>
          </cell>
        </row>
        <row r="5522">
          <cell r="A5522">
            <v>8051451</v>
          </cell>
        </row>
        <row r="5523">
          <cell r="A5523">
            <v>8051452</v>
          </cell>
        </row>
        <row r="5524">
          <cell r="A5524">
            <v>8051453</v>
          </cell>
        </row>
        <row r="5525">
          <cell r="A5525">
            <v>8051501</v>
          </cell>
        </row>
        <row r="5526">
          <cell r="A5526">
            <v>8051502</v>
          </cell>
        </row>
        <row r="5527">
          <cell r="A5527">
            <v>8051503</v>
          </cell>
        </row>
        <row r="5528">
          <cell r="A5528">
            <v>8051504</v>
          </cell>
        </row>
        <row r="5529">
          <cell r="A5529">
            <v>8051505</v>
          </cell>
        </row>
        <row r="5530">
          <cell r="A5530">
            <v>8051506</v>
          </cell>
        </row>
        <row r="5531">
          <cell r="A5531">
            <v>8051507</v>
          </cell>
        </row>
        <row r="5532">
          <cell r="A5532">
            <v>8051508</v>
          </cell>
        </row>
        <row r="5533">
          <cell r="A5533">
            <v>8051509</v>
          </cell>
        </row>
        <row r="5534">
          <cell r="A5534">
            <v>8051510</v>
          </cell>
        </row>
        <row r="5535">
          <cell r="A5535">
            <v>8051511</v>
          </cell>
        </row>
        <row r="5536">
          <cell r="A5536">
            <v>8051512</v>
          </cell>
        </row>
        <row r="5537">
          <cell r="A5537">
            <v>8051513</v>
          </cell>
        </row>
        <row r="5538">
          <cell r="A5538">
            <v>8051514</v>
          </cell>
        </row>
        <row r="5539">
          <cell r="A5539">
            <v>8051515</v>
          </cell>
        </row>
        <row r="5540">
          <cell r="A5540">
            <v>8051516</v>
          </cell>
        </row>
        <row r="5541">
          <cell r="A5541">
            <v>8051517</v>
          </cell>
        </row>
        <row r="5542">
          <cell r="A5542">
            <v>8051518</v>
          </cell>
        </row>
        <row r="5543">
          <cell r="A5543">
            <v>8051519</v>
          </cell>
        </row>
        <row r="5544">
          <cell r="A5544">
            <v>8051520</v>
          </cell>
        </row>
        <row r="5545">
          <cell r="A5545">
            <v>8051521</v>
          </cell>
        </row>
        <row r="5546">
          <cell r="A5546">
            <v>8051522</v>
          </cell>
        </row>
        <row r="5547">
          <cell r="A5547">
            <v>8051523</v>
          </cell>
        </row>
        <row r="5548">
          <cell r="A5548">
            <v>8051524</v>
          </cell>
        </row>
        <row r="5549">
          <cell r="A5549">
            <v>8051525</v>
          </cell>
        </row>
        <row r="5550">
          <cell r="A5550">
            <v>8051529</v>
          </cell>
        </row>
        <row r="5551">
          <cell r="A5551">
            <v>8051530</v>
          </cell>
        </row>
        <row r="5552">
          <cell r="A5552">
            <v>8051531</v>
          </cell>
        </row>
        <row r="5553">
          <cell r="A5553">
            <v>8051532</v>
          </cell>
        </row>
        <row r="5554">
          <cell r="A5554">
            <v>8051533</v>
          </cell>
        </row>
        <row r="5555">
          <cell r="A5555">
            <v>8051534</v>
          </cell>
        </row>
        <row r="5556">
          <cell r="A5556">
            <v>8051535</v>
          </cell>
        </row>
        <row r="5557">
          <cell r="A5557">
            <v>8051536</v>
          </cell>
        </row>
        <row r="5558">
          <cell r="A5558">
            <v>8051537</v>
          </cell>
        </row>
        <row r="5559">
          <cell r="A5559">
            <v>8051538</v>
          </cell>
        </row>
        <row r="5560">
          <cell r="A5560">
            <v>8051539</v>
          </cell>
        </row>
        <row r="5561">
          <cell r="A5561">
            <v>8051540</v>
          </cell>
        </row>
        <row r="5562">
          <cell r="A5562">
            <v>8051541</v>
          </cell>
        </row>
        <row r="5563">
          <cell r="A5563">
            <v>8051542</v>
          </cell>
        </row>
        <row r="5564">
          <cell r="A5564">
            <v>8051543</v>
          </cell>
        </row>
        <row r="5565">
          <cell r="A5565">
            <v>8051544</v>
          </cell>
        </row>
        <row r="5566">
          <cell r="A5566">
            <v>8051545</v>
          </cell>
        </row>
        <row r="5567">
          <cell r="A5567">
            <v>8051546</v>
          </cell>
        </row>
        <row r="5568">
          <cell r="A5568">
            <v>8051547</v>
          </cell>
        </row>
        <row r="5569">
          <cell r="A5569">
            <v>8051548</v>
          </cell>
        </row>
        <row r="5570">
          <cell r="A5570">
            <v>8051549</v>
          </cell>
        </row>
        <row r="5571">
          <cell r="A5571">
            <v>8051550</v>
          </cell>
        </row>
        <row r="5572">
          <cell r="A5572">
            <v>8051551</v>
          </cell>
        </row>
        <row r="5573">
          <cell r="A5573">
            <v>8051552</v>
          </cell>
        </row>
        <row r="5574">
          <cell r="A5574">
            <v>8051553</v>
          </cell>
        </row>
        <row r="5575">
          <cell r="A5575">
            <v>8051554</v>
          </cell>
        </row>
        <row r="5576">
          <cell r="A5576">
            <v>8051555</v>
          </cell>
        </row>
        <row r="5577">
          <cell r="A5577">
            <v>8051556</v>
          </cell>
        </row>
        <row r="5578">
          <cell r="A5578">
            <v>8051564</v>
          </cell>
        </row>
        <row r="5579">
          <cell r="A5579">
            <v>8051565</v>
          </cell>
        </row>
        <row r="5580">
          <cell r="A5580">
            <v>8051566</v>
          </cell>
        </row>
        <row r="5581">
          <cell r="A5581">
            <v>8051567</v>
          </cell>
        </row>
        <row r="5582">
          <cell r="A5582">
            <v>8051568</v>
          </cell>
        </row>
        <row r="5583">
          <cell r="A5583">
            <v>8051569</v>
          </cell>
        </row>
        <row r="5584">
          <cell r="A5584">
            <v>8051570</v>
          </cell>
        </row>
        <row r="5585">
          <cell r="A5585">
            <v>8051601</v>
          </cell>
        </row>
        <row r="5586">
          <cell r="A5586">
            <v>8051602</v>
          </cell>
        </row>
        <row r="5587">
          <cell r="A5587">
            <v>8051603</v>
          </cell>
        </row>
        <row r="5588">
          <cell r="A5588">
            <v>8051604</v>
          </cell>
        </row>
        <row r="5589">
          <cell r="A5589">
            <v>8051605</v>
          </cell>
        </row>
        <row r="5590">
          <cell r="A5590">
            <v>8051606</v>
          </cell>
        </row>
        <row r="5591">
          <cell r="A5591">
            <v>8051607</v>
          </cell>
        </row>
        <row r="5592">
          <cell r="A5592">
            <v>8051608</v>
          </cell>
        </row>
        <row r="5593">
          <cell r="A5593">
            <v>8051609</v>
          </cell>
        </row>
        <row r="5594">
          <cell r="A5594">
            <v>8051610</v>
          </cell>
        </row>
        <row r="5595">
          <cell r="A5595">
            <v>8051611</v>
          </cell>
        </row>
        <row r="5596">
          <cell r="A5596">
            <v>8051612</v>
          </cell>
        </row>
        <row r="5597">
          <cell r="A5597">
            <v>8051613</v>
          </cell>
        </row>
        <row r="5598">
          <cell r="A5598">
            <v>8051614</v>
          </cell>
        </row>
        <row r="5599">
          <cell r="A5599">
            <v>8051615</v>
          </cell>
        </row>
        <row r="5600">
          <cell r="A5600">
            <v>8051616</v>
          </cell>
        </row>
        <row r="5601">
          <cell r="A5601">
            <v>8051617</v>
          </cell>
        </row>
        <row r="5602">
          <cell r="A5602">
            <v>8051618</v>
          </cell>
        </row>
        <row r="5603">
          <cell r="A5603">
            <v>8051619</v>
          </cell>
        </row>
        <row r="5604">
          <cell r="A5604">
            <v>8051620</v>
          </cell>
        </row>
        <row r="5605">
          <cell r="A5605">
            <v>8051621</v>
          </cell>
        </row>
        <row r="5606">
          <cell r="A5606">
            <v>8051622</v>
          </cell>
        </row>
        <row r="5607">
          <cell r="A5607">
            <v>8051623</v>
          </cell>
        </row>
        <row r="5608">
          <cell r="A5608">
            <v>8051624</v>
          </cell>
        </row>
        <row r="5609">
          <cell r="A5609">
            <v>8051625</v>
          </cell>
        </row>
        <row r="5610">
          <cell r="A5610">
            <v>8051626</v>
          </cell>
        </row>
        <row r="5611">
          <cell r="A5611">
            <v>8051627</v>
          </cell>
        </row>
        <row r="5612">
          <cell r="A5612">
            <v>8051628</v>
          </cell>
        </row>
        <row r="5613">
          <cell r="A5613">
            <v>8051629</v>
          </cell>
        </row>
        <row r="5614">
          <cell r="A5614">
            <v>8051630</v>
          </cell>
        </row>
        <row r="5615">
          <cell r="A5615">
            <v>8051631</v>
          </cell>
        </row>
        <row r="5616">
          <cell r="A5616">
            <v>8051632</v>
          </cell>
        </row>
        <row r="5617">
          <cell r="A5617">
            <v>8051633</v>
          </cell>
        </row>
        <row r="5618">
          <cell r="A5618">
            <v>8051634</v>
          </cell>
        </row>
        <row r="5619">
          <cell r="A5619">
            <v>8051635</v>
          </cell>
        </row>
        <row r="5620">
          <cell r="A5620">
            <v>8051636</v>
          </cell>
        </row>
        <row r="5621">
          <cell r="A5621">
            <v>8051637</v>
          </cell>
        </row>
        <row r="5622">
          <cell r="A5622">
            <v>8051638</v>
          </cell>
        </row>
        <row r="5623">
          <cell r="A5623">
            <v>8051639</v>
          </cell>
        </row>
        <row r="5624">
          <cell r="A5624">
            <v>8051640</v>
          </cell>
        </row>
        <row r="5625">
          <cell r="A5625">
            <v>8051641</v>
          </cell>
        </row>
        <row r="5626">
          <cell r="A5626">
            <v>8051642</v>
          </cell>
        </row>
        <row r="5627">
          <cell r="A5627">
            <v>8051643</v>
          </cell>
        </row>
        <row r="5628">
          <cell r="A5628">
            <v>8051644</v>
          </cell>
        </row>
        <row r="5629">
          <cell r="A5629">
            <v>8051645</v>
          </cell>
        </row>
        <row r="5630">
          <cell r="A5630">
            <v>8051646</v>
          </cell>
        </row>
        <row r="5631">
          <cell r="A5631">
            <v>8051647</v>
          </cell>
        </row>
        <row r="5632">
          <cell r="A5632">
            <v>8051648</v>
          </cell>
        </row>
        <row r="5633">
          <cell r="A5633">
            <v>8051649</v>
          </cell>
        </row>
        <row r="5634">
          <cell r="A5634">
            <v>8051650</v>
          </cell>
        </row>
        <row r="5635">
          <cell r="A5635">
            <v>8051651</v>
          </cell>
        </row>
        <row r="5636">
          <cell r="A5636">
            <v>8051652</v>
          </cell>
        </row>
        <row r="5637">
          <cell r="A5637">
            <v>8051653</v>
          </cell>
        </row>
        <row r="5638">
          <cell r="A5638">
            <v>8051656</v>
          </cell>
        </row>
        <row r="5639">
          <cell r="A5639">
            <v>8051701</v>
          </cell>
        </row>
        <row r="5640">
          <cell r="A5640">
            <v>8051702</v>
          </cell>
        </row>
        <row r="5641">
          <cell r="A5641">
            <v>8051703</v>
          </cell>
        </row>
        <row r="5642">
          <cell r="A5642">
            <v>8051704</v>
          </cell>
        </row>
        <row r="5643">
          <cell r="A5643">
            <v>8051705</v>
          </cell>
        </row>
        <row r="5644">
          <cell r="A5644">
            <v>8051706</v>
          </cell>
        </row>
        <row r="5645">
          <cell r="A5645">
            <v>8051707</v>
          </cell>
        </row>
        <row r="5646">
          <cell r="A5646">
            <v>8051708</v>
          </cell>
        </row>
        <row r="5647">
          <cell r="A5647">
            <v>8051709</v>
          </cell>
        </row>
        <row r="5648">
          <cell r="A5648">
            <v>8051710</v>
          </cell>
        </row>
        <row r="5649">
          <cell r="A5649">
            <v>8051711</v>
          </cell>
        </row>
        <row r="5650">
          <cell r="A5650">
            <v>8051712</v>
          </cell>
        </row>
        <row r="5651">
          <cell r="A5651">
            <v>8051713</v>
          </cell>
        </row>
        <row r="5652">
          <cell r="A5652">
            <v>8051721</v>
          </cell>
        </row>
        <row r="5653">
          <cell r="A5653">
            <v>8051722</v>
          </cell>
        </row>
        <row r="5654">
          <cell r="A5654">
            <v>8051723</v>
          </cell>
        </row>
        <row r="5655">
          <cell r="A5655">
            <v>8051724</v>
          </cell>
        </row>
        <row r="5656">
          <cell r="A5656">
            <v>8051725</v>
          </cell>
        </row>
        <row r="5657">
          <cell r="A5657">
            <v>8051726</v>
          </cell>
        </row>
        <row r="5658">
          <cell r="A5658">
            <v>8051727</v>
          </cell>
        </row>
        <row r="5659">
          <cell r="A5659">
            <v>8051728</v>
          </cell>
        </row>
        <row r="5660">
          <cell r="A5660">
            <v>8051729</v>
          </cell>
        </row>
        <row r="5661">
          <cell r="A5661">
            <v>8051730</v>
          </cell>
        </row>
        <row r="5662">
          <cell r="A5662">
            <v>8051731</v>
          </cell>
        </row>
        <row r="5663">
          <cell r="A5663">
            <v>8051734</v>
          </cell>
        </row>
        <row r="5664">
          <cell r="A5664">
            <v>8051735</v>
          </cell>
        </row>
        <row r="5665">
          <cell r="A5665">
            <v>8051736</v>
          </cell>
        </row>
        <row r="5666">
          <cell r="A5666">
            <v>8051737</v>
          </cell>
        </row>
        <row r="5667">
          <cell r="A5667">
            <v>8051744</v>
          </cell>
        </row>
        <row r="5668">
          <cell r="A5668">
            <v>8051745</v>
          </cell>
        </row>
        <row r="5669">
          <cell r="A5669">
            <v>8051801</v>
          </cell>
        </row>
        <row r="5670">
          <cell r="A5670">
            <v>8051802</v>
          </cell>
        </row>
        <row r="5671">
          <cell r="A5671">
            <v>8051803</v>
          </cell>
        </row>
        <row r="5672">
          <cell r="A5672">
            <v>8051804</v>
          </cell>
        </row>
        <row r="5673">
          <cell r="A5673">
            <v>8051805</v>
          </cell>
        </row>
        <row r="5674">
          <cell r="A5674">
            <v>8051806</v>
          </cell>
        </row>
        <row r="5675">
          <cell r="A5675">
            <v>8051807</v>
          </cell>
        </row>
        <row r="5676">
          <cell r="A5676">
            <v>8051808</v>
          </cell>
        </row>
        <row r="5677">
          <cell r="A5677">
            <v>8051809</v>
          </cell>
        </row>
        <row r="5678">
          <cell r="A5678">
            <v>8051810</v>
          </cell>
        </row>
        <row r="5679">
          <cell r="A5679">
            <v>8051811</v>
          </cell>
        </row>
        <row r="5680">
          <cell r="A5680">
            <v>8051812</v>
          </cell>
        </row>
        <row r="5681">
          <cell r="A5681">
            <v>8051813</v>
          </cell>
        </row>
        <row r="5682">
          <cell r="A5682">
            <v>8051814</v>
          </cell>
        </row>
        <row r="5683">
          <cell r="A5683">
            <v>8051815</v>
          </cell>
        </row>
        <row r="5684">
          <cell r="A5684">
            <v>8051816</v>
          </cell>
        </row>
        <row r="5685">
          <cell r="A5685">
            <v>8051817</v>
          </cell>
        </row>
        <row r="5686">
          <cell r="A5686">
            <v>8051818</v>
          </cell>
        </row>
        <row r="5687">
          <cell r="A5687">
            <v>8051819</v>
          </cell>
        </row>
        <row r="5688">
          <cell r="A5688">
            <v>8051820</v>
          </cell>
        </row>
        <row r="5689">
          <cell r="A5689">
            <v>8051821</v>
          </cell>
        </row>
        <row r="5690">
          <cell r="A5690">
            <v>8051822</v>
          </cell>
        </row>
        <row r="5691">
          <cell r="A5691">
            <v>8051823</v>
          </cell>
        </row>
        <row r="5692">
          <cell r="A5692">
            <v>8051824</v>
          </cell>
        </row>
        <row r="5693">
          <cell r="A5693">
            <v>8051825</v>
          </cell>
        </row>
        <row r="5694">
          <cell r="A5694">
            <v>8051831</v>
          </cell>
        </row>
        <row r="5695">
          <cell r="A5695">
            <v>8051832</v>
          </cell>
        </row>
        <row r="5696">
          <cell r="A5696">
            <v>8051904</v>
          </cell>
        </row>
        <row r="5697">
          <cell r="A5697">
            <v>8051905</v>
          </cell>
        </row>
        <row r="5698">
          <cell r="A5698">
            <v>8051906</v>
          </cell>
        </row>
        <row r="5699">
          <cell r="A5699">
            <v>8051907</v>
          </cell>
        </row>
        <row r="5700">
          <cell r="A5700">
            <v>8051908</v>
          </cell>
        </row>
        <row r="5701">
          <cell r="A5701">
            <v>8051909</v>
          </cell>
        </row>
        <row r="5702">
          <cell r="A5702">
            <v>8051910</v>
          </cell>
        </row>
        <row r="5703">
          <cell r="A5703">
            <v>8051911</v>
          </cell>
        </row>
        <row r="5704">
          <cell r="A5704">
            <v>8051912</v>
          </cell>
        </row>
        <row r="5705">
          <cell r="A5705">
            <v>8051913</v>
          </cell>
        </row>
        <row r="5706">
          <cell r="A5706">
            <v>8051914</v>
          </cell>
        </row>
        <row r="5707">
          <cell r="A5707">
            <v>8051915</v>
          </cell>
        </row>
        <row r="5708">
          <cell r="A5708">
            <v>8051916</v>
          </cell>
        </row>
        <row r="5709">
          <cell r="A5709">
            <v>8051917</v>
          </cell>
        </row>
        <row r="5710">
          <cell r="A5710">
            <v>8051918</v>
          </cell>
        </row>
        <row r="5711">
          <cell r="A5711">
            <v>8051919</v>
          </cell>
        </row>
        <row r="5712">
          <cell r="A5712">
            <v>8051920</v>
          </cell>
        </row>
        <row r="5713">
          <cell r="A5713">
            <v>8051921</v>
          </cell>
        </row>
        <row r="5714">
          <cell r="A5714">
            <v>8051922</v>
          </cell>
        </row>
        <row r="5715">
          <cell r="A5715">
            <v>8051923</v>
          </cell>
        </row>
        <row r="5716">
          <cell r="A5716">
            <v>8051924</v>
          </cell>
        </row>
        <row r="5717">
          <cell r="A5717">
            <v>8051925</v>
          </cell>
        </row>
        <row r="5718">
          <cell r="A5718">
            <v>8051926</v>
          </cell>
        </row>
        <row r="5719">
          <cell r="A5719">
            <v>8051927</v>
          </cell>
        </row>
        <row r="5720">
          <cell r="A5720">
            <v>8051928</v>
          </cell>
        </row>
        <row r="5721">
          <cell r="A5721">
            <v>8051932</v>
          </cell>
        </row>
        <row r="5722">
          <cell r="A5722">
            <v>8051933</v>
          </cell>
        </row>
        <row r="5723">
          <cell r="A5723">
            <v>8051934</v>
          </cell>
        </row>
        <row r="5724">
          <cell r="A5724">
            <v>8051935</v>
          </cell>
        </row>
        <row r="5725">
          <cell r="A5725">
            <v>8052001</v>
          </cell>
        </row>
        <row r="5726">
          <cell r="A5726">
            <v>8052002</v>
          </cell>
        </row>
        <row r="5727">
          <cell r="A5727">
            <v>8052003</v>
          </cell>
        </row>
        <row r="5728">
          <cell r="A5728">
            <v>8052004</v>
          </cell>
        </row>
        <row r="5729">
          <cell r="A5729">
            <v>8052005</v>
          </cell>
        </row>
        <row r="5730">
          <cell r="A5730">
            <v>8052006</v>
          </cell>
        </row>
        <row r="5731">
          <cell r="A5731">
            <v>8052007</v>
          </cell>
        </row>
        <row r="5732">
          <cell r="A5732">
            <v>8052008</v>
          </cell>
        </row>
        <row r="5733">
          <cell r="A5733">
            <v>8052009</v>
          </cell>
        </row>
        <row r="5734">
          <cell r="A5734">
            <v>8052010</v>
          </cell>
        </row>
        <row r="5735">
          <cell r="A5735">
            <v>8052011</v>
          </cell>
        </row>
        <row r="5736">
          <cell r="A5736">
            <v>8052012</v>
          </cell>
        </row>
        <row r="5737">
          <cell r="A5737">
            <v>8052013</v>
          </cell>
        </row>
        <row r="5738">
          <cell r="A5738">
            <v>8052014</v>
          </cell>
        </row>
        <row r="5739">
          <cell r="A5739">
            <v>8052016</v>
          </cell>
        </row>
        <row r="5740">
          <cell r="A5740">
            <v>8052017</v>
          </cell>
        </row>
        <row r="5741">
          <cell r="A5741">
            <v>8052018</v>
          </cell>
        </row>
        <row r="5742">
          <cell r="A5742">
            <v>8052019</v>
          </cell>
        </row>
        <row r="5743">
          <cell r="A5743">
            <v>8052020</v>
          </cell>
        </row>
        <row r="5744">
          <cell r="A5744">
            <v>8052021</v>
          </cell>
        </row>
        <row r="5745">
          <cell r="A5745">
            <v>8052022</v>
          </cell>
        </row>
        <row r="5746">
          <cell r="A5746">
            <v>8052023</v>
          </cell>
        </row>
        <row r="5747">
          <cell r="A5747">
            <v>8052024</v>
          </cell>
        </row>
        <row r="5748">
          <cell r="A5748">
            <v>8052025</v>
          </cell>
        </row>
        <row r="5749">
          <cell r="A5749">
            <v>8052101</v>
          </cell>
        </row>
        <row r="5750">
          <cell r="A5750">
            <v>8052102</v>
          </cell>
        </row>
        <row r="5751">
          <cell r="A5751">
            <v>8052103</v>
          </cell>
        </row>
        <row r="5752">
          <cell r="A5752">
            <v>8052104</v>
          </cell>
        </row>
        <row r="5753">
          <cell r="A5753">
            <v>8052105</v>
          </cell>
        </row>
        <row r="5754">
          <cell r="A5754">
            <v>8052106</v>
          </cell>
        </row>
        <row r="5755">
          <cell r="A5755">
            <v>8052107</v>
          </cell>
        </row>
        <row r="5756">
          <cell r="A5756">
            <v>8052108</v>
          </cell>
        </row>
        <row r="5757">
          <cell r="A5757">
            <v>8052109</v>
          </cell>
        </row>
        <row r="5758">
          <cell r="A5758">
            <v>8052110</v>
          </cell>
        </row>
        <row r="5759">
          <cell r="A5759">
            <v>8052111</v>
          </cell>
        </row>
        <row r="5760">
          <cell r="A5760">
            <v>8052112</v>
          </cell>
        </row>
        <row r="5761">
          <cell r="A5761">
            <v>8052113</v>
          </cell>
        </row>
        <row r="5762">
          <cell r="A5762">
            <v>8052114</v>
          </cell>
        </row>
        <row r="5763">
          <cell r="A5763">
            <v>8052115</v>
          </cell>
        </row>
        <row r="5764">
          <cell r="A5764">
            <v>8052116</v>
          </cell>
        </row>
        <row r="5765">
          <cell r="A5765">
            <v>8052117</v>
          </cell>
        </row>
        <row r="5766">
          <cell r="A5766">
            <v>8052118</v>
          </cell>
        </row>
        <row r="5767">
          <cell r="A5767">
            <v>8052119</v>
          </cell>
        </row>
        <row r="5768">
          <cell r="A5768">
            <v>8052121</v>
          </cell>
        </row>
        <row r="5769">
          <cell r="A5769">
            <v>8052124</v>
          </cell>
        </row>
        <row r="5770">
          <cell r="A5770">
            <v>8052125</v>
          </cell>
        </row>
        <row r="5771">
          <cell r="A5771">
            <v>8052126</v>
          </cell>
        </row>
        <row r="5772">
          <cell r="A5772">
            <v>8052127</v>
          </cell>
        </row>
        <row r="5773">
          <cell r="A5773">
            <v>8052128</v>
          </cell>
        </row>
        <row r="5774">
          <cell r="A5774">
            <v>8052132</v>
          </cell>
        </row>
        <row r="5775">
          <cell r="A5775">
            <v>8052133</v>
          </cell>
        </row>
        <row r="5776">
          <cell r="A5776">
            <v>8052134</v>
          </cell>
        </row>
        <row r="5777">
          <cell r="A5777">
            <v>8052136</v>
          </cell>
        </row>
        <row r="5778">
          <cell r="A5778">
            <v>8052137</v>
          </cell>
        </row>
        <row r="5779">
          <cell r="A5779">
            <v>8052138</v>
          </cell>
        </row>
        <row r="5780">
          <cell r="A5780">
            <v>8052139</v>
          </cell>
        </row>
        <row r="5781">
          <cell r="A5781">
            <v>8052140</v>
          </cell>
        </row>
        <row r="5782">
          <cell r="A5782">
            <v>8052141</v>
          </cell>
        </row>
        <row r="5783">
          <cell r="A5783">
            <v>8052142</v>
          </cell>
        </row>
        <row r="5784">
          <cell r="A5784">
            <v>8052143</v>
          </cell>
        </row>
        <row r="5785">
          <cell r="A5785">
            <v>8052201</v>
          </cell>
        </row>
        <row r="5786">
          <cell r="A5786">
            <v>8052202</v>
          </cell>
        </row>
        <row r="5787">
          <cell r="A5787">
            <v>8052203</v>
          </cell>
        </row>
        <row r="5788">
          <cell r="A5788">
            <v>8052204</v>
          </cell>
        </row>
        <row r="5789">
          <cell r="A5789">
            <v>8052205</v>
          </cell>
        </row>
        <row r="5790">
          <cell r="A5790">
            <v>8052206</v>
          </cell>
        </row>
        <row r="5791">
          <cell r="A5791">
            <v>8052207</v>
          </cell>
        </row>
        <row r="5792">
          <cell r="A5792">
            <v>8052208</v>
          </cell>
        </row>
        <row r="5793">
          <cell r="A5793">
            <v>8052209</v>
          </cell>
        </row>
        <row r="5794">
          <cell r="A5794">
            <v>8052210</v>
          </cell>
        </row>
        <row r="5795">
          <cell r="A5795">
            <v>8052211</v>
          </cell>
        </row>
        <row r="5796">
          <cell r="A5796">
            <v>8052212</v>
          </cell>
        </row>
        <row r="5797">
          <cell r="A5797">
            <v>8052213</v>
          </cell>
        </row>
        <row r="5798">
          <cell r="A5798">
            <v>8052214</v>
          </cell>
        </row>
        <row r="5799">
          <cell r="A5799">
            <v>8052215</v>
          </cell>
        </row>
        <row r="5800">
          <cell r="A5800">
            <v>8052216</v>
          </cell>
        </row>
        <row r="5801">
          <cell r="A5801">
            <v>8052217</v>
          </cell>
        </row>
        <row r="5802">
          <cell r="A5802">
            <v>8052218</v>
          </cell>
        </row>
        <row r="5803">
          <cell r="A5803">
            <v>8052220</v>
          </cell>
        </row>
        <row r="5804">
          <cell r="A5804">
            <v>8052221</v>
          </cell>
        </row>
        <row r="5805">
          <cell r="A5805">
            <v>8052222</v>
          </cell>
        </row>
        <row r="5806">
          <cell r="A5806">
            <v>8052226</v>
          </cell>
        </row>
        <row r="5807">
          <cell r="A5807">
            <v>8052227</v>
          </cell>
        </row>
        <row r="5808">
          <cell r="A5808">
            <v>8052228</v>
          </cell>
        </row>
        <row r="5809">
          <cell r="A5809">
            <v>8052229</v>
          </cell>
        </row>
        <row r="5810">
          <cell r="A5810">
            <v>8052230</v>
          </cell>
        </row>
        <row r="5811">
          <cell r="A5811">
            <v>8052231</v>
          </cell>
        </row>
        <row r="5812">
          <cell r="A5812">
            <v>8052232</v>
          </cell>
        </row>
        <row r="5813">
          <cell r="A5813">
            <v>8052240</v>
          </cell>
        </row>
        <row r="5814">
          <cell r="A5814">
            <v>8052241</v>
          </cell>
        </row>
        <row r="5815">
          <cell r="A5815">
            <v>8052242</v>
          </cell>
        </row>
        <row r="5816">
          <cell r="A5816">
            <v>8052243</v>
          </cell>
        </row>
        <row r="5817">
          <cell r="A5817">
            <v>8052244</v>
          </cell>
        </row>
        <row r="5818">
          <cell r="A5818">
            <v>8052245</v>
          </cell>
        </row>
        <row r="5819">
          <cell r="A5819">
            <v>8052246</v>
          </cell>
        </row>
        <row r="5820">
          <cell r="A5820">
            <v>8052247</v>
          </cell>
        </row>
        <row r="5821">
          <cell r="A5821">
            <v>8052248</v>
          </cell>
        </row>
        <row r="5822">
          <cell r="A5822">
            <v>8052249</v>
          </cell>
        </row>
        <row r="5823">
          <cell r="A5823">
            <v>8052250</v>
          </cell>
        </row>
        <row r="5824">
          <cell r="A5824">
            <v>8052301</v>
          </cell>
        </row>
        <row r="5825">
          <cell r="A5825">
            <v>8052302</v>
          </cell>
        </row>
        <row r="5826">
          <cell r="A5826">
            <v>8052303</v>
          </cell>
        </row>
        <row r="5827">
          <cell r="A5827">
            <v>8052304</v>
          </cell>
        </row>
        <row r="5828">
          <cell r="A5828">
            <v>8052305</v>
          </cell>
        </row>
        <row r="5829">
          <cell r="A5829">
            <v>8052306</v>
          </cell>
        </row>
        <row r="5830">
          <cell r="A5830">
            <v>8052307</v>
          </cell>
        </row>
        <row r="5831">
          <cell r="A5831">
            <v>8052308</v>
          </cell>
        </row>
        <row r="5832">
          <cell r="A5832">
            <v>8052309</v>
          </cell>
        </row>
        <row r="5833">
          <cell r="A5833">
            <v>8052310</v>
          </cell>
        </row>
        <row r="5834">
          <cell r="A5834">
            <v>8052311</v>
          </cell>
        </row>
        <row r="5835">
          <cell r="A5835">
            <v>8052312</v>
          </cell>
        </row>
        <row r="5836">
          <cell r="A5836">
            <v>8052313</v>
          </cell>
        </row>
        <row r="5837">
          <cell r="A5837">
            <v>8052314</v>
          </cell>
        </row>
        <row r="5838">
          <cell r="A5838">
            <v>8052315</v>
          </cell>
        </row>
        <row r="5839">
          <cell r="A5839">
            <v>8052316</v>
          </cell>
        </row>
        <row r="5840">
          <cell r="A5840">
            <v>8052317</v>
          </cell>
        </row>
        <row r="5841">
          <cell r="A5841">
            <v>8052318</v>
          </cell>
        </row>
        <row r="5842">
          <cell r="A5842">
            <v>8052319</v>
          </cell>
        </row>
        <row r="5843">
          <cell r="A5843">
            <v>8052320</v>
          </cell>
        </row>
        <row r="5844">
          <cell r="A5844">
            <v>8052321</v>
          </cell>
        </row>
        <row r="5845">
          <cell r="A5845">
            <v>8052322</v>
          </cell>
        </row>
        <row r="5846">
          <cell r="A5846">
            <v>8052323</v>
          </cell>
        </row>
        <row r="5847">
          <cell r="A5847">
            <v>8052324</v>
          </cell>
        </row>
        <row r="5848">
          <cell r="A5848">
            <v>8052325</v>
          </cell>
        </row>
        <row r="5849">
          <cell r="A5849">
            <v>8052329</v>
          </cell>
        </row>
        <row r="5850">
          <cell r="A5850">
            <v>8052330</v>
          </cell>
        </row>
        <row r="5851">
          <cell r="A5851">
            <v>8052331</v>
          </cell>
        </row>
        <row r="5852">
          <cell r="A5852">
            <v>8052332</v>
          </cell>
        </row>
        <row r="5853">
          <cell r="A5853">
            <v>8052333</v>
          </cell>
        </row>
        <row r="5854">
          <cell r="A5854">
            <v>8052334</v>
          </cell>
        </row>
        <row r="5855">
          <cell r="A5855">
            <v>8052335</v>
          </cell>
        </row>
        <row r="5856">
          <cell r="A5856">
            <v>8052336</v>
          </cell>
        </row>
        <row r="5857">
          <cell r="A5857">
            <v>8052337</v>
          </cell>
        </row>
        <row r="5858">
          <cell r="A5858">
            <v>8052338</v>
          </cell>
        </row>
        <row r="5859">
          <cell r="A5859">
            <v>8052339</v>
          </cell>
        </row>
        <row r="5860">
          <cell r="A5860">
            <v>8052340</v>
          </cell>
        </row>
        <row r="5861">
          <cell r="A5861">
            <v>8052341</v>
          </cell>
        </row>
        <row r="5862">
          <cell r="A5862">
            <v>8052342</v>
          </cell>
        </row>
        <row r="5863">
          <cell r="A5863">
            <v>8052343</v>
          </cell>
        </row>
        <row r="5864">
          <cell r="A5864">
            <v>8052344</v>
          </cell>
        </row>
        <row r="5865">
          <cell r="A5865">
            <v>8052345</v>
          </cell>
        </row>
        <row r="5866">
          <cell r="A5866">
            <v>8052346</v>
          </cell>
        </row>
        <row r="5867">
          <cell r="A5867">
            <v>8052347</v>
          </cell>
        </row>
        <row r="5868">
          <cell r="A5868">
            <v>8052352</v>
          </cell>
        </row>
        <row r="5869">
          <cell r="A5869">
            <v>8052353</v>
          </cell>
        </row>
        <row r="5870">
          <cell r="A5870">
            <v>8052354</v>
          </cell>
        </row>
        <row r="5871">
          <cell r="A5871">
            <v>8052355</v>
          </cell>
        </row>
        <row r="5872">
          <cell r="A5872">
            <v>8052356</v>
          </cell>
        </row>
        <row r="5873">
          <cell r="A5873">
            <v>8052357</v>
          </cell>
        </row>
        <row r="5874">
          <cell r="A5874">
            <v>8052358</v>
          </cell>
        </row>
        <row r="5875">
          <cell r="A5875">
            <v>8052401</v>
          </cell>
        </row>
        <row r="5876">
          <cell r="A5876">
            <v>8052402</v>
          </cell>
        </row>
        <row r="5877">
          <cell r="A5877">
            <v>8052403</v>
          </cell>
        </row>
        <row r="5878">
          <cell r="A5878">
            <v>8052404</v>
          </cell>
        </row>
        <row r="5879">
          <cell r="A5879">
            <v>8052405</v>
          </cell>
        </row>
        <row r="5880">
          <cell r="A5880">
            <v>8052406</v>
          </cell>
        </row>
        <row r="5881">
          <cell r="A5881">
            <v>8052407</v>
          </cell>
        </row>
        <row r="5882">
          <cell r="A5882">
            <v>8052408</v>
          </cell>
        </row>
        <row r="5883">
          <cell r="A5883">
            <v>8052409</v>
          </cell>
        </row>
        <row r="5884">
          <cell r="A5884">
            <v>8052410</v>
          </cell>
        </row>
        <row r="5885">
          <cell r="A5885">
            <v>8052411</v>
          </cell>
        </row>
        <row r="5886">
          <cell r="A5886">
            <v>8052412</v>
          </cell>
        </row>
        <row r="5887">
          <cell r="A5887">
            <v>8052413</v>
          </cell>
        </row>
        <row r="5888">
          <cell r="A5888">
            <v>8052414</v>
          </cell>
        </row>
        <row r="5889">
          <cell r="A5889">
            <v>8052415</v>
          </cell>
        </row>
        <row r="5890">
          <cell r="A5890">
            <v>8052416</v>
          </cell>
        </row>
        <row r="5891">
          <cell r="A5891">
            <v>8052417</v>
          </cell>
        </row>
        <row r="5892">
          <cell r="A5892">
            <v>8052418</v>
          </cell>
        </row>
        <row r="5893">
          <cell r="A5893">
            <v>8052419</v>
          </cell>
        </row>
        <row r="5894">
          <cell r="A5894">
            <v>8052420</v>
          </cell>
        </row>
        <row r="5895">
          <cell r="A5895">
            <v>8052421</v>
          </cell>
        </row>
        <row r="5896">
          <cell r="A5896">
            <v>8052422</v>
          </cell>
        </row>
        <row r="5897">
          <cell r="A5897">
            <v>8052423</v>
          </cell>
        </row>
        <row r="5898">
          <cell r="A5898">
            <v>8052424</v>
          </cell>
        </row>
        <row r="5899">
          <cell r="A5899">
            <v>8052425</v>
          </cell>
        </row>
        <row r="5900">
          <cell r="A5900">
            <v>8052426</v>
          </cell>
        </row>
        <row r="5901">
          <cell r="A5901">
            <v>8052427</v>
          </cell>
        </row>
        <row r="5902">
          <cell r="A5902">
            <v>8052428</v>
          </cell>
        </row>
        <row r="5903">
          <cell r="A5903">
            <v>8052429</v>
          </cell>
        </row>
        <row r="5904">
          <cell r="A5904">
            <v>8052430</v>
          </cell>
        </row>
        <row r="5905">
          <cell r="A5905">
            <v>8052431</v>
          </cell>
        </row>
        <row r="5906">
          <cell r="A5906">
            <v>8052432</v>
          </cell>
        </row>
        <row r="5907">
          <cell r="A5907">
            <v>8052433</v>
          </cell>
        </row>
        <row r="5908">
          <cell r="A5908">
            <v>8052434</v>
          </cell>
        </row>
        <row r="5909">
          <cell r="A5909">
            <v>8052435</v>
          </cell>
        </row>
        <row r="5910">
          <cell r="A5910">
            <v>8052436</v>
          </cell>
        </row>
        <row r="5911">
          <cell r="A5911">
            <v>8052437</v>
          </cell>
        </row>
        <row r="5912">
          <cell r="A5912">
            <v>8052438</v>
          </cell>
        </row>
        <row r="5913">
          <cell r="A5913">
            <v>8052439</v>
          </cell>
        </row>
        <row r="5914">
          <cell r="A5914">
            <v>8052440</v>
          </cell>
        </row>
        <row r="5915">
          <cell r="A5915">
            <v>8052441</v>
          </cell>
        </row>
        <row r="5916">
          <cell r="A5916">
            <v>8052443</v>
          </cell>
        </row>
        <row r="5917">
          <cell r="A5917">
            <v>8052444</v>
          </cell>
        </row>
        <row r="5918">
          <cell r="A5918">
            <v>8052445</v>
          </cell>
        </row>
        <row r="5919">
          <cell r="A5919">
            <v>8052446</v>
          </cell>
        </row>
        <row r="5920">
          <cell r="A5920">
            <v>8052447</v>
          </cell>
        </row>
        <row r="5921">
          <cell r="A5921">
            <v>8052448</v>
          </cell>
        </row>
        <row r="5922">
          <cell r="A5922">
            <v>8052449</v>
          </cell>
        </row>
        <row r="5923">
          <cell r="A5923">
            <v>8052457</v>
          </cell>
        </row>
        <row r="5924">
          <cell r="A5924">
            <v>8052458</v>
          </cell>
        </row>
        <row r="5925">
          <cell r="A5925">
            <v>8052505</v>
          </cell>
        </row>
        <row r="5926">
          <cell r="A5926">
            <v>8052506</v>
          </cell>
        </row>
        <row r="5927">
          <cell r="A5927">
            <v>8052507</v>
          </cell>
        </row>
        <row r="5928">
          <cell r="A5928">
            <v>8052508</v>
          </cell>
        </row>
        <row r="5929">
          <cell r="A5929">
            <v>8052509</v>
          </cell>
        </row>
        <row r="5930">
          <cell r="A5930">
            <v>8052510</v>
          </cell>
        </row>
        <row r="5931">
          <cell r="A5931">
            <v>8052511</v>
          </cell>
        </row>
        <row r="5932">
          <cell r="A5932">
            <v>8052512</v>
          </cell>
        </row>
        <row r="5933">
          <cell r="A5933">
            <v>8052513</v>
          </cell>
        </row>
        <row r="5934">
          <cell r="A5934">
            <v>8052514</v>
          </cell>
        </row>
        <row r="5935">
          <cell r="A5935">
            <v>8052515</v>
          </cell>
        </row>
        <row r="5936">
          <cell r="A5936">
            <v>8052516</v>
          </cell>
        </row>
        <row r="5937">
          <cell r="A5937">
            <v>8052517</v>
          </cell>
        </row>
        <row r="5938">
          <cell r="A5938">
            <v>8052518</v>
          </cell>
        </row>
        <row r="5939">
          <cell r="A5939">
            <v>8052519</v>
          </cell>
        </row>
        <row r="5940">
          <cell r="A5940">
            <v>8052601</v>
          </cell>
        </row>
        <row r="5941">
          <cell r="A5941">
            <v>8052602</v>
          </cell>
        </row>
        <row r="5942">
          <cell r="A5942">
            <v>8052603</v>
          </cell>
        </row>
        <row r="5943">
          <cell r="A5943">
            <v>8052604</v>
          </cell>
        </row>
        <row r="5944">
          <cell r="A5944">
            <v>8052605</v>
          </cell>
        </row>
        <row r="5945">
          <cell r="A5945">
            <v>8052606</v>
          </cell>
        </row>
        <row r="5946">
          <cell r="A5946">
            <v>8052607</v>
          </cell>
        </row>
        <row r="5947">
          <cell r="A5947">
            <v>8052608</v>
          </cell>
        </row>
        <row r="5948">
          <cell r="A5948">
            <v>8052609</v>
          </cell>
        </row>
        <row r="5949">
          <cell r="A5949">
            <v>8052610</v>
          </cell>
        </row>
        <row r="5950">
          <cell r="A5950">
            <v>8052611</v>
          </cell>
        </row>
        <row r="5951">
          <cell r="A5951">
            <v>8052612</v>
          </cell>
        </row>
        <row r="5952">
          <cell r="A5952">
            <v>8052613</v>
          </cell>
        </row>
        <row r="5953">
          <cell r="A5953">
            <v>8052614</v>
          </cell>
        </row>
        <row r="5954">
          <cell r="A5954">
            <v>8052615</v>
          </cell>
        </row>
        <row r="5955">
          <cell r="A5955">
            <v>8052616</v>
          </cell>
        </row>
        <row r="5956">
          <cell r="A5956">
            <v>8052617</v>
          </cell>
        </row>
        <row r="5957">
          <cell r="A5957">
            <v>8052618</v>
          </cell>
        </row>
        <row r="5958">
          <cell r="A5958">
            <v>8052619</v>
          </cell>
        </row>
        <row r="5959">
          <cell r="A5959">
            <v>8052620</v>
          </cell>
        </row>
        <row r="5960">
          <cell r="A5960">
            <v>8052621</v>
          </cell>
        </row>
        <row r="5961">
          <cell r="A5961">
            <v>8052622</v>
          </cell>
        </row>
        <row r="5962">
          <cell r="A5962">
            <v>8052623</v>
          </cell>
        </row>
        <row r="5963">
          <cell r="A5963">
            <v>8052624</v>
          </cell>
        </row>
        <row r="5964">
          <cell r="A5964">
            <v>8052625</v>
          </cell>
        </row>
        <row r="5965">
          <cell r="A5965">
            <v>8052626</v>
          </cell>
        </row>
        <row r="5966">
          <cell r="A5966">
            <v>8052627</v>
          </cell>
        </row>
        <row r="5967">
          <cell r="A5967">
            <v>8052628</v>
          </cell>
        </row>
        <row r="5968">
          <cell r="A5968">
            <v>8052629</v>
          </cell>
        </row>
        <row r="5969">
          <cell r="A5969">
            <v>8052630</v>
          </cell>
        </row>
        <row r="5970">
          <cell r="A5970">
            <v>8052631</v>
          </cell>
        </row>
        <row r="5971">
          <cell r="A5971">
            <v>8052632</v>
          </cell>
        </row>
        <row r="5972">
          <cell r="A5972">
            <v>8052633</v>
          </cell>
        </row>
        <row r="5973">
          <cell r="A5973">
            <v>8052634</v>
          </cell>
        </row>
        <row r="5974">
          <cell r="A5974">
            <v>8052635</v>
          </cell>
        </row>
        <row r="5975">
          <cell r="A5975">
            <v>8052636</v>
          </cell>
        </row>
        <row r="5976">
          <cell r="A5976">
            <v>8052637</v>
          </cell>
        </row>
        <row r="5977">
          <cell r="A5977">
            <v>8052639</v>
          </cell>
        </row>
        <row r="5978">
          <cell r="A5978">
            <v>8052640</v>
          </cell>
        </row>
        <row r="5979">
          <cell r="A5979">
            <v>8052641</v>
          </cell>
        </row>
        <row r="5980">
          <cell r="A5980">
            <v>8052642</v>
          </cell>
        </row>
        <row r="5981">
          <cell r="A5981">
            <v>8052643</v>
          </cell>
        </row>
        <row r="5982">
          <cell r="A5982">
            <v>8052644</v>
          </cell>
        </row>
        <row r="5983">
          <cell r="A5983">
            <v>8052645</v>
          </cell>
        </row>
        <row r="5984">
          <cell r="A5984">
            <v>8052646</v>
          </cell>
        </row>
        <row r="5985">
          <cell r="A5985">
            <v>8052647</v>
          </cell>
        </row>
        <row r="5986">
          <cell r="A5986">
            <v>8052648</v>
          </cell>
        </row>
        <row r="5987">
          <cell r="A5987">
            <v>8052701</v>
          </cell>
        </row>
        <row r="5988">
          <cell r="A5988">
            <v>8052702</v>
          </cell>
        </row>
        <row r="5989">
          <cell r="A5989">
            <v>8052703</v>
          </cell>
        </row>
        <row r="5990">
          <cell r="A5990">
            <v>8052704</v>
          </cell>
        </row>
        <row r="5991">
          <cell r="A5991">
            <v>8052705</v>
          </cell>
        </row>
        <row r="5992">
          <cell r="A5992">
            <v>8052706</v>
          </cell>
        </row>
        <row r="5993">
          <cell r="A5993">
            <v>8052707</v>
          </cell>
        </row>
        <row r="5994">
          <cell r="A5994">
            <v>8052708</v>
          </cell>
        </row>
        <row r="5995">
          <cell r="A5995">
            <v>8052709</v>
          </cell>
        </row>
        <row r="5996">
          <cell r="A5996">
            <v>8052710</v>
          </cell>
        </row>
        <row r="5997">
          <cell r="A5997">
            <v>8052711</v>
          </cell>
        </row>
        <row r="5998">
          <cell r="A5998">
            <v>8052712</v>
          </cell>
        </row>
        <row r="5999">
          <cell r="A5999">
            <v>8052713</v>
          </cell>
        </row>
        <row r="6000">
          <cell r="A6000">
            <v>8052714</v>
          </cell>
        </row>
        <row r="6001">
          <cell r="A6001">
            <v>8052715</v>
          </cell>
        </row>
        <row r="6002">
          <cell r="A6002">
            <v>8052716</v>
          </cell>
        </row>
        <row r="6003">
          <cell r="A6003">
            <v>8052717</v>
          </cell>
        </row>
        <row r="6004">
          <cell r="A6004">
            <v>8052718</v>
          </cell>
        </row>
        <row r="6005">
          <cell r="A6005">
            <v>8052719</v>
          </cell>
        </row>
        <row r="6006">
          <cell r="A6006">
            <v>8052720</v>
          </cell>
        </row>
        <row r="6007">
          <cell r="A6007">
            <v>8052721</v>
          </cell>
        </row>
        <row r="6008">
          <cell r="A6008">
            <v>8052722</v>
          </cell>
        </row>
        <row r="6009">
          <cell r="A6009">
            <v>8052723</v>
          </cell>
        </row>
        <row r="6010">
          <cell r="A6010">
            <v>8052724</v>
          </cell>
        </row>
        <row r="6011">
          <cell r="A6011">
            <v>8052725</v>
          </cell>
        </row>
        <row r="6012">
          <cell r="A6012">
            <v>8052726</v>
          </cell>
        </row>
        <row r="6013">
          <cell r="A6013">
            <v>8052727</v>
          </cell>
        </row>
        <row r="6014">
          <cell r="A6014">
            <v>8052728</v>
          </cell>
        </row>
        <row r="6015">
          <cell r="A6015">
            <v>8052729</v>
          </cell>
        </row>
        <row r="6016">
          <cell r="A6016">
            <v>8052730</v>
          </cell>
        </row>
        <row r="6017">
          <cell r="A6017">
            <v>8052731</v>
          </cell>
        </row>
        <row r="6018">
          <cell r="A6018">
            <v>8052732</v>
          </cell>
        </row>
        <row r="6019">
          <cell r="A6019">
            <v>8052733</v>
          </cell>
        </row>
        <row r="6020">
          <cell r="A6020">
            <v>8052734</v>
          </cell>
        </row>
        <row r="6021">
          <cell r="A6021">
            <v>8052735</v>
          </cell>
        </row>
        <row r="6022">
          <cell r="A6022">
            <v>8052736</v>
          </cell>
        </row>
        <row r="6023">
          <cell r="A6023">
            <v>8052737</v>
          </cell>
        </row>
        <row r="6024">
          <cell r="A6024">
            <v>8052738</v>
          </cell>
        </row>
        <row r="6025">
          <cell r="A6025">
            <v>8052739</v>
          </cell>
        </row>
        <row r="6026">
          <cell r="A6026">
            <v>8052747</v>
          </cell>
        </row>
        <row r="6027">
          <cell r="A6027">
            <v>8052748</v>
          </cell>
        </row>
        <row r="6028">
          <cell r="A6028">
            <v>8052749</v>
          </cell>
        </row>
        <row r="6029">
          <cell r="A6029">
            <v>8052750</v>
          </cell>
        </row>
        <row r="6030">
          <cell r="A6030">
            <v>8052751</v>
          </cell>
        </row>
        <row r="6031">
          <cell r="A6031">
            <v>8052752</v>
          </cell>
        </row>
        <row r="6032">
          <cell r="A6032">
            <v>8052754</v>
          </cell>
        </row>
        <row r="6033">
          <cell r="A6033">
            <v>8052755</v>
          </cell>
        </row>
        <row r="6034">
          <cell r="A6034">
            <v>8052756</v>
          </cell>
        </row>
        <row r="6035">
          <cell r="A6035">
            <v>8052757</v>
          </cell>
        </row>
        <row r="6036">
          <cell r="A6036">
            <v>8052758</v>
          </cell>
        </row>
        <row r="6037">
          <cell r="A6037">
            <v>8052759</v>
          </cell>
        </row>
        <row r="6038">
          <cell r="A6038">
            <v>8052760</v>
          </cell>
        </row>
        <row r="6039">
          <cell r="A6039">
            <v>8052801</v>
          </cell>
        </row>
        <row r="6040">
          <cell r="A6040">
            <v>8052802</v>
          </cell>
        </row>
        <row r="6041">
          <cell r="A6041">
            <v>8052803</v>
          </cell>
        </row>
        <row r="6042">
          <cell r="A6042">
            <v>8052804</v>
          </cell>
        </row>
        <row r="6043">
          <cell r="A6043">
            <v>8052805</v>
          </cell>
        </row>
        <row r="6044">
          <cell r="A6044">
            <v>8052806</v>
          </cell>
        </row>
        <row r="6045">
          <cell r="A6045">
            <v>8052807</v>
          </cell>
        </row>
        <row r="6046">
          <cell r="A6046">
            <v>8052808</v>
          </cell>
        </row>
        <row r="6047">
          <cell r="A6047">
            <v>8052809</v>
          </cell>
        </row>
        <row r="6048">
          <cell r="A6048">
            <v>8052810</v>
          </cell>
        </row>
        <row r="6049">
          <cell r="A6049">
            <v>8052811</v>
          </cell>
        </row>
        <row r="6050">
          <cell r="A6050">
            <v>8052812</v>
          </cell>
        </row>
        <row r="6051">
          <cell r="A6051">
            <v>8052813</v>
          </cell>
        </row>
        <row r="6052">
          <cell r="A6052">
            <v>8052814</v>
          </cell>
        </row>
        <row r="6053">
          <cell r="A6053">
            <v>8052815</v>
          </cell>
        </row>
        <row r="6054">
          <cell r="A6054">
            <v>8052816</v>
          </cell>
        </row>
        <row r="6055">
          <cell r="A6055">
            <v>8052817</v>
          </cell>
        </row>
        <row r="6056">
          <cell r="A6056">
            <v>8052818</v>
          </cell>
        </row>
        <row r="6057">
          <cell r="A6057">
            <v>8052819</v>
          </cell>
        </row>
        <row r="6058">
          <cell r="A6058">
            <v>8052824</v>
          </cell>
        </row>
        <row r="6059">
          <cell r="A6059">
            <v>8052825</v>
          </cell>
        </row>
        <row r="6060">
          <cell r="A6060">
            <v>8052826</v>
          </cell>
        </row>
        <row r="6061">
          <cell r="A6061">
            <v>8052827</v>
          </cell>
        </row>
        <row r="6062">
          <cell r="A6062">
            <v>8052828</v>
          </cell>
        </row>
        <row r="6063">
          <cell r="A6063">
            <v>8052829</v>
          </cell>
        </row>
        <row r="6064">
          <cell r="A6064">
            <v>8052830</v>
          </cell>
        </row>
        <row r="6065">
          <cell r="A6065">
            <v>8052831</v>
          </cell>
        </row>
        <row r="6066">
          <cell r="A6066">
            <v>8052832</v>
          </cell>
        </row>
        <row r="6067">
          <cell r="A6067">
            <v>8052833</v>
          </cell>
        </row>
        <row r="6068">
          <cell r="A6068">
            <v>8052834</v>
          </cell>
        </row>
        <row r="6069">
          <cell r="A6069">
            <v>8052835</v>
          </cell>
        </row>
        <row r="6070">
          <cell r="A6070">
            <v>8052836</v>
          </cell>
        </row>
        <row r="6071">
          <cell r="A6071">
            <v>8052837</v>
          </cell>
        </row>
        <row r="6072">
          <cell r="A6072">
            <v>8052838</v>
          </cell>
        </row>
        <row r="6073">
          <cell r="A6073">
            <v>8052839</v>
          </cell>
        </row>
        <row r="6074">
          <cell r="A6074">
            <v>8052840</v>
          </cell>
        </row>
        <row r="6075">
          <cell r="A6075">
            <v>8052841</v>
          </cell>
        </row>
        <row r="6076">
          <cell r="A6076">
            <v>8052842</v>
          </cell>
        </row>
        <row r="6077">
          <cell r="A6077">
            <v>8052843</v>
          </cell>
        </row>
        <row r="6078">
          <cell r="A6078">
            <v>8052844</v>
          </cell>
        </row>
        <row r="6079">
          <cell r="A6079">
            <v>8052845</v>
          </cell>
        </row>
        <row r="6080">
          <cell r="A6080">
            <v>8052846</v>
          </cell>
        </row>
        <row r="6081">
          <cell r="A6081">
            <v>8052847</v>
          </cell>
        </row>
        <row r="6082">
          <cell r="A6082">
            <v>8052848</v>
          </cell>
        </row>
        <row r="6083">
          <cell r="A6083">
            <v>8052849</v>
          </cell>
        </row>
        <row r="6084">
          <cell r="A6084">
            <v>8052850</v>
          </cell>
        </row>
        <row r="6085">
          <cell r="A6085">
            <v>8052851</v>
          </cell>
        </row>
        <row r="6086">
          <cell r="A6086">
            <v>8052852</v>
          </cell>
        </row>
        <row r="6087">
          <cell r="A6087">
            <v>8052855</v>
          </cell>
        </row>
        <row r="6088">
          <cell r="A6088">
            <v>8052856</v>
          </cell>
        </row>
        <row r="6089">
          <cell r="A6089">
            <v>8052901</v>
          </cell>
        </row>
        <row r="6090">
          <cell r="A6090">
            <v>8052902</v>
          </cell>
        </row>
        <row r="6091">
          <cell r="A6091">
            <v>8052903</v>
          </cell>
        </row>
        <row r="6092">
          <cell r="A6092">
            <v>8052904</v>
          </cell>
        </row>
        <row r="6093">
          <cell r="A6093">
            <v>8052905</v>
          </cell>
        </row>
        <row r="6094">
          <cell r="A6094">
            <v>8052906</v>
          </cell>
        </row>
        <row r="6095">
          <cell r="A6095">
            <v>8052907</v>
          </cell>
        </row>
        <row r="6096">
          <cell r="A6096">
            <v>8052908</v>
          </cell>
        </row>
        <row r="6097">
          <cell r="A6097">
            <v>8052909</v>
          </cell>
        </row>
        <row r="6098">
          <cell r="A6098">
            <v>8052910</v>
          </cell>
        </row>
        <row r="6099">
          <cell r="A6099">
            <v>8052911</v>
          </cell>
        </row>
        <row r="6100">
          <cell r="A6100">
            <v>8052912</v>
          </cell>
        </row>
        <row r="6101">
          <cell r="A6101">
            <v>8052913</v>
          </cell>
        </row>
        <row r="6102">
          <cell r="A6102">
            <v>8052914</v>
          </cell>
        </row>
        <row r="6103">
          <cell r="A6103">
            <v>8052915</v>
          </cell>
        </row>
        <row r="6104">
          <cell r="A6104">
            <v>8052916</v>
          </cell>
        </row>
        <row r="6105">
          <cell r="A6105">
            <v>8052917</v>
          </cell>
        </row>
        <row r="6106">
          <cell r="A6106">
            <v>8052918</v>
          </cell>
        </row>
        <row r="6107">
          <cell r="A6107">
            <v>8052919</v>
          </cell>
        </row>
        <row r="6108">
          <cell r="A6108">
            <v>8052920</v>
          </cell>
        </row>
        <row r="6109">
          <cell r="A6109">
            <v>8052921</v>
          </cell>
        </row>
        <row r="6110">
          <cell r="A6110">
            <v>8052922</v>
          </cell>
        </row>
        <row r="6111">
          <cell r="A6111">
            <v>8052923</v>
          </cell>
        </row>
        <row r="6112">
          <cell r="A6112">
            <v>8052924</v>
          </cell>
        </row>
        <row r="6113">
          <cell r="A6113">
            <v>8052925</v>
          </cell>
        </row>
        <row r="6114">
          <cell r="A6114">
            <v>8052926</v>
          </cell>
        </row>
        <row r="6115">
          <cell r="A6115">
            <v>8052927</v>
          </cell>
        </row>
        <row r="6116">
          <cell r="A6116">
            <v>8052931</v>
          </cell>
        </row>
        <row r="6117">
          <cell r="A6117">
            <v>8052932</v>
          </cell>
        </row>
        <row r="6118">
          <cell r="A6118">
            <v>8052933</v>
          </cell>
        </row>
        <row r="6119">
          <cell r="A6119">
            <v>8052934</v>
          </cell>
        </row>
        <row r="6120">
          <cell r="A6120">
            <v>8052935</v>
          </cell>
        </row>
        <row r="6121">
          <cell r="A6121">
            <v>8052936</v>
          </cell>
        </row>
        <row r="6122">
          <cell r="A6122">
            <v>8052937</v>
          </cell>
        </row>
        <row r="6123">
          <cell r="A6123">
            <v>8052938</v>
          </cell>
        </row>
        <row r="6124">
          <cell r="A6124">
            <v>8052939</v>
          </cell>
        </row>
        <row r="6125">
          <cell r="A6125">
            <v>8052940</v>
          </cell>
        </row>
        <row r="6126">
          <cell r="A6126">
            <v>8052941</v>
          </cell>
        </row>
        <row r="6127">
          <cell r="A6127">
            <v>8052942</v>
          </cell>
        </row>
        <row r="6128">
          <cell r="A6128">
            <v>8052943</v>
          </cell>
        </row>
        <row r="6129">
          <cell r="A6129">
            <v>8052944</v>
          </cell>
        </row>
        <row r="6130">
          <cell r="A6130">
            <v>8052945</v>
          </cell>
        </row>
        <row r="6131">
          <cell r="A6131">
            <v>8052956</v>
          </cell>
        </row>
        <row r="6132">
          <cell r="A6132">
            <v>8052957</v>
          </cell>
        </row>
        <row r="6133">
          <cell r="A6133">
            <v>8052958</v>
          </cell>
        </row>
        <row r="6134">
          <cell r="A6134">
            <v>8053001</v>
          </cell>
        </row>
        <row r="6135">
          <cell r="A6135">
            <v>8053002</v>
          </cell>
        </row>
        <row r="6136">
          <cell r="A6136">
            <v>8053003</v>
          </cell>
        </row>
        <row r="6137">
          <cell r="A6137">
            <v>8053004</v>
          </cell>
        </row>
        <row r="6138">
          <cell r="A6138">
            <v>8053005</v>
          </cell>
        </row>
        <row r="6139">
          <cell r="A6139">
            <v>8053006</v>
          </cell>
        </row>
        <row r="6140">
          <cell r="A6140">
            <v>8053007</v>
          </cell>
        </row>
        <row r="6141">
          <cell r="A6141">
            <v>8053008</v>
          </cell>
        </row>
        <row r="6142">
          <cell r="A6142">
            <v>8053009</v>
          </cell>
        </row>
        <row r="6143">
          <cell r="A6143">
            <v>8053010</v>
          </cell>
        </row>
        <row r="6144">
          <cell r="A6144">
            <v>8053011</v>
          </cell>
        </row>
        <row r="6145">
          <cell r="A6145">
            <v>8053012</v>
          </cell>
        </row>
        <row r="6146">
          <cell r="A6146">
            <v>8053013</v>
          </cell>
        </row>
        <row r="6147">
          <cell r="A6147">
            <v>8053014</v>
          </cell>
        </row>
        <row r="6148">
          <cell r="A6148">
            <v>8053015</v>
          </cell>
        </row>
        <row r="6149">
          <cell r="A6149">
            <v>8053016</v>
          </cell>
        </row>
        <row r="6150">
          <cell r="A6150">
            <v>8053017</v>
          </cell>
        </row>
        <row r="6151">
          <cell r="A6151">
            <v>8053018</v>
          </cell>
        </row>
        <row r="6152">
          <cell r="A6152">
            <v>8053019</v>
          </cell>
        </row>
        <row r="6153">
          <cell r="A6153">
            <v>8053020</v>
          </cell>
        </row>
        <row r="6154">
          <cell r="A6154">
            <v>8053030</v>
          </cell>
        </row>
        <row r="6155">
          <cell r="A6155">
            <v>8053031</v>
          </cell>
        </row>
        <row r="6156">
          <cell r="A6156">
            <v>8053032</v>
          </cell>
        </row>
        <row r="6157">
          <cell r="A6157">
            <v>8053033</v>
          </cell>
        </row>
        <row r="6158">
          <cell r="A6158">
            <v>8053034</v>
          </cell>
        </row>
        <row r="6159">
          <cell r="A6159">
            <v>8053035</v>
          </cell>
        </row>
        <row r="6160">
          <cell r="A6160">
            <v>8053036</v>
          </cell>
        </row>
        <row r="6161">
          <cell r="A6161">
            <v>8053037</v>
          </cell>
        </row>
        <row r="6162">
          <cell r="A6162">
            <v>8053038</v>
          </cell>
        </row>
        <row r="6163">
          <cell r="A6163">
            <v>8053039</v>
          </cell>
        </row>
        <row r="6164">
          <cell r="A6164">
            <v>8053040</v>
          </cell>
        </row>
        <row r="6165">
          <cell r="A6165">
            <v>8053041</v>
          </cell>
        </row>
        <row r="6166">
          <cell r="A6166">
            <v>8053042</v>
          </cell>
        </row>
        <row r="6167">
          <cell r="A6167">
            <v>8053043</v>
          </cell>
        </row>
        <row r="6168">
          <cell r="A6168">
            <v>8053044</v>
          </cell>
        </row>
        <row r="6169">
          <cell r="A6169">
            <v>8053101</v>
          </cell>
        </row>
        <row r="6170">
          <cell r="A6170">
            <v>8053102</v>
          </cell>
        </row>
        <row r="6171">
          <cell r="A6171">
            <v>8053110</v>
          </cell>
        </row>
        <row r="6172">
          <cell r="A6172">
            <v>8053111</v>
          </cell>
        </row>
        <row r="6173">
          <cell r="A6173">
            <v>8053115</v>
          </cell>
        </row>
        <row r="6174">
          <cell r="A6174">
            <v>8053116</v>
          </cell>
        </row>
        <row r="6175">
          <cell r="A6175">
            <v>8053124</v>
          </cell>
        </row>
        <row r="6176">
          <cell r="A6176">
            <v>8053125</v>
          </cell>
        </row>
        <row r="6177">
          <cell r="A6177">
            <v>8053126</v>
          </cell>
        </row>
        <row r="6178">
          <cell r="A6178">
            <v>8053127</v>
          </cell>
        </row>
        <row r="6179">
          <cell r="A6179">
            <v>8053128</v>
          </cell>
        </row>
        <row r="6180">
          <cell r="A6180">
            <v>8053129</v>
          </cell>
        </row>
        <row r="6181">
          <cell r="A6181">
            <v>8053130</v>
          </cell>
        </row>
        <row r="6182">
          <cell r="A6182">
            <v>8053131</v>
          </cell>
        </row>
        <row r="6183">
          <cell r="A6183">
            <v>8053132</v>
          </cell>
        </row>
        <row r="6184">
          <cell r="A6184">
            <v>8053133</v>
          </cell>
        </row>
        <row r="6185">
          <cell r="A6185">
            <v>8060101</v>
          </cell>
        </row>
        <row r="6186">
          <cell r="A6186">
            <v>8060102</v>
          </cell>
        </row>
        <row r="6187">
          <cell r="A6187">
            <v>8060103</v>
          </cell>
        </row>
        <row r="6188">
          <cell r="A6188">
            <v>8060104</v>
          </cell>
        </row>
        <row r="6189">
          <cell r="A6189">
            <v>8060105</v>
          </cell>
        </row>
        <row r="6190">
          <cell r="A6190">
            <v>8060106</v>
          </cell>
        </row>
        <row r="6191">
          <cell r="A6191">
            <v>8060107</v>
          </cell>
        </row>
        <row r="6192">
          <cell r="A6192">
            <v>8060108</v>
          </cell>
        </row>
        <row r="6193">
          <cell r="A6193">
            <v>8060109</v>
          </cell>
        </row>
        <row r="6194">
          <cell r="A6194">
            <v>8060110</v>
          </cell>
        </row>
        <row r="6195">
          <cell r="A6195">
            <v>8060111</v>
          </cell>
        </row>
        <row r="6196">
          <cell r="A6196">
            <v>8060112</v>
          </cell>
        </row>
        <row r="6197">
          <cell r="A6197">
            <v>8060113</v>
          </cell>
        </row>
        <row r="6198">
          <cell r="A6198">
            <v>8060114</v>
          </cell>
        </row>
        <row r="6199">
          <cell r="A6199">
            <v>8060115</v>
          </cell>
        </row>
        <row r="6200">
          <cell r="A6200">
            <v>8060116</v>
          </cell>
        </row>
        <row r="6201">
          <cell r="A6201">
            <v>8060117</v>
          </cell>
        </row>
        <row r="6202">
          <cell r="A6202">
            <v>8060201</v>
          </cell>
        </row>
        <row r="6203">
          <cell r="A6203">
            <v>8060202</v>
          </cell>
        </row>
        <row r="6204">
          <cell r="A6204">
            <v>8060203</v>
          </cell>
        </row>
        <row r="6205">
          <cell r="A6205">
            <v>8060204</v>
          </cell>
        </row>
        <row r="6206">
          <cell r="A6206">
            <v>8060205</v>
          </cell>
        </row>
        <row r="6207">
          <cell r="A6207">
            <v>8060206</v>
          </cell>
        </row>
        <row r="6208">
          <cell r="A6208">
            <v>8060207</v>
          </cell>
        </row>
        <row r="6209">
          <cell r="A6209">
            <v>8060208</v>
          </cell>
        </row>
        <row r="6210">
          <cell r="A6210">
            <v>8060209</v>
          </cell>
        </row>
        <row r="6211">
          <cell r="A6211">
            <v>8060210</v>
          </cell>
        </row>
        <row r="6212">
          <cell r="A6212">
            <v>8060211</v>
          </cell>
        </row>
        <row r="6213">
          <cell r="A6213">
            <v>8060212</v>
          </cell>
        </row>
        <row r="6214">
          <cell r="A6214">
            <v>8060213</v>
          </cell>
        </row>
        <row r="6215">
          <cell r="A6215">
            <v>8060214</v>
          </cell>
        </row>
        <row r="6216">
          <cell r="A6216">
            <v>8060215</v>
          </cell>
        </row>
        <row r="6217">
          <cell r="A6217">
            <v>8060216</v>
          </cell>
        </row>
        <row r="6218">
          <cell r="A6218">
            <v>8060217</v>
          </cell>
        </row>
        <row r="6219">
          <cell r="A6219">
            <v>8060218</v>
          </cell>
        </row>
        <row r="6220">
          <cell r="A6220">
            <v>8060224</v>
          </cell>
        </row>
        <row r="6221">
          <cell r="A6221">
            <v>8060225</v>
          </cell>
        </row>
        <row r="6222">
          <cell r="A6222">
            <v>8060226</v>
          </cell>
        </row>
        <row r="6223">
          <cell r="A6223">
            <v>8060227</v>
          </cell>
        </row>
        <row r="6224">
          <cell r="A6224">
            <v>8060228</v>
          </cell>
        </row>
        <row r="6225">
          <cell r="A6225">
            <v>8060229</v>
          </cell>
        </row>
        <row r="6226">
          <cell r="A6226">
            <v>8060230</v>
          </cell>
        </row>
        <row r="6227">
          <cell r="A6227">
            <v>8060231</v>
          </cell>
        </row>
        <row r="6228">
          <cell r="A6228">
            <v>8060232</v>
          </cell>
        </row>
        <row r="6229">
          <cell r="A6229">
            <v>8060233</v>
          </cell>
        </row>
        <row r="6230">
          <cell r="A6230">
            <v>8060234</v>
          </cell>
        </row>
        <row r="6231">
          <cell r="A6231">
            <v>8060235</v>
          </cell>
        </row>
        <row r="6232">
          <cell r="A6232">
            <v>8060236</v>
          </cell>
        </row>
        <row r="6233">
          <cell r="A6233">
            <v>8060301</v>
          </cell>
        </row>
        <row r="6234">
          <cell r="A6234">
            <v>8060302</v>
          </cell>
        </row>
        <row r="6235">
          <cell r="A6235">
            <v>8060303</v>
          </cell>
        </row>
        <row r="6236">
          <cell r="A6236">
            <v>8060304</v>
          </cell>
        </row>
        <row r="6237">
          <cell r="A6237">
            <v>8060305</v>
          </cell>
        </row>
        <row r="6238">
          <cell r="A6238">
            <v>8060306</v>
          </cell>
        </row>
        <row r="6239">
          <cell r="A6239">
            <v>8060307</v>
          </cell>
        </row>
        <row r="6240">
          <cell r="A6240">
            <v>8060308</v>
          </cell>
        </row>
        <row r="6241">
          <cell r="A6241">
            <v>8060309</v>
          </cell>
        </row>
        <row r="6242">
          <cell r="A6242">
            <v>8060310</v>
          </cell>
        </row>
        <row r="6243">
          <cell r="A6243">
            <v>8060311</v>
          </cell>
        </row>
        <row r="6244">
          <cell r="A6244">
            <v>8060312</v>
          </cell>
        </row>
        <row r="6245">
          <cell r="A6245">
            <v>8060313</v>
          </cell>
        </row>
        <row r="6246">
          <cell r="A6246">
            <v>8060314</v>
          </cell>
        </row>
        <row r="6247">
          <cell r="A6247">
            <v>8060315</v>
          </cell>
        </row>
        <row r="6248">
          <cell r="A6248">
            <v>8060316</v>
          </cell>
        </row>
        <row r="6249">
          <cell r="A6249">
            <v>8060317</v>
          </cell>
        </row>
        <row r="6250">
          <cell r="A6250">
            <v>8060318</v>
          </cell>
        </row>
        <row r="6251">
          <cell r="A6251">
            <v>8060319</v>
          </cell>
        </row>
        <row r="6252">
          <cell r="A6252">
            <v>8060320</v>
          </cell>
        </row>
        <row r="6253">
          <cell r="A6253">
            <v>8060321</v>
          </cell>
        </row>
        <row r="6254">
          <cell r="A6254">
            <v>8060322</v>
          </cell>
        </row>
        <row r="6255">
          <cell r="A6255">
            <v>8060323</v>
          </cell>
        </row>
        <row r="6256">
          <cell r="A6256">
            <v>8060324</v>
          </cell>
        </row>
        <row r="6257">
          <cell r="A6257">
            <v>8060325</v>
          </cell>
        </row>
        <row r="6258">
          <cell r="A6258">
            <v>8060326</v>
          </cell>
        </row>
        <row r="6259">
          <cell r="A6259">
            <v>8060327</v>
          </cell>
        </row>
        <row r="6260">
          <cell r="A6260">
            <v>8060328</v>
          </cell>
        </row>
        <row r="6261">
          <cell r="A6261">
            <v>8060329</v>
          </cell>
        </row>
        <row r="6262">
          <cell r="A6262">
            <v>8060330</v>
          </cell>
        </row>
        <row r="6263">
          <cell r="A6263">
            <v>8060331</v>
          </cell>
        </row>
        <row r="6264">
          <cell r="A6264">
            <v>8060332</v>
          </cell>
        </row>
        <row r="6265">
          <cell r="A6265">
            <v>8060333</v>
          </cell>
        </row>
        <row r="6266">
          <cell r="A6266">
            <v>8060334</v>
          </cell>
        </row>
        <row r="6267">
          <cell r="A6267">
            <v>8060335</v>
          </cell>
        </row>
        <row r="6268">
          <cell r="A6268">
            <v>8060336</v>
          </cell>
        </row>
        <row r="6269">
          <cell r="A6269">
            <v>8060337</v>
          </cell>
        </row>
        <row r="6270">
          <cell r="A6270">
            <v>8060338</v>
          </cell>
        </row>
        <row r="6271">
          <cell r="A6271">
            <v>8060339</v>
          </cell>
        </row>
        <row r="6272">
          <cell r="A6272">
            <v>8060340</v>
          </cell>
        </row>
        <row r="6273">
          <cell r="A6273">
            <v>8060341</v>
          </cell>
        </row>
        <row r="6274">
          <cell r="A6274">
            <v>8060342</v>
          </cell>
        </row>
        <row r="6275">
          <cell r="A6275">
            <v>8060343</v>
          </cell>
        </row>
        <row r="6276">
          <cell r="A6276">
            <v>8060344</v>
          </cell>
        </row>
        <row r="6277">
          <cell r="A6277">
            <v>8060345</v>
          </cell>
        </row>
        <row r="6278">
          <cell r="A6278">
            <v>8060346</v>
          </cell>
        </row>
        <row r="6279">
          <cell r="A6279">
            <v>8060347</v>
          </cell>
        </row>
        <row r="6280">
          <cell r="A6280">
            <v>8060348</v>
          </cell>
        </row>
        <row r="6281">
          <cell r="A6281">
            <v>8060349</v>
          </cell>
        </row>
        <row r="6282">
          <cell r="A6282">
            <v>8060350</v>
          </cell>
        </row>
        <row r="6283">
          <cell r="A6283">
            <v>8060351</v>
          </cell>
        </row>
        <row r="6284">
          <cell r="A6284">
            <v>8060352</v>
          </cell>
        </row>
        <row r="6285">
          <cell r="A6285">
            <v>8060356</v>
          </cell>
        </row>
        <row r="6286">
          <cell r="A6286">
            <v>8060357</v>
          </cell>
        </row>
        <row r="6287">
          <cell r="A6287">
            <v>8060358</v>
          </cell>
        </row>
        <row r="6288">
          <cell r="A6288">
            <v>8060359</v>
          </cell>
        </row>
        <row r="6289">
          <cell r="A6289">
            <v>8060360</v>
          </cell>
        </row>
        <row r="6290">
          <cell r="A6290">
            <v>8060361</v>
          </cell>
        </row>
        <row r="6291">
          <cell r="A6291">
            <v>8060401</v>
          </cell>
        </row>
        <row r="6292">
          <cell r="A6292">
            <v>8060402</v>
          </cell>
        </row>
        <row r="6293">
          <cell r="A6293">
            <v>8060403</v>
          </cell>
        </row>
        <row r="6294">
          <cell r="A6294">
            <v>8060404</v>
          </cell>
        </row>
        <row r="6295">
          <cell r="A6295">
            <v>8060405</v>
          </cell>
        </row>
        <row r="6296">
          <cell r="A6296">
            <v>8060406</v>
          </cell>
        </row>
        <row r="6297">
          <cell r="A6297">
            <v>8060407</v>
          </cell>
        </row>
        <row r="6298">
          <cell r="A6298">
            <v>8060408</v>
          </cell>
        </row>
        <row r="6299">
          <cell r="A6299">
            <v>8060409</v>
          </cell>
        </row>
        <row r="6300">
          <cell r="A6300">
            <v>8060410</v>
          </cell>
        </row>
        <row r="6301">
          <cell r="A6301">
            <v>8060411</v>
          </cell>
        </row>
        <row r="6302">
          <cell r="A6302">
            <v>8060412</v>
          </cell>
        </row>
        <row r="6303">
          <cell r="A6303">
            <v>8060413</v>
          </cell>
        </row>
        <row r="6304">
          <cell r="A6304">
            <v>8060414</v>
          </cell>
        </row>
        <row r="6305">
          <cell r="A6305">
            <v>8060415</v>
          </cell>
        </row>
        <row r="6306">
          <cell r="A6306">
            <v>8060416</v>
          </cell>
        </row>
        <row r="6307">
          <cell r="A6307">
            <v>8060417</v>
          </cell>
        </row>
        <row r="6308">
          <cell r="A6308">
            <v>8060418</v>
          </cell>
        </row>
        <row r="6309">
          <cell r="A6309">
            <v>8060419</v>
          </cell>
        </row>
        <row r="6310">
          <cell r="A6310">
            <v>8060420</v>
          </cell>
        </row>
        <row r="6311">
          <cell r="A6311">
            <v>8060421</v>
          </cell>
        </row>
        <row r="6312">
          <cell r="A6312">
            <v>8060422</v>
          </cell>
        </row>
        <row r="6313">
          <cell r="A6313">
            <v>8060423</v>
          </cell>
        </row>
        <row r="6314">
          <cell r="A6314">
            <v>8060424</v>
          </cell>
        </row>
        <row r="6315">
          <cell r="A6315">
            <v>8060425</v>
          </cell>
        </row>
        <row r="6316">
          <cell r="A6316">
            <v>8060426</v>
          </cell>
        </row>
        <row r="6317">
          <cell r="A6317">
            <v>8060427</v>
          </cell>
        </row>
        <row r="6318">
          <cell r="A6318">
            <v>8060428</v>
          </cell>
        </row>
        <row r="6319">
          <cell r="A6319">
            <v>8060429</v>
          </cell>
        </row>
        <row r="6320">
          <cell r="A6320">
            <v>8060430</v>
          </cell>
        </row>
        <row r="6321">
          <cell r="A6321">
            <v>8060431</v>
          </cell>
        </row>
        <row r="6322">
          <cell r="A6322">
            <v>8060432</v>
          </cell>
        </row>
        <row r="6323">
          <cell r="A6323">
            <v>8060433</v>
          </cell>
        </row>
        <row r="6324">
          <cell r="A6324">
            <v>8060434</v>
          </cell>
        </row>
        <row r="6325">
          <cell r="A6325">
            <v>8060435</v>
          </cell>
        </row>
        <row r="6326">
          <cell r="A6326">
            <v>8060436</v>
          </cell>
        </row>
        <row r="6327">
          <cell r="A6327">
            <v>8060437</v>
          </cell>
        </row>
        <row r="6328">
          <cell r="A6328">
            <v>8060438</v>
          </cell>
        </row>
        <row r="6329">
          <cell r="A6329">
            <v>8060439</v>
          </cell>
        </row>
        <row r="6330">
          <cell r="A6330">
            <v>8060440</v>
          </cell>
        </row>
        <row r="6331">
          <cell r="A6331">
            <v>8060441</v>
          </cell>
        </row>
        <row r="6332">
          <cell r="A6332">
            <v>8060442</v>
          </cell>
        </row>
        <row r="6333">
          <cell r="A6333">
            <v>8060443</v>
          </cell>
        </row>
        <row r="6334">
          <cell r="A6334">
            <v>8060444</v>
          </cell>
        </row>
        <row r="6335">
          <cell r="A6335">
            <v>8060445</v>
          </cell>
        </row>
        <row r="6336">
          <cell r="A6336">
            <v>8060446</v>
          </cell>
        </row>
        <row r="6337">
          <cell r="A6337">
            <v>8060447</v>
          </cell>
        </row>
        <row r="6338">
          <cell r="A6338">
            <v>8060448</v>
          </cell>
        </row>
        <row r="6339">
          <cell r="A6339">
            <v>8060449</v>
          </cell>
        </row>
        <row r="6340">
          <cell r="A6340">
            <v>8060450</v>
          </cell>
        </row>
        <row r="6341">
          <cell r="A6341">
            <v>8060451</v>
          </cell>
        </row>
        <row r="6342">
          <cell r="A6342">
            <v>8060452</v>
          </cell>
        </row>
        <row r="6343">
          <cell r="A6343">
            <v>8060453</v>
          </cell>
        </row>
        <row r="6344">
          <cell r="A6344">
            <v>8060454</v>
          </cell>
        </row>
        <row r="6345">
          <cell r="A6345">
            <v>8060455</v>
          </cell>
        </row>
        <row r="6346">
          <cell r="A6346">
            <v>8060456</v>
          </cell>
        </row>
        <row r="6347">
          <cell r="A6347">
            <v>8060462</v>
          </cell>
        </row>
        <row r="6348">
          <cell r="A6348">
            <v>8060501</v>
          </cell>
        </row>
        <row r="6349">
          <cell r="A6349">
            <v>8060502</v>
          </cell>
        </row>
        <row r="6350">
          <cell r="A6350">
            <v>8060503</v>
          </cell>
        </row>
        <row r="6351">
          <cell r="A6351">
            <v>8060504</v>
          </cell>
        </row>
        <row r="6352">
          <cell r="A6352">
            <v>8060505</v>
          </cell>
        </row>
        <row r="6353">
          <cell r="A6353">
            <v>8060506</v>
          </cell>
        </row>
        <row r="6354">
          <cell r="A6354">
            <v>8060507</v>
          </cell>
        </row>
        <row r="6355">
          <cell r="A6355">
            <v>8060508</v>
          </cell>
        </row>
        <row r="6356">
          <cell r="A6356">
            <v>8060509</v>
          </cell>
        </row>
        <row r="6357">
          <cell r="A6357">
            <v>8060510</v>
          </cell>
        </row>
        <row r="6358">
          <cell r="A6358">
            <v>8060511</v>
          </cell>
        </row>
        <row r="6359">
          <cell r="A6359">
            <v>8060512</v>
          </cell>
        </row>
        <row r="6360">
          <cell r="A6360">
            <v>8060513</v>
          </cell>
        </row>
        <row r="6361">
          <cell r="A6361">
            <v>8060514</v>
          </cell>
        </row>
        <row r="6362">
          <cell r="A6362">
            <v>8060515</v>
          </cell>
        </row>
        <row r="6363">
          <cell r="A6363">
            <v>8060516</v>
          </cell>
        </row>
        <row r="6364">
          <cell r="A6364">
            <v>8060517</v>
          </cell>
        </row>
        <row r="6365">
          <cell r="A6365">
            <v>8060518</v>
          </cell>
        </row>
        <row r="6366">
          <cell r="A6366">
            <v>8060519</v>
          </cell>
        </row>
        <row r="6367">
          <cell r="A6367">
            <v>8060520</v>
          </cell>
        </row>
        <row r="6368">
          <cell r="A6368">
            <v>8060521</v>
          </cell>
        </row>
        <row r="6369">
          <cell r="A6369">
            <v>8060522</v>
          </cell>
        </row>
        <row r="6370">
          <cell r="A6370">
            <v>8060523</v>
          </cell>
        </row>
        <row r="6371">
          <cell r="A6371">
            <v>8060524</v>
          </cell>
        </row>
        <row r="6372">
          <cell r="A6372">
            <v>8060525</v>
          </cell>
        </row>
        <row r="6373">
          <cell r="A6373">
            <v>8060526</v>
          </cell>
        </row>
        <row r="6374">
          <cell r="A6374">
            <v>8060527</v>
          </cell>
        </row>
        <row r="6375">
          <cell r="A6375">
            <v>8060528</v>
          </cell>
        </row>
        <row r="6376">
          <cell r="A6376">
            <v>8060529</v>
          </cell>
        </row>
        <row r="6377">
          <cell r="A6377">
            <v>8060530</v>
          </cell>
        </row>
        <row r="6378">
          <cell r="A6378">
            <v>8060531</v>
          </cell>
        </row>
        <row r="6379">
          <cell r="A6379">
            <v>8060532</v>
          </cell>
        </row>
        <row r="6380">
          <cell r="A6380">
            <v>8060535</v>
          </cell>
        </row>
        <row r="6381">
          <cell r="A6381">
            <v>8060536</v>
          </cell>
        </row>
        <row r="6382">
          <cell r="A6382">
            <v>8060537</v>
          </cell>
        </row>
        <row r="6383">
          <cell r="A6383">
            <v>8060538</v>
          </cell>
        </row>
        <row r="6384">
          <cell r="A6384">
            <v>8060539</v>
          </cell>
        </row>
        <row r="6385">
          <cell r="A6385">
            <v>8060540</v>
          </cell>
        </row>
        <row r="6386">
          <cell r="A6386">
            <v>8060541</v>
          </cell>
        </row>
        <row r="6387">
          <cell r="A6387">
            <v>8060542</v>
          </cell>
        </row>
        <row r="6388">
          <cell r="A6388">
            <v>8060543</v>
          </cell>
        </row>
        <row r="6389">
          <cell r="A6389">
            <v>8060544</v>
          </cell>
        </row>
        <row r="6390">
          <cell r="A6390">
            <v>8060547</v>
          </cell>
        </row>
        <row r="6391">
          <cell r="A6391">
            <v>8060548</v>
          </cell>
        </row>
        <row r="6392">
          <cell r="A6392">
            <v>8060549</v>
          </cell>
        </row>
        <row r="6393">
          <cell r="A6393">
            <v>8060550</v>
          </cell>
        </row>
        <row r="6394">
          <cell r="A6394">
            <v>8060552</v>
          </cell>
        </row>
        <row r="6395">
          <cell r="A6395">
            <v>8060553</v>
          </cell>
        </row>
        <row r="6396">
          <cell r="A6396">
            <v>8060554</v>
          </cell>
        </row>
        <row r="6397">
          <cell r="A6397">
            <v>8060555</v>
          </cell>
        </row>
        <row r="6398">
          <cell r="A6398">
            <v>8060556</v>
          </cell>
        </row>
        <row r="6399">
          <cell r="A6399">
            <v>8060557</v>
          </cell>
        </row>
        <row r="6400">
          <cell r="A6400">
            <v>8060558</v>
          </cell>
        </row>
        <row r="6401">
          <cell r="A6401">
            <v>8060559</v>
          </cell>
        </row>
        <row r="6402">
          <cell r="A6402">
            <v>8060560</v>
          </cell>
        </row>
        <row r="6403">
          <cell r="A6403">
            <v>8060601</v>
          </cell>
        </row>
        <row r="6404">
          <cell r="A6404">
            <v>8060602</v>
          </cell>
        </row>
        <row r="6405">
          <cell r="A6405">
            <v>8060603</v>
          </cell>
        </row>
        <row r="6406">
          <cell r="A6406">
            <v>8060604</v>
          </cell>
        </row>
        <row r="6407">
          <cell r="A6407">
            <v>8060605</v>
          </cell>
        </row>
        <row r="6408">
          <cell r="A6408">
            <v>8060606</v>
          </cell>
        </row>
        <row r="6409">
          <cell r="A6409">
            <v>8060607</v>
          </cell>
        </row>
        <row r="6410">
          <cell r="A6410">
            <v>8060608</v>
          </cell>
        </row>
        <row r="6411">
          <cell r="A6411">
            <v>8060609</v>
          </cell>
        </row>
        <row r="6412">
          <cell r="A6412">
            <v>8060610</v>
          </cell>
        </row>
        <row r="6413">
          <cell r="A6413">
            <v>8060611</v>
          </cell>
        </row>
        <row r="6414">
          <cell r="A6414">
            <v>8060612</v>
          </cell>
        </row>
        <row r="6415">
          <cell r="A6415">
            <v>8060613</v>
          </cell>
        </row>
        <row r="6416">
          <cell r="A6416">
            <v>8060614</v>
          </cell>
        </row>
        <row r="6417">
          <cell r="A6417">
            <v>8060615</v>
          </cell>
        </row>
        <row r="6418">
          <cell r="A6418">
            <v>8060616</v>
          </cell>
        </row>
        <row r="6419">
          <cell r="A6419">
            <v>8060617</v>
          </cell>
        </row>
        <row r="6420">
          <cell r="A6420">
            <v>8060618</v>
          </cell>
        </row>
        <row r="6421">
          <cell r="A6421">
            <v>8060619</v>
          </cell>
        </row>
        <row r="6422">
          <cell r="A6422">
            <v>8060620</v>
          </cell>
        </row>
        <row r="6423">
          <cell r="A6423">
            <v>8060621</v>
          </cell>
        </row>
        <row r="6424">
          <cell r="A6424">
            <v>8060622</v>
          </cell>
        </row>
        <row r="6425">
          <cell r="A6425">
            <v>8060623</v>
          </cell>
        </row>
        <row r="6426">
          <cell r="A6426">
            <v>8060624</v>
          </cell>
        </row>
        <row r="6427">
          <cell r="A6427">
            <v>8060625</v>
          </cell>
        </row>
        <row r="6428">
          <cell r="A6428">
            <v>8060626</v>
          </cell>
        </row>
        <row r="6429">
          <cell r="A6429">
            <v>8060631</v>
          </cell>
        </row>
        <row r="6430">
          <cell r="A6430">
            <v>8060632</v>
          </cell>
        </row>
        <row r="6431">
          <cell r="A6431">
            <v>8060633</v>
          </cell>
        </row>
        <row r="6432">
          <cell r="A6432">
            <v>8060634</v>
          </cell>
        </row>
        <row r="6433">
          <cell r="A6433">
            <v>8060635</v>
          </cell>
        </row>
        <row r="6434">
          <cell r="A6434">
            <v>8060636</v>
          </cell>
        </row>
        <row r="6435">
          <cell r="A6435">
            <v>8060637</v>
          </cell>
        </row>
        <row r="6436">
          <cell r="A6436">
            <v>8060638</v>
          </cell>
        </row>
        <row r="6437">
          <cell r="A6437">
            <v>8060639</v>
          </cell>
        </row>
        <row r="6438">
          <cell r="A6438">
            <v>8060640</v>
          </cell>
        </row>
        <row r="6439">
          <cell r="A6439">
            <v>8060641</v>
          </cell>
        </row>
        <row r="6440">
          <cell r="A6440">
            <v>8060642</v>
          </cell>
        </row>
        <row r="6441">
          <cell r="A6441">
            <v>8060643</v>
          </cell>
        </row>
        <row r="6442">
          <cell r="A6442">
            <v>8060645</v>
          </cell>
        </row>
        <row r="6443">
          <cell r="A6443">
            <v>8060646</v>
          </cell>
        </row>
        <row r="6444">
          <cell r="A6444">
            <v>8060647</v>
          </cell>
        </row>
        <row r="6445">
          <cell r="A6445">
            <v>8060648</v>
          </cell>
        </row>
        <row r="6446">
          <cell r="A6446">
            <v>8060649</v>
          </cell>
        </row>
        <row r="6447">
          <cell r="A6447">
            <v>8060650</v>
          </cell>
        </row>
        <row r="6448">
          <cell r="A6448">
            <v>8060651</v>
          </cell>
        </row>
        <row r="6449">
          <cell r="A6449">
            <v>8060652</v>
          </cell>
        </row>
        <row r="6450">
          <cell r="A6450">
            <v>8060653</v>
          </cell>
        </row>
        <row r="6451">
          <cell r="A6451">
            <v>8060654</v>
          </cell>
        </row>
        <row r="6452">
          <cell r="A6452">
            <v>8060655</v>
          </cell>
        </row>
        <row r="6453">
          <cell r="A6453">
            <v>8060701</v>
          </cell>
        </row>
        <row r="6454">
          <cell r="A6454">
            <v>8060702</v>
          </cell>
        </row>
        <row r="6455">
          <cell r="A6455">
            <v>8060703</v>
          </cell>
        </row>
        <row r="6456">
          <cell r="A6456">
            <v>8060704</v>
          </cell>
        </row>
        <row r="6457">
          <cell r="A6457">
            <v>8060705</v>
          </cell>
        </row>
        <row r="6458">
          <cell r="A6458">
            <v>8060706</v>
          </cell>
        </row>
        <row r="6459">
          <cell r="A6459">
            <v>8060707</v>
          </cell>
        </row>
        <row r="6460">
          <cell r="A6460">
            <v>8060708</v>
          </cell>
        </row>
        <row r="6461">
          <cell r="A6461">
            <v>8060709</v>
          </cell>
        </row>
        <row r="6462">
          <cell r="A6462">
            <v>8060710</v>
          </cell>
        </row>
        <row r="6463">
          <cell r="A6463">
            <v>8060711</v>
          </cell>
        </row>
        <row r="6464">
          <cell r="A6464">
            <v>8060712</v>
          </cell>
        </row>
        <row r="6465">
          <cell r="A6465">
            <v>8060713</v>
          </cell>
        </row>
        <row r="6466">
          <cell r="A6466">
            <v>8060714</v>
          </cell>
        </row>
        <row r="6467">
          <cell r="A6467">
            <v>8060715</v>
          </cell>
        </row>
        <row r="6468">
          <cell r="A6468">
            <v>8060716</v>
          </cell>
        </row>
        <row r="6469">
          <cell r="A6469">
            <v>8060717</v>
          </cell>
        </row>
        <row r="6470">
          <cell r="A6470">
            <v>8060718</v>
          </cell>
        </row>
        <row r="6471">
          <cell r="A6471">
            <v>8060719</v>
          </cell>
        </row>
        <row r="6472">
          <cell r="A6472">
            <v>8060720</v>
          </cell>
        </row>
        <row r="6473">
          <cell r="A6473">
            <v>8060721</v>
          </cell>
        </row>
        <row r="6474">
          <cell r="A6474">
            <v>8060722</v>
          </cell>
        </row>
        <row r="6475">
          <cell r="A6475">
            <v>8060723</v>
          </cell>
        </row>
        <row r="6476">
          <cell r="A6476">
            <v>8060724</v>
          </cell>
        </row>
        <row r="6477">
          <cell r="A6477">
            <v>8060725</v>
          </cell>
        </row>
        <row r="6478">
          <cell r="A6478">
            <v>8060726</v>
          </cell>
        </row>
        <row r="6479">
          <cell r="A6479">
            <v>8060727</v>
          </cell>
        </row>
        <row r="6480">
          <cell r="A6480">
            <v>8060728</v>
          </cell>
        </row>
        <row r="6481">
          <cell r="A6481">
            <v>8060730</v>
          </cell>
        </row>
        <row r="6482">
          <cell r="A6482">
            <v>8060731</v>
          </cell>
        </row>
        <row r="6483">
          <cell r="A6483">
            <v>8060732</v>
          </cell>
        </row>
        <row r="6484">
          <cell r="A6484">
            <v>8060733</v>
          </cell>
        </row>
        <row r="6485">
          <cell r="A6485">
            <v>8060734</v>
          </cell>
        </row>
        <row r="6486">
          <cell r="A6486">
            <v>8060735</v>
          </cell>
        </row>
        <row r="6487">
          <cell r="A6487">
            <v>8060736</v>
          </cell>
        </row>
        <row r="6488">
          <cell r="A6488">
            <v>8060737</v>
          </cell>
        </row>
        <row r="6489">
          <cell r="A6489">
            <v>8060738</v>
          </cell>
        </row>
        <row r="6490">
          <cell r="A6490">
            <v>8060739</v>
          </cell>
        </row>
        <row r="6491">
          <cell r="A6491">
            <v>8060740</v>
          </cell>
        </row>
        <row r="6492">
          <cell r="A6492">
            <v>8060741</v>
          </cell>
        </row>
        <row r="6493">
          <cell r="A6493">
            <v>8060742</v>
          </cell>
        </row>
        <row r="6494">
          <cell r="A6494">
            <v>8060743</v>
          </cell>
        </row>
        <row r="6495">
          <cell r="A6495">
            <v>8060744</v>
          </cell>
        </row>
        <row r="6496">
          <cell r="A6496">
            <v>8060745</v>
          </cell>
        </row>
        <row r="6497">
          <cell r="A6497">
            <v>8060746</v>
          </cell>
        </row>
        <row r="6498">
          <cell r="A6498">
            <v>8060747</v>
          </cell>
        </row>
        <row r="6499">
          <cell r="A6499">
            <v>8060748</v>
          </cell>
        </row>
        <row r="6500">
          <cell r="A6500">
            <v>8060750</v>
          </cell>
        </row>
        <row r="6501">
          <cell r="A6501">
            <v>8060751</v>
          </cell>
        </row>
        <row r="6502">
          <cell r="A6502">
            <v>8060752</v>
          </cell>
        </row>
        <row r="6503">
          <cell r="A6503">
            <v>8060753</v>
          </cell>
        </row>
        <row r="6504">
          <cell r="A6504">
            <v>8060801</v>
          </cell>
        </row>
        <row r="6505">
          <cell r="A6505">
            <v>8060810</v>
          </cell>
        </row>
        <row r="6506">
          <cell r="A6506">
            <v>8060811</v>
          </cell>
        </row>
        <row r="6507">
          <cell r="A6507">
            <v>8060812</v>
          </cell>
        </row>
        <row r="6508">
          <cell r="A6508">
            <v>8060901</v>
          </cell>
        </row>
        <row r="6509">
          <cell r="A6509">
            <v>8060902</v>
          </cell>
        </row>
        <row r="6510">
          <cell r="A6510">
            <v>8060903</v>
          </cell>
        </row>
        <row r="6511">
          <cell r="A6511">
            <v>8060904</v>
          </cell>
        </row>
        <row r="6512">
          <cell r="A6512">
            <v>8060905</v>
          </cell>
        </row>
        <row r="6513">
          <cell r="A6513">
            <v>8060906</v>
          </cell>
        </row>
        <row r="6514">
          <cell r="A6514">
            <v>8060907</v>
          </cell>
        </row>
        <row r="6515">
          <cell r="A6515">
            <v>8060908</v>
          </cell>
        </row>
        <row r="6516">
          <cell r="A6516">
            <v>8060909</v>
          </cell>
        </row>
        <row r="6517">
          <cell r="A6517">
            <v>8060910</v>
          </cell>
        </row>
        <row r="6518">
          <cell r="A6518">
            <v>8060911</v>
          </cell>
        </row>
        <row r="6519">
          <cell r="A6519">
            <v>8060912</v>
          </cell>
        </row>
        <row r="6520">
          <cell r="A6520">
            <v>8060913</v>
          </cell>
        </row>
        <row r="6521">
          <cell r="A6521">
            <v>8060914</v>
          </cell>
        </row>
        <row r="6522">
          <cell r="A6522">
            <v>8060915</v>
          </cell>
        </row>
        <row r="6523">
          <cell r="A6523">
            <v>8060916</v>
          </cell>
        </row>
        <row r="6524">
          <cell r="A6524">
            <v>8060917</v>
          </cell>
        </row>
        <row r="6525">
          <cell r="A6525">
            <v>8060918</v>
          </cell>
        </row>
        <row r="6526">
          <cell r="A6526">
            <v>8060919</v>
          </cell>
        </row>
        <row r="6527">
          <cell r="A6527">
            <v>8060920</v>
          </cell>
        </row>
        <row r="6528">
          <cell r="A6528">
            <v>8060921</v>
          </cell>
        </row>
        <row r="6529">
          <cell r="A6529">
            <v>8060922</v>
          </cell>
        </row>
        <row r="6530">
          <cell r="A6530">
            <v>8060923</v>
          </cell>
        </row>
        <row r="6531">
          <cell r="A6531">
            <v>8060924</v>
          </cell>
        </row>
        <row r="6532">
          <cell r="A6532">
            <v>8060927</v>
          </cell>
        </row>
        <row r="6533">
          <cell r="A6533">
            <v>8060928</v>
          </cell>
        </row>
        <row r="6534">
          <cell r="A6534">
            <v>8060929</v>
          </cell>
        </row>
        <row r="6535">
          <cell r="A6535">
            <v>8060930</v>
          </cell>
        </row>
        <row r="6536">
          <cell r="A6536">
            <v>8060931</v>
          </cell>
        </row>
        <row r="6537">
          <cell r="A6537">
            <v>8060932</v>
          </cell>
        </row>
        <row r="6538">
          <cell r="A6538">
            <v>8060933</v>
          </cell>
        </row>
        <row r="6539">
          <cell r="A6539">
            <v>8060934</v>
          </cell>
        </row>
        <row r="6540">
          <cell r="A6540">
            <v>8060935</v>
          </cell>
        </row>
        <row r="6541">
          <cell r="A6541">
            <v>8060936</v>
          </cell>
        </row>
        <row r="6542">
          <cell r="A6542">
            <v>8060937</v>
          </cell>
        </row>
        <row r="6543">
          <cell r="A6543">
            <v>8060938</v>
          </cell>
        </row>
        <row r="6544">
          <cell r="A6544">
            <v>8060939</v>
          </cell>
        </row>
        <row r="6545">
          <cell r="A6545">
            <v>8060940</v>
          </cell>
        </row>
        <row r="6546">
          <cell r="A6546">
            <v>8060941</v>
          </cell>
        </row>
        <row r="6547">
          <cell r="A6547">
            <v>8061001</v>
          </cell>
        </row>
        <row r="6548">
          <cell r="A6548">
            <v>8061002</v>
          </cell>
        </row>
        <row r="6549">
          <cell r="A6549">
            <v>8061003</v>
          </cell>
        </row>
        <row r="6550">
          <cell r="A6550">
            <v>8061004</v>
          </cell>
        </row>
        <row r="6551">
          <cell r="A6551">
            <v>8061005</v>
          </cell>
        </row>
        <row r="6552">
          <cell r="A6552">
            <v>8061006</v>
          </cell>
        </row>
        <row r="6553">
          <cell r="A6553">
            <v>8061007</v>
          </cell>
        </row>
        <row r="6554">
          <cell r="A6554">
            <v>8061008</v>
          </cell>
        </row>
        <row r="6555">
          <cell r="A6555">
            <v>8061009</v>
          </cell>
        </row>
        <row r="6556">
          <cell r="A6556">
            <v>8061010</v>
          </cell>
        </row>
        <row r="6557">
          <cell r="A6557">
            <v>8061011</v>
          </cell>
        </row>
        <row r="6558">
          <cell r="A6558">
            <v>8061012</v>
          </cell>
        </row>
        <row r="6559">
          <cell r="A6559">
            <v>8061013</v>
          </cell>
        </row>
        <row r="6560">
          <cell r="A6560">
            <v>8061014</v>
          </cell>
        </row>
        <row r="6561">
          <cell r="A6561">
            <v>8061015</v>
          </cell>
        </row>
        <row r="6562">
          <cell r="A6562">
            <v>8061016</v>
          </cell>
        </row>
        <row r="6563">
          <cell r="A6563">
            <v>8061017</v>
          </cell>
        </row>
        <row r="6564">
          <cell r="A6564">
            <v>8061018</v>
          </cell>
        </row>
        <row r="6565">
          <cell r="A6565">
            <v>8061019</v>
          </cell>
        </row>
        <row r="6566">
          <cell r="A6566">
            <v>8061020</v>
          </cell>
        </row>
        <row r="6567">
          <cell r="A6567">
            <v>8061021</v>
          </cell>
        </row>
        <row r="6568">
          <cell r="A6568">
            <v>8061022</v>
          </cell>
        </row>
        <row r="6569">
          <cell r="A6569">
            <v>8061023</v>
          </cell>
        </row>
        <row r="6570">
          <cell r="A6570">
            <v>8061024</v>
          </cell>
        </row>
        <row r="6571">
          <cell r="A6571">
            <v>8061025</v>
          </cell>
        </row>
        <row r="6572">
          <cell r="A6572">
            <v>8061026</v>
          </cell>
        </row>
        <row r="6573">
          <cell r="A6573">
            <v>8061027</v>
          </cell>
        </row>
        <row r="6574">
          <cell r="A6574">
            <v>8061028</v>
          </cell>
        </row>
        <row r="6575">
          <cell r="A6575">
            <v>8061029</v>
          </cell>
        </row>
        <row r="6576">
          <cell r="A6576">
            <v>8061030</v>
          </cell>
        </row>
        <row r="6577">
          <cell r="A6577">
            <v>8061031</v>
          </cell>
        </row>
        <row r="6578">
          <cell r="A6578">
            <v>8061032</v>
          </cell>
        </row>
        <row r="6579">
          <cell r="A6579">
            <v>8061033</v>
          </cell>
        </row>
        <row r="6580">
          <cell r="A6580">
            <v>8061034</v>
          </cell>
        </row>
        <row r="6581">
          <cell r="A6581">
            <v>8061035</v>
          </cell>
        </row>
        <row r="6582">
          <cell r="A6582">
            <v>8061036</v>
          </cell>
        </row>
        <row r="6583">
          <cell r="A6583">
            <v>8061037</v>
          </cell>
        </row>
        <row r="6584">
          <cell r="A6584">
            <v>8061038</v>
          </cell>
        </row>
        <row r="6585">
          <cell r="A6585">
            <v>8061039</v>
          </cell>
        </row>
        <row r="6586">
          <cell r="A6586">
            <v>8061101</v>
          </cell>
        </row>
        <row r="6587">
          <cell r="A6587">
            <v>8061102</v>
          </cell>
        </row>
        <row r="6588">
          <cell r="A6588">
            <v>8061103</v>
          </cell>
        </row>
        <row r="6589">
          <cell r="A6589">
            <v>8061104</v>
          </cell>
        </row>
        <row r="6590">
          <cell r="A6590">
            <v>8061105</v>
          </cell>
        </row>
        <row r="6591">
          <cell r="A6591">
            <v>8061106</v>
          </cell>
        </row>
        <row r="6592">
          <cell r="A6592">
            <v>8061107</v>
          </cell>
        </row>
        <row r="6593">
          <cell r="A6593">
            <v>8061108</v>
          </cell>
        </row>
        <row r="6594">
          <cell r="A6594">
            <v>8061109</v>
          </cell>
        </row>
        <row r="6595">
          <cell r="A6595">
            <v>8061110</v>
          </cell>
        </row>
        <row r="6596">
          <cell r="A6596">
            <v>8061111</v>
          </cell>
        </row>
        <row r="6597">
          <cell r="A6597">
            <v>8061112</v>
          </cell>
        </row>
        <row r="6598">
          <cell r="A6598">
            <v>8061113</v>
          </cell>
        </row>
        <row r="6599">
          <cell r="A6599">
            <v>8061114</v>
          </cell>
        </row>
        <row r="6600">
          <cell r="A6600">
            <v>8061115</v>
          </cell>
        </row>
        <row r="6601">
          <cell r="A6601">
            <v>8061116</v>
          </cell>
        </row>
        <row r="6602">
          <cell r="A6602">
            <v>8061117</v>
          </cell>
        </row>
        <row r="6603">
          <cell r="A6603">
            <v>8061118</v>
          </cell>
        </row>
        <row r="6604">
          <cell r="A6604">
            <v>8061119</v>
          </cell>
        </row>
        <row r="6605">
          <cell r="A6605">
            <v>8061120</v>
          </cell>
        </row>
        <row r="6606">
          <cell r="A6606">
            <v>8061121</v>
          </cell>
        </row>
        <row r="6607">
          <cell r="A6607">
            <v>8061122</v>
          </cell>
        </row>
        <row r="6608">
          <cell r="A6608">
            <v>8061123</v>
          </cell>
        </row>
        <row r="6609">
          <cell r="A6609">
            <v>8061124</v>
          </cell>
        </row>
        <row r="6610">
          <cell r="A6610">
            <v>8061125</v>
          </cell>
        </row>
        <row r="6611">
          <cell r="A6611">
            <v>8061126</v>
          </cell>
        </row>
        <row r="6612">
          <cell r="A6612">
            <v>8061127</v>
          </cell>
        </row>
        <row r="6613">
          <cell r="A6613">
            <v>8061128</v>
          </cell>
        </row>
        <row r="6614">
          <cell r="A6614">
            <v>8061129</v>
          </cell>
        </row>
        <row r="6615">
          <cell r="A6615">
            <v>8061130</v>
          </cell>
        </row>
        <row r="6616">
          <cell r="A6616">
            <v>8061131</v>
          </cell>
        </row>
        <row r="6617">
          <cell r="A6617">
            <v>8061136</v>
          </cell>
        </row>
        <row r="6618">
          <cell r="A6618">
            <v>8061137</v>
          </cell>
        </row>
        <row r="6619">
          <cell r="A6619">
            <v>8061138</v>
          </cell>
        </row>
        <row r="6620">
          <cell r="A6620">
            <v>8061139</v>
          </cell>
        </row>
        <row r="6621">
          <cell r="A6621">
            <v>8061201</v>
          </cell>
        </row>
        <row r="6622">
          <cell r="A6622">
            <v>8061202</v>
          </cell>
        </row>
        <row r="6623">
          <cell r="A6623">
            <v>8061203</v>
          </cell>
        </row>
        <row r="6624">
          <cell r="A6624">
            <v>8061204</v>
          </cell>
        </row>
        <row r="6625">
          <cell r="A6625">
            <v>8061205</v>
          </cell>
        </row>
        <row r="6626">
          <cell r="A6626">
            <v>8061206</v>
          </cell>
        </row>
        <row r="6627">
          <cell r="A6627">
            <v>8061207</v>
          </cell>
        </row>
        <row r="6628">
          <cell r="A6628">
            <v>8061208</v>
          </cell>
        </row>
        <row r="6629">
          <cell r="A6629">
            <v>8061211</v>
          </cell>
        </row>
        <row r="6630">
          <cell r="A6630">
            <v>8061212</v>
          </cell>
        </row>
        <row r="6631">
          <cell r="A6631">
            <v>8061213</v>
          </cell>
        </row>
        <row r="6632">
          <cell r="A6632">
            <v>8061214</v>
          </cell>
        </row>
        <row r="6633">
          <cell r="A6633">
            <v>8061215</v>
          </cell>
        </row>
        <row r="6634">
          <cell r="A6634">
            <v>8061216</v>
          </cell>
        </row>
        <row r="6635">
          <cell r="A6635">
            <v>8061220</v>
          </cell>
        </row>
        <row r="6636">
          <cell r="A6636">
            <v>8061221</v>
          </cell>
        </row>
        <row r="6637">
          <cell r="A6637">
            <v>8061222</v>
          </cell>
        </row>
        <row r="6638">
          <cell r="A6638">
            <v>8061223</v>
          </cell>
        </row>
        <row r="6639">
          <cell r="A6639">
            <v>8061224</v>
          </cell>
        </row>
        <row r="6640">
          <cell r="A6640">
            <v>8061225</v>
          </cell>
        </row>
        <row r="6641">
          <cell r="A6641">
            <v>8061226</v>
          </cell>
        </row>
        <row r="6642">
          <cell r="A6642">
            <v>8061227</v>
          </cell>
        </row>
        <row r="6643">
          <cell r="A6643">
            <v>8061228</v>
          </cell>
        </row>
        <row r="6644">
          <cell r="A6644">
            <v>8061229</v>
          </cell>
        </row>
        <row r="6645">
          <cell r="A6645">
            <v>8061230</v>
          </cell>
        </row>
        <row r="6646">
          <cell r="A6646">
            <v>8061231</v>
          </cell>
        </row>
        <row r="6647">
          <cell r="A6647">
            <v>8061232</v>
          </cell>
        </row>
        <row r="6648">
          <cell r="A6648">
            <v>8061233</v>
          </cell>
        </row>
        <row r="6649">
          <cell r="A6649">
            <v>8061234</v>
          </cell>
        </row>
        <row r="6650">
          <cell r="A6650">
            <v>8061235</v>
          </cell>
        </row>
        <row r="6651">
          <cell r="A6651">
            <v>8061239</v>
          </cell>
        </row>
        <row r="6652">
          <cell r="A6652">
            <v>8061240</v>
          </cell>
        </row>
        <row r="6653">
          <cell r="A6653">
            <v>8061241</v>
          </cell>
        </row>
        <row r="6654">
          <cell r="A6654">
            <v>8061243</v>
          </cell>
        </row>
        <row r="6655">
          <cell r="A6655">
            <v>8061244</v>
          </cell>
        </row>
        <row r="6656">
          <cell r="A6656">
            <v>8061245</v>
          </cell>
        </row>
        <row r="6657">
          <cell r="A6657">
            <v>8061248</v>
          </cell>
        </row>
        <row r="6658">
          <cell r="A6658">
            <v>8061249</v>
          </cell>
        </row>
        <row r="6659">
          <cell r="A6659">
            <v>8061250</v>
          </cell>
        </row>
        <row r="6660">
          <cell r="A6660">
            <v>8061251</v>
          </cell>
        </row>
        <row r="6661">
          <cell r="A6661">
            <v>8061252</v>
          </cell>
        </row>
        <row r="6662">
          <cell r="A6662">
            <v>8061253</v>
          </cell>
        </row>
        <row r="6663">
          <cell r="A6663">
            <v>8061254</v>
          </cell>
        </row>
        <row r="6664">
          <cell r="A6664">
            <v>8061257</v>
          </cell>
        </row>
        <row r="6665">
          <cell r="A6665">
            <v>8061258</v>
          </cell>
        </row>
        <row r="6666">
          <cell r="A6666">
            <v>8061301</v>
          </cell>
        </row>
        <row r="6667">
          <cell r="A6667">
            <v>8061302</v>
          </cell>
        </row>
        <row r="6668">
          <cell r="A6668">
            <v>8061303</v>
          </cell>
        </row>
        <row r="6669">
          <cell r="A6669">
            <v>8061304</v>
          </cell>
        </row>
        <row r="6670">
          <cell r="A6670">
            <v>8061305</v>
          </cell>
        </row>
        <row r="6671">
          <cell r="A6671">
            <v>8061306</v>
          </cell>
        </row>
        <row r="6672">
          <cell r="A6672">
            <v>8061307</v>
          </cell>
        </row>
        <row r="6673">
          <cell r="A6673">
            <v>8061308</v>
          </cell>
        </row>
        <row r="6674">
          <cell r="A6674">
            <v>8061309</v>
          </cell>
        </row>
        <row r="6675">
          <cell r="A6675">
            <v>8061313</v>
          </cell>
        </row>
        <row r="6676">
          <cell r="A6676">
            <v>8061314</v>
          </cell>
        </row>
        <row r="6677">
          <cell r="A6677">
            <v>8061315</v>
          </cell>
        </row>
        <row r="6678">
          <cell r="A6678">
            <v>8061316</v>
          </cell>
        </row>
        <row r="6679">
          <cell r="A6679">
            <v>8061317</v>
          </cell>
        </row>
        <row r="6680">
          <cell r="A6680">
            <v>8061318</v>
          </cell>
        </row>
        <row r="6681">
          <cell r="A6681">
            <v>8061319</v>
          </cell>
        </row>
        <row r="6682">
          <cell r="A6682">
            <v>8061320</v>
          </cell>
        </row>
        <row r="6683">
          <cell r="A6683">
            <v>8061321</v>
          </cell>
        </row>
        <row r="6684">
          <cell r="A6684">
            <v>8061322</v>
          </cell>
        </row>
        <row r="6685">
          <cell r="A6685">
            <v>8061323</v>
          </cell>
        </row>
        <row r="6686">
          <cell r="A6686">
            <v>8061324</v>
          </cell>
        </row>
        <row r="6687">
          <cell r="A6687">
            <v>8061325</v>
          </cell>
        </row>
        <row r="6688">
          <cell r="A6688">
            <v>8061326</v>
          </cell>
        </row>
        <row r="6689">
          <cell r="A6689">
            <v>8061327</v>
          </cell>
        </row>
        <row r="6690">
          <cell r="A6690">
            <v>8061328</v>
          </cell>
        </row>
        <row r="6691">
          <cell r="A6691">
            <v>8061329</v>
          </cell>
        </row>
        <row r="6692">
          <cell r="A6692">
            <v>8061330</v>
          </cell>
        </row>
        <row r="6693">
          <cell r="A6693">
            <v>8061331</v>
          </cell>
        </row>
        <row r="6694">
          <cell r="A6694">
            <v>8061332</v>
          </cell>
        </row>
        <row r="6695">
          <cell r="A6695">
            <v>8061333</v>
          </cell>
        </row>
        <row r="6696">
          <cell r="A6696">
            <v>8061334</v>
          </cell>
        </row>
        <row r="6697">
          <cell r="A6697">
            <v>8061335</v>
          </cell>
        </row>
        <row r="6698">
          <cell r="A6698">
            <v>8061336</v>
          </cell>
        </row>
        <row r="6699">
          <cell r="A6699">
            <v>8061337</v>
          </cell>
        </row>
        <row r="6700">
          <cell r="A6700">
            <v>8061338</v>
          </cell>
        </row>
        <row r="6701">
          <cell r="A6701">
            <v>8061339</v>
          </cell>
        </row>
        <row r="6702">
          <cell r="A6702">
            <v>8061340</v>
          </cell>
        </row>
        <row r="6703">
          <cell r="A6703">
            <v>8061341</v>
          </cell>
        </row>
        <row r="6704">
          <cell r="A6704">
            <v>8061342</v>
          </cell>
        </row>
        <row r="6705">
          <cell r="A6705">
            <v>8061343</v>
          </cell>
        </row>
        <row r="6706">
          <cell r="A6706">
            <v>8061344</v>
          </cell>
        </row>
        <row r="6707">
          <cell r="A6707">
            <v>8061401</v>
          </cell>
        </row>
        <row r="6708">
          <cell r="A6708">
            <v>8061402</v>
          </cell>
        </row>
        <row r="6709">
          <cell r="A6709">
            <v>8061403</v>
          </cell>
        </row>
        <row r="6710">
          <cell r="A6710">
            <v>8061404</v>
          </cell>
        </row>
        <row r="6711">
          <cell r="A6711">
            <v>8061405</v>
          </cell>
        </row>
        <row r="6712">
          <cell r="A6712">
            <v>8061406</v>
          </cell>
        </row>
        <row r="6713">
          <cell r="A6713">
            <v>8061407</v>
          </cell>
        </row>
        <row r="6714">
          <cell r="A6714">
            <v>8061408</v>
          </cell>
        </row>
        <row r="6715">
          <cell r="A6715">
            <v>8061409</v>
          </cell>
        </row>
        <row r="6716">
          <cell r="A6716">
            <v>8061410</v>
          </cell>
        </row>
        <row r="6717">
          <cell r="A6717">
            <v>8061411</v>
          </cell>
        </row>
        <row r="6718">
          <cell r="A6718">
            <v>8061412</v>
          </cell>
        </row>
        <row r="6719">
          <cell r="A6719">
            <v>8061413</v>
          </cell>
        </row>
        <row r="6720">
          <cell r="A6720">
            <v>8061414</v>
          </cell>
        </row>
        <row r="6721">
          <cell r="A6721">
            <v>8061415</v>
          </cell>
        </row>
        <row r="6722">
          <cell r="A6722">
            <v>8061416</v>
          </cell>
        </row>
        <row r="6723">
          <cell r="A6723">
            <v>8061417</v>
          </cell>
        </row>
        <row r="6724">
          <cell r="A6724">
            <v>8061418</v>
          </cell>
        </row>
        <row r="6725">
          <cell r="A6725">
            <v>8061419</v>
          </cell>
        </row>
        <row r="6726">
          <cell r="A6726">
            <v>8061420</v>
          </cell>
        </row>
        <row r="6727">
          <cell r="A6727">
            <v>8061421</v>
          </cell>
        </row>
        <row r="6728">
          <cell r="A6728">
            <v>8061422</v>
          </cell>
        </row>
        <row r="6729">
          <cell r="A6729">
            <v>8061423</v>
          </cell>
        </row>
        <row r="6730">
          <cell r="A6730">
            <v>8061424</v>
          </cell>
        </row>
        <row r="6731">
          <cell r="A6731">
            <v>8061425</v>
          </cell>
        </row>
        <row r="6732">
          <cell r="A6732">
            <v>8061426</v>
          </cell>
        </row>
        <row r="6733">
          <cell r="A6733">
            <v>8061427</v>
          </cell>
        </row>
        <row r="6734">
          <cell r="A6734">
            <v>8061428</v>
          </cell>
        </row>
        <row r="6735">
          <cell r="A6735">
            <v>8061429</v>
          </cell>
        </row>
        <row r="6736">
          <cell r="A6736">
            <v>8061430</v>
          </cell>
        </row>
        <row r="6737">
          <cell r="A6737">
            <v>8061431</v>
          </cell>
        </row>
        <row r="6738">
          <cell r="A6738">
            <v>8061432</v>
          </cell>
        </row>
        <row r="6739">
          <cell r="A6739">
            <v>8061433</v>
          </cell>
        </row>
        <row r="6740">
          <cell r="A6740">
            <v>8061434</v>
          </cell>
        </row>
        <row r="6741">
          <cell r="A6741">
            <v>8061435</v>
          </cell>
        </row>
        <row r="6742">
          <cell r="A6742">
            <v>8061436</v>
          </cell>
        </row>
        <row r="6743">
          <cell r="A6743">
            <v>8061437</v>
          </cell>
        </row>
        <row r="6744">
          <cell r="A6744">
            <v>8061438</v>
          </cell>
        </row>
        <row r="6745">
          <cell r="A6745">
            <v>8061439</v>
          </cell>
        </row>
        <row r="6746">
          <cell r="A6746">
            <v>8061441</v>
          </cell>
        </row>
        <row r="6747">
          <cell r="A6747">
            <v>8061442</v>
          </cell>
        </row>
        <row r="6748">
          <cell r="A6748">
            <v>8061501</v>
          </cell>
        </row>
        <row r="6749">
          <cell r="A6749">
            <v>8061502</v>
          </cell>
        </row>
        <row r="6750">
          <cell r="A6750">
            <v>8061503</v>
          </cell>
        </row>
        <row r="6751">
          <cell r="A6751">
            <v>8061504</v>
          </cell>
        </row>
        <row r="6752">
          <cell r="A6752">
            <v>8061511</v>
          </cell>
        </row>
        <row r="6753">
          <cell r="A6753">
            <v>8061512</v>
          </cell>
        </row>
        <row r="6754">
          <cell r="A6754">
            <v>8061513</v>
          </cell>
        </row>
        <row r="6755">
          <cell r="A6755">
            <v>8061514</v>
          </cell>
        </row>
        <row r="6756">
          <cell r="A6756">
            <v>8061515</v>
          </cell>
        </row>
        <row r="6757">
          <cell r="A6757">
            <v>8061601</v>
          </cell>
        </row>
        <row r="6758">
          <cell r="A6758">
            <v>8061602</v>
          </cell>
        </row>
        <row r="6759">
          <cell r="A6759">
            <v>8061603</v>
          </cell>
        </row>
        <row r="6760">
          <cell r="A6760">
            <v>8061604</v>
          </cell>
        </row>
        <row r="6761">
          <cell r="A6761">
            <v>8061605</v>
          </cell>
        </row>
        <row r="6762">
          <cell r="A6762">
            <v>8061606</v>
          </cell>
        </row>
        <row r="6763">
          <cell r="A6763">
            <v>8061607</v>
          </cell>
        </row>
        <row r="6764">
          <cell r="A6764">
            <v>8061608</v>
          </cell>
        </row>
        <row r="6765">
          <cell r="A6765">
            <v>8061609</v>
          </cell>
        </row>
        <row r="6766">
          <cell r="A6766">
            <v>8061610</v>
          </cell>
        </row>
        <row r="6767">
          <cell r="A6767">
            <v>8061611</v>
          </cell>
        </row>
        <row r="6768">
          <cell r="A6768">
            <v>8061612</v>
          </cell>
        </row>
        <row r="6769">
          <cell r="A6769">
            <v>8061613</v>
          </cell>
        </row>
        <row r="6770">
          <cell r="A6770">
            <v>8061614</v>
          </cell>
        </row>
        <row r="6771">
          <cell r="A6771">
            <v>8061615</v>
          </cell>
        </row>
        <row r="6772">
          <cell r="A6772">
            <v>8061616</v>
          </cell>
        </row>
        <row r="6773">
          <cell r="A6773">
            <v>8061620</v>
          </cell>
        </row>
        <row r="6774">
          <cell r="A6774">
            <v>8061621</v>
          </cell>
        </row>
        <row r="6775">
          <cell r="A6775">
            <v>8061622</v>
          </cell>
        </row>
        <row r="6776">
          <cell r="A6776">
            <v>8061623</v>
          </cell>
        </row>
        <row r="6777">
          <cell r="A6777">
            <v>8061624</v>
          </cell>
        </row>
        <row r="6778">
          <cell r="A6778">
            <v>8061625</v>
          </cell>
        </row>
        <row r="6779">
          <cell r="A6779">
            <v>8061628</v>
          </cell>
        </row>
        <row r="6780">
          <cell r="A6780">
            <v>8061629</v>
          </cell>
        </row>
        <row r="6781">
          <cell r="A6781">
            <v>8061630</v>
          </cell>
        </row>
        <row r="6782">
          <cell r="A6782">
            <v>8061631</v>
          </cell>
        </row>
        <row r="6783">
          <cell r="A6783">
            <v>8061632</v>
          </cell>
        </row>
        <row r="6784">
          <cell r="A6784">
            <v>8061633</v>
          </cell>
        </row>
        <row r="6785">
          <cell r="A6785">
            <v>8061634</v>
          </cell>
        </row>
        <row r="6786">
          <cell r="A6786">
            <v>8061635</v>
          </cell>
        </row>
        <row r="6787">
          <cell r="A6787">
            <v>8061636</v>
          </cell>
        </row>
        <row r="6788">
          <cell r="A6788">
            <v>8061637</v>
          </cell>
        </row>
        <row r="6789">
          <cell r="A6789">
            <v>8061701</v>
          </cell>
        </row>
        <row r="6790">
          <cell r="A6790">
            <v>8061702</v>
          </cell>
        </row>
        <row r="6791">
          <cell r="A6791">
            <v>8061703</v>
          </cell>
        </row>
        <row r="6792">
          <cell r="A6792">
            <v>8061704</v>
          </cell>
        </row>
        <row r="6793">
          <cell r="A6793">
            <v>8061705</v>
          </cell>
        </row>
        <row r="6794">
          <cell r="A6794">
            <v>8061706</v>
          </cell>
        </row>
        <row r="6795">
          <cell r="A6795">
            <v>8061707</v>
          </cell>
        </row>
        <row r="6796">
          <cell r="A6796">
            <v>8061708</v>
          </cell>
        </row>
        <row r="6797">
          <cell r="A6797">
            <v>8061709</v>
          </cell>
        </row>
        <row r="6798">
          <cell r="A6798">
            <v>8061710</v>
          </cell>
        </row>
        <row r="6799">
          <cell r="A6799">
            <v>8061711</v>
          </cell>
        </row>
        <row r="6800">
          <cell r="A6800">
            <v>8061712</v>
          </cell>
        </row>
        <row r="6801">
          <cell r="A6801">
            <v>8061713</v>
          </cell>
        </row>
        <row r="6802">
          <cell r="A6802">
            <v>8061714</v>
          </cell>
        </row>
        <row r="6803">
          <cell r="A6803">
            <v>8061715</v>
          </cell>
        </row>
        <row r="6804">
          <cell r="A6804">
            <v>8061716</v>
          </cell>
        </row>
        <row r="6805">
          <cell r="A6805">
            <v>8061717</v>
          </cell>
        </row>
        <row r="6806">
          <cell r="A6806">
            <v>8061718</v>
          </cell>
        </row>
        <row r="6807">
          <cell r="A6807">
            <v>8061719</v>
          </cell>
        </row>
        <row r="6808">
          <cell r="A6808">
            <v>8061720</v>
          </cell>
        </row>
        <row r="6809">
          <cell r="A6809">
            <v>8061721</v>
          </cell>
        </row>
        <row r="6810">
          <cell r="A6810">
            <v>8061722</v>
          </cell>
        </row>
        <row r="6811">
          <cell r="A6811">
            <v>8061723</v>
          </cell>
        </row>
        <row r="6812">
          <cell r="A6812">
            <v>8061724</v>
          </cell>
        </row>
        <row r="6813">
          <cell r="A6813">
            <v>8061725</v>
          </cell>
        </row>
        <row r="6814">
          <cell r="A6814">
            <v>8061726</v>
          </cell>
        </row>
        <row r="6815">
          <cell r="A6815">
            <v>8061736</v>
          </cell>
        </row>
        <row r="6816">
          <cell r="A6816">
            <v>8061737</v>
          </cell>
        </row>
        <row r="6817">
          <cell r="A6817">
            <v>8061738</v>
          </cell>
        </row>
        <row r="6818">
          <cell r="A6818">
            <v>8061740</v>
          </cell>
        </row>
        <row r="6819">
          <cell r="A6819">
            <v>8061741</v>
          </cell>
        </row>
        <row r="6820">
          <cell r="A6820">
            <v>8061742</v>
          </cell>
        </row>
        <row r="6821">
          <cell r="A6821">
            <v>8061743</v>
          </cell>
        </row>
        <row r="6822">
          <cell r="A6822">
            <v>8061744</v>
          </cell>
        </row>
        <row r="6823">
          <cell r="A6823">
            <v>8061750</v>
          </cell>
        </row>
        <row r="6824">
          <cell r="A6824">
            <v>8061751</v>
          </cell>
        </row>
        <row r="6825">
          <cell r="A6825">
            <v>8061752</v>
          </cell>
        </row>
        <row r="6826">
          <cell r="A6826">
            <v>8061801</v>
          </cell>
        </row>
        <row r="6827">
          <cell r="A6827">
            <v>8061802</v>
          </cell>
        </row>
        <row r="6828">
          <cell r="A6828">
            <v>8061803</v>
          </cell>
        </row>
        <row r="6829">
          <cell r="A6829">
            <v>8061804</v>
          </cell>
        </row>
        <row r="6830">
          <cell r="A6830">
            <v>8061805</v>
          </cell>
        </row>
        <row r="6831">
          <cell r="A6831">
            <v>8061806</v>
          </cell>
        </row>
        <row r="6832">
          <cell r="A6832">
            <v>8061807</v>
          </cell>
        </row>
        <row r="6833">
          <cell r="A6833">
            <v>8061808</v>
          </cell>
        </row>
        <row r="6834">
          <cell r="A6834">
            <v>8061809</v>
          </cell>
        </row>
        <row r="6835">
          <cell r="A6835">
            <v>8061810</v>
          </cell>
        </row>
        <row r="6836">
          <cell r="A6836">
            <v>8061811</v>
          </cell>
        </row>
        <row r="6837">
          <cell r="A6837">
            <v>8061812</v>
          </cell>
        </row>
        <row r="6838">
          <cell r="A6838">
            <v>8061813</v>
          </cell>
        </row>
        <row r="6839">
          <cell r="A6839">
            <v>8061814</v>
          </cell>
        </row>
        <row r="6840">
          <cell r="A6840">
            <v>8061815</v>
          </cell>
        </row>
        <row r="6841">
          <cell r="A6841">
            <v>8061816</v>
          </cell>
        </row>
        <row r="6842">
          <cell r="A6842">
            <v>8061817</v>
          </cell>
        </row>
        <row r="6843">
          <cell r="A6843">
            <v>8061818</v>
          </cell>
        </row>
        <row r="6844">
          <cell r="A6844">
            <v>8061819</v>
          </cell>
        </row>
        <row r="6845">
          <cell r="A6845">
            <v>8061820</v>
          </cell>
        </row>
        <row r="6846">
          <cell r="A6846">
            <v>8061821</v>
          </cell>
        </row>
        <row r="6847">
          <cell r="A6847">
            <v>8061822</v>
          </cell>
        </row>
        <row r="6848">
          <cell r="A6848">
            <v>8061823</v>
          </cell>
        </row>
        <row r="6849">
          <cell r="A6849">
            <v>8061824</v>
          </cell>
        </row>
        <row r="6850">
          <cell r="A6850">
            <v>8061825</v>
          </cell>
        </row>
        <row r="6851">
          <cell r="A6851">
            <v>8061826</v>
          </cell>
        </row>
        <row r="6852">
          <cell r="A6852">
            <v>8061827</v>
          </cell>
        </row>
        <row r="6853">
          <cell r="A6853">
            <v>8061828</v>
          </cell>
        </row>
        <row r="6854">
          <cell r="A6854">
            <v>8061829</v>
          </cell>
        </row>
        <row r="6855">
          <cell r="A6855">
            <v>8061830</v>
          </cell>
        </row>
        <row r="6856">
          <cell r="A6856">
            <v>8061831</v>
          </cell>
        </row>
        <row r="6857">
          <cell r="A6857">
            <v>8061832</v>
          </cell>
        </row>
        <row r="6858">
          <cell r="A6858">
            <v>8061833</v>
          </cell>
        </row>
        <row r="6859">
          <cell r="A6859">
            <v>8061834</v>
          </cell>
        </row>
        <row r="6860">
          <cell r="A6860">
            <v>8061835</v>
          </cell>
        </row>
        <row r="6861">
          <cell r="A6861">
            <v>8061836</v>
          </cell>
        </row>
        <row r="6862">
          <cell r="A6862">
            <v>8061837</v>
          </cell>
        </row>
        <row r="6863">
          <cell r="A6863">
            <v>8061838</v>
          </cell>
        </row>
        <row r="6864">
          <cell r="A6864">
            <v>8061842</v>
          </cell>
        </row>
        <row r="6865">
          <cell r="A6865">
            <v>8061843</v>
          </cell>
        </row>
        <row r="6866">
          <cell r="A6866">
            <v>8061844</v>
          </cell>
        </row>
        <row r="6867">
          <cell r="A6867">
            <v>8061845</v>
          </cell>
        </row>
        <row r="6868">
          <cell r="A6868">
            <v>8061846</v>
          </cell>
        </row>
        <row r="6869">
          <cell r="A6869">
            <v>8061847</v>
          </cell>
        </row>
        <row r="6870">
          <cell r="A6870">
            <v>8061850</v>
          </cell>
        </row>
        <row r="6871">
          <cell r="A6871">
            <v>8061851</v>
          </cell>
        </row>
        <row r="6872">
          <cell r="A6872">
            <v>8061852</v>
          </cell>
        </row>
        <row r="6873">
          <cell r="A6873">
            <v>8061901</v>
          </cell>
        </row>
        <row r="6874">
          <cell r="A6874">
            <v>8061902</v>
          </cell>
        </row>
        <row r="6875">
          <cell r="A6875">
            <v>8061903</v>
          </cell>
        </row>
        <row r="6876">
          <cell r="A6876">
            <v>8061904</v>
          </cell>
        </row>
        <row r="6877">
          <cell r="A6877">
            <v>8061905</v>
          </cell>
        </row>
        <row r="6878">
          <cell r="A6878">
            <v>8061906</v>
          </cell>
        </row>
        <row r="6879">
          <cell r="A6879">
            <v>8061907</v>
          </cell>
        </row>
        <row r="6880">
          <cell r="A6880">
            <v>8061908</v>
          </cell>
        </row>
        <row r="6881">
          <cell r="A6881">
            <v>8061909</v>
          </cell>
        </row>
        <row r="6882">
          <cell r="A6882">
            <v>8061910</v>
          </cell>
        </row>
        <row r="6883">
          <cell r="A6883">
            <v>8061911</v>
          </cell>
        </row>
        <row r="6884">
          <cell r="A6884">
            <v>8061912</v>
          </cell>
        </row>
        <row r="6885">
          <cell r="A6885">
            <v>8061913</v>
          </cell>
        </row>
        <row r="6886">
          <cell r="A6886">
            <v>8061914</v>
          </cell>
        </row>
        <row r="6887">
          <cell r="A6887">
            <v>8061915</v>
          </cell>
        </row>
        <row r="6888">
          <cell r="A6888">
            <v>8061916</v>
          </cell>
        </row>
        <row r="6889">
          <cell r="A6889">
            <v>8061917</v>
          </cell>
        </row>
        <row r="6890">
          <cell r="A6890">
            <v>8061918</v>
          </cell>
        </row>
        <row r="6891">
          <cell r="A6891">
            <v>8061919</v>
          </cell>
        </row>
        <row r="6892">
          <cell r="A6892">
            <v>8061920</v>
          </cell>
        </row>
        <row r="6893">
          <cell r="A6893">
            <v>8061921</v>
          </cell>
        </row>
        <row r="6894">
          <cell r="A6894">
            <v>8061922</v>
          </cell>
        </row>
        <row r="6895">
          <cell r="A6895">
            <v>8061923</v>
          </cell>
        </row>
        <row r="6896">
          <cell r="A6896">
            <v>8061924</v>
          </cell>
        </row>
        <row r="6897">
          <cell r="A6897">
            <v>8061925</v>
          </cell>
        </row>
        <row r="6898">
          <cell r="A6898">
            <v>8061926</v>
          </cell>
        </row>
        <row r="6899">
          <cell r="A6899">
            <v>8061927</v>
          </cell>
        </row>
        <row r="6900">
          <cell r="A6900">
            <v>8061928</v>
          </cell>
        </row>
        <row r="6901">
          <cell r="A6901">
            <v>8061929</v>
          </cell>
        </row>
        <row r="6902">
          <cell r="A6902">
            <v>8061933</v>
          </cell>
        </row>
        <row r="6903">
          <cell r="A6903">
            <v>8061934</v>
          </cell>
        </row>
        <row r="6904">
          <cell r="A6904">
            <v>8061935</v>
          </cell>
        </row>
        <row r="6905">
          <cell r="A6905">
            <v>8061936</v>
          </cell>
        </row>
        <row r="6906">
          <cell r="A6906">
            <v>8061937</v>
          </cell>
        </row>
        <row r="6907">
          <cell r="A6907">
            <v>8061938</v>
          </cell>
        </row>
        <row r="6908">
          <cell r="A6908">
            <v>8061939</v>
          </cell>
        </row>
        <row r="6909">
          <cell r="A6909">
            <v>8061940</v>
          </cell>
        </row>
        <row r="6910">
          <cell r="A6910">
            <v>8061941</v>
          </cell>
        </row>
        <row r="6911">
          <cell r="A6911">
            <v>8061942</v>
          </cell>
        </row>
        <row r="6912">
          <cell r="A6912">
            <v>8061943</v>
          </cell>
        </row>
        <row r="6913">
          <cell r="A6913">
            <v>8061944</v>
          </cell>
        </row>
        <row r="6914">
          <cell r="A6914">
            <v>8061945</v>
          </cell>
        </row>
        <row r="6915">
          <cell r="A6915">
            <v>8061946</v>
          </cell>
        </row>
        <row r="6916">
          <cell r="A6916">
            <v>8061947</v>
          </cell>
        </row>
        <row r="6917">
          <cell r="A6917">
            <v>8061948</v>
          </cell>
        </row>
        <row r="6918">
          <cell r="A6918">
            <v>8061949</v>
          </cell>
        </row>
        <row r="6919">
          <cell r="A6919">
            <v>8061950</v>
          </cell>
        </row>
        <row r="6920">
          <cell r="A6920">
            <v>8061951</v>
          </cell>
        </row>
        <row r="6921">
          <cell r="A6921">
            <v>8061952</v>
          </cell>
        </row>
        <row r="6922">
          <cell r="A6922">
            <v>8061953</v>
          </cell>
        </row>
        <row r="6923">
          <cell r="A6923">
            <v>8061954</v>
          </cell>
        </row>
        <row r="6924">
          <cell r="A6924">
            <v>8061955</v>
          </cell>
        </row>
        <row r="6925">
          <cell r="A6925">
            <v>8061956</v>
          </cell>
        </row>
        <row r="6926">
          <cell r="A6926">
            <v>8061957</v>
          </cell>
        </row>
        <row r="6927">
          <cell r="A6927">
            <v>8061958</v>
          </cell>
        </row>
        <row r="6928">
          <cell r="A6928">
            <v>8061959</v>
          </cell>
        </row>
        <row r="6929">
          <cell r="A6929">
            <v>8061960</v>
          </cell>
        </row>
        <row r="6930">
          <cell r="A6930">
            <v>8061961</v>
          </cell>
        </row>
        <row r="6931">
          <cell r="A6931">
            <v>8061962</v>
          </cell>
        </row>
        <row r="6932">
          <cell r="A6932">
            <v>8061967</v>
          </cell>
        </row>
        <row r="6933">
          <cell r="A6933">
            <v>8061968</v>
          </cell>
        </row>
        <row r="6934">
          <cell r="A6934">
            <v>8061969</v>
          </cell>
        </row>
        <row r="6935">
          <cell r="A6935">
            <v>8062001</v>
          </cell>
        </row>
        <row r="6936">
          <cell r="A6936">
            <v>8062002</v>
          </cell>
        </row>
        <row r="6937">
          <cell r="A6937">
            <v>8062003</v>
          </cell>
        </row>
        <row r="6938">
          <cell r="A6938">
            <v>8062004</v>
          </cell>
        </row>
        <row r="6939">
          <cell r="A6939">
            <v>8062005</v>
          </cell>
        </row>
        <row r="6940">
          <cell r="A6940">
            <v>8062006</v>
          </cell>
        </row>
        <row r="6941">
          <cell r="A6941">
            <v>8062007</v>
          </cell>
        </row>
        <row r="6942">
          <cell r="A6942">
            <v>8062008</v>
          </cell>
        </row>
        <row r="6943">
          <cell r="A6943">
            <v>8062009</v>
          </cell>
        </row>
        <row r="6944">
          <cell r="A6944">
            <v>8062010</v>
          </cell>
        </row>
        <row r="6945">
          <cell r="A6945">
            <v>8062011</v>
          </cell>
        </row>
        <row r="6946">
          <cell r="A6946">
            <v>8062015</v>
          </cell>
        </row>
        <row r="6947">
          <cell r="A6947">
            <v>8062016</v>
          </cell>
        </row>
        <row r="6948">
          <cell r="A6948">
            <v>8062017</v>
          </cell>
        </row>
        <row r="6949">
          <cell r="A6949">
            <v>8062018</v>
          </cell>
        </row>
        <row r="6950">
          <cell r="A6950">
            <v>8062019</v>
          </cell>
        </row>
        <row r="6951">
          <cell r="A6951">
            <v>8062020</v>
          </cell>
        </row>
        <row r="6952">
          <cell r="A6952">
            <v>8062021</v>
          </cell>
        </row>
        <row r="6953">
          <cell r="A6953">
            <v>8062022</v>
          </cell>
        </row>
        <row r="6954">
          <cell r="A6954">
            <v>8062023</v>
          </cell>
        </row>
        <row r="6955">
          <cell r="A6955">
            <v>8062024</v>
          </cell>
        </row>
        <row r="6956">
          <cell r="A6956">
            <v>8062025</v>
          </cell>
        </row>
        <row r="6957">
          <cell r="A6957">
            <v>8062026</v>
          </cell>
        </row>
        <row r="6958">
          <cell r="A6958">
            <v>8062027</v>
          </cell>
        </row>
        <row r="6959">
          <cell r="A6959">
            <v>8062028</v>
          </cell>
        </row>
        <row r="6960">
          <cell r="A6960">
            <v>8062029</v>
          </cell>
        </row>
        <row r="6961">
          <cell r="A6961">
            <v>8062030</v>
          </cell>
        </row>
        <row r="6962">
          <cell r="A6962">
            <v>8062031</v>
          </cell>
        </row>
        <row r="6963">
          <cell r="A6963">
            <v>8062032</v>
          </cell>
        </row>
        <row r="6964">
          <cell r="A6964">
            <v>8062033</v>
          </cell>
        </row>
        <row r="6965">
          <cell r="A6965">
            <v>8062034</v>
          </cell>
        </row>
        <row r="6966">
          <cell r="A6966">
            <v>8062035</v>
          </cell>
        </row>
        <row r="6967">
          <cell r="A6967">
            <v>8062043</v>
          </cell>
        </row>
        <row r="6968">
          <cell r="A6968">
            <v>8062044</v>
          </cell>
        </row>
        <row r="6969">
          <cell r="A6969">
            <v>8062045</v>
          </cell>
        </row>
        <row r="6970">
          <cell r="A6970">
            <v>8062046</v>
          </cell>
        </row>
        <row r="6971">
          <cell r="A6971">
            <v>8062047</v>
          </cell>
        </row>
        <row r="6972">
          <cell r="A6972">
            <v>8062048</v>
          </cell>
        </row>
        <row r="6973">
          <cell r="A6973">
            <v>8062049</v>
          </cell>
        </row>
        <row r="6974">
          <cell r="A6974">
            <v>8062050</v>
          </cell>
        </row>
        <row r="6975">
          <cell r="A6975">
            <v>8062051</v>
          </cell>
        </row>
        <row r="6976">
          <cell r="A6976">
            <v>8062052</v>
          </cell>
        </row>
        <row r="6977">
          <cell r="A6977">
            <v>8062053</v>
          </cell>
        </row>
        <row r="6978">
          <cell r="A6978">
            <v>8062054</v>
          </cell>
        </row>
        <row r="6979">
          <cell r="A6979">
            <v>8062055</v>
          </cell>
        </row>
        <row r="6980">
          <cell r="A6980">
            <v>8062056</v>
          </cell>
        </row>
        <row r="6981">
          <cell r="A6981">
            <v>8062057</v>
          </cell>
        </row>
        <row r="6982">
          <cell r="A6982">
            <v>8062058</v>
          </cell>
        </row>
        <row r="6983">
          <cell r="A6983">
            <v>8062101</v>
          </cell>
        </row>
        <row r="6984">
          <cell r="A6984">
            <v>8062102</v>
          </cell>
        </row>
        <row r="6985">
          <cell r="A6985">
            <v>8062103</v>
          </cell>
        </row>
        <row r="6986">
          <cell r="A6986">
            <v>8062104</v>
          </cell>
        </row>
        <row r="6987">
          <cell r="A6987">
            <v>8062105</v>
          </cell>
        </row>
        <row r="6988">
          <cell r="A6988">
            <v>8062106</v>
          </cell>
        </row>
        <row r="6989">
          <cell r="A6989">
            <v>8062107</v>
          </cell>
        </row>
        <row r="6990">
          <cell r="A6990">
            <v>8062108</v>
          </cell>
        </row>
        <row r="6991">
          <cell r="A6991">
            <v>8062109</v>
          </cell>
        </row>
        <row r="6992">
          <cell r="A6992">
            <v>8062110</v>
          </cell>
        </row>
        <row r="6993">
          <cell r="A6993">
            <v>8062111</v>
          </cell>
        </row>
        <row r="6994">
          <cell r="A6994">
            <v>8062112</v>
          </cell>
        </row>
        <row r="6995">
          <cell r="A6995">
            <v>8062113</v>
          </cell>
        </row>
        <row r="6996">
          <cell r="A6996">
            <v>8062114</v>
          </cell>
        </row>
        <row r="6997">
          <cell r="A6997">
            <v>8062115</v>
          </cell>
        </row>
        <row r="6998">
          <cell r="A6998">
            <v>8062116</v>
          </cell>
        </row>
        <row r="6999">
          <cell r="A6999">
            <v>8062117</v>
          </cell>
        </row>
        <row r="7000">
          <cell r="A7000">
            <v>8062118</v>
          </cell>
        </row>
        <row r="7001">
          <cell r="A7001">
            <v>8062119</v>
          </cell>
        </row>
        <row r="7002">
          <cell r="A7002">
            <v>8062120</v>
          </cell>
        </row>
        <row r="7003">
          <cell r="A7003">
            <v>8062121</v>
          </cell>
        </row>
        <row r="7004">
          <cell r="A7004">
            <v>8062122</v>
          </cell>
        </row>
        <row r="7005">
          <cell r="A7005">
            <v>8062123</v>
          </cell>
        </row>
        <row r="7006">
          <cell r="A7006">
            <v>8062124</v>
          </cell>
        </row>
        <row r="7007">
          <cell r="A7007">
            <v>8062125</v>
          </cell>
        </row>
        <row r="7008">
          <cell r="A7008">
            <v>8062126</v>
          </cell>
        </row>
        <row r="7009">
          <cell r="A7009">
            <v>8062127</v>
          </cell>
        </row>
        <row r="7010">
          <cell r="A7010">
            <v>8062128</v>
          </cell>
        </row>
        <row r="7011">
          <cell r="A7011">
            <v>8062129</v>
          </cell>
        </row>
        <row r="7012">
          <cell r="A7012">
            <v>8062130</v>
          </cell>
        </row>
        <row r="7013">
          <cell r="A7013">
            <v>8062131</v>
          </cell>
        </row>
        <row r="7014">
          <cell r="A7014">
            <v>8062132</v>
          </cell>
        </row>
        <row r="7015">
          <cell r="A7015">
            <v>8062133</v>
          </cell>
        </row>
        <row r="7016">
          <cell r="A7016">
            <v>8062134</v>
          </cell>
        </row>
        <row r="7017">
          <cell r="A7017">
            <v>8062135</v>
          </cell>
        </row>
        <row r="7018">
          <cell r="A7018">
            <v>8062136</v>
          </cell>
        </row>
        <row r="7019">
          <cell r="A7019">
            <v>8062137</v>
          </cell>
        </row>
        <row r="7020">
          <cell r="A7020">
            <v>8062138</v>
          </cell>
        </row>
        <row r="7021">
          <cell r="A7021">
            <v>8062147</v>
          </cell>
        </row>
        <row r="7022">
          <cell r="A7022">
            <v>8062148</v>
          </cell>
        </row>
        <row r="7023">
          <cell r="A7023">
            <v>8062149</v>
          </cell>
        </row>
        <row r="7024">
          <cell r="A7024">
            <v>8062150</v>
          </cell>
        </row>
        <row r="7025">
          <cell r="A7025">
            <v>8062151</v>
          </cell>
        </row>
        <row r="7026">
          <cell r="A7026">
            <v>8062152</v>
          </cell>
        </row>
        <row r="7027">
          <cell r="A7027">
            <v>8062153</v>
          </cell>
        </row>
        <row r="7028">
          <cell r="A7028">
            <v>8062154</v>
          </cell>
        </row>
        <row r="7029">
          <cell r="A7029">
            <v>8062155</v>
          </cell>
        </row>
        <row r="7030">
          <cell r="A7030">
            <v>8062156</v>
          </cell>
        </row>
        <row r="7031">
          <cell r="A7031">
            <v>8062157</v>
          </cell>
        </row>
        <row r="7032">
          <cell r="A7032">
            <v>8062158</v>
          </cell>
        </row>
        <row r="7033">
          <cell r="A7033">
            <v>8062159</v>
          </cell>
        </row>
        <row r="7034">
          <cell r="A7034">
            <v>8062160</v>
          </cell>
        </row>
        <row r="7035">
          <cell r="A7035">
            <v>8062161</v>
          </cell>
        </row>
        <row r="7036">
          <cell r="A7036">
            <v>8062162</v>
          </cell>
        </row>
        <row r="7037">
          <cell r="A7037">
            <v>8062163</v>
          </cell>
        </row>
        <row r="7038">
          <cell r="A7038">
            <v>8062164</v>
          </cell>
        </row>
        <row r="7039">
          <cell r="A7039">
            <v>8062165</v>
          </cell>
        </row>
        <row r="7040">
          <cell r="A7040">
            <v>8062166</v>
          </cell>
        </row>
        <row r="7041">
          <cell r="A7041">
            <v>8062167</v>
          </cell>
        </row>
        <row r="7042">
          <cell r="A7042">
            <v>8062168</v>
          </cell>
        </row>
        <row r="7043">
          <cell r="A7043">
            <v>8062169</v>
          </cell>
        </row>
        <row r="7044">
          <cell r="A7044">
            <v>8062170</v>
          </cell>
        </row>
        <row r="7045">
          <cell r="A7045">
            <v>8062171</v>
          </cell>
        </row>
        <row r="7046">
          <cell r="A7046">
            <v>8062172</v>
          </cell>
        </row>
        <row r="7047">
          <cell r="A7047">
            <v>8062173</v>
          </cell>
        </row>
        <row r="7048">
          <cell r="A7048">
            <v>8062174</v>
          </cell>
        </row>
        <row r="7049">
          <cell r="A7049">
            <v>8062176</v>
          </cell>
        </row>
        <row r="7050">
          <cell r="A7050">
            <v>8062177</v>
          </cell>
        </row>
        <row r="7051">
          <cell r="A7051">
            <v>8062178</v>
          </cell>
        </row>
        <row r="7052">
          <cell r="A7052">
            <v>8062183</v>
          </cell>
        </row>
        <row r="7053">
          <cell r="A7053">
            <v>8062184</v>
          </cell>
        </row>
        <row r="7054">
          <cell r="A7054">
            <v>8062185</v>
          </cell>
        </row>
        <row r="7055">
          <cell r="A7055">
            <v>8062186</v>
          </cell>
        </row>
        <row r="7056">
          <cell r="A7056">
            <v>8062187</v>
          </cell>
        </row>
        <row r="7057">
          <cell r="A7057">
            <v>8062201</v>
          </cell>
        </row>
        <row r="7058">
          <cell r="A7058">
            <v>8062202</v>
          </cell>
        </row>
        <row r="7059">
          <cell r="A7059">
            <v>8062203</v>
          </cell>
        </row>
        <row r="7060">
          <cell r="A7060">
            <v>8062204</v>
          </cell>
        </row>
        <row r="7061">
          <cell r="A7061">
            <v>8062205</v>
          </cell>
        </row>
        <row r="7062">
          <cell r="A7062">
            <v>8062206</v>
          </cell>
        </row>
        <row r="7063">
          <cell r="A7063">
            <v>8062207</v>
          </cell>
        </row>
        <row r="7064">
          <cell r="A7064">
            <v>8062208</v>
          </cell>
        </row>
        <row r="7065">
          <cell r="A7065">
            <v>8062209</v>
          </cell>
        </row>
        <row r="7066">
          <cell r="A7066">
            <v>8062210</v>
          </cell>
        </row>
        <row r="7067">
          <cell r="A7067">
            <v>8062211</v>
          </cell>
        </row>
        <row r="7068">
          <cell r="A7068">
            <v>8062212</v>
          </cell>
        </row>
        <row r="7069">
          <cell r="A7069">
            <v>8062213</v>
          </cell>
        </row>
        <row r="7070">
          <cell r="A7070">
            <v>8062214</v>
          </cell>
        </row>
        <row r="7071">
          <cell r="A7071">
            <v>8062215</v>
          </cell>
        </row>
        <row r="7072">
          <cell r="A7072">
            <v>8062216</v>
          </cell>
        </row>
        <row r="7073">
          <cell r="A7073">
            <v>8062217</v>
          </cell>
        </row>
        <row r="7074">
          <cell r="A7074">
            <v>8062218</v>
          </cell>
        </row>
        <row r="7075">
          <cell r="A7075">
            <v>8062219</v>
          </cell>
        </row>
        <row r="7076">
          <cell r="A7076">
            <v>8062301</v>
          </cell>
        </row>
        <row r="7077">
          <cell r="A7077">
            <v>8062302</v>
          </cell>
        </row>
        <row r="7078">
          <cell r="A7078">
            <v>8062303</v>
          </cell>
        </row>
        <row r="7079">
          <cell r="A7079">
            <v>8062304</v>
          </cell>
        </row>
        <row r="7080">
          <cell r="A7080">
            <v>8062305</v>
          </cell>
        </row>
        <row r="7081">
          <cell r="A7081">
            <v>8062306</v>
          </cell>
        </row>
        <row r="7082">
          <cell r="A7082">
            <v>8062307</v>
          </cell>
        </row>
        <row r="7083">
          <cell r="A7083">
            <v>8062308</v>
          </cell>
        </row>
        <row r="7084">
          <cell r="A7084">
            <v>8062309</v>
          </cell>
        </row>
        <row r="7085">
          <cell r="A7085">
            <v>8062310</v>
          </cell>
        </row>
        <row r="7086">
          <cell r="A7086">
            <v>8062311</v>
          </cell>
        </row>
        <row r="7087">
          <cell r="A7087">
            <v>8062312</v>
          </cell>
        </row>
        <row r="7088">
          <cell r="A7088">
            <v>8062313</v>
          </cell>
        </row>
        <row r="7089">
          <cell r="A7089">
            <v>8062314</v>
          </cell>
        </row>
        <row r="7090">
          <cell r="A7090">
            <v>8062315</v>
          </cell>
        </row>
        <row r="7091">
          <cell r="A7091">
            <v>8062316</v>
          </cell>
        </row>
        <row r="7092">
          <cell r="A7092">
            <v>8062317</v>
          </cell>
        </row>
        <row r="7093">
          <cell r="A7093">
            <v>8062318</v>
          </cell>
        </row>
        <row r="7094">
          <cell r="A7094">
            <v>8062319</v>
          </cell>
        </row>
        <row r="7095">
          <cell r="A7095">
            <v>8062320</v>
          </cell>
        </row>
        <row r="7096">
          <cell r="A7096">
            <v>8062321</v>
          </cell>
        </row>
        <row r="7097">
          <cell r="A7097">
            <v>8062322</v>
          </cell>
        </row>
        <row r="7098">
          <cell r="A7098">
            <v>8062323</v>
          </cell>
        </row>
        <row r="7099">
          <cell r="A7099">
            <v>8062324</v>
          </cell>
        </row>
        <row r="7100">
          <cell r="A7100">
            <v>8062325</v>
          </cell>
        </row>
        <row r="7101">
          <cell r="A7101">
            <v>8062326</v>
          </cell>
        </row>
        <row r="7102">
          <cell r="A7102">
            <v>8062327</v>
          </cell>
        </row>
        <row r="7103">
          <cell r="A7103">
            <v>8062328</v>
          </cell>
        </row>
        <row r="7104">
          <cell r="A7104">
            <v>8062329</v>
          </cell>
        </row>
        <row r="7105">
          <cell r="A7105">
            <v>8062330</v>
          </cell>
        </row>
        <row r="7106">
          <cell r="A7106">
            <v>8062331</v>
          </cell>
        </row>
        <row r="7107">
          <cell r="A7107">
            <v>8062332</v>
          </cell>
        </row>
        <row r="7108">
          <cell r="A7108">
            <v>8062333</v>
          </cell>
        </row>
        <row r="7109">
          <cell r="A7109">
            <v>8062334</v>
          </cell>
        </row>
        <row r="7110">
          <cell r="A7110">
            <v>8062335</v>
          </cell>
        </row>
        <row r="7111">
          <cell r="A7111">
            <v>8062336</v>
          </cell>
        </row>
        <row r="7112">
          <cell r="A7112">
            <v>8062337</v>
          </cell>
        </row>
        <row r="7113">
          <cell r="A7113">
            <v>8062338</v>
          </cell>
        </row>
        <row r="7114">
          <cell r="A7114">
            <v>8062339</v>
          </cell>
        </row>
        <row r="7115">
          <cell r="A7115">
            <v>8062340</v>
          </cell>
        </row>
        <row r="7116">
          <cell r="A7116">
            <v>8062341</v>
          </cell>
        </row>
        <row r="7117">
          <cell r="A7117">
            <v>8062342</v>
          </cell>
        </row>
        <row r="7118">
          <cell r="A7118">
            <v>8062343</v>
          </cell>
        </row>
        <row r="7119">
          <cell r="A7119">
            <v>8062344</v>
          </cell>
        </row>
        <row r="7120">
          <cell r="A7120">
            <v>8062345</v>
          </cell>
        </row>
        <row r="7121">
          <cell r="A7121">
            <v>8062346</v>
          </cell>
        </row>
        <row r="7122">
          <cell r="A7122">
            <v>8062347</v>
          </cell>
        </row>
        <row r="7123">
          <cell r="A7123">
            <v>8062348</v>
          </cell>
        </row>
        <row r="7124">
          <cell r="A7124">
            <v>8062349</v>
          </cell>
        </row>
        <row r="7125">
          <cell r="A7125">
            <v>8062350</v>
          </cell>
        </row>
        <row r="7126">
          <cell r="A7126">
            <v>8062401</v>
          </cell>
        </row>
        <row r="7127">
          <cell r="A7127">
            <v>8062402</v>
          </cell>
        </row>
        <row r="7128">
          <cell r="A7128">
            <v>8062403</v>
          </cell>
        </row>
        <row r="7129">
          <cell r="A7129">
            <v>8062404</v>
          </cell>
        </row>
        <row r="7130">
          <cell r="A7130">
            <v>8062405</v>
          </cell>
        </row>
        <row r="7131">
          <cell r="A7131">
            <v>8062406</v>
          </cell>
        </row>
        <row r="7132">
          <cell r="A7132">
            <v>8062407</v>
          </cell>
        </row>
        <row r="7133">
          <cell r="A7133">
            <v>8062408</v>
          </cell>
        </row>
        <row r="7134">
          <cell r="A7134">
            <v>8062409</v>
          </cell>
        </row>
        <row r="7135">
          <cell r="A7135">
            <v>8062410</v>
          </cell>
        </row>
        <row r="7136">
          <cell r="A7136">
            <v>8062411</v>
          </cell>
        </row>
        <row r="7137">
          <cell r="A7137">
            <v>8062412</v>
          </cell>
        </row>
        <row r="7138">
          <cell r="A7138">
            <v>8062413</v>
          </cell>
        </row>
        <row r="7139">
          <cell r="A7139">
            <v>8062414</v>
          </cell>
        </row>
        <row r="7140">
          <cell r="A7140">
            <v>8062415</v>
          </cell>
        </row>
        <row r="7141">
          <cell r="A7141">
            <v>8062416</v>
          </cell>
        </row>
        <row r="7142">
          <cell r="A7142">
            <v>8062417</v>
          </cell>
        </row>
        <row r="7143">
          <cell r="A7143">
            <v>8062418</v>
          </cell>
        </row>
        <row r="7144">
          <cell r="A7144">
            <v>8062419</v>
          </cell>
        </row>
        <row r="7145">
          <cell r="A7145">
            <v>8062420</v>
          </cell>
        </row>
        <row r="7146">
          <cell r="A7146">
            <v>8062421</v>
          </cell>
        </row>
        <row r="7147">
          <cell r="A7147">
            <v>8062422</v>
          </cell>
        </row>
        <row r="7148">
          <cell r="A7148">
            <v>8062423</v>
          </cell>
        </row>
        <row r="7149">
          <cell r="A7149">
            <v>8062424</v>
          </cell>
        </row>
        <row r="7150">
          <cell r="A7150">
            <v>8062425</v>
          </cell>
        </row>
        <row r="7151">
          <cell r="A7151">
            <v>8062426</v>
          </cell>
        </row>
        <row r="7152">
          <cell r="A7152">
            <v>8062427</v>
          </cell>
        </row>
        <row r="7153">
          <cell r="A7153">
            <v>8062428</v>
          </cell>
        </row>
        <row r="7154">
          <cell r="A7154">
            <v>8062429</v>
          </cell>
        </row>
        <row r="7155">
          <cell r="A7155">
            <v>8062430</v>
          </cell>
        </row>
        <row r="7156">
          <cell r="A7156">
            <v>8062431</v>
          </cell>
        </row>
        <row r="7157">
          <cell r="A7157">
            <v>8062432</v>
          </cell>
        </row>
        <row r="7158">
          <cell r="A7158">
            <v>8062433</v>
          </cell>
        </row>
        <row r="7159">
          <cell r="A7159">
            <v>8062434</v>
          </cell>
        </row>
        <row r="7160">
          <cell r="A7160">
            <v>8062435</v>
          </cell>
        </row>
        <row r="7161">
          <cell r="A7161">
            <v>8062436</v>
          </cell>
        </row>
        <row r="7162">
          <cell r="A7162">
            <v>8062437</v>
          </cell>
        </row>
        <row r="7163">
          <cell r="A7163">
            <v>8062438</v>
          </cell>
        </row>
        <row r="7164">
          <cell r="A7164">
            <v>8062439</v>
          </cell>
        </row>
        <row r="7165">
          <cell r="A7165">
            <v>8062440</v>
          </cell>
        </row>
        <row r="7166">
          <cell r="A7166">
            <v>8062449</v>
          </cell>
        </row>
        <row r="7167">
          <cell r="A7167">
            <v>8062450</v>
          </cell>
        </row>
        <row r="7168">
          <cell r="A7168">
            <v>8062451</v>
          </cell>
        </row>
        <row r="7169">
          <cell r="A7169">
            <v>8062452</v>
          </cell>
        </row>
        <row r="7170">
          <cell r="A7170">
            <v>8062453</v>
          </cell>
        </row>
        <row r="7171">
          <cell r="A7171">
            <v>8062454</v>
          </cell>
        </row>
        <row r="7172">
          <cell r="A7172">
            <v>8062455</v>
          </cell>
        </row>
        <row r="7173">
          <cell r="A7173">
            <v>8062456</v>
          </cell>
        </row>
        <row r="7174">
          <cell r="A7174">
            <v>8062457</v>
          </cell>
        </row>
        <row r="7175">
          <cell r="A7175">
            <v>8062458</v>
          </cell>
        </row>
        <row r="7176">
          <cell r="A7176">
            <v>8062459</v>
          </cell>
        </row>
        <row r="7177">
          <cell r="A7177">
            <v>8062460</v>
          </cell>
        </row>
        <row r="7178">
          <cell r="A7178">
            <v>8062461</v>
          </cell>
        </row>
        <row r="7179">
          <cell r="A7179">
            <v>8062462</v>
          </cell>
        </row>
        <row r="7180">
          <cell r="A7180">
            <v>8062463</v>
          </cell>
        </row>
        <row r="7181">
          <cell r="A7181">
            <v>8062464</v>
          </cell>
        </row>
        <row r="7182">
          <cell r="A7182">
            <v>8062465</v>
          </cell>
        </row>
        <row r="7183">
          <cell r="A7183">
            <v>8062468</v>
          </cell>
        </row>
        <row r="7184">
          <cell r="A7184">
            <v>8062469</v>
          </cell>
        </row>
        <row r="7185">
          <cell r="A7185">
            <v>8062470</v>
          </cell>
        </row>
        <row r="7186">
          <cell r="A7186">
            <v>8062471</v>
          </cell>
        </row>
        <row r="7187">
          <cell r="A7187">
            <v>8062472</v>
          </cell>
        </row>
        <row r="7188">
          <cell r="A7188">
            <v>8062473</v>
          </cell>
        </row>
        <row r="7189">
          <cell r="A7189">
            <v>8062474</v>
          </cell>
        </row>
        <row r="7190">
          <cell r="A7190">
            <v>8062475</v>
          </cell>
        </row>
        <row r="7191">
          <cell r="A7191">
            <v>8062476</v>
          </cell>
        </row>
        <row r="7192">
          <cell r="A7192">
            <v>8062477</v>
          </cell>
        </row>
        <row r="7193">
          <cell r="A7193">
            <v>8062501</v>
          </cell>
        </row>
        <row r="7194">
          <cell r="A7194">
            <v>8062502</v>
          </cell>
        </row>
        <row r="7195">
          <cell r="A7195">
            <v>8062503</v>
          </cell>
        </row>
        <row r="7196">
          <cell r="A7196">
            <v>8062504</v>
          </cell>
        </row>
        <row r="7197">
          <cell r="A7197">
            <v>8062505</v>
          </cell>
        </row>
        <row r="7198">
          <cell r="A7198">
            <v>8062506</v>
          </cell>
        </row>
        <row r="7199">
          <cell r="A7199">
            <v>8062507</v>
          </cell>
        </row>
        <row r="7200">
          <cell r="A7200">
            <v>8062508</v>
          </cell>
        </row>
        <row r="7201">
          <cell r="A7201">
            <v>8062509</v>
          </cell>
        </row>
        <row r="7202">
          <cell r="A7202">
            <v>8062510</v>
          </cell>
        </row>
        <row r="7203">
          <cell r="A7203">
            <v>8062511</v>
          </cell>
        </row>
        <row r="7204">
          <cell r="A7204">
            <v>8062512</v>
          </cell>
        </row>
        <row r="7205">
          <cell r="A7205">
            <v>8062513</v>
          </cell>
        </row>
        <row r="7206">
          <cell r="A7206">
            <v>8062514</v>
          </cell>
        </row>
        <row r="7207">
          <cell r="A7207">
            <v>8062515</v>
          </cell>
        </row>
        <row r="7208">
          <cell r="A7208">
            <v>8062516</v>
          </cell>
        </row>
        <row r="7209">
          <cell r="A7209">
            <v>8062517</v>
          </cell>
        </row>
        <row r="7210">
          <cell r="A7210">
            <v>8062518</v>
          </cell>
        </row>
        <row r="7211">
          <cell r="A7211">
            <v>8062519</v>
          </cell>
        </row>
        <row r="7212">
          <cell r="A7212">
            <v>8062520</v>
          </cell>
        </row>
        <row r="7213">
          <cell r="A7213">
            <v>8062521</v>
          </cell>
        </row>
        <row r="7214">
          <cell r="A7214">
            <v>8062522</v>
          </cell>
        </row>
        <row r="7215">
          <cell r="A7215">
            <v>8062523</v>
          </cell>
        </row>
        <row r="7216">
          <cell r="A7216">
            <v>8062524</v>
          </cell>
        </row>
        <row r="7217">
          <cell r="A7217">
            <v>8062525</v>
          </cell>
        </row>
        <row r="7218">
          <cell r="A7218">
            <v>8062526</v>
          </cell>
        </row>
        <row r="7219">
          <cell r="A7219">
            <v>8062527</v>
          </cell>
        </row>
        <row r="7220">
          <cell r="A7220">
            <v>8062528</v>
          </cell>
        </row>
        <row r="7221">
          <cell r="A7221">
            <v>8062529</v>
          </cell>
        </row>
        <row r="7222">
          <cell r="A7222">
            <v>8062532</v>
          </cell>
        </row>
        <row r="7223">
          <cell r="A7223">
            <v>8062533</v>
          </cell>
        </row>
        <row r="7224">
          <cell r="A7224">
            <v>8062534</v>
          </cell>
        </row>
        <row r="7225">
          <cell r="A7225">
            <v>8062535</v>
          </cell>
        </row>
        <row r="7226">
          <cell r="A7226">
            <v>8062536</v>
          </cell>
        </row>
        <row r="7227">
          <cell r="A7227">
            <v>8062537</v>
          </cell>
        </row>
        <row r="7228">
          <cell r="A7228">
            <v>8062538</v>
          </cell>
        </row>
        <row r="7229">
          <cell r="A7229">
            <v>8062601</v>
          </cell>
        </row>
        <row r="7230">
          <cell r="A7230">
            <v>8062602</v>
          </cell>
        </row>
        <row r="7231">
          <cell r="A7231">
            <v>8062603</v>
          </cell>
        </row>
        <row r="7232">
          <cell r="A7232">
            <v>8062604</v>
          </cell>
        </row>
        <row r="7233">
          <cell r="A7233">
            <v>8062605</v>
          </cell>
        </row>
        <row r="7234">
          <cell r="A7234">
            <v>8062606</v>
          </cell>
        </row>
        <row r="7235">
          <cell r="A7235">
            <v>8062607</v>
          </cell>
        </row>
        <row r="7236">
          <cell r="A7236">
            <v>8062608</v>
          </cell>
        </row>
        <row r="7237">
          <cell r="A7237">
            <v>8062609</v>
          </cell>
        </row>
        <row r="7238">
          <cell r="A7238">
            <v>8062610</v>
          </cell>
        </row>
        <row r="7239">
          <cell r="A7239">
            <v>8062611</v>
          </cell>
        </row>
        <row r="7240">
          <cell r="A7240">
            <v>8062612</v>
          </cell>
        </row>
        <row r="7241">
          <cell r="A7241">
            <v>8062613</v>
          </cell>
        </row>
        <row r="7242">
          <cell r="A7242">
            <v>8062614</v>
          </cell>
        </row>
        <row r="7243">
          <cell r="A7243">
            <v>8062615</v>
          </cell>
        </row>
        <row r="7244">
          <cell r="A7244">
            <v>8062616</v>
          </cell>
        </row>
        <row r="7245">
          <cell r="A7245">
            <v>8062617</v>
          </cell>
        </row>
        <row r="7246">
          <cell r="A7246">
            <v>8062618</v>
          </cell>
        </row>
        <row r="7247">
          <cell r="A7247">
            <v>8062619</v>
          </cell>
        </row>
        <row r="7248">
          <cell r="A7248">
            <v>8062620</v>
          </cell>
        </row>
        <row r="7249">
          <cell r="A7249">
            <v>8062621</v>
          </cell>
        </row>
        <row r="7250">
          <cell r="A7250">
            <v>8062622</v>
          </cell>
        </row>
        <row r="7251">
          <cell r="A7251">
            <v>8062623</v>
          </cell>
        </row>
        <row r="7252">
          <cell r="A7252">
            <v>8062624</v>
          </cell>
        </row>
        <row r="7253">
          <cell r="A7253">
            <v>8062626</v>
          </cell>
        </row>
        <row r="7254">
          <cell r="A7254">
            <v>8062627</v>
          </cell>
        </row>
        <row r="7255">
          <cell r="A7255">
            <v>8062628</v>
          </cell>
        </row>
        <row r="7256">
          <cell r="A7256">
            <v>8062629</v>
          </cell>
        </row>
        <row r="7257">
          <cell r="A7257">
            <v>8062630</v>
          </cell>
        </row>
        <row r="7258">
          <cell r="A7258">
            <v>8062631</v>
          </cell>
        </row>
        <row r="7259">
          <cell r="A7259">
            <v>8062701</v>
          </cell>
        </row>
        <row r="7260">
          <cell r="A7260">
            <v>8062702</v>
          </cell>
        </row>
        <row r="7261">
          <cell r="A7261">
            <v>8062703</v>
          </cell>
        </row>
        <row r="7262">
          <cell r="A7262">
            <v>8062704</v>
          </cell>
        </row>
        <row r="7263">
          <cell r="A7263">
            <v>8062705</v>
          </cell>
        </row>
        <row r="7264">
          <cell r="A7264">
            <v>8062706</v>
          </cell>
        </row>
        <row r="7265">
          <cell r="A7265">
            <v>8062707</v>
          </cell>
        </row>
        <row r="7266">
          <cell r="A7266">
            <v>8062708</v>
          </cell>
        </row>
        <row r="7267">
          <cell r="A7267">
            <v>8062709</v>
          </cell>
        </row>
        <row r="7268">
          <cell r="A7268">
            <v>8062710</v>
          </cell>
        </row>
        <row r="7269">
          <cell r="A7269">
            <v>8062711</v>
          </cell>
        </row>
        <row r="7270">
          <cell r="A7270">
            <v>8062712</v>
          </cell>
        </row>
        <row r="7271">
          <cell r="A7271">
            <v>8062713</v>
          </cell>
        </row>
        <row r="7272">
          <cell r="A7272">
            <v>8062714</v>
          </cell>
        </row>
        <row r="7273">
          <cell r="A7273">
            <v>8062715</v>
          </cell>
        </row>
        <row r="7274">
          <cell r="A7274">
            <v>8062716</v>
          </cell>
        </row>
        <row r="7275">
          <cell r="A7275">
            <v>8062717</v>
          </cell>
        </row>
        <row r="7276">
          <cell r="A7276">
            <v>8062718</v>
          </cell>
        </row>
        <row r="7277">
          <cell r="A7277">
            <v>8062719</v>
          </cell>
        </row>
        <row r="7278">
          <cell r="A7278">
            <v>8062720</v>
          </cell>
        </row>
        <row r="7279">
          <cell r="A7279">
            <v>8062728</v>
          </cell>
        </row>
        <row r="7280">
          <cell r="A7280">
            <v>8062729</v>
          </cell>
        </row>
        <row r="7281">
          <cell r="A7281">
            <v>8062730</v>
          </cell>
        </row>
        <row r="7282">
          <cell r="A7282">
            <v>8062731</v>
          </cell>
        </row>
        <row r="7283">
          <cell r="A7283">
            <v>8062732</v>
          </cell>
        </row>
        <row r="7284">
          <cell r="A7284">
            <v>8062733</v>
          </cell>
        </row>
        <row r="7285">
          <cell r="A7285">
            <v>8062734</v>
          </cell>
        </row>
        <row r="7286">
          <cell r="A7286">
            <v>8062735</v>
          </cell>
        </row>
        <row r="7287">
          <cell r="A7287">
            <v>8062736</v>
          </cell>
        </row>
        <row r="7288">
          <cell r="A7288">
            <v>8062737</v>
          </cell>
        </row>
        <row r="7289">
          <cell r="A7289">
            <v>8062742</v>
          </cell>
        </row>
        <row r="7290">
          <cell r="A7290">
            <v>8062743</v>
          </cell>
        </row>
        <row r="7291">
          <cell r="A7291">
            <v>8062744</v>
          </cell>
        </row>
        <row r="7292">
          <cell r="A7292">
            <v>8062745</v>
          </cell>
        </row>
        <row r="7293">
          <cell r="A7293">
            <v>8062746</v>
          </cell>
        </row>
        <row r="7294">
          <cell r="A7294">
            <v>8062747</v>
          </cell>
        </row>
        <row r="7295">
          <cell r="A7295">
            <v>8062748</v>
          </cell>
        </row>
        <row r="7296">
          <cell r="A7296">
            <v>8062749</v>
          </cell>
        </row>
        <row r="7297">
          <cell r="A7297">
            <v>8062750</v>
          </cell>
        </row>
        <row r="7298">
          <cell r="A7298">
            <v>8062751</v>
          </cell>
        </row>
        <row r="7299">
          <cell r="A7299">
            <v>8062752</v>
          </cell>
        </row>
        <row r="7300">
          <cell r="A7300">
            <v>8062753</v>
          </cell>
        </row>
        <row r="7301">
          <cell r="A7301">
            <v>8062754</v>
          </cell>
        </row>
        <row r="7302">
          <cell r="A7302">
            <v>8062755</v>
          </cell>
        </row>
        <row r="7303">
          <cell r="A7303">
            <v>8062756</v>
          </cell>
        </row>
        <row r="7304">
          <cell r="A7304">
            <v>8062757</v>
          </cell>
        </row>
        <row r="7305">
          <cell r="A7305">
            <v>8062801</v>
          </cell>
        </row>
        <row r="7306">
          <cell r="A7306">
            <v>8062802</v>
          </cell>
        </row>
        <row r="7307">
          <cell r="A7307">
            <v>8062803</v>
          </cell>
        </row>
        <row r="7308">
          <cell r="A7308">
            <v>8062804</v>
          </cell>
        </row>
        <row r="7309">
          <cell r="A7309">
            <v>8062805</v>
          </cell>
        </row>
        <row r="7310">
          <cell r="A7310">
            <v>8062806</v>
          </cell>
        </row>
        <row r="7311">
          <cell r="A7311">
            <v>8062807</v>
          </cell>
        </row>
        <row r="7312">
          <cell r="A7312">
            <v>8062808</v>
          </cell>
        </row>
        <row r="7313">
          <cell r="A7313">
            <v>8062809</v>
          </cell>
        </row>
        <row r="7314">
          <cell r="A7314">
            <v>8062810</v>
          </cell>
        </row>
        <row r="7315">
          <cell r="A7315">
            <v>8062811</v>
          </cell>
        </row>
        <row r="7316">
          <cell r="A7316">
            <v>8062812</v>
          </cell>
        </row>
        <row r="7317">
          <cell r="A7317">
            <v>8062813</v>
          </cell>
        </row>
        <row r="7318">
          <cell r="A7318">
            <v>8062814</v>
          </cell>
        </row>
        <row r="7319">
          <cell r="A7319">
            <v>8062815</v>
          </cell>
        </row>
        <row r="7320">
          <cell r="A7320">
            <v>8062816</v>
          </cell>
        </row>
        <row r="7321">
          <cell r="A7321">
            <v>8062817</v>
          </cell>
        </row>
        <row r="7322">
          <cell r="A7322">
            <v>8062818</v>
          </cell>
        </row>
        <row r="7323">
          <cell r="A7323">
            <v>8062819</v>
          </cell>
        </row>
        <row r="7324">
          <cell r="A7324">
            <v>8062820</v>
          </cell>
        </row>
        <row r="7325">
          <cell r="A7325">
            <v>8062821</v>
          </cell>
        </row>
        <row r="7326">
          <cell r="A7326">
            <v>8062822</v>
          </cell>
        </row>
        <row r="7327">
          <cell r="A7327">
            <v>8062823</v>
          </cell>
        </row>
        <row r="7328">
          <cell r="A7328">
            <v>8062829</v>
          </cell>
        </row>
        <row r="7329">
          <cell r="A7329">
            <v>8062830</v>
          </cell>
        </row>
        <row r="7330">
          <cell r="A7330">
            <v>8062832</v>
          </cell>
        </row>
        <row r="7331">
          <cell r="A7331">
            <v>8062833</v>
          </cell>
        </row>
        <row r="7332">
          <cell r="A7332">
            <v>8062834</v>
          </cell>
        </row>
        <row r="7333">
          <cell r="A7333">
            <v>8062835</v>
          </cell>
        </row>
        <row r="7334">
          <cell r="A7334">
            <v>8062836</v>
          </cell>
        </row>
        <row r="7335">
          <cell r="A7335">
            <v>8062837</v>
          </cell>
        </row>
        <row r="7336">
          <cell r="A7336">
            <v>8062838</v>
          </cell>
        </row>
        <row r="7337">
          <cell r="A7337">
            <v>8062901</v>
          </cell>
        </row>
        <row r="7338">
          <cell r="A7338">
            <v>8062902</v>
          </cell>
        </row>
        <row r="7339">
          <cell r="A7339">
            <v>8062903</v>
          </cell>
        </row>
        <row r="7340">
          <cell r="A7340">
            <v>8062904</v>
          </cell>
        </row>
        <row r="7341">
          <cell r="A7341">
            <v>8062905</v>
          </cell>
        </row>
        <row r="7342">
          <cell r="A7342">
            <v>8062906</v>
          </cell>
        </row>
        <row r="7343">
          <cell r="A7343">
            <v>8062907</v>
          </cell>
        </row>
        <row r="7344">
          <cell r="A7344">
            <v>8062908</v>
          </cell>
        </row>
        <row r="7345">
          <cell r="A7345">
            <v>8062909</v>
          </cell>
        </row>
        <row r="7346">
          <cell r="A7346">
            <v>8062910</v>
          </cell>
        </row>
        <row r="7347">
          <cell r="A7347">
            <v>8062911</v>
          </cell>
        </row>
        <row r="7348">
          <cell r="A7348">
            <v>8062912</v>
          </cell>
        </row>
        <row r="7349">
          <cell r="A7349">
            <v>8062913</v>
          </cell>
        </row>
        <row r="7350">
          <cell r="A7350">
            <v>8062914</v>
          </cell>
        </row>
        <row r="7351">
          <cell r="A7351">
            <v>8062915</v>
          </cell>
        </row>
        <row r="7352">
          <cell r="A7352">
            <v>8062916</v>
          </cell>
        </row>
        <row r="7353">
          <cell r="A7353">
            <v>8062918</v>
          </cell>
        </row>
        <row r="7354">
          <cell r="A7354">
            <v>8062919</v>
          </cell>
        </row>
        <row r="7355">
          <cell r="A7355">
            <v>8063001</v>
          </cell>
        </row>
        <row r="7356">
          <cell r="A7356">
            <v>8063002</v>
          </cell>
        </row>
        <row r="7357">
          <cell r="A7357">
            <v>8063003</v>
          </cell>
        </row>
        <row r="7358">
          <cell r="A7358">
            <v>8063004</v>
          </cell>
        </row>
        <row r="7359">
          <cell r="A7359">
            <v>8063005</v>
          </cell>
        </row>
        <row r="7360">
          <cell r="A7360">
            <v>8063006</v>
          </cell>
        </row>
        <row r="7361">
          <cell r="A7361">
            <v>8063012</v>
          </cell>
        </row>
        <row r="7362">
          <cell r="A7362">
            <v>8063013</v>
          </cell>
        </row>
        <row r="7363">
          <cell r="A7363">
            <v>8063014</v>
          </cell>
        </row>
        <row r="7364">
          <cell r="A7364">
            <v>8063015</v>
          </cell>
        </row>
        <row r="7365">
          <cell r="A7365">
            <v>8063016</v>
          </cell>
        </row>
        <row r="7366">
          <cell r="A7366">
            <v>8063023</v>
          </cell>
        </row>
        <row r="7367">
          <cell r="A7367">
            <v>8063024</v>
          </cell>
        </row>
        <row r="7368">
          <cell r="A7368">
            <v>8063025</v>
          </cell>
        </row>
        <row r="7369">
          <cell r="A7369">
            <v>8063026</v>
          </cell>
        </row>
        <row r="7370">
          <cell r="A7370">
            <v>8063027</v>
          </cell>
        </row>
        <row r="7371">
          <cell r="A7371">
            <v>8063028</v>
          </cell>
        </row>
        <row r="7372">
          <cell r="A7372">
            <v>8063029</v>
          </cell>
        </row>
        <row r="7373">
          <cell r="A7373">
            <v>8063030</v>
          </cell>
        </row>
        <row r="7374">
          <cell r="A7374">
            <v>8063031</v>
          </cell>
        </row>
        <row r="7375">
          <cell r="A7375">
            <v>8070101</v>
          </cell>
        </row>
        <row r="7376">
          <cell r="A7376">
            <v>8070102</v>
          </cell>
        </row>
        <row r="7377">
          <cell r="A7377">
            <v>8070103</v>
          </cell>
        </row>
        <row r="7378">
          <cell r="A7378">
            <v>8070104</v>
          </cell>
        </row>
        <row r="7379">
          <cell r="A7379">
            <v>8070105</v>
          </cell>
        </row>
        <row r="7380">
          <cell r="A7380">
            <v>8070106</v>
          </cell>
        </row>
        <row r="7381">
          <cell r="A7381">
            <v>8070107</v>
          </cell>
        </row>
        <row r="7382">
          <cell r="A7382">
            <v>8070108</v>
          </cell>
        </row>
        <row r="7383">
          <cell r="A7383">
            <v>8070109</v>
          </cell>
        </row>
        <row r="7384">
          <cell r="A7384">
            <v>8070110</v>
          </cell>
        </row>
        <row r="7385">
          <cell r="A7385">
            <v>8070111</v>
          </cell>
        </row>
        <row r="7386">
          <cell r="A7386">
            <v>8070112</v>
          </cell>
        </row>
        <row r="7387">
          <cell r="A7387">
            <v>8070113</v>
          </cell>
        </row>
        <row r="7388">
          <cell r="A7388">
            <v>8070114</v>
          </cell>
        </row>
        <row r="7389">
          <cell r="A7389">
            <v>8070115</v>
          </cell>
        </row>
        <row r="7390">
          <cell r="A7390">
            <v>8070116</v>
          </cell>
        </row>
        <row r="7391">
          <cell r="A7391">
            <v>8070117</v>
          </cell>
        </row>
        <row r="7392">
          <cell r="A7392">
            <v>8070118</v>
          </cell>
        </row>
        <row r="7393">
          <cell r="A7393">
            <v>8070119</v>
          </cell>
        </row>
        <row r="7394">
          <cell r="A7394">
            <v>8070120</v>
          </cell>
        </row>
        <row r="7395">
          <cell r="A7395">
            <v>8070121</v>
          </cell>
        </row>
        <row r="7396">
          <cell r="A7396">
            <v>8070122</v>
          </cell>
        </row>
        <row r="7397">
          <cell r="A7397">
            <v>8070123</v>
          </cell>
        </row>
        <row r="7398">
          <cell r="A7398">
            <v>8070124</v>
          </cell>
        </row>
        <row r="7399">
          <cell r="A7399">
            <v>8070125</v>
          </cell>
        </row>
        <row r="7400">
          <cell r="A7400">
            <v>8070126</v>
          </cell>
        </row>
        <row r="7401">
          <cell r="A7401">
            <v>8070127</v>
          </cell>
        </row>
        <row r="7402">
          <cell r="A7402">
            <v>8070128</v>
          </cell>
        </row>
        <row r="7403">
          <cell r="A7403">
            <v>8070129</v>
          </cell>
        </row>
        <row r="7404">
          <cell r="A7404">
            <v>8070130</v>
          </cell>
        </row>
        <row r="7405">
          <cell r="A7405">
            <v>8070131</v>
          </cell>
        </row>
        <row r="7406">
          <cell r="A7406">
            <v>8070132</v>
          </cell>
        </row>
        <row r="7407">
          <cell r="A7407">
            <v>8070133</v>
          </cell>
        </row>
        <row r="7408">
          <cell r="A7408">
            <v>8070134</v>
          </cell>
        </row>
        <row r="7409">
          <cell r="A7409">
            <v>8070135</v>
          </cell>
        </row>
        <row r="7410">
          <cell r="A7410">
            <v>8070136</v>
          </cell>
        </row>
        <row r="7411">
          <cell r="A7411">
            <v>8070137</v>
          </cell>
        </row>
        <row r="7412">
          <cell r="A7412">
            <v>8070138</v>
          </cell>
        </row>
        <row r="7413">
          <cell r="A7413">
            <v>8070139</v>
          </cell>
        </row>
        <row r="7414">
          <cell r="A7414">
            <v>8070140</v>
          </cell>
        </row>
        <row r="7415">
          <cell r="A7415">
            <v>8070141</v>
          </cell>
        </row>
        <row r="7416">
          <cell r="A7416">
            <v>8070142</v>
          </cell>
        </row>
        <row r="7417">
          <cell r="A7417">
            <v>8070143</v>
          </cell>
        </row>
        <row r="7418">
          <cell r="A7418">
            <v>8070144</v>
          </cell>
        </row>
        <row r="7419">
          <cell r="A7419">
            <v>8070145</v>
          </cell>
        </row>
        <row r="7420">
          <cell r="A7420">
            <v>8070146</v>
          </cell>
        </row>
        <row r="7421">
          <cell r="A7421">
            <v>8070147</v>
          </cell>
        </row>
        <row r="7422">
          <cell r="A7422">
            <v>8070148</v>
          </cell>
        </row>
        <row r="7423">
          <cell r="A7423">
            <v>8070149</v>
          </cell>
        </row>
        <row r="7424">
          <cell r="A7424">
            <v>8070150</v>
          </cell>
        </row>
        <row r="7425">
          <cell r="A7425">
            <v>8070151</v>
          </cell>
        </row>
        <row r="7426">
          <cell r="A7426">
            <v>8070152</v>
          </cell>
        </row>
        <row r="7427">
          <cell r="A7427">
            <v>8070153</v>
          </cell>
        </row>
        <row r="7428">
          <cell r="A7428">
            <v>8070154</v>
          </cell>
        </row>
        <row r="7429">
          <cell r="A7429">
            <v>8070155</v>
          </cell>
        </row>
        <row r="7430">
          <cell r="A7430">
            <v>8070201</v>
          </cell>
        </row>
        <row r="7431">
          <cell r="A7431">
            <v>8070202</v>
          </cell>
        </row>
        <row r="7432">
          <cell r="A7432">
            <v>8070203</v>
          </cell>
        </row>
        <row r="7433">
          <cell r="A7433">
            <v>8070204</v>
          </cell>
        </row>
        <row r="7434">
          <cell r="A7434">
            <v>8070205</v>
          </cell>
        </row>
        <row r="7435">
          <cell r="A7435">
            <v>8070206</v>
          </cell>
        </row>
        <row r="7436">
          <cell r="A7436">
            <v>8070207</v>
          </cell>
        </row>
        <row r="7437">
          <cell r="A7437">
            <v>8070208</v>
          </cell>
        </row>
        <row r="7438">
          <cell r="A7438">
            <v>8070209</v>
          </cell>
        </row>
        <row r="7439">
          <cell r="A7439">
            <v>8070210</v>
          </cell>
        </row>
        <row r="7440">
          <cell r="A7440">
            <v>8070211</v>
          </cell>
        </row>
        <row r="7441">
          <cell r="A7441">
            <v>8070212</v>
          </cell>
        </row>
        <row r="7442">
          <cell r="A7442">
            <v>8070213</v>
          </cell>
        </row>
        <row r="7443">
          <cell r="A7443">
            <v>8070214</v>
          </cell>
        </row>
        <row r="7444">
          <cell r="A7444">
            <v>8070215</v>
          </cell>
        </row>
        <row r="7445">
          <cell r="A7445">
            <v>8070216</v>
          </cell>
        </row>
        <row r="7446">
          <cell r="A7446">
            <v>8070217</v>
          </cell>
        </row>
        <row r="7447">
          <cell r="A7447">
            <v>8070218</v>
          </cell>
        </row>
        <row r="7448">
          <cell r="A7448">
            <v>8070219</v>
          </cell>
        </row>
        <row r="7449">
          <cell r="A7449">
            <v>8070220</v>
          </cell>
        </row>
        <row r="7450">
          <cell r="A7450">
            <v>8070221</v>
          </cell>
        </row>
        <row r="7451">
          <cell r="A7451">
            <v>8070222</v>
          </cell>
        </row>
        <row r="7452">
          <cell r="A7452">
            <v>8070223</v>
          </cell>
        </row>
        <row r="7453">
          <cell r="A7453">
            <v>8070224</v>
          </cell>
        </row>
        <row r="7454">
          <cell r="A7454">
            <v>8070225</v>
          </cell>
        </row>
        <row r="7455">
          <cell r="A7455">
            <v>8070226</v>
          </cell>
        </row>
        <row r="7456">
          <cell r="A7456">
            <v>8070227</v>
          </cell>
        </row>
        <row r="7457">
          <cell r="A7457">
            <v>8070228</v>
          </cell>
        </row>
        <row r="7458">
          <cell r="A7458">
            <v>8070229</v>
          </cell>
        </row>
        <row r="7459">
          <cell r="A7459">
            <v>8070230</v>
          </cell>
        </row>
        <row r="7460">
          <cell r="A7460">
            <v>8070231</v>
          </cell>
        </row>
        <row r="7461">
          <cell r="A7461">
            <v>8070232</v>
          </cell>
        </row>
        <row r="7462">
          <cell r="A7462">
            <v>8070233</v>
          </cell>
        </row>
        <row r="7463">
          <cell r="A7463">
            <v>8070234</v>
          </cell>
        </row>
        <row r="7464">
          <cell r="A7464">
            <v>8070235</v>
          </cell>
        </row>
        <row r="7465">
          <cell r="A7465">
            <v>8070236</v>
          </cell>
        </row>
        <row r="7466">
          <cell r="A7466">
            <v>8070237</v>
          </cell>
        </row>
        <row r="7467">
          <cell r="A7467">
            <v>8070238</v>
          </cell>
        </row>
        <row r="7468">
          <cell r="A7468">
            <v>8070239</v>
          </cell>
        </row>
        <row r="7469">
          <cell r="A7469">
            <v>8070240</v>
          </cell>
        </row>
        <row r="7470">
          <cell r="A7470">
            <v>8070241</v>
          </cell>
        </row>
        <row r="7471">
          <cell r="A7471">
            <v>8070242</v>
          </cell>
        </row>
        <row r="7472">
          <cell r="A7472">
            <v>8070243</v>
          </cell>
        </row>
        <row r="7473">
          <cell r="A7473">
            <v>8070244</v>
          </cell>
        </row>
        <row r="7474">
          <cell r="A7474">
            <v>8070245</v>
          </cell>
        </row>
        <row r="7475">
          <cell r="A7475">
            <v>8070246</v>
          </cell>
        </row>
        <row r="7476">
          <cell r="A7476">
            <v>8070247</v>
          </cell>
        </row>
        <row r="7477">
          <cell r="A7477">
            <v>8070248</v>
          </cell>
        </row>
        <row r="7478">
          <cell r="A7478">
            <v>8070249</v>
          </cell>
        </row>
        <row r="7479">
          <cell r="A7479">
            <v>8070250</v>
          </cell>
        </row>
        <row r="7480">
          <cell r="A7480">
            <v>8070251</v>
          </cell>
        </row>
        <row r="7481">
          <cell r="A7481">
            <v>8070252</v>
          </cell>
        </row>
        <row r="7482">
          <cell r="A7482">
            <v>8070253</v>
          </cell>
        </row>
        <row r="7483">
          <cell r="A7483">
            <v>8070254</v>
          </cell>
        </row>
        <row r="7484">
          <cell r="A7484">
            <v>8070255</v>
          </cell>
        </row>
        <row r="7485">
          <cell r="A7485">
            <v>8070256</v>
          </cell>
        </row>
        <row r="7486">
          <cell r="A7486">
            <v>8070257</v>
          </cell>
        </row>
        <row r="7487">
          <cell r="A7487">
            <v>8070259</v>
          </cell>
        </row>
        <row r="7488">
          <cell r="A7488">
            <v>8070260</v>
          </cell>
        </row>
        <row r="7489">
          <cell r="A7489">
            <v>8070301</v>
          </cell>
        </row>
        <row r="7490">
          <cell r="A7490">
            <v>8070302</v>
          </cell>
        </row>
        <row r="7491">
          <cell r="A7491">
            <v>8070303</v>
          </cell>
        </row>
        <row r="7492">
          <cell r="A7492">
            <v>8070304</v>
          </cell>
        </row>
        <row r="7493">
          <cell r="A7493">
            <v>8070305</v>
          </cell>
        </row>
        <row r="7494">
          <cell r="A7494">
            <v>8070306</v>
          </cell>
        </row>
        <row r="7495">
          <cell r="A7495">
            <v>8070307</v>
          </cell>
        </row>
        <row r="7496">
          <cell r="A7496">
            <v>8070308</v>
          </cell>
        </row>
        <row r="7497">
          <cell r="A7497">
            <v>8070309</v>
          </cell>
        </row>
        <row r="7498">
          <cell r="A7498">
            <v>8070310</v>
          </cell>
        </row>
        <row r="7499">
          <cell r="A7499">
            <v>8070311</v>
          </cell>
        </row>
        <row r="7500">
          <cell r="A7500">
            <v>8070312</v>
          </cell>
        </row>
        <row r="7501">
          <cell r="A7501">
            <v>8070313</v>
          </cell>
        </row>
        <row r="7502">
          <cell r="A7502">
            <v>8070314</v>
          </cell>
        </row>
        <row r="7503">
          <cell r="A7503">
            <v>8070315</v>
          </cell>
        </row>
        <row r="7504">
          <cell r="A7504">
            <v>8070316</v>
          </cell>
        </row>
        <row r="7505">
          <cell r="A7505">
            <v>8070317</v>
          </cell>
        </row>
        <row r="7506">
          <cell r="A7506">
            <v>8070318</v>
          </cell>
        </row>
        <row r="7507">
          <cell r="A7507">
            <v>8070319</v>
          </cell>
        </row>
        <row r="7508">
          <cell r="A7508">
            <v>8070320</v>
          </cell>
        </row>
        <row r="7509">
          <cell r="A7509">
            <v>8070321</v>
          </cell>
        </row>
        <row r="7510">
          <cell r="A7510">
            <v>8070322</v>
          </cell>
        </row>
        <row r="7511">
          <cell r="A7511">
            <v>8070323</v>
          </cell>
        </row>
        <row r="7512">
          <cell r="A7512">
            <v>8070324</v>
          </cell>
        </row>
        <row r="7513">
          <cell r="A7513">
            <v>8070325</v>
          </cell>
        </row>
        <row r="7514">
          <cell r="A7514">
            <v>8070326</v>
          </cell>
        </row>
        <row r="7515">
          <cell r="A7515">
            <v>8070327</v>
          </cell>
        </row>
        <row r="7516">
          <cell r="A7516">
            <v>8070328</v>
          </cell>
        </row>
        <row r="7517">
          <cell r="A7517">
            <v>8070329</v>
          </cell>
        </row>
        <row r="7518">
          <cell r="A7518">
            <v>8070342</v>
          </cell>
        </row>
        <row r="7519">
          <cell r="A7519">
            <v>8070343</v>
          </cell>
        </row>
        <row r="7520">
          <cell r="A7520">
            <v>8070344</v>
          </cell>
        </row>
        <row r="7521">
          <cell r="A7521">
            <v>8070345</v>
          </cell>
        </row>
        <row r="7522">
          <cell r="A7522">
            <v>8070346</v>
          </cell>
        </row>
        <row r="7523">
          <cell r="A7523">
            <v>8070348</v>
          </cell>
        </row>
        <row r="7524">
          <cell r="A7524">
            <v>8070349</v>
          </cell>
        </row>
        <row r="7525">
          <cell r="A7525">
            <v>8070350</v>
          </cell>
        </row>
        <row r="7526">
          <cell r="A7526">
            <v>8070351</v>
          </cell>
        </row>
        <row r="7527">
          <cell r="A7527">
            <v>8070352</v>
          </cell>
        </row>
        <row r="7528">
          <cell r="A7528">
            <v>8070353</v>
          </cell>
        </row>
        <row r="7529">
          <cell r="A7529">
            <v>8070354</v>
          </cell>
        </row>
        <row r="7530">
          <cell r="A7530">
            <v>8070355</v>
          </cell>
        </row>
        <row r="7531">
          <cell r="A7531">
            <v>8070356</v>
          </cell>
        </row>
        <row r="7532">
          <cell r="A7532">
            <v>8070357</v>
          </cell>
        </row>
        <row r="7533">
          <cell r="A7533">
            <v>8070401</v>
          </cell>
        </row>
        <row r="7534">
          <cell r="A7534">
            <v>8070402</v>
          </cell>
        </row>
        <row r="7535">
          <cell r="A7535">
            <v>8070403</v>
          </cell>
        </row>
        <row r="7536">
          <cell r="A7536">
            <v>8070404</v>
          </cell>
        </row>
        <row r="7537">
          <cell r="A7537">
            <v>8070405</v>
          </cell>
        </row>
        <row r="7538">
          <cell r="A7538">
            <v>8070406</v>
          </cell>
        </row>
        <row r="7539">
          <cell r="A7539">
            <v>8070407</v>
          </cell>
        </row>
        <row r="7540">
          <cell r="A7540">
            <v>8070408</v>
          </cell>
        </row>
        <row r="7541">
          <cell r="A7541">
            <v>8070409</v>
          </cell>
        </row>
        <row r="7542">
          <cell r="A7542">
            <v>8070410</v>
          </cell>
        </row>
        <row r="7543">
          <cell r="A7543">
            <v>8070411</v>
          </cell>
        </row>
        <row r="7544">
          <cell r="A7544">
            <v>8070412</v>
          </cell>
        </row>
        <row r="7545">
          <cell r="A7545">
            <v>8070413</v>
          </cell>
        </row>
        <row r="7546">
          <cell r="A7546">
            <v>8070414</v>
          </cell>
        </row>
        <row r="7547">
          <cell r="A7547">
            <v>8070415</v>
          </cell>
        </row>
        <row r="7548">
          <cell r="A7548">
            <v>8070416</v>
          </cell>
        </row>
        <row r="7549">
          <cell r="A7549">
            <v>8070417</v>
          </cell>
        </row>
        <row r="7550">
          <cell r="A7550">
            <v>8070418</v>
          </cell>
        </row>
        <row r="7551">
          <cell r="A7551">
            <v>8070419</v>
          </cell>
        </row>
        <row r="7552">
          <cell r="A7552">
            <v>8070420</v>
          </cell>
        </row>
        <row r="7553">
          <cell r="A7553">
            <v>8070421</v>
          </cell>
        </row>
        <row r="7554">
          <cell r="A7554">
            <v>8070422</v>
          </cell>
        </row>
        <row r="7555">
          <cell r="A7555">
            <v>8070426</v>
          </cell>
        </row>
        <row r="7556">
          <cell r="A7556">
            <v>8070427</v>
          </cell>
        </row>
        <row r="7557">
          <cell r="A7557">
            <v>8070428</v>
          </cell>
        </row>
        <row r="7558">
          <cell r="A7558">
            <v>8070429</v>
          </cell>
        </row>
        <row r="7559">
          <cell r="A7559">
            <v>8070430</v>
          </cell>
        </row>
        <row r="7560">
          <cell r="A7560">
            <v>8070431</v>
          </cell>
        </row>
        <row r="7561">
          <cell r="A7561">
            <v>8070432</v>
          </cell>
        </row>
        <row r="7562">
          <cell r="A7562">
            <v>8070433</v>
          </cell>
        </row>
        <row r="7563">
          <cell r="A7563">
            <v>8070434</v>
          </cell>
        </row>
        <row r="7564">
          <cell r="A7564">
            <v>8070435</v>
          </cell>
        </row>
        <row r="7565">
          <cell r="A7565">
            <v>8070436</v>
          </cell>
        </row>
        <row r="7566">
          <cell r="A7566">
            <v>8070437</v>
          </cell>
        </row>
        <row r="7567">
          <cell r="A7567">
            <v>8070438</v>
          </cell>
        </row>
        <row r="7568">
          <cell r="A7568">
            <v>8070439</v>
          </cell>
        </row>
        <row r="7569">
          <cell r="A7569">
            <v>8070440</v>
          </cell>
        </row>
        <row r="7570">
          <cell r="A7570">
            <v>8070441</v>
          </cell>
        </row>
        <row r="7571">
          <cell r="A7571">
            <v>8070448</v>
          </cell>
        </row>
        <row r="7572">
          <cell r="A7572">
            <v>8070449</v>
          </cell>
        </row>
        <row r="7573">
          <cell r="A7573">
            <v>8070450</v>
          </cell>
        </row>
        <row r="7574">
          <cell r="A7574">
            <v>8070451</v>
          </cell>
        </row>
        <row r="7575">
          <cell r="A7575">
            <v>8070452</v>
          </cell>
        </row>
        <row r="7576">
          <cell r="A7576">
            <v>8070453</v>
          </cell>
        </row>
        <row r="7577">
          <cell r="A7577">
            <v>8070454</v>
          </cell>
        </row>
        <row r="7578">
          <cell r="A7578">
            <v>8070455</v>
          </cell>
        </row>
        <row r="7579">
          <cell r="A7579">
            <v>8070456</v>
          </cell>
        </row>
        <row r="7580">
          <cell r="A7580">
            <v>8070457</v>
          </cell>
        </row>
        <row r="7581">
          <cell r="A7581">
            <v>8070458</v>
          </cell>
        </row>
        <row r="7582">
          <cell r="A7582">
            <v>8070459</v>
          </cell>
        </row>
        <row r="7583">
          <cell r="A7583">
            <v>8070460</v>
          </cell>
        </row>
        <row r="7584">
          <cell r="A7584">
            <v>8070461</v>
          </cell>
        </row>
        <row r="7585">
          <cell r="A7585">
            <v>8070462</v>
          </cell>
        </row>
        <row r="7586">
          <cell r="A7586">
            <v>8070463</v>
          </cell>
        </row>
        <row r="7587">
          <cell r="A7587">
            <v>8070464</v>
          </cell>
        </row>
        <row r="7588">
          <cell r="A7588">
            <v>8070465</v>
          </cell>
        </row>
        <row r="7589">
          <cell r="A7589">
            <v>8070468</v>
          </cell>
        </row>
        <row r="7590">
          <cell r="A7590">
            <v>8070469</v>
          </cell>
        </row>
        <row r="7591">
          <cell r="A7591">
            <v>8070470</v>
          </cell>
        </row>
        <row r="7592">
          <cell r="A7592">
            <v>8070471</v>
          </cell>
        </row>
        <row r="7593">
          <cell r="A7593">
            <v>8070472</v>
          </cell>
        </row>
        <row r="7594">
          <cell r="A7594">
            <v>8070501</v>
          </cell>
        </row>
        <row r="7595">
          <cell r="A7595">
            <v>8070502</v>
          </cell>
        </row>
        <row r="7596">
          <cell r="A7596">
            <v>8070503</v>
          </cell>
        </row>
        <row r="7597">
          <cell r="A7597">
            <v>8070504</v>
          </cell>
        </row>
        <row r="7598">
          <cell r="A7598">
            <v>8070505</v>
          </cell>
        </row>
        <row r="7599">
          <cell r="A7599">
            <v>8070506</v>
          </cell>
        </row>
        <row r="7600">
          <cell r="A7600">
            <v>8070507</v>
          </cell>
        </row>
        <row r="7601">
          <cell r="A7601">
            <v>8070508</v>
          </cell>
        </row>
        <row r="7602">
          <cell r="A7602">
            <v>8070509</v>
          </cell>
        </row>
        <row r="7603">
          <cell r="A7603">
            <v>8070510</v>
          </cell>
        </row>
        <row r="7604">
          <cell r="A7604">
            <v>8070511</v>
          </cell>
        </row>
        <row r="7605">
          <cell r="A7605">
            <v>8070512</v>
          </cell>
        </row>
        <row r="7606">
          <cell r="A7606">
            <v>8070513</v>
          </cell>
        </row>
        <row r="7607">
          <cell r="A7607">
            <v>8070514</v>
          </cell>
        </row>
        <row r="7608">
          <cell r="A7608">
            <v>8070515</v>
          </cell>
        </row>
        <row r="7609">
          <cell r="A7609">
            <v>8070522</v>
          </cell>
        </row>
        <row r="7610">
          <cell r="A7610">
            <v>8070523</v>
          </cell>
        </row>
        <row r="7611">
          <cell r="A7611">
            <v>8070524</v>
          </cell>
        </row>
        <row r="7612">
          <cell r="A7612">
            <v>8070525</v>
          </cell>
        </row>
        <row r="7613">
          <cell r="A7613">
            <v>8070526</v>
          </cell>
        </row>
        <row r="7614">
          <cell r="A7614">
            <v>8070527</v>
          </cell>
        </row>
        <row r="7615">
          <cell r="A7615">
            <v>8070528</v>
          </cell>
        </row>
        <row r="7616">
          <cell r="A7616">
            <v>8070529</v>
          </cell>
        </row>
        <row r="7617">
          <cell r="A7617">
            <v>8070530</v>
          </cell>
        </row>
        <row r="7618">
          <cell r="A7618">
            <v>8070531</v>
          </cell>
        </row>
        <row r="7619">
          <cell r="A7619">
            <v>8070532</v>
          </cell>
        </row>
        <row r="7620">
          <cell r="A7620">
            <v>8070533</v>
          </cell>
        </row>
        <row r="7621">
          <cell r="A7621">
            <v>8070534</v>
          </cell>
        </row>
        <row r="7622">
          <cell r="A7622">
            <v>8070535</v>
          </cell>
        </row>
        <row r="7623">
          <cell r="A7623">
            <v>8070536</v>
          </cell>
        </row>
        <row r="7624">
          <cell r="A7624">
            <v>8070541</v>
          </cell>
        </row>
        <row r="7625">
          <cell r="A7625">
            <v>8070542</v>
          </cell>
        </row>
        <row r="7626">
          <cell r="A7626">
            <v>8070543</v>
          </cell>
        </row>
        <row r="7627">
          <cell r="A7627">
            <v>8070544</v>
          </cell>
        </row>
        <row r="7628">
          <cell r="A7628">
            <v>8070545</v>
          </cell>
        </row>
        <row r="7629">
          <cell r="A7629">
            <v>8070601</v>
          </cell>
        </row>
        <row r="7630">
          <cell r="A7630">
            <v>8070602</v>
          </cell>
        </row>
        <row r="7631">
          <cell r="A7631">
            <v>8070603</v>
          </cell>
        </row>
        <row r="7632">
          <cell r="A7632">
            <v>8070604</v>
          </cell>
        </row>
        <row r="7633">
          <cell r="A7633">
            <v>8070605</v>
          </cell>
        </row>
        <row r="7634">
          <cell r="A7634">
            <v>8070606</v>
          </cell>
        </row>
        <row r="7635">
          <cell r="A7635">
            <v>8070607</v>
          </cell>
        </row>
        <row r="7636">
          <cell r="A7636">
            <v>8070608</v>
          </cell>
        </row>
        <row r="7637">
          <cell r="A7637">
            <v>8070609</v>
          </cell>
        </row>
        <row r="7638">
          <cell r="A7638">
            <v>8070610</v>
          </cell>
        </row>
        <row r="7639">
          <cell r="A7639">
            <v>8070611</v>
          </cell>
        </row>
        <row r="7640">
          <cell r="A7640">
            <v>8070612</v>
          </cell>
        </row>
        <row r="7641">
          <cell r="A7641">
            <v>8070701</v>
          </cell>
        </row>
        <row r="7642">
          <cell r="A7642">
            <v>8070702</v>
          </cell>
        </row>
        <row r="7643">
          <cell r="A7643">
            <v>8070703</v>
          </cell>
        </row>
        <row r="7644">
          <cell r="A7644">
            <v>8070704</v>
          </cell>
        </row>
        <row r="7645">
          <cell r="A7645">
            <v>8070705</v>
          </cell>
        </row>
        <row r="7646">
          <cell r="A7646">
            <v>8070706</v>
          </cell>
        </row>
        <row r="7647">
          <cell r="A7647">
            <v>8070707</v>
          </cell>
        </row>
        <row r="7648">
          <cell r="A7648">
            <v>8070708</v>
          </cell>
        </row>
        <row r="7649">
          <cell r="A7649">
            <v>8070709</v>
          </cell>
        </row>
        <row r="7650">
          <cell r="A7650">
            <v>8070710</v>
          </cell>
        </row>
        <row r="7651">
          <cell r="A7651">
            <v>8070711</v>
          </cell>
        </row>
        <row r="7652">
          <cell r="A7652">
            <v>8070712</v>
          </cell>
        </row>
        <row r="7653">
          <cell r="A7653">
            <v>8070713</v>
          </cell>
        </row>
        <row r="7654">
          <cell r="A7654">
            <v>8070714</v>
          </cell>
        </row>
        <row r="7655">
          <cell r="A7655">
            <v>8070715</v>
          </cell>
        </row>
        <row r="7656">
          <cell r="A7656">
            <v>8070716</v>
          </cell>
        </row>
        <row r="7657">
          <cell r="A7657">
            <v>8070717</v>
          </cell>
        </row>
        <row r="7658">
          <cell r="A7658">
            <v>8070718</v>
          </cell>
        </row>
        <row r="7659">
          <cell r="A7659">
            <v>8070719</v>
          </cell>
        </row>
        <row r="7660">
          <cell r="A7660">
            <v>8070720</v>
          </cell>
        </row>
        <row r="7661">
          <cell r="A7661">
            <v>8070721</v>
          </cell>
        </row>
        <row r="7662">
          <cell r="A7662">
            <v>8070722</v>
          </cell>
        </row>
        <row r="7663">
          <cell r="A7663">
            <v>8070723</v>
          </cell>
        </row>
        <row r="7664">
          <cell r="A7664">
            <v>8070724</v>
          </cell>
        </row>
        <row r="7665">
          <cell r="A7665">
            <v>8070725</v>
          </cell>
        </row>
        <row r="7666">
          <cell r="A7666">
            <v>8070726</v>
          </cell>
        </row>
        <row r="7667">
          <cell r="A7667">
            <v>8070727</v>
          </cell>
        </row>
        <row r="7668">
          <cell r="A7668">
            <v>8070728</v>
          </cell>
        </row>
        <row r="7669">
          <cell r="A7669">
            <v>8070735</v>
          </cell>
        </row>
        <row r="7670">
          <cell r="A7670">
            <v>8070736</v>
          </cell>
        </row>
        <row r="7671">
          <cell r="A7671">
            <v>8070737</v>
          </cell>
        </row>
        <row r="7672">
          <cell r="A7672">
            <v>8070738</v>
          </cell>
        </row>
        <row r="7673">
          <cell r="A7673">
            <v>8070739</v>
          </cell>
        </row>
        <row r="7674">
          <cell r="A7674">
            <v>8070740</v>
          </cell>
        </row>
        <row r="7675">
          <cell r="A7675">
            <v>8070741</v>
          </cell>
        </row>
        <row r="7676">
          <cell r="A7676">
            <v>8070742</v>
          </cell>
        </row>
        <row r="7677">
          <cell r="A7677">
            <v>8070743</v>
          </cell>
        </row>
        <row r="7678">
          <cell r="A7678">
            <v>8070744</v>
          </cell>
        </row>
        <row r="7679">
          <cell r="A7679">
            <v>8070745</v>
          </cell>
        </row>
        <row r="7680">
          <cell r="A7680">
            <v>8070746</v>
          </cell>
        </row>
        <row r="7681">
          <cell r="A7681">
            <v>8070747</v>
          </cell>
        </row>
        <row r="7682">
          <cell r="A7682">
            <v>8070748</v>
          </cell>
        </row>
        <row r="7683">
          <cell r="A7683">
            <v>8070749</v>
          </cell>
        </row>
        <row r="7684">
          <cell r="A7684">
            <v>8070801</v>
          </cell>
        </row>
        <row r="7685">
          <cell r="A7685">
            <v>8070802</v>
          </cell>
        </row>
        <row r="7686">
          <cell r="A7686">
            <v>8070803</v>
          </cell>
        </row>
        <row r="7687">
          <cell r="A7687">
            <v>8070804</v>
          </cell>
        </row>
        <row r="7688">
          <cell r="A7688">
            <v>8070805</v>
          </cell>
        </row>
        <row r="7689">
          <cell r="A7689">
            <v>8070806</v>
          </cell>
        </row>
        <row r="7690">
          <cell r="A7690">
            <v>8070807</v>
          </cell>
        </row>
        <row r="7691">
          <cell r="A7691">
            <v>8070808</v>
          </cell>
        </row>
        <row r="7692">
          <cell r="A7692">
            <v>8070809</v>
          </cell>
        </row>
        <row r="7693">
          <cell r="A7693">
            <v>8070810</v>
          </cell>
        </row>
        <row r="7694">
          <cell r="A7694">
            <v>8070811</v>
          </cell>
        </row>
        <row r="7695">
          <cell r="A7695">
            <v>8070812</v>
          </cell>
        </row>
        <row r="7696">
          <cell r="A7696">
            <v>8070813</v>
          </cell>
        </row>
        <row r="7697">
          <cell r="A7697">
            <v>8070814</v>
          </cell>
        </row>
        <row r="7698">
          <cell r="A7698">
            <v>8070815</v>
          </cell>
        </row>
        <row r="7699">
          <cell r="A7699">
            <v>8070816</v>
          </cell>
        </row>
        <row r="7700">
          <cell r="A7700">
            <v>8070817</v>
          </cell>
        </row>
        <row r="7701">
          <cell r="A7701">
            <v>8070818</v>
          </cell>
        </row>
        <row r="7702">
          <cell r="A7702">
            <v>8070819</v>
          </cell>
        </row>
        <row r="7703">
          <cell r="A7703">
            <v>8070820</v>
          </cell>
        </row>
        <row r="7704">
          <cell r="A7704">
            <v>8070821</v>
          </cell>
        </row>
        <row r="7705">
          <cell r="A7705">
            <v>8070822</v>
          </cell>
        </row>
        <row r="7706">
          <cell r="A7706">
            <v>8070823</v>
          </cell>
        </row>
        <row r="7707">
          <cell r="A7707">
            <v>8070824</v>
          </cell>
        </row>
        <row r="7708">
          <cell r="A7708">
            <v>8070825</v>
          </cell>
        </row>
        <row r="7709">
          <cell r="A7709">
            <v>8070826</v>
          </cell>
        </row>
        <row r="7710">
          <cell r="A7710">
            <v>8070827</v>
          </cell>
        </row>
        <row r="7711">
          <cell r="A7711">
            <v>8070828</v>
          </cell>
        </row>
        <row r="7712">
          <cell r="A7712">
            <v>8070837</v>
          </cell>
        </row>
        <row r="7713">
          <cell r="A7713">
            <v>8070838</v>
          </cell>
        </row>
        <row r="7714">
          <cell r="A7714">
            <v>8070839</v>
          </cell>
        </row>
        <row r="7715">
          <cell r="A7715">
            <v>8070840</v>
          </cell>
        </row>
        <row r="7716">
          <cell r="A7716">
            <v>8070841</v>
          </cell>
        </row>
        <row r="7717">
          <cell r="A7717">
            <v>8070842</v>
          </cell>
        </row>
        <row r="7718">
          <cell r="A7718">
            <v>8070843</v>
          </cell>
        </row>
        <row r="7719">
          <cell r="A7719">
            <v>8070844</v>
          </cell>
        </row>
        <row r="7720">
          <cell r="A7720">
            <v>8070845</v>
          </cell>
        </row>
        <row r="7721">
          <cell r="A7721">
            <v>8070846</v>
          </cell>
        </row>
        <row r="7722">
          <cell r="A7722">
            <v>8070848</v>
          </cell>
        </row>
        <row r="7723">
          <cell r="A7723">
            <v>8070849</v>
          </cell>
        </row>
        <row r="7724">
          <cell r="A7724">
            <v>8070850</v>
          </cell>
        </row>
        <row r="7725">
          <cell r="A7725">
            <v>8070851</v>
          </cell>
        </row>
        <row r="7726">
          <cell r="A7726">
            <v>8070852</v>
          </cell>
        </row>
        <row r="7727">
          <cell r="A7727">
            <v>8070853</v>
          </cell>
        </row>
        <row r="7728">
          <cell r="A7728">
            <v>8070854</v>
          </cell>
        </row>
        <row r="7729">
          <cell r="A7729">
            <v>8070855</v>
          </cell>
        </row>
        <row r="7730">
          <cell r="A7730">
            <v>8070856</v>
          </cell>
        </row>
        <row r="7731">
          <cell r="A7731">
            <v>8070857</v>
          </cell>
        </row>
        <row r="7732">
          <cell r="A7732">
            <v>8070858</v>
          </cell>
        </row>
        <row r="7733">
          <cell r="A7733">
            <v>8070859</v>
          </cell>
        </row>
        <row r="7734">
          <cell r="A7734">
            <v>8070860</v>
          </cell>
        </row>
        <row r="7735">
          <cell r="A7735">
            <v>8070861</v>
          </cell>
        </row>
        <row r="7736">
          <cell r="A7736">
            <v>8070901</v>
          </cell>
        </row>
        <row r="7737">
          <cell r="A7737">
            <v>8070902</v>
          </cell>
        </row>
        <row r="7738">
          <cell r="A7738">
            <v>8070903</v>
          </cell>
        </row>
        <row r="7739">
          <cell r="A7739">
            <v>8070904</v>
          </cell>
        </row>
        <row r="7740">
          <cell r="A7740">
            <v>8070905</v>
          </cell>
        </row>
        <row r="7741">
          <cell r="A7741">
            <v>8070906</v>
          </cell>
        </row>
        <row r="7742">
          <cell r="A7742">
            <v>8070907</v>
          </cell>
        </row>
        <row r="7743">
          <cell r="A7743">
            <v>8070908</v>
          </cell>
        </row>
        <row r="7744">
          <cell r="A7744">
            <v>8070909</v>
          </cell>
        </row>
        <row r="7745">
          <cell r="A7745">
            <v>8070910</v>
          </cell>
        </row>
        <row r="7746">
          <cell r="A7746">
            <v>8070911</v>
          </cell>
        </row>
        <row r="7747">
          <cell r="A7747">
            <v>8070912</v>
          </cell>
        </row>
        <row r="7748">
          <cell r="A7748">
            <v>8070913</v>
          </cell>
        </row>
        <row r="7749">
          <cell r="A7749">
            <v>8070914</v>
          </cell>
        </row>
        <row r="7750">
          <cell r="A7750">
            <v>8070915</v>
          </cell>
        </row>
        <row r="7751">
          <cell r="A7751">
            <v>8070916</v>
          </cell>
        </row>
        <row r="7752">
          <cell r="A7752">
            <v>8070917</v>
          </cell>
        </row>
        <row r="7753">
          <cell r="A7753">
            <v>8070918</v>
          </cell>
        </row>
        <row r="7754">
          <cell r="A7754">
            <v>8070919</v>
          </cell>
        </row>
        <row r="7755">
          <cell r="A7755">
            <v>8070920</v>
          </cell>
        </row>
        <row r="7756">
          <cell r="A7756">
            <v>8070921</v>
          </cell>
        </row>
        <row r="7757">
          <cell r="A7757">
            <v>8070922</v>
          </cell>
        </row>
        <row r="7758">
          <cell r="A7758">
            <v>8070923</v>
          </cell>
        </row>
        <row r="7759">
          <cell r="A7759">
            <v>8070924</v>
          </cell>
        </row>
        <row r="7760">
          <cell r="A7760">
            <v>8070925</v>
          </cell>
        </row>
        <row r="7761">
          <cell r="A7761">
            <v>8070926</v>
          </cell>
        </row>
        <row r="7762">
          <cell r="A7762">
            <v>8070927</v>
          </cell>
        </row>
        <row r="7763">
          <cell r="A7763">
            <v>8070928</v>
          </cell>
        </row>
        <row r="7764">
          <cell r="A7764">
            <v>8070929</v>
          </cell>
        </row>
        <row r="7765">
          <cell r="A7765">
            <v>8070930</v>
          </cell>
        </row>
        <row r="7766">
          <cell r="A7766">
            <v>8070931</v>
          </cell>
        </row>
        <row r="7767">
          <cell r="A7767">
            <v>8070932</v>
          </cell>
        </row>
        <row r="7768">
          <cell r="A7768">
            <v>8070938</v>
          </cell>
        </row>
        <row r="7769">
          <cell r="A7769">
            <v>8070939</v>
          </cell>
        </row>
        <row r="7770">
          <cell r="A7770">
            <v>8070940</v>
          </cell>
        </row>
        <row r="7771">
          <cell r="A7771">
            <v>8070941</v>
          </cell>
        </row>
        <row r="7772">
          <cell r="A7772">
            <v>8070942</v>
          </cell>
        </row>
        <row r="7773">
          <cell r="A7773">
            <v>8070943</v>
          </cell>
        </row>
        <row r="7774">
          <cell r="A7774">
            <v>8070944</v>
          </cell>
        </row>
        <row r="7775">
          <cell r="A7775">
            <v>8070945</v>
          </cell>
        </row>
        <row r="7776">
          <cell r="A7776">
            <v>8070946</v>
          </cell>
        </row>
        <row r="7777">
          <cell r="A7777">
            <v>8070947</v>
          </cell>
        </row>
        <row r="7778">
          <cell r="A7778">
            <v>8070948</v>
          </cell>
        </row>
        <row r="7779">
          <cell r="A7779">
            <v>8070949</v>
          </cell>
        </row>
        <row r="7780">
          <cell r="A7780">
            <v>8070950</v>
          </cell>
        </row>
        <row r="7781">
          <cell r="A7781">
            <v>8070951</v>
          </cell>
        </row>
        <row r="7782">
          <cell r="A7782">
            <v>8070952</v>
          </cell>
        </row>
        <row r="7783">
          <cell r="A7783">
            <v>8070953</v>
          </cell>
        </row>
        <row r="7784">
          <cell r="A7784">
            <v>8070954</v>
          </cell>
        </row>
        <row r="7785">
          <cell r="A7785">
            <v>8070955</v>
          </cell>
        </row>
        <row r="7786">
          <cell r="A7786">
            <v>8070956</v>
          </cell>
        </row>
        <row r="7787">
          <cell r="A7787">
            <v>8070957</v>
          </cell>
        </row>
        <row r="7788">
          <cell r="A7788">
            <v>8070958</v>
          </cell>
        </row>
        <row r="7789">
          <cell r="A7789">
            <v>8070959</v>
          </cell>
        </row>
        <row r="7790">
          <cell r="A7790">
            <v>8070960</v>
          </cell>
        </row>
        <row r="7791">
          <cell r="A7791">
            <v>8070961</v>
          </cell>
        </row>
        <row r="7792">
          <cell r="A7792">
            <v>8071001</v>
          </cell>
        </row>
        <row r="7793">
          <cell r="A7793">
            <v>8071002</v>
          </cell>
        </row>
        <row r="7794">
          <cell r="A7794">
            <v>8071003</v>
          </cell>
        </row>
        <row r="7795">
          <cell r="A7795">
            <v>8071004</v>
          </cell>
        </row>
        <row r="7796">
          <cell r="A7796">
            <v>8071005</v>
          </cell>
        </row>
        <row r="7797">
          <cell r="A7797">
            <v>8071006</v>
          </cell>
        </row>
        <row r="7798">
          <cell r="A7798">
            <v>8071007</v>
          </cell>
        </row>
        <row r="7799">
          <cell r="A7799">
            <v>8071008</v>
          </cell>
        </row>
        <row r="7800">
          <cell r="A7800">
            <v>8071009</v>
          </cell>
        </row>
        <row r="7801">
          <cell r="A7801">
            <v>8071010</v>
          </cell>
        </row>
        <row r="7802">
          <cell r="A7802">
            <v>8071011</v>
          </cell>
        </row>
        <row r="7803">
          <cell r="A7803">
            <v>8071012</v>
          </cell>
        </row>
        <row r="7804">
          <cell r="A7804">
            <v>8071013</v>
          </cell>
        </row>
        <row r="7805">
          <cell r="A7805">
            <v>8071014</v>
          </cell>
        </row>
        <row r="7806">
          <cell r="A7806">
            <v>8071015</v>
          </cell>
        </row>
        <row r="7807">
          <cell r="A7807">
            <v>8071016</v>
          </cell>
        </row>
        <row r="7808">
          <cell r="A7808">
            <v>8071017</v>
          </cell>
        </row>
        <row r="7809">
          <cell r="A7809">
            <v>8071018</v>
          </cell>
        </row>
        <row r="7810">
          <cell r="A7810">
            <v>8071019</v>
          </cell>
        </row>
        <row r="7811">
          <cell r="A7811">
            <v>8071020</v>
          </cell>
        </row>
        <row r="7812">
          <cell r="A7812">
            <v>8071021</v>
          </cell>
        </row>
        <row r="7813">
          <cell r="A7813">
            <v>8071022</v>
          </cell>
        </row>
        <row r="7814">
          <cell r="A7814">
            <v>8071023</v>
          </cell>
        </row>
        <row r="7815">
          <cell r="A7815">
            <v>8071024</v>
          </cell>
        </row>
        <row r="7816">
          <cell r="A7816">
            <v>8071025</v>
          </cell>
        </row>
        <row r="7817">
          <cell r="A7817">
            <v>8071026</v>
          </cell>
        </row>
        <row r="7818">
          <cell r="A7818">
            <v>8071027</v>
          </cell>
        </row>
        <row r="7819">
          <cell r="A7819">
            <v>8071028</v>
          </cell>
        </row>
        <row r="7820">
          <cell r="A7820">
            <v>8071029</v>
          </cell>
        </row>
        <row r="7821">
          <cell r="A7821">
            <v>8071030</v>
          </cell>
        </row>
        <row r="7822">
          <cell r="A7822">
            <v>8071031</v>
          </cell>
        </row>
        <row r="7823">
          <cell r="A7823">
            <v>8071032</v>
          </cell>
        </row>
        <row r="7824">
          <cell r="A7824">
            <v>8071033</v>
          </cell>
        </row>
        <row r="7825">
          <cell r="A7825">
            <v>8071039</v>
          </cell>
        </row>
        <row r="7826">
          <cell r="A7826">
            <v>8071040</v>
          </cell>
        </row>
        <row r="7827">
          <cell r="A7827">
            <v>8071041</v>
          </cell>
        </row>
        <row r="7828">
          <cell r="A7828">
            <v>8071042</v>
          </cell>
        </row>
        <row r="7829">
          <cell r="A7829">
            <v>8071043</v>
          </cell>
        </row>
        <row r="7830">
          <cell r="A7830">
            <v>8071044</v>
          </cell>
        </row>
        <row r="7831">
          <cell r="A7831">
            <v>8071045</v>
          </cell>
        </row>
        <row r="7832">
          <cell r="A7832">
            <v>8071046</v>
          </cell>
        </row>
        <row r="7833">
          <cell r="A7833">
            <v>8071047</v>
          </cell>
        </row>
        <row r="7834">
          <cell r="A7834">
            <v>8071048</v>
          </cell>
        </row>
        <row r="7835">
          <cell r="A7835">
            <v>8071049</v>
          </cell>
        </row>
        <row r="7836">
          <cell r="A7836">
            <v>8071050</v>
          </cell>
        </row>
        <row r="7837">
          <cell r="A7837">
            <v>8071051</v>
          </cell>
        </row>
        <row r="7838">
          <cell r="A7838">
            <v>8071053</v>
          </cell>
        </row>
        <row r="7839">
          <cell r="A7839">
            <v>8071054</v>
          </cell>
        </row>
        <row r="7840">
          <cell r="A7840">
            <v>8071055</v>
          </cell>
        </row>
        <row r="7841">
          <cell r="A7841">
            <v>8071056</v>
          </cell>
        </row>
        <row r="7842">
          <cell r="A7842">
            <v>8071057</v>
          </cell>
        </row>
        <row r="7843">
          <cell r="A7843">
            <v>8071058</v>
          </cell>
        </row>
        <row r="7844">
          <cell r="A7844">
            <v>8071059</v>
          </cell>
        </row>
        <row r="7845">
          <cell r="A7845">
            <v>8071060</v>
          </cell>
        </row>
        <row r="7846">
          <cell r="A7846">
            <v>8071101</v>
          </cell>
        </row>
        <row r="7847">
          <cell r="A7847">
            <v>8071102</v>
          </cell>
        </row>
        <row r="7848">
          <cell r="A7848">
            <v>8071103</v>
          </cell>
        </row>
        <row r="7849">
          <cell r="A7849">
            <v>8071104</v>
          </cell>
        </row>
        <row r="7850">
          <cell r="A7850">
            <v>8071105</v>
          </cell>
        </row>
        <row r="7851">
          <cell r="A7851">
            <v>8071106</v>
          </cell>
        </row>
        <row r="7852">
          <cell r="A7852">
            <v>8071107</v>
          </cell>
        </row>
        <row r="7853">
          <cell r="A7853">
            <v>8071108</v>
          </cell>
        </row>
        <row r="7854">
          <cell r="A7854">
            <v>8071109</v>
          </cell>
        </row>
        <row r="7855">
          <cell r="A7855">
            <v>8071110</v>
          </cell>
        </row>
        <row r="7856">
          <cell r="A7856">
            <v>8071111</v>
          </cell>
        </row>
        <row r="7857">
          <cell r="A7857">
            <v>8071112</v>
          </cell>
        </row>
        <row r="7858">
          <cell r="A7858">
            <v>8071113</v>
          </cell>
        </row>
        <row r="7859">
          <cell r="A7859">
            <v>8071114</v>
          </cell>
        </row>
        <row r="7860">
          <cell r="A7860">
            <v>8071115</v>
          </cell>
        </row>
        <row r="7861">
          <cell r="A7861">
            <v>8071116</v>
          </cell>
        </row>
        <row r="7862">
          <cell r="A7862">
            <v>8071117</v>
          </cell>
        </row>
        <row r="7863">
          <cell r="A7863">
            <v>8071118</v>
          </cell>
        </row>
        <row r="7864">
          <cell r="A7864">
            <v>8071119</v>
          </cell>
        </row>
        <row r="7865">
          <cell r="A7865">
            <v>8071120</v>
          </cell>
        </row>
        <row r="7866">
          <cell r="A7866">
            <v>8071121</v>
          </cell>
        </row>
        <row r="7867">
          <cell r="A7867">
            <v>8071122</v>
          </cell>
        </row>
        <row r="7868">
          <cell r="A7868">
            <v>8071123</v>
          </cell>
        </row>
        <row r="7869">
          <cell r="A7869">
            <v>8071124</v>
          </cell>
        </row>
        <row r="7870">
          <cell r="A7870">
            <v>8071125</v>
          </cell>
        </row>
        <row r="7871">
          <cell r="A7871">
            <v>8071126</v>
          </cell>
        </row>
        <row r="7872">
          <cell r="A7872">
            <v>8071137</v>
          </cell>
        </row>
        <row r="7873">
          <cell r="A7873">
            <v>8071138</v>
          </cell>
        </row>
        <row r="7874">
          <cell r="A7874">
            <v>8071139</v>
          </cell>
        </row>
        <row r="7875">
          <cell r="A7875">
            <v>8071140</v>
          </cell>
        </row>
        <row r="7876">
          <cell r="A7876">
            <v>8071141</v>
          </cell>
        </row>
        <row r="7877">
          <cell r="A7877">
            <v>8071142</v>
          </cell>
        </row>
        <row r="7878">
          <cell r="A7878">
            <v>8071143</v>
          </cell>
        </row>
        <row r="7879">
          <cell r="A7879">
            <v>8071144</v>
          </cell>
        </row>
        <row r="7880">
          <cell r="A7880">
            <v>8071145</v>
          </cell>
        </row>
        <row r="7881">
          <cell r="A7881">
            <v>8071146</v>
          </cell>
        </row>
        <row r="7882">
          <cell r="A7882">
            <v>8071147</v>
          </cell>
        </row>
        <row r="7883">
          <cell r="A7883">
            <v>8071148</v>
          </cell>
        </row>
        <row r="7884">
          <cell r="A7884">
            <v>8071149</v>
          </cell>
        </row>
        <row r="7885">
          <cell r="A7885">
            <v>8071150</v>
          </cell>
        </row>
        <row r="7886">
          <cell r="A7886">
            <v>8071151</v>
          </cell>
        </row>
        <row r="7887">
          <cell r="A7887">
            <v>8071152</v>
          </cell>
        </row>
        <row r="7888">
          <cell r="A7888">
            <v>8071153</v>
          </cell>
        </row>
        <row r="7889">
          <cell r="A7889">
            <v>8071154</v>
          </cell>
        </row>
        <row r="7890">
          <cell r="A7890">
            <v>8071155</v>
          </cell>
        </row>
        <row r="7891">
          <cell r="A7891">
            <v>8071157</v>
          </cell>
        </row>
        <row r="7892">
          <cell r="A7892">
            <v>8071201</v>
          </cell>
        </row>
        <row r="7893">
          <cell r="A7893">
            <v>8071202</v>
          </cell>
        </row>
        <row r="7894">
          <cell r="A7894">
            <v>8071203</v>
          </cell>
        </row>
        <row r="7895">
          <cell r="A7895">
            <v>8071204</v>
          </cell>
        </row>
        <row r="7896">
          <cell r="A7896">
            <v>8071205</v>
          </cell>
        </row>
        <row r="7897">
          <cell r="A7897">
            <v>8071206</v>
          </cell>
        </row>
        <row r="7898">
          <cell r="A7898">
            <v>8071207</v>
          </cell>
        </row>
        <row r="7899">
          <cell r="A7899">
            <v>8071208</v>
          </cell>
        </row>
        <row r="7900">
          <cell r="A7900">
            <v>8071209</v>
          </cell>
        </row>
        <row r="7901">
          <cell r="A7901">
            <v>8071210</v>
          </cell>
        </row>
        <row r="7902">
          <cell r="A7902">
            <v>8071211</v>
          </cell>
        </row>
        <row r="7903">
          <cell r="A7903">
            <v>8071212</v>
          </cell>
        </row>
        <row r="7904">
          <cell r="A7904">
            <v>8071213</v>
          </cell>
        </row>
        <row r="7905">
          <cell r="A7905">
            <v>8071214</v>
          </cell>
        </row>
        <row r="7906">
          <cell r="A7906">
            <v>8071215</v>
          </cell>
        </row>
        <row r="7907">
          <cell r="A7907">
            <v>8071216</v>
          </cell>
        </row>
        <row r="7908">
          <cell r="A7908">
            <v>8071217</v>
          </cell>
        </row>
        <row r="7909">
          <cell r="A7909">
            <v>8071218</v>
          </cell>
        </row>
        <row r="7910">
          <cell r="A7910">
            <v>8071219</v>
          </cell>
        </row>
        <row r="7911">
          <cell r="A7911">
            <v>8071220</v>
          </cell>
        </row>
        <row r="7912">
          <cell r="A7912">
            <v>8071221</v>
          </cell>
        </row>
        <row r="7913">
          <cell r="A7913">
            <v>8071222</v>
          </cell>
        </row>
        <row r="7914">
          <cell r="A7914">
            <v>8071223</v>
          </cell>
        </row>
        <row r="7915">
          <cell r="A7915">
            <v>8071224</v>
          </cell>
        </row>
        <row r="7916">
          <cell r="A7916">
            <v>8071225</v>
          </cell>
        </row>
        <row r="7917">
          <cell r="A7917">
            <v>8071226</v>
          </cell>
        </row>
        <row r="7918">
          <cell r="A7918">
            <v>8071227</v>
          </cell>
        </row>
        <row r="7919">
          <cell r="A7919">
            <v>8071228</v>
          </cell>
        </row>
        <row r="7920">
          <cell r="A7920">
            <v>8071301</v>
          </cell>
        </row>
        <row r="7921">
          <cell r="A7921">
            <v>8071302</v>
          </cell>
        </row>
        <row r="7922">
          <cell r="A7922">
            <v>8071303</v>
          </cell>
        </row>
        <row r="7923">
          <cell r="A7923">
            <v>8071304</v>
          </cell>
        </row>
        <row r="7924">
          <cell r="A7924">
            <v>8071305</v>
          </cell>
        </row>
        <row r="7925">
          <cell r="A7925">
            <v>8071306</v>
          </cell>
        </row>
        <row r="7926">
          <cell r="A7926">
            <v>8071307</v>
          </cell>
        </row>
        <row r="7927">
          <cell r="A7927">
            <v>8071308</v>
          </cell>
        </row>
        <row r="7928">
          <cell r="A7928">
            <v>8071401</v>
          </cell>
        </row>
        <row r="7929">
          <cell r="A7929">
            <v>8071402</v>
          </cell>
        </row>
        <row r="7930">
          <cell r="A7930">
            <v>8071403</v>
          </cell>
        </row>
        <row r="7931">
          <cell r="A7931">
            <v>8071404</v>
          </cell>
        </row>
        <row r="7932">
          <cell r="A7932">
            <v>8071405</v>
          </cell>
        </row>
        <row r="7933">
          <cell r="A7933">
            <v>8071406</v>
          </cell>
        </row>
        <row r="7934">
          <cell r="A7934">
            <v>8071407</v>
          </cell>
        </row>
        <row r="7935">
          <cell r="A7935">
            <v>8071408</v>
          </cell>
        </row>
        <row r="7936">
          <cell r="A7936">
            <v>8071409</v>
          </cell>
        </row>
        <row r="7937">
          <cell r="A7937">
            <v>8071410</v>
          </cell>
        </row>
        <row r="7938">
          <cell r="A7938">
            <v>8071411</v>
          </cell>
        </row>
        <row r="7939">
          <cell r="A7939">
            <v>8071412</v>
          </cell>
        </row>
        <row r="7940">
          <cell r="A7940">
            <v>8071413</v>
          </cell>
        </row>
        <row r="7941">
          <cell r="A7941">
            <v>8071414</v>
          </cell>
        </row>
        <row r="7942">
          <cell r="A7942">
            <v>8071415</v>
          </cell>
        </row>
        <row r="7943">
          <cell r="A7943">
            <v>8071416</v>
          </cell>
        </row>
        <row r="7944">
          <cell r="A7944">
            <v>8071417</v>
          </cell>
        </row>
        <row r="7945">
          <cell r="A7945">
            <v>8071418</v>
          </cell>
        </row>
        <row r="7946">
          <cell r="A7946">
            <v>8071419</v>
          </cell>
        </row>
        <row r="7947">
          <cell r="A7947">
            <v>8071420</v>
          </cell>
        </row>
        <row r="7948">
          <cell r="A7948">
            <v>8071421</v>
          </cell>
        </row>
        <row r="7949">
          <cell r="A7949">
            <v>8071422</v>
          </cell>
        </row>
        <row r="7950">
          <cell r="A7950">
            <v>8071423</v>
          </cell>
        </row>
        <row r="7951">
          <cell r="A7951">
            <v>8071424</v>
          </cell>
        </row>
        <row r="7952">
          <cell r="A7952">
            <v>8071425</v>
          </cell>
        </row>
        <row r="7953">
          <cell r="A7953">
            <v>8071426</v>
          </cell>
        </row>
        <row r="7954">
          <cell r="A7954">
            <v>8071427</v>
          </cell>
        </row>
        <row r="7955">
          <cell r="A7955">
            <v>8071428</v>
          </cell>
        </row>
        <row r="7956">
          <cell r="A7956">
            <v>8071429</v>
          </cell>
        </row>
        <row r="7957">
          <cell r="A7957">
            <v>8071430</v>
          </cell>
        </row>
        <row r="7958">
          <cell r="A7958">
            <v>8071431</v>
          </cell>
        </row>
        <row r="7959">
          <cell r="A7959">
            <v>8071432</v>
          </cell>
        </row>
        <row r="7960">
          <cell r="A7960">
            <v>8071433</v>
          </cell>
        </row>
        <row r="7961">
          <cell r="A7961">
            <v>8071434</v>
          </cell>
        </row>
        <row r="7962">
          <cell r="A7962">
            <v>8071435</v>
          </cell>
        </row>
        <row r="7963">
          <cell r="A7963">
            <v>8071436</v>
          </cell>
        </row>
        <row r="7964">
          <cell r="A7964">
            <v>8071437</v>
          </cell>
        </row>
        <row r="7965">
          <cell r="A7965">
            <v>8071438</v>
          </cell>
        </row>
        <row r="7966">
          <cell r="A7966">
            <v>8071501</v>
          </cell>
        </row>
        <row r="7967">
          <cell r="A7967">
            <v>8071502</v>
          </cell>
        </row>
        <row r="7968">
          <cell r="A7968">
            <v>8071503</v>
          </cell>
        </row>
        <row r="7969">
          <cell r="A7969">
            <v>8071504</v>
          </cell>
        </row>
        <row r="7970">
          <cell r="A7970">
            <v>8071505</v>
          </cell>
        </row>
        <row r="7971">
          <cell r="A7971">
            <v>8071506</v>
          </cell>
        </row>
        <row r="7972">
          <cell r="A7972">
            <v>8071507</v>
          </cell>
        </row>
        <row r="7973">
          <cell r="A7973">
            <v>8071508</v>
          </cell>
        </row>
        <row r="7974">
          <cell r="A7974">
            <v>8071509</v>
          </cell>
        </row>
        <row r="7975">
          <cell r="A7975">
            <v>8071510</v>
          </cell>
        </row>
        <row r="7976">
          <cell r="A7976">
            <v>8071511</v>
          </cell>
        </row>
        <row r="7977">
          <cell r="A7977">
            <v>8071512</v>
          </cell>
        </row>
        <row r="7978">
          <cell r="A7978">
            <v>8071513</v>
          </cell>
        </row>
        <row r="7979">
          <cell r="A7979">
            <v>8071514</v>
          </cell>
        </row>
        <row r="7980">
          <cell r="A7980">
            <v>8071515</v>
          </cell>
        </row>
        <row r="7981">
          <cell r="A7981">
            <v>8071516</v>
          </cell>
        </row>
        <row r="7982">
          <cell r="A7982">
            <v>8071517</v>
          </cell>
        </row>
        <row r="7983">
          <cell r="A7983">
            <v>8071524</v>
          </cell>
        </row>
        <row r="7984">
          <cell r="A7984">
            <v>8071525</v>
          </cell>
        </row>
        <row r="7985">
          <cell r="A7985">
            <v>8071526</v>
          </cell>
        </row>
        <row r="7986">
          <cell r="A7986">
            <v>8071527</v>
          </cell>
        </row>
        <row r="7987">
          <cell r="A7987">
            <v>8071528</v>
          </cell>
        </row>
        <row r="7988">
          <cell r="A7988">
            <v>8071529</v>
          </cell>
        </row>
        <row r="7989">
          <cell r="A7989">
            <v>8071530</v>
          </cell>
        </row>
        <row r="7990">
          <cell r="A7990">
            <v>8071531</v>
          </cell>
        </row>
        <row r="7991">
          <cell r="A7991">
            <v>8071532</v>
          </cell>
        </row>
        <row r="7992">
          <cell r="A7992">
            <v>8071533</v>
          </cell>
        </row>
        <row r="7993">
          <cell r="A7993">
            <v>8071534</v>
          </cell>
        </row>
        <row r="7994">
          <cell r="A7994">
            <v>8071535</v>
          </cell>
        </row>
        <row r="7995">
          <cell r="A7995">
            <v>8071536</v>
          </cell>
        </row>
        <row r="7996">
          <cell r="A7996">
            <v>8071541</v>
          </cell>
        </row>
        <row r="7997">
          <cell r="A7997">
            <v>8071542</v>
          </cell>
        </row>
        <row r="7998">
          <cell r="A7998">
            <v>8071543</v>
          </cell>
        </row>
        <row r="7999">
          <cell r="A7999">
            <v>8071544</v>
          </cell>
        </row>
        <row r="8000">
          <cell r="A8000">
            <v>8071545</v>
          </cell>
        </row>
        <row r="8001">
          <cell r="A8001">
            <v>8071546</v>
          </cell>
        </row>
        <row r="8002">
          <cell r="A8002">
            <v>8071547</v>
          </cell>
        </row>
        <row r="8003">
          <cell r="A8003">
            <v>8071548</v>
          </cell>
        </row>
        <row r="8004">
          <cell r="A8004">
            <v>8071549</v>
          </cell>
        </row>
        <row r="8005">
          <cell r="A8005">
            <v>8071554</v>
          </cell>
        </row>
        <row r="8006">
          <cell r="A8006">
            <v>8071555</v>
          </cell>
        </row>
        <row r="8007">
          <cell r="A8007">
            <v>8071601</v>
          </cell>
        </row>
        <row r="8008">
          <cell r="A8008">
            <v>8071602</v>
          </cell>
        </row>
        <row r="8009">
          <cell r="A8009">
            <v>8071603</v>
          </cell>
        </row>
        <row r="8010">
          <cell r="A8010">
            <v>8071604</v>
          </cell>
        </row>
        <row r="8011">
          <cell r="A8011">
            <v>8071605</v>
          </cell>
        </row>
        <row r="8012">
          <cell r="A8012">
            <v>8071606</v>
          </cell>
        </row>
        <row r="8013">
          <cell r="A8013">
            <v>8071607</v>
          </cell>
        </row>
        <row r="8014">
          <cell r="A8014">
            <v>8071608</v>
          </cell>
        </row>
        <row r="8015">
          <cell r="A8015">
            <v>8071609</v>
          </cell>
        </row>
        <row r="8016">
          <cell r="A8016">
            <v>8071610</v>
          </cell>
        </row>
        <row r="8017">
          <cell r="A8017">
            <v>8071611</v>
          </cell>
        </row>
        <row r="8018">
          <cell r="A8018">
            <v>8071612</v>
          </cell>
        </row>
        <row r="8019">
          <cell r="A8019">
            <v>8071614</v>
          </cell>
        </row>
        <row r="8020">
          <cell r="A8020">
            <v>8071615</v>
          </cell>
        </row>
        <row r="8021">
          <cell r="A8021">
            <v>8071616</v>
          </cell>
        </row>
        <row r="8022">
          <cell r="A8022">
            <v>8071617</v>
          </cell>
        </row>
        <row r="8023">
          <cell r="A8023">
            <v>8071618</v>
          </cell>
        </row>
        <row r="8024">
          <cell r="A8024">
            <v>8071623</v>
          </cell>
        </row>
        <row r="8025">
          <cell r="A8025">
            <v>8071624</v>
          </cell>
        </row>
        <row r="8026">
          <cell r="A8026">
            <v>8071625</v>
          </cell>
        </row>
        <row r="8027">
          <cell r="A8027">
            <v>8071626</v>
          </cell>
        </row>
        <row r="8028">
          <cell r="A8028">
            <v>8071627</v>
          </cell>
        </row>
        <row r="8029">
          <cell r="A8029">
            <v>8071628</v>
          </cell>
        </row>
        <row r="8030">
          <cell r="A8030">
            <v>8071629</v>
          </cell>
        </row>
        <row r="8031">
          <cell r="A8031">
            <v>8071630</v>
          </cell>
        </row>
        <row r="8032">
          <cell r="A8032">
            <v>8071631</v>
          </cell>
        </row>
        <row r="8033">
          <cell r="A8033">
            <v>8071632</v>
          </cell>
        </row>
        <row r="8034">
          <cell r="A8034">
            <v>8071633</v>
          </cell>
        </row>
        <row r="8035">
          <cell r="A8035">
            <v>8071634</v>
          </cell>
        </row>
        <row r="8036">
          <cell r="A8036">
            <v>8071635</v>
          </cell>
        </row>
        <row r="8037">
          <cell r="A8037">
            <v>8071636</v>
          </cell>
        </row>
        <row r="8038">
          <cell r="A8038">
            <v>8071638</v>
          </cell>
        </row>
        <row r="8039">
          <cell r="A8039">
            <v>8071639</v>
          </cell>
        </row>
        <row r="8040">
          <cell r="A8040">
            <v>8071640</v>
          </cell>
        </row>
        <row r="8041">
          <cell r="A8041">
            <v>8071641</v>
          </cell>
        </row>
        <row r="8042">
          <cell r="A8042">
            <v>8071642</v>
          </cell>
        </row>
        <row r="8043">
          <cell r="A8043">
            <v>8071643</v>
          </cell>
        </row>
        <row r="8044">
          <cell r="A8044">
            <v>8071644</v>
          </cell>
        </row>
        <row r="8045">
          <cell r="A8045">
            <v>8071645</v>
          </cell>
        </row>
        <row r="8046">
          <cell r="A8046">
            <v>8071646</v>
          </cell>
        </row>
        <row r="8047">
          <cell r="A8047">
            <v>8071647</v>
          </cell>
        </row>
        <row r="8048">
          <cell r="A8048">
            <v>8071648</v>
          </cell>
        </row>
        <row r="8049">
          <cell r="A8049">
            <v>8071649</v>
          </cell>
        </row>
        <row r="8050">
          <cell r="A8050">
            <v>8071650</v>
          </cell>
        </row>
        <row r="8051">
          <cell r="A8051">
            <v>8071651</v>
          </cell>
        </row>
        <row r="8052">
          <cell r="A8052">
            <v>8071652</v>
          </cell>
        </row>
        <row r="8053">
          <cell r="A8053">
            <v>8071653</v>
          </cell>
        </row>
        <row r="8054">
          <cell r="A8054">
            <v>8071702</v>
          </cell>
        </row>
        <row r="8055">
          <cell r="A8055">
            <v>8071703</v>
          </cell>
        </row>
        <row r="8056">
          <cell r="A8056">
            <v>8071704</v>
          </cell>
        </row>
        <row r="8057">
          <cell r="A8057">
            <v>8071705</v>
          </cell>
        </row>
        <row r="8058">
          <cell r="A8058">
            <v>8071706</v>
          </cell>
        </row>
        <row r="8059">
          <cell r="A8059">
            <v>8071707</v>
          </cell>
        </row>
        <row r="8060">
          <cell r="A8060">
            <v>8071708</v>
          </cell>
        </row>
        <row r="8061">
          <cell r="A8061">
            <v>8071709</v>
          </cell>
        </row>
        <row r="8062">
          <cell r="A8062">
            <v>8071710</v>
          </cell>
        </row>
        <row r="8063">
          <cell r="A8063">
            <v>8071711</v>
          </cell>
        </row>
        <row r="8064">
          <cell r="A8064">
            <v>8071712</v>
          </cell>
        </row>
        <row r="8065">
          <cell r="A8065">
            <v>8071713</v>
          </cell>
        </row>
        <row r="8066">
          <cell r="A8066">
            <v>8071714</v>
          </cell>
        </row>
        <row r="8067">
          <cell r="A8067">
            <v>8071715</v>
          </cell>
        </row>
        <row r="8068">
          <cell r="A8068">
            <v>8071716</v>
          </cell>
        </row>
        <row r="8069">
          <cell r="A8069">
            <v>8071717</v>
          </cell>
        </row>
        <row r="8070">
          <cell r="A8070">
            <v>8071718</v>
          </cell>
        </row>
        <row r="8071">
          <cell r="A8071">
            <v>8071719</v>
          </cell>
        </row>
        <row r="8072">
          <cell r="A8072">
            <v>8071720</v>
          </cell>
        </row>
        <row r="8073">
          <cell r="A8073">
            <v>8071721</v>
          </cell>
        </row>
        <row r="8074">
          <cell r="A8074">
            <v>8071722</v>
          </cell>
        </row>
        <row r="8075">
          <cell r="A8075">
            <v>8071723</v>
          </cell>
        </row>
        <row r="8076">
          <cell r="A8076">
            <v>8071724</v>
          </cell>
        </row>
        <row r="8077">
          <cell r="A8077">
            <v>8071725</v>
          </cell>
        </row>
        <row r="8078">
          <cell r="A8078">
            <v>8071726</v>
          </cell>
        </row>
        <row r="8079">
          <cell r="A8079">
            <v>8071727</v>
          </cell>
        </row>
        <row r="8080">
          <cell r="A8080">
            <v>8071728</v>
          </cell>
        </row>
        <row r="8081">
          <cell r="A8081">
            <v>8071729</v>
          </cell>
        </row>
        <row r="8082">
          <cell r="A8082">
            <v>8071730</v>
          </cell>
        </row>
        <row r="8083">
          <cell r="A8083">
            <v>8071731</v>
          </cell>
        </row>
        <row r="8084">
          <cell r="A8084">
            <v>8071732</v>
          </cell>
        </row>
        <row r="8085">
          <cell r="A8085">
            <v>8071801</v>
          </cell>
        </row>
        <row r="8086">
          <cell r="A8086">
            <v>8071802</v>
          </cell>
        </row>
        <row r="8087">
          <cell r="A8087">
            <v>8071803</v>
          </cell>
        </row>
        <row r="8088">
          <cell r="A8088">
            <v>8071804</v>
          </cell>
        </row>
        <row r="8089">
          <cell r="A8089">
            <v>8071805</v>
          </cell>
        </row>
        <row r="8090">
          <cell r="A8090">
            <v>8071806</v>
          </cell>
        </row>
        <row r="8091">
          <cell r="A8091">
            <v>8071901</v>
          </cell>
        </row>
        <row r="8092">
          <cell r="A8092">
            <v>8071902</v>
          </cell>
        </row>
        <row r="8093">
          <cell r="A8093">
            <v>8071903</v>
          </cell>
        </row>
        <row r="8094">
          <cell r="A8094">
            <v>8071904</v>
          </cell>
        </row>
        <row r="8095">
          <cell r="A8095">
            <v>8071905</v>
          </cell>
        </row>
        <row r="8096">
          <cell r="A8096">
            <v>8071906</v>
          </cell>
        </row>
        <row r="8097">
          <cell r="A8097">
            <v>8071907</v>
          </cell>
        </row>
        <row r="8098">
          <cell r="A8098">
            <v>8071908</v>
          </cell>
        </row>
        <row r="8099">
          <cell r="A8099">
            <v>8071909</v>
          </cell>
        </row>
        <row r="8100">
          <cell r="A8100">
            <v>8071910</v>
          </cell>
        </row>
        <row r="8101">
          <cell r="A8101">
            <v>8071911</v>
          </cell>
        </row>
        <row r="8102">
          <cell r="A8102">
            <v>8071916</v>
          </cell>
        </row>
        <row r="8103">
          <cell r="A8103">
            <v>8071917</v>
          </cell>
        </row>
        <row r="8104">
          <cell r="A8104">
            <v>8071918</v>
          </cell>
        </row>
        <row r="8105">
          <cell r="A8105">
            <v>8071919</v>
          </cell>
        </row>
        <row r="8106">
          <cell r="A8106">
            <v>8071920</v>
          </cell>
        </row>
        <row r="8107">
          <cell r="A8107">
            <v>8071921</v>
          </cell>
        </row>
        <row r="8108">
          <cell r="A8108">
            <v>8071922</v>
          </cell>
        </row>
        <row r="8109">
          <cell r="A8109">
            <v>8071923</v>
          </cell>
        </row>
        <row r="8110">
          <cell r="A8110">
            <v>8071924</v>
          </cell>
        </row>
        <row r="8111">
          <cell r="A8111">
            <v>8071925</v>
          </cell>
        </row>
        <row r="8112">
          <cell r="A8112">
            <v>8071926</v>
          </cell>
        </row>
        <row r="8113">
          <cell r="A8113">
            <v>8071927</v>
          </cell>
        </row>
        <row r="8114">
          <cell r="A8114">
            <v>8071928</v>
          </cell>
        </row>
        <row r="8115">
          <cell r="A8115">
            <v>8072101</v>
          </cell>
        </row>
        <row r="8116">
          <cell r="A8116">
            <v>8072102</v>
          </cell>
        </row>
        <row r="8117">
          <cell r="A8117">
            <v>8072103</v>
          </cell>
        </row>
        <row r="8118">
          <cell r="A8118">
            <v>8072104</v>
          </cell>
        </row>
        <row r="8119">
          <cell r="A8119">
            <v>8072105</v>
          </cell>
        </row>
        <row r="8120">
          <cell r="A8120">
            <v>8072106</v>
          </cell>
        </row>
        <row r="8121">
          <cell r="A8121">
            <v>8072107</v>
          </cell>
        </row>
        <row r="8122">
          <cell r="A8122">
            <v>8072108</v>
          </cell>
        </row>
        <row r="8123">
          <cell r="A8123">
            <v>8072109</v>
          </cell>
        </row>
        <row r="8124">
          <cell r="A8124">
            <v>8072110</v>
          </cell>
        </row>
        <row r="8125">
          <cell r="A8125">
            <v>8072111</v>
          </cell>
        </row>
        <row r="8126">
          <cell r="A8126">
            <v>8072112</v>
          </cell>
        </row>
        <row r="8127">
          <cell r="A8127">
            <v>8072113</v>
          </cell>
        </row>
        <row r="8128">
          <cell r="A8128">
            <v>8072114</v>
          </cell>
        </row>
        <row r="8129">
          <cell r="A8129">
            <v>8072115</v>
          </cell>
        </row>
        <row r="8130">
          <cell r="A8130">
            <v>8072116</v>
          </cell>
        </row>
        <row r="8131">
          <cell r="A8131">
            <v>8072117</v>
          </cell>
        </row>
        <row r="8132">
          <cell r="A8132">
            <v>8072118</v>
          </cell>
        </row>
        <row r="8133">
          <cell r="A8133">
            <v>8072119</v>
          </cell>
        </row>
        <row r="8134">
          <cell r="A8134">
            <v>8072120</v>
          </cell>
        </row>
        <row r="8135">
          <cell r="A8135">
            <v>8072121</v>
          </cell>
        </row>
        <row r="8136">
          <cell r="A8136">
            <v>8072122</v>
          </cell>
        </row>
        <row r="8137">
          <cell r="A8137">
            <v>8072123</v>
          </cell>
        </row>
        <row r="8138">
          <cell r="A8138">
            <v>8072124</v>
          </cell>
        </row>
        <row r="8139">
          <cell r="A8139">
            <v>8072125</v>
          </cell>
        </row>
        <row r="8140">
          <cell r="A8140">
            <v>8072126</v>
          </cell>
        </row>
        <row r="8141">
          <cell r="A8141">
            <v>8072127</v>
          </cell>
        </row>
        <row r="8142">
          <cell r="A8142">
            <v>8072128</v>
          </cell>
        </row>
        <row r="8143">
          <cell r="A8143">
            <v>8072129</v>
          </cell>
        </row>
        <row r="8144">
          <cell r="A8144">
            <v>8072130</v>
          </cell>
        </row>
        <row r="8145">
          <cell r="A8145">
            <v>8072131</v>
          </cell>
        </row>
        <row r="8146">
          <cell r="A8146">
            <v>8072132</v>
          </cell>
        </row>
        <row r="8147">
          <cell r="A8147">
            <v>8072133</v>
          </cell>
        </row>
        <row r="8148">
          <cell r="A8148">
            <v>8072134</v>
          </cell>
        </row>
        <row r="8149">
          <cell r="A8149">
            <v>8072201</v>
          </cell>
        </row>
        <row r="8150">
          <cell r="A8150">
            <v>8072202</v>
          </cell>
        </row>
        <row r="8151">
          <cell r="A8151">
            <v>8072203</v>
          </cell>
        </row>
        <row r="8152">
          <cell r="A8152">
            <v>8072204</v>
          </cell>
        </row>
        <row r="8153">
          <cell r="A8153">
            <v>8072205</v>
          </cell>
        </row>
        <row r="8154">
          <cell r="A8154">
            <v>8072206</v>
          </cell>
        </row>
        <row r="8155">
          <cell r="A8155">
            <v>8072207</v>
          </cell>
        </row>
        <row r="8156">
          <cell r="A8156">
            <v>8072208</v>
          </cell>
        </row>
        <row r="8157">
          <cell r="A8157">
            <v>8072209</v>
          </cell>
        </row>
        <row r="8158">
          <cell r="A8158">
            <v>8072210</v>
          </cell>
        </row>
        <row r="8159">
          <cell r="A8159">
            <v>8072211</v>
          </cell>
        </row>
        <row r="8160">
          <cell r="A8160">
            <v>8072212</v>
          </cell>
        </row>
        <row r="8161">
          <cell r="A8161">
            <v>8072213</v>
          </cell>
        </row>
        <row r="8162">
          <cell r="A8162">
            <v>8072214</v>
          </cell>
        </row>
        <row r="8163">
          <cell r="A8163">
            <v>8072215</v>
          </cell>
        </row>
        <row r="8164">
          <cell r="A8164">
            <v>8072216</v>
          </cell>
        </row>
        <row r="8165">
          <cell r="A8165">
            <v>8072217</v>
          </cell>
        </row>
        <row r="8166">
          <cell r="A8166">
            <v>8072218</v>
          </cell>
        </row>
        <row r="8167">
          <cell r="A8167">
            <v>8072219</v>
          </cell>
        </row>
        <row r="8168">
          <cell r="A8168">
            <v>8072220</v>
          </cell>
        </row>
        <row r="8169">
          <cell r="A8169">
            <v>8072221</v>
          </cell>
        </row>
        <row r="8170">
          <cell r="A8170">
            <v>8072222</v>
          </cell>
        </row>
        <row r="8171">
          <cell r="A8171">
            <v>8072223</v>
          </cell>
        </row>
        <row r="8172">
          <cell r="A8172">
            <v>8072224</v>
          </cell>
        </row>
        <row r="8173">
          <cell r="A8173">
            <v>8072225</v>
          </cell>
        </row>
        <row r="8174">
          <cell r="A8174">
            <v>8072226</v>
          </cell>
        </row>
        <row r="8175">
          <cell r="A8175">
            <v>8072227</v>
          </cell>
        </row>
        <row r="8176">
          <cell r="A8176">
            <v>8072228</v>
          </cell>
        </row>
        <row r="8177">
          <cell r="A8177">
            <v>8072229</v>
          </cell>
        </row>
        <row r="8178">
          <cell r="A8178">
            <v>8072230</v>
          </cell>
        </row>
        <row r="8179">
          <cell r="A8179">
            <v>8072231</v>
          </cell>
        </row>
        <row r="8180">
          <cell r="A8180">
            <v>8072232</v>
          </cell>
        </row>
        <row r="8181">
          <cell r="A8181">
            <v>8072233</v>
          </cell>
        </row>
        <row r="8182">
          <cell r="A8182">
            <v>8072234</v>
          </cell>
        </row>
        <row r="8183">
          <cell r="A8183">
            <v>8072235</v>
          </cell>
        </row>
        <row r="8184">
          <cell r="A8184">
            <v>8072236</v>
          </cell>
        </row>
        <row r="8185">
          <cell r="A8185">
            <v>8072237</v>
          </cell>
        </row>
        <row r="8186">
          <cell r="A8186">
            <v>8072238</v>
          </cell>
        </row>
        <row r="8187">
          <cell r="A8187">
            <v>8072239</v>
          </cell>
        </row>
        <row r="8188">
          <cell r="A8188">
            <v>8072240</v>
          </cell>
        </row>
        <row r="8189">
          <cell r="A8189">
            <v>8072241</v>
          </cell>
        </row>
        <row r="8190">
          <cell r="A8190">
            <v>8072242</v>
          </cell>
        </row>
        <row r="8191">
          <cell r="A8191">
            <v>8072243</v>
          </cell>
        </row>
        <row r="8192">
          <cell r="A8192">
            <v>8072244</v>
          </cell>
        </row>
        <row r="8193">
          <cell r="A8193">
            <v>8072245</v>
          </cell>
        </row>
        <row r="8194">
          <cell r="A8194">
            <v>8072246</v>
          </cell>
        </row>
        <row r="8195">
          <cell r="A8195">
            <v>8072247</v>
          </cell>
        </row>
        <row r="8196">
          <cell r="A8196">
            <v>8072256</v>
          </cell>
        </row>
        <row r="8197">
          <cell r="A8197">
            <v>8072257</v>
          </cell>
        </row>
        <row r="8198">
          <cell r="A8198">
            <v>8072258</v>
          </cell>
        </row>
        <row r="8199">
          <cell r="A8199">
            <v>8072259</v>
          </cell>
        </row>
        <row r="8200">
          <cell r="A8200">
            <v>8072265</v>
          </cell>
        </row>
        <row r="8201">
          <cell r="A8201">
            <v>8072266</v>
          </cell>
        </row>
        <row r="8202">
          <cell r="A8202">
            <v>8072267</v>
          </cell>
        </row>
        <row r="8203">
          <cell r="A8203">
            <v>8072268</v>
          </cell>
        </row>
        <row r="8204">
          <cell r="A8204">
            <v>8072269</v>
          </cell>
        </row>
        <row r="8205">
          <cell r="A8205">
            <v>8072270</v>
          </cell>
        </row>
        <row r="8206">
          <cell r="A8206">
            <v>8072271</v>
          </cell>
        </row>
        <row r="8207">
          <cell r="A8207">
            <v>8072272</v>
          </cell>
        </row>
        <row r="8208">
          <cell r="A8208">
            <v>8072273</v>
          </cell>
        </row>
        <row r="8209">
          <cell r="A8209">
            <v>8072274</v>
          </cell>
        </row>
        <row r="8210">
          <cell r="A8210">
            <v>8072275</v>
          </cell>
        </row>
        <row r="8211">
          <cell r="A8211">
            <v>8072276</v>
          </cell>
        </row>
        <row r="8212">
          <cell r="A8212">
            <v>8072277</v>
          </cell>
        </row>
        <row r="8213">
          <cell r="A8213">
            <v>8072278</v>
          </cell>
        </row>
        <row r="8214">
          <cell r="A8214">
            <v>8072279</v>
          </cell>
        </row>
        <row r="8215">
          <cell r="A8215">
            <v>8072280</v>
          </cell>
        </row>
        <row r="8216">
          <cell r="A8216">
            <v>8072281</v>
          </cell>
        </row>
        <row r="8217">
          <cell r="A8217">
            <v>8072282</v>
          </cell>
        </row>
        <row r="8218">
          <cell r="A8218">
            <v>8072283</v>
          </cell>
        </row>
        <row r="8219">
          <cell r="A8219">
            <v>8072284</v>
          </cell>
        </row>
        <row r="8220">
          <cell r="A8220">
            <v>8072285</v>
          </cell>
        </row>
        <row r="8221">
          <cell r="A8221">
            <v>8072286</v>
          </cell>
        </row>
        <row r="8222">
          <cell r="A8222">
            <v>8072287</v>
          </cell>
        </row>
        <row r="8223">
          <cell r="A8223">
            <v>8072288</v>
          </cell>
        </row>
        <row r="8224">
          <cell r="A8224">
            <v>8072289</v>
          </cell>
        </row>
        <row r="8225">
          <cell r="A8225">
            <v>8072290</v>
          </cell>
        </row>
        <row r="8226">
          <cell r="A8226">
            <v>8072301</v>
          </cell>
        </row>
        <row r="8227">
          <cell r="A8227">
            <v>8072302</v>
          </cell>
        </row>
        <row r="8228">
          <cell r="A8228">
            <v>8072303</v>
          </cell>
        </row>
        <row r="8229">
          <cell r="A8229">
            <v>8072304</v>
          </cell>
        </row>
        <row r="8230">
          <cell r="A8230">
            <v>8072305</v>
          </cell>
        </row>
        <row r="8231">
          <cell r="A8231">
            <v>8072306</v>
          </cell>
        </row>
        <row r="8232">
          <cell r="A8232">
            <v>8072307</v>
          </cell>
        </row>
        <row r="8233">
          <cell r="A8233">
            <v>8072308</v>
          </cell>
        </row>
        <row r="8234">
          <cell r="A8234">
            <v>8072309</v>
          </cell>
        </row>
        <row r="8235">
          <cell r="A8235">
            <v>8072310</v>
          </cell>
        </row>
        <row r="8236">
          <cell r="A8236">
            <v>8072311</v>
          </cell>
        </row>
        <row r="8237">
          <cell r="A8237">
            <v>8072312</v>
          </cell>
        </row>
        <row r="8238">
          <cell r="A8238">
            <v>8072313</v>
          </cell>
        </row>
        <row r="8239">
          <cell r="A8239">
            <v>8072314</v>
          </cell>
        </row>
        <row r="8240">
          <cell r="A8240">
            <v>8072315</v>
          </cell>
        </row>
        <row r="8241">
          <cell r="A8241">
            <v>8072316</v>
          </cell>
        </row>
        <row r="8242">
          <cell r="A8242">
            <v>8072317</v>
          </cell>
        </row>
        <row r="8243">
          <cell r="A8243">
            <v>8072318</v>
          </cell>
        </row>
        <row r="8244">
          <cell r="A8244">
            <v>8072319</v>
          </cell>
        </row>
        <row r="8245">
          <cell r="A8245">
            <v>8072320</v>
          </cell>
        </row>
        <row r="8246">
          <cell r="A8246">
            <v>8072321</v>
          </cell>
        </row>
        <row r="8247">
          <cell r="A8247">
            <v>8072322</v>
          </cell>
        </row>
        <row r="8248">
          <cell r="A8248">
            <v>8072323</v>
          </cell>
        </row>
        <row r="8249">
          <cell r="A8249">
            <v>8072324</v>
          </cell>
        </row>
        <row r="8250">
          <cell r="A8250">
            <v>8072325</v>
          </cell>
        </row>
        <row r="8251">
          <cell r="A8251">
            <v>8072326</v>
          </cell>
        </row>
        <row r="8252">
          <cell r="A8252">
            <v>8072327</v>
          </cell>
        </row>
        <row r="8253">
          <cell r="A8253">
            <v>8072328</v>
          </cell>
        </row>
        <row r="8254">
          <cell r="A8254">
            <v>8072329</v>
          </cell>
        </row>
        <row r="8255">
          <cell r="A8255">
            <v>8072330</v>
          </cell>
        </row>
        <row r="8256">
          <cell r="A8256">
            <v>8072331</v>
          </cell>
        </row>
        <row r="8257">
          <cell r="A8257">
            <v>8072332</v>
          </cell>
        </row>
        <row r="8258">
          <cell r="A8258">
            <v>8072333</v>
          </cell>
        </row>
        <row r="8259">
          <cell r="A8259">
            <v>8072334</v>
          </cell>
        </row>
        <row r="8260">
          <cell r="A8260">
            <v>8072335</v>
          </cell>
        </row>
        <row r="8261">
          <cell r="A8261">
            <v>8072337</v>
          </cell>
        </row>
        <row r="8262">
          <cell r="A8262">
            <v>8072338</v>
          </cell>
        </row>
        <row r="8263">
          <cell r="A8263">
            <v>8072339</v>
          </cell>
        </row>
        <row r="8264">
          <cell r="A8264">
            <v>8072340</v>
          </cell>
        </row>
        <row r="8265">
          <cell r="A8265">
            <v>8072341</v>
          </cell>
        </row>
        <row r="8266">
          <cell r="A8266">
            <v>8072342</v>
          </cell>
        </row>
        <row r="8267">
          <cell r="A8267">
            <v>8072343</v>
          </cell>
        </row>
        <row r="8268">
          <cell r="A8268">
            <v>8072344</v>
          </cell>
        </row>
        <row r="8269">
          <cell r="A8269">
            <v>8072345</v>
          </cell>
        </row>
        <row r="8270">
          <cell r="A8270">
            <v>8072346</v>
          </cell>
        </row>
        <row r="8271">
          <cell r="A8271">
            <v>8072348</v>
          </cell>
        </row>
        <row r="8272">
          <cell r="A8272">
            <v>8072349</v>
          </cell>
        </row>
        <row r="8273">
          <cell r="A8273">
            <v>8072350</v>
          </cell>
        </row>
        <row r="8274">
          <cell r="A8274">
            <v>8072351</v>
          </cell>
        </row>
        <row r="8275">
          <cell r="A8275">
            <v>8072352</v>
          </cell>
        </row>
        <row r="8276">
          <cell r="A8276">
            <v>8072353</v>
          </cell>
        </row>
        <row r="8277">
          <cell r="A8277">
            <v>8072354</v>
          </cell>
        </row>
        <row r="8278">
          <cell r="A8278">
            <v>8072355</v>
          </cell>
        </row>
        <row r="8279">
          <cell r="A8279">
            <v>8072356</v>
          </cell>
        </row>
        <row r="8280">
          <cell r="A8280">
            <v>8072357</v>
          </cell>
        </row>
        <row r="8281">
          <cell r="A8281">
            <v>8072358</v>
          </cell>
        </row>
        <row r="8282">
          <cell r="A8282">
            <v>8072359</v>
          </cell>
        </row>
        <row r="8283">
          <cell r="A8283">
            <v>8072360</v>
          </cell>
        </row>
        <row r="8284">
          <cell r="A8284">
            <v>8072361</v>
          </cell>
        </row>
        <row r="8285">
          <cell r="A8285">
            <v>8072362</v>
          </cell>
        </row>
        <row r="8286">
          <cell r="A8286">
            <v>8072401</v>
          </cell>
        </row>
        <row r="8287">
          <cell r="A8287">
            <v>8072402</v>
          </cell>
        </row>
        <row r="8288">
          <cell r="A8288">
            <v>8072403</v>
          </cell>
        </row>
        <row r="8289">
          <cell r="A8289">
            <v>8072404</v>
          </cell>
        </row>
        <row r="8290">
          <cell r="A8290">
            <v>8072405</v>
          </cell>
        </row>
        <row r="8291">
          <cell r="A8291">
            <v>8072406</v>
          </cell>
        </row>
        <row r="8292">
          <cell r="A8292">
            <v>8072407</v>
          </cell>
        </row>
        <row r="8293">
          <cell r="A8293">
            <v>8072408</v>
          </cell>
        </row>
        <row r="8294">
          <cell r="A8294">
            <v>8072409</v>
          </cell>
        </row>
        <row r="8295">
          <cell r="A8295">
            <v>8072410</v>
          </cell>
        </row>
        <row r="8296">
          <cell r="A8296">
            <v>8072411</v>
          </cell>
        </row>
        <row r="8297">
          <cell r="A8297">
            <v>8072412</v>
          </cell>
        </row>
        <row r="8298">
          <cell r="A8298">
            <v>8072413</v>
          </cell>
        </row>
        <row r="8299">
          <cell r="A8299">
            <v>8072417</v>
          </cell>
        </row>
        <row r="8300">
          <cell r="A8300">
            <v>8072418</v>
          </cell>
        </row>
        <row r="8301">
          <cell r="A8301">
            <v>8072419</v>
          </cell>
        </row>
        <row r="8302">
          <cell r="A8302">
            <v>8072420</v>
          </cell>
        </row>
        <row r="8303">
          <cell r="A8303">
            <v>8072421</v>
          </cell>
        </row>
        <row r="8304">
          <cell r="A8304">
            <v>8072422</v>
          </cell>
        </row>
        <row r="8305">
          <cell r="A8305">
            <v>8072423</v>
          </cell>
        </row>
        <row r="8306">
          <cell r="A8306">
            <v>8072424</v>
          </cell>
        </row>
        <row r="8307">
          <cell r="A8307">
            <v>8072425</v>
          </cell>
        </row>
        <row r="8308">
          <cell r="A8308">
            <v>8072426</v>
          </cell>
        </row>
        <row r="8309">
          <cell r="A8309">
            <v>8072427</v>
          </cell>
        </row>
        <row r="8310">
          <cell r="A8310">
            <v>8072428</v>
          </cell>
        </row>
        <row r="8311">
          <cell r="A8311">
            <v>8072429</v>
          </cell>
        </row>
        <row r="8312">
          <cell r="A8312">
            <v>8072430</v>
          </cell>
        </row>
        <row r="8313">
          <cell r="A8313">
            <v>8072431</v>
          </cell>
        </row>
        <row r="8314">
          <cell r="A8314">
            <v>8072432</v>
          </cell>
        </row>
        <row r="8315">
          <cell r="A8315">
            <v>8072433</v>
          </cell>
        </row>
        <row r="8316">
          <cell r="A8316">
            <v>8072441</v>
          </cell>
        </row>
        <row r="8317">
          <cell r="A8317">
            <v>8072442</v>
          </cell>
        </row>
        <row r="8318">
          <cell r="A8318">
            <v>8072443</v>
          </cell>
        </row>
        <row r="8319">
          <cell r="A8319">
            <v>8072444</v>
          </cell>
        </row>
        <row r="8320">
          <cell r="A8320">
            <v>8072445</v>
          </cell>
        </row>
        <row r="8321">
          <cell r="A8321">
            <v>8072446</v>
          </cell>
        </row>
        <row r="8322">
          <cell r="A8322">
            <v>8072447</v>
          </cell>
        </row>
        <row r="8323">
          <cell r="A8323">
            <v>8072449</v>
          </cell>
        </row>
        <row r="8324">
          <cell r="A8324">
            <v>8072450</v>
          </cell>
        </row>
        <row r="8325">
          <cell r="A8325">
            <v>8072451</v>
          </cell>
        </row>
        <row r="8326">
          <cell r="A8326">
            <v>8072501</v>
          </cell>
        </row>
        <row r="8327">
          <cell r="A8327">
            <v>8072502</v>
          </cell>
        </row>
        <row r="8328">
          <cell r="A8328">
            <v>8072503</v>
          </cell>
        </row>
        <row r="8329">
          <cell r="A8329">
            <v>8072504</v>
          </cell>
        </row>
        <row r="8330">
          <cell r="A8330">
            <v>8072505</v>
          </cell>
        </row>
        <row r="8331">
          <cell r="A8331">
            <v>8072506</v>
          </cell>
        </row>
        <row r="8332">
          <cell r="A8332">
            <v>8072507</v>
          </cell>
        </row>
        <row r="8333">
          <cell r="A8333">
            <v>8072508</v>
          </cell>
        </row>
        <row r="8334">
          <cell r="A8334">
            <v>8072509</v>
          </cell>
        </row>
        <row r="8335">
          <cell r="A8335">
            <v>8072510</v>
          </cell>
        </row>
        <row r="8336">
          <cell r="A8336">
            <v>8072511</v>
          </cell>
        </row>
        <row r="8337">
          <cell r="A8337">
            <v>8072512</v>
          </cell>
        </row>
        <row r="8338">
          <cell r="A8338">
            <v>8072513</v>
          </cell>
        </row>
        <row r="8339">
          <cell r="A8339">
            <v>8072514</v>
          </cell>
        </row>
        <row r="8340">
          <cell r="A8340">
            <v>8072515</v>
          </cell>
        </row>
        <row r="8341">
          <cell r="A8341">
            <v>8072516</v>
          </cell>
        </row>
        <row r="8342">
          <cell r="A8342">
            <v>8072520</v>
          </cell>
        </row>
        <row r="8343">
          <cell r="A8343">
            <v>8072521</v>
          </cell>
        </row>
        <row r="8344">
          <cell r="A8344">
            <v>8072522</v>
          </cell>
        </row>
        <row r="8345">
          <cell r="A8345">
            <v>8072523</v>
          </cell>
        </row>
        <row r="8346">
          <cell r="A8346">
            <v>8072524</v>
          </cell>
        </row>
        <row r="8347">
          <cell r="A8347">
            <v>8072525</v>
          </cell>
        </row>
        <row r="8348">
          <cell r="A8348">
            <v>8072526</v>
          </cell>
        </row>
        <row r="8349">
          <cell r="A8349">
            <v>8072527</v>
          </cell>
        </row>
        <row r="8350">
          <cell r="A8350">
            <v>8072534</v>
          </cell>
        </row>
        <row r="8351">
          <cell r="A8351">
            <v>8072535</v>
          </cell>
        </row>
        <row r="8352">
          <cell r="A8352">
            <v>8072536</v>
          </cell>
        </row>
        <row r="8353">
          <cell r="A8353">
            <v>8072537</v>
          </cell>
        </row>
        <row r="8354">
          <cell r="A8354">
            <v>8072538</v>
          </cell>
        </row>
        <row r="8355">
          <cell r="A8355">
            <v>8072539</v>
          </cell>
        </row>
        <row r="8356">
          <cell r="A8356">
            <v>8072540</v>
          </cell>
        </row>
        <row r="8357">
          <cell r="A8357">
            <v>8072541</v>
          </cell>
        </row>
        <row r="8358">
          <cell r="A8358">
            <v>8072542</v>
          </cell>
        </row>
        <row r="8359">
          <cell r="A8359">
            <v>8072543</v>
          </cell>
        </row>
        <row r="8360">
          <cell r="A8360">
            <v>8072544</v>
          </cell>
        </row>
        <row r="8361">
          <cell r="A8361">
            <v>8072545</v>
          </cell>
        </row>
        <row r="8362">
          <cell r="A8362">
            <v>8072546</v>
          </cell>
        </row>
        <row r="8363">
          <cell r="A8363">
            <v>8072547</v>
          </cell>
        </row>
        <row r="8364">
          <cell r="A8364">
            <v>8072548</v>
          </cell>
        </row>
        <row r="8365">
          <cell r="A8365">
            <v>8072549</v>
          </cell>
        </row>
        <row r="8366">
          <cell r="A8366">
            <v>8072550</v>
          </cell>
        </row>
        <row r="8367">
          <cell r="A8367">
            <v>8072551</v>
          </cell>
        </row>
        <row r="8368">
          <cell r="A8368">
            <v>8072552</v>
          </cell>
        </row>
        <row r="8369">
          <cell r="A8369">
            <v>8072601</v>
          </cell>
        </row>
        <row r="8370">
          <cell r="A8370">
            <v>8072602</v>
          </cell>
        </row>
        <row r="8371">
          <cell r="A8371">
            <v>8072603</v>
          </cell>
        </row>
        <row r="8372">
          <cell r="A8372">
            <v>8072604</v>
          </cell>
        </row>
        <row r="8373">
          <cell r="A8373">
            <v>8072605</v>
          </cell>
        </row>
        <row r="8374">
          <cell r="A8374">
            <v>8072606</v>
          </cell>
        </row>
        <row r="8375">
          <cell r="A8375">
            <v>8072607</v>
          </cell>
        </row>
        <row r="8376">
          <cell r="A8376">
            <v>8072608</v>
          </cell>
        </row>
        <row r="8377">
          <cell r="A8377">
            <v>8072609</v>
          </cell>
        </row>
        <row r="8378">
          <cell r="A8378">
            <v>8072610</v>
          </cell>
        </row>
        <row r="8379">
          <cell r="A8379">
            <v>8072611</v>
          </cell>
        </row>
        <row r="8380">
          <cell r="A8380">
            <v>8072612</v>
          </cell>
        </row>
        <row r="8381">
          <cell r="A8381">
            <v>8072613</v>
          </cell>
        </row>
        <row r="8382">
          <cell r="A8382">
            <v>8072614</v>
          </cell>
        </row>
        <row r="8383">
          <cell r="A8383">
            <v>8072615</v>
          </cell>
        </row>
        <row r="8384">
          <cell r="A8384">
            <v>8072616</v>
          </cell>
        </row>
        <row r="8385">
          <cell r="A8385">
            <v>8072617</v>
          </cell>
        </row>
        <row r="8386">
          <cell r="A8386">
            <v>8072618</v>
          </cell>
        </row>
        <row r="8387">
          <cell r="A8387">
            <v>8072619</v>
          </cell>
        </row>
        <row r="8388">
          <cell r="A8388">
            <v>8072620</v>
          </cell>
        </row>
        <row r="8389">
          <cell r="A8389">
            <v>8072621</v>
          </cell>
        </row>
        <row r="8390">
          <cell r="A8390">
            <v>8072622</v>
          </cell>
        </row>
        <row r="8391">
          <cell r="A8391">
            <v>8072623</v>
          </cell>
        </row>
        <row r="8392">
          <cell r="A8392">
            <v>8072624</v>
          </cell>
        </row>
        <row r="8393">
          <cell r="A8393">
            <v>8072625</v>
          </cell>
        </row>
        <row r="8394">
          <cell r="A8394">
            <v>8072626</v>
          </cell>
        </row>
        <row r="8395">
          <cell r="A8395">
            <v>8072627</v>
          </cell>
        </row>
        <row r="8396">
          <cell r="A8396">
            <v>8072628</v>
          </cell>
        </row>
        <row r="8397">
          <cell r="A8397">
            <v>8072629</v>
          </cell>
        </row>
        <row r="8398">
          <cell r="A8398">
            <v>8072630</v>
          </cell>
        </row>
        <row r="8399">
          <cell r="A8399">
            <v>8072631</v>
          </cell>
        </row>
        <row r="8400">
          <cell r="A8400">
            <v>8072632</v>
          </cell>
        </row>
        <row r="8401">
          <cell r="A8401">
            <v>8072633</v>
          </cell>
        </row>
        <row r="8402">
          <cell r="A8402">
            <v>8072634</v>
          </cell>
        </row>
        <row r="8403">
          <cell r="A8403">
            <v>8072635</v>
          </cell>
        </row>
        <row r="8404">
          <cell r="A8404">
            <v>8072636</v>
          </cell>
        </row>
        <row r="8405">
          <cell r="A8405">
            <v>8072637</v>
          </cell>
        </row>
        <row r="8406">
          <cell r="A8406">
            <v>8072638</v>
          </cell>
        </row>
        <row r="8407">
          <cell r="A8407">
            <v>8072639</v>
          </cell>
        </row>
        <row r="8408">
          <cell r="A8408">
            <v>8072640</v>
          </cell>
        </row>
        <row r="8409">
          <cell r="A8409">
            <v>8072642</v>
          </cell>
        </row>
        <row r="8410">
          <cell r="A8410">
            <v>8072653</v>
          </cell>
        </row>
        <row r="8411">
          <cell r="A8411">
            <v>8072654</v>
          </cell>
        </row>
        <row r="8412">
          <cell r="A8412">
            <v>8072655</v>
          </cell>
        </row>
        <row r="8413">
          <cell r="A8413">
            <v>8072656</v>
          </cell>
        </row>
        <row r="8414">
          <cell r="A8414">
            <v>8072701</v>
          </cell>
        </row>
        <row r="8415">
          <cell r="A8415">
            <v>8072702</v>
          </cell>
        </row>
        <row r="8416">
          <cell r="A8416">
            <v>8072704</v>
          </cell>
        </row>
        <row r="8417">
          <cell r="A8417">
            <v>8072705</v>
          </cell>
        </row>
        <row r="8418">
          <cell r="A8418">
            <v>8072706</v>
          </cell>
        </row>
        <row r="8419">
          <cell r="A8419">
            <v>8072707</v>
          </cell>
        </row>
        <row r="8420">
          <cell r="A8420">
            <v>8072708</v>
          </cell>
        </row>
        <row r="8421">
          <cell r="A8421">
            <v>8072709</v>
          </cell>
        </row>
        <row r="8422">
          <cell r="A8422">
            <v>8072710</v>
          </cell>
        </row>
        <row r="8423">
          <cell r="A8423">
            <v>8072711</v>
          </cell>
        </row>
        <row r="8424">
          <cell r="A8424">
            <v>8072712</v>
          </cell>
        </row>
        <row r="8425">
          <cell r="A8425">
            <v>8072713</v>
          </cell>
        </row>
        <row r="8426">
          <cell r="A8426">
            <v>8072714</v>
          </cell>
        </row>
        <row r="8427">
          <cell r="A8427">
            <v>8072715</v>
          </cell>
        </row>
        <row r="8428">
          <cell r="A8428">
            <v>8072716</v>
          </cell>
        </row>
        <row r="8429">
          <cell r="A8429">
            <v>8072801</v>
          </cell>
        </row>
        <row r="8430">
          <cell r="A8430">
            <v>8072802</v>
          </cell>
        </row>
        <row r="8431">
          <cell r="A8431">
            <v>8072803</v>
          </cell>
        </row>
        <row r="8432">
          <cell r="A8432">
            <v>8072804</v>
          </cell>
        </row>
        <row r="8433">
          <cell r="A8433">
            <v>8072805</v>
          </cell>
        </row>
        <row r="8434">
          <cell r="A8434">
            <v>8072806</v>
          </cell>
        </row>
        <row r="8435">
          <cell r="A8435">
            <v>8072807</v>
          </cell>
        </row>
        <row r="8436">
          <cell r="A8436">
            <v>8072808</v>
          </cell>
        </row>
        <row r="8437">
          <cell r="A8437">
            <v>8072809</v>
          </cell>
        </row>
        <row r="8438">
          <cell r="A8438">
            <v>8072810</v>
          </cell>
        </row>
        <row r="8439">
          <cell r="A8439">
            <v>8072811</v>
          </cell>
        </row>
        <row r="8440">
          <cell r="A8440">
            <v>8072812</v>
          </cell>
        </row>
        <row r="8441">
          <cell r="A8441">
            <v>8072813</v>
          </cell>
        </row>
        <row r="8442">
          <cell r="A8442">
            <v>8072814</v>
          </cell>
        </row>
        <row r="8443">
          <cell r="A8443">
            <v>8072815</v>
          </cell>
        </row>
        <row r="8444">
          <cell r="A8444">
            <v>8072816</v>
          </cell>
        </row>
        <row r="8445">
          <cell r="A8445">
            <v>8072817</v>
          </cell>
        </row>
        <row r="8446">
          <cell r="A8446">
            <v>8072818</v>
          </cell>
        </row>
        <row r="8447">
          <cell r="A8447">
            <v>8072819</v>
          </cell>
        </row>
        <row r="8448">
          <cell r="A8448">
            <v>8072820</v>
          </cell>
        </row>
        <row r="8449">
          <cell r="A8449">
            <v>8072821</v>
          </cell>
        </row>
        <row r="8450">
          <cell r="A8450">
            <v>8072822</v>
          </cell>
        </row>
        <row r="8451">
          <cell r="A8451">
            <v>8072823</v>
          </cell>
        </row>
        <row r="8452">
          <cell r="A8452">
            <v>8072824</v>
          </cell>
        </row>
        <row r="8453">
          <cell r="A8453">
            <v>8072825</v>
          </cell>
        </row>
        <row r="8454">
          <cell r="A8454">
            <v>8072826</v>
          </cell>
        </row>
        <row r="8455">
          <cell r="A8455">
            <v>8072827</v>
          </cell>
        </row>
        <row r="8456">
          <cell r="A8456">
            <v>8072828</v>
          </cell>
        </row>
        <row r="8457">
          <cell r="A8457">
            <v>8072829</v>
          </cell>
        </row>
        <row r="8458">
          <cell r="A8458">
            <v>8072830</v>
          </cell>
        </row>
        <row r="8459">
          <cell r="A8459">
            <v>8072831</v>
          </cell>
        </row>
        <row r="8460">
          <cell r="A8460">
            <v>8072833</v>
          </cell>
        </row>
        <row r="8461">
          <cell r="A8461">
            <v>8072834</v>
          </cell>
        </row>
        <row r="8462">
          <cell r="A8462">
            <v>8072901</v>
          </cell>
        </row>
        <row r="8463">
          <cell r="A8463">
            <v>8072902</v>
          </cell>
        </row>
        <row r="8464">
          <cell r="A8464">
            <v>8072903</v>
          </cell>
        </row>
        <row r="8465">
          <cell r="A8465">
            <v>8072904</v>
          </cell>
        </row>
        <row r="8466">
          <cell r="A8466">
            <v>8072905</v>
          </cell>
        </row>
        <row r="8467">
          <cell r="A8467">
            <v>8072906</v>
          </cell>
        </row>
        <row r="8468">
          <cell r="A8468">
            <v>8072907</v>
          </cell>
        </row>
        <row r="8469">
          <cell r="A8469">
            <v>8072908</v>
          </cell>
        </row>
        <row r="8470">
          <cell r="A8470">
            <v>8072909</v>
          </cell>
        </row>
        <row r="8471">
          <cell r="A8471">
            <v>8072910</v>
          </cell>
        </row>
        <row r="8472">
          <cell r="A8472">
            <v>8072911</v>
          </cell>
        </row>
        <row r="8473">
          <cell r="A8473">
            <v>8072912</v>
          </cell>
        </row>
        <row r="8474">
          <cell r="A8474">
            <v>8072913</v>
          </cell>
        </row>
        <row r="8475">
          <cell r="A8475">
            <v>8072914</v>
          </cell>
        </row>
        <row r="8476">
          <cell r="A8476">
            <v>8072915</v>
          </cell>
        </row>
        <row r="8477">
          <cell r="A8477">
            <v>8072916</v>
          </cell>
        </row>
        <row r="8478">
          <cell r="A8478">
            <v>8072917</v>
          </cell>
        </row>
        <row r="8479">
          <cell r="A8479">
            <v>8072918</v>
          </cell>
        </row>
        <row r="8480">
          <cell r="A8480">
            <v>8072919</v>
          </cell>
        </row>
        <row r="8481">
          <cell r="A8481">
            <v>8072920</v>
          </cell>
        </row>
        <row r="8482">
          <cell r="A8482">
            <v>8072921</v>
          </cell>
        </row>
        <row r="8483">
          <cell r="A8483">
            <v>8072922</v>
          </cell>
        </row>
        <row r="8484">
          <cell r="A8484">
            <v>8072923</v>
          </cell>
        </row>
        <row r="8485">
          <cell r="A8485">
            <v>8072924</v>
          </cell>
        </row>
        <row r="8486">
          <cell r="A8486">
            <v>8072925</v>
          </cell>
        </row>
        <row r="8487">
          <cell r="A8487">
            <v>8072926</v>
          </cell>
        </row>
        <row r="8488">
          <cell r="A8488">
            <v>8072927</v>
          </cell>
        </row>
        <row r="8489">
          <cell r="A8489">
            <v>8072928</v>
          </cell>
        </row>
        <row r="8490">
          <cell r="A8490">
            <v>8072929</v>
          </cell>
        </row>
        <row r="8491">
          <cell r="A8491">
            <v>8072930</v>
          </cell>
        </row>
        <row r="8492">
          <cell r="A8492">
            <v>8072931</v>
          </cell>
        </row>
        <row r="8493">
          <cell r="A8493">
            <v>8072932</v>
          </cell>
        </row>
        <row r="8494">
          <cell r="A8494">
            <v>8072933</v>
          </cell>
        </row>
        <row r="8495">
          <cell r="A8495">
            <v>8072934</v>
          </cell>
        </row>
        <row r="8496">
          <cell r="A8496">
            <v>8072935</v>
          </cell>
        </row>
        <row r="8497">
          <cell r="A8497">
            <v>8072936</v>
          </cell>
        </row>
        <row r="8498">
          <cell r="A8498">
            <v>8072937</v>
          </cell>
        </row>
        <row r="8499">
          <cell r="A8499">
            <v>8072938</v>
          </cell>
        </row>
        <row r="8500">
          <cell r="A8500">
            <v>8072939</v>
          </cell>
        </row>
        <row r="8501">
          <cell r="A8501">
            <v>8072940</v>
          </cell>
        </row>
        <row r="8502">
          <cell r="A8502">
            <v>8072941</v>
          </cell>
        </row>
        <row r="8503">
          <cell r="A8503">
            <v>8072942</v>
          </cell>
        </row>
        <row r="8504">
          <cell r="A8504">
            <v>8072943</v>
          </cell>
        </row>
        <row r="8505">
          <cell r="A8505">
            <v>8072944</v>
          </cell>
        </row>
        <row r="8506">
          <cell r="A8506">
            <v>8072945</v>
          </cell>
        </row>
        <row r="8507">
          <cell r="A8507">
            <v>8072946</v>
          </cell>
        </row>
        <row r="8508">
          <cell r="A8508">
            <v>8072947</v>
          </cell>
        </row>
        <row r="8509">
          <cell r="A8509">
            <v>8072948</v>
          </cell>
        </row>
        <row r="8510">
          <cell r="A8510">
            <v>8073001</v>
          </cell>
        </row>
        <row r="8511">
          <cell r="A8511">
            <v>8073002</v>
          </cell>
        </row>
        <row r="8512">
          <cell r="A8512">
            <v>8073003</v>
          </cell>
        </row>
        <row r="8513">
          <cell r="A8513">
            <v>8073004</v>
          </cell>
        </row>
        <row r="8514">
          <cell r="A8514">
            <v>8073005</v>
          </cell>
        </row>
        <row r="8515">
          <cell r="A8515">
            <v>8073006</v>
          </cell>
        </row>
        <row r="8516">
          <cell r="A8516">
            <v>8073007</v>
          </cell>
        </row>
        <row r="8517">
          <cell r="A8517">
            <v>8073008</v>
          </cell>
        </row>
        <row r="8518">
          <cell r="A8518">
            <v>8073009</v>
          </cell>
        </row>
        <row r="8519">
          <cell r="A8519">
            <v>8073010</v>
          </cell>
        </row>
        <row r="8520">
          <cell r="A8520">
            <v>8073011</v>
          </cell>
        </row>
        <row r="8521">
          <cell r="A8521">
            <v>8073012</v>
          </cell>
        </row>
        <row r="8522">
          <cell r="A8522">
            <v>8073013</v>
          </cell>
        </row>
        <row r="8523">
          <cell r="A8523">
            <v>8073014</v>
          </cell>
        </row>
        <row r="8524">
          <cell r="A8524">
            <v>8073015</v>
          </cell>
        </row>
        <row r="8525">
          <cell r="A8525">
            <v>8073016</v>
          </cell>
        </row>
        <row r="8526">
          <cell r="A8526">
            <v>8073017</v>
          </cell>
        </row>
        <row r="8527">
          <cell r="A8527">
            <v>8073018</v>
          </cell>
        </row>
        <row r="8528">
          <cell r="A8528">
            <v>8073019</v>
          </cell>
        </row>
        <row r="8529">
          <cell r="A8529">
            <v>8073020</v>
          </cell>
        </row>
        <row r="8530">
          <cell r="A8530">
            <v>8073021</v>
          </cell>
        </row>
        <row r="8531">
          <cell r="A8531">
            <v>8073022</v>
          </cell>
        </row>
        <row r="8532">
          <cell r="A8532">
            <v>8073023</v>
          </cell>
        </row>
        <row r="8533">
          <cell r="A8533">
            <v>8073024</v>
          </cell>
        </row>
        <row r="8534">
          <cell r="A8534">
            <v>8073025</v>
          </cell>
        </row>
        <row r="8535">
          <cell r="A8535">
            <v>8073026</v>
          </cell>
        </row>
        <row r="8536">
          <cell r="A8536">
            <v>8073027</v>
          </cell>
        </row>
        <row r="8537">
          <cell r="A8537">
            <v>8073028</v>
          </cell>
        </row>
        <row r="8538">
          <cell r="A8538">
            <v>8073029</v>
          </cell>
        </row>
        <row r="8539">
          <cell r="A8539">
            <v>8073030</v>
          </cell>
        </row>
        <row r="8540">
          <cell r="A8540">
            <v>8073031</v>
          </cell>
        </row>
        <row r="8541">
          <cell r="A8541">
            <v>8073032</v>
          </cell>
        </row>
        <row r="8542">
          <cell r="A8542">
            <v>8073034</v>
          </cell>
        </row>
        <row r="8543">
          <cell r="A8543">
            <v>8073035</v>
          </cell>
        </row>
        <row r="8544">
          <cell r="A8544">
            <v>8073036</v>
          </cell>
        </row>
        <row r="8545">
          <cell r="A8545">
            <v>8073037</v>
          </cell>
        </row>
        <row r="8546">
          <cell r="A8546">
            <v>8073038</v>
          </cell>
        </row>
        <row r="8547">
          <cell r="A8547">
            <v>8073039</v>
          </cell>
        </row>
        <row r="8548">
          <cell r="A8548">
            <v>8073040</v>
          </cell>
        </row>
        <row r="8549">
          <cell r="A8549">
            <v>8073041</v>
          </cell>
        </row>
        <row r="8550">
          <cell r="A8550">
            <v>8073043</v>
          </cell>
        </row>
        <row r="8551">
          <cell r="A8551">
            <v>8073044</v>
          </cell>
        </row>
        <row r="8552">
          <cell r="A8552">
            <v>8073045</v>
          </cell>
        </row>
        <row r="8553">
          <cell r="A8553">
            <v>8073046</v>
          </cell>
        </row>
        <row r="8554">
          <cell r="A8554">
            <v>8073047</v>
          </cell>
        </row>
        <row r="8555">
          <cell r="A8555">
            <v>8073048</v>
          </cell>
        </row>
        <row r="8556">
          <cell r="A8556">
            <v>8073049</v>
          </cell>
        </row>
        <row r="8557">
          <cell r="A8557">
            <v>8073050</v>
          </cell>
        </row>
        <row r="8558">
          <cell r="A8558">
            <v>8073051</v>
          </cell>
        </row>
        <row r="8559">
          <cell r="A8559">
            <v>8073052</v>
          </cell>
        </row>
        <row r="8560">
          <cell r="A8560">
            <v>8073053</v>
          </cell>
        </row>
        <row r="8561">
          <cell r="A8561">
            <v>8073054</v>
          </cell>
        </row>
        <row r="8562">
          <cell r="A8562">
            <v>8073060</v>
          </cell>
        </row>
        <row r="8563">
          <cell r="A8563">
            <v>8073061</v>
          </cell>
        </row>
        <row r="8564">
          <cell r="A8564">
            <v>8073062</v>
          </cell>
        </row>
        <row r="8565">
          <cell r="A8565">
            <v>8073063</v>
          </cell>
        </row>
        <row r="8566">
          <cell r="A8566">
            <v>8073064</v>
          </cell>
        </row>
        <row r="8567">
          <cell r="A8567">
            <v>8073065</v>
          </cell>
        </row>
        <row r="8568">
          <cell r="A8568">
            <v>8073066</v>
          </cell>
        </row>
        <row r="8569">
          <cell r="A8569">
            <v>8073073</v>
          </cell>
        </row>
        <row r="8570">
          <cell r="A8570">
            <v>8073074</v>
          </cell>
        </row>
        <row r="8571">
          <cell r="A8571">
            <v>8073075</v>
          </cell>
        </row>
        <row r="8572">
          <cell r="A8572">
            <v>8073076</v>
          </cell>
        </row>
        <row r="8573">
          <cell r="A8573">
            <v>8073101</v>
          </cell>
        </row>
        <row r="8574">
          <cell r="A8574">
            <v>8073102</v>
          </cell>
        </row>
        <row r="8575">
          <cell r="A8575">
            <v>8073103</v>
          </cell>
        </row>
        <row r="8576">
          <cell r="A8576">
            <v>8073104</v>
          </cell>
        </row>
        <row r="8577">
          <cell r="A8577">
            <v>8073105</v>
          </cell>
        </row>
        <row r="8578">
          <cell r="A8578">
            <v>8073106</v>
          </cell>
        </row>
        <row r="8579">
          <cell r="A8579">
            <v>8073107</v>
          </cell>
        </row>
        <row r="8580">
          <cell r="A8580">
            <v>8073108</v>
          </cell>
        </row>
        <row r="8581">
          <cell r="A8581">
            <v>8073109</v>
          </cell>
        </row>
        <row r="8582">
          <cell r="A8582">
            <v>8073110</v>
          </cell>
        </row>
        <row r="8583">
          <cell r="A8583">
            <v>8073111</v>
          </cell>
        </row>
        <row r="8584">
          <cell r="A8584">
            <v>8073112</v>
          </cell>
        </row>
        <row r="8585">
          <cell r="A8585">
            <v>8073113</v>
          </cell>
        </row>
        <row r="8586">
          <cell r="A8586">
            <v>8073114</v>
          </cell>
        </row>
        <row r="8587">
          <cell r="A8587">
            <v>8073115</v>
          </cell>
        </row>
        <row r="8588">
          <cell r="A8588">
            <v>8073116</v>
          </cell>
        </row>
        <row r="8589">
          <cell r="A8589">
            <v>8073117</v>
          </cell>
        </row>
        <row r="8590">
          <cell r="A8590">
            <v>8073118</v>
          </cell>
        </row>
        <row r="8591">
          <cell r="A8591">
            <v>8073119</v>
          </cell>
        </row>
        <row r="8592">
          <cell r="A8592">
            <v>8073120</v>
          </cell>
        </row>
        <row r="8593">
          <cell r="A8593">
            <v>8073121</v>
          </cell>
        </row>
        <row r="8594">
          <cell r="A8594">
            <v>8073123</v>
          </cell>
        </row>
        <row r="8595">
          <cell r="A8595">
            <v>8073124</v>
          </cell>
        </row>
        <row r="8596">
          <cell r="A8596">
            <v>8073125</v>
          </cell>
        </row>
        <row r="8597">
          <cell r="A8597">
            <v>8080101</v>
          </cell>
        </row>
        <row r="8598">
          <cell r="A8598">
            <v>8080102</v>
          </cell>
        </row>
        <row r="8599">
          <cell r="A8599">
            <v>8080103</v>
          </cell>
        </row>
        <row r="8600">
          <cell r="A8600">
            <v>8080104</v>
          </cell>
        </row>
        <row r="8601">
          <cell r="A8601">
            <v>8080105</v>
          </cell>
        </row>
        <row r="8602">
          <cell r="A8602">
            <v>8080106</v>
          </cell>
        </row>
        <row r="8603">
          <cell r="A8603">
            <v>8080107</v>
          </cell>
        </row>
        <row r="8604">
          <cell r="A8604">
            <v>8080108</v>
          </cell>
        </row>
        <row r="8605">
          <cell r="A8605">
            <v>8080109</v>
          </cell>
        </row>
        <row r="8606">
          <cell r="A8606">
            <v>8080110</v>
          </cell>
        </row>
        <row r="8607">
          <cell r="A8607">
            <v>8080111</v>
          </cell>
        </row>
        <row r="8608">
          <cell r="A8608">
            <v>8080112</v>
          </cell>
        </row>
        <row r="8609">
          <cell r="A8609">
            <v>8080113</v>
          </cell>
        </row>
        <row r="8610">
          <cell r="A8610">
            <v>8080114</v>
          </cell>
        </row>
        <row r="8611">
          <cell r="A8611">
            <v>8080115</v>
          </cell>
        </row>
        <row r="8612">
          <cell r="A8612">
            <v>8080116</v>
          </cell>
        </row>
        <row r="8613">
          <cell r="A8613">
            <v>8080117</v>
          </cell>
        </row>
        <row r="8614">
          <cell r="A8614">
            <v>8080118</v>
          </cell>
        </row>
        <row r="8615">
          <cell r="A8615">
            <v>8080119</v>
          </cell>
        </row>
        <row r="8616">
          <cell r="A8616">
            <v>8080120</v>
          </cell>
        </row>
        <row r="8617">
          <cell r="A8617">
            <v>8080121</v>
          </cell>
        </row>
        <row r="8618">
          <cell r="A8618">
            <v>8080122</v>
          </cell>
        </row>
        <row r="8619">
          <cell r="A8619">
            <v>8080123</v>
          </cell>
        </row>
        <row r="8620">
          <cell r="A8620">
            <v>8080124</v>
          </cell>
        </row>
        <row r="8621">
          <cell r="A8621">
            <v>8080125</v>
          </cell>
        </row>
        <row r="8622">
          <cell r="A8622">
            <v>8080126</v>
          </cell>
        </row>
        <row r="8623">
          <cell r="A8623">
            <v>8080127</v>
          </cell>
        </row>
        <row r="8624">
          <cell r="A8624">
            <v>8080128</v>
          </cell>
        </row>
        <row r="8625">
          <cell r="A8625">
            <v>8080129</v>
          </cell>
        </row>
        <row r="8626">
          <cell r="A8626">
            <v>8080130</v>
          </cell>
        </row>
        <row r="8627">
          <cell r="A8627">
            <v>8080131</v>
          </cell>
        </row>
        <row r="8628">
          <cell r="A8628">
            <v>8080132</v>
          </cell>
        </row>
        <row r="8629">
          <cell r="A8629">
            <v>8080133</v>
          </cell>
        </row>
        <row r="8630">
          <cell r="A8630">
            <v>8080134</v>
          </cell>
        </row>
        <row r="8631">
          <cell r="A8631">
            <v>8080135</v>
          </cell>
        </row>
        <row r="8632">
          <cell r="A8632">
            <v>8080136</v>
          </cell>
        </row>
        <row r="8633">
          <cell r="A8633">
            <v>8080138</v>
          </cell>
        </row>
        <row r="8634">
          <cell r="A8634">
            <v>8080139</v>
          </cell>
        </row>
        <row r="8635">
          <cell r="A8635">
            <v>8080140</v>
          </cell>
        </row>
        <row r="8636">
          <cell r="A8636">
            <v>8080141</v>
          </cell>
        </row>
        <row r="8637">
          <cell r="A8637">
            <v>8080142</v>
          </cell>
        </row>
        <row r="8638">
          <cell r="A8638">
            <v>8080143</v>
          </cell>
        </row>
        <row r="8639">
          <cell r="A8639">
            <v>8080144</v>
          </cell>
        </row>
        <row r="8640">
          <cell r="A8640">
            <v>8080145</v>
          </cell>
        </row>
        <row r="8641">
          <cell r="A8641">
            <v>8080146</v>
          </cell>
        </row>
        <row r="8642">
          <cell r="A8642">
            <v>8080147</v>
          </cell>
        </row>
        <row r="8643">
          <cell r="A8643">
            <v>8080201</v>
          </cell>
        </row>
        <row r="8644">
          <cell r="A8644">
            <v>8080202</v>
          </cell>
        </row>
        <row r="8645">
          <cell r="A8645">
            <v>8080203</v>
          </cell>
        </row>
        <row r="8646">
          <cell r="A8646">
            <v>8080204</v>
          </cell>
        </row>
        <row r="8647">
          <cell r="A8647">
            <v>8080205</v>
          </cell>
        </row>
        <row r="8648">
          <cell r="A8648">
            <v>8080206</v>
          </cell>
        </row>
        <row r="8649">
          <cell r="A8649">
            <v>8080207</v>
          </cell>
        </row>
        <row r="8650">
          <cell r="A8650">
            <v>8080208</v>
          </cell>
        </row>
        <row r="8651">
          <cell r="A8651">
            <v>8080209</v>
          </cell>
        </row>
        <row r="8652">
          <cell r="A8652">
            <v>8080210</v>
          </cell>
        </row>
        <row r="8653">
          <cell r="A8653">
            <v>8080211</v>
          </cell>
        </row>
        <row r="8654">
          <cell r="A8654">
            <v>8080212</v>
          </cell>
        </row>
        <row r="8655">
          <cell r="A8655">
            <v>8080213</v>
          </cell>
        </row>
        <row r="8656">
          <cell r="A8656">
            <v>8080214</v>
          </cell>
        </row>
        <row r="8657">
          <cell r="A8657">
            <v>8080215</v>
          </cell>
        </row>
        <row r="8658">
          <cell r="A8658">
            <v>8080216</v>
          </cell>
        </row>
        <row r="8659">
          <cell r="A8659">
            <v>8080217</v>
          </cell>
        </row>
        <row r="8660">
          <cell r="A8660">
            <v>8080218</v>
          </cell>
        </row>
        <row r="8661">
          <cell r="A8661">
            <v>8080219</v>
          </cell>
        </row>
        <row r="8662">
          <cell r="A8662">
            <v>8080220</v>
          </cell>
        </row>
        <row r="8663">
          <cell r="A8663">
            <v>8080221</v>
          </cell>
        </row>
        <row r="8664">
          <cell r="A8664">
            <v>8080222</v>
          </cell>
        </row>
        <row r="8665">
          <cell r="A8665">
            <v>8080223</v>
          </cell>
        </row>
        <row r="8666">
          <cell r="A8666">
            <v>8080224</v>
          </cell>
        </row>
        <row r="8667">
          <cell r="A8667">
            <v>8080225</v>
          </cell>
        </row>
        <row r="8668">
          <cell r="A8668">
            <v>8080226</v>
          </cell>
        </row>
        <row r="8669">
          <cell r="A8669">
            <v>8080227</v>
          </cell>
        </row>
        <row r="8670">
          <cell r="A8670">
            <v>8080228</v>
          </cell>
        </row>
        <row r="8671">
          <cell r="A8671">
            <v>8080229</v>
          </cell>
        </row>
        <row r="8672">
          <cell r="A8672">
            <v>8080230</v>
          </cell>
        </row>
        <row r="8673">
          <cell r="A8673">
            <v>8080231</v>
          </cell>
        </row>
        <row r="8674">
          <cell r="A8674">
            <v>8080235</v>
          </cell>
        </row>
        <row r="8675">
          <cell r="A8675">
            <v>8080236</v>
          </cell>
        </row>
        <row r="8676">
          <cell r="A8676">
            <v>8080237</v>
          </cell>
        </row>
        <row r="8677">
          <cell r="A8677">
            <v>8080304</v>
          </cell>
        </row>
        <row r="8678">
          <cell r="A8678">
            <v>8080305</v>
          </cell>
        </row>
        <row r="8679">
          <cell r="A8679">
            <v>8080306</v>
          </cell>
        </row>
        <row r="8680">
          <cell r="A8680">
            <v>8080307</v>
          </cell>
        </row>
        <row r="8681">
          <cell r="A8681">
            <v>8080308</v>
          </cell>
        </row>
        <row r="8682">
          <cell r="A8682">
            <v>8080309</v>
          </cell>
        </row>
        <row r="8683">
          <cell r="A8683">
            <v>8080401</v>
          </cell>
        </row>
        <row r="8684">
          <cell r="A8684">
            <v>8080402</v>
          </cell>
        </row>
        <row r="8685">
          <cell r="A8685">
            <v>8080403</v>
          </cell>
        </row>
        <row r="8686">
          <cell r="A8686">
            <v>8080404</v>
          </cell>
        </row>
        <row r="8687">
          <cell r="A8687">
            <v>8080405</v>
          </cell>
        </row>
        <row r="8688">
          <cell r="A8688">
            <v>8080406</v>
          </cell>
        </row>
        <row r="8689">
          <cell r="A8689">
            <v>8080407</v>
          </cell>
        </row>
        <row r="8690">
          <cell r="A8690">
            <v>8080408</v>
          </cell>
        </row>
        <row r="8691">
          <cell r="A8691">
            <v>8080409</v>
          </cell>
        </row>
        <row r="8692">
          <cell r="A8692">
            <v>8080410</v>
          </cell>
        </row>
        <row r="8693">
          <cell r="A8693">
            <v>8080411</v>
          </cell>
        </row>
        <row r="8694">
          <cell r="A8694">
            <v>8080412</v>
          </cell>
        </row>
        <row r="8695">
          <cell r="A8695">
            <v>8080413</v>
          </cell>
        </row>
        <row r="8696">
          <cell r="A8696">
            <v>8080414</v>
          </cell>
        </row>
        <row r="8697">
          <cell r="A8697">
            <v>8080415</v>
          </cell>
        </row>
        <row r="8698">
          <cell r="A8698">
            <v>8080416</v>
          </cell>
        </row>
        <row r="8699">
          <cell r="A8699">
            <v>8080417</v>
          </cell>
        </row>
        <row r="8700">
          <cell r="A8700">
            <v>8080418</v>
          </cell>
        </row>
        <row r="8701">
          <cell r="A8701">
            <v>8080419</v>
          </cell>
        </row>
        <row r="8702">
          <cell r="A8702">
            <v>8080420</v>
          </cell>
        </row>
        <row r="8703">
          <cell r="A8703">
            <v>8080421</v>
          </cell>
        </row>
        <row r="8704">
          <cell r="A8704">
            <v>8080422</v>
          </cell>
        </row>
        <row r="8705">
          <cell r="A8705">
            <v>8080423</v>
          </cell>
        </row>
        <row r="8706">
          <cell r="A8706">
            <v>8080424</v>
          </cell>
        </row>
        <row r="8707">
          <cell r="A8707">
            <v>8080425</v>
          </cell>
        </row>
        <row r="8708">
          <cell r="A8708">
            <v>8080426</v>
          </cell>
        </row>
        <row r="8709">
          <cell r="A8709">
            <v>8080427</v>
          </cell>
        </row>
        <row r="8710">
          <cell r="A8710">
            <v>8080428</v>
          </cell>
        </row>
        <row r="8711">
          <cell r="A8711">
            <v>8080429</v>
          </cell>
        </row>
        <row r="8712">
          <cell r="A8712">
            <v>8080430</v>
          </cell>
        </row>
        <row r="8713">
          <cell r="A8713">
            <v>8080431</v>
          </cell>
        </row>
        <row r="8714">
          <cell r="A8714">
            <v>8080432</v>
          </cell>
        </row>
        <row r="8715">
          <cell r="A8715">
            <v>8080433</v>
          </cell>
        </row>
        <row r="8716">
          <cell r="A8716">
            <v>8080434</v>
          </cell>
        </row>
        <row r="8717">
          <cell r="A8717">
            <v>8080435</v>
          </cell>
        </row>
        <row r="8718">
          <cell r="A8718">
            <v>8080436</v>
          </cell>
        </row>
        <row r="8719">
          <cell r="A8719">
            <v>8080437</v>
          </cell>
        </row>
        <row r="8720">
          <cell r="A8720">
            <v>8080438</v>
          </cell>
        </row>
        <row r="8721">
          <cell r="A8721">
            <v>8080439</v>
          </cell>
        </row>
        <row r="8722">
          <cell r="A8722">
            <v>8080440</v>
          </cell>
        </row>
        <row r="8723">
          <cell r="A8723">
            <v>8080441</v>
          </cell>
        </row>
        <row r="8724">
          <cell r="A8724">
            <v>8080442</v>
          </cell>
        </row>
        <row r="8725">
          <cell r="A8725">
            <v>8080443</v>
          </cell>
        </row>
        <row r="8726">
          <cell r="A8726">
            <v>8080444</v>
          </cell>
        </row>
        <row r="8727">
          <cell r="A8727">
            <v>8080446</v>
          </cell>
        </row>
        <row r="8728">
          <cell r="A8728">
            <v>8080447</v>
          </cell>
        </row>
        <row r="8729">
          <cell r="A8729">
            <v>8080448</v>
          </cell>
        </row>
        <row r="8730">
          <cell r="A8730">
            <v>8080449</v>
          </cell>
        </row>
        <row r="8731">
          <cell r="A8731">
            <v>8080501</v>
          </cell>
        </row>
        <row r="8732">
          <cell r="A8732">
            <v>8080502</v>
          </cell>
        </row>
        <row r="8733">
          <cell r="A8733">
            <v>8080503</v>
          </cell>
        </row>
        <row r="8734">
          <cell r="A8734">
            <v>8080504</v>
          </cell>
        </row>
        <row r="8735">
          <cell r="A8735">
            <v>8080505</v>
          </cell>
        </row>
        <row r="8736">
          <cell r="A8736">
            <v>8080506</v>
          </cell>
        </row>
        <row r="8737">
          <cell r="A8737">
            <v>8080507</v>
          </cell>
        </row>
        <row r="8738">
          <cell r="A8738">
            <v>8080508</v>
          </cell>
        </row>
        <row r="8739">
          <cell r="A8739">
            <v>8080509</v>
          </cell>
        </row>
        <row r="8740">
          <cell r="A8740">
            <v>8080510</v>
          </cell>
        </row>
        <row r="8741">
          <cell r="A8741">
            <v>8080511</v>
          </cell>
        </row>
        <row r="8742">
          <cell r="A8742">
            <v>8080512</v>
          </cell>
        </row>
        <row r="8743">
          <cell r="A8743">
            <v>8080513</v>
          </cell>
        </row>
        <row r="8744">
          <cell r="A8744">
            <v>8080514</v>
          </cell>
        </row>
        <row r="8745">
          <cell r="A8745">
            <v>8080515</v>
          </cell>
        </row>
        <row r="8746">
          <cell r="A8746">
            <v>8080516</v>
          </cell>
        </row>
        <row r="8747">
          <cell r="A8747">
            <v>8080517</v>
          </cell>
        </row>
        <row r="8748">
          <cell r="A8748">
            <v>8080518</v>
          </cell>
        </row>
        <row r="8749">
          <cell r="A8749">
            <v>8080519</v>
          </cell>
        </row>
        <row r="8750">
          <cell r="A8750">
            <v>8080520</v>
          </cell>
        </row>
        <row r="8751">
          <cell r="A8751">
            <v>8080521</v>
          </cell>
        </row>
        <row r="8752">
          <cell r="A8752">
            <v>8080522</v>
          </cell>
        </row>
        <row r="8753">
          <cell r="A8753">
            <v>8080523</v>
          </cell>
        </row>
        <row r="8754">
          <cell r="A8754">
            <v>8080524</v>
          </cell>
        </row>
        <row r="8755">
          <cell r="A8755">
            <v>8080525</v>
          </cell>
        </row>
        <row r="8756">
          <cell r="A8756">
            <v>8080526</v>
          </cell>
        </row>
        <row r="8757">
          <cell r="A8757">
            <v>8080527</v>
          </cell>
        </row>
        <row r="8758">
          <cell r="A8758">
            <v>8080528</v>
          </cell>
        </row>
        <row r="8759">
          <cell r="A8759">
            <v>8080531</v>
          </cell>
        </row>
        <row r="8760">
          <cell r="A8760">
            <v>8080532</v>
          </cell>
        </row>
        <row r="8761">
          <cell r="A8761">
            <v>8080533</v>
          </cell>
        </row>
        <row r="8762">
          <cell r="A8762">
            <v>8080534</v>
          </cell>
        </row>
        <row r="8763">
          <cell r="A8763">
            <v>8080535</v>
          </cell>
        </row>
        <row r="8764">
          <cell r="A8764">
            <v>8080543</v>
          </cell>
        </row>
        <row r="8765">
          <cell r="A8765">
            <v>8080545</v>
          </cell>
        </row>
        <row r="8766">
          <cell r="A8766">
            <v>8080546</v>
          </cell>
        </row>
        <row r="8767">
          <cell r="A8767">
            <v>8080547</v>
          </cell>
        </row>
        <row r="8768">
          <cell r="A8768">
            <v>8080548</v>
          </cell>
        </row>
        <row r="8769">
          <cell r="A8769">
            <v>8080549</v>
          </cell>
        </row>
        <row r="8770">
          <cell r="A8770">
            <v>8080550</v>
          </cell>
        </row>
        <row r="8771">
          <cell r="A8771">
            <v>8080551</v>
          </cell>
        </row>
        <row r="8772">
          <cell r="A8772">
            <v>8080601</v>
          </cell>
        </row>
        <row r="8773">
          <cell r="A8773">
            <v>8080602</v>
          </cell>
        </row>
        <row r="8774">
          <cell r="A8774">
            <v>8080603</v>
          </cell>
        </row>
        <row r="8775">
          <cell r="A8775">
            <v>8080604</v>
          </cell>
        </row>
        <row r="8776">
          <cell r="A8776">
            <v>8080605</v>
          </cell>
        </row>
        <row r="8777">
          <cell r="A8777">
            <v>8080606</v>
          </cell>
        </row>
        <row r="8778">
          <cell r="A8778">
            <v>8080607</v>
          </cell>
        </row>
        <row r="8779">
          <cell r="A8779">
            <v>8080608</v>
          </cell>
        </row>
        <row r="8780">
          <cell r="A8780">
            <v>8080609</v>
          </cell>
        </row>
        <row r="8781">
          <cell r="A8781">
            <v>8080610</v>
          </cell>
        </row>
        <row r="8782">
          <cell r="A8782">
            <v>8080611</v>
          </cell>
        </row>
        <row r="8783">
          <cell r="A8783">
            <v>8080612</v>
          </cell>
        </row>
        <row r="8784">
          <cell r="A8784">
            <v>8080613</v>
          </cell>
        </row>
        <row r="8785">
          <cell r="A8785">
            <v>8080614</v>
          </cell>
        </row>
        <row r="8786">
          <cell r="A8786">
            <v>8080615</v>
          </cell>
        </row>
        <row r="8787">
          <cell r="A8787">
            <v>8080616</v>
          </cell>
        </row>
        <row r="8788">
          <cell r="A8788">
            <v>8080617</v>
          </cell>
        </row>
        <row r="8789">
          <cell r="A8789">
            <v>8080618</v>
          </cell>
        </row>
        <row r="8790">
          <cell r="A8790">
            <v>8080619</v>
          </cell>
        </row>
        <row r="8791">
          <cell r="A8791">
            <v>8080620</v>
          </cell>
        </row>
        <row r="8792">
          <cell r="A8792">
            <v>8080621</v>
          </cell>
        </row>
        <row r="8793">
          <cell r="A8793">
            <v>8080622</v>
          </cell>
        </row>
        <row r="8794">
          <cell r="A8794">
            <v>8080623</v>
          </cell>
        </row>
        <row r="8795">
          <cell r="A8795">
            <v>8080624</v>
          </cell>
        </row>
        <row r="8796">
          <cell r="A8796">
            <v>8080630</v>
          </cell>
        </row>
        <row r="8797">
          <cell r="A8797">
            <v>8080631</v>
          </cell>
        </row>
        <row r="8798">
          <cell r="A8798">
            <v>8080632</v>
          </cell>
        </row>
        <row r="8799">
          <cell r="A8799">
            <v>8080633</v>
          </cell>
        </row>
        <row r="8800">
          <cell r="A8800">
            <v>8080634</v>
          </cell>
        </row>
        <row r="8801">
          <cell r="A8801">
            <v>8080635</v>
          </cell>
        </row>
        <row r="8802">
          <cell r="A8802">
            <v>8080636</v>
          </cell>
        </row>
        <row r="8803">
          <cell r="A8803">
            <v>8080637</v>
          </cell>
        </row>
        <row r="8804">
          <cell r="A8804">
            <v>8080638</v>
          </cell>
        </row>
        <row r="8805">
          <cell r="A8805">
            <v>8080639</v>
          </cell>
        </row>
        <row r="8806">
          <cell r="A8806">
            <v>8080640</v>
          </cell>
        </row>
        <row r="8807">
          <cell r="A8807">
            <v>8080641</v>
          </cell>
        </row>
        <row r="8808">
          <cell r="A8808">
            <v>8080642</v>
          </cell>
        </row>
        <row r="8809">
          <cell r="A8809">
            <v>8080643</v>
          </cell>
        </row>
        <row r="8810">
          <cell r="A8810">
            <v>8080644</v>
          </cell>
        </row>
        <row r="8811">
          <cell r="A8811">
            <v>8080645</v>
          </cell>
        </row>
        <row r="8812">
          <cell r="A8812">
            <v>8080646</v>
          </cell>
        </row>
        <row r="8813">
          <cell r="A8813">
            <v>8080647</v>
          </cell>
        </row>
        <row r="8814">
          <cell r="A8814">
            <v>8080648</v>
          </cell>
        </row>
        <row r="8815">
          <cell r="A8815">
            <v>8080649</v>
          </cell>
        </row>
        <row r="8816">
          <cell r="A8816">
            <v>8080650</v>
          </cell>
        </row>
        <row r="8817">
          <cell r="A8817">
            <v>8080651</v>
          </cell>
        </row>
        <row r="8818">
          <cell r="A8818">
            <v>8080652</v>
          </cell>
        </row>
        <row r="8819">
          <cell r="A8819">
            <v>8080653</v>
          </cell>
        </row>
        <row r="8820">
          <cell r="A8820">
            <v>8080654</v>
          </cell>
        </row>
        <row r="8821">
          <cell r="A8821">
            <v>8080655</v>
          </cell>
        </row>
        <row r="8822">
          <cell r="A8822">
            <v>8080656</v>
          </cell>
        </row>
        <row r="8823">
          <cell r="A8823">
            <v>8080657</v>
          </cell>
        </row>
        <row r="8824">
          <cell r="A8824">
            <v>8080658</v>
          </cell>
        </row>
        <row r="8825">
          <cell r="A8825">
            <v>8080701</v>
          </cell>
        </row>
        <row r="8826">
          <cell r="A8826">
            <v>8080702</v>
          </cell>
        </row>
        <row r="8827">
          <cell r="A8827">
            <v>8080703</v>
          </cell>
        </row>
        <row r="8828">
          <cell r="A8828">
            <v>8080704</v>
          </cell>
        </row>
        <row r="8829">
          <cell r="A8829">
            <v>8080705</v>
          </cell>
        </row>
        <row r="8830">
          <cell r="A8830">
            <v>8080706</v>
          </cell>
        </row>
        <row r="8831">
          <cell r="A8831">
            <v>8080707</v>
          </cell>
        </row>
        <row r="8832">
          <cell r="A8832">
            <v>8080708</v>
          </cell>
        </row>
        <row r="8833">
          <cell r="A8833">
            <v>8080709</v>
          </cell>
        </row>
        <row r="8834">
          <cell r="A8834">
            <v>8080710</v>
          </cell>
        </row>
        <row r="8835">
          <cell r="A8835">
            <v>8080711</v>
          </cell>
        </row>
        <row r="8836">
          <cell r="A8836">
            <v>8080712</v>
          </cell>
        </row>
        <row r="8837">
          <cell r="A8837">
            <v>8080713</v>
          </cell>
        </row>
        <row r="8838">
          <cell r="A8838">
            <v>8080714</v>
          </cell>
        </row>
        <row r="8839">
          <cell r="A8839">
            <v>8080715</v>
          </cell>
        </row>
        <row r="8840">
          <cell r="A8840">
            <v>8080716</v>
          </cell>
        </row>
        <row r="8841">
          <cell r="A8841">
            <v>8080717</v>
          </cell>
        </row>
        <row r="8842">
          <cell r="A8842">
            <v>8080718</v>
          </cell>
        </row>
        <row r="8843">
          <cell r="A8843">
            <v>8080719</v>
          </cell>
        </row>
        <row r="8844">
          <cell r="A8844">
            <v>8080720</v>
          </cell>
        </row>
        <row r="8845">
          <cell r="A8845">
            <v>8080721</v>
          </cell>
        </row>
        <row r="8846">
          <cell r="A8846">
            <v>8080722</v>
          </cell>
        </row>
        <row r="8847">
          <cell r="A8847">
            <v>8080725</v>
          </cell>
        </row>
        <row r="8848">
          <cell r="A8848">
            <v>8080726</v>
          </cell>
        </row>
        <row r="8849">
          <cell r="A8849">
            <v>8080727</v>
          </cell>
        </row>
        <row r="8850">
          <cell r="A8850">
            <v>8080728</v>
          </cell>
        </row>
        <row r="8851">
          <cell r="A8851">
            <v>8080729</v>
          </cell>
        </row>
        <row r="8852">
          <cell r="A8852">
            <v>8080730</v>
          </cell>
        </row>
        <row r="8853">
          <cell r="A8853">
            <v>8080731</v>
          </cell>
        </row>
        <row r="8854">
          <cell r="A8854">
            <v>8080732</v>
          </cell>
        </row>
        <row r="8855">
          <cell r="A8855">
            <v>8080733</v>
          </cell>
        </row>
        <row r="8856">
          <cell r="A8856">
            <v>8080734</v>
          </cell>
        </row>
        <row r="8857">
          <cell r="A8857">
            <v>8080801</v>
          </cell>
        </row>
        <row r="8858">
          <cell r="A8858">
            <v>8080802</v>
          </cell>
        </row>
        <row r="8859">
          <cell r="A8859">
            <v>8080803</v>
          </cell>
        </row>
        <row r="8860">
          <cell r="A8860">
            <v>8080804</v>
          </cell>
        </row>
        <row r="8861">
          <cell r="A8861">
            <v>8080805</v>
          </cell>
        </row>
        <row r="8862">
          <cell r="A8862">
            <v>8080806</v>
          </cell>
        </row>
        <row r="8863">
          <cell r="A8863">
            <v>8080807</v>
          </cell>
        </row>
        <row r="8864">
          <cell r="A8864">
            <v>8080808</v>
          </cell>
        </row>
        <row r="8865">
          <cell r="A8865">
            <v>8080809</v>
          </cell>
        </row>
        <row r="8866">
          <cell r="A8866">
            <v>8080810</v>
          </cell>
        </row>
        <row r="8867">
          <cell r="A8867">
            <v>8080811</v>
          </cell>
        </row>
        <row r="8868">
          <cell r="A8868">
            <v>8080812</v>
          </cell>
        </row>
        <row r="8869">
          <cell r="A8869">
            <v>8080813</v>
          </cell>
        </row>
        <row r="8870">
          <cell r="A8870">
            <v>8080814</v>
          </cell>
        </row>
        <row r="8871">
          <cell r="A8871">
            <v>8080815</v>
          </cell>
        </row>
        <row r="8872">
          <cell r="A8872">
            <v>8080816</v>
          </cell>
        </row>
        <row r="8873">
          <cell r="A8873">
            <v>8080817</v>
          </cell>
        </row>
        <row r="8874">
          <cell r="A8874">
            <v>8080818</v>
          </cell>
        </row>
        <row r="8875">
          <cell r="A8875">
            <v>8080819</v>
          </cell>
        </row>
        <row r="8876">
          <cell r="A8876">
            <v>8080820</v>
          </cell>
        </row>
        <row r="8877">
          <cell r="A8877">
            <v>8080821</v>
          </cell>
        </row>
        <row r="8878">
          <cell r="A8878">
            <v>8080824</v>
          </cell>
        </row>
        <row r="8879">
          <cell r="A8879">
            <v>8080825</v>
          </cell>
        </row>
        <row r="8880">
          <cell r="A8880">
            <v>8080826</v>
          </cell>
        </row>
        <row r="8881">
          <cell r="A8881">
            <v>8080827</v>
          </cell>
        </row>
        <row r="8882">
          <cell r="A8882">
            <v>8080828</v>
          </cell>
        </row>
        <row r="8883">
          <cell r="A8883">
            <v>8080829</v>
          </cell>
        </row>
        <row r="8884">
          <cell r="A8884">
            <v>8080830</v>
          </cell>
        </row>
        <row r="8885">
          <cell r="A8885">
            <v>8080831</v>
          </cell>
        </row>
        <row r="8886">
          <cell r="A8886">
            <v>8080832</v>
          </cell>
        </row>
        <row r="8887">
          <cell r="A8887">
            <v>8080833</v>
          </cell>
        </row>
        <row r="8888">
          <cell r="A8888">
            <v>8080834</v>
          </cell>
        </row>
        <row r="8889">
          <cell r="A8889">
            <v>8080835</v>
          </cell>
        </row>
        <row r="8890">
          <cell r="A8890">
            <v>8080836</v>
          </cell>
        </row>
        <row r="8891">
          <cell r="A8891">
            <v>8080837</v>
          </cell>
        </row>
        <row r="8892">
          <cell r="A8892">
            <v>8080901</v>
          </cell>
        </row>
        <row r="8893">
          <cell r="A8893">
            <v>8080902</v>
          </cell>
        </row>
        <row r="8894">
          <cell r="A8894">
            <v>8080903</v>
          </cell>
        </row>
        <row r="8895">
          <cell r="A8895">
            <v>8080904</v>
          </cell>
        </row>
        <row r="8896">
          <cell r="A8896">
            <v>8080905</v>
          </cell>
        </row>
        <row r="8897">
          <cell r="A8897">
            <v>8080906</v>
          </cell>
        </row>
        <row r="8898">
          <cell r="A8898">
            <v>8080907</v>
          </cell>
        </row>
        <row r="8899">
          <cell r="A8899">
            <v>8080908</v>
          </cell>
        </row>
        <row r="8900">
          <cell r="A8900">
            <v>8080909</v>
          </cell>
        </row>
        <row r="8901">
          <cell r="A8901">
            <v>8080910</v>
          </cell>
        </row>
        <row r="8902">
          <cell r="A8902">
            <v>8080911</v>
          </cell>
        </row>
        <row r="8903">
          <cell r="A8903">
            <v>8080912</v>
          </cell>
        </row>
        <row r="8904">
          <cell r="A8904">
            <v>8080913</v>
          </cell>
        </row>
        <row r="8905">
          <cell r="A8905">
            <v>8080914</v>
          </cell>
        </row>
        <row r="8906">
          <cell r="A8906">
            <v>8080915</v>
          </cell>
        </row>
        <row r="8907">
          <cell r="A8907">
            <v>8080916</v>
          </cell>
        </row>
        <row r="8908">
          <cell r="A8908">
            <v>8080917</v>
          </cell>
        </row>
        <row r="8909">
          <cell r="A8909">
            <v>8080918</v>
          </cell>
        </row>
        <row r="8910">
          <cell r="A8910">
            <v>8080919</v>
          </cell>
        </row>
        <row r="8911">
          <cell r="A8911">
            <v>8080920</v>
          </cell>
        </row>
        <row r="8912">
          <cell r="A8912">
            <v>8080921</v>
          </cell>
        </row>
        <row r="8913">
          <cell r="A8913">
            <v>8080922</v>
          </cell>
        </row>
        <row r="8914">
          <cell r="A8914">
            <v>8080923</v>
          </cell>
        </row>
        <row r="8915">
          <cell r="A8915">
            <v>8080924</v>
          </cell>
        </row>
        <row r="8916">
          <cell r="A8916">
            <v>8080925</v>
          </cell>
        </row>
        <row r="8917">
          <cell r="A8917">
            <v>8080931</v>
          </cell>
        </row>
        <row r="8918">
          <cell r="A8918">
            <v>8080932</v>
          </cell>
        </row>
        <row r="8919">
          <cell r="A8919">
            <v>8080933</v>
          </cell>
        </row>
        <row r="8920">
          <cell r="A8920">
            <v>8080934</v>
          </cell>
        </row>
        <row r="8921">
          <cell r="A8921">
            <v>8080935</v>
          </cell>
        </row>
        <row r="8922">
          <cell r="A8922">
            <v>8080936</v>
          </cell>
        </row>
        <row r="8923">
          <cell r="A8923">
            <v>8080937</v>
          </cell>
        </row>
        <row r="8924">
          <cell r="A8924">
            <v>8080938</v>
          </cell>
        </row>
        <row r="8925">
          <cell r="A8925">
            <v>8080939</v>
          </cell>
        </row>
        <row r="8926">
          <cell r="A8926">
            <v>8080940</v>
          </cell>
        </row>
        <row r="8927">
          <cell r="A8927">
            <v>8080941</v>
          </cell>
        </row>
        <row r="8928">
          <cell r="A8928">
            <v>8080942</v>
          </cell>
        </row>
        <row r="8929">
          <cell r="A8929">
            <v>8080943</v>
          </cell>
        </row>
        <row r="8930">
          <cell r="A8930">
            <v>8080944</v>
          </cell>
        </row>
        <row r="8931">
          <cell r="A8931">
            <v>8080945</v>
          </cell>
        </row>
        <row r="8932">
          <cell r="A8932">
            <v>8080946</v>
          </cell>
        </row>
        <row r="8933">
          <cell r="A8933">
            <v>8080950</v>
          </cell>
        </row>
        <row r="8934">
          <cell r="A8934">
            <v>8080951</v>
          </cell>
        </row>
        <row r="8935">
          <cell r="A8935">
            <v>8080952</v>
          </cell>
        </row>
        <row r="8936">
          <cell r="A8936">
            <v>8080953</v>
          </cell>
        </row>
        <row r="8937">
          <cell r="A8937">
            <v>8080954</v>
          </cell>
        </row>
        <row r="8938">
          <cell r="A8938">
            <v>8080955</v>
          </cell>
        </row>
        <row r="8939">
          <cell r="A8939">
            <v>8080956</v>
          </cell>
        </row>
        <row r="8940">
          <cell r="A8940">
            <v>8080957</v>
          </cell>
        </row>
        <row r="8941">
          <cell r="A8941">
            <v>8081001</v>
          </cell>
        </row>
        <row r="8942">
          <cell r="A8942">
            <v>8081002</v>
          </cell>
        </row>
        <row r="8943">
          <cell r="A8943">
            <v>8081003</v>
          </cell>
        </row>
        <row r="8944">
          <cell r="A8944">
            <v>8081004</v>
          </cell>
        </row>
        <row r="8945">
          <cell r="A8945">
            <v>8081005</v>
          </cell>
        </row>
        <row r="8946">
          <cell r="A8946">
            <v>8081006</v>
          </cell>
        </row>
        <row r="8947">
          <cell r="A8947">
            <v>8081007</v>
          </cell>
        </row>
        <row r="8948">
          <cell r="A8948">
            <v>8081011</v>
          </cell>
        </row>
        <row r="8949">
          <cell r="A8949">
            <v>8081012</v>
          </cell>
        </row>
        <row r="8950">
          <cell r="A8950">
            <v>8081013</v>
          </cell>
        </row>
        <row r="8951">
          <cell r="A8951">
            <v>8081014</v>
          </cell>
        </row>
        <row r="8952">
          <cell r="A8952">
            <v>8081101</v>
          </cell>
        </row>
        <row r="8953">
          <cell r="A8953">
            <v>8081102</v>
          </cell>
        </row>
        <row r="8954">
          <cell r="A8954">
            <v>8081103</v>
          </cell>
        </row>
        <row r="8955">
          <cell r="A8955">
            <v>8081104</v>
          </cell>
        </row>
        <row r="8956">
          <cell r="A8956">
            <v>8081105</v>
          </cell>
        </row>
        <row r="8957">
          <cell r="A8957">
            <v>8081106</v>
          </cell>
        </row>
        <row r="8958">
          <cell r="A8958">
            <v>8081107</v>
          </cell>
        </row>
        <row r="8959">
          <cell r="A8959">
            <v>8081108</v>
          </cell>
        </row>
        <row r="8960">
          <cell r="A8960">
            <v>8081109</v>
          </cell>
        </row>
        <row r="8961">
          <cell r="A8961">
            <v>8081110</v>
          </cell>
        </row>
        <row r="8962">
          <cell r="A8962">
            <v>8081111</v>
          </cell>
        </row>
        <row r="8963">
          <cell r="A8963">
            <v>8081112</v>
          </cell>
        </row>
        <row r="8964">
          <cell r="A8964">
            <v>8081113</v>
          </cell>
        </row>
        <row r="8965">
          <cell r="A8965">
            <v>8081114</v>
          </cell>
        </row>
        <row r="8966">
          <cell r="A8966">
            <v>8081115</v>
          </cell>
        </row>
        <row r="8967">
          <cell r="A8967">
            <v>8081118</v>
          </cell>
        </row>
        <row r="8968">
          <cell r="A8968">
            <v>8081119</v>
          </cell>
        </row>
        <row r="8969">
          <cell r="A8969">
            <v>8081120</v>
          </cell>
        </row>
        <row r="8970">
          <cell r="A8970">
            <v>8081301</v>
          </cell>
        </row>
        <row r="8971">
          <cell r="A8971">
            <v>8081302</v>
          </cell>
        </row>
        <row r="8972">
          <cell r="A8972">
            <v>8081303</v>
          </cell>
        </row>
        <row r="8973">
          <cell r="A8973">
            <v>8081304</v>
          </cell>
        </row>
        <row r="8974">
          <cell r="A8974">
            <v>8081305</v>
          </cell>
        </row>
        <row r="8975">
          <cell r="A8975">
            <v>8081306</v>
          </cell>
        </row>
        <row r="8976">
          <cell r="A8976">
            <v>8081307</v>
          </cell>
        </row>
        <row r="8977">
          <cell r="A8977">
            <v>8081308</v>
          </cell>
        </row>
        <row r="8978">
          <cell r="A8978">
            <v>8081309</v>
          </cell>
        </row>
        <row r="8979">
          <cell r="A8979">
            <v>8081310</v>
          </cell>
        </row>
        <row r="8980">
          <cell r="A8980">
            <v>8081311</v>
          </cell>
        </row>
        <row r="8981">
          <cell r="A8981">
            <v>8081312</v>
          </cell>
        </row>
        <row r="8982">
          <cell r="A8982">
            <v>8081313</v>
          </cell>
        </row>
        <row r="8983">
          <cell r="A8983">
            <v>8081314</v>
          </cell>
        </row>
        <row r="8984">
          <cell r="A8984">
            <v>8081315</v>
          </cell>
        </row>
        <row r="8985">
          <cell r="A8985">
            <v>8081316</v>
          </cell>
        </row>
        <row r="8986">
          <cell r="A8986">
            <v>8081317</v>
          </cell>
        </row>
        <row r="8987">
          <cell r="A8987">
            <v>8081318</v>
          </cell>
        </row>
        <row r="8988">
          <cell r="A8988">
            <v>8081319</v>
          </cell>
        </row>
        <row r="8989">
          <cell r="A8989">
            <v>8081320</v>
          </cell>
        </row>
        <row r="8990">
          <cell r="A8990">
            <v>8081321</v>
          </cell>
        </row>
        <row r="8991">
          <cell r="A8991">
            <v>8081322</v>
          </cell>
        </row>
        <row r="8992">
          <cell r="A8992">
            <v>8081323</v>
          </cell>
        </row>
        <row r="8993">
          <cell r="A8993">
            <v>8081324</v>
          </cell>
        </row>
        <row r="8994">
          <cell r="A8994">
            <v>8081325</v>
          </cell>
        </row>
        <row r="8995">
          <cell r="A8995">
            <v>8081326</v>
          </cell>
        </row>
        <row r="8996">
          <cell r="A8996">
            <v>8081327</v>
          </cell>
        </row>
        <row r="8997">
          <cell r="A8997">
            <v>8081328</v>
          </cell>
        </row>
        <row r="8998">
          <cell r="A8998">
            <v>8081329</v>
          </cell>
        </row>
        <row r="8999">
          <cell r="A8999">
            <v>8081330</v>
          </cell>
        </row>
        <row r="9000">
          <cell r="A9000">
            <v>8081331</v>
          </cell>
        </row>
        <row r="9001">
          <cell r="A9001">
            <v>8081332</v>
          </cell>
        </row>
        <row r="9002">
          <cell r="A9002">
            <v>8081333</v>
          </cell>
        </row>
        <row r="9003">
          <cell r="A9003">
            <v>8081334</v>
          </cell>
        </row>
        <row r="9004">
          <cell r="A9004">
            <v>8081335</v>
          </cell>
        </row>
        <row r="9005">
          <cell r="A9005">
            <v>8081336</v>
          </cell>
        </row>
        <row r="9006">
          <cell r="A9006">
            <v>8081337</v>
          </cell>
        </row>
        <row r="9007">
          <cell r="A9007">
            <v>8081338</v>
          </cell>
        </row>
        <row r="9008">
          <cell r="A9008">
            <v>8081339</v>
          </cell>
        </row>
        <row r="9009">
          <cell r="A9009">
            <v>8081340</v>
          </cell>
        </row>
        <row r="9010">
          <cell r="A9010">
            <v>8081341</v>
          </cell>
        </row>
        <row r="9011">
          <cell r="A9011">
            <v>8081342</v>
          </cell>
        </row>
        <row r="9012">
          <cell r="A9012">
            <v>8081343</v>
          </cell>
        </row>
        <row r="9013">
          <cell r="A9013">
            <v>8081344</v>
          </cell>
        </row>
        <row r="9014">
          <cell r="A9014">
            <v>8081345</v>
          </cell>
        </row>
        <row r="9015">
          <cell r="A9015">
            <v>8081346</v>
          </cell>
        </row>
        <row r="9016">
          <cell r="A9016">
            <v>8081347</v>
          </cell>
        </row>
        <row r="9017">
          <cell r="A9017">
            <v>8081348</v>
          </cell>
        </row>
        <row r="9018">
          <cell r="A9018">
            <v>8081401</v>
          </cell>
        </row>
        <row r="9019">
          <cell r="A9019">
            <v>8081402</v>
          </cell>
        </row>
        <row r="9020">
          <cell r="A9020">
            <v>8081403</v>
          </cell>
        </row>
        <row r="9021">
          <cell r="A9021">
            <v>8081404</v>
          </cell>
        </row>
        <row r="9022">
          <cell r="A9022">
            <v>8081405</v>
          </cell>
        </row>
        <row r="9023">
          <cell r="A9023">
            <v>8081406</v>
          </cell>
        </row>
        <row r="9024">
          <cell r="A9024">
            <v>8081407</v>
          </cell>
        </row>
        <row r="9025">
          <cell r="A9025">
            <v>8081408</v>
          </cell>
        </row>
        <row r="9026">
          <cell r="A9026">
            <v>8081409</v>
          </cell>
        </row>
        <row r="9027">
          <cell r="A9027">
            <v>8081410</v>
          </cell>
        </row>
        <row r="9028">
          <cell r="A9028">
            <v>8081411</v>
          </cell>
        </row>
        <row r="9029">
          <cell r="A9029">
            <v>8081412</v>
          </cell>
        </row>
        <row r="9030">
          <cell r="A9030">
            <v>8081413</v>
          </cell>
        </row>
        <row r="9031">
          <cell r="A9031">
            <v>8081414</v>
          </cell>
        </row>
        <row r="9032">
          <cell r="A9032">
            <v>8081415</v>
          </cell>
        </row>
        <row r="9033">
          <cell r="A9033">
            <v>8081416</v>
          </cell>
        </row>
        <row r="9034">
          <cell r="A9034">
            <v>8081417</v>
          </cell>
        </row>
        <row r="9035">
          <cell r="A9035">
            <v>8081418</v>
          </cell>
        </row>
        <row r="9036">
          <cell r="A9036">
            <v>8081419</v>
          </cell>
        </row>
        <row r="9037">
          <cell r="A9037">
            <v>8081420</v>
          </cell>
        </row>
        <row r="9038">
          <cell r="A9038">
            <v>8081421</v>
          </cell>
        </row>
        <row r="9039">
          <cell r="A9039">
            <v>8081422</v>
          </cell>
        </row>
        <row r="9040">
          <cell r="A9040">
            <v>8081423</v>
          </cell>
        </row>
        <row r="9041">
          <cell r="A9041">
            <v>8081424</v>
          </cell>
        </row>
        <row r="9042">
          <cell r="A9042">
            <v>8081425</v>
          </cell>
        </row>
        <row r="9043">
          <cell r="A9043">
            <v>8081426</v>
          </cell>
        </row>
        <row r="9044">
          <cell r="A9044">
            <v>8081427</v>
          </cell>
        </row>
        <row r="9045">
          <cell r="A9045">
            <v>8081428</v>
          </cell>
        </row>
        <row r="9046">
          <cell r="A9046">
            <v>8081429</v>
          </cell>
        </row>
        <row r="9047">
          <cell r="A9047">
            <v>8081430</v>
          </cell>
        </row>
        <row r="9048">
          <cell r="A9048">
            <v>8081431</v>
          </cell>
        </row>
        <row r="9049">
          <cell r="A9049">
            <v>8081432</v>
          </cell>
        </row>
        <row r="9050">
          <cell r="A9050">
            <v>8081433</v>
          </cell>
        </row>
        <row r="9051">
          <cell r="A9051">
            <v>8081434</v>
          </cell>
        </row>
        <row r="9052">
          <cell r="A9052">
            <v>8081435</v>
          </cell>
        </row>
        <row r="9053">
          <cell r="A9053">
            <v>8081436</v>
          </cell>
        </row>
        <row r="9054">
          <cell r="A9054">
            <v>8081443</v>
          </cell>
        </row>
        <row r="9055">
          <cell r="A9055">
            <v>8081444</v>
          </cell>
        </row>
        <row r="9056">
          <cell r="A9056">
            <v>8081445</v>
          </cell>
        </row>
        <row r="9057">
          <cell r="A9057">
            <v>8081446</v>
          </cell>
        </row>
        <row r="9058">
          <cell r="A9058">
            <v>8081447</v>
          </cell>
        </row>
        <row r="9059">
          <cell r="A9059">
            <v>8081448</v>
          </cell>
        </row>
        <row r="9060">
          <cell r="A9060">
            <v>8081449</v>
          </cell>
        </row>
        <row r="9061">
          <cell r="A9061">
            <v>8081501</v>
          </cell>
        </row>
        <row r="9062">
          <cell r="A9062">
            <v>8081502</v>
          </cell>
        </row>
        <row r="9063">
          <cell r="A9063">
            <v>8081503</v>
          </cell>
        </row>
        <row r="9064">
          <cell r="A9064">
            <v>8081504</v>
          </cell>
        </row>
        <row r="9065">
          <cell r="A9065">
            <v>8081505</v>
          </cell>
        </row>
        <row r="9066">
          <cell r="A9066">
            <v>8081506</v>
          </cell>
        </row>
        <row r="9067">
          <cell r="A9067">
            <v>8081507</v>
          </cell>
        </row>
        <row r="9068">
          <cell r="A9068">
            <v>8081508</v>
          </cell>
        </row>
        <row r="9069">
          <cell r="A9069">
            <v>8081509</v>
          </cell>
        </row>
        <row r="9070">
          <cell r="A9070">
            <v>8081510</v>
          </cell>
        </row>
        <row r="9071">
          <cell r="A9071">
            <v>8081511</v>
          </cell>
        </row>
        <row r="9072">
          <cell r="A9072">
            <v>8081512</v>
          </cell>
        </row>
        <row r="9073">
          <cell r="A9073">
            <v>8081513</v>
          </cell>
        </row>
        <row r="9074">
          <cell r="A9074">
            <v>8081514</v>
          </cell>
        </row>
        <row r="9075">
          <cell r="A9075">
            <v>8081515</v>
          </cell>
        </row>
        <row r="9076">
          <cell r="A9076">
            <v>8081516</v>
          </cell>
        </row>
        <row r="9077">
          <cell r="A9077">
            <v>8081517</v>
          </cell>
        </row>
        <row r="9078">
          <cell r="A9078">
            <v>8081518</v>
          </cell>
        </row>
        <row r="9079">
          <cell r="A9079">
            <v>8081519</v>
          </cell>
        </row>
        <row r="9080">
          <cell r="A9080">
            <v>8081520</v>
          </cell>
        </row>
        <row r="9081">
          <cell r="A9081">
            <v>8081521</v>
          </cell>
        </row>
        <row r="9082">
          <cell r="A9082">
            <v>8081522</v>
          </cell>
        </row>
        <row r="9083">
          <cell r="A9083">
            <v>8081523</v>
          </cell>
        </row>
        <row r="9084">
          <cell r="A9084">
            <v>8081524</v>
          </cell>
        </row>
        <row r="9085">
          <cell r="A9085">
            <v>8081525</v>
          </cell>
        </row>
        <row r="9086">
          <cell r="A9086">
            <v>8081526</v>
          </cell>
        </row>
        <row r="9087">
          <cell r="A9087">
            <v>8081527</v>
          </cell>
        </row>
        <row r="9088">
          <cell r="A9088">
            <v>8081528</v>
          </cell>
        </row>
        <row r="9089">
          <cell r="A9089">
            <v>8081529</v>
          </cell>
        </row>
        <row r="9090">
          <cell r="A9090">
            <v>8081532</v>
          </cell>
        </row>
        <row r="9091">
          <cell r="A9091">
            <v>8081533</v>
          </cell>
        </row>
        <row r="9092">
          <cell r="A9092">
            <v>8081534</v>
          </cell>
        </row>
        <row r="9093">
          <cell r="A9093">
            <v>8081535</v>
          </cell>
        </row>
        <row r="9094">
          <cell r="A9094">
            <v>8081536</v>
          </cell>
        </row>
        <row r="9095">
          <cell r="A9095">
            <v>8081537</v>
          </cell>
        </row>
        <row r="9096">
          <cell r="A9096">
            <v>8081538</v>
          </cell>
        </row>
        <row r="9097">
          <cell r="A9097">
            <v>8081539</v>
          </cell>
        </row>
        <row r="9098">
          <cell r="A9098">
            <v>8081546</v>
          </cell>
        </row>
        <row r="9099">
          <cell r="A9099">
            <v>8081547</v>
          </cell>
        </row>
        <row r="9100">
          <cell r="A9100">
            <v>8081548</v>
          </cell>
        </row>
        <row r="9101">
          <cell r="A9101">
            <v>8081549</v>
          </cell>
        </row>
        <row r="9102">
          <cell r="A9102">
            <v>8081550</v>
          </cell>
        </row>
        <row r="9103">
          <cell r="A9103">
            <v>8081551</v>
          </cell>
        </row>
        <row r="9104">
          <cell r="A9104">
            <v>8081552</v>
          </cell>
        </row>
        <row r="9105">
          <cell r="A9105">
            <v>8081553</v>
          </cell>
        </row>
        <row r="9106">
          <cell r="A9106">
            <v>8081554</v>
          </cell>
        </row>
        <row r="9107">
          <cell r="A9107">
            <v>8081601</v>
          </cell>
        </row>
        <row r="9108">
          <cell r="A9108">
            <v>8081602</v>
          </cell>
        </row>
        <row r="9109">
          <cell r="A9109">
            <v>8081603</v>
          </cell>
        </row>
        <row r="9110">
          <cell r="A9110">
            <v>8081604</v>
          </cell>
        </row>
        <row r="9111">
          <cell r="A9111">
            <v>8081605</v>
          </cell>
        </row>
        <row r="9112">
          <cell r="A9112">
            <v>8081606</v>
          </cell>
        </row>
        <row r="9113">
          <cell r="A9113">
            <v>8081607</v>
          </cell>
        </row>
        <row r="9114">
          <cell r="A9114">
            <v>8081608</v>
          </cell>
        </row>
        <row r="9115">
          <cell r="A9115">
            <v>8081609</v>
          </cell>
        </row>
        <row r="9116">
          <cell r="A9116">
            <v>8081610</v>
          </cell>
        </row>
        <row r="9117">
          <cell r="A9117">
            <v>8081611</v>
          </cell>
        </row>
        <row r="9118">
          <cell r="A9118">
            <v>8081612</v>
          </cell>
        </row>
        <row r="9119">
          <cell r="A9119">
            <v>8081613</v>
          </cell>
        </row>
        <row r="9120">
          <cell r="A9120">
            <v>8081614</v>
          </cell>
        </row>
        <row r="9121">
          <cell r="A9121">
            <v>8081615</v>
          </cell>
        </row>
        <row r="9122">
          <cell r="A9122">
            <v>8081616</v>
          </cell>
        </row>
        <row r="9123">
          <cell r="A9123">
            <v>8081617</v>
          </cell>
        </row>
        <row r="9124">
          <cell r="A9124">
            <v>8081618</v>
          </cell>
        </row>
        <row r="9125">
          <cell r="A9125">
            <v>8081619</v>
          </cell>
        </row>
        <row r="9126">
          <cell r="A9126">
            <v>8081620</v>
          </cell>
        </row>
        <row r="9127">
          <cell r="A9127">
            <v>8081621</v>
          </cell>
        </row>
        <row r="9128">
          <cell r="A9128">
            <v>8081622</v>
          </cell>
        </row>
        <row r="9129">
          <cell r="A9129">
            <v>8081623</v>
          </cell>
        </row>
        <row r="9130">
          <cell r="A9130">
            <v>8081624</v>
          </cell>
        </row>
        <row r="9131">
          <cell r="A9131">
            <v>8081625</v>
          </cell>
        </row>
        <row r="9132">
          <cell r="A9132">
            <v>8081626</v>
          </cell>
        </row>
        <row r="9133">
          <cell r="A9133">
            <v>8081627</v>
          </cell>
        </row>
        <row r="9134">
          <cell r="A9134">
            <v>8081628</v>
          </cell>
        </row>
        <row r="9135">
          <cell r="A9135">
            <v>8081629</v>
          </cell>
        </row>
        <row r="9136">
          <cell r="A9136">
            <v>8081630</v>
          </cell>
        </row>
        <row r="9137">
          <cell r="A9137">
            <v>8081631</v>
          </cell>
        </row>
        <row r="9138">
          <cell r="A9138">
            <v>8081632</v>
          </cell>
        </row>
        <row r="9139">
          <cell r="A9139">
            <v>8081633</v>
          </cell>
        </row>
        <row r="9140">
          <cell r="A9140">
            <v>8081634</v>
          </cell>
        </row>
        <row r="9141">
          <cell r="A9141">
            <v>8081635</v>
          </cell>
        </row>
        <row r="9142">
          <cell r="A9142">
            <v>8081636</v>
          </cell>
        </row>
        <row r="9143">
          <cell r="A9143">
            <v>8081637</v>
          </cell>
        </row>
        <row r="9144">
          <cell r="A9144">
            <v>8081642</v>
          </cell>
        </row>
        <row r="9145">
          <cell r="A9145">
            <v>8081643</v>
          </cell>
        </row>
        <row r="9146">
          <cell r="A9146">
            <v>8081644</v>
          </cell>
        </row>
        <row r="9147">
          <cell r="A9147">
            <v>8081645</v>
          </cell>
        </row>
        <row r="9148">
          <cell r="A9148">
            <v>8081646</v>
          </cell>
        </row>
        <row r="9149">
          <cell r="A9149">
            <v>8081647</v>
          </cell>
        </row>
        <row r="9150">
          <cell r="A9150">
            <v>8081648</v>
          </cell>
        </row>
        <row r="9151">
          <cell r="A9151">
            <v>8081649</v>
          </cell>
        </row>
        <row r="9152">
          <cell r="A9152">
            <v>8081650</v>
          </cell>
        </row>
        <row r="9153">
          <cell r="A9153">
            <v>8081651</v>
          </cell>
        </row>
        <row r="9154">
          <cell r="A9154">
            <v>8081653</v>
          </cell>
        </row>
        <row r="9155">
          <cell r="A9155">
            <v>8081654</v>
          </cell>
        </row>
        <row r="9156">
          <cell r="A9156">
            <v>8081655</v>
          </cell>
        </row>
        <row r="9157">
          <cell r="A9157">
            <v>8081656</v>
          </cell>
        </row>
        <row r="9158">
          <cell r="A9158">
            <v>8081657</v>
          </cell>
        </row>
        <row r="9159">
          <cell r="A9159">
            <v>8081658</v>
          </cell>
        </row>
        <row r="9160">
          <cell r="A9160">
            <v>8081659</v>
          </cell>
        </row>
        <row r="9161">
          <cell r="A9161">
            <v>8081660</v>
          </cell>
        </row>
        <row r="9162">
          <cell r="A9162">
            <v>8081701</v>
          </cell>
        </row>
        <row r="9163">
          <cell r="A9163">
            <v>8081703</v>
          </cell>
        </row>
        <row r="9164">
          <cell r="A9164">
            <v>8081704</v>
          </cell>
        </row>
        <row r="9165">
          <cell r="A9165">
            <v>8081705</v>
          </cell>
        </row>
        <row r="9166">
          <cell r="A9166">
            <v>8081706</v>
          </cell>
        </row>
        <row r="9167">
          <cell r="A9167">
            <v>8081707</v>
          </cell>
        </row>
        <row r="9168">
          <cell r="A9168">
            <v>8081708</v>
          </cell>
        </row>
        <row r="9169">
          <cell r="A9169">
            <v>8081709</v>
          </cell>
        </row>
        <row r="9170">
          <cell r="A9170">
            <v>8081710</v>
          </cell>
        </row>
        <row r="9171">
          <cell r="A9171">
            <v>8081711</v>
          </cell>
        </row>
        <row r="9172">
          <cell r="A9172">
            <v>8081712</v>
          </cell>
        </row>
        <row r="9173">
          <cell r="A9173">
            <v>8081713</v>
          </cell>
        </row>
        <row r="9174">
          <cell r="A9174">
            <v>8081714</v>
          </cell>
        </row>
        <row r="9175">
          <cell r="A9175">
            <v>8081715</v>
          </cell>
        </row>
        <row r="9176">
          <cell r="A9176">
            <v>8081716</v>
          </cell>
        </row>
        <row r="9177">
          <cell r="A9177">
            <v>8081717</v>
          </cell>
        </row>
        <row r="9178">
          <cell r="A9178">
            <v>8081718</v>
          </cell>
        </row>
        <row r="9179">
          <cell r="A9179">
            <v>8081719</v>
          </cell>
        </row>
        <row r="9180">
          <cell r="A9180">
            <v>8081720</v>
          </cell>
        </row>
        <row r="9181">
          <cell r="A9181">
            <v>8081721</v>
          </cell>
        </row>
        <row r="9182">
          <cell r="A9182">
            <v>8081722</v>
          </cell>
        </row>
        <row r="9183">
          <cell r="A9183">
            <v>8081723</v>
          </cell>
        </row>
        <row r="9184">
          <cell r="A9184">
            <v>8081724</v>
          </cell>
        </row>
        <row r="9185">
          <cell r="A9185">
            <v>8081729</v>
          </cell>
        </row>
        <row r="9186">
          <cell r="A9186">
            <v>8081801</v>
          </cell>
        </row>
        <row r="9187">
          <cell r="A9187">
            <v>8081802</v>
          </cell>
        </row>
        <row r="9188">
          <cell r="A9188">
            <v>8081803</v>
          </cell>
        </row>
        <row r="9189">
          <cell r="A9189">
            <v>8081804</v>
          </cell>
        </row>
        <row r="9190">
          <cell r="A9190">
            <v>8081805</v>
          </cell>
        </row>
        <row r="9191">
          <cell r="A9191">
            <v>8081806</v>
          </cell>
        </row>
        <row r="9192">
          <cell r="A9192">
            <v>8081807</v>
          </cell>
        </row>
        <row r="9193">
          <cell r="A9193">
            <v>8081808</v>
          </cell>
        </row>
        <row r="9194">
          <cell r="A9194">
            <v>8081809</v>
          </cell>
        </row>
        <row r="9195">
          <cell r="A9195">
            <v>8081810</v>
          </cell>
        </row>
        <row r="9196">
          <cell r="A9196">
            <v>8081811</v>
          </cell>
        </row>
        <row r="9197">
          <cell r="A9197">
            <v>8081812</v>
          </cell>
        </row>
        <row r="9198">
          <cell r="A9198">
            <v>8081813</v>
          </cell>
        </row>
        <row r="9199">
          <cell r="A9199">
            <v>8081814</v>
          </cell>
        </row>
        <row r="9200">
          <cell r="A9200">
            <v>8081817</v>
          </cell>
        </row>
        <row r="9201">
          <cell r="A9201">
            <v>8081818</v>
          </cell>
        </row>
        <row r="9202">
          <cell r="A9202">
            <v>8081819</v>
          </cell>
        </row>
        <row r="9203">
          <cell r="A9203">
            <v>8081820</v>
          </cell>
        </row>
        <row r="9204">
          <cell r="A9204">
            <v>8081821</v>
          </cell>
        </row>
        <row r="9205">
          <cell r="A9205">
            <v>8081822</v>
          </cell>
        </row>
        <row r="9206">
          <cell r="A9206">
            <v>8081823</v>
          </cell>
        </row>
        <row r="9207">
          <cell r="A9207">
            <v>8081825</v>
          </cell>
        </row>
        <row r="9208">
          <cell r="A9208">
            <v>8081826</v>
          </cell>
        </row>
        <row r="9209">
          <cell r="A9209">
            <v>8081827</v>
          </cell>
        </row>
        <row r="9210">
          <cell r="A9210">
            <v>8081828</v>
          </cell>
        </row>
        <row r="9211">
          <cell r="A9211">
            <v>8081829</v>
          </cell>
        </row>
        <row r="9212">
          <cell r="A9212">
            <v>8081830</v>
          </cell>
        </row>
        <row r="9213">
          <cell r="A9213">
            <v>8081831</v>
          </cell>
        </row>
        <row r="9214">
          <cell r="A9214">
            <v>8081832</v>
          </cell>
        </row>
        <row r="9215">
          <cell r="A9215">
            <v>8081833</v>
          </cell>
        </row>
        <row r="9216">
          <cell r="A9216">
            <v>8081834</v>
          </cell>
        </row>
        <row r="9217">
          <cell r="A9217">
            <v>8081835</v>
          </cell>
        </row>
        <row r="9218">
          <cell r="A9218">
            <v>8081836</v>
          </cell>
        </row>
        <row r="9219">
          <cell r="A9219">
            <v>8081837</v>
          </cell>
        </row>
        <row r="9220">
          <cell r="A9220">
            <v>8081838</v>
          </cell>
        </row>
        <row r="9221">
          <cell r="A9221">
            <v>8081839</v>
          </cell>
        </row>
        <row r="9222">
          <cell r="A9222">
            <v>8081840</v>
          </cell>
        </row>
        <row r="9223">
          <cell r="A9223">
            <v>8081841</v>
          </cell>
        </row>
        <row r="9224">
          <cell r="A9224">
            <v>8081842</v>
          </cell>
        </row>
        <row r="9225">
          <cell r="A9225">
            <v>8081843</v>
          </cell>
        </row>
        <row r="9226">
          <cell r="A9226">
            <v>8081845</v>
          </cell>
        </row>
        <row r="9227">
          <cell r="A9227">
            <v>8081846</v>
          </cell>
        </row>
        <row r="9228">
          <cell r="A9228">
            <v>8081901</v>
          </cell>
        </row>
        <row r="9229">
          <cell r="A9229">
            <v>8081902</v>
          </cell>
        </row>
        <row r="9230">
          <cell r="A9230">
            <v>8081903</v>
          </cell>
        </row>
        <row r="9231">
          <cell r="A9231">
            <v>8081904</v>
          </cell>
        </row>
        <row r="9232">
          <cell r="A9232">
            <v>8081905</v>
          </cell>
        </row>
        <row r="9233">
          <cell r="A9233">
            <v>8081906</v>
          </cell>
        </row>
        <row r="9234">
          <cell r="A9234">
            <v>8081907</v>
          </cell>
        </row>
        <row r="9235">
          <cell r="A9235">
            <v>8081908</v>
          </cell>
        </row>
        <row r="9236">
          <cell r="A9236">
            <v>8081909</v>
          </cell>
        </row>
        <row r="9237">
          <cell r="A9237">
            <v>8081910</v>
          </cell>
        </row>
        <row r="9238">
          <cell r="A9238">
            <v>8081911</v>
          </cell>
        </row>
        <row r="9239">
          <cell r="A9239">
            <v>8081912</v>
          </cell>
        </row>
        <row r="9240">
          <cell r="A9240">
            <v>8081913</v>
          </cell>
        </row>
        <row r="9241">
          <cell r="A9241">
            <v>8081914</v>
          </cell>
        </row>
        <row r="9242">
          <cell r="A9242">
            <v>8081915</v>
          </cell>
        </row>
        <row r="9243">
          <cell r="A9243">
            <v>8081916</v>
          </cell>
        </row>
        <row r="9244">
          <cell r="A9244">
            <v>8081917</v>
          </cell>
        </row>
        <row r="9245">
          <cell r="A9245">
            <v>8081918</v>
          </cell>
        </row>
        <row r="9246">
          <cell r="A9246">
            <v>8081919</v>
          </cell>
        </row>
        <row r="9247">
          <cell r="A9247">
            <v>8081931</v>
          </cell>
        </row>
        <row r="9248">
          <cell r="A9248">
            <v>8081932</v>
          </cell>
        </row>
        <row r="9249">
          <cell r="A9249">
            <v>8081933</v>
          </cell>
        </row>
        <row r="9250">
          <cell r="A9250">
            <v>8081934</v>
          </cell>
        </row>
        <row r="9251">
          <cell r="A9251">
            <v>8081935</v>
          </cell>
        </row>
        <row r="9252">
          <cell r="A9252">
            <v>8081936</v>
          </cell>
        </row>
        <row r="9253">
          <cell r="A9253">
            <v>8081937</v>
          </cell>
        </row>
        <row r="9254">
          <cell r="A9254">
            <v>8081938</v>
          </cell>
        </row>
        <row r="9255">
          <cell r="A9255">
            <v>8081939</v>
          </cell>
        </row>
        <row r="9256">
          <cell r="A9256">
            <v>8081940</v>
          </cell>
        </row>
        <row r="9257">
          <cell r="A9257">
            <v>8081941</v>
          </cell>
        </row>
        <row r="9258">
          <cell r="A9258">
            <v>8081942</v>
          </cell>
        </row>
        <row r="9259">
          <cell r="A9259">
            <v>8081943</v>
          </cell>
        </row>
        <row r="9260">
          <cell r="A9260">
            <v>8082001</v>
          </cell>
        </row>
        <row r="9261">
          <cell r="A9261">
            <v>8082002</v>
          </cell>
        </row>
        <row r="9262">
          <cell r="A9262">
            <v>8082003</v>
          </cell>
        </row>
        <row r="9263">
          <cell r="A9263">
            <v>8082004</v>
          </cell>
        </row>
        <row r="9264">
          <cell r="A9264">
            <v>8082005</v>
          </cell>
        </row>
        <row r="9265">
          <cell r="A9265">
            <v>8082006</v>
          </cell>
        </row>
        <row r="9266">
          <cell r="A9266">
            <v>8082007</v>
          </cell>
        </row>
        <row r="9267">
          <cell r="A9267">
            <v>8082008</v>
          </cell>
        </row>
        <row r="9268">
          <cell r="A9268">
            <v>8082009</v>
          </cell>
        </row>
        <row r="9269">
          <cell r="A9269">
            <v>8082010</v>
          </cell>
        </row>
        <row r="9270">
          <cell r="A9270">
            <v>8082011</v>
          </cell>
        </row>
        <row r="9271">
          <cell r="A9271">
            <v>8082012</v>
          </cell>
        </row>
        <row r="9272">
          <cell r="A9272">
            <v>8082018</v>
          </cell>
        </row>
        <row r="9273">
          <cell r="A9273">
            <v>8082019</v>
          </cell>
        </row>
        <row r="9274">
          <cell r="A9274">
            <v>8082020</v>
          </cell>
        </row>
        <row r="9275">
          <cell r="A9275">
            <v>8082021</v>
          </cell>
        </row>
        <row r="9276">
          <cell r="A9276">
            <v>8082022</v>
          </cell>
        </row>
        <row r="9277">
          <cell r="A9277">
            <v>8082023</v>
          </cell>
        </row>
        <row r="9278">
          <cell r="A9278">
            <v>8082024</v>
          </cell>
        </row>
        <row r="9279">
          <cell r="A9279">
            <v>8082025</v>
          </cell>
        </row>
        <row r="9280">
          <cell r="A9280">
            <v>8082026</v>
          </cell>
        </row>
        <row r="9281">
          <cell r="A9281">
            <v>8082027</v>
          </cell>
        </row>
        <row r="9282">
          <cell r="A9282">
            <v>8082028</v>
          </cell>
        </row>
        <row r="9283">
          <cell r="A9283">
            <v>8082029</v>
          </cell>
        </row>
        <row r="9284">
          <cell r="A9284">
            <v>8082030</v>
          </cell>
        </row>
        <row r="9285">
          <cell r="A9285">
            <v>8082031</v>
          </cell>
        </row>
        <row r="9286">
          <cell r="A9286">
            <v>8082032</v>
          </cell>
        </row>
        <row r="9287">
          <cell r="A9287">
            <v>8082033</v>
          </cell>
        </row>
        <row r="9288">
          <cell r="A9288">
            <v>8082034</v>
          </cell>
        </row>
        <row r="9289">
          <cell r="A9289">
            <v>8082035</v>
          </cell>
        </row>
        <row r="9290">
          <cell r="A9290">
            <v>8082036</v>
          </cell>
        </row>
        <row r="9291">
          <cell r="A9291">
            <v>8082037</v>
          </cell>
        </row>
        <row r="9292">
          <cell r="A9292">
            <v>8082038</v>
          </cell>
        </row>
        <row r="9293">
          <cell r="A9293">
            <v>8082039</v>
          </cell>
        </row>
        <row r="9294">
          <cell r="A9294">
            <v>8082040</v>
          </cell>
        </row>
        <row r="9295">
          <cell r="A9295">
            <v>8082041</v>
          </cell>
        </row>
        <row r="9296">
          <cell r="A9296">
            <v>8082046</v>
          </cell>
        </row>
        <row r="9297">
          <cell r="A9297">
            <v>8082101</v>
          </cell>
        </row>
        <row r="9298">
          <cell r="A9298">
            <v>8082102</v>
          </cell>
        </row>
        <row r="9299">
          <cell r="A9299">
            <v>8082103</v>
          </cell>
        </row>
        <row r="9300">
          <cell r="A9300">
            <v>8082104</v>
          </cell>
        </row>
        <row r="9301">
          <cell r="A9301">
            <v>8082105</v>
          </cell>
        </row>
        <row r="9302">
          <cell r="A9302">
            <v>8082106</v>
          </cell>
        </row>
        <row r="9303">
          <cell r="A9303">
            <v>8082107</v>
          </cell>
        </row>
        <row r="9304">
          <cell r="A9304">
            <v>8082108</v>
          </cell>
        </row>
        <row r="9305">
          <cell r="A9305">
            <v>8082109</v>
          </cell>
        </row>
        <row r="9306">
          <cell r="A9306">
            <v>8082110</v>
          </cell>
        </row>
        <row r="9307">
          <cell r="A9307">
            <v>8082111</v>
          </cell>
        </row>
        <row r="9308">
          <cell r="A9308">
            <v>8082112</v>
          </cell>
        </row>
        <row r="9309">
          <cell r="A9309">
            <v>8082113</v>
          </cell>
        </row>
        <row r="9310">
          <cell r="A9310">
            <v>8082114</v>
          </cell>
        </row>
        <row r="9311">
          <cell r="A9311">
            <v>8082115</v>
          </cell>
        </row>
        <row r="9312">
          <cell r="A9312">
            <v>8082116</v>
          </cell>
        </row>
        <row r="9313">
          <cell r="A9313">
            <v>8082117</v>
          </cell>
        </row>
        <row r="9314">
          <cell r="A9314">
            <v>8082118</v>
          </cell>
        </row>
        <row r="9315">
          <cell r="A9315">
            <v>8082119</v>
          </cell>
        </row>
        <row r="9316">
          <cell r="A9316">
            <v>8082120</v>
          </cell>
        </row>
        <row r="9317">
          <cell r="A9317">
            <v>8082121</v>
          </cell>
        </row>
        <row r="9318">
          <cell r="A9318">
            <v>8082122</v>
          </cell>
        </row>
        <row r="9319">
          <cell r="A9319">
            <v>8082123</v>
          </cell>
        </row>
        <row r="9320">
          <cell r="A9320">
            <v>8082124</v>
          </cell>
        </row>
        <row r="9321">
          <cell r="A9321">
            <v>8082125</v>
          </cell>
        </row>
        <row r="9322">
          <cell r="A9322">
            <v>8082126</v>
          </cell>
        </row>
        <row r="9323">
          <cell r="A9323">
            <v>8082127</v>
          </cell>
        </row>
        <row r="9324">
          <cell r="A9324">
            <v>8082128</v>
          </cell>
        </row>
        <row r="9325">
          <cell r="A9325">
            <v>8082129</v>
          </cell>
        </row>
        <row r="9326">
          <cell r="A9326">
            <v>8082130</v>
          </cell>
        </row>
        <row r="9327">
          <cell r="A9327">
            <v>8082131</v>
          </cell>
        </row>
        <row r="9328">
          <cell r="A9328">
            <v>8082132</v>
          </cell>
        </row>
        <row r="9329">
          <cell r="A9329">
            <v>8082133</v>
          </cell>
        </row>
        <row r="9330">
          <cell r="A9330">
            <v>8082134</v>
          </cell>
        </row>
        <row r="9331">
          <cell r="A9331">
            <v>8082135</v>
          </cell>
        </row>
        <row r="9332">
          <cell r="A9332">
            <v>8082136</v>
          </cell>
        </row>
        <row r="9333">
          <cell r="A9333">
            <v>8082137</v>
          </cell>
        </row>
        <row r="9334">
          <cell r="A9334">
            <v>8082138</v>
          </cell>
        </row>
        <row r="9335">
          <cell r="A9335">
            <v>8082139</v>
          </cell>
        </row>
        <row r="9336">
          <cell r="A9336">
            <v>8082140</v>
          </cell>
        </row>
        <row r="9337">
          <cell r="A9337">
            <v>8082141</v>
          </cell>
        </row>
        <row r="9338">
          <cell r="A9338">
            <v>8082142</v>
          </cell>
        </row>
        <row r="9339">
          <cell r="A9339">
            <v>8082143</v>
          </cell>
        </row>
        <row r="9340">
          <cell r="A9340">
            <v>8082144</v>
          </cell>
        </row>
        <row r="9341">
          <cell r="A9341">
            <v>8082145</v>
          </cell>
        </row>
        <row r="9342">
          <cell r="A9342">
            <v>8082146</v>
          </cell>
        </row>
        <row r="9343">
          <cell r="A9343">
            <v>8082147</v>
          </cell>
        </row>
        <row r="9344">
          <cell r="A9344">
            <v>8082149</v>
          </cell>
        </row>
        <row r="9345">
          <cell r="A9345">
            <v>8082150</v>
          </cell>
        </row>
        <row r="9346">
          <cell r="A9346">
            <v>8082151</v>
          </cell>
        </row>
        <row r="9347">
          <cell r="A9347">
            <v>8082152</v>
          </cell>
        </row>
        <row r="9348">
          <cell r="A9348">
            <v>8082153</v>
          </cell>
        </row>
        <row r="9349">
          <cell r="A9349">
            <v>8082155</v>
          </cell>
        </row>
        <row r="9350">
          <cell r="A9350">
            <v>8082201</v>
          </cell>
        </row>
        <row r="9351">
          <cell r="A9351">
            <v>8082202</v>
          </cell>
        </row>
        <row r="9352">
          <cell r="A9352">
            <v>8082203</v>
          </cell>
        </row>
        <row r="9353">
          <cell r="A9353">
            <v>8082204</v>
          </cell>
        </row>
        <row r="9354">
          <cell r="A9354">
            <v>8082205</v>
          </cell>
        </row>
        <row r="9355">
          <cell r="A9355">
            <v>8082206</v>
          </cell>
        </row>
        <row r="9356">
          <cell r="A9356">
            <v>8082207</v>
          </cell>
        </row>
        <row r="9357">
          <cell r="A9357">
            <v>8082208</v>
          </cell>
        </row>
        <row r="9358">
          <cell r="A9358">
            <v>8082209</v>
          </cell>
        </row>
        <row r="9359">
          <cell r="A9359">
            <v>8082210</v>
          </cell>
        </row>
        <row r="9360">
          <cell r="A9360">
            <v>8082211</v>
          </cell>
        </row>
        <row r="9361">
          <cell r="A9361">
            <v>8082212</v>
          </cell>
        </row>
        <row r="9362">
          <cell r="A9362">
            <v>8082213</v>
          </cell>
        </row>
        <row r="9363">
          <cell r="A9363">
            <v>8082214</v>
          </cell>
        </row>
        <row r="9364">
          <cell r="A9364">
            <v>8082215</v>
          </cell>
        </row>
        <row r="9365">
          <cell r="A9365">
            <v>8082216</v>
          </cell>
        </row>
        <row r="9366">
          <cell r="A9366">
            <v>8082217</v>
          </cell>
        </row>
        <row r="9367">
          <cell r="A9367">
            <v>8082218</v>
          </cell>
        </row>
        <row r="9368">
          <cell r="A9368">
            <v>8082219</v>
          </cell>
        </row>
        <row r="9369">
          <cell r="A9369">
            <v>8082220</v>
          </cell>
        </row>
        <row r="9370">
          <cell r="A9370">
            <v>8082221</v>
          </cell>
        </row>
        <row r="9371">
          <cell r="A9371">
            <v>8082222</v>
          </cell>
        </row>
        <row r="9372">
          <cell r="A9372">
            <v>8082223</v>
          </cell>
        </row>
        <row r="9373">
          <cell r="A9373">
            <v>8082224</v>
          </cell>
        </row>
        <row r="9374">
          <cell r="A9374">
            <v>8082225</v>
          </cell>
        </row>
        <row r="9375">
          <cell r="A9375">
            <v>8082226</v>
          </cell>
        </row>
        <row r="9376">
          <cell r="A9376">
            <v>8082227</v>
          </cell>
        </row>
        <row r="9377">
          <cell r="A9377">
            <v>8082228</v>
          </cell>
        </row>
        <row r="9378">
          <cell r="A9378">
            <v>8082229</v>
          </cell>
        </row>
        <row r="9379">
          <cell r="A9379">
            <v>8082230</v>
          </cell>
        </row>
        <row r="9380">
          <cell r="A9380">
            <v>8082231</v>
          </cell>
        </row>
        <row r="9381">
          <cell r="A9381">
            <v>8082232</v>
          </cell>
        </row>
        <row r="9382">
          <cell r="A9382">
            <v>8082233</v>
          </cell>
        </row>
        <row r="9383">
          <cell r="A9383">
            <v>8082234</v>
          </cell>
        </row>
        <row r="9384">
          <cell r="A9384">
            <v>8082235</v>
          </cell>
        </row>
        <row r="9385">
          <cell r="A9385">
            <v>8082236</v>
          </cell>
        </row>
        <row r="9386">
          <cell r="A9386">
            <v>8082237</v>
          </cell>
        </row>
        <row r="9387">
          <cell r="A9387">
            <v>8082238</v>
          </cell>
        </row>
        <row r="9388">
          <cell r="A9388">
            <v>8082239</v>
          </cell>
        </row>
        <row r="9389">
          <cell r="A9389">
            <v>8082240</v>
          </cell>
        </row>
        <row r="9390">
          <cell r="A9390">
            <v>8082241</v>
          </cell>
        </row>
        <row r="9391">
          <cell r="A9391">
            <v>8082242</v>
          </cell>
        </row>
        <row r="9392">
          <cell r="A9392">
            <v>8082243</v>
          </cell>
        </row>
        <row r="9393">
          <cell r="A9393">
            <v>8082244</v>
          </cell>
        </row>
        <row r="9394">
          <cell r="A9394">
            <v>8082245</v>
          </cell>
        </row>
        <row r="9395">
          <cell r="A9395">
            <v>8082246</v>
          </cell>
        </row>
        <row r="9396">
          <cell r="A9396">
            <v>8082247</v>
          </cell>
        </row>
        <row r="9397">
          <cell r="A9397">
            <v>8082248</v>
          </cell>
        </row>
        <row r="9398">
          <cell r="A9398">
            <v>8082249</v>
          </cell>
        </row>
        <row r="9399">
          <cell r="A9399">
            <v>8082250</v>
          </cell>
        </row>
        <row r="9400">
          <cell r="A9400">
            <v>8082251</v>
          </cell>
        </row>
        <row r="9401">
          <cell r="A9401">
            <v>8082252</v>
          </cell>
        </row>
        <row r="9402">
          <cell r="A9402">
            <v>8082253</v>
          </cell>
        </row>
        <row r="9403">
          <cell r="A9403">
            <v>8082254</v>
          </cell>
        </row>
        <row r="9404">
          <cell r="A9404">
            <v>8082255</v>
          </cell>
        </row>
        <row r="9405">
          <cell r="A9405">
            <v>8082256</v>
          </cell>
        </row>
        <row r="9406">
          <cell r="A9406">
            <v>8082257</v>
          </cell>
        </row>
        <row r="9407">
          <cell r="A9407">
            <v>8082301</v>
          </cell>
        </row>
        <row r="9408">
          <cell r="A9408">
            <v>8082302</v>
          </cell>
        </row>
        <row r="9409">
          <cell r="A9409">
            <v>8082303</v>
          </cell>
        </row>
        <row r="9410">
          <cell r="A9410">
            <v>8082304</v>
          </cell>
        </row>
        <row r="9411">
          <cell r="A9411">
            <v>8082305</v>
          </cell>
        </row>
        <row r="9412">
          <cell r="A9412">
            <v>8082306</v>
          </cell>
        </row>
        <row r="9413">
          <cell r="A9413">
            <v>8082307</v>
          </cell>
        </row>
        <row r="9414">
          <cell r="A9414">
            <v>8082308</v>
          </cell>
        </row>
        <row r="9415">
          <cell r="A9415">
            <v>8082309</v>
          </cell>
        </row>
        <row r="9416">
          <cell r="A9416">
            <v>8082310</v>
          </cell>
        </row>
        <row r="9417">
          <cell r="A9417">
            <v>8082311</v>
          </cell>
        </row>
        <row r="9418">
          <cell r="A9418">
            <v>8082312</v>
          </cell>
        </row>
        <row r="9419">
          <cell r="A9419">
            <v>8082313</v>
          </cell>
        </row>
        <row r="9420">
          <cell r="A9420">
            <v>8082314</v>
          </cell>
        </row>
        <row r="9421">
          <cell r="A9421">
            <v>8082315</v>
          </cell>
        </row>
        <row r="9422">
          <cell r="A9422">
            <v>8082316</v>
          </cell>
        </row>
        <row r="9423">
          <cell r="A9423">
            <v>8082317</v>
          </cell>
        </row>
        <row r="9424">
          <cell r="A9424">
            <v>8082318</v>
          </cell>
        </row>
        <row r="9425">
          <cell r="A9425">
            <v>8082319</v>
          </cell>
        </row>
        <row r="9426">
          <cell r="A9426">
            <v>8082320</v>
          </cell>
        </row>
        <row r="9427">
          <cell r="A9427">
            <v>8082321</v>
          </cell>
        </row>
        <row r="9428">
          <cell r="A9428">
            <v>8082322</v>
          </cell>
        </row>
        <row r="9429">
          <cell r="A9429">
            <v>8082323</v>
          </cell>
        </row>
        <row r="9430">
          <cell r="A9430">
            <v>8082324</v>
          </cell>
        </row>
        <row r="9431">
          <cell r="A9431">
            <v>8082325</v>
          </cell>
        </row>
        <row r="9432">
          <cell r="A9432">
            <v>8082326</v>
          </cell>
        </row>
        <row r="9433">
          <cell r="A9433">
            <v>8082327</v>
          </cell>
        </row>
        <row r="9434">
          <cell r="A9434">
            <v>8082328</v>
          </cell>
        </row>
        <row r="9435">
          <cell r="A9435">
            <v>8082329</v>
          </cell>
        </row>
        <row r="9436">
          <cell r="A9436">
            <v>8082330</v>
          </cell>
        </row>
        <row r="9437">
          <cell r="A9437">
            <v>8082331</v>
          </cell>
        </row>
        <row r="9438">
          <cell r="A9438">
            <v>8082332</v>
          </cell>
        </row>
        <row r="9439">
          <cell r="A9439">
            <v>8082333</v>
          </cell>
        </row>
        <row r="9440">
          <cell r="A9440">
            <v>8082334</v>
          </cell>
        </row>
        <row r="9441">
          <cell r="A9441">
            <v>8082335</v>
          </cell>
        </row>
        <row r="9442">
          <cell r="A9442">
            <v>8082336</v>
          </cell>
        </row>
        <row r="9443">
          <cell r="A9443">
            <v>8082337</v>
          </cell>
        </row>
        <row r="9444">
          <cell r="A9444">
            <v>8082338</v>
          </cell>
        </row>
        <row r="9445">
          <cell r="A9445">
            <v>8082339</v>
          </cell>
        </row>
        <row r="9446">
          <cell r="A9446">
            <v>8082401</v>
          </cell>
        </row>
        <row r="9447">
          <cell r="A9447">
            <v>8082402</v>
          </cell>
        </row>
        <row r="9448">
          <cell r="A9448">
            <v>8082403</v>
          </cell>
        </row>
        <row r="9449">
          <cell r="A9449">
            <v>8082404</v>
          </cell>
        </row>
        <row r="9450">
          <cell r="A9450">
            <v>8082405</v>
          </cell>
        </row>
        <row r="9451">
          <cell r="A9451">
            <v>8082406</v>
          </cell>
        </row>
        <row r="9452">
          <cell r="A9452">
            <v>8082407</v>
          </cell>
        </row>
        <row r="9453">
          <cell r="A9453">
            <v>8082408</v>
          </cell>
        </row>
        <row r="9454">
          <cell r="A9454">
            <v>8082409</v>
          </cell>
        </row>
        <row r="9455">
          <cell r="A9455">
            <v>8082501</v>
          </cell>
        </row>
        <row r="9456">
          <cell r="A9456">
            <v>8082502</v>
          </cell>
        </row>
        <row r="9457">
          <cell r="A9457">
            <v>8082503</v>
          </cell>
        </row>
        <row r="9458">
          <cell r="A9458">
            <v>8082504</v>
          </cell>
        </row>
        <row r="9459">
          <cell r="A9459">
            <v>8082505</v>
          </cell>
        </row>
        <row r="9460">
          <cell r="A9460">
            <v>8082506</v>
          </cell>
        </row>
        <row r="9461">
          <cell r="A9461">
            <v>8082507</v>
          </cell>
        </row>
        <row r="9462">
          <cell r="A9462">
            <v>8082508</v>
          </cell>
        </row>
        <row r="9463">
          <cell r="A9463">
            <v>8082509</v>
          </cell>
        </row>
        <row r="9464">
          <cell r="A9464">
            <v>8082510</v>
          </cell>
        </row>
        <row r="9465">
          <cell r="A9465">
            <v>8082511</v>
          </cell>
        </row>
        <row r="9466">
          <cell r="A9466">
            <v>8082512</v>
          </cell>
        </row>
        <row r="9467">
          <cell r="A9467">
            <v>8082513</v>
          </cell>
        </row>
        <row r="9468">
          <cell r="A9468">
            <v>8082516</v>
          </cell>
        </row>
        <row r="9469">
          <cell r="A9469">
            <v>8082517</v>
          </cell>
        </row>
        <row r="9470">
          <cell r="A9470">
            <v>8082518</v>
          </cell>
        </row>
        <row r="9471">
          <cell r="A9471">
            <v>8082519</v>
          </cell>
        </row>
        <row r="9472">
          <cell r="A9472">
            <v>8082520</v>
          </cell>
        </row>
        <row r="9473">
          <cell r="A9473">
            <v>8082521</v>
          </cell>
        </row>
        <row r="9474">
          <cell r="A9474">
            <v>8082522</v>
          </cell>
        </row>
        <row r="9475">
          <cell r="A9475">
            <v>8082523</v>
          </cell>
        </row>
        <row r="9476">
          <cell r="A9476">
            <v>8082524</v>
          </cell>
        </row>
        <row r="9477">
          <cell r="A9477">
            <v>8082525</v>
          </cell>
        </row>
        <row r="9478">
          <cell r="A9478">
            <v>8082526</v>
          </cell>
        </row>
        <row r="9479">
          <cell r="A9479">
            <v>8082527</v>
          </cell>
        </row>
        <row r="9480">
          <cell r="A9480">
            <v>8082528</v>
          </cell>
        </row>
        <row r="9481">
          <cell r="A9481">
            <v>8082530</v>
          </cell>
        </row>
        <row r="9482">
          <cell r="A9482">
            <v>8082531</v>
          </cell>
        </row>
        <row r="9483">
          <cell r="A9483">
            <v>8082532</v>
          </cell>
        </row>
        <row r="9484">
          <cell r="A9484">
            <v>8082533</v>
          </cell>
        </row>
        <row r="9485">
          <cell r="A9485">
            <v>8082534</v>
          </cell>
        </row>
        <row r="9486">
          <cell r="A9486">
            <v>8082535</v>
          </cell>
        </row>
        <row r="9487">
          <cell r="A9487">
            <v>8082536</v>
          </cell>
        </row>
        <row r="9488">
          <cell r="A9488">
            <v>8082537</v>
          </cell>
        </row>
        <row r="9489">
          <cell r="A9489">
            <v>8082538</v>
          </cell>
        </row>
        <row r="9490">
          <cell r="A9490">
            <v>8082539</v>
          </cell>
        </row>
        <row r="9491">
          <cell r="A9491">
            <v>8082540</v>
          </cell>
        </row>
        <row r="9492">
          <cell r="A9492">
            <v>8082541</v>
          </cell>
        </row>
        <row r="9493">
          <cell r="A9493">
            <v>8082543</v>
          </cell>
        </row>
        <row r="9494">
          <cell r="A9494">
            <v>8082544</v>
          </cell>
        </row>
        <row r="9495">
          <cell r="A9495">
            <v>8082545</v>
          </cell>
        </row>
        <row r="9496">
          <cell r="A9496">
            <v>8082546</v>
          </cell>
        </row>
        <row r="9497">
          <cell r="A9497">
            <v>8082601</v>
          </cell>
        </row>
        <row r="9498">
          <cell r="A9498">
            <v>8082602</v>
          </cell>
        </row>
        <row r="9499">
          <cell r="A9499">
            <v>8082603</v>
          </cell>
        </row>
        <row r="9500">
          <cell r="A9500">
            <v>8082604</v>
          </cell>
        </row>
        <row r="9501">
          <cell r="A9501">
            <v>8082605</v>
          </cell>
        </row>
        <row r="9502">
          <cell r="A9502">
            <v>8082606</v>
          </cell>
        </row>
        <row r="9503">
          <cell r="A9503">
            <v>8082607</v>
          </cell>
        </row>
        <row r="9504">
          <cell r="A9504">
            <v>8082608</v>
          </cell>
        </row>
        <row r="9505">
          <cell r="A9505">
            <v>8082609</v>
          </cell>
        </row>
        <row r="9506">
          <cell r="A9506">
            <v>8082610</v>
          </cell>
        </row>
        <row r="9507">
          <cell r="A9507">
            <v>8082611</v>
          </cell>
        </row>
        <row r="9508">
          <cell r="A9508">
            <v>8082612</v>
          </cell>
        </row>
        <row r="9509">
          <cell r="A9509">
            <v>8082621</v>
          </cell>
        </row>
        <row r="9510">
          <cell r="A9510">
            <v>8082622</v>
          </cell>
        </row>
        <row r="9511">
          <cell r="A9511">
            <v>8082623</v>
          </cell>
        </row>
        <row r="9512">
          <cell r="A9512">
            <v>8082624</v>
          </cell>
        </row>
        <row r="9513">
          <cell r="A9513">
            <v>8082625</v>
          </cell>
        </row>
        <row r="9514">
          <cell r="A9514">
            <v>8082626</v>
          </cell>
        </row>
        <row r="9515">
          <cell r="A9515">
            <v>8082627</v>
          </cell>
        </row>
        <row r="9516">
          <cell r="A9516">
            <v>8082628</v>
          </cell>
        </row>
        <row r="9517">
          <cell r="A9517">
            <v>8082629</v>
          </cell>
        </row>
        <row r="9518">
          <cell r="A9518">
            <v>8082630</v>
          </cell>
        </row>
        <row r="9519">
          <cell r="A9519">
            <v>8082632</v>
          </cell>
        </row>
        <row r="9520">
          <cell r="A9520">
            <v>8082633</v>
          </cell>
        </row>
        <row r="9521">
          <cell r="A9521">
            <v>8082634</v>
          </cell>
        </row>
        <row r="9522">
          <cell r="A9522">
            <v>8082701</v>
          </cell>
        </row>
        <row r="9523">
          <cell r="A9523">
            <v>8082702</v>
          </cell>
        </row>
        <row r="9524">
          <cell r="A9524">
            <v>8082703</v>
          </cell>
        </row>
        <row r="9525">
          <cell r="A9525">
            <v>8082704</v>
          </cell>
        </row>
        <row r="9526">
          <cell r="A9526">
            <v>8082705</v>
          </cell>
        </row>
        <row r="9527">
          <cell r="A9527">
            <v>8082706</v>
          </cell>
        </row>
        <row r="9528">
          <cell r="A9528">
            <v>8082707</v>
          </cell>
        </row>
        <row r="9529">
          <cell r="A9529">
            <v>8082708</v>
          </cell>
        </row>
        <row r="9530">
          <cell r="A9530">
            <v>8082709</v>
          </cell>
        </row>
        <row r="9531">
          <cell r="A9531">
            <v>8082710</v>
          </cell>
        </row>
        <row r="9532">
          <cell r="A9532">
            <v>8082711</v>
          </cell>
        </row>
        <row r="9533">
          <cell r="A9533">
            <v>8082712</v>
          </cell>
        </row>
        <row r="9534">
          <cell r="A9534">
            <v>8082713</v>
          </cell>
        </row>
        <row r="9535">
          <cell r="A9535">
            <v>8082714</v>
          </cell>
        </row>
        <row r="9536">
          <cell r="A9536">
            <v>8082715</v>
          </cell>
        </row>
        <row r="9537">
          <cell r="A9537">
            <v>8082716</v>
          </cell>
        </row>
        <row r="9538">
          <cell r="A9538">
            <v>8082720</v>
          </cell>
        </row>
        <row r="9539">
          <cell r="A9539">
            <v>8082721</v>
          </cell>
        </row>
        <row r="9540">
          <cell r="A9540">
            <v>8082722</v>
          </cell>
        </row>
        <row r="9541">
          <cell r="A9541">
            <v>8082723</v>
          </cell>
        </row>
        <row r="9542">
          <cell r="A9542">
            <v>8082724</v>
          </cell>
        </row>
        <row r="9543">
          <cell r="A9543">
            <v>8082725</v>
          </cell>
        </row>
        <row r="9544">
          <cell r="A9544">
            <v>8082726</v>
          </cell>
        </row>
        <row r="9545">
          <cell r="A9545">
            <v>8082727</v>
          </cell>
        </row>
        <row r="9546">
          <cell r="A9546">
            <v>8082728</v>
          </cell>
        </row>
        <row r="9547">
          <cell r="A9547">
            <v>8082729</v>
          </cell>
        </row>
        <row r="9548">
          <cell r="A9548">
            <v>8082730</v>
          </cell>
        </row>
        <row r="9549">
          <cell r="A9549">
            <v>8082731</v>
          </cell>
        </row>
        <row r="9550">
          <cell r="A9550">
            <v>8082732</v>
          </cell>
        </row>
        <row r="9551">
          <cell r="A9551">
            <v>8082733</v>
          </cell>
        </row>
        <row r="9552">
          <cell r="A9552">
            <v>8082734</v>
          </cell>
        </row>
        <row r="9553">
          <cell r="A9553">
            <v>8082735</v>
          </cell>
        </row>
        <row r="9554">
          <cell r="A9554">
            <v>8082736</v>
          </cell>
        </row>
        <row r="9555">
          <cell r="A9555">
            <v>8082737</v>
          </cell>
        </row>
        <row r="9556">
          <cell r="A9556">
            <v>8082738</v>
          </cell>
        </row>
        <row r="9557">
          <cell r="A9557">
            <v>8082801</v>
          </cell>
        </row>
        <row r="9558">
          <cell r="A9558">
            <v>8082802</v>
          </cell>
        </row>
        <row r="9559">
          <cell r="A9559">
            <v>8082803</v>
          </cell>
        </row>
        <row r="9560">
          <cell r="A9560">
            <v>8082804</v>
          </cell>
        </row>
        <row r="9561">
          <cell r="A9561">
            <v>8082805</v>
          </cell>
        </row>
        <row r="9562">
          <cell r="A9562">
            <v>8082806</v>
          </cell>
        </row>
        <row r="9563">
          <cell r="A9563">
            <v>8082807</v>
          </cell>
        </row>
        <row r="9564">
          <cell r="A9564">
            <v>8082808</v>
          </cell>
        </row>
        <row r="9565">
          <cell r="A9565">
            <v>8082809</v>
          </cell>
        </row>
        <row r="9566">
          <cell r="A9566">
            <v>8082810</v>
          </cell>
        </row>
        <row r="9567">
          <cell r="A9567">
            <v>8082811</v>
          </cell>
        </row>
        <row r="9568">
          <cell r="A9568">
            <v>8082812</v>
          </cell>
        </row>
        <row r="9569">
          <cell r="A9569">
            <v>8082813</v>
          </cell>
        </row>
        <row r="9570">
          <cell r="A9570">
            <v>8082814</v>
          </cell>
        </row>
        <row r="9571">
          <cell r="A9571">
            <v>8082815</v>
          </cell>
        </row>
        <row r="9572">
          <cell r="A9572">
            <v>8082816</v>
          </cell>
        </row>
        <row r="9573">
          <cell r="A9573">
            <v>8082817</v>
          </cell>
        </row>
        <row r="9574">
          <cell r="A9574">
            <v>8082818</v>
          </cell>
        </row>
        <row r="9575">
          <cell r="A9575">
            <v>8082819</v>
          </cell>
        </row>
        <row r="9576">
          <cell r="A9576">
            <v>8082820</v>
          </cell>
        </row>
        <row r="9577">
          <cell r="A9577">
            <v>8082821</v>
          </cell>
        </row>
        <row r="9578">
          <cell r="A9578">
            <v>8082822</v>
          </cell>
        </row>
        <row r="9579">
          <cell r="A9579">
            <v>8082823</v>
          </cell>
        </row>
        <row r="9580">
          <cell r="A9580">
            <v>8082824</v>
          </cell>
        </row>
        <row r="9581">
          <cell r="A9581">
            <v>8082825</v>
          </cell>
        </row>
        <row r="9582">
          <cell r="A9582">
            <v>8082826</v>
          </cell>
        </row>
        <row r="9583">
          <cell r="A9583">
            <v>8082827</v>
          </cell>
        </row>
        <row r="9584">
          <cell r="A9584">
            <v>8082828</v>
          </cell>
        </row>
        <row r="9585">
          <cell r="A9585">
            <v>8082829</v>
          </cell>
        </row>
        <row r="9586">
          <cell r="A9586">
            <v>8082830</v>
          </cell>
        </row>
        <row r="9587">
          <cell r="A9587">
            <v>8082831</v>
          </cell>
        </row>
        <row r="9588">
          <cell r="A9588">
            <v>8082832</v>
          </cell>
        </row>
        <row r="9589">
          <cell r="A9589">
            <v>8082833</v>
          </cell>
        </row>
        <row r="9590">
          <cell r="A9590">
            <v>8082834</v>
          </cell>
        </row>
        <row r="9591">
          <cell r="A9591">
            <v>8082835</v>
          </cell>
        </row>
        <row r="9592">
          <cell r="A9592">
            <v>8082836</v>
          </cell>
        </row>
        <row r="9593">
          <cell r="A9593">
            <v>8082837</v>
          </cell>
        </row>
        <row r="9594">
          <cell r="A9594">
            <v>8082838</v>
          </cell>
        </row>
        <row r="9595">
          <cell r="A9595">
            <v>8082839</v>
          </cell>
        </row>
        <row r="9596">
          <cell r="A9596">
            <v>8082840</v>
          </cell>
        </row>
        <row r="9597">
          <cell r="A9597">
            <v>8082843</v>
          </cell>
        </row>
        <row r="9598">
          <cell r="A9598">
            <v>8082844</v>
          </cell>
        </row>
        <row r="9599">
          <cell r="A9599">
            <v>8082845</v>
          </cell>
        </row>
        <row r="9600">
          <cell r="A9600">
            <v>8082846</v>
          </cell>
        </row>
        <row r="9601">
          <cell r="A9601">
            <v>8082847</v>
          </cell>
        </row>
        <row r="9602">
          <cell r="A9602">
            <v>8082848</v>
          </cell>
        </row>
        <row r="9603">
          <cell r="A9603">
            <v>8082849</v>
          </cell>
        </row>
        <row r="9604">
          <cell r="A9604">
            <v>8082853</v>
          </cell>
        </row>
        <row r="9605">
          <cell r="A9605">
            <v>8082854</v>
          </cell>
        </row>
        <row r="9606">
          <cell r="A9606">
            <v>8082855</v>
          </cell>
        </row>
        <row r="9607">
          <cell r="A9607">
            <v>8082856</v>
          </cell>
        </row>
        <row r="9608">
          <cell r="A9608">
            <v>8082857</v>
          </cell>
        </row>
        <row r="9609">
          <cell r="A9609">
            <v>8082858</v>
          </cell>
        </row>
        <row r="9610">
          <cell r="A9610">
            <v>8082859</v>
          </cell>
        </row>
        <row r="9611">
          <cell r="A9611">
            <v>8082861</v>
          </cell>
        </row>
        <row r="9612">
          <cell r="A9612">
            <v>8082862</v>
          </cell>
        </row>
        <row r="9613">
          <cell r="A9613">
            <v>8082901</v>
          </cell>
        </row>
        <row r="9614">
          <cell r="A9614">
            <v>8082902</v>
          </cell>
        </row>
        <row r="9615">
          <cell r="A9615">
            <v>8082903</v>
          </cell>
        </row>
        <row r="9616">
          <cell r="A9616">
            <v>8082904</v>
          </cell>
        </row>
        <row r="9617">
          <cell r="A9617">
            <v>8082905</v>
          </cell>
        </row>
        <row r="9618">
          <cell r="A9618">
            <v>8082906</v>
          </cell>
        </row>
        <row r="9619">
          <cell r="A9619">
            <v>8082907</v>
          </cell>
        </row>
        <row r="9620">
          <cell r="A9620">
            <v>8082908</v>
          </cell>
        </row>
        <row r="9621">
          <cell r="A9621">
            <v>8082909</v>
          </cell>
        </row>
        <row r="9622">
          <cell r="A9622">
            <v>8082910</v>
          </cell>
        </row>
        <row r="9623">
          <cell r="A9623">
            <v>8082911</v>
          </cell>
        </row>
        <row r="9624">
          <cell r="A9624">
            <v>8082912</v>
          </cell>
        </row>
        <row r="9625">
          <cell r="A9625">
            <v>8082913</v>
          </cell>
        </row>
        <row r="9626">
          <cell r="A9626">
            <v>8082914</v>
          </cell>
        </row>
        <row r="9627">
          <cell r="A9627">
            <v>8082915</v>
          </cell>
        </row>
        <row r="9628">
          <cell r="A9628">
            <v>8082916</v>
          </cell>
        </row>
        <row r="9629">
          <cell r="A9629">
            <v>8082917</v>
          </cell>
        </row>
        <row r="9630">
          <cell r="A9630">
            <v>8082918</v>
          </cell>
        </row>
        <row r="9631">
          <cell r="A9631">
            <v>8082919</v>
          </cell>
        </row>
        <row r="9632">
          <cell r="A9632">
            <v>8082925</v>
          </cell>
        </row>
        <row r="9633">
          <cell r="A9633">
            <v>8082926</v>
          </cell>
        </row>
        <row r="9634">
          <cell r="A9634">
            <v>8082927</v>
          </cell>
        </row>
        <row r="9635">
          <cell r="A9635">
            <v>8082928</v>
          </cell>
        </row>
        <row r="9636">
          <cell r="A9636">
            <v>8082929</v>
          </cell>
        </row>
        <row r="9637">
          <cell r="A9637">
            <v>8082930</v>
          </cell>
        </row>
        <row r="9638">
          <cell r="A9638">
            <v>8082931</v>
          </cell>
        </row>
        <row r="9639">
          <cell r="A9639">
            <v>8082932</v>
          </cell>
        </row>
        <row r="9640">
          <cell r="A9640">
            <v>8082933</v>
          </cell>
        </row>
        <row r="9641">
          <cell r="A9641">
            <v>8082934</v>
          </cell>
        </row>
        <row r="9642">
          <cell r="A9642">
            <v>8082935</v>
          </cell>
        </row>
        <row r="9643">
          <cell r="A9643">
            <v>8082936</v>
          </cell>
        </row>
        <row r="9644">
          <cell r="A9644">
            <v>8082937</v>
          </cell>
        </row>
        <row r="9645">
          <cell r="A9645">
            <v>8082938</v>
          </cell>
        </row>
        <row r="9646">
          <cell r="A9646">
            <v>8082939</v>
          </cell>
        </row>
        <row r="9647">
          <cell r="A9647">
            <v>8082940</v>
          </cell>
        </row>
        <row r="9648">
          <cell r="A9648">
            <v>8082941</v>
          </cell>
        </row>
        <row r="9649">
          <cell r="A9649">
            <v>8082942</v>
          </cell>
        </row>
        <row r="9650">
          <cell r="A9650">
            <v>8082943</v>
          </cell>
        </row>
        <row r="9651">
          <cell r="A9651">
            <v>8082944</v>
          </cell>
        </row>
        <row r="9652">
          <cell r="A9652">
            <v>8082945</v>
          </cell>
        </row>
        <row r="9653">
          <cell r="A9653">
            <v>8082946</v>
          </cell>
        </row>
        <row r="9654">
          <cell r="A9654">
            <v>8082947</v>
          </cell>
        </row>
        <row r="9655">
          <cell r="A9655">
            <v>8082948</v>
          </cell>
        </row>
        <row r="9656">
          <cell r="A9656">
            <v>8082949</v>
          </cell>
        </row>
        <row r="9657">
          <cell r="A9657">
            <v>8082950</v>
          </cell>
        </row>
        <row r="9658">
          <cell r="A9658">
            <v>8082952</v>
          </cell>
        </row>
        <row r="9659">
          <cell r="A9659">
            <v>8082953</v>
          </cell>
        </row>
        <row r="9660">
          <cell r="A9660">
            <v>8083001</v>
          </cell>
        </row>
        <row r="9661">
          <cell r="A9661">
            <v>8083002</v>
          </cell>
        </row>
        <row r="9662">
          <cell r="A9662">
            <v>8083003</v>
          </cell>
        </row>
        <row r="9663">
          <cell r="A9663">
            <v>8083004</v>
          </cell>
        </row>
        <row r="9664">
          <cell r="A9664">
            <v>8083005</v>
          </cell>
        </row>
        <row r="9665">
          <cell r="A9665">
            <v>8083006</v>
          </cell>
        </row>
        <row r="9666">
          <cell r="A9666">
            <v>8083007</v>
          </cell>
        </row>
        <row r="9667">
          <cell r="A9667">
            <v>8083008</v>
          </cell>
        </row>
        <row r="9668">
          <cell r="A9668">
            <v>8083009</v>
          </cell>
        </row>
        <row r="9669">
          <cell r="A9669">
            <v>8083010</v>
          </cell>
        </row>
        <row r="9670">
          <cell r="A9670">
            <v>8083011</v>
          </cell>
        </row>
        <row r="9671">
          <cell r="A9671">
            <v>8083012</v>
          </cell>
        </row>
        <row r="9672">
          <cell r="A9672">
            <v>8083013</v>
          </cell>
        </row>
        <row r="9673">
          <cell r="A9673">
            <v>8090101</v>
          </cell>
        </row>
        <row r="9674">
          <cell r="A9674">
            <v>8090102</v>
          </cell>
        </row>
        <row r="9675">
          <cell r="A9675">
            <v>8090103</v>
          </cell>
        </row>
        <row r="9676">
          <cell r="A9676">
            <v>8090104</v>
          </cell>
        </row>
        <row r="9677">
          <cell r="A9677">
            <v>8090105</v>
          </cell>
        </row>
        <row r="9678">
          <cell r="A9678">
            <v>8090106</v>
          </cell>
        </row>
        <row r="9679">
          <cell r="A9679">
            <v>8090107</v>
          </cell>
        </row>
        <row r="9680">
          <cell r="A9680">
            <v>8090108</v>
          </cell>
        </row>
        <row r="9681">
          <cell r="A9681">
            <v>8090109</v>
          </cell>
        </row>
        <row r="9682">
          <cell r="A9682">
            <v>8090110</v>
          </cell>
        </row>
        <row r="9683">
          <cell r="A9683">
            <v>8090111</v>
          </cell>
        </row>
        <row r="9684">
          <cell r="A9684">
            <v>8090112</v>
          </cell>
        </row>
        <row r="9685">
          <cell r="A9685">
            <v>8090113</v>
          </cell>
        </row>
        <row r="9686">
          <cell r="A9686">
            <v>8090114</v>
          </cell>
        </row>
        <row r="9687">
          <cell r="A9687">
            <v>8090115</v>
          </cell>
        </row>
        <row r="9688">
          <cell r="A9688">
            <v>8090116</v>
          </cell>
        </row>
        <row r="9689">
          <cell r="A9689">
            <v>8090117</v>
          </cell>
        </row>
        <row r="9690">
          <cell r="A9690">
            <v>8090118</v>
          </cell>
        </row>
        <row r="9691">
          <cell r="A9691">
            <v>8090120</v>
          </cell>
        </row>
        <row r="9692">
          <cell r="A9692">
            <v>8090121</v>
          </cell>
        </row>
        <row r="9693">
          <cell r="A9693">
            <v>8090122</v>
          </cell>
        </row>
        <row r="9694">
          <cell r="A9694">
            <v>8090123</v>
          </cell>
        </row>
        <row r="9695">
          <cell r="A9695">
            <v>8090124</v>
          </cell>
        </row>
        <row r="9696">
          <cell r="A9696">
            <v>8090125</v>
          </cell>
        </row>
        <row r="9697">
          <cell r="A9697">
            <v>8090126</v>
          </cell>
        </row>
        <row r="9698">
          <cell r="A9698">
            <v>8090127</v>
          </cell>
        </row>
        <row r="9699">
          <cell r="A9699">
            <v>8090128</v>
          </cell>
        </row>
        <row r="9700">
          <cell r="A9700">
            <v>8090129</v>
          </cell>
        </row>
        <row r="9701">
          <cell r="A9701">
            <v>8090130</v>
          </cell>
        </row>
        <row r="9702">
          <cell r="A9702">
            <v>8090131</v>
          </cell>
        </row>
        <row r="9703">
          <cell r="A9703">
            <v>8090132</v>
          </cell>
        </row>
        <row r="9704">
          <cell r="A9704">
            <v>8090133</v>
          </cell>
        </row>
        <row r="9705">
          <cell r="A9705">
            <v>8090134</v>
          </cell>
        </row>
        <row r="9706">
          <cell r="A9706">
            <v>8090135</v>
          </cell>
        </row>
        <row r="9707">
          <cell r="A9707">
            <v>8090137</v>
          </cell>
        </row>
        <row r="9708">
          <cell r="A9708">
            <v>8090138</v>
          </cell>
        </row>
        <row r="9709">
          <cell r="A9709">
            <v>8090139</v>
          </cell>
        </row>
        <row r="9710">
          <cell r="A9710">
            <v>8090140</v>
          </cell>
        </row>
        <row r="9711">
          <cell r="A9711">
            <v>8090141</v>
          </cell>
        </row>
        <row r="9712">
          <cell r="A9712">
            <v>8090142</v>
          </cell>
        </row>
        <row r="9713">
          <cell r="A9713">
            <v>8090143</v>
          </cell>
        </row>
        <row r="9714">
          <cell r="A9714">
            <v>8090144</v>
          </cell>
        </row>
        <row r="9715">
          <cell r="A9715">
            <v>8090145</v>
          </cell>
        </row>
        <row r="9716">
          <cell r="A9716">
            <v>8090146</v>
          </cell>
        </row>
        <row r="9717">
          <cell r="A9717">
            <v>8090147</v>
          </cell>
        </row>
        <row r="9718">
          <cell r="A9718">
            <v>8090148</v>
          </cell>
        </row>
        <row r="9719">
          <cell r="A9719">
            <v>8090149</v>
          </cell>
        </row>
        <row r="9720">
          <cell r="A9720">
            <v>8090201</v>
          </cell>
        </row>
        <row r="9721">
          <cell r="A9721">
            <v>8090202</v>
          </cell>
        </row>
        <row r="9722">
          <cell r="A9722">
            <v>8090203</v>
          </cell>
        </row>
        <row r="9723">
          <cell r="A9723">
            <v>8090204</v>
          </cell>
        </row>
        <row r="9724">
          <cell r="A9724">
            <v>8090205</v>
          </cell>
        </row>
        <row r="9725">
          <cell r="A9725">
            <v>8090206</v>
          </cell>
        </row>
        <row r="9726">
          <cell r="A9726">
            <v>8090207</v>
          </cell>
        </row>
        <row r="9727">
          <cell r="A9727">
            <v>8090208</v>
          </cell>
        </row>
        <row r="9728">
          <cell r="A9728">
            <v>8090209</v>
          </cell>
        </row>
        <row r="9729">
          <cell r="A9729">
            <v>8090210</v>
          </cell>
        </row>
        <row r="9730">
          <cell r="A9730">
            <v>8090211</v>
          </cell>
        </row>
        <row r="9731">
          <cell r="A9731">
            <v>8090212</v>
          </cell>
        </row>
        <row r="9732">
          <cell r="A9732">
            <v>8090213</v>
          </cell>
        </row>
        <row r="9733">
          <cell r="A9733">
            <v>8090214</v>
          </cell>
        </row>
        <row r="9734">
          <cell r="A9734">
            <v>8090215</v>
          </cell>
        </row>
        <row r="9735">
          <cell r="A9735">
            <v>8090216</v>
          </cell>
        </row>
        <row r="9736">
          <cell r="A9736">
            <v>8090217</v>
          </cell>
        </row>
        <row r="9737">
          <cell r="A9737">
            <v>8090218</v>
          </cell>
        </row>
        <row r="9738">
          <cell r="A9738">
            <v>8090219</v>
          </cell>
        </row>
        <row r="9739">
          <cell r="A9739">
            <v>8090220</v>
          </cell>
        </row>
        <row r="9740">
          <cell r="A9740">
            <v>8090221</v>
          </cell>
        </row>
        <row r="9741">
          <cell r="A9741">
            <v>8090222</v>
          </cell>
        </row>
        <row r="9742">
          <cell r="A9742">
            <v>8090223</v>
          </cell>
        </row>
        <row r="9743">
          <cell r="A9743">
            <v>8090224</v>
          </cell>
        </row>
        <row r="9744">
          <cell r="A9744">
            <v>8090225</v>
          </cell>
        </row>
        <row r="9745">
          <cell r="A9745">
            <v>8090226</v>
          </cell>
        </row>
        <row r="9746">
          <cell r="A9746">
            <v>8090234</v>
          </cell>
        </row>
        <row r="9747">
          <cell r="A9747">
            <v>8090237</v>
          </cell>
        </row>
        <row r="9748">
          <cell r="A9748">
            <v>8090238</v>
          </cell>
        </row>
        <row r="9749">
          <cell r="A9749">
            <v>8090239</v>
          </cell>
        </row>
        <row r="9750">
          <cell r="A9750">
            <v>8090240</v>
          </cell>
        </row>
        <row r="9751">
          <cell r="A9751">
            <v>8090241</v>
          </cell>
        </row>
        <row r="9752">
          <cell r="A9752">
            <v>8090242</v>
          </cell>
        </row>
        <row r="9753">
          <cell r="A9753">
            <v>8090243</v>
          </cell>
        </row>
        <row r="9754">
          <cell r="A9754">
            <v>8090244</v>
          </cell>
        </row>
        <row r="9755">
          <cell r="A9755">
            <v>8090245</v>
          </cell>
        </row>
        <row r="9756">
          <cell r="A9756">
            <v>8090246</v>
          </cell>
        </row>
        <row r="9757">
          <cell r="A9757">
            <v>8090247</v>
          </cell>
        </row>
        <row r="9758">
          <cell r="A9758">
            <v>8090248</v>
          </cell>
        </row>
        <row r="9759">
          <cell r="A9759">
            <v>8090249</v>
          </cell>
        </row>
        <row r="9760">
          <cell r="A9760">
            <v>8090250</v>
          </cell>
        </row>
        <row r="9761">
          <cell r="A9761">
            <v>8090251</v>
          </cell>
        </row>
        <row r="9762">
          <cell r="A9762">
            <v>8090252</v>
          </cell>
        </row>
        <row r="9763">
          <cell r="A9763">
            <v>8090301</v>
          </cell>
        </row>
        <row r="9764">
          <cell r="A9764">
            <v>8090302</v>
          </cell>
        </row>
        <row r="9765">
          <cell r="A9765">
            <v>8090303</v>
          </cell>
        </row>
        <row r="9766">
          <cell r="A9766">
            <v>8090304</v>
          </cell>
        </row>
        <row r="9767">
          <cell r="A9767">
            <v>8090305</v>
          </cell>
        </row>
        <row r="9768">
          <cell r="A9768">
            <v>8090306</v>
          </cell>
        </row>
        <row r="9769">
          <cell r="A9769">
            <v>8090307</v>
          </cell>
        </row>
        <row r="9770">
          <cell r="A9770">
            <v>8090308</v>
          </cell>
        </row>
        <row r="9771">
          <cell r="A9771">
            <v>8090309</v>
          </cell>
        </row>
        <row r="9772">
          <cell r="A9772">
            <v>8090310</v>
          </cell>
        </row>
        <row r="9773">
          <cell r="A9773">
            <v>8090311</v>
          </cell>
        </row>
        <row r="9774">
          <cell r="A9774">
            <v>8090312</v>
          </cell>
        </row>
        <row r="9775">
          <cell r="A9775">
            <v>8090313</v>
          </cell>
        </row>
        <row r="9776">
          <cell r="A9776">
            <v>8090314</v>
          </cell>
        </row>
        <row r="9777">
          <cell r="A9777">
            <v>8090315</v>
          </cell>
        </row>
        <row r="9778">
          <cell r="A9778">
            <v>8090316</v>
          </cell>
        </row>
        <row r="9779">
          <cell r="A9779">
            <v>8090317</v>
          </cell>
        </row>
        <row r="9780">
          <cell r="A9780">
            <v>8090318</v>
          </cell>
        </row>
        <row r="9781">
          <cell r="A9781">
            <v>8090319</v>
          </cell>
        </row>
        <row r="9782">
          <cell r="A9782">
            <v>8090320</v>
          </cell>
        </row>
        <row r="9783">
          <cell r="A9783">
            <v>8090321</v>
          </cell>
        </row>
        <row r="9784">
          <cell r="A9784">
            <v>8090322</v>
          </cell>
        </row>
        <row r="9785">
          <cell r="A9785">
            <v>8090323</v>
          </cell>
        </row>
        <row r="9786">
          <cell r="A9786">
            <v>8090324</v>
          </cell>
        </row>
        <row r="9787">
          <cell r="A9787">
            <v>8090325</v>
          </cell>
        </row>
        <row r="9788">
          <cell r="A9788">
            <v>8090326</v>
          </cell>
        </row>
        <row r="9789">
          <cell r="A9789">
            <v>8090327</v>
          </cell>
        </row>
        <row r="9790">
          <cell r="A9790">
            <v>8090332</v>
          </cell>
        </row>
        <row r="9791">
          <cell r="A9791">
            <v>8090333</v>
          </cell>
        </row>
        <row r="9792">
          <cell r="A9792">
            <v>8090334</v>
          </cell>
        </row>
        <row r="9793">
          <cell r="A9793">
            <v>8090335</v>
          </cell>
        </row>
        <row r="9794">
          <cell r="A9794">
            <v>8090336</v>
          </cell>
        </row>
        <row r="9795">
          <cell r="A9795">
            <v>8090337</v>
          </cell>
        </row>
        <row r="9796">
          <cell r="A9796">
            <v>8090338</v>
          </cell>
        </row>
        <row r="9797">
          <cell r="A9797">
            <v>8090339</v>
          </cell>
        </row>
        <row r="9798">
          <cell r="A9798">
            <v>8090340</v>
          </cell>
        </row>
        <row r="9799">
          <cell r="A9799">
            <v>8090341</v>
          </cell>
        </row>
        <row r="9800">
          <cell r="A9800">
            <v>8090342</v>
          </cell>
        </row>
        <row r="9801">
          <cell r="A9801">
            <v>8090343</v>
          </cell>
        </row>
        <row r="9802">
          <cell r="A9802">
            <v>8090344</v>
          </cell>
        </row>
        <row r="9803">
          <cell r="A9803">
            <v>8090401</v>
          </cell>
        </row>
        <row r="9804">
          <cell r="A9804">
            <v>8090402</v>
          </cell>
        </row>
        <row r="9805">
          <cell r="A9805">
            <v>8090403</v>
          </cell>
        </row>
        <row r="9806">
          <cell r="A9806">
            <v>8090404</v>
          </cell>
        </row>
        <row r="9807">
          <cell r="A9807">
            <v>8090405</v>
          </cell>
        </row>
        <row r="9808">
          <cell r="A9808">
            <v>8090406</v>
          </cell>
        </row>
        <row r="9809">
          <cell r="A9809">
            <v>8090407</v>
          </cell>
        </row>
        <row r="9810">
          <cell r="A9810">
            <v>8090408</v>
          </cell>
        </row>
        <row r="9811">
          <cell r="A9811">
            <v>8090409</v>
          </cell>
        </row>
        <row r="9812">
          <cell r="A9812">
            <v>8090410</v>
          </cell>
        </row>
        <row r="9813">
          <cell r="A9813">
            <v>8090411</v>
          </cell>
        </row>
        <row r="9814">
          <cell r="A9814">
            <v>8090412</v>
          </cell>
        </row>
        <row r="9815">
          <cell r="A9815">
            <v>8090413</v>
          </cell>
        </row>
        <row r="9816">
          <cell r="A9816">
            <v>8090414</v>
          </cell>
        </row>
        <row r="9817">
          <cell r="A9817">
            <v>8090415</v>
          </cell>
        </row>
        <row r="9818">
          <cell r="A9818">
            <v>8090416</v>
          </cell>
        </row>
        <row r="9819">
          <cell r="A9819">
            <v>8090417</v>
          </cell>
        </row>
        <row r="9820">
          <cell r="A9820">
            <v>8090426</v>
          </cell>
        </row>
        <row r="9821">
          <cell r="A9821">
            <v>8090427</v>
          </cell>
        </row>
        <row r="9822">
          <cell r="A9822">
            <v>8090428</v>
          </cell>
        </row>
        <row r="9823">
          <cell r="A9823">
            <v>8090429</v>
          </cell>
        </row>
        <row r="9824">
          <cell r="A9824">
            <v>8090430</v>
          </cell>
        </row>
        <row r="9825">
          <cell r="A9825">
            <v>8090431</v>
          </cell>
        </row>
        <row r="9826">
          <cell r="A9826">
            <v>8090438</v>
          </cell>
        </row>
        <row r="9827">
          <cell r="A9827">
            <v>8090439</v>
          </cell>
        </row>
        <row r="9828">
          <cell r="A9828">
            <v>8090440</v>
          </cell>
        </row>
        <row r="9829">
          <cell r="A9829">
            <v>8090441</v>
          </cell>
        </row>
        <row r="9830">
          <cell r="A9830">
            <v>8090442</v>
          </cell>
        </row>
        <row r="9831">
          <cell r="A9831">
            <v>8090443</v>
          </cell>
        </row>
        <row r="9832">
          <cell r="A9832">
            <v>8090444</v>
          </cell>
        </row>
        <row r="9833">
          <cell r="A9833">
            <v>8090445</v>
          </cell>
        </row>
        <row r="9834">
          <cell r="A9834">
            <v>8090446</v>
          </cell>
        </row>
        <row r="9835">
          <cell r="A9835">
            <v>8090447</v>
          </cell>
        </row>
        <row r="9836">
          <cell r="A9836">
            <v>8090448</v>
          </cell>
        </row>
        <row r="9837">
          <cell r="A9837">
            <v>8090449</v>
          </cell>
        </row>
        <row r="9838">
          <cell r="A9838">
            <v>8090450</v>
          </cell>
        </row>
        <row r="9839">
          <cell r="A9839">
            <v>8090455</v>
          </cell>
        </row>
        <row r="9840">
          <cell r="A9840">
            <v>8090456</v>
          </cell>
        </row>
        <row r="9841">
          <cell r="A9841">
            <v>8090501</v>
          </cell>
        </row>
        <row r="9842">
          <cell r="A9842">
            <v>8090502</v>
          </cell>
        </row>
        <row r="9843">
          <cell r="A9843">
            <v>8090503</v>
          </cell>
        </row>
        <row r="9844">
          <cell r="A9844">
            <v>8090504</v>
          </cell>
        </row>
        <row r="9845">
          <cell r="A9845">
            <v>8090505</v>
          </cell>
        </row>
        <row r="9846">
          <cell r="A9846">
            <v>8090506</v>
          </cell>
        </row>
        <row r="9847">
          <cell r="A9847">
            <v>8090507</v>
          </cell>
        </row>
        <row r="9848">
          <cell r="A9848">
            <v>8090508</v>
          </cell>
        </row>
        <row r="9849">
          <cell r="A9849">
            <v>8090509</v>
          </cell>
        </row>
        <row r="9850">
          <cell r="A9850">
            <v>8090510</v>
          </cell>
        </row>
        <row r="9851">
          <cell r="A9851">
            <v>8090511</v>
          </cell>
        </row>
        <row r="9852">
          <cell r="A9852">
            <v>8090512</v>
          </cell>
        </row>
        <row r="9853">
          <cell r="A9853">
            <v>8090513</v>
          </cell>
        </row>
        <row r="9854">
          <cell r="A9854">
            <v>8090514</v>
          </cell>
        </row>
        <row r="9855">
          <cell r="A9855">
            <v>8090515</v>
          </cell>
        </row>
        <row r="9856">
          <cell r="A9856">
            <v>8090516</v>
          </cell>
        </row>
        <row r="9857">
          <cell r="A9857">
            <v>8090517</v>
          </cell>
        </row>
        <row r="9858">
          <cell r="A9858">
            <v>8090518</v>
          </cell>
        </row>
        <row r="9859">
          <cell r="A9859">
            <v>8090519</v>
          </cell>
        </row>
        <row r="9860">
          <cell r="A9860">
            <v>8090520</v>
          </cell>
        </row>
        <row r="9861">
          <cell r="A9861">
            <v>8090521</v>
          </cell>
        </row>
        <row r="9862">
          <cell r="A9862">
            <v>8090522</v>
          </cell>
        </row>
        <row r="9863">
          <cell r="A9863">
            <v>8090523</v>
          </cell>
        </row>
        <row r="9864">
          <cell r="A9864">
            <v>8090524</v>
          </cell>
        </row>
        <row r="9865">
          <cell r="A9865">
            <v>8090525</v>
          </cell>
        </row>
        <row r="9866">
          <cell r="A9866">
            <v>8090526</v>
          </cell>
        </row>
        <row r="9867">
          <cell r="A9867">
            <v>8090527</v>
          </cell>
        </row>
        <row r="9868">
          <cell r="A9868">
            <v>8090528</v>
          </cell>
        </row>
        <row r="9869">
          <cell r="A9869">
            <v>8090529</v>
          </cell>
        </row>
        <row r="9870">
          <cell r="A9870">
            <v>8090530</v>
          </cell>
        </row>
        <row r="9871">
          <cell r="A9871">
            <v>8090531</v>
          </cell>
        </row>
        <row r="9872">
          <cell r="A9872">
            <v>8090532</v>
          </cell>
        </row>
        <row r="9873">
          <cell r="A9873">
            <v>8090533</v>
          </cell>
        </row>
        <row r="9874">
          <cell r="A9874">
            <v>8090534</v>
          </cell>
        </row>
        <row r="9875">
          <cell r="A9875">
            <v>8090535</v>
          </cell>
        </row>
        <row r="9876">
          <cell r="A9876">
            <v>8090536</v>
          </cell>
        </row>
        <row r="9877">
          <cell r="A9877">
            <v>8090537</v>
          </cell>
        </row>
        <row r="9878">
          <cell r="A9878">
            <v>8090538</v>
          </cell>
        </row>
        <row r="9879">
          <cell r="A9879">
            <v>8090539</v>
          </cell>
        </row>
        <row r="9880">
          <cell r="A9880">
            <v>8090540</v>
          </cell>
        </row>
        <row r="9881">
          <cell r="A9881">
            <v>8090541</v>
          </cell>
        </row>
        <row r="9882">
          <cell r="A9882">
            <v>8090542</v>
          </cell>
        </row>
        <row r="9883">
          <cell r="A9883">
            <v>8090543</v>
          </cell>
        </row>
        <row r="9884">
          <cell r="A9884">
            <v>8090544</v>
          </cell>
        </row>
        <row r="9885">
          <cell r="A9885">
            <v>8090545</v>
          </cell>
        </row>
        <row r="9886">
          <cell r="A9886">
            <v>8090546</v>
          </cell>
        </row>
        <row r="9887">
          <cell r="A9887">
            <v>8090547</v>
          </cell>
        </row>
        <row r="9888">
          <cell r="A9888">
            <v>8090548</v>
          </cell>
        </row>
        <row r="9889">
          <cell r="A9889">
            <v>8090549</v>
          </cell>
        </row>
        <row r="9890">
          <cell r="A9890">
            <v>8090550</v>
          </cell>
        </row>
        <row r="9891">
          <cell r="A9891">
            <v>8090551</v>
          </cell>
        </row>
        <row r="9892">
          <cell r="A9892">
            <v>8090552</v>
          </cell>
        </row>
        <row r="9893">
          <cell r="A9893">
            <v>8090553</v>
          </cell>
        </row>
        <row r="9894">
          <cell r="A9894">
            <v>8090554</v>
          </cell>
        </row>
        <row r="9895">
          <cell r="A9895">
            <v>8090555</v>
          </cell>
        </row>
        <row r="9896">
          <cell r="A9896">
            <v>8090601</v>
          </cell>
        </row>
        <row r="9897">
          <cell r="A9897">
            <v>8090602</v>
          </cell>
        </row>
        <row r="9898">
          <cell r="A9898">
            <v>8090603</v>
          </cell>
        </row>
        <row r="9899">
          <cell r="A9899">
            <v>8090604</v>
          </cell>
        </row>
        <row r="9900">
          <cell r="A9900">
            <v>8090605</v>
          </cell>
        </row>
        <row r="9901">
          <cell r="A9901">
            <v>8090606</v>
          </cell>
        </row>
        <row r="9902">
          <cell r="A9902">
            <v>8090607</v>
          </cell>
        </row>
        <row r="9903">
          <cell r="A9903">
            <v>8090609</v>
          </cell>
        </row>
        <row r="9904">
          <cell r="A9904">
            <v>8090610</v>
          </cell>
        </row>
        <row r="9905">
          <cell r="A9905">
            <v>8090611</v>
          </cell>
        </row>
        <row r="9906">
          <cell r="A9906">
            <v>8090612</v>
          </cell>
        </row>
        <row r="9907">
          <cell r="A9907">
            <v>8090613</v>
          </cell>
        </row>
        <row r="9908">
          <cell r="A9908">
            <v>8090614</v>
          </cell>
        </row>
        <row r="9909">
          <cell r="A9909">
            <v>8090615</v>
          </cell>
        </row>
        <row r="9910">
          <cell r="A9910">
            <v>8090616</v>
          </cell>
        </row>
        <row r="9911">
          <cell r="A9911">
            <v>8090617</v>
          </cell>
        </row>
        <row r="9912">
          <cell r="A9912">
            <v>8090618</v>
          </cell>
        </row>
        <row r="9913">
          <cell r="A9913">
            <v>8090619</v>
          </cell>
        </row>
        <row r="9914">
          <cell r="A9914">
            <v>8090620</v>
          </cell>
        </row>
        <row r="9915">
          <cell r="A9915">
            <v>8090621</v>
          </cell>
        </row>
        <row r="9916">
          <cell r="A9916">
            <v>8090627</v>
          </cell>
        </row>
        <row r="9917">
          <cell r="A9917">
            <v>8090628</v>
          </cell>
        </row>
        <row r="9918">
          <cell r="A9918">
            <v>8090706</v>
          </cell>
        </row>
        <row r="9919">
          <cell r="A9919">
            <v>8090707</v>
          </cell>
        </row>
        <row r="9920">
          <cell r="A9920">
            <v>8090708</v>
          </cell>
        </row>
        <row r="9921">
          <cell r="A9921">
            <v>8090709</v>
          </cell>
        </row>
        <row r="9922">
          <cell r="A9922">
            <v>8090710</v>
          </cell>
        </row>
        <row r="9923">
          <cell r="A9923">
            <v>8090711</v>
          </cell>
        </row>
        <row r="9924">
          <cell r="A9924">
            <v>8090712</v>
          </cell>
        </row>
        <row r="9925">
          <cell r="A9925">
            <v>8090713</v>
          </cell>
        </row>
        <row r="9926">
          <cell r="A9926">
            <v>8090714</v>
          </cell>
        </row>
        <row r="9927">
          <cell r="A9927">
            <v>8090715</v>
          </cell>
        </row>
        <row r="9928">
          <cell r="A9928">
            <v>8090716</v>
          </cell>
        </row>
        <row r="9929">
          <cell r="A9929">
            <v>8090718</v>
          </cell>
        </row>
        <row r="9930">
          <cell r="A9930">
            <v>8090719</v>
          </cell>
        </row>
        <row r="9931">
          <cell r="A9931">
            <v>8090720</v>
          </cell>
        </row>
        <row r="9932">
          <cell r="A9932">
            <v>8090721</v>
          </cell>
        </row>
        <row r="9933">
          <cell r="A9933">
            <v>8090722</v>
          </cell>
        </row>
        <row r="9934">
          <cell r="A9934">
            <v>8090801</v>
          </cell>
        </row>
        <row r="9935">
          <cell r="A9935">
            <v>8090802</v>
          </cell>
        </row>
        <row r="9936">
          <cell r="A9936">
            <v>8090803</v>
          </cell>
        </row>
        <row r="9937">
          <cell r="A9937">
            <v>8090804</v>
          </cell>
        </row>
        <row r="9938">
          <cell r="A9938">
            <v>8090805</v>
          </cell>
        </row>
        <row r="9939">
          <cell r="A9939">
            <v>8090806</v>
          </cell>
        </row>
        <row r="9940">
          <cell r="A9940">
            <v>8090807</v>
          </cell>
        </row>
        <row r="9941">
          <cell r="A9941">
            <v>8090808</v>
          </cell>
        </row>
        <row r="9942">
          <cell r="A9942">
            <v>8090809</v>
          </cell>
        </row>
        <row r="9943">
          <cell r="A9943">
            <v>8090810</v>
          </cell>
        </row>
        <row r="9944">
          <cell r="A9944">
            <v>8090811</v>
          </cell>
        </row>
        <row r="9945">
          <cell r="A9945">
            <v>8090812</v>
          </cell>
        </row>
        <row r="9946">
          <cell r="A9946">
            <v>8090813</v>
          </cell>
        </row>
        <row r="9947">
          <cell r="A9947">
            <v>8090814</v>
          </cell>
        </row>
        <row r="9948">
          <cell r="A9948">
            <v>8090815</v>
          </cell>
        </row>
        <row r="9949">
          <cell r="A9949">
            <v>8090816</v>
          </cell>
        </row>
        <row r="9950">
          <cell r="A9950">
            <v>8090817</v>
          </cell>
        </row>
        <row r="9951">
          <cell r="A9951">
            <v>8090818</v>
          </cell>
        </row>
        <row r="9952">
          <cell r="A9952">
            <v>8090819</v>
          </cell>
        </row>
        <row r="9953">
          <cell r="A9953">
            <v>8090820</v>
          </cell>
        </row>
        <row r="9954">
          <cell r="A9954">
            <v>8090821</v>
          </cell>
        </row>
        <row r="9955">
          <cell r="A9955">
            <v>8090822</v>
          </cell>
        </row>
        <row r="9956">
          <cell r="A9956">
            <v>8090823</v>
          </cell>
        </row>
        <row r="9957">
          <cell r="A9957">
            <v>8090824</v>
          </cell>
        </row>
        <row r="9958">
          <cell r="A9958">
            <v>8090825</v>
          </cell>
        </row>
        <row r="9959">
          <cell r="A9959">
            <v>8090826</v>
          </cell>
        </row>
        <row r="9960">
          <cell r="A9960">
            <v>8090827</v>
          </cell>
        </row>
        <row r="9961">
          <cell r="A9961">
            <v>8090828</v>
          </cell>
        </row>
        <row r="9962">
          <cell r="A9962">
            <v>8090829</v>
          </cell>
        </row>
        <row r="9963">
          <cell r="A9963">
            <v>8090830</v>
          </cell>
        </row>
        <row r="9964">
          <cell r="A9964">
            <v>8090831</v>
          </cell>
        </row>
        <row r="9965">
          <cell r="A9965">
            <v>8090832</v>
          </cell>
        </row>
        <row r="9966">
          <cell r="A9966">
            <v>8090833</v>
          </cell>
        </row>
        <row r="9967">
          <cell r="A9967">
            <v>8090835</v>
          </cell>
        </row>
        <row r="9968">
          <cell r="A9968">
            <v>8090836</v>
          </cell>
        </row>
        <row r="9969">
          <cell r="A9969">
            <v>8090901</v>
          </cell>
        </row>
        <row r="9970">
          <cell r="A9970">
            <v>8090902</v>
          </cell>
        </row>
        <row r="9971">
          <cell r="A9971">
            <v>8090903</v>
          </cell>
        </row>
        <row r="9972">
          <cell r="A9972">
            <v>8090904</v>
          </cell>
        </row>
        <row r="9973">
          <cell r="A9973">
            <v>8090905</v>
          </cell>
        </row>
        <row r="9974">
          <cell r="A9974">
            <v>8090906</v>
          </cell>
        </row>
        <row r="9975">
          <cell r="A9975">
            <v>8090907</v>
          </cell>
        </row>
        <row r="9976">
          <cell r="A9976">
            <v>8090908</v>
          </cell>
        </row>
        <row r="9977">
          <cell r="A9977">
            <v>8090909</v>
          </cell>
        </row>
        <row r="9978">
          <cell r="A9978">
            <v>8090910</v>
          </cell>
        </row>
        <row r="9979">
          <cell r="A9979">
            <v>8090911</v>
          </cell>
        </row>
        <row r="9980">
          <cell r="A9980">
            <v>8090912</v>
          </cell>
        </row>
        <row r="9981">
          <cell r="A9981">
            <v>8090913</v>
          </cell>
        </row>
        <row r="9982">
          <cell r="A9982">
            <v>8090914</v>
          </cell>
        </row>
        <row r="9983">
          <cell r="A9983">
            <v>8090915</v>
          </cell>
        </row>
        <row r="9984">
          <cell r="A9984">
            <v>8090916</v>
          </cell>
        </row>
        <row r="9985">
          <cell r="A9985">
            <v>8090917</v>
          </cell>
        </row>
        <row r="9986">
          <cell r="A9986">
            <v>8090918</v>
          </cell>
        </row>
        <row r="9987">
          <cell r="A9987">
            <v>8090919</v>
          </cell>
        </row>
        <row r="9988">
          <cell r="A9988">
            <v>8090920</v>
          </cell>
        </row>
        <row r="9989">
          <cell r="A9989">
            <v>8090921</v>
          </cell>
        </row>
        <row r="9990">
          <cell r="A9990">
            <v>8090922</v>
          </cell>
        </row>
        <row r="9991">
          <cell r="A9991">
            <v>8090923</v>
          </cell>
        </row>
        <row r="9992">
          <cell r="A9992">
            <v>8090924</v>
          </cell>
        </row>
        <row r="9993">
          <cell r="A9993">
            <v>8090925</v>
          </cell>
        </row>
        <row r="9994">
          <cell r="A9994">
            <v>8090926</v>
          </cell>
        </row>
        <row r="9995">
          <cell r="A9995">
            <v>8090927</v>
          </cell>
        </row>
        <row r="9996">
          <cell r="A9996">
            <v>8090928</v>
          </cell>
        </row>
        <row r="9997">
          <cell r="A9997">
            <v>8090929</v>
          </cell>
        </row>
        <row r="9998">
          <cell r="A9998">
            <v>8090930</v>
          </cell>
        </row>
        <row r="9999">
          <cell r="A9999">
            <v>8090931</v>
          </cell>
        </row>
        <row r="10000">
          <cell r="A10000">
            <v>8090932</v>
          </cell>
        </row>
        <row r="10001">
          <cell r="A10001">
            <v>8090933</v>
          </cell>
        </row>
        <row r="10002">
          <cell r="A10002">
            <v>8090934</v>
          </cell>
        </row>
        <row r="10003">
          <cell r="A10003">
            <v>8090935</v>
          </cell>
        </row>
        <row r="10004">
          <cell r="A10004">
            <v>8091001</v>
          </cell>
        </row>
        <row r="10005">
          <cell r="A10005">
            <v>8091002</v>
          </cell>
        </row>
        <row r="10006">
          <cell r="A10006">
            <v>8091003</v>
          </cell>
        </row>
        <row r="10007">
          <cell r="A10007">
            <v>8091004</v>
          </cell>
        </row>
        <row r="10008">
          <cell r="A10008">
            <v>8091005</v>
          </cell>
        </row>
        <row r="10009">
          <cell r="A10009">
            <v>8091006</v>
          </cell>
        </row>
        <row r="10010">
          <cell r="A10010">
            <v>8091007</v>
          </cell>
        </row>
        <row r="10011">
          <cell r="A10011">
            <v>8091008</v>
          </cell>
        </row>
        <row r="10012">
          <cell r="A10012">
            <v>8091009</v>
          </cell>
        </row>
        <row r="10013">
          <cell r="A10013">
            <v>8091010</v>
          </cell>
        </row>
        <row r="10014">
          <cell r="A10014">
            <v>8091011</v>
          </cell>
        </row>
        <row r="10015">
          <cell r="A10015">
            <v>8091012</v>
          </cell>
        </row>
        <row r="10016">
          <cell r="A10016">
            <v>8091013</v>
          </cell>
        </row>
        <row r="10017">
          <cell r="A10017">
            <v>8091014</v>
          </cell>
        </row>
        <row r="10018">
          <cell r="A10018">
            <v>8091015</v>
          </cell>
        </row>
        <row r="10019">
          <cell r="A10019">
            <v>8091016</v>
          </cell>
        </row>
        <row r="10020">
          <cell r="A10020">
            <v>8091022</v>
          </cell>
        </row>
        <row r="10021">
          <cell r="A10021">
            <v>8091023</v>
          </cell>
        </row>
        <row r="10022">
          <cell r="A10022">
            <v>8091024</v>
          </cell>
        </row>
        <row r="10023">
          <cell r="A10023">
            <v>8091030</v>
          </cell>
        </row>
        <row r="10024">
          <cell r="A10024">
            <v>8091031</v>
          </cell>
        </row>
        <row r="10025">
          <cell r="A10025">
            <v>8091032</v>
          </cell>
        </row>
        <row r="10026">
          <cell r="A10026">
            <v>8091033</v>
          </cell>
        </row>
        <row r="10027">
          <cell r="A10027">
            <v>8091034</v>
          </cell>
        </row>
        <row r="10028">
          <cell r="A10028">
            <v>8091035</v>
          </cell>
        </row>
        <row r="10029">
          <cell r="A10029">
            <v>8091036</v>
          </cell>
        </row>
        <row r="10030">
          <cell r="A10030">
            <v>8091037</v>
          </cell>
        </row>
        <row r="10031">
          <cell r="A10031">
            <v>8091038</v>
          </cell>
        </row>
        <row r="10032">
          <cell r="A10032">
            <v>8091039</v>
          </cell>
        </row>
        <row r="10033">
          <cell r="A10033">
            <v>8091040</v>
          </cell>
        </row>
        <row r="10034">
          <cell r="A10034">
            <v>8091101</v>
          </cell>
        </row>
        <row r="10035">
          <cell r="A10035">
            <v>8091102</v>
          </cell>
        </row>
        <row r="10036">
          <cell r="A10036">
            <v>8091103</v>
          </cell>
        </row>
        <row r="10037">
          <cell r="A10037">
            <v>8091104</v>
          </cell>
        </row>
        <row r="10038">
          <cell r="A10038">
            <v>8091105</v>
          </cell>
        </row>
        <row r="10039">
          <cell r="A10039">
            <v>8091106</v>
          </cell>
        </row>
        <row r="10040">
          <cell r="A10040">
            <v>8091107</v>
          </cell>
        </row>
        <row r="10041">
          <cell r="A10041">
            <v>8091108</v>
          </cell>
        </row>
        <row r="10042">
          <cell r="A10042">
            <v>8091109</v>
          </cell>
        </row>
        <row r="10043">
          <cell r="A10043">
            <v>8091110</v>
          </cell>
        </row>
        <row r="10044">
          <cell r="A10044">
            <v>8091111</v>
          </cell>
        </row>
        <row r="10045">
          <cell r="A10045">
            <v>8091112</v>
          </cell>
        </row>
        <row r="10046">
          <cell r="A10046">
            <v>8091113</v>
          </cell>
        </row>
        <row r="10047">
          <cell r="A10047">
            <v>8091114</v>
          </cell>
        </row>
        <row r="10048">
          <cell r="A10048">
            <v>8091115</v>
          </cell>
        </row>
        <row r="10049">
          <cell r="A10049">
            <v>8091116</v>
          </cell>
        </row>
        <row r="10050">
          <cell r="A10050">
            <v>8091117</v>
          </cell>
        </row>
        <row r="10051">
          <cell r="A10051">
            <v>8091118</v>
          </cell>
        </row>
        <row r="10052">
          <cell r="A10052">
            <v>8091119</v>
          </cell>
        </row>
        <row r="10053">
          <cell r="A10053">
            <v>8091120</v>
          </cell>
        </row>
        <row r="10054">
          <cell r="A10054">
            <v>8091121</v>
          </cell>
        </row>
        <row r="10055">
          <cell r="A10055">
            <v>8091127</v>
          </cell>
        </row>
        <row r="10056">
          <cell r="A10056">
            <v>8091128</v>
          </cell>
        </row>
        <row r="10057">
          <cell r="A10057">
            <v>8091129</v>
          </cell>
        </row>
        <row r="10058">
          <cell r="A10058">
            <v>8091130</v>
          </cell>
        </row>
        <row r="10059">
          <cell r="A10059">
            <v>8091131</v>
          </cell>
        </row>
        <row r="10060">
          <cell r="A10060">
            <v>8091132</v>
          </cell>
        </row>
        <row r="10061">
          <cell r="A10061">
            <v>8091133</v>
          </cell>
        </row>
        <row r="10062">
          <cell r="A10062">
            <v>8091134</v>
          </cell>
        </row>
        <row r="10063">
          <cell r="A10063">
            <v>8091135</v>
          </cell>
        </row>
        <row r="10064">
          <cell r="A10064">
            <v>8091136</v>
          </cell>
        </row>
        <row r="10065">
          <cell r="A10065">
            <v>8091137</v>
          </cell>
        </row>
        <row r="10066">
          <cell r="A10066">
            <v>8091138</v>
          </cell>
        </row>
        <row r="10067">
          <cell r="A10067">
            <v>8091139</v>
          </cell>
        </row>
        <row r="10068">
          <cell r="A10068">
            <v>8091140</v>
          </cell>
        </row>
        <row r="10069">
          <cell r="A10069">
            <v>8091141</v>
          </cell>
        </row>
        <row r="10070">
          <cell r="A10070">
            <v>8091142</v>
          </cell>
        </row>
        <row r="10071">
          <cell r="A10071">
            <v>8091143</v>
          </cell>
        </row>
        <row r="10072">
          <cell r="A10072">
            <v>8091144</v>
          </cell>
        </row>
        <row r="10073">
          <cell r="A10073">
            <v>8091145</v>
          </cell>
        </row>
        <row r="10074">
          <cell r="A10074">
            <v>8091146</v>
          </cell>
        </row>
        <row r="10075">
          <cell r="A10075">
            <v>8091157</v>
          </cell>
        </row>
        <row r="10076">
          <cell r="A10076">
            <v>8091158</v>
          </cell>
        </row>
        <row r="10077">
          <cell r="A10077">
            <v>8091159</v>
          </cell>
        </row>
        <row r="10078">
          <cell r="A10078">
            <v>8091160</v>
          </cell>
        </row>
        <row r="10079">
          <cell r="A10079">
            <v>8091161</v>
          </cell>
        </row>
        <row r="10080">
          <cell r="A10080">
            <v>8091162</v>
          </cell>
        </row>
        <row r="10081">
          <cell r="A10081">
            <v>8091163</v>
          </cell>
        </row>
        <row r="10082">
          <cell r="A10082">
            <v>8091164</v>
          </cell>
        </row>
        <row r="10083">
          <cell r="A10083">
            <v>8091165</v>
          </cell>
        </row>
        <row r="10084">
          <cell r="A10084">
            <v>8091166</v>
          </cell>
        </row>
        <row r="10085">
          <cell r="A10085">
            <v>8091167</v>
          </cell>
        </row>
        <row r="10086">
          <cell r="A10086">
            <v>8091201</v>
          </cell>
        </row>
        <row r="10087">
          <cell r="A10087">
            <v>8091202</v>
          </cell>
        </row>
        <row r="10088">
          <cell r="A10088">
            <v>8091203</v>
          </cell>
        </row>
        <row r="10089">
          <cell r="A10089">
            <v>8091204</v>
          </cell>
        </row>
        <row r="10090">
          <cell r="A10090">
            <v>8091205</v>
          </cell>
        </row>
        <row r="10091">
          <cell r="A10091">
            <v>8091206</v>
          </cell>
        </row>
        <row r="10092">
          <cell r="A10092">
            <v>8091207</v>
          </cell>
        </row>
        <row r="10093">
          <cell r="A10093">
            <v>8091208</v>
          </cell>
        </row>
        <row r="10094">
          <cell r="A10094">
            <v>8091209</v>
          </cell>
        </row>
        <row r="10095">
          <cell r="A10095">
            <v>8091210</v>
          </cell>
        </row>
        <row r="10096">
          <cell r="A10096">
            <v>8091211</v>
          </cell>
        </row>
        <row r="10097">
          <cell r="A10097">
            <v>8091212</v>
          </cell>
        </row>
        <row r="10098">
          <cell r="A10098">
            <v>8091213</v>
          </cell>
        </row>
        <row r="10099">
          <cell r="A10099">
            <v>8091214</v>
          </cell>
        </row>
        <row r="10100">
          <cell r="A10100">
            <v>8091215</v>
          </cell>
        </row>
        <row r="10101">
          <cell r="A10101">
            <v>8091216</v>
          </cell>
        </row>
        <row r="10102">
          <cell r="A10102">
            <v>8091217</v>
          </cell>
        </row>
        <row r="10103">
          <cell r="A10103">
            <v>8091218</v>
          </cell>
        </row>
        <row r="10104">
          <cell r="A10104">
            <v>8091219</v>
          </cell>
        </row>
        <row r="10105">
          <cell r="A10105">
            <v>8091220</v>
          </cell>
        </row>
        <row r="10106">
          <cell r="A10106">
            <v>8091221</v>
          </cell>
        </row>
        <row r="10107">
          <cell r="A10107">
            <v>8091222</v>
          </cell>
        </row>
        <row r="10108">
          <cell r="A10108">
            <v>8091223</v>
          </cell>
        </row>
        <row r="10109">
          <cell r="A10109">
            <v>8091224</v>
          </cell>
        </row>
        <row r="10110">
          <cell r="A10110">
            <v>8091225</v>
          </cell>
        </row>
        <row r="10111">
          <cell r="A10111">
            <v>8091226</v>
          </cell>
        </row>
        <row r="10112">
          <cell r="A10112">
            <v>8091227</v>
          </cell>
        </row>
        <row r="10113">
          <cell r="A10113">
            <v>8091228</v>
          </cell>
        </row>
        <row r="10114">
          <cell r="A10114">
            <v>8091229</v>
          </cell>
        </row>
        <row r="10115">
          <cell r="A10115">
            <v>8091230</v>
          </cell>
        </row>
        <row r="10116">
          <cell r="A10116">
            <v>8091237</v>
          </cell>
        </row>
        <row r="10117">
          <cell r="A10117">
            <v>8091238</v>
          </cell>
        </row>
        <row r="10118">
          <cell r="A10118">
            <v>8091239</v>
          </cell>
        </row>
        <row r="10119">
          <cell r="A10119">
            <v>8091240</v>
          </cell>
        </row>
        <row r="10120">
          <cell r="A10120">
            <v>8091241</v>
          </cell>
        </row>
        <row r="10121">
          <cell r="A10121">
            <v>8091242</v>
          </cell>
        </row>
        <row r="10122">
          <cell r="A10122">
            <v>8091243</v>
          </cell>
        </row>
        <row r="10123">
          <cell r="A10123">
            <v>8091244</v>
          </cell>
        </row>
        <row r="10124">
          <cell r="A10124">
            <v>8091245</v>
          </cell>
        </row>
        <row r="10125">
          <cell r="A10125">
            <v>8091246</v>
          </cell>
        </row>
        <row r="10126">
          <cell r="A10126">
            <v>8091247</v>
          </cell>
        </row>
        <row r="10127">
          <cell r="A10127">
            <v>8091248</v>
          </cell>
        </row>
        <row r="10128">
          <cell r="A10128">
            <v>8091249</v>
          </cell>
        </row>
        <row r="10129">
          <cell r="A10129">
            <v>8091250</v>
          </cell>
        </row>
        <row r="10130">
          <cell r="A10130">
            <v>8091251</v>
          </cell>
        </row>
        <row r="10131">
          <cell r="A10131">
            <v>8091252</v>
          </cell>
        </row>
        <row r="10132">
          <cell r="A10132">
            <v>8091253</v>
          </cell>
        </row>
        <row r="10133">
          <cell r="A10133">
            <v>8091254</v>
          </cell>
        </row>
        <row r="10134">
          <cell r="A10134">
            <v>8091255</v>
          </cell>
        </row>
        <row r="10135">
          <cell r="A10135">
            <v>8091256</v>
          </cell>
        </row>
        <row r="10136">
          <cell r="A10136">
            <v>8091301</v>
          </cell>
        </row>
        <row r="10137">
          <cell r="A10137">
            <v>8091302</v>
          </cell>
        </row>
        <row r="10138">
          <cell r="A10138">
            <v>8091303</v>
          </cell>
        </row>
        <row r="10139">
          <cell r="A10139">
            <v>8091304</v>
          </cell>
        </row>
        <row r="10140">
          <cell r="A10140">
            <v>8091305</v>
          </cell>
        </row>
        <row r="10141">
          <cell r="A10141">
            <v>8091306</v>
          </cell>
        </row>
        <row r="10142">
          <cell r="A10142">
            <v>8091307</v>
          </cell>
        </row>
        <row r="10143">
          <cell r="A10143">
            <v>8091308</v>
          </cell>
        </row>
        <row r="10144">
          <cell r="A10144">
            <v>8091309</v>
          </cell>
        </row>
        <row r="10145">
          <cell r="A10145">
            <v>8091310</v>
          </cell>
        </row>
        <row r="10146">
          <cell r="A10146">
            <v>8091311</v>
          </cell>
        </row>
        <row r="10147">
          <cell r="A10147">
            <v>8091312</v>
          </cell>
        </row>
        <row r="10148">
          <cell r="A10148">
            <v>8091313</v>
          </cell>
        </row>
        <row r="10149">
          <cell r="A10149">
            <v>8091314</v>
          </cell>
        </row>
        <row r="10150">
          <cell r="A10150">
            <v>8091315</v>
          </cell>
        </row>
        <row r="10151">
          <cell r="A10151">
            <v>8091316</v>
          </cell>
        </row>
        <row r="10152">
          <cell r="A10152">
            <v>8091317</v>
          </cell>
        </row>
        <row r="10153">
          <cell r="A10153">
            <v>8091318</v>
          </cell>
        </row>
        <row r="10154">
          <cell r="A10154">
            <v>8091319</v>
          </cell>
        </row>
        <row r="10155">
          <cell r="A10155">
            <v>8091323</v>
          </cell>
        </row>
        <row r="10156">
          <cell r="A10156">
            <v>8091324</v>
          </cell>
        </row>
        <row r="10157">
          <cell r="A10157">
            <v>8091325</v>
          </cell>
        </row>
        <row r="10158">
          <cell r="A10158">
            <v>8091326</v>
          </cell>
        </row>
        <row r="10159">
          <cell r="A10159">
            <v>8091327</v>
          </cell>
        </row>
        <row r="10160">
          <cell r="A10160">
            <v>8091328</v>
          </cell>
        </row>
        <row r="10161">
          <cell r="A10161">
            <v>8091329</v>
          </cell>
        </row>
        <row r="10162">
          <cell r="A10162">
            <v>8091330</v>
          </cell>
        </row>
        <row r="10163">
          <cell r="A10163">
            <v>8091331</v>
          </cell>
        </row>
        <row r="10164">
          <cell r="A10164">
            <v>8091332</v>
          </cell>
        </row>
        <row r="10165">
          <cell r="A10165">
            <v>8091333</v>
          </cell>
        </row>
        <row r="10166">
          <cell r="A10166">
            <v>8091334</v>
          </cell>
        </row>
        <row r="10167">
          <cell r="A10167">
            <v>8091335</v>
          </cell>
        </row>
        <row r="10168">
          <cell r="A10168">
            <v>8091336</v>
          </cell>
        </row>
        <row r="10169">
          <cell r="A10169">
            <v>8091337</v>
          </cell>
        </row>
        <row r="10170">
          <cell r="A10170">
            <v>8091338</v>
          </cell>
        </row>
        <row r="10171">
          <cell r="A10171">
            <v>8091339</v>
          </cell>
        </row>
        <row r="10172">
          <cell r="A10172">
            <v>8091340</v>
          </cell>
        </row>
        <row r="10173">
          <cell r="A10173">
            <v>8091341</v>
          </cell>
        </row>
        <row r="10174">
          <cell r="A10174">
            <v>8091342</v>
          </cell>
        </row>
        <row r="10175">
          <cell r="A10175">
            <v>8091343</v>
          </cell>
        </row>
        <row r="10176">
          <cell r="A10176">
            <v>8091344</v>
          </cell>
        </row>
        <row r="10177">
          <cell r="A10177">
            <v>8091345</v>
          </cell>
        </row>
        <row r="10178">
          <cell r="A10178">
            <v>8091401</v>
          </cell>
        </row>
        <row r="10179">
          <cell r="A10179">
            <v>8091402</v>
          </cell>
        </row>
        <row r="10180">
          <cell r="A10180">
            <v>8091403</v>
          </cell>
        </row>
        <row r="10181">
          <cell r="A10181">
            <v>8091404</v>
          </cell>
        </row>
        <row r="10182">
          <cell r="A10182">
            <v>8091405</v>
          </cell>
        </row>
        <row r="10183">
          <cell r="A10183">
            <v>8091406</v>
          </cell>
        </row>
        <row r="10184">
          <cell r="A10184">
            <v>8091407</v>
          </cell>
        </row>
        <row r="10185">
          <cell r="A10185">
            <v>8091408</v>
          </cell>
        </row>
        <row r="10186">
          <cell r="A10186">
            <v>8091409</v>
          </cell>
        </row>
        <row r="10187">
          <cell r="A10187">
            <v>8091410</v>
          </cell>
        </row>
        <row r="10188">
          <cell r="A10188">
            <v>8091411</v>
          </cell>
        </row>
        <row r="10189">
          <cell r="A10189">
            <v>8091501</v>
          </cell>
        </row>
        <row r="10190">
          <cell r="A10190">
            <v>8091502</v>
          </cell>
        </row>
        <row r="10191">
          <cell r="A10191">
            <v>8091503</v>
          </cell>
        </row>
        <row r="10192">
          <cell r="A10192">
            <v>8091504</v>
          </cell>
        </row>
        <row r="10193">
          <cell r="A10193">
            <v>8091505</v>
          </cell>
        </row>
        <row r="10194">
          <cell r="A10194">
            <v>8091506</v>
          </cell>
        </row>
        <row r="10195">
          <cell r="A10195">
            <v>8091507</v>
          </cell>
        </row>
        <row r="10196">
          <cell r="A10196">
            <v>8091508</v>
          </cell>
        </row>
        <row r="10197">
          <cell r="A10197">
            <v>8091509</v>
          </cell>
        </row>
        <row r="10198">
          <cell r="A10198">
            <v>8091510</v>
          </cell>
        </row>
        <row r="10199">
          <cell r="A10199">
            <v>8091511</v>
          </cell>
        </row>
        <row r="10200">
          <cell r="A10200">
            <v>8091512</v>
          </cell>
        </row>
        <row r="10201">
          <cell r="A10201">
            <v>8091513</v>
          </cell>
        </row>
        <row r="10202">
          <cell r="A10202">
            <v>8091514</v>
          </cell>
        </row>
        <row r="10203">
          <cell r="A10203">
            <v>8091515</v>
          </cell>
        </row>
        <row r="10204">
          <cell r="A10204">
            <v>8091519</v>
          </cell>
        </row>
        <row r="10205">
          <cell r="A10205">
            <v>8091520</v>
          </cell>
        </row>
        <row r="10206">
          <cell r="A10206">
            <v>8091521</v>
          </cell>
        </row>
        <row r="10207">
          <cell r="A10207">
            <v>8091522</v>
          </cell>
        </row>
        <row r="10208">
          <cell r="A10208">
            <v>8091523</v>
          </cell>
        </row>
        <row r="10209">
          <cell r="A10209">
            <v>8091524</v>
          </cell>
        </row>
        <row r="10210">
          <cell r="A10210">
            <v>8091525</v>
          </cell>
        </row>
        <row r="10211">
          <cell r="A10211">
            <v>8091526</v>
          </cell>
        </row>
        <row r="10212">
          <cell r="A10212">
            <v>8091527</v>
          </cell>
        </row>
        <row r="10213">
          <cell r="A10213">
            <v>8091528</v>
          </cell>
        </row>
        <row r="10214">
          <cell r="A10214">
            <v>8091529</v>
          </cell>
        </row>
        <row r="10215">
          <cell r="A10215">
            <v>8091530</v>
          </cell>
        </row>
        <row r="10216">
          <cell r="A10216">
            <v>8091531</v>
          </cell>
        </row>
        <row r="10217">
          <cell r="A10217">
            <v>8091532</v>
          </cell>
        </row>
        <row r="10218">
          <cell r="A10218">
            <v>8091533</v>
          </cell>
        </row>
        <row r="10219">
          <cell r="A10219">
            <v>8091534</v>
          </cell>
        </row>
        <row r="10220">
          <cell r="A10220">
            <v>8091535</v>
          </cell>
        </row>
        <row r="10221">
          <cell r="A10221">
            <v>8091536</v>
          </cell>
        </row>
        <row r="10222">
          <cell r="A10222">
            <v>8091537</v>
          </cell>
        </row>
        <row r="10223">
          <cell r="A10223">
            <v>8091538</v>
          </cell>
        </row>
        <row r="10224">
          <cell r="A10224">
            <v>8091539</v>
          </cell>
        </row>
        <row r="10225">
          <cell r="A10225">
            <v>8091540</v>
          </cell>
        </row>
        <row r="10226">
          <cell r="A10226">
            <v>8091542</v>
          </cell>
        </row>
        <row r="10227">
          <cell r="A10227">
            <v>8091601</v>
          </cell>
        </row>
        <row r="10228">
          <cell r="A10228">
            <v>8091602</v>
          </cell>
        </row>
        <row r="10229">
          <cell r="A10229">
            <v>8091603</v>
          </cell>
        </row>
        <row r="10230">
          <cell r="A10230">
            <v>8091604</v>
          </cell>
        </row>
        <row r="10231">
          <cell r="A10231">
            <v>8091605</v>
          </cell>
        </row>
        <row r="10232">
          <cell r="A10232">
            <v>8091606</v>
          </cell>
        </row>
        <row r="10233">
          <cell r="A10233">
            <v>8091607</v>
          </cell>
        </row>
        <row r="10234">
          <cell r="A10234">
            <v>8091608</v>
          </cell>
        </row>
        <row r="10235">
          <cell r="A10235">
            <v>8091609</v>
          </cell>
        </row>
        <row r="10236">
          <cell r="A10236">
            <v>8091610</v>
          </cell>
        </row>
        <row r="10237">
          <cell r="A10237">
            <v>8091611</v>
          </cell>
        </row>
        <row r="10238">
          <cell r="A10238">
            <v>8091612</v>
          </cell>
        </row>
        <row r="10239">
          <cell r="A10239">
            <v>8091613</v>
          </cell>
        </row>
        <row r="10240">
          <cell r="A10240">
            <v>8091614</v>
          </cell>
        </row>
        <row r="10241">
          <cell r="A10241">
            <v>8091615</v>
          </cell>
        </row>
        <row r="10242">
          <cell r="A10242">
            <v>8091616</v>
          </cell>
        </row>
        <row r="10243">
          <cell r="A10243">
            <v>8091617</v>
          </cell>
        </row>
        <row r="10244">
          <cell r="A10244">
            <v>8091621</v>
          </cell>
        </row>
        <row r="10245">
          <cell r="A10245">
            <v>8091622</v>
          </cell>
        </row>
        <row r="10246">
          <cell r="A10246">
            <v>8091623</v>
          </cell>
        </row>
        <row r="10247">
          <cell r="A10247">
            <v>8091624</v>
          </cell>
        </row>
        <row r="10248">
          <cell r="A10248">
            <v>8091630</v>
          </cell>
        </row>
        <row r="10249">
          <cell r="A10249">
            <v>8091631</v>
          </cell>
        </row>
        <row r="10250">
          <cell r="A10250">
            <v>8091632</v>
          </cell>
        </row>
        <row r="10251">
          <cell r="A10251">
            <v>8091633</v>
          </cell>
        </row>
        <row r="10252">
          <cell r="A10252">
            <v>8091634</v>
          </cell>
        </row>
        <row r="10253">
          <cell r="A10253">
            <v>8091635</v>
          </cell>
        </row>
        <row r="10254">
          <cell r="A10254">
            <v>8091636</v>
          </cell>
        </row>
        <row r="10255">
          <cell r="A10255">
            <v>8091637</v>
          </cell>
        </row>
        <row r="10256">
          <cell r="A10256">
            <v>8091638</v>
          </cell>
        </row>
        <row r="10257">
          <cell r="A10257">
            <v>8091639</v>
          </cell>
        </row>
        <row r="10258">
          <cell r="A10258">
            <v>8091640</v>
          </cell>
        </row>
        <row r="10259">
          <cell r="A10259">
            <v>8091641</v>
          </cell>
        </row>
        <row r="10260">
          <cell r="A10260">
            <v>8091642</v>
          </cell>
        </row>
        <row r="10261">
          <cell r="A10261">
            <v>8091643</v>
          </cell>
        </row>
        <row r="10262">
          <cell r="A10262">
            <v>8091649</v>
          </cell>
        </row>
        <row r="10263">
          <cell r="A10263">
            <v>8091650</v>
          </cell>
        </row>
        <row r="10264">
          <cell r="A10264">
            <v>8091651</v>
          </cell>
        </row>
        <row r="10265">
          <cell r="A10265">
            <v>8091658</v>
          </cell>
        </row>
        <row r="10266">
          <cell r="A10266">
            <v>8091659</v>
          </cell>
        </row>
        <row r="10267">
          <cell r="A10267">
            <v>8091701</v>
          </cell>
        </row>
        <row r="10268">
          <cell r="A10268">
            <v>8091702</v>
          </cell>
        </row>
        <row r="10269">
          <cell r="A10269">
            <v>8091703</v>
          </cell>
        </row>
        <row r="10270">
          <cell r="A10270">
            <v>8091704</v>
          </cell>
        </row>
        <row r="10271">
          <cell r="A10271">
            <v>8091705</v>
          </cell>
        </row>
        <row r="10272">
          <cell r="A10272">
            <v>8091706</v>
          </cell>
        </row>
        <row r="10273">
          <cell r="A10273">
            <v>8091707</v>
          </cell>
        </row>
        <row r="10274">
          <cell r="A10274">
            <v>8091708</v>
          </cell>
        </row>
        <row r="10275">
          <cell r="A10275">
            <v>8091709</v>
          </cell>
        </row>
        <row r="10276">
          <cell r="A10276">
            <v>8091710</v>
          </cell>
        </row>
        <row r="10277">
          <cell r="A10277">
            <v>8091711</v>
          </cell>
        </row>
        <row r="10278">
          <cell r="A10278">
            <v>8091712</v>
          </cell>
        </row>
        <row r="10279">
          <cell r="A10279">
            <v>8091713</v>
          </cell>
        </row>
        <row r="10280">
          <cell r="A10280">
            <v>8091714</v>
          </cell>
        </row>
        <row r="10281">
          <cell r="A10281">
            <v>8091715</v>
          </cell>
        </row>
        <row r="10282">
          <cell r="A10282">
            <v>8091716</v>
          </cell>
        </row>
        <row r="10283">
          <cell r="A10283">
            <v>8091717</v>
          </cell>
        </row>
        <row r="10284">
          <cell r="A10284">
            <v>8091723</v>
          </cell>
        </row>
        <row r="10285">
          <cell r="A10285">
            <v>8091724</v>
          </cell>
        </row>
        <row r="10286">
          <cell r="A10286">
            <v>8091725</v>
          </cell>
        </row>
        <row r="10287">
          <cell r="A10287">
            <v>8091726</v>
          </cell>
        </row>
        <row r="10288">
          <cell r="A10288">
            <v>8091727</v>
          </cell>
        </row>
        <row r="10289">
          <cell r="A10289">
            <v>8091728</v>
          </cell>
        </row>
        <row r="10290">
          <cell r="A10290">
            <v>8091729</v>
          </cell>
        </row>
        <row r="10291">
          <cell r="A10291">
            <v>8091730</v>
          </cell>
        </row>
        <row r="10292">
          <cell r="A10292">
            <v>8091731</v>
          </cell>
        </row>
        <row r="10293">
          <cell r="A10293">
            <v>8091732</v>
          </cell>
        </row>
        <row r="10294">
          <cell r="A10294">
            <v>8091733</v>
          </cell>
        </row>
        <row r="10295">
          <cell r="A10295">
            <v>8091734</v>
          </cell>
        </row>
        <row r="10296">
          <cell r="A10296">
            <v>8091735</v>
          </cell>
        </row>
        <row r="10297">
          <cell r="A10297">
            <v>8091736</v>
          </cell>
        </row>
        <row r="10298">
          <cell r="A10298">
            <v>8091737</v>
          </cell>
        </row>
        <row r="10299">
          <cell r="A10299">
            <v>8091738</v>
          </cell>
        </row>
        <row r="10300">
          <cell r="A10300">
            <v>8091739</v>
          </cell>
        </row>
        <row r="10301">
          <cell r="A10301">
            <v>8091740</v>
          </cell>
        </row>
        <row r="10302">
          <cell r="A10302">
            <v>8091741</v>
          </cell>
        </row>
        <row r="10303">
          <cell r="A10303">
            <v>8091742</v>
          </cell>
        </row>
        <row r="10304">
          <cell r="A10304">
            <v>8091743</v>
          </cell>
        </row>
        <row r="10305">
          <cell r="A10305">
            <v>8091744</v>
          </cell>
        </row>
        <row r="10306">
          <cell r="A10306">
            <v>8091745</v>
          </cell>
        </row>
        <row r="10307">
          <cell r="A10307">
            <v>8091747</v>
          </cell>
        </row>
        <row r="10308">
          <cell r="A10308">
            <v>8091748</v>
          </cell>
        </row>
        <row r="10309">
          <cell r="A10309">
            <v>8091749</v>
          </cell>
        </row>
        <row r="10310">
          <cell r="A10310">
            <v>8091776</v>
          </cell>
        </row>
        <row r="10311">
          <cell r="A10311">
            <v>8091777</v>
          </cell>
        </row>
        <row r="10312">
          <cell r="A10312">
            <v>8091801</v>
          </cell>
        </row>
        <row r="10313">
          <cell r="A10313">
            <v>8091802</v>
          </cell>
        </row>
        <row r="10314">
          <cell r="A10314">
            <v>8091803</v>
          </cell>
        </row>
        <row r="10315">
          <cell r="A10315">
            <v>8091804</v>
          </cell>
        </row>
        <row r="10316">
          <cell r="A10316">
            <v>8091805</v>
          </cell>
        </row>
        <row r="10317">
          <cell r="A10317">
            <v>8091806</v>
          </cell>
        </row>
        <row r="10318">
          <cell r="A10318">
            <v>8091807</v>
          </cell>
        </row>
        <row r="10319">
          <cell r="A10319">
            <v>8091808</v>
          </cell>
        </row>
        <row r="10320">
          <cell r="A10320">
            <v>8091809</v>
          </cell>
        </row>
        <row r="10321">
          <cell r="A10321">
            <v>8091810</v>
          </cell>
        </row>
        <row r="10322">
          <cell r="A10322">
            <v>8091811</v>
          </cell>
        </row>
        <row r="10323">
          <cell r="A10323">
            <v>8091812</v>
          </cell>
        </row>
        <row r="10324">
          <cell r="A10324">
            <v>8091813</v>
          </cell>
        </row>
        <row r="10325">
          <cell r="A10325">
            <v>8091814</v>
          </cell>
        </row>
        <row r="10326">
          <cell r="A10326">
            <v>8091815</v>
          </cell>
        </row>
        <row r="10327">
          <cell r="A10327">
            <v>8091816</v>
          </cell>
        </row>
        <row r="10328">
          <cell r="A10328">
            <v>8091817</v>
          </cell>
        </row>
        <row r="10329">
          <cell r="A10329">
            <v>8091818</v>
          </cell>
        </row>
        <row r="10330">
          <cell r="A10330">
            <v>8091819</v>
          </cell>
        </row>
        <row r="10331">
          <cell r="A10331">
            <v>8091820</v>
          </cell>
        </row>
        <row r="10332">
          <cell r="A10332">
            <v>8091821</v>
          </cell>
        </row>
        <row r="10333">
          <cell r="A10333">
            <v>8091822</v>
          </cell>
        </row>
        <row r="10334">
          <cell r="A10334">
            <v>8091823</v>
          </cell>
        </row>
        <row r="10335">
          <cell r="A10335">
            <v>8091824</v>
          </cell>
        </row>
        <row r="10336">
          <cell r="A10336">
            <v>8091825</v>
          </cell>
        </row>
        <row r="10337">
          <cell r="A10337">
            <v>8091826</v>
          </cell>
        </row>
        <row r="10338">
          <cell r="A10338">
            <v>8091827</v>
          </cell>
        </row>
        <row r="10339">
          <cell r="A10339">
            <v>8091828</v>
          </cell>
        </row>
        <row r="10340">
          <cell r="A10340">
            <v>8091829</v>
          </cell>
        </row>
        <row r="10341">
          <cell r="A10341">
            <v>8091830</v>
          </cell>
        </row>
        <row r="10342">
          <cell r="A10342">
            <v>8091831</v>
          </cell>
        </row>
        <row r="10343">
          <cell r="A10343">
            <v>8091832</v>
          </cell>
        </row>
        <row r="10344">
          <cell r="A10344">
            <v>8091850</v>
          </cell>
        </row>
        <row r="10345">
          <cell r="A10345">
            <v>8091851</v>
          </cell>
        </row>
        <row r="10346">
          <cell r="A10346">
            <v>8091852</v>
          </cell>
        </row>
        <row r="10347">
          <cell r="A10347">
            <v>8091853</v>
          </cell>
        </row>
        <row r="10348">
          <cell r="A10348">
            <v>8091854</v>
          </cell>
        </row>
        <row r="10349">
          <cell r="A10349">
            <v>8091855</v>
          </cell>
        </row>
        <row r="10350">
          <cell r="A10350">
            <v>8091856</v>
          </cell>
        </row>
        <row r="10351">
          <cell r="A10351">
            <v>8091857</v>
          </cell>
        </row>
        <row r="10352">
          <cell r="A10352">
            <v>8091859</v>
          </cell>
        </row>
        <row r="10353">
          <cell r="A10353">
            <v>8091860</v>
          </cell>
        </row>
        <row r="10354">
          <cell r="A10354">
            <v>8091861</v>
          </cell>
        </row>
        <row r="10355">
          <cell r="A10355">
            <v>8091862</v>
          </cell>
        </row>
        <row r="10356">
          <cell r="A10356">
            <v>8091901</v>
          </cell>
        </row>
        <row r="10357">
          <cell r="A10357">
            <v>8091902</v>
          </cell>
        </row>
        <row r="10358">
          <cell r="A10358">
            <v>8091903</v>
          </cell>
        </row>
        <row r="10359">
          <cell r="A10359">
            <v>8091904</v>
          </cell>
        </row>
        <row r="10360">
          <cell r="A10360">
            <v>8091905</v>
          </cell>
        </row>
        <row r="10361">
          <cell r="A10361">
            <v>8091906</v>
          </cell>
        </row>
        <row r="10362">
          <cell r="A10362">
            <v>8091907</v>
          </cell>
        </row>
        <row r="10363">
          <cell r="A10363">
            <v>8091908</v>
          </cell>
        </row>
        <row r="10364">
          <cell r="A10364">
            <v>8091909</v>
          </cell>
        </row>
        <row r="10365">
          <cell r="A10365">
            <v>8091910</v>
          </cell>
        </row>
        <row r="10366">
          <cell r="A10366">
            <v>8091911</v>
          </cell>
        </row>
        <row r="10367">
          <cell r="A10367">
            <v>8091912</v>
          </cell>
        </row>
        <row r="10368">
          <cell r="A10368">
            <v>8091913</v>
          </cell>
        </row>
        <row r="10369">
          <cell r="A10369">
            <v>8091914</v>
          </cell>
        </row>
        <row r="10370">
          <cell r="A10370">
            <v>8091915</v>
          </cell>
        </row>
        <row r="10371">
          <cell r="A10371">
            <v>8091916</v>
          </cell>
        </row>
        <row r="10372">
          <cell r="A10372">
            <v>8091917</v>
          </cell>
        </row>
        <row r="10373">
          <cell r="A10373">
            <v>8091918</v>
          </cell>
        </row>
        <row r="10374">
          <cell r="A10374">
            <v>8091919</v>
          </cell>
        </row>
        <row r="10375">
          <cell r="A10375">
            <v>8091920</v>
          </cell>
        </row>
        <row r="10376">
          <cell r="A10376">
            <v>8091921</v>
          </cell>
        </row>
        <row r="10377">
          <cell r="A10377">
            <v>8091922</v>
          </cell>
        </row>
        <row r="10378">
          <cell r="A10378">
            <v>8091923</v>
          </cell>
        </row>
        <row r="10379">
          <cell r="A10379">
            <v>8091924</v>
          </cell>
        </row>
        <row r="10380">
          <cell r="A10380">
            <v>8091928</v>
          </cell>
        </row>
        <row r="10381">
          <cell r="A10381">
            <v>8091929</v>
          </cell>
        </row>
        <row r="10382">
          <cell r="A10382">
            <v>8091930</v>
          </cell>
        </row>
        <row r="10383">
          <cell r="A10383">
            <v>8091931</v>
          </cell>
        </row>
        <row r="10384">
          <cell r="A10384">
            <v>8091932</v>
          </cell>
        </row>
        <row r="10385">
          <cell r="A10385">
            <v>8091933</v>
          </cell>
        </row>
        <row r="10386">
          <cell r="A10386">
            <v>8091934</v>
          </cell>
        </row>
        <row r="10387">
          <cell r="A10387">
            <v>8091935</v>
          </cell>
        </row>
        <row r="10388">
          <cell r="A10388">
            <v>8091936</v>
          </cell>
        </row>
        <row r="10389">
          <cell r="A10389">
            <v>8091937</v>
          </cell>
        </row>
        <row r="10390">
          <cell r="A10390">
            <v>8091938</v>
          </cell>
        </row>
        <row r="10391">
          <cell r="A10391">
            <v>8091939</v>
          </cell>
        </row>
        <row r="10392">
          <cell r="A10392">
            <v>8091940</v>
          </cell>
        </row>
        <row r="10393">
          <cell r="A10393">
            <v>8091941</v>
          </cell>
        </row>
        <row r="10394">
          <cell r="A10394">
            <v>8091942</v>
          </cell>
        </row>
        <row r="10395">
          <cell r="A10395">
            <v>8091943</v>
          </cell>
        </row>
        <row r="10396">
          <cell r="A10396">
            <v>8091944</v>
          </cell>
        </row>
        <row r="10397">
          <cell r="A10397">
            <v>8091945</v>
          </cell>
        </row>
        <row r="10398">
          <cell r="A10398">
            <v>8091946</v>
          </cell>
        </row>
        <row r="10399">
          <cell r="A10399">
            <v>8091947</v>
          </cell>
        </row>
        <row r="10400">
          <cell r="A10400">
            <v>8091948</v>
          </cell>
        </row>
        <row r="10401">
          <cell r="A10401">
            <v>8091949</v>
          </cell>
        </row>
        <row r="10402">
          <cell r="A10402">
            <v>8091950</v>
          </cell>
        </row>
        <row r="10403">
          <cell r="A10403">
            <v>8091951</v>
          </cell>
        </row>
        <row r="10404">
          <cell r="A10404">
            <v>8091952</v>
          </cell>
        </row>
        <row r="10405">
          <cell r="A10405">
            <v>8091953</v>
          </cell>
        </row>
        <row r="10406">
          <cell r="A10406">
            <v>8091954</v>
          </cell>
        </row>
        <row r="10407">
          <cell r="A10407">
            <v>8091955</v>
          </cell>
        </row>
        <row r="10408">
          <cell r="A10408">
            <v>8091956</v>
          </cell>
        </row>
        <row r="10409">
          <cell r="A10409">
            <v>8091957</v>
          </cell>
        </row>
        <row r="10410">
          <cell r="A10410">
            <v>8091958</v>
          </cell>
        </row>
        <row r="10411">
          <cell r="A10411">
            <v>8091959</v>
          </cell>
        </row>
        <row r="10412">
          <cell r="A10412">
            <v>8091960</v>
          </cell>
        </row>
        <row r="10413">
          <cell r="A10413">
            <v>8091961</v>
          </cell>
        </row>
        <row r="10414">
          <cell r="A10414">
            <v>8091962</v>
          </cell>
        </row>
        <row r="10415">
          <cell r="A10415">
            <v>8091963</v>
          </cell>
        </row>
        <row r="10416">
          <cell r="A10416">
            <v>8091964</v>
          </cell>
        </row>
        <row r="10417">
          <cell r="A10417">
            <v>8092001</v>
          </cell>
        </row>
        <row r="10418">
          <cell r="A10418">
            <v>8092002</v>
          </cell>
        </row>
        <row r="10419">
          <cell r="A10419">
            <v>8092003</v>
          </cell>
        </row>
        <row r="10420">
          <cell r="A10420">
            <v>8092004</v>
          </cell>
        </row>
        <row r="10421">
          <cell r="A10421">
            <v>8092005</v>
          </cell>
        </row>
        <row r="10422">
          <cell r="A10422">
            <v>8092006</v>
          </cell>
        </row>
        <row r="10423">
          <cell r="A10423">
            <v>8092007</v>
          </cell>
        </row>
        <row r="10424">
          <cell r="A10424">
            <v>8092008</v>
          </cell>
        </row>
        <row r="10425">
          <cell r="A10425">
            <v>8092014</v>
          </cell>
        </row>
        <row r="10426">
          <cell r="A10426">
            <v>8092015</v>
          </cell>
        </row>
        <row r="10427">
          <cell r="A10427">
            <v>8092016</v>
          </cell>
        </row>
        <row r="10428">
          <cell r="A10428">
            <v>8092017</v>
          </cell>
        </row>
        <row r="10429">
          <cell r="A10429">
            <v>8092018</v>
          </cell>
        </row>
        <row r="10430">
          <cell r="A10430">
            <v>8092019</v>
          </cell>
        </row>
        <row r="10431">
          <cell r="A10431">
            <v>8092020</v>
          </cell>
        </row>
        <row r="10432">
          <cell r="A10432">
            <v>8092021</v>
          </cell>
        </row>
        <row r="10433">
          <cell r="A10433">
            <v>8092022</v>
          </cell>
        </row>
        <row r="10434">
          <cell r="A10434">
            <v>8092023</v>
          </cell>
        </row>
        <row r="10435">
          <cell r="A10435">
            <v>8092101</v>
          </cell>
        </row>
        <row r="10436">
          <cell r="A10436">
            <v>8092102</v>
          </cell>
        </row>
        <row r="10437">
          <cell r="A10437">
            <v>8092113</v>
          </cell>
        </row>
        <row r="10438">
          <cell r="A10438">
            <v>8092114</v>
          </cell>
        </row>
        <row r="10439">
          <cell r="A10439">
            <v>8092115</v>
          </cell>
        </row>
        <row r="10440">
          <cell r="A10440">
            <v>8092116</v>
          </cell>
        </row>
        <row r="10441">
          <cell r="A10441">
            <v>8092117</v>
          </cell>
        </row>
        <row r="10442">
          <cell r="A10442">
            <v>8092118</v>
          </cell>
        </row>
        <row r="10443">
          <cell r="A10443">
            <v>8092124</v>
          </cell>
        </row>
        <row r="10444">
          <cell r="A10444">
            <v>8092125</v>
          </cell>
        </row>
        <row r="10445">
          <cell r="A10445">
            <v>8092201</v>
          </cell>
        </row>
        <row r="10446">
          <cell r="A10446">
            <v>8092202</v>
          </cell>
        </row>
        <row r="10447">
          <cell r="A10447">
            <v>8092203</v>
          </cell>
        </row>
        <row r="10448">
          <cell r="A10448">
            <v>8092204</v>
          </cell>
        </row>
        <row r="10449">
          <cell r="A10449">
            <v>8092205</v>
          </cell>
        </row>
        <row r="10450">
          <cell r="A10450">
            <v>8092206</v>
          </cell>
        </row>
        <row r="10451">
          <cell r="A10451">
            <v>8092207</v>
          </cell>
        </row>
        <row r="10452">
          <cell r="A10452">
            <v>8092208</v>
          </cell>
        </row>
        <row r="10453">
          <cell r="A10453">
            <v>8092209</v>
          </cell>
        </row>
        <row r="10454">
          <cell r="A10454">
            <v>8092210</v>
          </cell>
        </row>
        <row r="10455">
          <cell r="A10455">
            <v>8092211</v>
          </cell>
        </row>
        <row r="10456">
          <cell r="A10456">
            <v>8092212</v>
          </cell>
        </row>
        <row r="10457">
          <cell r="A10457">
            <v>8092213</v>
          </cell>
        </row>
        <row r="10458">
          <cell r="A10458">
            <v>8092214</v>
          </cell>
        </row>
        <row r="10459">
          <cell r="A10459">
            <v>8092216</v>
          </cell>
        </row>
        <row r="10460">
          <cell r="A10460">
            <v>8092217</v>
          </cell>
        </row>
        <row r="10461">
          <cell r="A10461">
            <v>8092218</v>
          </cell>
        </row>
        <row r="10462">
          <cell r="A10462">
            <v>8092219</v>
          </cell>
        </row>
        <row r="10463">
          <cell r="A10463">
            <v>8092220</v>
          </cell>
        </row>
        <row r="10464">
          <cell r="A10464">
            <v>8092221</v>
          </cell>
        </row>
        <row r="10465">
          <cell r="A10465">
            <v>8092222</v>
          </cell>
        </row>
        <row r="10466">
          <cell r="A10466">
            <v>8092223</v>
          </cell>
        </row>
        <row r="10467">
          <cell r="A10467">
            <v>8092224</v>
          </cell>
        </row>
        <row r="10468">
          <cell r="A10468">
            <v>8092225</v>
          </cell>
        </row>
        <row r="10469">
          <cell r="A10469">
            <v>8092226</v>
          </cell>
        </row>
        <row r="10470">
          <cell r="A10470">
            <v>8092227</v>
          </cell>
        </row>
        <row r="10471">
          <cell r="A10471">
            <v>8092228</v>
          </cell>
        </row>
        <row r="10472">
          <cell r="A10472">
            <v>8092229</v>
          </cell>
        </row>
        <row r="10473">
          <cell r="A10473">
            <v>8092230</v>
          </cell>
        </row>
        <row r="10474">
          <cell r="A10474">
            <v>8092231</v>
          </cell>
        </row>
        <row r="10475">
          <cell r="A10475">
            <v>8092232</v>
          </cell>
        </row>
        <row r="10476">
          <cell r="A10476">
            <v>8092234</v>
          </cell>
        </row>
        <row r="10477">
          <cell r="A10477">
            <v>8092301</v>
          </cell>
        </row>
        <row r="10478">
          <cell r="A10478">
            <v>8092302</v>
          </cell>
        </row>
        <row r="10479">
          <cell r="A10479">
            <v>8092303</v>
          </cell>
        </row>
        <row r="10480">
          <cell r="A10480">
            <v>8092304</v>
          </cell>
        </row>
        <row r="10481">
          <cell r="A10481">
            <v>8092305</v>
          </cell>
        </row>
        <row r="10482">
          <cell r="A10482">
            <v>8092306</v>
          </cell>
        </row>
        <row r="10483">
          <cell r="A10483">
            <v>8092307</v>
          </cell>
        </row>
        <row r="10484">
          <cell r="A10484">
            <v>8092308</v>
          </cell>
        </row>
        <row r="10485">
          <cell r="A10485">
            <v>8092309</v>
          </cell>
        </row>
        <row r="10486">
          <cell r="A10486">
            <v>8092310</v>
          </cell>
        </row>
        <row r="10487">
          <cell r="A10487">
            <v>8092311</v>
          </cell>
        </row>
        <row r="10488">
          <cell r="A10488">
            <v>8092312</v>
          </cell>
        </row>
        <row r="10489">
          <cell r="A10489">
            <v>8092313</v>
          </cell>
        </row>
        <row r="10490">
          <cell r="A10490">
            <v>8092322</v>
          </cell>
        </row>
        <row r="10491">
          <cell r="A10491">
            <v>8092323</v>
          </cell>
        </row>
        <row r="10492">
          <cell r="A10492">
            <v>8092324</v>
          </cell>
        </row>
        <row r="10493">
          <cell r="A10493">
            <v>8092325</v>
          </cell>
        </row>
        <row r="10494">
          <cell r="A10494">
            <v>8092326</v>
          </cell>
        </row>
        <row r="10495">
          <cell r="A10495">
            <v>8092332</v>
          </cell>
        </row>
        <row r="10496">
          <cell r="A10496">
            <v>8092333</v>
          </cell>
        </row>
        <row r="10497">
          <cell r="A10497">
            <v>8092334</v>
          </cell>
        </row>
        <row r="10498">
          <cell r="A10498">
            <v>8092335</v>
          </cell>
        </row>
        <row r="10499">
          <cell r="A10499">
            <v>8092336</v>
          </cell>
        </row>
        <row r="10500">
          <cell r="A10500">
            <v>8092337</v>
          </cell>
        </row>
        <row r="10501">
          <cell r="A10501">
            <v>8092401</v>
          </cell>
        </row>
        <row r="10502">
          <cell r="A10502">
            <v>8092402</v>
          </cell>
        </row>
        <row r="10503">
          <cell r="A10503">
            <v>8092403</v>
          </cell>
        </row>
        <row r="10504">
          <cell r="A10504">
            <v>8092404</v>
          </cell>
        </row>
        <row r="10505">
          <cell r="A10505">
            <v>8092405</v>
          </cell>
        </row>
        <row r="10506">
          <cell r="A10506">
            <v>8092406</v>
          </cell>
        </row>
        <row r="10507">
          <cell r="A10507">
            <v>8092407</v>
          </cell>
        </row>
        <row r="10508">
          <cell r="A10508">
            <v>8092408</v>
          </cell>
        </row>
        <row r="10509">
          <cell r="A10509">
            <v>8092409</v>
          </cell>
        </row>
        <row r="10510">
          <cell r="A10510">
            <v>8092410</v>
          </cell>
        </row>
        <row r="10511">
          <cell r="A10511">
            <v>8092411</v>
          </cell>
        </row>
        <row r="10512">
          <cell r="A10512">
            <v>8092412</v>
          </cell>
        </row>
        <row r="10513">
          <cell r="A10513">
            <v>8092415</v>
          </cell>
        </row>
        <row r="10514">
          <cell r="A10514">
            <v>8092416</v>
          </cell>
        </row>
        <row r="10515">
          <cell r="A10515">
            <v>8092417</v>
          </cell>
        </row>
        <row r="10516">
          <cell r="A10516">
            <v>8092418</v>
          </cell>
        </row>
        <row r="10517">
          <cell r="A10517">
            <v>8092419</v>
          </cell>
        </row>
        <row r="10518">
          <cell r="A10518">
            <v>8092420</v>
          </cell>
        </row>
        <row r="10519">
          <cell r="A10519">
            <v>8092421</v>
          </cell>
        </row>
        <row r="10520">
          <cell r="A10520">
            <v>8092422</v>
          </cell>
        </row>
        <row r="10521">
          <cell r="A10521">
            <v>8092423</v>
          </cell>
        </row>
        <row r="10522">
          <cell r="A10522">
            <v>8092424</v>
          </cell>
        </row>
        <row r="10523">
          <cell r="A10523">
            <v>8092425</v>
          </cell>
        </row>
        <row r="10524">
          <cell r="A10524">
            <v>8092426</v>
          </cell>
        </row>
        <row r="10525">
          <cell r="A10525">
            <v>8092427</v>
          </cell>
        </row>
        <row r="10526">
          <cell r="A10526">
            <v>8092428</v>
          </cell>
        </row>
        <row r="10527">
          <cell r="A10527">
            <v>8092429</v>
          </cell>
        </row>
        <row r="10528">
          <cell r="A10528">
            <v>8092430</v>
          </cell>
        </row>
        <row r="10529">
          <cell r="A10529">
            <v>8092432</v>
          </cell>
        </row>
        <row r="10530">
          <cell r="A10530">
            <v>8092433</v>
          </cell>
        </row>
        <row r="10531">
          <cell r="A10531">
            <v>8092434</v>
          </cell>
        </row>
        <row r="10532">
          <cell r="A10532">
            <v>8092435</v>
          </cell>
        </row>
        <row r="10533">
          <cell r="A10533">
            <v>8092436</v>
          </cell>
        </row>
        <row r="10534">
          <cell r="A10534">
            <v>8092437</v>
          </cell>
        </row>
        <row r="10535">
          <cell r="A10535">
            <v>8092438</v>
          </cell>
        </row>
        <row r="10536">
          <cell r="A10536">
            <v>8092439</v>
          </cell>
        </row>
        <row r="10537">
          <cell r="A10537">
            <v>8092440</v>
          </cell>
        </row>
        <row r="10538">
          <cell r="A10538">
            <v>8092441</v>
          </cell>
        </row>
        <row r="10539">
          <cell r="A10539">
            <v>8092442</v>
          </cell>
        </row>
        <row r="10540">
          <cell r="A10540">
            <v>8092443</v>
          </cell>
        </row>
        <row r="10541">
          <cell r="A10541">
            <v>8092444</v>
          </cell>
        </row>
        <row r="10542">
          <cell r="A10542">
            <v>8092445</v>
          </cell>
        </row>
        <row r="10543">
          <cell r="A10543">
            <v>8092446</v>
          </cell>
        </row>
        <row r="10544">
          <cell r="A10544">
            <v>8092447</v>
          </cell>
        </row>
        <row r="10545">
          <cell r="A10545">
            <v>8092448</v>
          </cell>
        </row>
        <row r="10546">
          <cell r="A10546">
            <v>8092449</v>
          </cell>
        </row>
        <row r="10547">
          <cell r="A10547">
            <v>8092450</v>
          </cell>
        </row>
        <row r="10548">
          <cell r="A10548">
            <v>8092452</v>
          </cell>
        </row>
        <row r="10549">
          <cell r="A10549">
            <v>8092453</v>
          </cell>
        </row>
        <row r="10550">
          <cell r="A10550">
            <v>8092454</v>
          </cell>
        </row>
        <row r="10551">
          <cell r="A10551">
            <v>8092455</v>
          </cell>
        </row>
        <row r="10552">
          <cell r="A10552">
            <v>8092456</v>
          </cell>
        </row>
        <row r="10553">
          <cell r="A10553">
            <v>8092457</v>
          </cell>
        </row>
        <row r="10554">
          <cell r="A10554">
            <v>8092458</v>
          </cell>
        </row>
        <row r="10555">
          <cell r="A10555">
            <v>8092501</v>
          </cell>
        </row>
        <row r="10556">
          <cell r="A10556">
            <v>8092502</v>
          </cell>
        </row>
        <row r="10557">
          <cell r="A10557">
            <v>8092503</v>
          </cell>
        </row>
        <row r="10558">
          <cell r="A10558">
            <v>8092504</v>
          </cell>
        </row>
        <row r="10559">
          <cell r="A10559">
            <v>8092505</v>
          </cell>
        </row>
        <row r="10560">
          <cell r="A10560">
            <v>8092506</v>
          </cell>
        </row>
        <row r="10561">
          <cell r="A10561">
            <v>8092507</v>
          </cell>
        </row>
        <row r="10562">
          <cell r="A10562">
            <v>8092508</v>
          </cell>
        </row>
        <row r="10563">
          <cell r="A10563">
            <v>8092509</v>
          </cell>
        </row>
        <row r="10564">
          <cell r="A10564">
            <v>8092510</v>
          </cell>
        </row>
        <row r="10565">
          <cell r="A10565">
            <v>8092511</v>
          </cell>
        </row>
        <row r="10566">
          <cell r="A10566">
            <v>8092512</v>
          </cell>
        </row>
        <row r="10567">
          <cell r="A10567">
            <v>8092513</v>
          </cell>
        </row>
        <row r="10568">
          <cell r="A10568">
            <v>8092514</v>
          </cell>
        </row>
        <row r="10569">
          <cell r="A10569">
            <v>8092515</v>
          </cell>
        </row>
        <row r="10570">
          <cell r="A10570">
            <v>8092516</v>
          </cell>
        </row>
        <row r="10571">
          <cell r="A10571">
            <v>8092517</v>
          </cell>
        </row>
        <row r="10572">
          <cell r="A10572">
            <v>8092518</v>
          </cell>
        </row>
        <row r="10573">
          <cell r="A10573">
            <v>8092519</v>
          </cell>
        </row>
        <row r="10574">
          <cell r="A10574">
            <v>8092520</v>
          </cell>
        </row>
        <row r="10575">
          <cell r="A10575">
            <v>8092521</v>
          </cell>
        </row>
        <row r="10576">
          <cell r="A10576">
            <v>8092522</v>
          </cell>
        </row>
        <row r="10577">
          <cell r="A10577">
            <v>8092523</v>
          </cell>
        </row>
        <row r="10578">
          <cell r="A10578">
            <v>8092524</v>
          </cell>
        </row>
        <row r="10579">
          <cell r="A10579">
            <v>8092525</v>
          </cell>
        </row>
        <row r="10580">
          <cell r="A10580">
            <v>8092526</v>
          </cell>
        </row>
        <row r="10581">
          <cell r="A10581">
            <v>8092527</v>
          </cell>
        </row>
        <row r="10582">
          <cell r="A10582">
            <v>8092528</v>
          </cell>
        </row>
        <row r="10583">
          <cell r="A10583">
            <v>8092529</v>
          </cell>
        </row>
        <row r="10584">
          <cell r="A10584">
            <v>8092534</v>
          </cell>
        </row>
        <row r="10585">
          <cell r="A10585">
            <v>8092535</v>
          </cell>
        </row>
        <row r="10586">
          <cell r="A10586">
            <v>8092536</v>
          </cell>
        </row>
        <row r="10587">
          <cell r="A10587">
            <v>8092537</v>
          </cell>
        </row>
        <row r="10588">
          <cell r="A10588">
            <v>8092538</v>
          </cell>
        </row>
        <row r="10589">
          <cell r="A10589">
            <v>8092539</v>
          </cell>
        </row>
        <row r="10590">
          <cell r="A10590">
            <v>8092546</v>
          </cell>
        </row>
        <row r="10591">
          <cell r="A10591">
            <v>8092547</v>
          </cell>
        </row>
        <row r="10592">
          <cell r="A10592">
            <v>8092548</v>
          </cell>
        </row>
        <row r="10593">
          <cell r="A10593">
            <v>8092549</v>
          </cell>
        </row>
        <row r="10594">
          <cell r="A10594">
            <v>8092550</v>
          </cell>
        </row>
        <row r="10595">
          <cell r="A10595">
            <v>8092551</v>
          </cell>
        </row>
        <row r="10596">
          <cell r="A10596">
            <v>8092552</v>
          </cell>
        </row>
        <row r="10597">
          <cell r="A10597">
            <v>8092553</v>
          </cell>
        </row>
        <row r="10598">
          <cell r="A10598">
            <v>8092555</v>
          </cell>
        </row>
        <row r="10599">
          <cell r="A10599">
            <v>8092556</v>
          </cell>
        </row>
        <row r="10600">
          <cell r="A10600">
            <v>8092601</v>
          </cell>
        </row>
        <row r="10601">
          <cell r="A10601">
            <v>8092602</v>
          </cell>
        </row>
        <row r="10602">
          <cell r="A10602">
            <v>8092603</v>
          </cell>
        </row>
        <row r="10603">
          <cell r="A10603">
            <v>8092604</v>
          </cell>
        </row>
        <row r="10604">
          <cell r="A10604">
            <v>8092605</v>
          </cell>
        </row>
        <row r="10605">
          <cell r="A10605">
            <v>8092606</v>
          </cell>
        </row>
        <row r="10606">
          <cell r="A10606">
            <v>8092607</v>
          </cell>
        </row>
        <row r="10607">
          <cell r="A10607">
            <v>8092608</v>
          </cell>
        </row>
        <row r="10608">
          <cell r="A10608">
            <v>8092609</v>
          </cell>
        </row>
        <row r="10609">
          <cell r="A10609">
            <v>8092610</v>
          </cell>
        </row>
        <row r="10610">
          <cell r="A10610">
            <v>8092611</v>
          </cell>
        </row>
        <row r="10611">
          <cell r="A10611">
            <v>8092612</v>
          </cell>
        </row>
        <row r="10612">
          <cell r="A10612">
            <v>8092613</v>
          </cell>
        </row>
        <row r="10613">
          <cell r="A10613">
            <v>8092614</v>
          </cell>
        </row>
        <row r="10614">
          <cell r="A10614">
            <v>8092615</v>
          </cell>
        </row>
        <row r="10615">
          <cell r="A10615">
            <v>8092616</v>
          </cell>
        </row>
        <row r="10616">
          <cell r="A10616">
            <v>8092627</v>
          </cell>
        </row>
        <row r="10617">
          <cell r="A10617">
            <v>8092628</v>
          </cell>
        </row>
        <row r="10618">
          <cell r="A10618">
            <v>8092629</v>
          </cell>
        </row>
        <row r="10619">
          <cell r="A10619">
            <v>8092630</v>
          </cell>
        </row>
        <row r="10620">
          <cell r="A10620">
            <v>8092631</v>
          </cell>
        </row>
        <row r="10621">
          <cell r="A10621">
            <v>8092632</v>
          </cell>
        </row>
        <row r="10622">
          <cell r="A10622">
            <v>8092636</v>
          </cell>
        </row>
        <row r="10623">
          <cell r="A10623">
            <v>8092637</v>
          </cell>
        </row>
        <row r="10624">
          <cell r="A10624">
            <v>8092638</v>
          </cell>
        </row>
        <row r="10625">
          <cell r="A10625">
            <v>8092639</v>
          </cell>
        </row>
        <row r="10626">
          <cell r="A10626">
            <v>8092640</v>
          </cell>
        </row>
        <row r="10627">
          <cell r="A10627">
            <v>8092641</v>
          </cell>
        </row>
        <row r="10628">
          <cell r="A10628">
            <v>8092642</v>
          </cell>
        </row>
        <row r="10629">
          <cell r="A10629">
            <v>8092643</v>
          </cell>
        </row>
        <row r="10630">
          <cell r="A10630">
            <v>8092644</v>
          </cell>
        </row>
        <row r="10631">
          <cell r="A10631">
            <v>8092645</v>
          </cell>
        </row>
        <row r="10632">
          <cell r="A10632">
            <v>8092646</v>
          </cell>
        </row>
        <row r="10633">
          <cell r="A10633">
            <v>8092647</v>
          </cell>
        </row>
        <row r="10634">
          <cell r="A10634">
            <v>8092648</v>
          </cell>
        </row>
        <row r="10635">
          <cell r="A10635">
            <v>8092649</v>
          </cell>
        </row>
        <row r="10636">
          <cell r="A10636">
            <v>8092650</v>
          </cell>
        </row>
        <row r="10637">
          <cell r="A10637">
            <v>8092651</v>
          </cell>
        </row>
        <row r="10638">
          <cell r="A10638">
            <v>8092652</v>
          </cell>
        </row>
        <row r="10639">
          <cell r="A10639">
            <v>8092653</v>
          </cell>
        </row>
        <row r="10640">
          <cell r="A10640">
            <v>8092654</v>
          </cell>
        </row>
        <row r="10641">
          <cell r="A10641">
            <v>8092655</v>
          </cell>
        </row>
        <row r="10642">
          <cell r="A10642">
            <v>8092656</v>
          </cell>
        </row>
        <row r="10643">
          <cell r="A10643">
            <v>8092701</v>
          </cell>
        </row>
        <row r="10644">
          <cell r="A10644">
            <v>8092702</v>
          </cell>
        </row>
        <row r="10645">
          <cell r="A10645">
            <v>8092703</v>
          </cell>
        </row>
        <row r="10646">
          <cell r="A10646">
            <v>8092704</v>
          </cell>
        </row>
        <row r="10647">
          <cell r="A10647">
            <v>8092705</v>
          </cell>
        </row>
        <row r="10648">
          <cell r="A10648">
            <v>8092706</v>
          </cell>
        </row>
        <row r="10649">
          <cell r="A10649">
            <v>8092707</v>
          </cell>
        </row>
        <row r="10650">
          <cell r="A10650">
            <v>8092708</v>
          </cell>
        </row>
        <row r="10651">
          <cell r="A10651">
            <v>8092709</v>
          </cell>
        </row>
        <row r="10652">
          <cell r="A10652">
            <v>8092710</v>
          </cell>
        </row>
        <row r="10653">
          <cell r="A10653">
            <v>8092711</v>
          </cell>
        </row>
        <row r="10654">
          <cell r="A10654">
            <v>8092712</v>
          </cell>
        </row>
        <row r="10655">
          <cell r="A10655">
            <v>8092713</v>
          </cell>
        </row>
        <row r="10656">
          <cell r="A10656">
            <v>8092714</v>
          </cell>
        </row>
        <row r="10657">
          <cell r="A10657">
            <v>8092715</v>
          </cell>
        </row>
        <row r="10658">
          <cell r="A10658">
            <v>8092716</v>
          </cell>
        </row>
        <row r="10659">
          <cell r="A10659">
            <v>8092717</v>
          </cell>
        </row>
        <row r="10660">
          <cell r="A10660">
            <v>8092718</v>
          </cell>
        </row>
        <row r="10661">
          <cell r="A10661">
            <v>8092719</v>
          </cell>
        </row>
        <row r="10662">
          <cell r="A10662">
            <v>8092720</v>
          </cell>
        </row>
        <row r="10663">
          <cell r="A10663">
            <v>8092721</v>
          </cell>
        </row>
        <row r="10664">
          <cell r="A10664">
            <v>8092722</v>
          </cell>
        </row>
        <row r="10665">
          <cell r="A10665">
            <v>8092723</v>
          </cell>
        </row>
        <row r="10666">
          <cell r="A10666">
            <v>8092724</v>
          </cell>
        </row>
        <row r="10667">
          <cell r="A10667">
            <v>8092725</v>
          </cell>
        </row>
        <row r="10668">
          <cell r="A10668">
            <v>8092726</v>
          </cell>
        </row>
        <row r="10669">
          <cell r="A10669">
            <v>8092727</v>
          </cell>
        </row>
        <row r="10670">
          <cell r="A10670">
            <v>8092728</v>
          </cell>
        </row>
        <row r="10671">
          <cell r="A10671">
            <v>8092739</v>
          </cell>
        </row>
        <row r="10672">
          <cell r="A10672">
            <v>8092740</v>
          </cell>
        </row>
        <row r="10673">
          <cell r="A10673">
            <v>8092741</v>
          </cell>
        </row>
        <row r="10674">
          <cell r="A10674">
            <v>8092742</v>
          </cell>
        </row>
        <row r="10675">
          <cell r="A10675">
            <v>8092743</v>
          </cell>
        </row>
        <row r="10676">
          <cell r="A10676">
            <v>8092744</v>
          </cell>
        </row>
        <row r="10677">
          <cell r="A10677">
            <v>8092745</v>
          </cell>
        </row>
        <row r="10678">
          <cell r="A10678">
            <v>8092746</v>
          </cell>
        </row>
        <row r="10679">
          <cell r="A10679">
            <v>8092901</v>
          </cell>
        </row>
        <row r="10680">
          <cell r="A10680">
            <v>8092902</v>
          </cell>
        </row>
        <row r="10681">
          <cell r="A10681">
            <v>8092903</v>
          </cell>
        </row>
        <row r="10682">
          <cell r="A10682">
            <v>8092904</v>
          </cell>
        </row>
        <row r="10683">
          <cell r="A10683">
            <v>8092905</v>
          </cell>
        </row>
        <row r="10684">
          <cell r="A10684">
            <v>8092906</v>
          </cell>
        </row>
        <row r="10685">
          <cell r="A10685">
            <v>8092907</v>
          </cell>
        </row>
        <row r="10686">
          <cell r="A10686">
            <v>8092908</v>
          </cell>
        </row>
        <row r="10687">
          <cell r="A10687">
            <v>8092909</v>
          </cell>
        </row>
        <row r="10688">
          <cell r="A10688">
            <v>8092910</v>
          </cell>
        </row>
        <row r="10689">
          <cell r="A10689">
            <v>8092911</v>
          </cell>
        </row>
        <row r="10690">
          <cell r="A10690">
            <v>8092914</v>
          </cell>
        </row>
        <row r="10691">
          <cell r="A10691">
            <v>8092922</v>
          </cell>
        </row>
        <row r="10692">
          <cell r="A10692">
            <v>8092923</v>
          </cell>
        </row>
        <row r="10693">
          <cell r="A10693">
            <v>8092924</v>
          </cell>
        </row>
        <row r="10694">
          <cell r="A10694">
            <v>8092925</v>
          </cell>
        </row>
        <row r="10695">
          <cell r="A10695">
            <v>8092926</v>
          </cell>
        </row>
        <row r="10696">
          <cell r="A10696">
            <v>8092927</v>
          </cell>
        </row>
        <row r="10697">
          <cell r="A10697">
            <v>8092928</v>
          </cell>
        </row>
        <row r="10698">
          <cell r="A10698">
            <v>8092929</v>
          </cell>
        </row>
        <row r="10699">
          <cell r="A10699">
            <v>8092930</v>
          </cell>
        </row>
        <row r="10700">
          <cell r="A10700">
            <v>8092931</v>
          </cell>
        </row>
        <row r="10701">
          <cell r="A10701">
            <v>8092932</v>
          </cell>
        </row>
        <row r="10702">
          <cell r="A10702">
            <v>8092933</v>
          </cell>
        </row>
        <row r="10703">
          <cell r="A10703">
            <v>8092934</v>
          </cell>
        </row>
        <row r="10704">
          <cell r="A10704">
            <v>8092935</v>
          </cell>
        </row>
        <row r="10705">
          <cell r="A10705">
            <v>8092936</v>
          </cell>
        </row>
        <row r="10706">
          <cell r="A10706">
            <v>8092937</v>
          </cell>
        </row>
        <row r="10707">
          <cell r="A10707">
            <v>8092939</v>
          </cell>
        </row>
        <row r="10708">
          <cell r="A10708">
            <v>8092940</v>
          </cell>
        </row>
        <row r="10709">
          <cell r="A10709">
            <v>8092941</v>
          </cell>
        </row>
        <row r="10710">
          <cell r="A10710">
            <v>8092942</v>
          </cell>
        </row>
        <row r="10711">
          <cell r="A10711">
            <v>8092943</v>
          </cell>
        </row>
        <row r="10712">
          <cell r="A10712">
            <v>8092944</v>
          </cell>
        </row>
        <row r="10713">
          <cell r="A10713">
            <v>8092945</v>
          </cell>
        </row>
        <row r="10714">
          <cell r="A10714">
            <v>8092947</v>
          </cell>
        </row>
        <row r="10715">
          <cell r="A10715">
            <v>8092948</v>
          </cell>
        </row>
        <row r="10716">
          <cell r="A10716">
            <v>8092949</v>
          </cell>
        </row>
        <row r="10717">
          <cell r="A10717">
            <v>8092950</v>
          </cell>
        </row>
        <row r="10718">
          <cell r="A10718">
            <v>8093001</v>
          </cell>
        </row>
        <row r="10719">
          <cell r="A10719">
            <v>8093002</v>
          </cell>
        </row>
        <row r="10720">
          <cell r="A10720">
            <v>8093003</v>
          </cell>
        </row>
        <row r="10721">
          <cell r="A10721">
            <v>8093004</v>
          </cell>
        </row>
        <row r="10722">
          <cell r="A10722">
            <v>8093005</v>
          </cell>
        </row>
        <row r="10723">
          <cell r="A10723">
            <v>8093006</v>
          </cell>
        </row>
        <row r="10724">
          <cell r="A10724">
            <v>8093007</v>
          </cell>
        </row>
        <row r="10725">
          <cell r="A10725">
            <v>8093008</v>
          </cell>
        </row>
        <row r="10726">
          <cell r="A10726">
            <v>8093009</v>
          </cell>
        </row>
        <row r="10727">
          <cell r="A10727">
            <v>8093010</v>
          </cell>
        </row>
        <row r="10728">
          <cell r="A10728">
            <v>8093011</v>
          </cell>
        </row>
        <row r="10729">
          <cell r="A10729">
            <v>8093012</v>
          </cell>
        </row>
        <row r="10730">
          <cell r="A10730">
            <v>8093013</v>
          </cell>
        </row>
        <row r="10731">
          <cell r="A10731">
            <v>8093014</v>
          </cell>
        </row>
        <row r="10732">
          <cell r="A10732">
            <v>8093015</v>
          </cell>
        </row>
        <row r="10733">
          <cell r="A10733">
            <v>8093016</v>
          </cell>
        </row>
        <row r="10734">
          <cell r="A10734">
            <v>8093017</v>
          </cell>
        </row>
        <row r="10735">
          <cell r="A10735">
            <v>8093018</v>
          </cell>
        </row>
        <row r="10736">
          <cell r="A10736">
            <v>8093019</v>
          </cell>
        </row>
        <row r="10737">
          <cell r="A10737">
            <v>8093024</v>
          </cell>
        </row>
        <row r="10738">
          <cell r="A10738">
            <v>8093025</v>
          </cell>
        </row>
        <row r="10739">
          <cell r="A10739">
            <v>8093026</v>
          </cell>
        </row>
        <row r="10740">
          <cell r="A10740">
            <v>8093027</v>
          </cell>
        </row>
        <row r="10741">
          <cell r="A10741">
            <v>8100101</v>
          </cell>
        </row>
        <row r="10742">
          <cell r="A10742">
            <v>8100102</v>
          </cell>
        </row>
        <row r="10743">
          <cell r="A10743">
            <v>8100103</v>
          </cell>
        </row>
        <row r="10744">
          <cell r="A10744">
            <v>8100104</v>
          </cell>
        </row>
        <row r="10745">
          <cell r="A10745">
            <v>8100105</v>
          </cell>
        </row>
        <row r="10746">
          <cell r="A10746">
            <v>8100106</v>
          </cell>
        </row>
        <row r="10747">
          <cell r="A10747">
            <v>8100107</v>
          </cell>
        </row>
        <row r="10748">
          <cell r="A10748">
            <v>8100108</v>
          </cell>
        </row>
        <row r="10749">
          <cell r="A10749">
            <v>8100109</v>
          </cell>
        </row>
        <row r="10750">
          <cell r="A10750">
            <v>8100110</v>
          </cell>
        </row>
        <row r="10751">
          <cell r="A10751">
            <v>8100111</v>
          </cell>
        </row>
        <row r="10752">
          <cell r="A10752">
            <v>8100112</v>
          </cell>
        </row>
        <row r="10753">
          <cell r="A10753">
            <v>8100113</v>
          </cell>
        </row>
        <row r="10754">
          <cell r="A10754">
            <v>8100114</v>
          </cell>
        </row>
        <row r="10755">
          <cell r="A10755">
            <v>8100115</v>
          </cell>
        </row>
        <row r="10756">
          <cell r="A10756">
            <v>8100116</v>
          </cell>
        </row>
        <row r="10757">
          <cell r="A10757">
            <v>8100117</v>
          </cell>
        </row>
        <row r="10758">
          <cell r="A10758">
            <v>8100118</v>
          </cell>
        </row>
        <row r="10759">
          <cell r="A10759">
            <v>8100119</v>
          </cell>
        </row>
        <row r="10760">
          <cell r="A10760">
            <v>8100120</v>
          </cell>
        </row>
        <row r="10761">
          <cell r="A10761">
            <v>8100121</v>
          </cell>
        </row>
        <row r="10762">
          <cell r="A10762">
            <v>8100122</v>
          </cell>
        </row>
        <row r="10763">
          <cell r="A10763">
            <v>8100123</v>
          </cell>
        </row>
        <row r="10764">
          <cell r="A10764">
            <v>8100124</v>
          </cell>
        </row>
        <row r="10765">
          <cell r="A10765">
            <v>8100125</v>
          </cell>
        </row>
        <row r="10766">
          <cell r="A10766">
            <v>8100126</v>
          </cell>
        </row>
        <row r="10767">
          <cell r="A10767">
            <v>8100127</v>
          </cell>
        </row>
        <row r="10768">
          <cell r="A10768">
            <v>8100128</v>
          </cell>
        </row>
        <row r="10769">
          <cell r="A10769">
            <v>8100129</v>
          </cell>
        </row>
        <row r="10770">
          <cell r="A10770">
            <v>8100130</v>
          </cell>
        </row>
        <row r="10771">
          <cell r="A10771">
            <v>8100131</v>
          </cell>
        </row>
        <row r="10772">
          <cell r="A10772">
            <v>8100132</v>
          </cell>
        </row>
        <row r="10773">
          <cell r="A10773">
            <v>8100133</v>
          </cell>
        </row>
        <row r="10774">
          <cell r="A10774">
            <v>8100134</v>
          </cell>
        </row>
        <row r="10775">
          <cell r="A10775">
            <v>8100135</v>
          </cell>
        </row>
        <row r="10776">
          <cell r="A10776">
            <v>8100136</v>
          </cell>
        </row>
        <row r="10777">
          <cell r="A10777">
            <v>8100137</v>
          </cell>
        </row>
        <row r="10778">
          <cell r="A10778">
            <v>8100138</v>
          </cell>
        </row>
        <row r="10779">
          <cell r="A10779">
            <v>8100139</v>
          </cell>
        </row>
        <row r="10780">
          <cell r="A10780">
            <v>8100140</v>
          </cell>
        </row>
        <row r="10781">
          <cell r="A10781">
            <v>8100201</v>
          </cell>
        </row>
        <row r="10782">
          <cell r="A10782">
            <v>8100202</v>
          </cell>
        </row>
        <row r="10783">
          <cell r="A10783">
            <v>8100203</v>
          </cell>
        </row>
        <row r="10784">
          <cell r="A10784">
            <v>8100204</v>
          </cell>
        </row>
        <row r="10785">
          <cell r="A10785">
            <v>8100205</v>
          </cell>
        </row>
        <row r="10786">
          <cell r="A10786">
            <v>8100206</v>
          </cell>
        </row>
        <row r="10787">
          <cell r="A10787">
            <v>8100207</v>
          </cell>
        </row>
        <row r="10788">
          <cell r="A10788">
            <v>8100208</v>
          </cell>
        </row>
        <row r="10789">
          <cell r="A10789">
            <v>8100209</v>
          </cell>
        </row>
        <row r="10790">
          <cell r="A10790">
            <v>8100210</v>
          </cell>
        </row>
        <row r="10791">
          <cell r="A10791">
            <v>8100211</v>
          </cell>
        </row>
        <row r="10792">
          <cell r="A10792">
            <v>8100212</v>
          </cell>
        </row>
        <row r="10793">
          <cell r="A10793">
            <v>8100213</v>
          </cell>
        </row>
        <row r="10794">
          <cell r="A10794">
            <v>8100214</v>
          </cell>
        </row>
        <row r="10795">
          <cell r="A10795">
            <v>8100215</v>
          </cell>
        </row>
        <row r="10796">
          <cell r="A10796">
            <v>8100216</v>
          </cell>
        </row>
        <row r="10797">
          <cell r="A10797">
            <v>8100217</v>
          </cell>
        </row>
        <row r="10798">
          <cell r="A10798">
            <v>8100218</v>
          </cell>
        </row>
        <row r="10799">
          <cell r="A10799">
            <v>8100223</v>
          </cell>
        </row>
        <row r="10800">
          <cell r="A10800">
            <v>8100232</v>
          </cell>
        </row>
        <row r="10801">
          <cell r="A10801">
            <v>8100233</v>
          </cell>
        </row>
        <row r="10802">
          <cell r="A10802">
            <v>8100234</v>
          </cell>
        </row>
        <row r="10803">
          <cell r="A10803">
            <v>8100235</v>
          </cell>
        </row>
        <row r="10804">
          <cell r="A10804">
            <v>8100236</v>
          </cell>
        </row>
        <row r="10805">
          <cell r="A10805">
            <v>8100237</v>
          </cell>
        </row>
        <row r="10806">
          <cell r="A10806">
            <v>8100238</v>
          </cell>
        </row>
        <row r="10807">
          <cell r="A10807">
            <v>8100239</v>
          </cell>
        </row>
        <row r="10808">
          <cell r="A10808">
            <v>8100240</v>
          </cell>
        </row>
        <row r="10809">
          <cell r="A10809">
            <v>8100241</v>
          </cell>
        </row>
        <row r="10810">
          <cell r="A10810">
            <v>8100242</v>
          </cell>
        </row>
        <row r="10811">
          <cell r="A10811">
            <v>8100243</v>
          </cell>
        </row>
        <row r="10812">
          <cell r="A10812">
            <v>8100244</v>
          </cell>
        </row>
        <row r="10813">
          <cell r="A10813">
            <v>8100245</v>
          </cell>
        </row>
        <row r="10814">
          <cell r="A10814">
            <v>8100246</v>
          </cell>
        </row>
        <row r="10815">
          <cell r="A10815">
            <v>8100247</v>
          </cell>
        </row>
        <row r="10816">
          <cell r="A10816">
            <v>8100248</v>
          </cell>
        </row>
        <row r="10817">
          <cell r="A10817">
            <v>8100249</v>
          </cell>
        </row>
        <row r="10818">
          <cell r="A10818">
            <v>8100301</v>
          </cell>
        </row>
        <row r="10819">
          <cell r="A10819">
            <v>8100302</v>
          </cell>
        </row>
        <row r="10820">
          <cell r="A10820">
            <v>8100303</v>
          </cell>
        </row>
        <row r="10821">
          <cell r="A10821">
            <v>8100304</v>
          </cell>
        </row>
        <row r="10822">
          <cell r="A10822">
            <v>8100305</v>
          </cell>
        </row>
        <row r="10823">
          <cell r="A10823">
            <v>8100306</v>
          </cell>
        </row>
        <row r="10824">
          <cell r="A10824">
            <v>8100307</v>
          </cell>
        </row>
        <row r="10825">
          <cell r="A10825">
            <v>8100308</v>
          </cell>
        </row>
        <row r="10826">
          <cell r="A10826">
            <v>8100309</v>
          </cell>
        </row>
        <row r="10827">
          <cell r="A10827">
            <v>8100310</v>
          </cell>
        </row>
        <row r="10828">
          <cell r="A10828">
            <v>8100311</v>
          </cell>
        </row>
        <row r="10829">
          <cell r="A10829">
            <v>8100312</v>
          </cell>
        </row>
        <row r="10830">
          <cell r="A10830">
            <v>8100313</v>
          </cell>
        </row>
        <row r="10831">
          <cell r="A10831">
            <v>8100314</v>
          </cell>
        </row>
        <row r="10832">
          <cell r="A10832">
            <v>8100315</v>
          </cell>
        </row>
        <row r="10833">
          <cell r="A10833">
            <v>8100316</v>
          </cell>
        </row>
        <row r="10834">
          <cell r="A10834">
            <v>8100317</v>
          </cell>
        </row>
        <row r="10835">
          <cell r="A10835">
            <v>8100318</v>
          </cell>
        </row>
        <row r="10836">
          <cell r="A10836">
            <v>8100319</v>
          </cell>
        </row>
        <row r="10837">
          <cell r="A10837">
            <v>8100320</v>
          </cell>
        </row>
        <row r="10838">
          <cell r="A10838">
            <v>8100321</v>
          </cell>
        </row>
        <row r="10839">
          <cell r="A10839">
            <v>8100322</v>
          </cell>
        </row>
        <row r="10840">
          <cell r="A10840">
            <v>8100323</v>
          </cell>
        </row>
        <row r="10841">
          <cell r="A10841">
            <v>8100324</v>
          </cell>
        </row>
        <row r="10842">
          <cell r="A10842">
            <v>8100325</v>
          </cell>
        </row>
        <row r="10843">
          <cell r="A10843">
            <v>8100326</v>
          </cell>
        </row>
        <row r="10844">
          <cell r="A10844">
            <v>8100327</v>
          </cell>
        </row>
        <row r="10845">
          <cell r="A10845">
            <v>8100328</v>
          </cell>
        </row>
        <row r="10846">
          <cell r="A10846">
            <v>8100329</v>
          </cell>
        </row>
        <row r="10847">
          <cell r="A10847">
            <v>8100330</v>
          </cell>
        </row>
        <row r="10848">
          <cell r="A10848">
            <v>8100331</v>
          </cell>
        </row>
        <row r="10849">
          <cell r="A10849">
            <v>8100332</v>
          </cell>
        </row>
        <row r="10850">
          <cell r="A10850">
            <v>8100334</v>
          </cell>
        </row>
        <row r="10851">
          <cell r="A10851">
            <v>8100335</v>
          </cell>
        </row>
        <row r="10852">
          <cell r="A10852">
            <v>8100336</v>
          </cell>
        </row>
        <row r="10853">
          <cell r="A10853">
            <v>8100337</v>
          </cell>
        </row>
        <row r="10854">
          <cell r="A10854">
            <v>8100338</v>
          </cell>
        </row>
        <row r="10855">
          <cell r="A10855">
            <v>8100401</v>
          </cell>
        </row>
        <row r="10856">
          <cell r="A10856">
            <v>8100402</v>
          </cell>
        </row>
        <row r="10857">
          <cell r="A10857">
            <v>8100403</v>
          </cell>
        </row>
        <row r="10858">
          <cell r="A10858">
            <v>8100404</v>
          </cell>
        </row>
        <row r="10859">
          <cell r="A10859">
            <v>8100405</v>
          </cell>
        </row>
        <row r="10860">
          <cell r="A10860">
            <v>8100406</v>
          </cell>
        </row>
        <row r="10861">
          <cell r="A10861">
            <v>8100407</v>
          </cell>
        </row>
        <row r="10862">
          <cell r="A10862">
            <v>8100408</v>
          </cell>
        </row>
        <row r="10863">
          <cell r="A10863">
            <v>8100409</v>
          </cell>
        </row>
        <row r="10864">
          <cell r="A10864">
            <v>8100410</v>
          </cell>
        </row>
        <row r="10865">
          <cell r="A10865">
            <v>8100411</v>
          </cell>
        </row>
        <row r="10866">
          <cell r="A10866">
            <v>8100412</v>
          </cell>
        </row>
        <row r="10867">
          <cell r="A10867">
            <v>8100413</v>
          </cell>
        </row>
        <row r="10868">
          <cell r="A10868">
            <v>8100414</v>
          </cell>
        </row>
        <row r="10869">
          <cell r="A10869">
            <v>8100415</v>
          </cell>
        </row>
        <row r="10870">
          <cell r="A10870">
            <v>8100416</v>
          </cell>
        </row>
        <row r="10871">
          <cell r="A10871">
            <v>8100417</v>
          </cell>
        </row>
        <row r="10872">
          <cell r="A10872">
            <v>8100418</v>
          </cell>
        </row>
        <row r="10873">
          <cell r="A10873">
            <v>8100419</v>
          </cell>
        </row>
        <row r="10874">
          <cell r="A10874">
            <v>8100420</v>
          </cell>
        </row>
        <row r="10875">
          <cell r="A10875">
            <v>8100421</v>
          </cell>
        </row>
        <row r="10876">
          <cell r="A10876">
            <v>8100422</v>
          </cell>
        </row>
        <row r="10877">
          <cell r="A10877">
            <v>8100423</v>
          </cell>
        </row>
        <row r="10878">
          <cell r="A10878">
            <v>8100424</v>
          </cell>
        </row>
        <row r="10879">
          <cell r="A10879">
            <v>8100427</v>
          </cell>
        </row>
        <row r="10880">
          <cell r="A10880">
            <v>8100430</v>
          </cell>
        </row>
        <row r="10881">
          <cell r="A10881">
            <v>8100431</v>
          </cell>
        </row>
        <row r="10882">
          <cell r="A10882">
            <v>8100440</v>
          </cell>
        </row>
        <row r="10883">
          <cell r="A10883">
            <v>8100501</v>
          </cell>
        </row>
        <row r="10884">
          <cell r="A10884">
            <v>8100502</v>
          </cell>
        </row>
        <row r="10885">
          <cell r="A10885">
            <v>8100503</v>
          </cell>
        </row>
        <row r="10886">
          <cell r="A10886">
            <v>8100504</v>
          </cell>
        </row>
        <row r="10887">
          <cell r="A10887">
            <v>8100505</v>
          </cell>
        </row>
        <row r="10888">
          <cell r="A10888">
            <v>8100506</v>
          </cell>
        </row>
        <row r="10889">
          <cell r="A10889">
            <v>8100507</v>
          </cell>
        </row>
        <row r="10890">
          <cell r="A10890">
            <v>8100508</v>
          </cell>
        </row>
        <row r="10891">
          <cell r="A10891">
            <v>8100509</v>
          </cell>
        </row>
        <row r="10892">
          <cell r="A10892">
            <v>8100510</v>
          </cell>
        </row>
        <row r="10893">
          <cell r="A10893">
            <v>8100511</v>
          </cell>
        </row>
        <row r="10894">
          <cell r="A10894">
            <v>8100512</v>
          </cell>
        </row>
        <row r="10895">
          <cell r="A10895">
            <v>8100513</v>
          </cell>
        </row>
        <row r="10896">
          <cell r="A10896">
            <v>8100601</v>
          </cell>
        </row>
        <row r="10897">
          <cell r="A10897">
            <v>8100602</v>
          </cell>
        </row>
        <row r="10898">
          <cell r="A10898">
            <v>8100603</v>
          </cell>
        </row>
        <row r="10899">
          <cell r="A10899">
            <v>8100604</v>
          </cell>
        </row>
        <row r="10900">
          <cell r="A10900">
            <v>8100605</v>
          </cell>
        </row>
        <row r="10901">
          <cell r="A10901">
            <v>8100606</v>
          </cell>
        </row>
        <row r="10902">
          <cell r="A10902">
            <v>8100607</v>
          </cell>
        </row>
        <row r="10903">
          <cell r="A10903">
            <v>8100608</v>
          </cell>
        </row>
        <row r="10904">
          <cell r="A10904">
            <v>8100609</v>
          </cell>
        </row>
        <row r="10905">
          <cell r="A10905">
            <v>8100610</v>
          </cell>
        </row>
        <row r="10906">
          <cell r="A10906">
            <v>8100611</v>
          </cell>
        </row>
        <row r="10907">
          <cell r="A10907">
            <v>8100612</v>
          </cell>
        </row>
        <row r="10908">
          <cell r="A10908">
            <v>8100613</v>
          </cell>
        </row>
        <row r="10909">
          <cell r="A10909">
            <v>8100614</v>
          </cell>
        </row>
        <row r="10910">
          <cell r="A10910">
            <v>8100615</v>
          </cell>
        </row>
        <row r="10911">
          <cell r="A10911">
            <v>8100616</v>
          </cell>
        </row>
        <row r="10912">
          <cell r="A10912">
            <v>8100617</v>
          </cell>
        </row>
        <row r="10913">
          <cell r="A10913">
            <v>8100618</v>
          </cell>
        </row>
        <row r="10914">
          <cell r="A10914">
            <v>8100619</v>
          </cell>
        </row>
        <row r="10915">
          <cell r="A10915">
            <v>8100620</v>
          </cell>
        </row>
        <row r="10916">
          <cell r="A10916">
            <v>8100621</v>
          </cell>
        </row>
        <row r="10917">
          <cell r="A10917">
            <v>8100622</v>
          </cell>
        </row>
        <row r="10918">
          <cell r="A10918">
            <v>8100623</v>
          </cell>
        </row>
        <row r="10919">
          <cell r="A10919">
            <v>8100624</v>
          </cell>
        </row>
        <row r="10920">
          <cell r="A10920">
            <v>8100625</v>
          </cell>
        </row>
        <row r="10921">
          <cell r="A10921">
            <v>8100626</v>
          </cell>
        </row>
        <row r="10922">
          <cell r="A10922">
            <v>8100627</v>
          </cell>
        </row>
        <row r="10923">
          <cell r="A10923">
            <v>8100628</v>
          </cell>
        </row>
        <row r="10924">
          <cell r="A10924">
            <v>8100629</v>
          </cell>
        </row>
        <row r="10925">
          <cell r="A10925">
            <v>8100630</v>
          </cell>
        </row>
        <row r="10926">
          <cell r="A10926">
            <v>8100631</v>
          </cell>
        </row>
        <row r="10927">
          <cell r="A10927">
            <v>8100632</v>
          </cell>
        </row>
        <row r="10928">
          <cell r="A10928">
            <v>8100633</v>
          </cell>
        </row>
        <row r="10929">
          <cell r="A10929">
            <v>8100634</v>
          </cell>
        </row>
        <row r="10930">
          <cell r="A10930">
            <v>8100635</v>
          </cell>
        </row>
        <row r="10931">
          <cell r="A10931">
            <v>8100639</v>
          </cell>
        </row>
        <row r="10932">
          <cell r="A10932">
            <v>8100640</v>
          </cell>
        </row>
        <row r="10933">
          <cell r="A10933">
            <v>8100641</v>
          </cell>
        </row>
        <row r="10934">
          <cell r="A10934">
            <v>8100642</v>
          </cell>
        </row>
        <row r="10935">
          <cell r="A10935">
            <v>8100643</v>
          </cell>
        </row>
        <row r="10936">
          <cell r="A10936">
            <v>8100644</v>
          </cell>
        </row>
        <row r="10937">
          <cell r="A10937">
            <v>8100646</v>
          </cell>
        </row>
        <row r="10938">
          <cell r="A10938">
            <v>8100647</v>
          </cell>
        </row>
        <row r="10939">
          <cell r="A10939">
            <v>8100648</v>
          </cell>
        </row>
        <row r="10940">
          <cell r="A10940">
            <v>8100649</v>
          </cell>
        </row>
        <row r="10941">
          <cell r="A10941">
            <v>8100650</v>
          </cell>
        </row>
        <row r="10942">
          <cell r="A10942">
            <v>8100651</v>
          </cell>
        </row>
        <row r="10943">
          <cell r="A10943">
            <v>8100701</v>
          </cell>
        </row>
        <row r="10944">
          <cell r="A10944">
            <v>8100702</v>
          </cell>
        </row>
        <row r="10945">
          <cell r="A10945">
            <v>8100703</v>
          </cell>
        </row>
        <row r="10946">
          <cell r="A10946">
            <v>8100704</v>
          </cell>
        </row>
        <row r="10947">
          <cell r="A10947">
            <v>8100705</v>
          </cell>
        </row>
        <row r="10948">
          <cell r="A10948">
            <v>8100706</v>
          </cell>
        </row>
        <row r="10949">
          <cell r="A10949">
            <v>8100707</v>
          </cell>
        </row>
        <row r="10950">
          <cell r="A10950">
            <v>8100708</v>
          </cell>
        </row>
        <row r="10951">
          <cell r="A10951">
            <v>8100709</v>
          </cell>
        </row>
        <row r="10952">
          <cell r="A10952">
            <v>8100710</v>
          </cell>
        </row>
        <row r="10953">
          <cell r="A10953">
            <v>8100711</v>
          </cell>
        </row>
        <row r="10954">
          <cell r="A10954">
            <v>8100712</v>
          </cell>
        </row>
        <row r="10955">
          <cell r="A10955">
            <v>8100713</v>
          </cell>
        </row>
        <row r="10956">
          <cell r="A10956">
            <v>8100714</v>
          </cell>
        </row>
        <row r="10957">
          <cell r="A10957">
            <v>8100715</v>
          </cell>
        </row>
        <row r="10958">
          <cell r="A10958">
            <v>8100716</v>
          </cell>
        </row>
        <row r="10959">
          <cell r="A10959">
            <v>8100717</v>
          </cell>
        </row>
        <row r="10960">
          <cell r="A10960">
            <v>8100718</v>
          </cell>
        </row>
        <row r="10961">
          <cell r="A10961">
            <v>8100719</v>
          </cell>
        </row>
        <row r="10962">
          <cell r="A10962">
            <v>8100720</v>
          </cell>
        </row>
        <row r="10963">
          <cell r="A10963">
            <v>8100721</v>
          </cell>
        </row>
        <row r="10964">
          <cell r="A10964">
            <v>8100722</v>
          </cell>
        </row>
        <row r="10965">
          <cell r="A10965">
            <v>8100723</v>
          </cell>
        </row>
        <row r="10966">
          <cell r="A10966">
            <v>8100724</v>
          </cell>
        </row>
        <row r="10967">
          <cell r="A10967">
            <v>8100725</v>
          </cell>
        </row>
        <row r="10968">
          <cell r="A10968">
            <v>8100726</v>
          </cell>
        </row>
        <row r="10969">
          <cell r="A10969">
            <v>8100727</v>
          </cell>
        </row>
        <row r="10970">
          <cell r="A10970">
            <v>8100728</v>
          </cell>
        </row>
        <row r="10971">
          <cell r="A10971">
            <v>8100729</v>
          </cell>
        </row>
        <row r="10972">
          <cell r="A10972">
            <v>8100730</v>
          </cell>
        </row>
        <row r="10973">
          <cell r="A10973">
            <v>8100731</v>
          </cell>
        </row>
        <row r="10974">
          <cell r="A10974">
            <v>8100732</v>
          </cell>
        </row>
        <row r="10975">
          <cell r="A10975">
            <v>8100733</v>
          </cell>
        </row>
        <row r="10976">
          <cell r="A10976">
            <v>8100734</v>
          </cell>
        </row>
        <row r="10977">
          <cell r="A10977">
            <v>8100735</v>
          </cell>
        </row>
        <row r="10978">
          <cell r="A10978">
            <v>8100736</v>
          </cell>
        </row>
        <row r="10979">
          <cell r="A10979">
            <v>8100737</v>
          </cell>
        </row>
        <row r="10980">
          <cell r="A10980">
            <v>8100738</v>
          </cell>
        </row>
        <row r="10981">
          <cell r="A10981">
            <v>8100739</v>
          </cell>
        </row>
        <row r="10982">
          <cell r="A10982">
            <v>8100740</v>
          </cell>
        </row>
        <row r="10983">
          <cell r="A10983">
            <v>8100741</v>
          </cell>
        </row>
        <row r="10984">
          <cell r="A10984">
            <v>8100747</v>
          </cell>
        </row>
        <row r="10985">
          <cell r="A10985">
            <v>8100748</v>
          </cell>
        </row>
        <row r="10986">
          <cell r="A10986">
            <v>8100749</v>
          </cell>
        </row>
        <row r="10987">
          <cell r="A10987">
            <v>8100750</v>
          </cell>
        </row>
        <row r="10988">
          <cell r="A10988">
            <v>8100751</v>
          </cell>
        </row>
        <row r="10989">
          <cell r="A10989">
            <v>8100756</v>
          </cell>
        </row>
        <row r="10990">
          <cell r="A10990">
            <v>8100757</v>
          </cell>
        </row>
        <row r="10991">
          <cell r="A10991">
            <v>8100758</v>
          </cell>
        </row>
        <row r="10992">
          <cell r="A10992">
            <v>8100759</v>
          </cell>
        </row>
        <row r="10993">
          <cell r="A10993">
            <v>8100760</v>
          </cell>
        </row>
        <row r="10994">
          <cell r="A10994">
            <v>8100761</v>
          </cell>
        </row>
        <row r="10995">
          <cell r="A10995">
            <v>8100762</v>
          </cell>
        </row>
        <row r="10996">
          <cell r="A10996">
            <v>8100763</v>
          </cell>
        </row>
        <row r="10997">
          <cell r="A10997">
            <v>8100764</v>
          </cell>
        </row>
        <row r="10998">
          <cell r="A10998">
            <v>8100801</v>
          </cell>
        </row>
        <row r="10999">
          <cell r="A10999">
            <v>8100802</v>
          </cell>
        </row>
        <row r="11000">
          <cell r="A11000">
            <v>8100803</v>
          </cell>
        </row>
        <row r="11001">
          <cell r="A11001">
            <v>8100804</v>
          </cell>
        </row>
        <row r="11002">
          <cell r="A11002">
            <v>8100805</v>
          </cell>
        </row>
        <row r="11003">
          <cell r="A11003">
            <v>8100806</v>
          </cell>
        </row>
        <row r="11004">
          <cell r="A11004">
            <v>8100807</v>
          </cell>
        </row>
        <row r="11005">
          <cell r="A11005">
            <v>8100808</v>
          </cell>
        </row>
        <row r="11006">
          <cell r="A11006">
            <v>8100809</v>
          </cell>
        </row>
        <row r="11007">
          <cell r="A11007">
            <v>8100810</v>
          </cell>
        </row>
        <row r="11008">
          <cell r="A11008">
            <v>8100811</v>
          </cell>
        </row>
        <row r="11009">
          <cell r="A11009">
            <v>8100812</v>
          </cell>
        </row>
        <row r="11010">
          <cell r="A11010">
            <v>8100813</v>
          </cell>
        </row>
        <row r="11011">
          <cell r="A11011">
            <v>8100814</v>
          </cell>
        </row>
        <row r="11012">
          <cell r="A11012">
            <v>8100815</v>
          </cell>
        </row>
        <row r="11013">
          <cell r="A11013">
            <v>8100816</v>
          </cell>
        </row>
        <row r="11014">
          <cell r="A11014">
            <v>8100817</v>
          </cell>
        </row>
        <row r="11015">
          <cell r="A11015">
            <v>8100818</v>
          </cell>
        </row>
        <row r="11016">
          <cell r="A11016">
            <v>8100819</v>
          </cell>
        </row>
        <row r="11017">
          <cell r="A11017">
            <v>8100820</v>
          </cell>
        </row>
        <row r="11018">
          <cell r="A11018">
            <v>8100824</v>
          </cell>
        </row>
        <row r="11019">
          <cell r="A11019">
            <v>8100825</v>
          </cell>
        </row>
        <row r="11020">
          <cell r="A11020">
            <v>8100826</v>
          </cell>
        </row>
        <row r="11021">
          <cell r="A11021">
            <v>8100827</v>
          </cell>
        </row>
        <row r="11022">
          <cell r="A11022">
            <v>8100828</v>
          </cell>
        </row>
        <row r="11023">
          <cell r="A11023">
            <v>8100829</v>
          </cell>
        </row>
        <row r="11024">
          <cell r="A11024">
            <v>8100830</v>
          </cell>
        </row>
        <row r="11025">
          <cell r="A11025">
            <v>8100833</v>
          </cell>
        </row>
        <row r="11026">
          <cell r="A11026">
            <v>8100834</v>
          </cell>
        </row>
        <row r="11027">
          <cell r="A11027">
            <v>8100835</v>
          </cell>
        </row>
        <row r="11028">
          <cell r="A11028">
            <v>8100836</v>
          </cell>
        </row>
        <row r="11029">
          <cell r="A11029">
            <v>8100837</v>
          </cell>
        </row>
        <row r="11030">
          <cell r="A11030">
            <v>8100838</v>
          </cell>
        </row>
        <row r="11031">
          <cell r="A11031">
            <v>8100839</v>
          </cell>
        </row>
        <row r="11032">
          <cell r="A11032">
            <v>8100840</v>
          </cell>
        </row>
        <row r="11033">
          <cell r="A11033">
            <v>8100841</v>
          </cell>
        </row>
        <row r="11034">
          <cell r="A11034">
            <v>8100842</v>
          </cell>
        </row>
        <row r="11035">
          <cell r="A11035">
            <v>8100845</v>
          </cell>
        </row>
        <row r="11036">
          <cell r="A11036">
            <v>8100901</v>
          </cell>
        </row>
        <row r="11037">
          <cell r="A11037">
            <v>8100902</v>
          </cell>
        </row>
        <row r="11038">
          <cell r="A11038">
            <v>8100903</v>
          </cell>
        </row>
        <row r="11039">
          <cell r="A11039">
            <v>8100904</v>
          </cell>
        </row>
        <row r="11040">
          <cell r="A11040">
            <v>8100905</v>
          </cell>
        </row>
        <row r="11041">
          <cell r="A11041">
            <v>8100906</v>
          </cell>
        </row>
        <row r="11042">
          <cell r="A11042">
            <v>8100907</v>
          </cell>
        </row>
        <row r="11043">
          <cell r="A11043">
            <v>8100908</v>
          </cell>
        </row>
        <row r="11044">
          <cell r="A11044">
            <v>8100909</v>
          </cell>
        </row>
        <row r="11045">
          <cell r="A11045">
            <v>8100910</v>
          </cell>
        </row>
        <row r="11046">
          <cell r="A11046">
            <v>8100911</v>
          </cell>
        </row>
        <row r="11047">
          <cell r="A11047">
            <v>8100912</v>
          </cell>
        </row>
        <row r="11048">
          <cell r="A11048">
            <v>8100913</v>
          </cell>
        </row>
        <row r="11049">
          <cell r="A11049">
            <v>8100914</v>
          </cell>
        </row>
        <row r="11050">
          <cell r="A11050">
            <v>8100915</v>
          </cell>
        </row>
        <row r="11051">
          <cell r="A11051">
            <v>8100916</v>
          </cell>
        </row>
        <row r="11052">
          <cell r="A11052">
            <v>8100917</v>
          </cell>
        </row>
        <row r="11053">
          <cell r="A11053">
            <v>8100918</v>
          </cell>
        </row>
        <row r="11054">
          <cell r="A11054">
            <v>8100919</v>
          </cell>
        </row>
        <row r="11055">
          <cell r="A11055">
            <v>8100920</v>
          </cell>
        </row>
        <row r="11056">
          <cell r="A11056">
            <v>8100921</v>
          </cell>
        </row>
        <row r="11057">
          <cell r="A11057">
            <v>8100922</v>
          </cell>
        </row>
        <row r="11058">
          <cell r="A11058">
            <v>8100923</v>
          </cell>
        </row>
        <row r="11059">
          <cell r="A11059">
            <v>8100924</v>
          </cell>
        </row>
        <row r="11060">
          <cell r="A11060">
            <v>8100925</v>
          </cell>
        </row>
        <row r="11061">
          <cell r="A11061">
            <v>8100926</v>
          </cell>
        </row>
        <row r="11062">
          <cell r="A11062">
            <v>8100927</v>
          </cell>
        </row>
        <row r="11063">
          <cell r="A11063">
            <v>8100928</v>
          </cell>
        </row>
        <row r="11064">
          <cell r="A11064">
            <v>8100929</v>
          </cell>
        </row>
        <row r="11065">
          <cell r="A11065">
            <v>8100930</v>
          </cell>
        </row>
        <row r="11066">
          <cell r="A11066">
            <v>8100931</v>
          </cell>
        </row>
        <row r="11067">
          <cell r="A11067">
            <v>8100932</v>
          </cell>
        </row>
        <row r="11068">
          <cell r="A11068">
            <v>8100933</v>
          </cell>
        </row>
        <row r="11069">
          <cell r="A11069">
            <v>8100934</v>
          </cell>
        </row>
        <row r="11070">
          <cell r="A11070">
            <v>8100935</v>
          </cell>
        </row>
        <row r="11071">
          <cell r="A11071">
            <v>8100936</v>
          </cell>
        </row>
        <row r="11072">
          <cell r="A11072">
            <v>8100937</v>
          </cell>
        </row>
        <row r="11073">
          <cell r="A11073">
            <v>8100938</v>
          </cell>
        </row>
        <row r="11074">
          <cell r="A11074">
            <v>8100939</v>
          </cell>
        </row>
        <row r="11075">
          <cell r="A11075">
            <v>8100945</v>
          </cell>
        </row>
        <row r="11076">
          <cell r="A11076">
            <v>8100949</v>
          </cell>
        </row>
        <row r="11077">
          <cell r="A11077">
            <v>8100950</v>
          </cell>
        </row>
        <row r="11078">
          <cell r="A11078">
            <v>8100951</v>
          </cell>
        </row>
        <row r="11079">
          <cell r="A11079">
            <v>8100952</v>
          </cell>
        </row>
        <row r="11080">
          <cell r="A11080">
            <v>8101001</v>
          </cell>
        </row>
        <row r="11081">
          <cell r="A11081">
            <v>8101002</v>
          </cell>
        </row>
        <row r="11082">
          <cell r="A11082">
            <v>8101003</v>
          </cell>
        </row>
        <row r="11083">
          <cell r="A11083">
            <v>8101004</v>
          </cell>
        </row>
        <row r="11084">
          <cell r="A11084">
            <v>8101005</v>
          </cell>
        </row>
        <row r="11085">
          <cell r="A11085">
            <v>8101006</v>
          </cell>
        </row>
        <row r="11086">
          <cell r="A11086">
            <v>8101007</v>
          </cell>
        </row>
        <row r="11087">
          <cell r="A11087">
            <v>8101008</v>
          </cell>
        </row>
        <row r="11088">
          <cell r="A11088">
            <v>8101009</v>
          </cell>
        </row>
        <row r="11089">
          <cell r="A11089">
            <v>8101010</v>
          </cell>
        </row>
        <row r="11090">
          <cell r="A11090">
            <v>8101011</v>
          </cell>
        </row>
        <row r="11091">
          <cell r="A11091">
            <v>8101012</v>
          </cell>
        </row>
        <row r="11092">
          <cell r="A11092">
            <v>8101013</v>
          </cell>
        </row>
        <row r="11093">
          <cell r="A11093">
            <v>8101014</v>
          </cell>
        </row>
        <row r="11094">
          <cell r="A11094">
            <v>8101015</v>
          </cell>
        </row>
        <row r="11095">
          <cell r="A11095">
            <v>8101016</v>
          </cell>
        </row>
        <row r="11096">
          <cell r="A11096">
            <v>8101017</v>
          </cell>
        </row>
        <row r="11097">
          <cell r="A11097">
            <v>8101018</v>
          </cell>
        </row>
        <row r="11098">
          <cell r="A11098">
            <v>8101019</v>
          </cell>
        </row>
        <row r="11099">
          <cell r="A11099">
            <v>8101020</v>
          </cell>
        </row>
        <row r="11100">
          <cell r="A11100">
            <v>8101021</v>
          </cell>
        </row>
        <row r="11101">
          <cell r="A11101">
            <v>8101022</v>
          </cell>
        </row>
        <row r="11102">
          <cell r="A11102">
            <v>8101023</v>
          </cell>
        </row>
        <row r="11103">
          <cell r="A11103">
            <v>8101026</v>
          </cell>
        </row>
        <row r="11104">
          <cell r="A11104">
            <v>8101027</v>
          </cell>
        </row>
        <row r="11105">
          <cell r="A11105">
            <v>8101028</v>
          </cell>
        </row>
        <row r="11106">
          <cell r="A11106">
            <v>8101029</v>
          </cell>
        </row>
        <row r="11107">
          <cell r="A11107">
            <v>8101030</v>
          </cell>
        </row>
        <row r="11108">
          <cell r="A11108">
            <v>8101031</v>
          </cell>
        </row>
        <row r="11109">
          <cell r="A11109">
            <v>8101032</v>
          </cell>
        </row>
        <row r="11110">
          <cell r="A11110">
            <v>8101033</v>
          </cell>
        </row>
        <row r="11111">
          <cell r="A11111">
            <v>8101037</v>
          </cell>
        </row>
        <row r="11112">
          <cell r="A11112">
            <v>8101038</v>
          </cell>
        </row>
        <row r="11113">
          <cell r="A11113">
            <v>8101039</v>
          </cell>
        </row>
        <row r="11114">
          <cell r="A11114">
            <v>8101040</v>
          </cell>
        </row>
        <row r="11115">
          <cell r="A11115">
            <v>8101041</v>
          </cell>
        </row>
        <row r="11116">
          <cell r="A11116">
            <v>8101042</v>
          </cell>
        </row>
        <row r="11117">
          <cell r="A11117">
            <v>8101043</v>
          </cell>
        </row>
        <row r="11118">
          <cell r="A11118">
            <v>8101044</v>
          </cell>
        </row>
        <row r="11119">
          <cell r="A11119">
            <v>8101045</v>
          </cell>
        </row>
        <row r="11120">
          <cell r="A11120">
            <v>8101046</v>
          </cell>
        </row>
        <row r="11121">
          <cell r="A11121">
            <v>8101047</v>
          </cell>
        </row>
        <row r="11122">
          <cell r="A11122">
            <v>8101048</v>
          </cell>
        </row>
        <row r="11123">
          <cell r="A11123">
            <v>8101049</v>
          </cell>
        </row>
        <row r="11124">
          <cell r="A11124">
            <v>8101050</v>
          </cell>
        </row>
        <row r="11125">
          <cell r="A11125">
            <v>8101051</v>
          </cell>
        </row>
        <row r="11126">
          <cell r="A11126">
            <v>8101052</v>
          </cell>
        </row>
        <row r="11127">
          <cell r="A11127">
            <v>8101053</v>
          </cell>
        </row>
        <row r="11128">
          <cell r="A11128">
            <v>8101054</v>
          </cell>
        </row>
        <row r="11129">
          <cell r="A11129">
            <v>8101055</v>
          </cell>
        </row>
        <row r="11130">
          <cell r="A11130">
            <v>8101101</v>
          </cell>
        </row>
        <row r="11131">
          <cell r="A11131">
            <v>8101102</v>
          </cell>
        </row>
        <row r="11132">
          <cell r="A11132">
            <v>8101103</v>
          </cell>
        </row>
        <row r="11133">
          <cell r="A11133">
            <v>8101104</v>
          </cell>
        </row>
        <row r="11134">
          <cell r="A11134">
            <v>8101105</v>
          </cell>
        </row>
        <row r="11135">
          <cell r="A11135">
            <v>8101106</v>
          </cell>
        </row>
        <row r="11136">
          <cell r="A11136">
            <v>8101107</v>
          </cell>
        </row>
        <row r="11137">
          <cell r="A11137">
            <v>8101108</v>
          </cell>
        </row>
        <row r="11138">
          <cell r="A11138">
            <v>8101109</v>
          </cell>
        </row>
        <row r="11139">
          <cell r="A11139">
            <v>8101110</v>
          </cell>
        </row>
        <row r="11140">
          <cell r="A11140">
            <v>8101111</v>
          </cell>
        </row>
        <row r="11141">
          <cell r="A11141">
            <v>8101112</v>
          </cell>
        </row>
        <row r="11142">
          <cell r="A11142">
            <v>8101113</v>
          </cell>
        </row>
        <row r="11143">
          <cell r="A11143">
            <v>8101124</v>
          </cell>
        </row>
        <row r="11144">
          <cell r="A11144">
            <v>8101125</v>
          </cell>
        </row>
        <row r="11145">
          <cell r="A11145">
            <v>8101126</v>
          </cell>
        </row>
        <row r="11146">
          <cell r="A11146">
            <v>8101127</v>
          </cell>
        </row>
        <row r="11147">
          <cell r="A11147">
            <v>8101128</v>
          </cell>
        </row>
        <row r="11148">
          <cell r="A11148">
            <v>8101129</v>
          </cell>
        </row>
        <row r="11149">
          <cell r="A11149">
            <v>8101130</v>
          </cell>
        </row>
        <row r="11150">
          <cell r="A11150">
            <v>8101132</v>
          </cell>
        </row>
        <row r="11151">
          <cell r="A11151">
            <v>8101133</v>
          </cell>
        </row>
        <row r="11152">
          <cell r="A11152">
            <v>8101134</v>
          </cell>
        </row>
        <row r="11153">
          <cell r="A11153">
            <v>8101135</v>
          </cell>
        </row>
        <row r="11154">
          <cell r="A11154">
            <v>8101136</v>
          </cell>
        </row>
        <row r="11155">
          <cell r="A11155">
            <v>8101137</v>
          </cell>
        </row>
        <row r="11156">
          <cell r="A11156">
            <v>8101138</v>
          </cell>
        </row>
        <row r="11157">
          <cell r="A11157">
            <v>8101301</v>
          </cell>
        </row>
        <row r="11158">
          <cell r="A11158">
            <v>8101302</v>
          </cell>
        </row>
        <row r="11159">
          <cell r="A11159">
            <v>8101303</v>
          </cell>
        </row>
        <row r="11160">
          <cell r="A11160">
            <v>8101304</v>
          </cell>
        </row>
        <row r="11161">
          <cell r="A11161">
            <v>8101305</v>
          </cell>
        </row>
        <row r="11162">
          <cell r="A11162">
            <v>8101306</v>
          </cell>
        </row>
        <row r="11163">
          <cell r="A11163">
            <v>8101307</v>
          </cell>
        </row>
        <row r="11164">
          <cell r="A11164">
            <v>8101308</v>
          </cell>
        </row>
        <row r="11165">
          <cell r="A11165">
            <v>8101309</v>
          </cell>
        </row>
        <row r="11166">
          <cell r="A11166">
            <v>8101310</v>
          </cell>
        </row>
        <row r="11167">
          <cell r="A11167">
            <v>8101311</v>
          </cell>
        </row>
        <row r="11168">
          <cell r="A11168">
            <v>8101312</v>
          </cell>
        </row>
        <row r="11169">
          <cell r="A11169">
            <v>8101313</v>
          </cell>
        </row>
        <row r="11170">
          <cell r="A11170">
            <v>8101314</v>
          </cell>
        </row>
        <row r="11171">
          <cell r="A11171">
            <v>8101315</v>
          </cell>
        </row>
        <row r="11172">
          <cell r="A11172">
            <v>8101316</v>
          </cell>
        </row>
        <row r="11173">
          <cell r="A11173">
            <v>8101317</v>
          </cell>
        </row>
        <row r="11174">
          <cell r="A11174">
            <v>8101318</v>
          </cell>
        </row>
        <row r="11175">
          <cell r="A11175">
            <v>8101319</v>
          </cell>
        </row>
        <row r="11176">
          <cell r="A11176">
            <v>8101320</v>
          </cell>
        </row>
        <row r="11177">
          <cell r="A11177">
            <v>8101321</v>
          </cell>
        </row>
        <row r="11178">
          <cell r="A11178">
            <v>8101322</v>
          </cell>
        </row>
        <row r="11179">
          <cell r="A11179">
            <v>8101323</v>
          </cell>
        </row>
        <row r="11180">
          <cell r="A11180">
            <v>8101324</v>
          </cell>
        </row>
        <row r="11181">
          <cell r="A11181">
            <v>8101325</v>
          </cell>
        </row>
        <row r="11182">
          <cell r="A11182">
            <v>8101326</v>
          </cell>
        </row>
        <row r="11183">
          <cell r="A11183">
            <v>8101327</v>
          </cell>
        </row>
        <row r="11184">
          <cell r="A11184">
            <v>8101328</v>
          </cell>
        </row>
        <row r="11185">
          <cell r="A11185">
            <v>8101329</v>
          </cell>
        </row>
        <row r="11186">
          <cell r="A11186">
            <v>8101330</v>
          </cell>
        </row>
        <row r="11187">
          <cell r="A11187">
            <v>8101331</v>
          </cell>
        </row>
        <row r="11188">
          <cell r="A11188">
            <v>8101332</v>
          </cell>
        </row>
        <row r="11189">
          <cell r="A11189">
            <v>8101333</v>
          </cell>
        </row>
        <row r="11190">
          <cell r="A11190">
            <v>8101334</v>
          </cell>
        </row>
        <row r="11191">
          <cell r="A11191">
            <v>8101335</v>
          </cell>
        </row>
        <row r="11192">
          <cell r="A11192">
            <v>8101336</v>
          </cell>
        </row>
        <row r="11193">
          <cell r="A11193">
            <v>8101337</v>
          </cell>
        </row>
        <row r="11194">
          <cell r="A11194">
            <v>8101338</v>
          </cell>
        </row>
        <row r="11195">
          <cell r="A11195">
            <v>8101339</v>
          </cell>
        </row>
        <row r="11196">
          <cell r="A11196">
            <v>8101340</v>
          </cell>
        </row>
        <row r="11197">
          <cell r="A11197">
            <v>8101341</v>
          </cell>
        </row>
        <row r="11198">
          <cell r="A11198">
            <v>8101342</v>
          </cell>
        </row>
        <row r="11199">
          <cell r="A11199">
            <v>8101343</v>
          </cell>
        </row>
        <row r="11200">
          <cell r="A11200">
            <v>8101344</v>
          </cell>
        </row>
        <row r="11201">
          <cell r="A11201">
            <v>8101345</v>
          </cell>
        </row>
        <row r="11202">
          <cell r="A11202">
            <v>8101348</v>
          </cell>
        </row>
        <row r="11203">
          <cell r="A11203">
            <v>8101349</v>
          </cell>
        </row>
        <row r="11204">
          <cell r="A11204">
            <v>8101350</v>
          </cell>
        </row>
        <row r="11205">
          <cell r="A11205">
            <v>8101401</v>
          </cell>
        </row>
        <row r="11206">
          <cell r="A11206">
            <v>8101402</v>
          </cell>
        </row>
        <row r="11207">
          <cell r="A11207">
            <v>8101403</v>
          </cell>
        </row>
        <row r="11208">
          <cell r="A11208">
            <v>8101404</v>
          </cell>
        </row>
        <row r="11209">
          <cell r="A11209">
            <v>8101405</v>
          </cell>
        </row>
        <row r="11210">
          <cell r="A11210">
            <v>8101406</v>
          </cell>
        </row>
        <row r="11211">
          <cell r="A11211">
            <v>8101407</v>
          </cell>
        </row>
        <row r="11212">
          <cell r="A11212">
            <v>8101408</v>
          </cell>
        </row>
        <row r="11213">
          <cell r="A11213">
            <v>8101415</v>
          </cell>
        </row>
        <row r="11214">
          <cell r="A11214">
            <v>8101416</v>
          </cell>
        </row>
        <row r="11215">
          <cell r="A11215">
            <v>8101417</v>
          </cell>
        </row>
        <row r="11216">
          <cell r="A11216">
            <v>8101418</v>
          </cell>
        </row>
        <row r="11217">
          <cell r="A11217">
            <v>8101419</v>
          </cell>
        </row>
        <row r="11218">
          <cell r="A11218">
            <v>8101420</v>
          </cell>
        </row>
        <row r="11219">
          <cell r="A11219">
            <v>8101421</v>
          </cell>
        </row>
        <row r="11220">
          <cell r="A11220">
            <v>8101422</v>
          </cell>
        </row>
        <row r="11221">
          <cell r="A11221">
            <v>8101423</v>
          </cell>
        </row>
        <row r="11222">
          <cell r="A11222">
            <v>8101424</v>
          </cell>
        </row>
        <row r="11223">
          <cell r="A11223">
            <v>8101425</v>
          </cell>
        </row>
        <row r="11224">
          <cell r="A11224">
            <v>8101429</v>
          </cell>
        </row>
        <row r="11225">
          <cell r="A11225">
            <v>8101430</v>
          </cell>
        </row>
        <row r="11226">
          <cell r="A11226">
            <v>8101431</v>
          </cell>
        </row>
        <row r="11227">
          <cell r="A11227">
            <v>8101432</v>
          </cell>
        </row>
        <row r="11228">
          <cell r="A11228">
            <v>8101433</v>
          </cell>
        </row>
        <row r="11229">
          <cell r="A11229">
            <v>8101434</v>
          </cell>
        </row>
        <row r="11230">
          <cell r="A11230">
            <v>8101435</v>
          </cell>
        </row>
        <row r="11231">
          <cell r="A11231">
            <v>8101436</v>
          </cell>
        </row>
        <row r="11232">
          <cell r="A11232">
            <v>8101437</v>
          </cell>
        </row>
        <row r="11233">
          <cell r="A11233">
            <v>8101438</v>
          </cell>
        </row>
        <row r="11234">
          <cell r="A11234">
            <v>8101439</v>
          </cell>
        </row>
        <row r="11235">
          <cell r="A11235">
            <v>8101440</v>
          </cell>
        </row>
        <row r="11236">
          <cell r="A11236">
            <v>8101441</v>
          </cell>
        </row>
        <row r="11237">
          <cell r="A11237">
            <v>8101501</v>
          </cell>
        </row>
        <row r="11238">
          <cell r="A11238">
            <v>8101502</v>
          </cell>
        </row>
        <row r="11239">
          <cell r="A11239">
            <v>8101503</v>
          </cell>
        </row>
        <row r="11240">
          <cell r="A11240">
            <v>8101504</v>
          </cell>
        </row>
        <row r="11241">
          <cell r="A11241">
            <v>8101505</v>
          </cell>
        </row>
        <row r="11242">
          <cell r="A11242">
            <v>8101506</v>
          </cell>
        </row>
        <row r="11243">
          <cell r="A11243">
            <v>8101507</v>
          </cell>
        </row>
        <row r="11244">
          <cell r="A11244">
            <v>8101508</v>
          </cell>
        </row>
        <row r="11245">
          <cell r="A11245">
            <v>8101509</v>
          </cell>
        </row>
        <row r="11246">
          <cell r="A11246">
            <v>8101510</v>
          </cell>
        </row>
        <row r="11247">
          <cell r="A11247">
            <v>8101511</v>
          </cell>
        </row>
        <row r="11248">
          <cell r="A11248">
            <v>8101512</v>
          </cell>
        </row>
        <row r="11249">
          <cell r="A11249">
            <v>8101513</v>
          </cell>
        </row>
        <row r="11250">
          <cell r="A11250">
            <v>8101514</v>
          </cell>
        </row>
        <row r="11251">
          <cell r="A11251">
            <v>8101515</v>
          </cell>
        </row>
        <row r="11252">
          <cell r="A11252">
            <v>8101516</v>
          </cell>
        </row>
        <row r="11253">
          <cell r="A11253">
            <v>8101517</v>
          </cell>
        </row>
        <row r="11254">
          <cell r="A11254">
            <v>8101518</v>
          </cell>
        </row>
        <row r="11255">
          <cell r="A11255">
            <v>8101519</v>
          </cell>
        </row>
        <row r="11256">
          <cell r="A11256">
            <v>8101520</v>
          </cell>
        </row>
        <row r="11257">
          <cell r="A11257">
            <v>8101521</v>
          </cell>
        </row>
        <row r="11258">
          <cell r="A11258">
            <v>8101522</v>
          </cell>
        </row>
        <row r="11259">
          <cell r="A11259">
            <v>8101523</v>
          </cell>
        </row>
        <row r="11260">
          <cell r="A11260">
            <v>8101524</v>
          </cell>
        </row>
        <row r="11261">
          <cell r="A11261">
            <v>8101527</v>
          </cell>
        </row>
        <row r="11262">
          <cell r="A11262">
            <v>8101528</v>
          </cell>
        </row>
        <row r="11263">
          <cell r="A11263">
            <v>8101529</v>
          </cell>
        </row>
        <row r="11264">
          <cell r="A11264">
            <v>8101530</v>
          </cell>
        </row>
        <row r="11265">
          <cell r="A11265">
            <v>8101531</v>
          </cell>
        </row>
        <row r="11266">
          <cell r="A11266">
            <v>8101532</v>
          </cell>
        </row>
        <row r="11267">
          <cell r="A11267">
            <v>8101533</v>
          </cell>
        </row>
        <row r="11268">
          <cell r="A11268">
            <v>8101534</v>
          </cell>
        </row>
        <row r="11269">
          <cell r="A11269">
            <v>8101535</v>
          </cell>
        </row>
        <row r="11270">
          <cell r="A11270">
            <v>8101536</v>
          </cell>
        </row>
        <row r="11271">
          <cell r="A11271">
            <v>8101537</v>
          </cell>
        </row>
        <row r="11272">
          <cell r="A11272">
            <v>8101538</v>
          </cell>
        </row>
        <row r="11273">
          <cell r="A11273">
            <v>8101539</v>
          </cell>
        </row>
        <row r="11274">
          <cell r="A11274">
            <v>8101540</v>
          </cell>
        </row>
        <row r="11275">
          <cell r="A11275">
            <v>8101541</v>
          </cell>
        </row>
        <row r="11276">
          <cell r="A11276">
            <v>8101542</v>
          </cell>
        </row>
        <row r="11277">
          <cell r="A11277">
            <v>8101543</v>
          </cell>
        </row>
        <row r="11278">
          <cell r="A11278">
            <v>8101544</v>
          </cell>
        </row>
        <row r="11279">
          <cell r="A11279">
            <v>8101545</v>
          </cell>
        </row>
        <row r="11280">
          <cell r="A11280">
            <v>8101546</v>
          </cell>
        </row>
        <row r="11281">
          <cell r="A11281">
            <v>8101547</v>
          </cell>
        </row>
        <row r="11282">
          <cell r="A11282">
            <v>8101548</v>
          </cell>
        </row>
        <row r="11283">
          <cell r="A11283">
            <v>8101549</v>
          </cell>
        </row>
        <row r="11284">
          <cell r="A11284">
            <v>8101550</v>
          </cell>
        </row>
        <row r="11285">
          <cell r="A11285">
            <v>8101551</v>
          </cell>
        </row>
        <row r="11286">
          <cell r="A11286">
            <v>8101552</v>
          </cell>
        </row>
        <row r="11287">
          <cell r="A11287">
            <v>8101553</v>
          </cell>
        </row>
        <row r="11288">
          <cell r="A11288">
            <v>8101554</v>
          </cell>
        </row>
        <row r="11289">
          <cell r="A11289">
            <v>8101555</v>
          </cell>
        </row>
        <row r="11290">
          <cell r="A11290">
            <v>8101556</v>
          </cell>
        </row>
        <row r="11291">
          <cell r="A11291">
            <v>8101557</v>
          </cell>
        </row>
        <row r="11292">
          <cell r="A11292">
            <v>8101558</v>
          </cell>
        </row>
        <row r="11293">
          <cell r="A11293">
            <v>8101601</v>
          </cell>
        </row>
        <row r="11294">
          <cell r="A11294">
            <v>8101602</v>
          </cell>
        </row>
        <row r="11295">
          <cell r="A11295">
            <v>8101603</v>
          </cell>
        </row>
        <row r="11296">
          <cell r="A11296">
            <v>8101604</v>
          </cell>
        </row>
        <row r="11297">
          <cell r="A11297">
            <v>8101605</v>
          </cell>
        </row>
        <row r="11298">
          <cell r="A11298">
            <v>8101606</v>
          </cell>
        </row>
        <row r="11299">
          <cell r="A11299">
            <v>8101607</v>
          </cell>
        </row>
        <row r="11300">
          <cell r="A11300">
            <v>8101608</v>
          </cell>
        </row>
        <row r="11301">
          <cell r="A11301">
            <v>8101609</v>
          </cell>
        </row>
        <row r="11302">
          <cell r="A11302">
            <v>8101610</v>
          </cell>
        </row>
        <row r="11303">
          <cell r="A11303">
            <v>8101611</v>
          </cell>
        </row>
        <row r="11304">
          <cell r="A11304">
            <v>8101612</v>
          </cell>
        </row>
        <row r="11305">
          <cell r="A11305">
            <v>8101617</v>
          </cell>
        </row>
        <row r="11306">
          <cell r="A11306">
            <v>8101618</v>
          </cell>
        </row>
        <row r="11307">
          <cell r="A11307">
            <v>8101619</v>
          </cell>
        </row>
        <row r="11308">
          <cell r="A11308">
            <v>8101623</v>
          </cell>
        </row>
        <row r="11309">
          <cell r="A11309">
            <v>8101624</v>
          </cell>
        </row>
        <row r="11310">
          <cell r="A11310">
            <v>8101625</v>
          </cell>
        </row>
        <row r="11311">
          <cell r="A11311">
            <v>8101626</v>
          </cell>
        </row>
        <row r="11312">
          <cell r="A11312">
            <v>8101627</v>
          </cell>
        </row>
        <row r="11313">
          <cell r="A11313">
            <v>8101628</v>
          </cell>
        </row>
        <row r="11314">
          <cell r="A11314">
            <v>8101629</v>
          </cell>
        </row>
        <row r="11315">
          <cell r="A11315">
            <v>8101630</v>
          </cell>
        </row>
        <row r="11316">
          <cell r="A11316">
            <v>8101632</v>
          </cell>
        </row>
        <row r="11317">
          <cell r="A11317">
            <v>8101633</v>
          </cell>
        </row>
        <row r="11318">
          <cell r="A11318">
            <v>8101634</v>
          </cell>
        </row>
        <row r="11319">
          <cell r="A11319">
            <v>8101635</v>
          </cell>
        </row>
        <row r="11320">
          <cell r="A11320">
            <v>8101636</v>
          </cell>
        </row>
        <row r="11321">
          <cell r="A11321">
            <v>8101637</v>
          </cell>
        </row>
        <row r="11322">
          <cell r="A11322">
            <v>8101638</v>
          </cell>
        </row>
        <row r="11323">
          <cell r="A11323">
            <v>8101701</v>
          </cell>
        </row>
        <row r="11324">
          <cell r="A11324">
            <v>8101702</v>
          </cell>
        </row>
        <row r="11325">
          <cell r="A11325">
            <v>8101703</v>
          </cell>
        </row>
        <row r="11326">
          <cell r="A11326">
            <v>8101704</v>
          </cell>
        </row>
        <row r="11327">
          <cell r="A11327">
            <v>8101705</v>
          </cell>
        </row>
        <row r="11328">
          <cell r="A11328">
            <v>8101706</v>
          </cell>
        </row>
        <row r="11329">
          <cell r="A11329">
            <v>8101707</v>
          </cell>
        </row>
        <row r="11330">
          <cell r="A11330">
            <v>8101708</v>
          </cell>
        </row>
        <row r="11331">
          <cell r="A11331">
            <v>8101709</v>
          </cell>
        </row>
        <row r="11332">
          <cell r="A11332">
            <v>8101710</v>
          </cell>
        </row>
        <row r="11333">
          <cell r="A11333">
            <v>8101711</v>
          </cell>
        </row>
        <row r="11334">
          <cell r="A11334">
            <v>8101712</v>
          </cell>
        </row>
        <row r="11335">
          <cell r="A11335">
            <v>8101713</v>
          </cell>
        </row>
        <row r="11336">
          <cell r="A11336">
            <v>8101714</v>
          </cell>
        </row>
        <row r="11337">
          <cell r="A11337">
            <v>8101715</v>
          </cell>
        </row>
        <row r="11338">
          <cell r="A11338">
            <v>8101716</v>
          </cell>
        </row>
        <row r="11339">
          <cell r="A11339">
            <v>8101717</v>
          </cell>
        </row>
        <row r="11340">
          <cell r="A11340">
            <v>8101718</v>
          </cell>
        </row>
        <row r="11341">
          <cell r="A11341">
            <v>8101719</v>
          </cell>
        </row>
        <row r="11342">
          <cell r="A11342">
            <v>8101720</v>
          </cell>
        </row>
        <row r="11343">
          <cell r="A11343">
            <v>8101721</v>
          </cell>
        </row>
        <row r="11344">
          <cell r="A11344">
            <v>8101731</v>
          </cell>
        </row>
        <row r="11345">
          <cell r="A11345">
            <v>8101732</v>
          </cell>
        </row>
        <row r="11346">
          <cell r="A11346">
            <v>8101739</v>
          </cell>
        </row>
        <row r="11347">
          <cell r="A11347">
            <v>8101740</v>
          </cell>
        </row>
        <row r="11348">
          <cell r="A11348">
            <v>8101741</v>
          </cell>
        </row>
        <row r="11349">
          <cell r="A11349">
            <v>8101742</v>
          </cell>
        </row>
        <row r="11350">
          <cell r="A11350">
            <v>8101743</v>
          </cell>
        </row>
        <row r="11351">
          <cell r="A11351">
            <v>8101744</v>
          </cell>
        </row>
        <row r="11352">
          <cell r="A11352">
            <v>8101745</v>
          </cell>
        </row>
        <row r="11353">
          <cell r="A11353">
            <v>8101746</v>
          </cell>
        </row>
        <row r="11354">
          <cell r="A11354">
            <v>8101747</v>
          </cell>
        </row>
        <row r="11355">
          <cell r="A11355">
            <v>8101748</v>
          </cell>
        </row>
        <row r="11356">
          <cell r="A11356">
            <v>8101749</v>
          </cell>
        </row>
        <row r="11357">
          <cell r="A11357">
            <v>8101750</v>
          </cell>
        </row>
        <row r="11358">
          <cell r="A11358">
            <v>8101751</v>
          </cell>
        </row>
        <row r="11359">
          <cell r="A11359">
            <v>8101752</v>
          </cell>
        </row>
        <row r="11360">
          <cell r="A11360">
            <v>8101753</v>
          </cell>
        </row>
        <row r="11361">
          <cell r="A11361">
            <v>8101754</v>
          </cell>
        </row>
        <row r="11362">
          <cell r="A11362">
            <v>8102001</v>
          </cell>
        </row>
        <row r="11363">
          <cell r="A11363">
            <v>8102002</v>
          </cell>
        </row>
        <row r="11364">
          <cell r="A11364">
            <v>8102003</v>
          </cell>
        </row>
        <row r="11365">
          <cell r="A11365">
            <v>8102004</v>
          </cell>
        </row>
        <row r="11366">
          <cell r="A11366">
            <v>8102005</v>
          </cell>
        </row>
        <row r="11367">
          <cell r="A11367">
            <v>8102006</v>
          </cell>
        </row>
        <row r="11368">
          <cell r="A11368">
            <v>8102007</v>
          </cell>
        </row>
        <row r="11369">
          <cell r="A11369">
            <v>8102008</v>
          </cell>
        </row>
        <row r="11370">
          <cell r="A11370">
            <v>8102009</v>
          </cell>
        </row>
        <row r="11371">
          <cell r="A11371">
            <v>8102010</v>
          </cell>
        </row>
        <row r="11372">
          <cell r="A11372">
            <v>8102011</v>
          </cell>
        </row>
        <row r="11373">
          <cell r="A11373">
            <v>8102012</v>
          </cell>
        </row>
        <row r="11374">
          <cell r="A11374">
            <v>8102013</v>
          </cell>
        </row>
        <row r="11375">
          <cell r="A11375">
            <v>8102014</v>
          </cell>
        </row>
        <row r="11376">
          <cell r="A11376">
            <v>8102015</v>
          </cell>
        </row>
        <row r="11377">
          <cell r="A11377">
            <v>8102020</v>
          </cell>
        </row>
        <row r="11378">
          <cell r="A11378">
            <v>8102021</v>
          </cell>
        </row>
        <row r="11379">
          <cell r="A11379">
            <v>8102022</v>
          </cell>
        </row>
        <row r="11380">
          <cell r="A11380">
            <v>8102023</v>
          </cell>
        </row>
        <row r="11381">
          <cell r="A11381">
            <v>8102024</v>
          </cell>
        </row>
        <row r="11382">
          <cell r="A11382">
            <v>8102025</v>
          </cell>
        </row>
        <row r="11383">
          <cell r="A11383">
            <v>8102026</v>
          </cell>
        </row>
        <row r="11384">
          <cell r="A11384">
            <v>8102027</v>
          </cell>
        </row>
        <row r="11385">
          <cell r="A11385">
            <v>8102028</v>
          </cell>
        </row>
        <row r="11386">
          <cell r="A11386">
            <v>8102029</v>
          </cell>
        </row>
        <row r="11387">
          <cell r="A11387">
            <v>8102030</v>
          </cell>
        </row>
        <row r="11388">
          <cell r="A11388">
            <v>8102031</v>
          </cell>
        </row>
        <row r="11389">
          <cell r="A11389">
            <v>8102032</v>
          </cell>
        </row>
        <row r="11390">
          <cell r="A11390">
            <v>8102033</v>
          </cell>
        </row>
        <row r="11391">
          <cell r="A11391">
            <v>8102034</v>
          </cell>
        </row>
        <row r="11392">
          <cell r="A11392">
            <v>8102035</v>
          </cell>
        </row>
        <row r="11393">
          <cell r="A11393">
            <v>8102036</v>
          </cell>
        </row>
        <row r="11394">
          <cell r="A11394">
            <v>8102037</v>
          </cell>
        </row>
        <row r="11395">
          <cell r="A11395">
            <v>8102038</v>
          </cell>
        </row>
        <row r="11396">
          <cell r="A11396">
            <v>8102039</v>
          </cell>
        </row>
        <row r="11397">
          <cell r="A11397">
            <v>8102101</v>
          </cell>
        </row>
        <row r="11398">
          <cell r="A11398">
            <v>8102102</v>
          </cell>
        </row>
        <row r="11399">
          <cell r="A11399">
            <v>8102103</v>
          </cell>
        </row>
        <row r="11400">
          <cell r="A11400">
            <v>8102104</v>
          </cell>
        </row>
        <row r="11401">
          <cell r="A11401">
            <v>8102105</v>
          </cell>
        </row>
        <row r="11402">
          <cell r="A11402">
            <v>8102106</v>
          </cell>
        </row>
        <row r="11403">
          <cell r="A11403">
            <v>8102107</v>
          </cell>
        </row>
        <row r="11404">
          <cell r="A11404">
            <v>8102108</v>
          </cell>
        </row>
        <row r="11405">
          <cell r="A11405">
            <v>8102109</v>
          </cell>
        </row>
        <row r="11406">
          <cell r="A11406">
            <v>8102110</v>
          </cell>
        </row>
        <row r="11407">
          <cell r="A11407">
            <v>8102111</v>
          </cell>
        </row>
        <row r="11408">
          <cell r="A11408">
            <v>8102112</v>
          </cell>
        </row>
        <row r="11409">
          <cell r="A11409">
            <v>8102113</v>
          </cell>
        </row>
        <row r="11410">
          <cell r="A11410">
            <v>8102114</v>
          </cell>
        </row>
        <row r="11411">
          <cell r="A11411">
            <v>8102115</v>
          </cell>
        </row>
        <row r="11412">
          <cell r="A11412">
            <v>8102116</v>
          </cell>
        </row>
        <row r="11413">
          <cell r="A11413">
            <v>8102117</v>
          </cell>
        </row>
        <row r="11414">
          <cell r="A11414">
            <v>8102118</v>
          </cell>
        </row>
        <row r="11415">
          <cell r="A11415">
            <v>8102121</v>
          </cell>
        </row>
        <row r="11416">
          <cell r="A11416">
            <v>8102122</v>
          </cell>
        </row>
        <row r="11417">
          <cell r="A11417">
            <v>8102123</v>
          </cell>
        </row>
        <row r="11418">
          <cell r="A11418">
            <v>8102124</v>
          </cell>
        </row>
        <row r="11419">
          <cell r="A11419">
            <v>8102125</v>
          </cell>
        </row>
        <row r="11420">
          <cell r="A11420">
            <v>8102136</v>
          </cell>
        </row>
        <row r="11421">
          <cell r="A11421">
            <v>8102137</v>
          </cell>
        </row>
        <row r="11422">
          <cell r="A11422">
            <v>8102138</v>
          </cell>
        </row>
        <row r="11423">
          <cell r="A11423">
            <v>8102139</v>
          </cell>
        </row>
        <row r="11424">
          <cell r="A11424">
            <v>8102140</v>
          </cell>
        </row>
        <row r="11425">
          <cell r="A11425">
            <v>8102141</v>
          </cell>
        </row>
        <row r="11426">
          <cell r="A11426">
            <v>8102142</v>
          </cell>
        </row>
        <row r="11427">
          <cell r="A11427">
            <v>8102143</v>
          </cell>
        </row>
        <row r="11428">
          <cell r="A11428">
            <v>8102144</v>
          </cell>
        </row>
        <row r="11429">
          <cell r="A11429">
            <v>8102145</v>
          </cell>
        </row>
        <row r="11430">
          <cell r="A11430">
            <v>8102146</v>
          </cell>
        </row>
        <row r="11431">
          <cell r="A11431">
            <v>8102147</v>
          </cell>
        </row>
        <row r="11432">
          <cell r="A11432">
            <v>8102201</v>
          </cell>
        </row>
        <row r="11433">
          <cell r="A11433">
            <v>8102202</v>
          </cell>
        </row>
        <row r="11434">
          <cell r="A11434">
            <v>8102203</v>
          </cell>
        </row>
        <row r="11435">
          <cell r="A11435">
            <v>8102204</v>
          </cell>
        </row>
        <row r="11436">
          <cell r="A11436">
            <v>8102205</v>
          </cell>
        </row>
        <row r="11437">
          <cell r="A11437">
            <v>8102206</v>
          </cell>
        </row>
        <row r="11438">
          <cell r="A11438">
            <v>8102207</v>
          </cell>
        </row>
        <row r="11439">
          <cell r="A11439">
            <v>8102208</v>
          </cell>
        </row>
        <row r="11440">
          <cell r="A11440">
            <v>8102209</v>
          </cell>
        </row>
        <row r="11441">
          <cell r="A11441">
            <v>8102210</v>
          </cell>
        </row>
        <row r="11442">
          <cell r="A11442">
            <v>8102211</v>
          </cell>
        </row>
        <row r="11443">
          <cell r="A11443">
            <v>8102212</v>
          </cell>
        </row>
        <row r="11444">
          <cell r="A11444">
            <v>8102213</v>
          </cell>
        </row>
        <row r="11445">
          <cell r="A11445">
            <v>8102214</v>
          </cell>
        </row>
        <row r="11446">
          <cell r="A11446">
            <v>8102215</v>
          </cell>
        </row>
        <row r="11447">
          <cell r="A11447">
            <v>8102216</v>
          </cell>
        </row>
        <row r="11448">
          <cell r="A11448">
            <v>8102217</v>
          </cell>
        </row>
        <row r="11449">
          <cell r="A11449">
            <v>8102218</v>
          </cell>
        </row>
        <row r="11450">
          <cell r="A11450">
            <v>8102219</v>
          </cell>
        </row>
        <row r="11451">
          <cell r="A11451">
            <v>8102220</v>
          </cell>
        </row>
        <row r="11452">
          <cell r="A11452">
            <v>8102221</v>
          </cell>
        </row>
        <row r="11453">
          <cell r="A11453">
            <v>8102222</v>
          </cell>
        </row>
        <row r="11454">
          <cell r="A11454">
            <v>8102223</v>
          </cell>
        </row>
        <row r="11455">
          <cell r="A11455">
            <v>8102229</v>
          </cell>
        </row>
        <row r="11456">
          <cell r="A11456">
            <v>8102230</v>
          </cell>
        </row>
        <row r="11457">
          <cell r="A11457">
            <v>8102231</v>
          </cell>
        </row>
        <row r="11458">
          <cell r="A11458">
            <v>8102232</v>
          </cell>
        </row>
        <row r="11459">
          <cell r="A11459">
            <v>8102233</v>
          </cell>
        </row>
        <row r="11460">
          <cell r="A11460">
            <v>8102234</v>
          </cell>
        </row>
        <row r="11461">
          <cell r="A11461">
            <v>8102235</v>
          </cell>
        </row>
        <row r="11462">
          <cell r="A11462">
            <v>8102236</v>
          </cell>
        </row>
        <row r="11463">
          <cell r="A11463">
            <v>8102237</v>
          </cell>
        </row>
        <row r="11464">
          <cell r="A11464">
            <v>8102238</v>
          </cell>
        </row>
        <row r="11465">
          <cell r="A11465">
            <v>8102239</v>
          </cell>
        </row>
        <row r="11466">
          <cell r="A11466">
            <v>8102240</v>
          </cell>
        </row>
        <row r="11467">
          <cell r="A11467">
            <v>8102241</v>
          </cell>
        </row>
        <row r="11468">
          <cell r="A11468">
            <v>8102242</v>
          </cell>
        </row>
        <row r="11469">
          <cell r="A11469">
            <v>8102243</v>
          </cell>
        </row>
        <row r="11470">
          <cell r="A11470">
            <v>8102245</v>
          </cell>
        </row>
        <row r="11471">
          <cell r="A11471">
            <v>8102246</v>
          </cell>
        </row>
        <row r="11472">
          <cell r="A11472">
            <v>8102247</v>
          </cell>
        </row>
        <row r="11473">
          <cell r="A11473">
            <v>8102248</v>
          </cell>
        </row>
        <row r="11474">
          <cell r="A11474">
            <v>8102249</v>
          </cell>
        </row>
        <row r="11475">
          <cell r="A11475">
            <v>8102250</v>
          </cell>
        </row>
        <row r="11476">
          <cell r="A11476">
            <v>8102251</v>
          </cell>
        </row>
        <row r="11477">
          <cell r="A11477">
            <v>8102252</v>
          </cell>
        </row>
        <row r="11478">
          <cell r="A11478">
            <v>8102254</v>
          </cell>
        </row>
        <row r="11479">
          <cell r="A11479">
            <v>8102255</v>
          </cell>
        </row>
        <row r="11480">
          <cell r="A11480">
            <v>8102258</v>
          </cell>
        </row>
        <row r="11481">
          <cell r="A11481">
            <v>8102259</v>
          </cell>
        </row>
        <row r="11482">
          <cell r="A11482">
            <v>8102310</v>
          </cell>
        </row>
        <row r="11483">
          <cell r="A11483">
            <v>8102311</v>
          </cell>
        </row>
        <row r="11484">
          <cell r="A11484">
            <v>8102312</v>
          </cell>
        </row>
        <row r="11485">
          <cell r="A11485">
            <v>8102313</v>
          </cell>
        </row>
        <row r="11486">
          <cell r="A11486">
            <v>8102314</v>
          </cell>
        </row>
        <row r="11487">
          <cell r="A11487">
            <v>8102315</v>
          </cell>
        </row>
        <row r="11488">
          <cell r="A11488">
            <v>8102316</v>
          </cell>
        </row>
        <row r="11489">
          <cell r="A11489">
            <v>8102317</v>
          </cell>
        </row>
        <row r="11490">
          <cell r="A11490">
            <v>8102318</v>
          </cell>
        </row>
        <row r="11491">
          <cell r="A11491">
            <v>8102319</v>
          </cell>
        </row>
        <row r="11492">
          <cell r="A11492">
            <v>8102401</v>
          </cell>
        </row>
        <row r="11493">
          <cell r="A11493">
            <v>8102402</v>
          </cell>
        </row>
        <row r="11494">
          <cell r="A11494">
            <v>8102403</v>
          </cell>
        </row>
        <row r="11495">
          <cell r="A11495">
            <v>8102404</v>
          </cell>
        </row>
        <row r="11496">
          <cell r="A11496">
            <v>8102405</v>
          </cell>
        </row>
        <row r="11497">
          <cell r="A11497">
            <v>8102406</v>
          </cell>
        </row>
        <row r="11498">
          <cell r="A11498">
            <v>8102407</v>
          </cell>
        </row>
        <row r="11499">
          <cell r="A11499">
            <v>8102408</v>
          </cell>
        </row>
        <row r="11500">
          <cell r="A11500">
            <v>8102409</v>
          </cell>
        </row>
        <row r="11501">
          <cell r="A11501">
            <v>8102410</v>
          </cell>
        </row>
        <row r="11502">
          <cell r="A11502">
            <v>8102411</v>
          </cell>
        </row>
        <row r="11503">
          <cell r="A11503">
            <v>8102412</v>
          </cell>
        </row>
        <row r="11504">
          <cell r="A11504">
            <v>8102413</v>
          </cell>
        </row>
        <row r="11505">
          <cell r="A11505">
            <v>8102414</v>
          </cell>
        </row>
        <row r="11506">
          <cell r="A11506">
            <v>8102415</v>
          </cell>
        </row>
        <row r="11507">
          <cell r="A11507">
            <v>8102416</v>
          </cell>
        </row>
        <row r="11508">
          <cell r="A11508">
            <v>8102417</v>
          </cell>
        </row>
        <row r="11509">
          <cell r="A11509">
            <v>8102418</v>
          </cell>
        </row>
        <row r="11510">
          <cell r="A11510">
            <v>8102419</v>
          </cell>
        </row>
        <row r="11511">
          <cell r="A11511">
            <v>8102420</v>
          </cell>
        </row>
        <row r="11512">
          <cell r="A11512">
            <v>8102425</v>
          </cell>
        </row>
        <row r="11513">
          <cell r="A11513">
            <v>8102426</v>
          </cell>
        </row>
        <row r="11514">
          <cell r="A11514">
            <v>8102427</v>
          </cell>
        </row>
        <row r="11515">
          <cell r="A11515">
            <v>8102428</v>
          </cell>
        </row>
        <row r="11516">
          <cell r="A11516">
            <v>8102429</v>
          </cell>
        </row>
        <row r="11517">
          <cell r="A11517">
            <v>8102430</v>
          </cell>
        </row>
        <row r="11518">
          <cell r="A11518">
            <v>8102431</v>
          </cell>
        </row>
        <row r="11519">
          <cell r="A11519">
            <v>8102432</v>
          </cell>
        </row>
        <row r="11520">
          <cell r="A11520">
            <v>8102433</v>
          </cell>
        </row>
        <row r="11521">
          <cell r="A11521">
            <v>8102434</v>
          </cell>
        </row>
        <row r="11522">
          <cell r="A11522">
            <v>8102435</v>
          </cell>
        </row>
        <row r="11523">
          <cell r="A11523">
            <v>8102436</v>
          </cell>
        </row>
        <row r="11524">
          <cell r="A11524">
            <v>8102437</v>
          </cell>
        </row>
        <row r="11525">
          <cell r="A11525">
            <v>8102438</v>
          </cell>
        </row>
        <row r="11526">
          <cell r="A11526">
            <v>8102439</v>
          </cell>
        </row>
        <row r="11527">
          <cell r="A11527">
            <v>8102440</v>
          </cell>
        </row>
        <row r="11528">
          <cell r="A11528">
            <v>8102441</v>
          </cell>
        </row>
        <row r="11529">
          <cell r="A11529">
            <v>8102442</v>
          </cell>
        </row>
        <row r="11530">
          <cell r="A11530">
            <v>8102443</v>
          </cell>
        </row>
        <row r="11531">
          <cell r="A11531">
            <v>8102444</v>
          </cell>
        </row>
        <row r="11532">
          <cell r="A11532">
            <v>8102445</v>
          </cell>
        </row>
        <row r="11533">
          <cell r="A11533">
            <v>8102446</v>
          </cell>
        </row>
        <row r="11534">
          <cell r="A11534">
            <v>8102447</v>
          </cell>
        </row>
        <row r="11535">
          <cell r="A11535">
            <v>8102501</v>
          </cell>
        </row>
        <row r="11536">
          <cell r="A11536">
            <v>8102502</v>
          </cell>
        </row>
        <row r="11537">
          <cell r="A11537">
            <v>8102503</v>
          </cell>
        </row>
        <row r="11538">
          <cell r="A11538">
            <v>8102504</v>
          </cell>
        </row>
        <row r="11539">
          <cell r="A11539">
            <v>8102505</v>
          </cell>
        </row>
        <row r="11540">
          <cell r="A11540">
            <v>8102506</v>
          </cell>
        </row>
        <row r="11541">
          <cell r="A11541">
            <v>8102507</v>
          </cell>
        </row>
        <row r="11542">
          <cell r="A11542">
            <v>8102508</v>
          </cell>
        </row>
        <row r="11543">
          <cell r="A11543">
            <v>8102509</v>
          </cell>
        </row>
        <row r="11544">
          <cell r="A11544">
            <v>8102510</v>
          </cell>
        </row>
        <row r="11545">
          <cell r="A11545">
            <v>8102511</v>
          </cell>
        </row>
        <row r="11546">
          <cell r="A11546">
            <v>8102512</v>
          </cell>
        </row>
        <row r="11547">
          <cell r="A11547">
            <v>8102513</v>
          </cell>
        </row>
        <row r="11548">
          <cell r="A11548">
            <v>8102514</v>
          </cell>
        </row>
        <row r="11549">
          <cell r="A11549">
            <v>8102515</v>
          </cell>
        </row>
        <row r="11550">
          <cell r="A11550">
            <v>8102516</v>
          </cell>
        </row>
        <row r="11551">
          <cell r="A11551">
            <v>8102517</v>
          </cell>
        </row>
        <row r="11552">
          <cell r="A11552">
            <v>8102518</v>
          </cell>
        </row>
        <row r="11553">
          <cell r="A11553">
            <v>8102519</v>
          </cell>
        </row>
        <row r="11554">
          <cell r="A11554">
            <v>8102520</v>
          </cell>
        </row>
        <row r="11555">
          <cell r="A11555">
            <v>8102521</v>
          </cell>
        </row>
        <row r="11556">
          <cell r="A11556">
            <v>8102522</v>
          </cell>
        </row>
        <row r="11557">
          <cell r="A11557">
            <v>8102523</v>
          </cell>
        </row>
        <row r="11558">
          <cell r="A11558">
            <v>8102524</v>
          </cell>
        </row>
        <row r="11559">
          <cell r="A11559">
            <v>8102525</v>
          </cell>
        </row>
        <row r="11560">
          <cell r="A11560">
            <v>8102526</v>
          </cell>
        </row>
        <row r="11561">
          <cell r="A11561">
            <v>8102527</v>
          </cell>
        </row>
        <row r="11562">
          <cell r="A11562">
            <v>8102528</v>
          </cell>
        </row>
        <row r="11563">
          <cell r="A11563">
            <v>8102533</v>
          </cell>
        </row>
        <row r="11564">
          <cell r="A11564">
            <v>8102534</v>
          </cell>
        </row>
        <row r="11565">
          <cell r="A11565">
            <v>8102541</v>
          </cell>
        </row>
        <row r="11566">
          <cell r="A11566">
            <v>8102542</v>
          </cell>
        </row>
        <row r="11567">
          <cell r="A11567">
            <v>8102543</v>
          </cell>
        </row>
        <row r="11568">
          <cell r="A11568">
            <v>8102544</v>
          </cell>
        </row>
        <row r="11569">
          <cell r="A11569">
            <v>8102545</v>
          </cell>
        </row>
        <row r="11570">
          <cell r="A11570">
            <v>8102546</v>
          </cell>
        </row>
        <row r="11571">
          <cell r="A11571">
            <v>8102547</v>
          </cell>
        </row>
        <row r="11572">
          <cell r="A11572">
            <v>8102548</v>
          </cell>
        </row>
        <row r="11573">
          <cell r="A11573">
            <v>8102549</v>
          </cell>
        </row>
        <row r="11574">
          <cell r="A11574">
            <v>8102550</v>
          </cell>
        </row>
        <row r="11575">
          <cell r="A11575">
            <v>8102551</v>
          </cell>
        </row>
        <row r="11576">
          <cell r="A11576">
            <v>8102552</v>
          </cell>
        </row>
        <row r="11577">
          <cell r="A11577">
            <v>8102553</v>
          </cell>
        </row>
        <row r="11578">
          <cell r="A11578">
            <v>8102554</v>
          </cell>
        </row>
        <row r="11579">
          <cell r="A11579">
            <v>8102555</v>
          </cell>
        </row>
        <row r="11580">
          <cell r="A11580">
            <v>8102556</v>
          </cell>
        </row>
        <row r="11581">
          <cell r="A11581">
            <v>8102557</v>
          </cell>
        </row>
        <row r="11582">
          <cell r="A11582">
            <v>8102701</v>
          </cell>
        </row>
        <row r="11583">
          <cell r="A11583">
            <v>8102702</v>
          </cell>
        </row>
        <row r="11584">
          <cell r="A11584">
            <v>8102703</v>
          </cell>
        </row>
        <row r="11585">
          <cell r="A11585">
            <v>8102704</v>
          </cell>
        </row>
        <row r="11586">
          <cell r="A11586">
            <v>8102705</v>
          </cell>
        </row>
        <row r="11587">
          <cell r="A11587">
            <v>8102706</v>
          </cell>
        </row>
        <row r="11588">
          <cell r="A11588">
            <v>8102707</v>
          </cell>
        </row>
        <row r="11589">
          <cell r="A11589">
            <v>8102708</v>
          </cell>
        </row>
        <row r="11590">
          <cell r="A11590">
            <v>8102709</v>
          </cell>
        </row>
        <row r="11591">
          <cell r="A11591">
            <v>8102710</v>
          </cell>
        </row>
        <row r="11592">
          <cell r="A11592">
            <v>8102711</v>
          </cell>
        </row>
        <row r="11593">
          <cell r="A11593">
            <v>8102712</v>
          </cell>
        </row>
        <row r="11594">
          <cell r="A11594">
            <v>8102713</v>
          </cell>
        </row>
        <row r="11595">
          <cell r="A11595">
            <v>8102714</v>
          </cell>
        </row>
        <row r="11596">
          <cell r="A11596">
            <v>8102715</v>
          </cell>
        </row>
        <row r="11597">
          <cell r="A11597">
            <v>8102716</v>
          </cell>
        </row>
        <row r="11598">
          <cell r="A11598">
            <v>8102717</v>
          </cell>
        </row>
        <row r="11599">
          <cell r="A11599">
            <v>8102718</v>
          </cell>
        </row>
        <row r="11600">
          <cell r="A11600">
            <v>8102719</v>
          </cell>
        </row>
        <row r="11601">
          <cell r="A11601">
            <v>8102720</v>
          </cell>
        </row>
        <row r="11602">
          <cell r="A11602">
            <v>8102721</v>
          </cell>
        </row>
        <row r="11603">
          <cell r="A11603">
            <v>8102722</v>
          </cell>
        </row>
        <row r="11604">
          <cell r="A11604">
            <v>8102723</v>
          </cell>
        </row>
        <row r="11605">
          <cell r="A11605">
            <v>8102724</v>
          </cell>
        </row>
        <row r="11606">
          <cell r="A11606">
            <v>8102725</v>
          </cell>
        </row>
        <row r="11607">
          <cell r="A11607">
            <v>8102726</v>
          </cell>
        </row>
        <row r="11608">
          <cell r="A11608">
            <v>8102727</v>
          </cell>
        </row>
        <row r="11609">
          <cell r="A11609">
            <v>8102728</v>
          </cell>
        </row>
        <row r="11610">
          <cell r="A11610">
            <v>8102729</v>
          </cell>
        </row>
        <row r="11611">
          <cell r="A11611">
            <v>8102730</v>
          </cell>
        </row>
        <row r="11612">
          <cell r="A11612">
            <v>8102731</v>
          </cell>
        </row>
        <row r="11613">
          <cell r="A11613">
            <v>8102732</v>
          </cell>
        </row>
        <row r="11614">
          <cell r="A11614">
            <v>8102733</v>
          </cell>
        </row>
        <row r="11615">
          <cell r="A11615">
            <v>8102734</v>
          </cell>
        </row>
        <row r="11616">
          <cell r="A11616">
            <v>8102735</v>
          </cell>
        </row>
        <row r="11617">
          <cell r="A11617">
            <v>8102736</v>
          </cell>
        </row>
        <row r="11618">
          <cell r="A11618">
            <v>8102739</v>
          </cell>
        </row>
        <row r="11619">
          <cell r="A11619">
            <v>8102740</v>
          </cell>
        </row>
        <row r="11620">
          <cell r="A11620">
            <v>8102741</v>
          </cell>
        </row>
        <row r="11621">
          <cell r="A11621">
            <v>8102742</v>
          </cell>
        </row>
        <row r="11622">
          <cell r="A11622">
            <v>8102743</v>
          </cell>
        </row>
        <row r="11623">
          <cell r="A11623">
            <v>8102744</v>
          </cell>
        </row>
        <row r="11624">
          <cell r="A11624">
            <v>8102745</v>
          </cell>
        </row>
        <row r="11625">
          <cell r="A11625">
            <v>8102746</v>
          </cell>
        </row>
        <row r="11626">
          <cell r="A11626">
            <v>8102747</v>
          </cell>
        </row>
        <row r="11627">
          <cell r="A11627">
            <v>8102748</v>
          </cell>
        </row>
        <row r="11628">
          <cell r="A11628">
            <v>8102749</v>
          </cell>
        </row>
        <row r="11629">
          <cell r="A11629">
            <v>8102750</v>
          </cell>
        </row>
        <row r="11630">
          <cell r="A11630">
            <v>8102751</v>
          </cell>
        </row>
        <row r="11631">
          <cell r="A11631">
            <v>8102752</v>
          </cell>
        </row>
        <row r="11632">
          <cell r="A11632">
            <v>8102753</v>
          </cell>
        </row>
        <row r="11633">
          <cell r="A11633">
            <v>8102754</v>
          </cell>
        </row>
        <row r="11634">
          <cell r="A11634">
            <v>8102755</v>
          </cell>
        </row>
        <row r="11635">
          <cell r="A11635">
            <v>8102756</v>
          </cell>
        </row>
        <row r="11636">
          <cell r="A11636">
            <v>8102757</v>
          </cell>
        </row>
        <row r="11637">
          <cell r="A11637">
            <v>8102758</v>
          </cell>
        </row>
        <row r="11638">
          <cell r="A11638">
            <v>8102801</v>
          </cell>
        </row>
        <row r="11639">
          <cell r="A11639">
            <v>8102802</v>
          </cell>
        </row>
        <row r="11640">
          <cell r="A11640">
            <v>8102803</v>
          </cell>
        </row>
        <row r="11641">
          <cell r="A11641">
            <v>8102804</v>
          </cell>
        </row>
        <row r="11642">
          <cell r="A11642">
            <v>8102805</v>
          </cell>
        </row>
        <row r="11643">
          <cell r="A11643">
            <v>8102806</v>
          </cell>
        </row>
        <row r="11644">
          <cell r="A11644">
            <v>8102807</v>
          </cell>
        </row>
        <row r="11645">
          <cell r="A11645">
            <v>8102808</v>
          </cell>
        </row>
        <row r="11646">
          <cell r="A11646">
            <v>8102809</v>
          </cell>
        </row>
        <row r="11647">
          <cell r="A11647">
            <v>8102810</v>
          </cell>
        </row>
        <row r="11648">
          <cell r="A11648">
            <v>8102811</v>
          </cell>
        </row>
        <row r="11649">
          <cell r="A11649">
            <v>8102812</v>
          </cell>
        </row>
        <row r="11650">
          <cell r="A11650">
            <v>8102813</v>
          </cell>
        </row>
        <row r="11651">
          <cell r="A11651">
            <v>8102814</v>
          </cell>
        </row>
        <row r="11652">
          <cell r="A11652">
            <v>8102815</v>
          </cell>
        </row>
        <row r="11653">
          <cell r="A11653">
            <v>8102816</v>
          </cell>
        </row>
        <row r="11654">
          <cell r="A11654">
            <v>8102817</v>
          </cell>
        </row>
        <row r="11655">
          <cell r="A11655">
            <v>8102818</v>
          </cell>
        </row>
        <row r="11656">
          <cell r="A11656">
            <v>8102819</v>
          </cell>
        </row>
        <row r="11657">
          <cell r="A11657">
            <v>8102820</v>
          </cell>
        </row>
        <row r="11658">
          <cell r="A11658">
            <v>8102821</v>
          </cell>
        </row>
        <row r="11659">
          <cell r="A11659">
            <v>8102822</v>
          </cell>
        </row>
        <row r="11660">
          <cell r="A11660">
            <v>8102823</v>
          </cell>
        </row>
        <row r="11661">
          <cell r="A11661">
            <v>8102824</v>
          </cell>
        </row>
        <row r="11662">
          <cell r="A11662">
            <v>8102825</v>
          </cell>
        </row>
        <row r="11663">
          <cell r="A11663">
            <v>8102826</v>
          </cell>
        </row>
        <row r="11664">
          <cell r="A11664">
            <v>8102827</v>
          </cell>
        </row>
        <row r="11665">
          <cell r="A11665">
            <v>8102828</v>
          </cell>
        </row>
        <row r="11666">
          <cell r="A11666">
            <v>8102829</v>
          </cell>
        </row>
        <row r="11667">
          <cell r="A11667">
            <v>8102830</v>
          </cell>
        </row>
        <row r="11668">
          <cell r="A11668">
            <v>8102831</v>
          </cell>
        </row>
        <row r="11669">
          <cell r="A11669">
            <v>8102832</v>
          </cell>
        </row>
        <row r="11670">
          <cell r="A11670">
            <v>8102833</v>
          </cell>
        </row>
        <row r="11671">
          <cell r="A11671">
            <v>8102834</v>
          </cell>
        </row>
        <row r="11672">
          <cell r="A11672">
            <v>8102835</v>
          </cell>
        </row>
        <row r="11673">
          <cell r="A11673">
            <v>8102836</v>
          </cell>
        </row>
        <row r="11674">
          <cell r="A11674">
            <v>8102837</v>
          </cell>
        </row>
        <row r="11675">
          <cell r="A11675">
            <v>8102838</v>
          </cell>
        </row>
        <row r="11676">
          <cell r="A11676">
            <v>8102839</v>
          </cell>
        </row>
        <row r="11677">
          <cell r="A11677">
            <v>8102840</v>
          </cell>
        </row>
        <row r="11678">
          <cell r="A11678">
            <v>8102841</v>
          </cell>
        </row>
        <row r="11679">
          <cell r="A11679">
            <v>8102842</v>
          </cell>
        </row>
        <row r="11680">
          <cell r="A11680">
            <v>8102843</v>
          </cell>
        </row>
        <row r="11681">
          <cell r="A11681">
            <v>8102844</v>
          </cell>
        </row>
        <row r="11682">
          <cell r="A11682">
            <v>8102845</v>
          </cell>
        </row>
        <row r="11683">
          <cell r="A11683">
            <v>8102846</v>
          </cell>
        </row>
        <row r="11684">
          <cell r="A11684">
            <v>8102847</v>
          </cell>
        </row>
        <row r="11685">
          <cell r="A11685">
            <v>8102848</v>
          </cell>
        </row>
        <row r="11686">
          <cell r="A11686">
            <v>8102849</v>
          </cell>
        </row>
        <row r="11687">
          <cell r="A11687">
            <v>8102850</v>
          </cell>
        </row>
        <row r="11688">
          <cell r="A11688">
            <v>8102851</v>
          </cell>
        </row>
        <row r="11689">
          <cell r="A11689">
            <v>8102852</v>
          </cell>
        </row>
        <row r="11690">
          <cell r="A11690">
            <v>8102853</v>
          </cell>
        </row>
        <row r="11691">
          <cell r="A11691">
            <v>8102854</v>
          </cell>
        </row>
        <row r="11692">
          <cell r="A11692">
            <v>8102855</v>
          </cell>
        </row>
        <row r="11693">
          <cell r="A11693">
            <v>8102856</v>
          </cell>
        </row>
        <row r="11694">
          <cell r="A11694">
            <v>8102857</v>
          </cell>
        </row>
        <row r="11695">
          <cell r="A11695">
            <v>8102858</v>
          </cell>
        </row>
        <row r="11696">
          <cell r="A11696">
            <v>8102859</v>
          </cell>
        </row>
        <row r="11697">
          <cell r="A11697">
            <v>8102860</v>
          </cell>
        </row>
        <row r="11698">
          <cell r="A11698">
            <v>8102861</v>
          </cell>
        </row>
        <row r="11699">
          <cell r="A11699">
            <v>8102901</v>
          </cell>
        </row>
        <row r="11700">
          <cell r="A11700">
            <v>8102902</v>
          </cell>
        </row>
        <row r="11701">
          <cell r="A11701">
            <v>8102903</v>
          </cell>
        </row>
        <row r="11702">
          <cell r="A11702">
            <v>8102904</v>
          </cell>
        </row>
        <row r="11703">
          <cell r="A11703">
            <v>8102905</v>
          </cell>
        </row>
        <row r="11704">
          <cell r="A11704">
            <v>8102906</v>
          </cell>
        </row>
        <row r="11705">
          <cell r="A11705">
            <v>8102907</v>
          </cell>
        </row>
        <row r="11706">
          <cell r="A11706">
            <v>8102908</v>
          </cell>
        </row>
        <row r="11707">
          <cell r="A11707">
            <v>8102909</v>
          </cell>
        </row>
        <row r="11708">
          <cell r="A11708">
            <v>8102910</v>
          </cell>
        </row>
        <row r="11709">
          <cell r="A11709">
            <v>8102911</v>
          </cell>
        </row>
        <row r="11710">
          <cell r="A11710">
            <v>8102912</v>
          </cell>
        </row>
        <row r="11711">
          <cell r="A11711">
            <v>8102913</v>
          </cell>
        </row>
        <row r="11712">
          <cell r="A11712">
            <v>8102914</v>
          </cell>
        </row>
        <row r="11713">
          <cell r="A11713">
            <v>8102915</v>
          </cell>
        </row>
        <row r="11714">
          <cell r="A11714">
            <v>8102916</v>
          </cell>
        </row>
        <row r="11715">
          <cell r="A11715">
            <v>8102917</v>
          </cell>
        </row>
        <row r="11716">
          <cell r="A11716">
            <v>8102918</v>
          </cell>
        </row>
        <row r="11717">
          <cell r="A11717">
            <v>8102919</v>
          </cell>
        </row>
        <row r="11718">
          <cell r="A11718">
            <v>8102920</v>
          </cell>
        </row>
        <row r="11719">
          <cell r="A11719">
            <v>8102921</v>
          </cell>
        </row>
        <row r="11720">
          <cell r="A11720">
            <v>8102922</v>
          </cell>
        </row>
        <row r="11721">
          <cell r="A11721">
            <v>8102923</v>
          </cell>
        </row>
        <row r="11722">
          <cell r="A11722">
            <v>8102924</v>
          </cell>
        </row>
        <row r="11723">
          <cell r="A11723">
            <v>8102925</v>
          </cell>
        </row>
        <row r="11724">
          <cell r="A11724">
            <v>8102926</v>
          </cell>
        </row>
        <row r="11725">
          <cell r="A11725">
            <v>8102927</v>
          </cell>
        </row>
        <row r="11726">
          <cell r="A11726">
            <v>8102928</v>
          </cell>
        </row>
        <row r="11727">
          <cell r="A11727">
            <v>8102929</v>
          </cell>
        </row>
        <row r="11728">
          <cell r="A11728">
            <v>8102930</v>
          </cell>
        </row>
        <row r="11729">
          <cell r="A11729">
            <v>8102931</v>
          </cell>
        </row>
        <row r="11730">
          <cell r="A11730">
            <v>8102932</v>
          </cell>
        </row>
        <row r="11731">
          <cell r="A11731">
            <v>8102933</v>
          </cell>
        </row>
        <row r="11732">
          <cell r="A11732">
            <v>8102934</v>
          </cell>
        </row>
        <row r="11733">
          <cell r="A11733">
            <v>8102935</v>
          </cell>
        </row>
        <row r="11734">
          <cell r="A11734">
            <v>8102936</v>
          </cell>
        </row>
        <row r="11735">
          <cell r="A11735">
            <v>8102937</v>
          </cell>
        </row>
        <row r="11736">
          <cell r="A11736">
            <v>8102938</v>
          </cell>
        </row>
        <row r="11737">
          <cell r="A11737">
            <v>8102939</v>
          </cell>
        </row>
        <row r="11738">
          <cell r="A11738">
            <v>8102940</v>
          </cell>
        </row>
        <row r="11739">
          <cell r="A11739">
            <v>8102941</v>
          </cell>
        </row>
        <row r="11740">
          <cell r="A11740">
            <v>8102942</v>
          </cell>
        </row>
        <row r="11741">
          <cell r="A11741">
            <v>8102943</v>
          </cell>
        </row>
        <row r="11742">
          <cell r="A11742">
            <v>8103001</v>
          </cell>
        </row>
        <row r="11743">
          <cell r="A11743">
            <v>8103002</v>
          </cell>
        </row>
        <row r="11744">
          <cell r="A11744">
            <v>8103003</v>
          </cell>
        </row>
        <row r="11745">
          <cell r="A11745">
            <v>8103004</v>
          </cell>
        </row>
        <row r="11746">
          <cell r="A11746">
            <v>8103005</v>
          </cell>
        </row>
        <row r="11747">
          <cell r="A11747">
            <v>8103006</v>
          </cell>
        </row>
        <row r="11748">
          <cell r="A11748">
            <v>8103007</v>
          </cell>
        </row>
        <row r="11749">
          <cell r="A11749">
            <v>8103008</v>
          </cell>
        </row>
        <row r="11750">
          <cell r="A11750">
            <v>8103009</v>
          </cell>
        </row>
        <row r="11751">
          <cell r="A11751">
            <v>8103010</v>
          </cell>
        </row>
        <row r="11752">
          <cell r="A11752">
            <v>8103011</v>
          </cell>
        </row>
        <row r="11753">
          <cell r="A11753">
            <v>8103012</v>
          </cell>
        </row>
        <row r="11754">
          <cell r="A11754">
            <v>8103013</v>
          </cell>
        </row>
        <row r="11755">
          <cell r="A11755">
            <v>8103014</v>
          </cell>
        </row>
        <row r="11756">
          <cell r="A11756">
            <v>8103015</v>
          </cell>
        </row>
        <row r="11757">
          <cell r="A11757">
            <v>8103016</v>
          </cell>
        </row>
        <row r="11758">
          <cell r="A11758">
            <v>8103017</v>
          </cell>
        </row>
        <row r="11759">
          <cell r="A11759">
            <v>8103018</v>
          </cell>
        </row>
        <row r="11760">
          <cell r="A11760">
            <v>8103019</v>
          </cell>
        </row>
        <row r="11761">
          <cell r="A11761">
            <v>8103020</v>
          </cell>
        </row>
        <row r="11762">
          <cell r="A11762">
            <v>8103021</v>
          </cell>
        </row>
        <row r="11763">
          <cell r="A11763">
            <v>8103022</v>
          </cell>
        </row>
        <row r="11764">
          <cell r="A11764">
            <v>8103023</v>
          </cell>
        </row>
        <row r="11765">
          <cell r="A11765">
            <v>8103024</v>
          </cell>
        </row>
        <row r="11766">
          <cell r="A11766">
            <v>8103025</v>
          </cell>
        </row>
        <row r="11767">
          <cell r="A11767">
            <v>8103026</v>
          </cell>
        </row>
        <row r="11768">
          <cell r="A11768">
            <v>8103027</v>
          </cell>
        </row>
        <row r="11769">
          <cell r="A11769">
            <v>8103028</v>
          </cell>
        </row>
        <row r="11770">
          <cell r="A11770">
            <v>8103029</v>
          </cell>
        </row>
        <row r="11771">
          <cell r="A11771">
            <v>8103040</v>
          </cell>
        </row>
        <row r="11772">
          <cell r="A11772">
            <v>8103041</v>
          </cell>
        </row>
        <row r="11773">
          <cell r="A11773">
            <v>8103042</v>
          </cell>
        </row>
        <row r="11774">
          <cell r="A11774">
            <v>8103043</v>
          </cell>
        </row>
        <row r="11775">
          <cell r="A11775">
            <v>8103044</v>
          </cell>
        </row>
        <row r="11776">
          <cell r="A11776">
            <v>8103045</v>
          </cell>
        </row>
        <row r="11777">
          <cell r="A11777">
            <v>8103101</v>
          </cell>
        </row>
        <row r="11778">
          <cell r="A11778">
            <v>8103102</v>
          </cell>
        </row>
        <row r="11779">
          <cell r="A11779">
            <v>8103115</v>
          </cell>
        </row>
        <row r="11780">
          <cell r="A11780">
            <v>8103116</v>
          </cell>
        </row>
        <row r="11781">
          <cell r="A11781">
            <v>8103117</v>
          </cell>
        </row>
        <row r="11782">
          <cell r="A11782">
            <v>8103118</v>
          </cell>
        </row>
        <row r="11783">
          <cell r="A11783">
            <v>8103119</v>
          </cell>
        </row>
        <row r="11784">
          <cell r="A11784">
            <v>8103120</v>
          </cell>
        </row>
        <row r="11785">
          <cell r="A11785">
            <v>8103121</v>
          </cell>
        </row>
        <row r="11786">
          <cell r="A11786">
            <v>8103122</v>
          </cell>
        </row>
        <row r="11787">
          <cell r="A11787">
            <v>8103123</v>
          </cell>
        </row>
        <row r="11788">
          <cell r="A11788">
            <v>8103124</v>
          </cell>
        </row>
        <row r="11789">
          <cell r="A11789">
            <v>8103125</v>
          </cell>
        </row>
        <row r="11790">
          <cell r="A11790">
            <v>8103126</v>
          </cell>
        </row>
        <row r="11791">
          <cell r="A11791">
            <v>8103127</v>
          </cell>
        </row>
        <row r="11792">
          <cell r="A11792">
            <v>8103128</v>
          </cell>
        </row>
        <row r="11793">
          <cell r="A11793">
            <v>8103129</v>
          </cell>
        </row>
        <row r="11794">
          <cell r="A11794">
            <v>8103130</v>
          </cell>
        </row>
        <row r="11795">
          <cell r="A11795">
            <v>8103131</v>
          </cell>
        </row>
        <row r="11796">
          <cell r="A11796">
            <v>8103132</v>
          </cell>
        </row>
        <row r="11797">
          <cell r="A11797">
            <v>8103133</v>
          </cell>
        </row>
        <row r="11798">
          <cell r="A11798">
            <v>8103134</v>
          </cell>
        </row>
        <row r="11799">
          <cell r="A11799">
            <v>8103135</v>
          </cell>
        </row>
        <row r="11800">
          <cell r="A11800">
            <v>8103137</v>
          </cell>
        </row>
        <row r="11801">
          <cell r="A11801">
            <v>8103138</v>
          </cell>
        </row>
        <row r="11802">
          <cell r="A11802">
            <v>8103139</v>
          </cell>
        </row>
        <row r="11803">
          <cell r="A11803">
            <v>8110101</v>
          </cell>
        </row>
        <row r="11804">
          <cell r="A11804">
            <v>8110102</v>
          </cell>
        </row>
        <row r="11805">
          <cell r="A11805">
            <v>8110103</v>
          </cell>
        </row>
        <row r="11806">
          <cell r="A11806">
            <v>8110104</v>
          </cell>
        </row>
        <row r="11807">
          <cell r="A11807">
            <v>8110105</v>
          </cell>
        </row>
        <row r="11808">
          <cell r="A11808">
            <v>8110106</v>
          </cell>
        </row>
        <row r="11809">
          <cell r="A11809">
            <v>8110107</v>
          </cell>
        </row>
        <row r="11810">
          <cell r="A11810">
            <v>8110108</v>
          </cell>
        </row>
        <row r="11811">
          <cell r="A11811">
            <v>8110109</v>
          </cell>
        </row>
        <row r="11812">
          <cell r="A11812">
            <v>8110110</v>
          </cell>
        </row>
        <row r="11813">
          <cell r="A11813">
            <v>8110111</v>
          </cell>
        </row>
        <row r="11814">
          <cell r="A11814">
            <v>8110112</v>
          </cell>
        </row>
        <row r="11815">
          <cell r="A11815">
            <v>8110113</v>
          </cell>
        </row>
        <row r="11816">
          <cell r="A11816">
            <v>8110114</v>
          </cell>
        </row>
        <row r="11817">
          <cell r="A11817">
            <v>8110115</v>
          </cell>
        </row>
        <row r="11818">
          <cell r="A11818">
            <v>8110117</v>
          </cell>
        </row>
        <row r="11819">
          <cell r="A11819">
            <v>8110118</v>
          </cell>
        </row>
        <row r="11820">
          <cell r="A11820">
            <v>8110119</v>
          </cell>
        </row>
        <row r="11821">
          <cell r="A11821">
            <v>8110120</v>
          </cell>
        </row>
        <row r="11822">
          <cell r="A11822">
            <v>8110121</v>
          </cell>
        </row>
        <row r="11823">
          <cell r="A11823">
            <v>8110122</v>
          </cell>
        </row>
        <row r="11824">
          <cell r="A11824">
            <v>8110123</v>
          </cell>
        </row>
        <row r="11825">
          <cell r="A11825">
            <v>8110124</v>
          </cell>
        </row>
        <row r="11826">
          <cell r="A11826">
            <v>8110125</v>
          </cell>
        </row>
        <row r="11827">
          <cell r="A11827">
            <v>8110126</v>
          </cell>
        </row>
        <row r="11828">
          <cell r="A11828">
            <v>8110127</v>
          </cell>
        </row>
        <row r="11829">
          <cell r="A11829">
            <v>8110128</v>
          </cell>
        </row>
        <row r="11830">
          <cell r="A11830">
            <v>8110129</v>
          </cell>
        </row>
        <row r="11831">
          <cell r="A11831">
            <v>8110201</v>
          </cell>
        </row>
        <row r="11832">
          <cell r="A11832">
            <v>8110202</v>
          </cell>
        </row>
        <row r="11833">
          <cell r="A11833">
            <v>8110203</v>
          </cell>
        </row>
        <row r="11834">
          <cell r="A11834">
            <v>8110204</v>
          </cell>
        </row>
        <row r="11835">
          <cell r="A11835">
            <v>8110205</v>
          </cell>
        </row>
        <row r="11836">
          <cell r="A11836">
            <v>8110206</v>
          </cell>
        </row>
        <row r="11837">
          <cell r="A11837">
            <v>8110207</v>
          </cell>
        </row>
        <row r="11838">
          <cell r="A11838">
            <v>8110208</v>
          </cell>
        </row>
        <row r="11839">
          <cell r="A11839">
            <v>8110209</v>
          </cell>
        </row>
        <row r="11840">
          <cell r="A11840">
            <v>8110210</v>
          </cell>
        </row>
        <row r="11841">
          <cell r="A11841">
            <v>8110301</v>
          </cell>
        </row>
        <row r="11842">
          <cell r="A11842">
            <v>8110302</v>
          </cell>
        </row>
        <row r="11843">
          <cell r="A11843">
            <v>8110303</v>
          </cell>
        </row>
        <row r="11844">
          <cell r="A11844">
            <v>8110304</v>
          </cell>
        </row>
        <row r="11845">
          <cell r="A11845">
            <v>8110305</v>
          </cell>
        </row>
        <row r="11846">
          <cell r="A11846">
            <v>8110306</v>
          </cell>
        </row>
        <row r="11847">
          <cell r="A11847">
            <v>8110307</v>
          </cell>
        </row>
        <row r="11848">
          <cell r="A11848">
            <v>8110308</v>
          </cell>
        </row>
        <row r="11849">
          <cell r="A11849">
            <v>8110309</v>
          </cell>
        </row>
        <row r="11850">
          <cell r="A11850">
            <v>8110310</v>
          </cell>
        </row>
        <row r="11851">
          <cell r="A11851">
            <v>8110311</v>
          </cell>
        </row>
        <row r="11852">
          <cell r="A11852">
            <v>8110312</v>
          </cell>
        </row>
        <row r="11853">
          <cell r="A11853">
            <v>8110313</v>
          </cell>
        </row>
        <row r="11854">
          <cell r="A11854">
            <v>8110314</v>
          </cell>
        </row>
        <row r="11855">
          <cell r="A11855">
            <v>8110315</v>
          </cell>
        </row>
        <row r="11856">
          <cell r="A11856">
            <v>8110316</v>
          </cell>
        </row>
        <row r="11857">
          <cell r="A11857">
            <v>8110317</v>
          </cell>
        </row>
        <row r="11858">
          <cell r="A11858">
            <v>8110318</v>
          </cell>
        </row>
        <row r="11859">
          <cell r="A11859">
            <v>8110319</v>
          </cell>
        </row>
        <row r="11860">
          <cell r="A11860">
            <v>8110320</v>
          </cell>
        </row>
        <row r="11861">
          <cell r="A11861">
            <v>8110321</v>
          </cell>
        </row>
        <row r="11862">
          <cell r="A11862">
            <v>8110322</v>
          </cell>
        </row>
        <row r="11863">
          <cell r="A11863">
            <v>8110323</v>
          </cell>
        </row>
        <row r="11864">
          <cell r="A11864">
            <v>8110324</v>
          </cell>
        </row>
        <row r="11865">
          <cell r="A11865">
            <v>8110325</v>
          </cell>
        </row>
        <row r="11866">
          <cell r="A11866">
            <v>8110326</v>
          </cell>
        </row>
        <row r="11867">
          <cell r="A11867">
            <v>8110327</v>
          </cell>
        </row>
        <row r="11868">
          <cell r="A11868">
            <v>8110328</v>
          </cell>
        </row>
        <row r="11869">
          <cell r="A11869">
            <v>8110329</v>
          </cell>
        </row>
        <row r="11870">
          <cell r="A11870">
            <v>8110330</v>
          </cell>
        </row>
        <row r="11871">
          <cell r="A11871">
            <v>8110401</v>
          </cell>
        </row>
        <row r="11872">
          <cell r="A11872">
            <v>8110402</v>
          </cell>
        </row>
        <row r="11873">
          <cell r="A11873">
            <v>8110403</v>
          </cell>
        </row>
        <row r="11874">
          <cell r="A11874">
            <v>8110404</v>
          </cell>
        </row>
        <row r="11875">
          <cell r="A11875">
            <v>8110405</v>
          </cell>
        </row>
        <row r="11876">
          <cell r="A11876">
            <v>8110406</v>
          </cell>
        </row>
        <row r="11877">
          <cell r="A11877">
            <v>8110407</v>
          </cell>
        </row>
        <row r="11878">
          <cell r="A11878">
            <v>8110408</v>
          </cell>
        </row>
        <row r="11879">
          <cell r="A11879">
            <v>8110409</v>
          </cell>
        </row>
        <row r="11880">
          <cell r="A11880">
            <v>8110410</v>
          </cell>
        </row>
        <row r="11881">
          <cell r="A11881">
            <v>8110411</v>
          </cell>
        </row>
        <row r="11882">
          <cell r="A11882">
            <v>8110412</v>
          </cell>
        </row>
        <row r="11883">
          <cell r="A11883">
            <v>8110413</v>
          </cell>
        </row>
        <row r="11884">
          <cell r="A11884">
            <v>8110414</v>
          </cell>
        </row>
        <row r="11885">
          <cell r="A11885">
            <v>8110415</v>
          </cell>
        </row>
        <row r="11886">
          <cell r="A11886">
            <v>8110416</v>
          </cell>
        </row>
        <row r="11887">
          <cell r="A11887">
            <v>8110417</v>
          </cell>
        </row>
        <row r="11888">
          <cell r="A11888">
            <v>8110418</v>
          </cell>
        </row>
        <row r="11889">
          <cell r="A11889">
            <v>8110419</v>
          </cell>
        </row>
        <row r="11890">
          <cell r="A11890">
            <v>8110420</v>
          </cell>
        </row>
        <row r="11891">
          <cell r="A11891">
            <v>8110421</v>
          </cell>
        </row>
        <row r="11892">
          <cell r="A11892">
            <v>8110422</v>
          </cell>
        </row>
        <row r="11893">
          <cell r="A11893">
            <v>8110423</v>
          </cell>
        </row>
        <row r="11894">
          <cell r="A11894">
            <v>8110424</v>
          </cell>
        </row>
        <row r="11895">
          <cell r="A11895">
            <v>8110425</v>
          </cell>
        </row>
        <row r="11896">
          <cell r="A11896">
            <v>8110426</v>
          </cell>
        </row>
        <row r="11897">
          <cell r="A11897">
            <v>8110427</v>
          </cell>
        </row>
        <row r="11898">
          <cell r="A11898">
            <v>8110428</v>
          </cell>
        </row>
        <row r="11899">
          <cell r="A11899">
            <v>8110429</v>
          </cell>
        </row>
        <row r="11900">
          <cell r="A11900">
            <v>8110430</v>
          </cell>
        </row>
        <row r="11901">
          <cell r="A11901">
            <v>8110431</v>
          </cell>
        </row>
        <row r="11902">
          <cell r="A11902">
            <v>8110432</v>
          </cell>
        </row>
        <row r="11903">
          <cell r="A11903">
            <v>8110442</v>
          </cell>
        </row>
        <row r="11904">
          <cell r="A11904">
            <v>8110443</v>
          </cell>
        </row>
        <row r="11905">
          <cell r="A11905">
            <v>8110444</v>
          </cell>
        </row>
        <row r="11906">
          <cell r="A11906">
            <v>8110445</v>
          </cell>
        </row>
        <row r="11907">
          <cell r="A11907">
            <v>8110446</v>
          </cell>
        </row>
        <row r="11908">
          <cell r="A11908">
            <v>8110447</v>
          </cell>
        </row>
        <row r="11909">
          <cell r="A11909">
            <v>8110448</v>
          </cell>
        </row>
        <row r="11910">
          <cell r="A11910">
            <v>8110449</v>
          </cell>
        </row>
        <row r="11911">
          <cell r="A11911">
            <v>8110451</v>
          </cell>
        </row>
        <row r="11912">
          <cell r="A11912">
            <v>8110501</v>
          </cell>
        </row>
        <row r="11913">
          <cell r="A11913">
            <v>8110502</v>
          </cell>
        </row>
        <row r="11914">
          <cell r="A11914">
            <v>8110503</v>
          </cell>
        </row>
        <row r="11915">
          <cell r="A11915">
            <v>8110504</v>
          </cell>
        </row>
        <row r="11916">
          <cell r="A11916">
            <v>8110505</v>
          </cell>
        </row>
        <row r="11917">
          <cell r="A11917">
            <v>8110506</v>
          </cell>
        </row>
        <row r="11918">
          <cell r="A11918">
            <v>8110507</v>
          </cell>
        </row>
        <row r="11919">
          <cell r="A11919">
            <v>8110508</v>
          </cell>
        </row>
        <row r="11920">
          <cell r="A11920">
            <v>8110509</v>
          </cell>
        </row>
        <row r="11921">
          <cell r="A11921">
            <v>8110510</v>
          </cell>
        </row>
        <row r="11922">
          <cell r="A11922">
            <v>8110511</v>
          </cell>
        </row>
        <row r="11923">
          <cell r="A11923">
            <v>8110512</v>
          </cell>
        </row>
        <row r="11924">
          <cell r="A11924">
            <v>8110513</v>
          </cell>
        </row>
        <row r="11925">
          <cell r="A11925">
            <v>8110514</v>
          </cell>
        </row>
        <row r="11926">
          <cell r="A11926">
            <v>8110515</v>
          </cell>
        </row>
        <row r="11927">
          <cell r="A11927">
            <v>8110516</v>
          </cell>
        </row>
        <row r="11928">
          <cell r="A11928">
            <v>8110517</v>
          </cell>
        </row>
        <row r="11929">
          <cell r="A11929">
            <v>8110518</v>
          </cell>
        </row>
        <row r="11930">
          <cell r="A11930">
            <v>8110520</v>
          </cell>
        </row>
        <row r="11931">
          <cell r="A11931">
            <v>8110521</v>
          </cell>
        </row>
        <row r="11932">
          <cell r="A11932">
            <v>8110522</v>
          </cell>
        </row>
        <row r="11933">
          <cell r="A11933">
            <v>8110523</v>
          </cell>
        </row>
        <row r="11934">
          <cell r="A11934">
            <v>8110533</v>
          </cell>
        </row>
        <row r="11935">
          <cell r="A11935">
            <v>8110534</v>
          </cell>
        </row>
        <row r="11936">
          <cell r="A11936">
            <v>8110535</v>
          </cell>
        </row>
        <row r="11937">
          <cell r="A11937">
            <v>8110536</v>
          </cell>
        </row>
        <row r="11938">
          <cell r="A11938">
            <v>8110537</v>
          </cell>
        </row>
        <row r="11939">
          <cell r="A11939">
            <v>8110538</v>
          </cell>
        </row>
        <row r="11940">
          <cell r="A11940">
            <v>8110539</v>
          </cell>
        </row>
        <row r="11941">
          <cell r="A11941">
            <v>8110540</v>
          </cell>
        </row>
        <row r="11942">
          <cell r="A11942">
            <v>8110542</v>
          </cell>
        </row>
        <row r="11943">
          <cell r="A11943">
            <v>8110601</v>
          </cell>
        </row>
        <row r="11944">
          <cell r="A11944">
            <v>8110602</v>
          </cell>
        </row>
        <row r="11945">
          <cell r="A11945">
            <v>8110603</v>
          </cell>
        </row>
        <row r="11946">
          <cell r="A11946">
            <v>8110604</v>
          </cell>
        </row>
        <row r="11947">
          <cell r="A11947">
            <v>8110605</v>
          </cell>
        </row>
        <row r="11948">
          <cell r="A11948">
            <v>8110606</v>
          </cell>
        </row>
        <row r="11949">
          <cell r="A11949">
            <v>8110607</v>
          </cell>
        </row>
        <row r="11950">
          <cell r="A11950">
            <v>8110608</v>
          </cell>
        </row>
        <row r="11951">
          <cell r="A11951">
            <v>8110609</v>
          </cell>
        </row>
        <row r="11952">
          <cell r="A11952">
            <v>8110610</v>
          </cell>
        </row>
        <row r="11953">
          <cell r="A11953">
            <v>8110611</v>
          </cell>
        </row>
        <row r="11954">
          <cell r="A11954">
            <v>8110612</v>
          </cell>
        </row>
        <row r="11955">
          <cell r="A11955">
            <v>8110613</v>
          </cell>
        </row>
        <row r="11956">
          <cell r="A11956">
            <v>8110614</v>
          </cell>
        </row>
        <row r="11957">
          <cell r="A11957">
            <v>8110615</v>
          </cell>
        </row>
        <row r="11958">
          <cell r="A11958">
            <v>8110616</v>
          </cell>
        </row>
        <row r="11959">
          <cell r="A11959">
            <v>8110620</v>
          </cell>
        </row>
        <row r="11960">
          <cell r="A11960">
            <v>8110621</v>
          </cell>
        </row>
        <row r="11961">
          <cell r="A11961">
            <v>8110622</v>
          </cell>
        </row>
        <row r="11962">
          <cell r="A11962">
            <v>8110623</v>
          </cell>
        </row>
        <row r="11963">
          <cell r="A11963">
            <v>8110624</v>
          </cell>
        </row>
        <row r="11964">
          <cell r="A11964">
            <v>8110625</v>
          </cell>
        </row>
        <row r="11965">
          <cell r="A11965">
            <v>8110626</v>
          </cell>
        </row>
        <row r="11966">
          <cell r="A11966">
            <v>8110627</v>
          </cell>
        </row>
        <row r="11967">
          <cell r="A11967">
            <v>8110634</v>
          </cell>
        </row>
        <row r="11968">
          <cell r="A11968">
            <v>8110635</v>
          </cell>
        </row>
        <row r="11969">
          <cell r="A11969">
            <v>8110636</v>
          </cell>
        </row>
        <row r="11970">
          <cell r="A11970">
            <v>8110637</v>
          </cell>
        </row>
        <row r="11971">
          <cell r="A11971">
            <v>8110638</v>
          </cell>
        </row>
        <row r="11972">
          <cell r="A11972">
            <v>8110640</v>
          </cell>
        </row>
        <row r="11973">
          <cell r="A11973">
            <v>8110641</v>
          </cell>
        </row>
        <row r="11974">
          <cell r="A11974">
            <v>8110701</v>
          </cell>
        </row>
        <row r="11975">
          <cell r="A11975">
            <v>8110702</v>
          </cell>
        </row>
        <row r="11976">
          <cell r="A11976">
            <v>8110703</v>
          </cell>
        </row>
        <row r="11977">
          <cell r="A11977">
            <v>8110704</v>
          </cell>
        </row>
        <row r="11978">
          <cell r="A11978">
            <v>8110705</v>
          </cell>
        </row>
        <row r="11979">
          <cell r="A11979">
            <v>8110706</v>
          </cell>
        </row>
        <row r="11980">
          <cell r="A11980">
            <v>8110707</v>
          </cell>
        </row>
        <row r="11981">
          <cell r="A11981">
            <v>8110708</v>
          </cell>
        </row>
        <row r="11982">
          <cell r="A11982">
            <v>8110709</v>
          </cell>
        </row>
        <row r="11983">
          <cell r="A11983">
            <v>8110710</v>
          </cell>
        </row>
        <row r="11984">
          <cell r="A11984">
            <v>8110711</v>
          </cell>
        </row>
        <row r="11985">
          <cell r="A11985">
            <v>8110712</v>
          </cell>
        </row>
        <row r="11986">
          <cell r="A11986">
            <v>8110713</v>
          </cell>
        </row>
        <row r="11987">
          <cell r="A11987">
            <v>8110714</v>
          </cell>
        </row>
        <row r="11988">
          <cell r="A11988">
            <v>8110715</v>
          </cell>
        </row>
        <row r="11989">
          <cell r="A11989">
            <v>8110716</v>
          </cell>
        </row>
        <row r="11990">
          <cell r="A11990">
            <v>8110717</v>
          </cell>
        </row>
        <row r="11991">
          <cell r="A11991">
            <v>8110718</v>
          </cell>
        </row>
        <row r="11992">
          <cell r="A11992">
            <v>8110719</v>
          </cell>
        </row>
        <row r="11993">
          <cell r="A11993">
            <v>8110720</v>
          </cell>
        </row>
        <row r="11994">
          <cell r="A11994">
            <v>8110721</v>
          </cell>
        </row>
        <row r="11995">
          <cell r="A11995">
            <v>8110722</v>
          </cell>
        </row>
        <row r="11996">
          <cell r="A11996">
            <v>8110723</v>
          </cell>
        </row>
        <row r="11997">
          <cell r="A11997">
            <v>8110724</v>
          </cell>
        </row>
        <row r="11998">
          <cell r="A11998">
            <v>8110725</v>
          </cell>
        </row>
        <row r="11999">
          <cell r="A11999">
            <v>8110726</v>
          </cell>
        </row>
        <row r="12000">
          <cell r="A12000">
            <v>8110727</v>
          </cell>
        </row>
        <row r="12001">
          <cell r="A12001">
            <v>8110731</v>
          </cell>
        </row>
        <row r="12002">
          <cell r="A12002">
            <v>8110732</v>
          </cell>
        </row>
        <row r="12003">
          <cell r="A12003">
            <v>8110733</v>
          </cell>
        </row>
        <row r="12004">
          <cell r="A12004">
            <v>8110734</v>
          </cell>
        </row>
        <row r="12005">
          <cell r="A12005">
            <v>8110735</v>
          </cell>
        </row>
        <row r="12006">
          <cell r="A12006">
            <v>8110736</v>
          </cell>
        </row>
        <row r="12007">
          <cell r="A12007">
            <v>8110737</v>
          </cell>
        </row>
        <row r="12008">
          <cell r="A12008">
            <v>8110738</v>
          </cell>
        </row>
        <row r="12009">
          <cell r="A12009">
            <v>8110739</v>
          </cell>
        </row>
        <row r="12010">
          <cell r="A12010">
            <v>8110740</v>
          </cell>
        </row>
        <row r="12011">
          <cell r="A12011">
            <v>8110741</v>
          </cell>
        </row>
        <row r="12012">
          <cell r="A12012">
            <v>8110742</v>
          </cell>
        </row>
        <row r="12013">
          <cell r="A12013">
            <v>8110743</v>
          </cell>
        </row>
        <row r="12014">
          <cell r="A12014">
            <v>8110744</v>
          </cell>
        </row>
        <row r="12015">
          <cell r="A12015">
            <v>8110745</v>
          </cell>
        </row>
        <row r="12016">
          <cell r="A12016">
            <v>8110746</v>
          </cell>
        </row>
        <row r="12017">
          <cell r="A12017">
            <v>8110747</v>
          </cell>
        </row>
        <row r="12018">
          <cell r="A12018">
            <v>8110748</v>
          </cell>
        </row>
        <row r="12019">
          <cell r="A12019">
            <v>8110749</v>
          </cell>
        </row>
        <row r="12020">
          <cell r="A12020">
            <v>8110750</v>
          </cell>
        </row>
        <row r="12021">
          <cell r="A12021">
            <v>8110751</v>
          </cell>
        </row>
        <row r="12022">
          <cell r="A12022">
            <v>8110752</v>
          </cell>
        </row>
        <row r="12023">
          <cell r="A12023">
            <v>8110753</v>
          </cell>
        </row>
        <row r="12024">
          <cell r="A12024">
            <v>8110754</v>
          </cell>
        </row>
        <row r="12025">
          <cell r="A12025">
            <v>8110755</v>
          </cell>
        </row>
        <row r="12026">
          <cell r="A12026">
            <v>8110801</v>
          </cell>
        </row>
        <row r="12027">
          <cell r="A12027">
            <v>8110802</v>
          </cell>
        </row>
        <row r="12028">
          <cell r="A12028">
            <v>8110803</v>
          </cell>
        </row>
        <row r="12029">
          <cell r="A12029">
            <v>8110804</v>
          </cell>
        </row>
        <row r="12030">
          <cell r="A12030">
            <v>8110805</v>
          </cell>
        </row>
        <row r="12031">
          <cell r="A12031">
            <v>8110806</v>
          </cell>
        </row>
        <row r="12032">
          <cell r="A12032">
            <v>8110807</v>
          </cell>
        </row>
        <row r="12033">
          <cell r="A12033">
            <v>8110808</v>
          </cell>
        </row>
        <row r="12034">
          <cell r="A12034">
            <v>8110809</v>
          </cell>
        </row>
        <row r="12035">
          <cell r="A12035">
            <v>8110810</v>
          </cell>
        </row>
        <row r="12036">
          <cell r="A12036">
            <v>8110811</v>
          </cell>
        </row>
        <row r="12037">
          <cell r="A12037">
            <v>8110812</v>
          </cell>
        </row>
        <row r="12038">
          <cell r="A12038">
            <v>8110813</v>
          </cell>
        </row>
        <row r="12039">
          <cell r="A12039">
            <v>8110814</v>
          </cell>
        </row>
        <row r="12040">
          <cell r="A12040">
            <v>8110815</v>
          </cell>
        </row>
        <row r="12041">
          <cell r="A12041">
            <v>8110816</v>
          </cell>
        </row>
        <row r="12042">
          <cell r="A12042">
            <v>8110817</v>
          </cell>
        </row>
        <row r="12043">
          <cell r="A12043">
            <v>8110818</v>
          </cell>
        </row>
        <row r="12044">
          <cell r="A12044">
            <v>8110819</v>
          </cell>
        </row>
        <row r="12045">
          <cell r="A12045">
            <v>8110820</v>
          </cell>
        </row>
        <row r="12046">
          <cell r="A12046">
            <v>8110821</v>
          </cell>
        </row>
        <row r="12047">
          <cell r="A12047">
            <v>8110822</v>
          </cell>
        </row>
        <row r="12048">
          <cell r="A12048">
            <v>8110823</v>
          </cell>
        </row>
        <row r="12049">
          <cell r="A12049">
            <v>8110824</v>
          </cell>
        </row>
        <row r="12050">
          <cell r="A12050">
            <v>8110825</v>
          </cell>
        </row>
        <row r="12051">
          <cell r="A12051">
            <v>8110826</v>
          </cell>
        </row>
        <row r="12052">
          <cell r="A12052">
            <v>8110827</v>
          </cell>
        </row>
        <row r="12053">
          <cell r="A12053">
            <v>8110828</v>
          </cell>
        </row>
        <row r="12054">
          <cell r="A12054">
            <v>8110829</v>
          </cell>
        </row>
        <row r="12055">
          <cell r="A12055">
            <v>8110830</v>
          </cell>
        </row>
        <row r="12056">
          <cell r="A12056">
            <v>8110831</v>
          </cell>
        </row>
        <row r="12057">
          <cell r="A12057">
            <v>8110832</v>
          </cell>
        </row>
        <row r="12058">
          <cell r="A12058">
            <v>8110833</v>
          </cell>
        </row>
        <row r="12059">
          <cell r="A12059">
            <v>8110837</v>
          </cell>
        </row>
        <row r="12060">
          <cell r="A12060">
            <v>8110845</v>
          </cell>
        </row>
        <row r="12061">
          <cell r="A12061">
            <v>8110846</v>
          </cell>
        </row>
        <row r="12062">
          <cell r="A12062">
            <v>8110847</v>
          </cell>
        </row>
        <row r="12063">
          <cell r="A12063">
            <v>8111001</v>
          </cell>
        </row>
        <row r="12064">
          <cell r="A12064">
            <v>8111002</v>
          </cell>
        </row>
        <row r="12065">
          <cell r="A12065">
            <v>8111003</v>
          </cell>
        </row>
        <row r="12066">
          <cell r="A12066">
            <v>8111004</v>
          </cell>
        </row>
        <row r="12067">
          <cell r="A12067">
            <v>8111005</v>
          </cell>
        </row>
        <row r="12068">
          <cell r="A12068">
            <v>8111006</v>
          </cell>
        </row>
        <row r="12069">
          <cell r="A12069">
            <v>8111007</v>
          </cell>
        </row>
        <row r="12070">
          <cell r="A12070">
            <v>8111008</v>
          </cell>
        </row>
        <row r="12071">
          <cell r="A12071">
            <v>8111009</v>
          </cell>
        </row>
        <row r="12072">
          <cell r="A12072">
            <v>8111010</v>
          </cell>
        </row>
        <row r="12073">
          <cell r="A12073">
            <v>8111011</v>
          </cell>
        </row>
        <row r="12074">
          <cell r="A12074">
            <v>8111012</v>
          </cell>
        </row>
        <row r="12075">
          <cell r="A12075">
            <v>8111013</v>
          </cell>
        </row>
        <row r="12076">
          <cell r="A12076">
            <v>8111014</v>
          </cell>
        </row>
        <row r="12077">
          <cell r="A12077">
            <v>8111015</v>
          </cell>
        </row>
        <row r="12078">
          <cell r="A12078">
            <v>8111016</v>
          </cell>
        </row>
        <row r="12079">
          <cell r="A12079">
            <v>8111017</v>
          </cell>
        </row>
        <row r="12080">
          <cell r="A12080">
            <v>8111018</v>
          </cell>
        </row>
        <row r="12081">
          <cell r="A12081">
            <v>8111019</v>
          </cell>
        </row>
        <row r="12082">
          <cell r="A12082">
            <v>8111020</v>
          </cell>
        </row>
        <row r="12083">
          <cell r="A12083">
            <v>8111021</v>
          </cell>
        </row>
        <row r="12084">
          <cell r="A12084">
            <v>8111022</v>
          </cell>
        </row>
        <row r="12085">
          <cell r="A12085">
            <v>8111023</v>
          </cell>
        </row>
        <row r="12086">
          <cell r="A12086">
            <v>8111024</v>
          </cell>
        </row>
        <row r="12087">
          <cell r="A12087">
            <v>8111025</v>
          </cell>
        </row>
        <row r="12088">
          <cell r="A12088">
            <v>8111026</v>
          </cell>
        </row>
        <row r="12089">
          <cell r="A12089">
            <v>8111027</v>
          </cell>
        </row>
        <row r="12090">
          <cell r="A12090">
            <v>8111028</v>
          </cell>
        </row>
        <row r="12091">
          <cell r="A12091">
            <v>8111029</v>
          </cell>
        </row>
        <row r="12092">
          <cell r="A12092">
            <v>8111030</v>
          </cell>
        </row>
        <row r="12093">
          <cell r="A12093">
            <v>8111031</v>
          </cell>
        </row>
        <row r="12094">
          <cell r="A12094">
            <v>8111032</v>
          </cell>
        </row>
        <row r="12095">
          <cell r="A12095">
            <v>8111033</v>
          </cell>
        </row>
        <row r="12096">
          <cell r="A12096">
            <v>8111034</v>
          </cell>
        </row>
        <row r="12097">
          <cell r="A12097">
            <v>8111035</v>
          </cell>
        </row>
        <row r="12098">
          <cell r="A12098">
            <v>8111036</v>
          </cell>
        </row>
        <row r="12099">
          <cell r="A12099">
            <v>8111037</v>
          </cell>
        </row>
        <row r="12100">
          <cell r="A12100">
            <v>8111038</v>
          </cell>
        </row>
        <row r="12101">
          <cell r="A12101">
            <v>8111039</v>
          </cell>
        </row>
        <row r="12102">
          <cell r="A12102">
            <v>8111040</v>
          </cell>
        </row>
        <row r="12103">
          <cell r="A12103">
            <v>8111041</v>
          </cell>
        </row>
        <row r="12104">
          <cell r="A12104">
            <v>8111042</v>
          </cell>
        </row>
        <row r="12105">
          <cell r="A12105">
            <v>8111045</v>
          </cell>
        </row>
        <row r="12106">
          <cell r="A12106">
            <v>8111046</v>
          </cell>
        </row>
        <row r="12107">
          <cell r="A12107">
            <v>8111047</v>
          </cell>
        </row>
        <row r="12108">
          <cell r="A12108">
            <v>8111048</v>
          </cell>
        </row>
        <row r="12109">
          <cell r="A12109">
            <v>8111049</v>
          </cell>
        </row>
        <row r="12110">
          <cell r="A12110">
            <v>8111050</v>
          </cell>
        </row>
        <row r="12111">
          <cell r="A12111">
            <v>8111051</v>
          </cell>
        </row>
        <row r="12112">
          <cell r="A12112">
            <v>8111052</v>
          </cell>
        </row>
        <row r="12113">
          <cell r="A12113">
            <v>8111053</v>
          </cell>
        </row>
        <row r="12114">
          <cell r="A12114">
            <v>8111054</v>
          </cell>
        </row>
        <row r="12115">
          <cell r="A12115">
            <v>8111055</v>
          </cell>
        </row>
        <row r="12116">
          <cell r="A12116">
            <v>8111056</v>
          </cell>
        </row>
        <row r="12117">
          <cell r="A12117">
            <v>8111057</v>
          </cell>
        </row>
        <row r="12118">
          <cell r="A12118">
            <v>8111101</v>
          </cell>
        </row>
        <row r="12119">
          <cell r="A12119">
            <v>8111102</v>
          </cell>
        </row>
        <row r="12120">
          <cell r="A12120">
            <v>8111103</v>
          </cell>
        </row>
        <row r="12121">
          <cell r="A12121">
            <v>8111104</v>
          </cell>
        </row>
        <row r="12122">
          <cell r="A12122">
            <v>8111105</v>
          </cell>
        </row>
        <row r="12123">
          <cell r="A12123">
            <v>8111106</v>
          </cell>
        </row>
        <row r="12124">
          <cell r="A12124">
            <v>8111107</v>
          </cell>
        </row>
        <row r="12125">
          <cell r="A12125">
            <v>8111108</v>
          </cell>
        </row>
        <row r="12126">
          <cell r="A12126">
            <v>8111109</v>
          </cell>
        </row>
        <row r="12127">
          <cell r="A12127">
            <v>8111110</v>
          </cell>
        </row>
        <row r="12128">
          <cell r="A12128">
            <v>8111111</v>
          </cell>
        </row>
        <row r="12129">
          <cell r="A12129">
            <v>8111112</v>
          </cell>
        </row>
        <row r="12130">
          <cell r="A12130">
            <v>8111113</v>
          </cell>
        </row>
        <row r="12131">
          <cell r="A12131">
            <v>8111114</v>
          </cell>
        </row>
        <row r="12132">
          <cell r="A12132">
            <v>8111115</v>
          </cell>
        </row>
        <row r="12133">
          <cell r="A12133">
            <v>8111116</v>
          </cell>
        </row>
        <row r="12134">
          <cell r="A12134">
            <v>8111117</v>
          </cell>
        </row>
        <row r="12135">
          <cell r="A12135">
            <v>8111118</v>
          </cell>
        </row>
        <row r="12136">
          <cell r="A12136">
            <v>8111119</v>
          </cell>
        </row>
        <row r="12137">
          <cell r="A12137">
            <v>8111120</v>
          </cell>
        </row>
        <row r="12138">
          <cell r="A12138">
            <v>8111121</v>
          </cell>
        </row>
        <row r="12139">
          <cell r="A12139">
            <v>8111122</v>
          </cell>
        </row>
        <row r="12140">
          <cell r="A12140">
            <v>8111123</v>
          </cell>
        </row>
        <row r="12141">
          <cell r="A12141">
            <v>8111124</v>
          </cell>
        </row>
        <row r="12142">
          <cell r="A12142">
            <v>8111125</v>
          </cell>
        </row>
        <row r="12143">
          <cell r="A12143">
            <v>8111126</v>
          </cell>
        </row>
        <row r="12144">
          <cell r="A12144">
            <v>8111127</v>
          </cell>
        </row>
        <row r="12145">
          <cell r="A12145">
            <v>8111138</v>
          </cell>
        </row>
        <row r="12146">
          <cell r="A12146">
            <v>8111140</v>
          </cell>
        </row>
        <row r="12147">
          <cell r="A12147">
            <v>8111141</v>
          </cell>
        </row>
        <row r="12148">
          <cell r="A12148">
            <v>8111142</v>
          </cell>
        </row>
        <row r="12149">
          <cell r="A12149">
            <v>8111143</v>
          </cell>
        </row>
        <row r="12150">
          <cell r="A12150">
            <v>8111201</v>
          </cell>
        </row>
        <row r="12151">
          <cell r="A12151">
            <v>8111202</v>
          </cell>
        </row>
        <row r="12152">
          <cell r="A12152">
            <v>8111203</v>
          </cell>
        </row>
        <row r="12153">
          <cell r="A12153">
            <v>8111204</v>
          </cell>
        </row>
        <row r="12154">
          <cell r="A12154">
            <v>8111205</v>
          </cell>
        </row>
        <row r="12155">
          <cell r="A12155">
            <v>8111206</v>
          </cell>
        </row>
        <row r="12156">
          <cell r="A12156">
            <v>8111207</v>
          </cell>
        </row>
        <row r="12157">
          <cell r="A12157">
            <v>8111208</v>
          </cell>
        </row>
        <row r="12158">
          <cell r="A12158">
            <v>8111209</v>
          </cell>
        </row>
        <row r="12159">
          <cell r="A12159">
            <v>8111210</v>
          </cell>
        </row>
        <row r="12160">
          <cell r="A12160">
            <v>8111211</v>
          </cell>
        </row>
        <row r="12161">
          <cell r="A12161">
            <v>8111212</v>
          </cell>
        </row>
        <row r="12162">
          <cell r="A12162">
            <v>8111213</v>
          </cell>
        </row>
        <row r="12163">
          <cell r="A12163">
            <v>8111214</v>
          </cell>
        </row>
        <row r="12164">
          <cell r="A12164">
            <v>8111215</v>
          </cell>
        </row>
        <row r="12165">
          <cell r="A12165">
            <v>8111216</v>
          </cell>
        </row>
        <row r="12166">
          <cell r="A12166">
            <v>8111217</v>
          </cell>
        </row>
        <row r="12167">
          <cell r="A12167">
            <v>8111218</v>
          </cell>
        </row>
        <row r="12168">
          <cell r="A12168">
            <v>8111219</v>
          </cell>
        </row>
        <row r="12169">
          <cell r="A12169">
            <v>8111220</v>
          </cell>
        </row>
        <row r="12170">
          <cell r="A12170">
            <v>8111221</v>
          </cell>
        </row>
        <row r="12171">
          <cell r="A12171">
            <v>8111222</v>
          </cell>
        </row>
        <row r="12172">
          <cell r="A12172">
            <v>8111223</v>
          </cell>
        </row>
        <row r="12173">
          <cell r="A12173">
            <v>8111224</v>
          </cell>
        </row>
        <row r="12174">
          <cell r="A12174">
            <v>8111225</v>
          </cell>
        </row>
        <row r="12175">
          <cell r="A12175">
            <v>8111226</v>
          </cell>
        </row>
        <row r="12176">
          <cell r="A12176">
            <v>8111227</v>
          </cell>
        </row>
        <row r="12177">
          <cell r="A12177">
            <v>8111228</v>
          </cell>
        </row>
        <row r="12178">
          <cell r="A12178">
            <v>8111230</v>
          </cell>
        </row>
        <row r="12179">
          <cell r="A12179">
            <v>8111231</v>
          </cell>
        </row>
        <row r="12180">
          <cell r="A12180">
            <v>8111232</v>
          </cell>
        </row>
        <row r="12181">
          <cell r="A12181">
            <v>8111233</v>
          </cell>
        </row>
        <row r="12182">
          <cell r="A12182">
            <v>8111234</v>
          </cell>
        </row>
        <row r="12183">
          <cell r="A12183">
            <v>8111235</v>
          </cell>
        </row>
        <row r="12184">
          <cell r="A12184">
            <v>8111236</v>
          </cell>
        </row>
        <row r="12185">
          <cell r="A12185">
            <v>8111237</v>
          </cell>
        </row>
        <row r="12186">
          <cell r="A12186">
            <v>8111238</v>
          </cell>
        </row>
        <row r="12187">
          <cell r="A12187">
            <v>8111239</v>
          </cell>
        </row>
        <row r="12188">
          <cell r="A12188">
            <v>8111240</v>
          </cell>
        </row>
        <row r="12189">
          <cell r="A12189">
            <v>8111241</v>
          </cell>
        </row>
        <row r="12190">
          <cell r="A12190">
            <v>8111242</v>
          </cell>
        </row>
        <row r="12191">
          <cell r="A12191">
            <v>8111243</v>
          </cell>
        </row>
        <row r="12192">
          <cell r="A12192">
            <v>8111244</v>
          </cell>
        </row>
        <row r="12193">
          <cell r="A12193">
            <v>8111245</v>
          </cell>
        </row>
        <row r="12194">
          <cell r="A12194">
            <v>8111246</v>
          </cell>
        </row>
        <row r="12195">
          <cell r="A12195">
            <v>8111301</v>
          </cell>
        </row>
        <row r="12196">
          <cell r="A12196">
            <v>8111302</v>
          </cell>
        </row>
        <row r="12197">
          <cell r="A12197">
            <v>8111303</v>
          </cell>
        </row>
        <row r="12198">
          <cell r="A12198">
            <v>8111304</v>
          </cell>
        </row>
        <row r="12199">
          <cell r="A12199">
            <v>8111305</v>
          </cell>
        </row>
        <row r="12200">
          <cell r="A12200">
            <v>8111306</v>
          </cell>
        </row>
        <row r="12201">
          <cell r="A12201">
            <v>8111307</v>
          </cell>
        </row>
        <row r="12202">
          <cell r="A12202">
            <v>8111308</v>
          </cell>
        </row>
        <row r="12203">
          <cell r="A12203">
            <v>8111309</v>
          </cell>
        </row>
        <row r="12204">
          <cell r="A12204">
            <v>8111310</v>
          </cell>
        </row>
        <row r="12205">
          <cell r="A12205">
            <v>8111311</v>
          </cell>
        </row>
        <row r="12206">
          <cell r="A12206">
            <v>8111312</v>
          </cell>
        </row>
        <row r="12207">
          <cell r="A12207">
            <v>8111313</v>
          </cell>
        </row>
        <row r="12208">
          <cell r="A12208">
            <v>8111314</v>
          </cell>
        </row>
        <row r="12209">
          <cell r="A12209">
            <v>8111315</v>
          </cell>
        </row>
        <row r="12210">
          <cell r="A12210">
            <v>8111316</v>
          </cell>
        </row>
        <row r="12211">
          <cell r="A12211">
            <v>8111317</v>
          </cell>
        </row>
        <row r="12212">
          <cell r="A12212">
            <v>8111318</v>
          </cell>
        </row>
        <row r="12213">
          <cell r="A12213">
            <v>8111319</v>
          </cell>
        </row>
        <row r="12214">
          <cell r="A12214">
            <v>8111320</v>
          </cell>
        </row>
        <row r="12215">
          <cell r="A12215">
            <v>8111321</v>
          </cell>
        </row>
        <row r="12216">
          <cell r="A12216">
            <v>8111322</v>
          </cell>
        </row>
        <row r="12217">
          <cell r="A12217">
            <v>8111323</v>
          </cell>
        </row>
        <row r="12218">
          <cell r="A12218">
            <v>8111324</v>
          </cell>
        </row>
        <row r="12219">
          <cell r="A12219">
            <v>8111325</v>
          </cell>
        </row>
        <row r="12220">
          <cell r="A12220">
            <v>8111326</v>
          </cell>
        </row>
        <row r="12221">
          <cell r="A12221">
            <v>8111327</v>
          </cell>
        </row>
        <row r="12222">
          <cell r="A12222">
            <v>8111328</v>
          </cell>
        </row>
        <row r="12223">
          <cell r="A12223">
            <v>8111329</v>
          </cell>
        </row>
        <row r="12224">
          <cell r="A12224">
            <v>8111330</v>
          </cell>
        </row>
        <row r="12225">
          <cell r="A12225">
            <v>8111331</v>
          </cell>
        </row>
        <row r="12226">
          <cell r="A12226">
            <v>8111332</v>
          </cell>
        </row>
        <row r="12227">
          <cell r="A12227">
            <v>8111333</v>
          </cell>
        </row>
        <row r="12228">
          <cell r="A12228">
            <v>8111334</v>
          </cell>
        </row>
        <row r="12229">
          <cell r="A12229">
            <v>8111335</v>
          </cell>
        </row>
        <row r="12230">
          <cell r="A12230">
            <v>8111336</v>
          </cell>
        </row>
        <row r="12231">
          <cell r="A12231">
            <v>8111347</v>
          </cell>
        </row>
        <row r="12232">
          <cell r="A12232">
            <v>8111348</v>
          </cell>
        </row>
        <row r="12233">
          <cell r="A12233">
            <v>8111349</v>
          </cell>
        </row>
        <row r="12234">
          <cell r="A12234">
            <v>8111350</v>
          </cell>
        </row>
        <row r="12235">
          <cell r="A12235">
            <v>8111351</v>
          </cell>
        </row>
        <row r="12236">
          <cell r="A12236">
            <v>8111352</v>
          </cell>
        </row>
        <row r="12237">
          <cell r="A12237">
            <v>8111357</v>
          </cell>
        </row>
        <row r="12238">
          <cell r="A12238">
            <v>8111358</v>
          </cell>
        </row>
        <row r="12239">
          <cell r="A12239">
            <v>8111359</v>
          </cell>
        </row>
        <row r="12240">
          <cell r="A12240">
            <v>8111360</v>
          </cell>
        </row>
        <row r="12241">
          <cell r="A12241">
            <v>8111361</v>
          </cell>
        </row>
        <row r="12242">
          <cell r="A12242">
            <v>8111363</v>
          </cell>
        </row>
        <row r="12243">
          <cell r="A12243">
            <v>8111401</v>
          </cell>
        </row>
        <row r="12244">
          <cell r="A12244">
            <v>8111402</v>
          </cell>
        </row>
        <row r="12245">
          <cell r="A12245">
            <v>8111403</v>
          </cell>
        </row>
        <row r="12246">
          <cell r="A12246">
            <v>8111404</v>
          </cell>
        </row>
        <row r="12247">
          <cell r="A12247">
            <v>8111405</v>
          </cell>
        </row>
        <row r="12248">
          <cell r="A12248">
            <v>8111406</v>
          </cell>
        </row>
        <row r="12249">
          <cell r="A12249">
            <v>8111407</v>
          </cell>
        </row>
        <row r="12250">
          <cell r="A12250">
            <v>8111408</v>
          </cell>
        </row>
        <row r="12251">
          <cell r="A12251">
            <v>8111409</v>
          </cell>
        </row>
        <row r="12252">
          <cell r="A12252">
            <v>8111410</v>
          </cell>
        </row>
        <row r="12253">
          <cell r="A12253">
            <v>8111411</v>
          </cell>
        </row>
        <row r="12254">
          <cell r="A12254">
            <v>8111412</v>
          </cell>
        </row>
        <row r="12255">
          <cell r="A12255">
            <v>8111413</v>
          </cell>
        </row>
        <row r="12256">
          <cell r="A12256">
            <v>8111414</v>
          </cell>
        </row>
        <row r="12257">
          <cell r="A12257">
            <v>8111415</v>
          </cell>
        </row>
        <row r="12258">
          <cell r="A12258">
            <v>8111416</v>
          </cell>
        </row>
        <row r="12259">
          <cell r="A12259">
            <v>8111417</v>
          </cell>
        </row>
        <row r="12260">
          <cell r="A12260">
            <v>8111418</v>
          </cell>
        </row>
        <row r="12261">
          <cell r="A12261">
            <v>8111419</v>
          </cell>
        </row>
        <row r="12262">
          <cell r="A12262">
            <v>8111420</v>
          </cell>
        </row>
        <row r="12263">
          <cell r="A12263">
            <v>8111421</v>
          </cell>
        </row>
        <row r="12264">
          <cell r="A12264">
            <v>8111422</v>
          </cell>
        </row>
        <row r="12265">
          <cell r="A12265">
            <v>8111423</v>
          </cell>
        </row>
        <row r="12266">
          <cell r="A12266">
            <v>8111424</v>
          </cell>
        </row>
        <row r="12267">
          <cell r="A12267">
            <v>8111425</v>
          </cell>
        </row>
        <row r="12268">
          <cell r="A12268">
            <v>8111426</v>
          </cell>
        </row>
        <row r="12269">
          <cell r="A12269">
            <v>8111427</v>
          </cell>
        </row>
        <row r="12270">
          <cell r="A12270">
            <v>8111428</v>
          </cell>
        </row>
        <row r="12271">
          <cell r="A12271">
            <v>8111429</v>
          </cell>
        </row>
        <row r="12272">
          <cell r="A12272">
            <v>8111430</v>
          </cell>
        </row>
        <row r="12273">
          <cell r="A12273">
            <v>8111431</v>
          </cell>
        </row>
        <row r="12274">
          <cell r="A12274">
            <v>8111432</v>
          </cell>
        </row>
        <row r="12275">
          <cell r="A12275">
            <v>8111433</v>
          </cell>
        </row>
        <row r="12276">
          <cell r="A12276">
            <v>8111434</v>
          </cell>
        </row>
        <row r="12277">
          <cell r="A12277">
            <v>8111435</v>
          </cell>
        </row>
        <row r="12278">
          <cell r="A12278">
            <v>8111436</v>
          </cell>
        </row>
        <row r="12279">
          <cell r="A12279">
            <v>8111437</v>
          </cell>
        </row>
        <row r="12280">
          <cell r="A12280">
            <v>8111438</v>
          </cell>
        </row>
        <row r="12281">
          <cell r="A12281">
            <v>8111439</v>
          </cell>
        </row>
        <row r="12282">
          <cell r="A12282">
            <v>8111444</v>
          </cell>
        </row>
        <row r="12283">
          <cell r="A12283">
            <v>8111445</v>
          </cell>
        </row>
        <row r="12284">
          <cell r="A12284">
            <v>8111446</v>
          </cell>
        </row>
        <row r="12285">
          <cell r="A12285">
            <v>8111447</v>
          </cell>
        </row>
        <row r="12286">
          <cell r="A12286">
            <v>8111448</v>
          </cell>
        </row>
        <row r="12287">
          <cell r="A12287">
            <v>8111449</v>
          </cell>
        </row>
        <row r="12288">
          <cell r="A12288">
            <v>8111450</v>
          </cell>
        </row>
        <row r="12289">
          <cell r="A12289">
            <v>8111451</v>
          </cell>
        </row>
        <row r="12290">
          <cell r="A12290">
            <v>8111452</v>
          </cell>
        </row>
        <row r="12291">
          <cell r="A12291">
            <v>8111453</v>
          </cell>
        </row>
        <row r="12292">
          <cell r="A12292">
            <v>8111454</v>
          </cell>
        </row>
        <row r="12293">
          <cell r="A12293">
            <v>8111455</v>
          </cell>
        </row>
        <row r="12294">
          <cell r="A12294">
            <v>8111456</v>
          </cell>
        </row>
        <row r="12295">
          <cell r="A12295">
            <v>8111457</v>
          </cell>
        </row>
        <row r="12296">
          <cell r="A12296">
            <v>8111458</v>
          </cell>
        </row>
        <row r="12297">
          <cell r="A12297">
            <v>8111459</v>
          </cell>
        </row>
        <row r="12298">
          <cell r="A12298">
            <v>8111460</v>
          </cell>
        </row>
        <row r="12299">
          <cell r="A12299">
            <v>8111461</v>
          </cell>
        </row>
        <row r="12300">
          <cell r="A12300">
            <v>8111462</v>
          </cell>
        </row>
        <row r="12301">
          <cell r="A12301">
            <v>8111463</v>
          </cell>
        </row>
        <row r="12302">
          <cell r="A12302">
            <v>8111464</v>
          </cell>
        </row>
        <row r="12303">
          <cell r="A12303">
            <v>8111465</v>
          </cell>
        </row>
        <row r="12304">
          <cell r="A12304">
            <v>8111466</v>
          </cell>
        </row>
        <row r="12305">
          <cell r="A12305">
            <v>8111467</v>
          </cell>
        </row>
        <row r="12306">
          <cell r="A12306">
            <v>8111468</v>
          </cell>
        </row>
        <row r="12307">
          <cell r="A12307">
            <v>8111469</v>
          </cell>
        </row>
        <row r="12308">
          <cell r="A12308">
            <v>8111471</v>
          </cell>
        </row>
        <row r="12309">
          <cell r="A12309">
            <v>8111501</v>
          </cell>
        </row>
        <row r="12310">
          <cell r="A12310">
            <v>8111502</v>
          </cell>
        </row>
        <row r="12311">
          <cell r="A12311">
            <v>8111503</v>
          </cell>
        </row>
        <row r="12312">
          <cell r="A12312">
            <v>8111504</v>
          </cell>
        </row>
        <row r="12313">
          <cell r="A12313">
            <v>8111505</v>
          </cell>
        </row>
        <row r="12314">
          <cell r="A12314">
            <v>8111506</v>
          </cell>
        </row>
        <row r="12315">
          <cell r="A12315">
            <v>8111507</v>
          </cell>
        </row>
        <row r="12316">
          <cell r="A12316">
            <v>8111508</v>
          </cell>
        </row>
        <row r="12317">
          <cell r="A12317">
            <v>8111509</v>
          </cell>
        </row>
        <row r="12318">
          <cell r="A12318">
            <v>8111510</v>
          </cell>
        </row>
        <row r="12319">
          <cell r="A12319">
            <v>8111519</v>
          </cell>
        </row>
        <row r="12320">
          <cell r="A12320">
            <v>8111520</v>
          </cell>
        </row>
        <row r="12321">
          <cell r="A12321">
            <v>8111521</v>
          </cell>
        </row>
        <row r="12322">
          <cell r="A12322">
            <v>8111522</v>
          </cell>
        </row>
        <row r="12323">
          <cell r="A12323">
            <v>8111523</v>
          </cell>
        </row>
        <row r="12324">
          <cell r="A12324">
            <v>8111524</v>
          </cell>
        </row>
        <row r="12325">
          <cell r="A12325">
            <v>8111525</v>
          </cell>
        </row>
        <row r="12326">
          <cell r="A12326">
            <v>8111526</v>
          </cell>
        </row>
        <row r="12327">
          <cell r="A12327">
            <v>8111527</v>
          </cell>
        </row>
        <row r="12328">
          <cell r="A12328">
            <v>8111528</v>
          </cell>
        </row>
        <row r="12329">
          <cell r="A12329">
            <v>8111529</v>
          </cell>
        </row>
        <row r="12330">
          <cell r="A12330">
            <v>8111530</v>
          </cell>
        </row>
        <row r="12331">
          <cell r="A12331">
            <v>8111531</v>
          </cell>
        </row>
        <row r="12332">
          <cell r="A12332">
            <v>8111532</v>
          </cell>
        </row>
        <row r="12333">
          <cell r="A12333">
            <v>8111533</v>
          </cell>
        </row>
        <row r="12334">
          <cell r="A12334">
            <v>8111534</v>
          </cell>
        </row>
        <row r="12335">
          <cell r="A12335">
            <v>8111701</v>
          </cell>
        </row>
        <row r="12336">
          <cell r="A12336">
            <v>8111702</v>
          </cell>
        </row>
        <row r="12337">
          <cell r="A12337">
            <v>8111703</v>
          </cell>
        </row>
        <row r="12338">
          <cell r="A12338">
            <v>8111704</v>
          </cell>
        </row>
        <row r="12339">
          <cell r="A12339">
            <v>8111705</v>
          </cell>
        </row>
        <row r="12340">
          <cell r="A12340">
            <v>8111706</v>
          </cell>
        </row>
        <row r="12341">
          <cell r="A12341">
            <v>8111707</v>
          </cell>
        </row>
        <row r="12342">
          <cell r="A12342">
            <v>8111708</v>
          </cell>
        </row>
        <row r="12343">
          <cell r="A12343">
            <v>8111709</v>
          </cell>
        </row>
        <row r="12344">
          <cell r="A12344">
            <v>8111710</v>
          </cell>
        </row>
        <row r="12345">
          <cell r="A12345">
            <v>8111711</v>
          </cell>
        </row>
        <row r="12346">
          <cell r="A12346">
            <v>8111712</v>
          </cell>
        </row>
        <row r="12347">
          <cell r="A12347">
            <v>8111713</v>
          </cell>
        </row>
        <row r="12348">
          <cell r="A12348">
            <v>8111714</v>
          </cell>
        </row>
        <row r="12349">
          <cell r="A12349">
            <v>8111715</v>
          </cell>
        </row>
        <row r="12350">
          <cell r="A12350">
            <v>8111716</v>
          </cell>
        </row>
        <row r="12351">
          <cell r="A12351">
            <v>8111717</v>
          </cell>
        </row>
        <row r="12352">
          <cell r="A12352">
            <v>8111718</v>
          </cell>
        </row>
        <row r="12353">
          <cell r="A12353">
            <v>8111719</v>
          </cell>
        </row>
        <row r="12354">
          <cell r="A12354">
            <v>8111720</v>
          </cell>
        </row>
        <row r="12355">
          <cell r="A12355">
            <v>8111721</v>
          </cell>
        </row>
        <row r="12356">
          <cell r="A12356">
            <v>8111722</v>
          </cell>
        </row>
        <row r="12357">
          <cell r="A12357">
            <v>8111723</v>
          </cell>
        </row>
        <row r="12358">
          <cell r="A12358">
            <v>8111724</v>
          </cell>
        </row>
        <row r="12359">
          <cell r="A12359">
            <v>8111725</v>
          </cell>
        </row>
        <row r="12360">
          <cell r="A12360">
            <v>8111726</v>
          </cell>
        </row>
        <row r="12361">
          <cell r="A12361">
            <v>8111727</v>
          </cell>
        </row>
        <row r="12362">
          <cell r="A12362">
            <v>8111728</v>
          </cell>
        </row>
        <row r="12363">
          <cell r="A12363">
            <v>8111729</v>
          </cell>
        </row>
        <row r="12364">
          <cell r="A12364">
            <v>8111730</v>
          </cell>
        </row>
        <row r="12365">
          <cell r="A12365">
            <v>8111731</v>
          </cell>
        </row>
        <row r="12366">
          <cell r="A12366">
            <v>8111732</v>
          </cell>
        </row>
        <row r="12367">
          <cell r="A12367">
            <v>8111733</v>
          </cell>
        </row>
        <row r="12368">
          <cell r="A12368">
            <v>8111734</v>
          </cell>
        </row>
        <row r="12369">
          <cell r="A12369">
            <v>8111735</v>
          </cell>
        </row>
        <row r="12370">
          <cell r="A12370">
            <v>8111736</v>
          </cell>
        </row>
        <row r="12371">
          <cell r="A12371">
            <v>8111737</v>
          </cell>
        </row>
        <row r="12372">
          <cell r="A12372">
            <v>8111738</v>
          </cell>
        </row>
        <row r="12373">
          <cell r="A12373">
            <v>8111743</v>
          </cell>
        </row>
        <row r="12374">
          <cell r="A12374">
            <v>8111744</v>
          </cell>
        </row>
        <row r="12375">
          <cell r="A12375">
            <v>8111745</v>
          </cell>
        </row>
        <row r="12376">
          <cell r="A12376">
            <v>8111746</v>
          </cell>
        </row>
        <row r="12377">
          <cell r="A12377">
            <v>8111747</v>
          </cell>
        </row>
        <row r="12378">
          <cell r="A12378">
            <v>8111748</v>
          </cell>
        </row>
        <row r="12379">
          <cell r="A12379">
            <v>8111749</v>
          </cell>
        </row>
        <row r="12380">
          <cell r="A12380">
            <v>8111750</v>
          </cell>
        </row>
        <row r="12381">
          <cell r="A12381">
            <v>8111751</v>
          </cell>
        </row>
        <row r="12382">
          <cell r="A12382">
            <v>8111752</v>
          </cell>
        </row>
        <row r="12383">
          <cell r="A12383">
            <v>8111753</v>
          </cell>
        </row>
        <row r="12384">
          <cell r="A12384">
            <v>8111754</v>
          </cell>
        </row>
        <row r="12385">
          <cell r="A12385">
            <v>8111756</v>
          </cell>
        </row>
        <row r="12386">
          <cell r="A12386">
            <v>8111757</v>
          </cell>
        </row>
        <row r="12387">
          <cell r="A12387">
            <v>8111758</v>
          </cell>
        </row>
        <row r="12388">
          <cell r="A12388">
            <v>8111801</v>
          </cell>
        </row>
        <row r="12389">
          <cell r="A12389">
            <v>8111802</v>
          </cell>
        </row>
        <row r="12390">
          <cell r="A12390">
            <v>8111803</v>
          </cell>
        </row>
        <row r="12391">
          <cell r="A12391">
            <v>8111804</v>
          </cell>
        </row>
        <row r="12392">
          <cell r="A12392">
            <v>8111805</v>
          </cell>
        </row>
        <row r="12393">
          <cell r="A12393">
            <v>8111806</v>
          </cell>
        </row>
        <row r="12394">
          <cell r="A12394">
            <v>8111807</v>
          </cell>
        </row>
        <row r="12395">
          <cell r="A12395">
            <v>8111808</v>
          </cell>
        </row>
        <row r="12396">
          <cell r="A12396">
            <v>8111809</v>
          </cell>
        </row>
        <row r="12397">
          <cell r="A12397">
            <v>8111810</v>
          </cell>
        </row>
        <row r="12398">
          <cell r="A12398">
            <v>8111811</v>
          </cell>
        </row>
        <row r="12399">
          <cell r="A12399">
            <v>8111812</v>
          </cell>
        </row>
        <row r="12400">
          <cell r="A12400">
            <v>8111813</v>
          </cell>
        </row>
        <row r="12401">
          <cell r="A12401">
            <v>8111814</v>
          </cell>
        </row>
        <row r="12402">
          <cell r="A12402">
            <v>8111815</v>
          </cell>
        </row>
        <row r="12403">
          <cell r="A12403">
            <v>8111816</v>
          </cell>
        </row>
        <row r="12404">
          <cell r="A12404">
            <v>8111817</v>
          </cell>
        </row>
        <row r="12405">
          <cell r="A12405">
            <v>8111818</v>
          </cell>
        </row>
        <row r="12406">
          <cell r="A12406">
            <v>8111819</v>
          </cell>
        </row>
        <row r="12407">
          <cell r="A12407">
            <v>8111820</v>
          </cell>
        </row>
        <row r="12408">
          <cell r="A12408">
            <v>8111821</v>
          </cell>
        </row>
        <row r="12409">
          <cell r="A12409">
            <v>8111822</v>
          </cell>
        </row>
        <row r="12410">
          <cell r="A12410">
            <v>8111823</v>
          </cell>
        </row>
        <row r="12411">
          <cell r="A12411">
            <v>8111824</v>
          </cell>
        </row>
        <row r="12412">
          <cell r="A12412">
            <v>8111825</v>
          </cell>
        </row>
        <row r="12413">
          <cell r="A12413">
            <v>8111826</v>
          </cell>
        </row>
        <row r="12414">
          <cell r="A12414">
            <v>8111827</v>
          </cell>
        </row>
        <row r="12415">
          <cell r="A12415">
            <v>8111828</v>
          </cell>
        </row>
        <row r="12416">
          <cell r="A12416">
            <v>8111829</v>
          </cell>
        </row>
        <row r="12417">
          <cell r="A12417">
            <v>8111830</v>
          </cell>
        </row>
        <row r="12418">
          <cell r="A12418">
            <v>8111831</v>
          </cell>
        </row>
        <row r="12419">
          <cell r="A12419">
            <v>8111832</v>
          </cell>
        </row>
        <row r="12420">
          <cell r="A12420">
            <v>8111833</v>
          </cell>
        </row>
        <row r="12421">
          <cell r="A12421">
            <v>8111834</v>
          </cell>
        </row>
        <row r="12422">
          <cell r="A12422">
            <v>8111835</v>
          </cell>
        </row>
        <row r="12423">
          <cell r="A12423">
            <v>8111836</v>
          </cell>
        </row>
        <row r="12424">
          <cell r="A12424">
            <v>8111837</v>
          </cell>
        </row>
        <row r="12425">
          <cell r="A12425">
            <v>8111838</v>
          </cell>
        </row>
        <row r="12426">
          <cell r="A12426">
            <v>8111839</v>
          </cell>
        </row>
        <row r="12427">
          <cell r="A12427">
            <v>8111840</v>
          </cell>
        </row>
        <row r="12428">
          <cell r="A12428">
            <v>8111901</v>
          </cell>
        </row>
        <row r="12429">
          <cell r="A12429">
            <v>8111902</v>
          </cell>
        </row>
        <row r="12430">
          <cell r="A12430">
            <v>8111903</v>
          </cell>
        </row>
        <row r="12431">
          <cell r="A12431">
            <v>8111904</v>
          </cell>
        </row>
        <row r="12432">
          <cell r="A12432">
            <v>8111905</v>
          </cell>
        </row>
        <row r="12433">
          <cell r="A12433">
            <v>8111906</v>
          </cell>
        </row>
        <row r="12434">
          <cell r="A12434">
            <v>8111907</v>
          </cell>
        </row>
        <row r="12435">
          <cell r="A12435">
            <v>8111908</v>
          </cell>
        </row>
        <row r="12436">
          <cell r="A12436">
            <v>8111909</v>
          </cell>
        </row>
        <row r="12437">
          <cell r="A12437">
            <v>8111910</v>
          </cell>
        </row>
        <row r="12438">
          <cell r="A12438">
            <v>8111911</v>
          </cell>
        </row>
        <row r="12439">
          <cell r="A12439">
            <v>8111912</v>
          </cell>
        </row>
        <row r="12440">
          <cell r="A12440">
            <v>8111913</v>
          </cell>
        </row>
        <row r="12441">
          <cell r="A12441">
            <v>8111914</v>
          </cell>
        </row>
        <row r="12442">
          <cell r="A12442">
            <v>8111915</v>
          </cell>
        </row>
        <row r="12443">
          <cell r="A12443">
            <v>8111916</v>
          </cell>
        </row>
        <row r="12444">
          <cell r="A12444">
            <v>8111917</v>
          </cell>
        </row>
        <row r="12445">
          <cell r="A12445">
            <v>8111918</v>
          </cell>
        </row>
        <row r="12446">
          <cell r="A12446">
            <v>8111919</v>
          </cell>
        </row>
        <row r="12447">
          <cell r="A12447">
            <v>8111920</v>
          </cell>
        </row>
        <row r="12448">
          <cell r="A12448">
            <v>8111921</v>
          </cell>
        </row>
        <row r="12449">
          <cell r="A12449">
            <v>8111922</v>
          </cell>
        </row>
        <row r="12450">
          <cell r="A12450">
            <v>8111923</v>
          </cell>
        </row>
        <row r="12451">
          <cell r="A12451">
            <v>8111924</v>
          </cell>
        </row>
        <row r="12452">
          <cell r="A12452">
            <v>8111925</v>
          </cell>
        </row>
        <row r="12453">
          <cell r="A12453">
            <v>8111926</v>
          </cell>
        </row>
        <row r="12454">
          <cell r="A12454">
            <v>8111927</v>
          </cell>
        </row>
        <row r="12455">
          <cell r="A12455">
            <v>8111928</v>
          </cell>
        </row>
        <row r="12456">
          <cell r="A12456">
            <v>8111929</v>
          </cell>
        </row>
        <row r="12457">
          <cell r="A12457">
            <v>8111930</v>
          </cell>
        </row>
        <row r="12458">
          <cell r="A12458">
            <v>8111931</v>
          </cell>
        </row>
        <row r="12459">
          <cell r="A12459">
            <v>8111932</v>
          </cell>
        </row>
        <row r="12460">
          <cell r="A12460">
            <v>8111933</v>
          </cell>
        </row>
        <row r="12461">
          <cell r="A12461">
            <v>8111934</v>
          </cell>
        </row>
        <row r="12462">
          <cell r="A12462">
            <v>8111935</v>
          </cell>
        </row>
        <row r="12463">
          <cell r="A12463">
            <v>8111936</v>
          </cell>
        </row>
        <row r="12464">
          <cell r="A12464">
            <v>8111937</v>
          </cell>
        </row>
        <row r="12465">
          <cell r="A12465">
            <v>8111938</v>
          </cell>
        </row>
        <row r="12466">
          <cell r="A12466">
            <v>8111939</v>
          </cell>
        </row>
        <row r="12467">
          <cell r="A12467">
            <v>8111940</v>
          </cell>
        </row>
        <row r="12468">
          <cell r="A12468">
            <v>8111941</v>
          </cell>
        </row>
        <row r="12469">
          <cell r="A12469">
            <v>8111942</v>
          </cell>
        </row>
        <row r="12470">
          <cell r="A12470">
            <v>8111943</v>
          </cell>
        </row>
        <row r="12471">
          <cell r="A12471">
            <v>8111944</v>
          </cell>
        </row>
        <row r="12472">
          <cell r="A12472">
            <v>8111945</v>
          </cell>
        </row>
        <row r="12473">
          <cell r="A12473">
            <v>8111957</v>
          </cell>
        </row>
        <row r="12474">
          <cell r="A12474">
            <v>8111958</v>
          </cell>
        </row>
        <row r="12475">
          <cell r="A12475">
            <v>8111961</v>
          </cell>
        </row>
        <row r="12476">
          <cell r="A12476">
            <v>8111962</v>
          </cell>
        </row>
        <row r="12477">
          <cell r="A12477">
            <v>8111963</v>
          </cell>
        </row>
        <row r="12478">
          <cell r="A12478">
            <v>8111964</v>
          </cell>
        </row>
        <row r="12479">
          <cell r="A12479">
            <v>8111965</v>
          </cell>
        </row>
        <row r="12480">
          <cell r="A12480">
            <v>8111966</v>
          </cell>
        </row>
        <row r="12481">
          <cell r="A12481">
            <v>8111967</v>
          </cell>
        </row>
        <row r="12482">
          <cell r="A12482">
            <v>8111968</v>
          </cell>
        </row>
        <row r="12483">
          <cell r="A12483">
            <v>8112001</v>
          </cell>
        </row>
        <row r="12484">
          <cell r="A12484">
            <v>8112002</v>
          </cell>
        </row>
        <row r="12485">
          <cell r="A12485">
            <v>8112003</v>
          </cell>
        </row>
        <row r="12486">
          <cell r="A12486">
            <v>8112004</v>
          </cell>
        </row>
        <row r="12487">
          <cell r="A12487">
            <v>8112005</v>
          </cell>
        </row>
        <row r="12488">
          <cell r="A12488">
            <v>8112006</v>
          </cell>
        </row>
        <row r="12489">
          <cell r="A12489">
            <v>8112007</v>
          </cell>
        </row>
        <row r="12490">
          <cell r="A12490">
            <v>8112008</v>
          </cell>
        </row>
        <row r="12491">
          <cell r="A12491">
            <v>8112009</v>
          </cell>
        </row>
        <row r="12492">
          <cell r="A12492">
            <v>8112010</v>
          </cell>
        </row>
        <row r="12493">
          <cell r="A12493">
            <v>8112011</v>
          </cell>
        </row>
        <row r="12494">
          <cell r="A12494">
            <v>8112012</v>
          </cell>
        </row>
        <row r="12495">
          <cell r="A12495">
            <v>8112013</v>
          </cell>
        </row>
        <row r="12496">
          <cell r="A12496">
            <v>8112014</v>
          </cell>
        </row>
        <row r="12497">
          <cell r="A12497">
            <v>8112018</v>
          </cell>
        </row>
        <row r="12498">
          <cell r="A12498">
            <v>8112019</v>
          </cell>
        </row>
        <row r="12499">
          <cell r="A12499">
            <v>8112020</v>
          </cell>
        </row>
        <row r="12500">
          <cell r="A12500">
            <v>8112021</v>
          </cell>
        </row>
        <row r="12501">
          <cell r="A12501">
            <v>8112022</v>
          </cell>
        </row>
        <row r="12502">
          <cell r="A12502">
            <v>8112023</v>
          </cell>
        </row>
        <row r="12503">
          <cell r="A12503">
            <v>8112024</v>
          </cell>
        </row>
        <row r="12504">
          <cell r="A12504">
            <v>8112025</v>
          </cell>
        </row>
        <row r="12505">
          <cell r="A12505">
            <v>8112026</v>
          </cell>
        </row>
        <row r="12506">
          <cell r="A12506">
            <v>8112028</v>
          </cell>
        </row>
        <row r="12507">
          <cell r="A12507">
            <v>8112029</v>
          </cell>
        </row>
        <row r="12508">
          <cell r="A12508">
            <v>8112030</v>
          </cell>
        </row>
        <row r="12509">
          <cell r="A12509">
            <v>8112031</v>
          </cell>
        </row>
        <row r="12510">
          <cell r="A12510">
            <v>8112032</v>
          </cell>
        </row>
        <row r="12511">
          <cell r="A12511">
            <v>8112033</v>
          </cell>
        </row>
        <row r="12512">
          <cell r="A12512">
            <v>8112034</v>
          </cell>
        </row>
        <row r="12513">
          <cell r="A12513">
            <v>8112035</v>
          </cell>
        </row>
        <row r="12514">
          <cell r="A12514">
            <v>8112036</v>
          </cell>
        </row>
        <row r="12515">
          <cell r="A12515">
            <v>8112037</v>
          </cell>
        </row>
        <row r="12516">
          <cell r="A12516">
            <v>8112038</v>
          </cell>
        </row>
        <row r="12517">
          <cell r="A12517">
            <v>8112039</v>
          </cell>
        </row>
        <row r="12518">
          <cell r="A12518">
            <v>8112040</v>
          </cell>
        </row>
        <row r="12519">
          <cell r="A12519">
            <v>8112041</v>
          </cell>
        </row>
        <row r="12520">
          <cell r="A12520">
            <v>8112042</v>
          </cell>
        </row>
        <row r="12521">
          <cell r="A12521">
            <v>8112043</v>
          </cell>
        </row>
        <row r="12522">
          <cell r="A12522">
            <v>8112044</v>
          </cell>
        </row>
        <row r="12523">
          <cell r="A12523">
            <v>8112045</v>
          </cell>
        </row>
        <row r="12524">
          <cell r="A12524">
            <v>8112046</v>
          </cell>
        </row>
        <row r="12525">
          <cell r="A12525">
            <v>8112047</v>
          </cell>
        </row>
        <row r="12526">
          <cell r="A12526">
            <v>8112048</v>
          </cell>
        </row>
        <row r="12527">
          <cell r="A12527">
            <v>8112049</v>
          </cell>
        </row>
        <row r="12528">
          <cell r="A12528">
            <v>8112050</v>
          </cell>
        </row>
        <row r="12529">
          <cell r="A12529">
            <v>8112051</v>
          </cell>
        </row>
        <row r="12530">
          <cell r="A12530">
            <v>8112052</v>
          </cell>
        </row>
        <row r="12531">
          <cell r="A12531">
            <v>8112053</v>
          </cell>
        </row>
        <row r="12532">
          <cell r="A12532">
            <v>8112054</v>
          </cell>
        </row>
        <row r="12533">
          <cell r="A12533">
            <v>8112055</v>
          </cell>
        </row>
        <row r="12534">
          <cell r="A12534">
            <v>8112056</v>
          </cell>
        </row>
        <row r="12535">
          <cell r="A12535">
            <v>8112061</v>
          </cell>
        </row>
        <row r="12536">
          <cell r="A12536">
            <v>8112062</v>
          </cell>
        </row>
        <row r="12537">
          <cell r="A12537">
            <v>8112101</v>
          </cell>
        </row>
        <row r="12538">
          <cell r="A12538">
            <v>8112102</v>
          </cell>
        </row>
        <row r="12539">
          <cell r="A12539">
            <v>8112103</v>
          </cell>
        </row>
        <row r="12540">
          <cell r="A12540">
            <v>8112104</v>
          </cell>
        </row>
        <row r="12541">
          <cell r="A12541">
            <v>8112105</v>
          </cell>
        </row>
        <row r="12542">
          <cell r="A12542">
            <v>8112106</v>
          </cell>
        </row>
        <row r="12543">
          <cell r="A12543">
            <v>8112107</v>
          </cell>
        </row>
        <row r="12544">
          <cell r="A12544">
            <v>8112108</v>
          </cell>
        </row>
        <row r="12545">
          <cell r="A12545">
            <v>8112109</v>
          </cell>
        </row>
        <row r="12546">
          <cell r="A12546">
            <v>8112110</v>
          </cell>
        </row>
        <row r="12547">
          <cell r="A12547">
            <v>8112111</v>
          </cell>
        </row>
        <row r="12548">
          <cell r="A12548">
            <v>8112112</v>
          </cell>
        </row>
        <row r="12549">
          <cell r="A12549">
            <v>8112113</v>
          </cell>
        </row>
        <row r="12550">
          <cell r="A12550">
            <v>8112114</v>
          </cell>
        </row>
        <row r="12551">
          <cell r="A12551">
            <v>8112115</v>
          </cell>
        </row>
        <row r="12552">
          <cell r="A12552">
            <v>8112116</v>
          </cell>
        </row>
        <row r="12553">
          <cell r="A12553">
            <v>8112122</v>
          </cell>
        </row>
        <row r="12554">
          <cell r="A12554">
            <v>8112123</v>
          </cell>
        </row>
        <row r="12555">
          <cell r="A12555">
            <v>8112124</v>
          </cell>
        </row>
        <row r="12556">
          <cell r="A12556">
            <v>8112125</v>
          </cell>
        </row>
        <row r="12557">
          <cell r="A12557">
            <v>8112126</v>
          </cell>
        </row>
        <row r="12558">
          <cell r="A12558">
            <v>8112127</v>
          </cell>
        </row>
        <row r="12559">
          <cell r="A12559">
            <v>8112128</v>
          </cell>
        </row>
        <row r="12560">
          <cell r="A12560">
            <v>8112129</v>
          </cell>
        </row>
        <row r="12561">
          <cell r="A12561">
            <v>8112130</v>
          </cell>
        </row>
        <row r="12562">
          <cell r="A12562">
            <v>8112131</v>
          </cell>
        </row>
        <row r="12563">
          <cell r="A12563">
            <v>8112132</v>
          </cell>
        </row>
        <row r="12564">
          <cell r="A12564">
            <v>8112133</v>
          </cell>
        </row>
        <row r="12565">
          <cell r="A12565">
            <v>8112134</v>
          </cell>
        </row>
        <row r="12566">
          <cell r="A12566">
            <v>8112137</v>
          </cell>
        </row>
        <row r="12567">
          <cell r="A12567">
            <v>8112201</v>
          </cell>
        </row>
        <row r="12568">
          <cell r="A12568">
            <v>8112202</v>
          </cell>
        </row>
        <row r="12569">
          <cell r="A12569">
            <v>8112203</v>
          </cell>
        </row>
        <row r="12570">
          <cell r="A12570">
            <v>8112204</v>
          </cell>
        </row>
        <row r="12571">
          <cell r="A12571">
            <v>8112205</v>
          </cell>
        </row>
        <row r="12572">
          <cell r="A12572">
            <v>8112206</v>
          </cell>
        </row>
        <row r="12573">
          <cell r="A12573">
            <v>8112207</v>
          </cell>
        </row>
        <row r="12574">
          <cell r="A12574">
            <v>8112208</v>
          </cell>
        </row>
        <row r="12575">
          <cell r="A12575">
            <v>8112209</v>
          </cell>
        </row>
        <row r="12576">
          <cell r="A12576">
            <v>8112210</v>
          </cell>
        </row>
        <row r="12577">
          <cell r="A12577">
            <v>8112211</v>
          </cell>
        </row>
        <row r="12578">
          <cell r="A12578">
            <v>8112212</v>
          </cell>
        </row>
        <row r="12579">
          <cell r="A12579">
            <v>8112213</v>
          </cell>
        </row>
        <row r="12580">
          <cell r="A12580">
            <v>8112214</v>
          </cell>
        </row>
        <row r="12581">
          <cell r="A12581">
            <v>8112215</v>
          </cell>
        </row>
        <row r="12582">
          <cell r="A12582">
            <v>8112216</v>
          </cell>
        </row>
        <row r="12583">
          <cell r="A12583">
            <v>8112217</v>
          </cell>
        </row>
        <row r="12584">
          <cell r="A12584">
            <v>8112218</v>
          </cell>
        </row>
        <row r="12585">
          <cell r="A12585">
            <v>8112226</v>
          </cell>
        </row>
        <row r="12586">
          <cell r="A12586">
            <v>8112227</v>
          </cell>
        </row>
        <row r="12587">
          <cell r="A12587">
            <v>8112228</v>
          </cell>
        </row>
        <row r="12588">
          <cell r="A12588">
            <v>8112229</v>
          </cell>
        </row>
        <row r="12589">
          <cell r="A12589">
            <v>8112230</v>
          </cell>
        </row>
        <row r="12590">
          <cell r="A12590">
            <v>8112231</v>
          </cell>
        </row>
        <row r="12591">
          <cell r="A12591">
            <v>8112232</v>
          </cell>
        </row>
        <row r="12592">
          <cell r="A12592">
            <v>8112233</v>
          </cell>
        </row>
        <row r="12593">
          <cell r="A12593">
            <v>8112234</v>
          </cell>
        </row>
        <row r="12594">
          <cell r="A12594">
            <v>8112235</v>
          </cell>
        </row>
        <row r="12595">
          <cell r="A12595">
            <v>8112236</v>
          </cell>
        </row>
        <row r="12596">
          <cell r="A12596">
            <v>8112237</v>
          </cell>
        </row>
        <row r="12597">
          <cell r="A12597">
            <v>8112238</v>
          </cell>
        </row>
        <row r="12598">
          <cell r="A12598">
            <v>8112239</v>
          </cell>
        </row>
        <row r="12599">
          <cell r="A12599">
            <v>8112240</v>
          </cell>
        </row>
        <row r="12600">
          <cell r="A12600">
            <v>8112241</v>
          </cell>
        </row>
        <row r="12601">
          <cell r="A12601">
            <v>8112401</v>
          </cell>
        </row>
        <row r="12602">
          <cell r="A12602">
            <v>8112402</v>
          </cell>
        </row>
        <row r="12603">
          <cell r="A12603">
            <v>8112403</v>
          </cell>
        </row>
        <row r="12604">
          <cell r="A12604">
            <v>8112404</v>
          </cell>
        </row>
        <row r="12605">
          <cell r="A12605">
            <v>8112405</v>
          </cell>
        </row>
        <row r="12606">
          <cell r="A12606">
            <v>8112406</v>
          </cell>
        </row>
        <row r="12607">
          <cell r="A12607">
            <v>8112407</v>
          </cell>
        </row>
        <row r="12608">
          <cell r="A12608">
            <v>8112408</v>
          </cell>
        </row>
        <row r="12609">
          <cell r="A12609">
            <v>8112409</v>
          </cell>
        </row>
        <row r="12610">
          <cell r="A12610">
            <v>8112410</v>
          </cell>
        </row>
        <row r="12611">
          <cell r="A12611">
            <v>8112411</v>
          </cell>
        </row>
        <row r="12612">
          <cell r="A12612">
            <v>8112412</v>
          </cell>
        </row>
        <row r="12613">
          <cell r="A12613">
            <v>8112413</v>
          </cell>
        </row>
        <row r="12614">
          <cell r="A12614">
            <v>8112414</v>
          </cell>
        </row>
        <row r="12615">
          <cell r="A12615">
            <v>8112415</v>
          </cell>
        </row>
        <row r="12616">
          <cell r="A12616">
            <v>8112416</v>
          </cell>
        </row>
        <row r="12617">
          <cell r="A12617">
            <v>8112417</v>
          </cell>
        </row>
        <row r="12618">
          <cell r="A12618">
            <v>8112418</v>
          </cell>
        </row>
        <row r="12619">
          <cell r="A12619">
            <v>8112419</v>
          </cell>
        </row>
        <row r="12620">
          <cell r="A12620">
            <v>8112420</v>
          </cell>
        </row>
        <row r="12621">
          <cell r="A12621">
            <v>8112421</v>
          </cell>
        </row>
        <row r="12622">
          <cell r="A12622">
            <v>8112422</v>
          </cell>
        </row>
        <row r="12623">
          <cell r="A12623">
            <v>8112423</v>
          </cell>
        </row>
        <row r="12624">
          <cell r="A12624">
            <v>8112424</v>
          </cell>
        </row>
        <row r="12625">
          <cell r="A12625">
            <v>8112425</v>
          </cell>
        </row>
        <row r="12626">
          <cell r="A12626">
            <v>8112426</v>
          </cell>
        </row>
        <row r="12627">
          <cell r="A12627">
            <v>8112427</v>
          </cell>
        </row>
        <row r="12628">
          <cell r="A12628">
            <v>8112428</v>
          </cell>
        </row>
        <row r="12629">
          <cell r="A12629">
            <v>8112429</v>
          </cell>
        </row>
        <row r="12630">
          <cell r="A12630">
            <v>8112430</v>
          </cell>
        </row>
        <row r="12631">
          <cell r="A12631">
            <v>8112431</v>
          </cell>
        </row>
        <row r="12632">
          <cell r="A12632">
            <v>8112432</v>
          </cell>
        </row>
        <row r="12633">
          <cell r="A12633">
            <v>8112433</v>
          </cell>
        </row>
        <row r="12634">
          <cell r="A12634">
            <v>8112434</v>
          </cell>
        </row>
        <row r="12635">
          <cell r="A12635">
            <v>8112435</v>
          </cell>
        </row>
        <row r="12636">
          <cell r="A12636">
            <v>8112438</v>
          </cell>
        </row>
        <row r="12637">
          <cell r="A12637">
            <v>8112501</v>
          </cell>
        </row>
        <row r="12638">
          <cell r="A12638">
            <v>8112502</v>
          </cell>
        </row>
        <row r="12639">
          <cell r="A12639">
            <v>8112503</v>
          </cell>
        </row>
        <row r="12640">
          <cell r="A12640">
            <v>8112504</v>
          </cell>
        </row>
        <row r="12641">
          <cell r="A12641">
            <v>8112506</v>
          </cell>
        </row>
        <row r="12642">
          <cell r="A12642">
            <v>8112507</v>
          </cell>
        </row>
        <row r="12643">
          <cell r="A12643">
            <v>8112514</v>
          </cell>
        </row>
        <row r="12644">
          <cell r="A12644">
            <v>8112515</v>
          </cell>
        </row>
        <row r="12645">
          <cell r="A12645">
            <v>8112516</v>
          </cell>
        </row>
        <row r="12646">
          <cell r="A12646">
            <v>8112517</v>
          </cell>
        </row>
        <row r="12647">
          <cell r="A12647">
            <v>8112518</v>
          </cell>
        </row>
        <row r="12648">
          <cell r="A12648">
            <v>8112519</v>
          </cell>
        </row>
        <row r="12649">
          <cell r="A12649">
            <v>8112520</v>
          </cell>
        </row>
        <row r="12650">
          <cell r="A12650">
            <v>8112521</v>
          </cell>
        </row>
        <row r="12651">
          <cell r="A12651">
            <v>8112522</v>
          </cell>
        </row>
        <row r="12652">
          <cell r="A12652">
            <v>8112523</v>
          </cell>
        </row>
        <row r="12653">
          <cell r="A12653">
            <v>8112524</v>
          </cell>
        </row>
        <row r="12654">
          <cell r="A12654">
            <v>8112525</v>
          </cell>
        </row>
        <row r="12655">
          <cell r="A12655">
            <v>8112526</v>
          </cell>
        </row>
        <row r="12656">
          <cell r="A12656">
            <v>8112527</v>
          </cell>
        </row>
        <row r="12657">
          <cell r="A12657">
            <v>8112528</v>
          </cell>
        </row>
        <row r="12658">
          <cell r="A12658">
            <v>8112529</v>
          </cell>
        </row>
        <row r="12659">
          <cell r="A12659">
            <v>8112530</v>
          </cell>
        </row>
        <row r="12660">
          <cell r="A12660">
            <v>8112531</v>
          </cell>
        </row>
        <row r="12661">
          <cell r="A12661">
            <v>8112532</v>
          </cell>
        </row>
        <row r="12662">
          <cell r="A12662">
            <v>8112533</v>
          </cell>
        </row>
        <row r="12663">
          <cell r="A12663">
            <v>8112534</v>
          </cell>
        </row>
        <row r="12664">
          <cell r="A12664">
            <v>8112535</v>
          </cell>
        </row>
        <row r="12665">
          <cell r="A12665">
            <v>8112536</v>
          </cell>
        </row>
        <row r="12666">
          <cell r="A12666">
            <v>8112537</v>
          </cell>
        </row>
        <row r="12667">
          <cell r="A12667">
            <v>8112538</v>
          </cell>
        </row>
        <row r="12668">
          <cell r="A12668">
            <v>8112539</v>
          </cell>
        </row>
        <row r="12669">
          <cell r="A12669">
            <v>8112540</v>
          </cell>
        </row>
        <row r="12670">
          <cell r="A12670">
            <v>8112541</v>
          </cell>
        </row>
        <row r="12671">
          <cell r="A12671">
            <v>8112542</v>
          </cell>
        </row>
        <row r="12672">
          <cell r="A12672">
            <v>8112543</v>
          </cell>
        </row>
        <row r="12673">
          <cell r="A12673">
            <v>8112544</v>
          </cell>
        </row>
        <row r="12674">
          <cell r="A12674">
            <v>8112545</v>
          </cell>
        </row>
        <row r="12675">
          <cell r="A12675">
            <v>8112546</v>
          </cell>
        </row>
        <row r="12676">
          <cell r="A12676">
            <v>8112547</v>
          </cell>
        </row>
        <row r="12677">
          <cell r="A12677">
            <v>8112548</v>
          </cell>
        </row>
        <row r="12678">
          <cell r="A12678">
            <v>8112549</v>
          </cell>
        </row>
        <row r="12679">
          <cell r="A12679">
            <v>8112601</v>
          </cell>
        </row>
        <row r="12680">
          <cell r="A12680">
            <v>8112602</v>
          </cell>
        </row>
        <row r="12681">
          <cell r="A12681">
            <v>8112603</v>
          </cell>
        </row>
        <row r="12682">
          <cell r="A12682">
            <v>8112604</v>
          </cell>
        </row>
        <row r="12683">
          <cell r="A12683">
            <v>8112605</v>
          </cell>
        </row>
        <row r="12684">
          <cell r="A12684">
            <v>8112606</v>
          </cell>
        </row>
        <row r="12685">
          <cell r="A12685">
            <v>8112607</v>
          </cell>
        </row>
        <row r="12686">
          <cell r="A12686">
            <v>8112608</v>
          </cell>
        </row>
        <row r="12687">
          <cell r="A12687">
            <v>8112609</v>
          </cell>
        </row>
        <row r="12688">
          <cell r="A12688">
            <v>8112610</v>
          </cell>
        </row>
        <row r="12689">
          <cell r="A12689">
            <v>8112611</v>
          </cell>
        </row>
        <row r="12690">
          <cell r="A12690">
            <v>8112612</v>
          </cell>
        </row>
        <row r="12691">
          <cell r="A12691">
            <v>8112613</v>
          </cell>
        </row>
        <row r="12692">
          <cell r="A12692">
            <v>8112614</v>
          </cell>
        </row>
        <row r="12693">
          <cell r="A12693">
            <v>8112615</v>
          </cell>
        </row>
        <row r="12694">
          <cell r="A12694">
            <v>8112616</v>
          </cell>
        </row>
        <row r="12695">
          <cell r="A12695">
            <v>8112617</v>
          </cell>
        </row>
        <row r="12696">
          <cell r="A12696">
            <v>8112618</v>
          </cell>
        </row>
        <row r="12697">
          <cell r="A12697">
            <v>8112619</v>
          </cell>
        </row>
        <row r="12698">
          <cell r="A12698">
            <v>8112620</v>
          </cell>
        </row>
        <row r="12699">
          <cell r="A12699">
            <v>8112621</v>
          </cell>
        </row>
        <row r="12700">
          <cell r="A12700">
            <v>8112622</v>
          </cell>
        </row>
        <row r="12701">
          <cell r="A12701">
            <v>8112623</v>
          </cell>
        </row>
        <row r="12702">
          <cell r="A12702">
            <v>8112624</v>
          </cell>
        </row>
        <row r="12703">
          <cell r="A12703">
            <v>8112625</v>
          </cell>
        </row>
        <row r="12704">
          <cell r="A12704">
            <v>8112626</v>
          </cell>
        </row>
        <row r="12705">
          <cell r="A12705">
            <v>8112627</v>
          </cell>
        </row>
        <row r="12706">
          <cell r="A12706">
            <v>8112628</v>
          </cell>
        </row>
        <row r="12707">
          <cell r="A12707">
            <v>8112629</v>
          </cell>
        </row>
        <row r="12708">
          <cell r="A12708">
            <v>8112630</v>
          </cell>
        </row>
        <row r="12709">
          <cell r="A12709">
            <v>8112631</v>
          </cell>
        </row>
        <row r="12710">
          <cell r="A12710">
            <v>8112632</v>
          </cell>
        </row>
        <row r="12711">
          <cell r="A12711">
            <v>8112633</v>
          </cell>
        </row>
        <row r="12712">
          <cell r="A12712">
            <v>8112634</v>
          </cell>
        </row>
        <row r="12713">
          <cell r="A12713">
            <v>8112635</v>
          </cell>
        </row>
        <row r="12714">
          <cell r="A12714">
            <v>8112636</v>
          </cell>
        </row>
        <row r="12715">
          <cell r="A12715">
            <v>8112637</v>
          </cell>
        </row>
        <row r="12716">
          <cell r="A12716">
            <v>8112701</v>
          </cell>
        </row>
        <row r="12717">
          <cell r="A12717">
            <v>8112702</v>
          </cell>
        </row>
        <row r="12718">
          <cell r="A12718">
            <v>8112703</v>
          </cell>
        </row>
        <row r="12719">
          <cell r="A12719">
            <v>8112704</v>
          </cell>
        </row>
        <row r="12720">
          <cell r="A12720">
            <v>8112705</v>
          </cell>
        </row>
        <row r="12721">
          <cell r="A12721">
            <v>8112706</v>
          </cell>
        </row>
        <row r="12722">
          <cell r="A12722">
            <v>8112707</v>
          </cell>
        </row>
        <row r="12723">
          <cell r="A12723">
            <v>8112708</v>
          </cell>
        </row>
        <row r="12724">
          <cell r="A12724">
            <v>8112709</v>
          </cell>
        </row>
        <row r="12725">
          <cell r="A12725">
            <v>8112710</v>
          </cell>
        </row>
        <row r="12726">
          <cell r="A12726">
            <v>8112712</v>
          </cell>
        </row>
        <row r="12727">
          <cell r="A12727">
            <v>8112713</v>
          </cell>
        </row>
        <row r="12728">
          <cell r="A12728">
            <v>8112714</v>
          </cell>
        </row>
        <row r="12729">
          <cell r="A12729">
            <v>8112715</v>
          </cell>
        </row>
        <row r="12730">
          <cell r="A12730">
            <v>8112716</v>
          </cell>
        </row>
        <row r="12731">
          <cell r="A12731">
            <v>8112717</v>
          </cell>
        </row>
        <row r="12732">
          <cell r="A12732">
            <v>8112719</v>
          </cell>
        </row>
        <row r="12733">
          <cell r="A12733">
            <v>8112720</v>
          </cell>
        </row>
        <row r="12734">
          <cell r="A12734">
            <v>8112721</v>
          </cell>
        </row>
        <row r="12735">
          <cell r="A12735">
            <v>8112722</v>
          </cell>
        </row>
        <row r="12736">
          <cell r="A12736">
            <v>8112801</v>
          </cell>
        </row>
        <row r="12737">
          <cell r="A12737">
            <v>8112802</v>
          </cell>
        </row>
        <row r="12738">
          <cell r="A12738">
            <v>8112803</v>
          </cell>
        </row>
        <row r="12739">
          <cell r="A12739">
            <v>8112804</v>
          </cell>
        </row>
        <row r="12740">
          <cell r="A12740">
            <v>8112805</v>
          </cell>
        </row>
        <row r="12741">
          <cell r="A12741">
            <v>8112806</v>
          </cell>
        </row>
        <row r="12742">
          <cell r="A12742">
            <v>8112807</v>
          </cell>
        </row>
        <row r="12743">
          <cell r="A12743">
            <v>8112808</v>
          </cell>
        </row>
        <row r="12744">
          <cell r="A12744">
            <v>8112809</v>
          </cell>
        </row>
        <row r="12745">
          <cell r="A12745">
            <v>8112810</v>
          </cell>
        </row>
        <row r="12746">
          <cell r="A12746">
            <v>8112811</v>
          </cell>
        </row>
        <row r="12747">
          <cell r="A12747">
            <v>8112812</v>
          </cell>
        </row>
        <row r="12748">
          <cell r="A12748">
            <v>8112813</v>
          </cell>
        </row>
        <row r="12749">
          <cell r="A12749">
            <v>8112814</v>
          </cell>
        </row>
        <row r="12750">
          <cell r="A12750">
            <v>8112815</v>
          </cell>
        </row>
        <row r="12751">
          <cell r="A12751">
            <v>8112816</v>
          </cell>
        </row>
        <row r="12752">
          <cell r="A12752">
            <v>8112817</v>
          </cell>
        </row>
        <row r="12753">
          <cell r="A12753">
            <v>8112818</v>
          </cell>
        </row>
        <row r="12754">
          <cell r="A12754">
            <v>8112819</v>
          </cell>
        </row>
        <row r="12755">
          <cell r="A12755">
            <v>8112820</v>
          </cell>
        </row>
        <row r="12756">
          <cell r="A12756">
            <v>8112821</v>
          </cell>
        </row>
        <row r="12757">
          <cell r="A12757">
            <v>8112822</v>
          </cell>
        </row>
        <row r="12758">
          <cell r="A12758">
            <v>8112823</v>
          </cell>
        </row>
        <row r="12759">
          <cell r="A12759">
            <v>8112824</v>
          </cell>
        </row>
        <row r="12760">
          <cell r="A12760">
            <v>8112825</v>
          </cell>
        </row>
        <row r="12761">
          <cell r="A12761">
            <v>8112826</v>
          </cell>
        </row>
        <row r="12762">
          <cell r="A12762">
            <v>8112827</v>
          </cell>
        </row>
        <row r="12763">
          <cell r="A12763">
            <v>8112828</v>
          </cell>
        </row>
        <row r="12764">
          <cell r="A12764">
            <v>8112901</v>
          </cell>
        </row>
        <row r="12765">
          <cell r="A12765">
            <v>8112902</v>
          </cell>
        </row>
        <row r="12766">
          <cell r="A12766">
            <v>8112903</v>
          </cell>
        </row>
        <row r="12767">
          <cell r="A12767">
            <v>8112904</v>
          </cell>
        </row>
        <row r="12768">
          <cell r="A12768">
            <v>8112905</v>
          </cell>
        </row>
        <row r="12769">
          <cell r="A12769">
            <v>8112906</v>
          </cell>
        </row>
        <row r="12770">
          <cell r="A12770">
            <v>8112907</v>
          </cell>
        </row>
        <row r="12771">
          <cell r="A12771">
            <v>8120101</v>
          </cell>
        </row>
        <row r="12772">
          <cell r="A12772">
            <v>8120102</v>
          </cell>
        </row>
        <row r="12773">
          <cell r="A12773">
            <v>8120103</v>
          </cell>
        </row>
        <row r="12774">
          <cell r="A12774">
            <v>8120104</v>
          </cell>
        </row>
        <row r="12775">
          <cell r="A12775">
            <v>8120105</v>
          </cell>
        </row>
        <row r="12776">
          <cell r="A12776">
            <v>8120106</v>
          </cell>
        </row>
        <row r="12777">
          <cell r="A12777">
            <v>8120107</v>
          </cell>
        </row>
        <row r="12778">
          <cell r="A12778">
            <v>8120108</v>
          </cell>
        </row>
        <row r="12779">
          <cell r="A12779">
            <v>8120109</v>
          </cell>
        </row>
        <row r="12780">
          <cell r="A12780">
            <v>8120110</v>
          </cell>
        </row>
        <row r="12781">
          <cell r="A12781">
            <v>8120111</v>
          </cell>
        </row>
        <row r="12782">
          <cell r="A12782">
            <v>8120112</v>
          </cell>
        </row>
        <row r="12783">
          <cell r="A12783">
            <v>8120113</v>
          </cell>
        </row>
        <row r="12784">
          <cell r="A12784">
            <v>8120114</v>
          </cell>
        </row>
        <row r="12785">
          <cell r="A12785">
            <v>8120115</v>
          </cell>
        </row>
        <row r="12786">
          <cell r="A12786">
            <v>8120116</v>
          </cell>
        </row>
        <row r="12787">
          <cell r="A12787">
            <v>8120117</v>
          </cell>
        </row>
        <row r="12788">
          <cell r="A12788">
            <v>8120119</v>
          </cell>
        </row>
        <row r="12789">
          <cell r="A12789">
            <v>8120120</v>
          </cell>
        </row>
        <row r="12790">
          <cell r="A12790">
            <v>8120121</v>
          </cell>
        </row>
        <row r="12791">
          <cell r="A12791">
            <v>8120201</v>
          </cell>
        </row>
        <row r="12792">
          <cell r="A12792">
            <v>8120202</v>
          </cell>
        </row>
        <row r="12793">
          <cell r="A12793">
            <v>8120203</v>
          </cell>
        </row>
        <row r="12794">
          <cell r="A12794">
            <v>8120204</v>
          </cell>
        </row>
        <row r="12795">
          <cell r="A12795">
            <v>8120205</v>
          </cell>
        </row>
        <row r="12796">
          <cell r="A12796">
            <v>8120206</v>
          </cell>
        </row>
        <row r="12797">
          <cell r="A12797">
            <v>8120207</v>
          </cell>
        </row>
        <row r="12798">
          <cell r="A12798">
            <v>8120210</v>
          </cell>
        </row>
        <row r="12799">
          <cell r="A12799">
            <v>8120211</v>
          </cell>
        </row>
        <row r="12800">
          <cell r="A12800">
            <v>8120212</v>
          </cell>
        </row>
        <row r="12801">
          <cell r="A12801">
            <v>8120213</v>
          </cell>
        </row>
        <row r="12802">
          <cell r="A12802">
            <v>8120214</v>
          </cell>
        </row>
        <row r="12803">
          <cell r="A12803">
            <v>8120215</v>
          </cell>
        </row>
        <row r="12804">
          <cell r="A12804">
            <v>8120216</v>
          </cell>
        </row>
        <row r="12805">
          <cell r="A12805">
            <v>8120217</v>
          </cell>
        </row>
        <row r="12806">
          <cell r="A12806">
            <v>8120218</v>
          </cell>
        </row>
        <row r="12807">
          <cell r="A12807">
            <v>8120219</v>
          </cell>
        </row>
        <row r="12808">
          <cell r="A12808">
            <v>8120220</v>
          </cell>
        </row>
        <row r="12809">
          <cell r="A12809">
            <v>8120221</v>
          </cell>
        </row>
        <row r="12810">
          <cell r="A12810">
            <v>8120222</v>
          </cell>
        </row>
        <row r="12811">
          <cell r="A12811">
            <v>8120223</v>
          </cell>
        </row>
        <row r="12812">
          <cell r="A12812">
            <v>8120224</v>
          </cell>
        </row>
        <row r="12813">
          <cell r="A12813">
            <v>8120225</v>
          </cell>
        </row>
        <row r="12814">
          <cell r="A12814">
            <v>8120226</v>
          </cell>
        </row>
        <row r="12815">
          <cell r="A12815">
            <v>8120227</v>
          </cell>
        </row>
        <row r="12816">
          <cell r="A12816">
            <v>8120301</v>
          </cell>
        </row>
        <row r="12817">
          <cell r="A12817">
            <v>8120302</v>
          </cell>
        </row>
        <row r="12818">
          <cell r="A12818">
            <v>8120303</v>
          </cell>
        </row>
        <row r="12819">
          <cell r="A12819">
            <v>8120304</v>
          </cell>
        </row>
        <row r="12820">
          <cell r="A12820">
            <v>8120305</v>
          </cell>
        </row>
        <row r="12821">
          <cell r="A12821">
            <v>8120306</v>
          </cell>
        </row>
        <row r="12822">
          <cell r="A12822">
            <v>8120307</v>
          </cell>
        </row>
        <row r="12823">
          <cell r="A12823">
            <v>8120308</v>
          </cell>
        </row>
        <row r="12824">
          <cell r="A12824">
            <v>8120309</v>
          </cell>
        </row>
        <row r="12825">
          <cell r="A12825">
            <v>8120310</v>
          </cell>
        </row>
        <row r="12826">
          <cell r="A12826">
            <v>8120311</v>
          </cell>
        </row>
        <row r="12827">
          <cell r="A12827">
            <v>8120312</v>
          </cell>
        </row>
        <row r="12828">
          <cell r="A12828">
            <v>8120313</v>
          </cell>
        </row>
        <row r="12829">
          <cell r="A12829">
            <v>8120314</v>
          </cell>
        </row>
        <row r="12830">
          <cell r="A12830">
            <v>8120315</v>
          </cell>
        </row>
        <row r="12831">
          <cell r="A12831">
            <v>8120316</v>
          </cell>
        </row>
        <row r="12832">
          <cell r="A12832">
            <v>8120317</v>
          </cell>
        </row>
        <row r="12833">
          <cell r="A12833">
            <v>8120318</v>
          </cell>
        </row>
        <row r="12834">
          <cell r="A12834">
            <v>8120319</v>
          </cell>
        </row>
        <row r="12835">
          <cell r="A12835">
            <v>8120320</v>
          </cell>
        </row>
        <row r="12836">
          <cell r="A12836">
            <v>8120321</v>
          </cell>
        </row>
        <row r="12837">
          <cell r="A12837">
            <v>8120322</v>
          </cell>
        </row>
        <row r="12838">
          <cell r="A12838">
            <v>8120323</v>
          </cell>
        </row>
        <row r="12839">
          <cell r="A12839">
            <v>8120324</v>
          </cell>
        </row>
        <row r="12840">
          <cell r="A12840">
            <v>8120325</v>
          </cell>
        </row>
        <row r="12841">
          <cell r="A12841">
            <v>8120326</v>
          </cell>
        </row>
        <row r="12842">
          <cell r="A12842">
            <v>8120327</v>
          </cell>
        </row>
        <row r="12843">
          <cell r="A12843">
            <v>8120328</v>
          </cell>
        </row>
        <row r="12844">
          <cell r="A12844">
            <v>8120329</v>
          </cell>
        </row>
        <row r="12845">
          <cell r="A12845">
            <v>8120330</v>
          </cell>
        </row>
        <row r="12846">
          <cell r="A12846">
            <v>8120331</v>
          </cell>
        </row>
        <row r="12847">
          <cell r="A12847">
            <v>8120332</v>
          </cell>
        </row>
        <row r="12848">
          <cell r="A12848">
            <v>8120336</v>
          </cell>
        </row>
        <row r="12849">
          <cell r="A12849">
            <v>8120337</v>
          </cell>
        </row>
        <row r="12850">
          <cell r="A12850">
            <v>8120338</v>
          </cell>
        </row>
        <row r="12851">
          <cell r="A12851">
            <v>8120339</v>
          </cell>
        </row>
        <row r="12852">
          <cell r="A12852">
            <v>8120340</v>
          </cell>
        </row>
        <row r="12853">
          <cell r="A12853">
            <v>8120341</v>
          </cell>
        </row>
        <row r="12854">
          <cell r="A12854">
            <v>8120342</v>
          </cell>
        </row>
        <row r="12855">
          <cell r="A12855">
            <v>8120343</v>
          </cell>
        </row>
        <row r="12856">
          <cell r="A12856">
            <v>8120344</v>
          </cell>
        </row>
        <row r="12857">
          <cell r="A12857">
            <v>8120345</v>
          </cell>
        </row>
        <row r="12858">
          <cell r="A12858">
            <v>8120346</v>
          </cell>
        </row>
        <row r="12859">
          <cell r="A12859">
            <v>8120347</v>
          </cell>
        </row>
        <row r="12860">
          <cell r="A12860">
            <v>8120348</v>
          </cell>
        </row>
        <row r="12861">
          <cell r="A12861">
            <v>8120401</v>
          </cell>
        </row>
        <row r="12862">
          <cell r="A12862">
            <v>8120402</v>
          </cell>
        </row>
        <row r="12863">
          <cell r="A12863">
            <v>8120403</v>
          </cell>
        </row>
        <row r="12864">
          <cell r="A12864">
            <v>8120404</v>
          </cell>
        </row>
        <row r="12865">
          <cell r="A12865">
            <v>8120405</v>
          </cell>
        </row>
        <row r="12866">
          <cell r="A12866">
            <v>8120406</v>
          </cell>
        </row>
        <row r="12867">
          <cell r="A12867">
            <v>8120407</v>
          </cell>
        </row>
        <row r="12868">
          <cell r="A12868">
            <v>8120408</v>
          </cell>
        </row>
        <row r="12869">
          <cell r="A12869">
            <v>8120409</v>
          </cell>
        </row>
        <row r="12870">
          <cell r="A12870">
            <v>8120410</v>
          </cell>
        </row>
        <row r="12871">
          <cell r="A12871">
            <v>8120411</v>
          </cell>
        </row>
        <row r="12872">
          <cell r="A12872">
            <v>8120412</v>
          </cell>
        </row>
        <row r="12873">
          <cell r="A12873">
            <v>8120413</v>
          </cell>
        </row>
        <row r="12874">
          <cell r="A12874">
            <v>8120414</v>
          </cell>
        </row>
        <row r="12875">
          <cell r="A12875">
            <v>8120415</v>
          </cell>
        </row>
        <row r="12876">
          <cell r="A12876">
            <v>8120416</v>
          </cell>
        </row>
        <row r="12877">
          <cell r="A12877">
            <v>8120417</v>
          </cell>
        </row>
        <row r="12878">
          <cell r="A12878">
            <v>8120418</v>
          </cell>
        </row>
        <row r="12879">
          <cell r="A12879">
            <v>8120419</v>
          </cell>
        </row>
        <row r="12880">
          <cell r="A12880">
            <v>8120420</v>
          </cell>
        </row>
        <row r="12881">
          <cell r="A12881">
            <v>8120421</v>
          </cell>
        </row>
        <row r="12882">
          <cell r="A12882">
            <v>8120422</v>
          </cell>
        </row>
        <row r="12883">
          <cell r="A12883">
            <v>8120423</v>
          </cell>
        </row>
        <row r="12884">
          <cell r="A12884">
            <v>8120430</v>
          </cell>
        </row>
        <row r="12885">
          <cell r="A12885">
            <v>8120431</v>
          </cell>
        </row>
        <row r="12886">
          <cell r="A12886">
            <v>8120432</v>
          </cell>
        </row>
        <row r="12887">
          <cell r="A12887">
            <v>8120433</v>
          </cell>
        </row>
        <row r="12888">
          <cell r="A12888">
            <v>8120434</v>
          </cell>
        </row>
        <row r="12889">
          <cell r="A12889">
            <v>8120435</v>
          </cell>
        </row>
        <row r="12890">
          <cell r="A12890">
            <v>8120436</v>
          </cell>
        </row>
        <row r="12891">
          <cell r="A12891">
            <v>8120437</v>
          </cell>
        </row>
        <row r="12892">
          <cell r="A12892">
            <v>8120438</v>
          </cell>
        </row>
        <row r="12893">
          <cell r="A12893">
            <v>8120439</v>
          </cell>
        </row>
        <row r="12894">
          <cell r="A12894">
            <v>8120440</v>
          </cell>
        </row>
        <row r="12895">
          <cell r="A12895">
            <v>8120441</v>
          </cell>
        </row>
        <row r="12896">
          <cell r="A12896">
            <v>8120442</v>
          </cell>
        </row>
        <row r="12897">
          <cell r="A12897">
            <v>8120443</v>
          </cell>
        </row>
        <row r="12898">
          <cell r="A12898">
            <v>8120444</v>
          </cell>
        </row>
        <row r="12899">
          <cell r="A12899">
            <v>8120445</v>
          </cell>
        </row>
        <row r="12900">
          <cell r="A12900">
            <v>8120446</v>
          </cell>
        </row>
        <row r="12901">
          <cell r="A12901">
            <v>8120447</v>
          </cell>
        </row>
        <row r="12902">
          <cell r="A12902">
            <v>8120448</v>
          </cell>
        </row>
        <row r="12903">
          <cell r="A12903">
            <v>8120451</v>
          </cell>
        </row>
        <row r="12904">
          <cell r="A12904">
            <v>8120452</v>
          </cell>
        </row>
        <row r="12905">
          <cell r="A12905">
            <v>8120453</v>
          </cell>
        </row>
        <row r="12906">
          <cell r="A12906">
            <v>8120454</v>
          </cell>
        </row>
        <row r="12907">
          <cell r="A12907">
            <v>8120455</v>
          </cell>
        </row>
        <row r="12908">
          <cell r="A12908">
            <v>8120456</v>
          </cell>
        </row>
        <row r="12909">
          <cell r="A12909">
            <v>8120457</v>
          </cell>
        </row>
        <row r="12910">
          <cell r="A12910">
            <v>8120458</v>
          </cell>
        </row>
        <row r="12911">
          <cell r="A12911">
            <v>8120459</v>
          </cell>
        </row>
        <row r="12912">
          <cell r="A12912">
            <v>8120801</v>
          </cell>
        </row>
        <row r="12913">
          <cell r="A12913">
            <v>8120802</v>
          </cell>
        </row>
        <row r="12914">
          <cell r="A12914">
            <v>8120803</v>
          </cell>
        </row>
        <row r="12915">
          <cell r="A12915">
            <v>8120804</v>
          </cell>
        </row>
        <row r="12916">
          <cell r="A12916">
            <v>8120805</v>
          </cell>
        </row>
        <row r="12917">
          <cell r="A12917">
            <v>8120806</v>
          </cell>
        </row>
        <row r="12918">
          <cell r="A12918">
            <v>8120807</v>
          </cell>
        </row>
        <row r="12919">
          <cell r="A12919">
            <v>8120808</v>
          </cell>
        </row>
        <row r="12920">
          <cell r="A12920">
            <v>8120809</v>
          </cell>
        </row>
        <row r="12921">
          <cell r="A12921">
            <v>8120810</v>
          </cell>
        </row>
        <row r="12922">
          <cell r="A12922">
            <v>8120811</v>
          </cell>
        </row>
        <row r="12923">
          <cell r="A12923">
            <v>8120812</v>
          </cell>
        </row>
        <row r="12924">
          <cell r="A12924">
            <v>8120813</v>
          </cell>
        </row>
        <row r="12925">
          <cell r="A12925">
            <v>8120814</v>
          </cell>
        </row>
        <row r="12926">
          <cell r="A12926">
            <v>8120815</v>
          </cell>
        </row>
        <row r="12927">
          <cell r="A12927">
            <v>8120816</v>
          </cell>
        </row>
        <row r="12928">
          <cell r="A12928">
            <v>8120817</v>
          </cell>
        </row>
        <row r="12929">
          <cell r="A12929">
            <v>8120818</v>
          </cell>
        </row>
        <row r="12930">
          <cell r="A12930">
            <v>8120819</v>
          </cell>
        </row>
        <row r="12931">
          <cell r="A12931">
            <v>8120820</v>
          </cell>
        </row>
        <row r="12932">
          <cell r="A12932">
            <v>8120821</v>
          </cell>
        </row>
        <row r="12933">
          <cell r="A12933">
            <v>8120822</v>
          </cell>
        </row>
        <row r="12934">
          <cell r="A12934">
            <v>8120823</v>
          </cell>
        </row>
        <row r="12935">
          <cell r="A12935">
            <v>8120824</v>
          </cell>
        </row>
        <row r="12936">
          <cell r="A12936">
            <v>8120825</v>
          </cell>
        </row>
        <row r="12937">
          <cell r="A12937">
            <v>8120826</v>
          </cell>
        </row>
        <row r="12938">
          <cell r="A12938">
            <v>8120828</v>
          </cell>
        </row>
        <row r="12939">
          <cell r="A12939">
            <v>8120829</v>
          </cell>
        </row>
        <row r="12940">
          <cell r="A12940">
            <v>8120830</v>
          </cell>
        </row>
        <row r="12941">
          <cell r="A12941">
            <v>8120831</v>
          </cell>
        </row>
        <row r="12942">
          <cell r="A12942">
            <v>8120901</v>
          </cell>
        </row>
        <row r="12943">
          <cell r="A12943">
            <v>8120902</v>
          </cell>
        </row>
        <row r="12944">
          <cell r="A12944">
            <v>8120903</v>
          </cell>
        </row>
        <row r="12945">
          <cell r="A12945">
            <v>8120904</v>
          </cell>
        </row>
        <row r="12946">
          <cell r="A12946">
            <v>8120905</v>
          </cell>
        </row>
        <row r="12947">
          <cell r="A12947">
            <v>8120906</v>
          </cell>
        </row>
        <row r="12948">
          <cell r="A12948">
            <v>8120907</v>
          </cell>
        </row>
        <row r="12949">
          <cell r="A12949">
            <v>8120908</v>
          </cell>
        </row>
        <row r="12950">
          <cell r="A12950">
            <v>8120909</v>
          </cell>
        </row>
        <row r="12951">
          <cell r="A12951">
            <v>8120910</v>
          </cell>
        </row>
        <row r="12952">
          <cell r="A12952">
            <v>8120911</v>
          </cell>
        </row>
        <row r="12953">
          <cell r="A12953">
            <v>8120912</v>
          </cell>
        </row>
        <row r="12954">
          <cell r="A12954">
            <v>8120913</v>
          </cell>
        </row>
        <row r="12955">
          <cell r="A12955">
            <v>8120914</v>
          </cell>
        </row>
        <row r="12956">
          <cell r="A12956">
            <v>8120915</v>
          </cell>
        </row>
        <row r="12957">
          <cell r="A12957">
            <v>8120916</v>
          </cell>
        </row>
        <row r="12958">
          <cell r="A12958">
            <v>8120917</v>
          </cell>
        </row>
        <row r="12959">
          <cell r="A12959">
            <v>8120918</v>
          </cell>
        </row>
        <row r="12960">
          <cell r="A12960">
            <v>8120919</v>
          </cell>
        </row>
        <row r="12961">
          <cell r="A12961">
            <v>8120920</v>
          </cell>
        </row>
        <row r="12962">
          <cell r="A12962">
            <v>8120921</v>
          </cell>
        </row>
        <row r="12963">
          <cell r="A12963">
            <v>8120922</v>
          </cell>
        </row>
        <row r="12964">
          <cell r="A12964">
            <v>8120923</v>
          </cell>
        </row>
        <row r="12965">
          <cell r="A12965">
            <v>8120924</v>
          </cell>
        </row>
        <row r="12966">
          <cell r="A12966">
            <v>8120925</v>
          </cell>
        </row>
        <row r="12967">
          <cell r="A12967">
            <v>8120926</v>
          </cell>
        </row>
        <row r="12968">
          <cell r="A12968">
            <v>8120927</v>
          </cell>
        </row>
        <row r="12969">
          <cell r="A12969">
            <v>8120928</v>
          </cell>
        </row>
        <row r="12970">
          <cell r="A12970">
            <v>8120929</v>
          </cell>
        </row>
        <row r="12971">
          <cell r="A12971">
            <v>8120930</v>
          </cell>
        </row>
        <row r="12972">
          <cell r="A12972">
            <v>8120931</v>
          </cell>
        </row>
        <row r="12973">
          <cell r="A12973">
            <v>8120932</v>
          </cell>
        </row>
        <row r="12974">
          <cell r="A12974">
            <v>8120933</v>
          </cell>
        </row>
        <row r="12975">
          <cell r="A12975">
            <v>8120934</v>
          </cell>
        </row>
        <row r="12976">
          <cell r="A12976">
            <v>8120935</v>
          </cell>
        </row>
        <row r="12977">
          <cell r="A12977">
            <v>8120936</v>
          </cell>
        </row>
        <row r="12978">
          <cell r="A12978">
            <v>8120938</v>
          </cell>
        </row>
        <row r="12979">
          <cell r="A12979">
            <v>8120939</v>
          </cell>
        </row>
        <row r="12980">
          <cell r="A12980">
            <v>8120940</v>
          </cell>
        </row>
        <row r="12981">
          <cell r="A12981">
            <v>8120941</v>
          </cell>
        </row>
        <row r="12982">
          <cell r="A12982">
            <v>8120942</v>
          </cell>
        </row>
        <row r="12983">
          <cell r="A12983">
            <v>8120943</v>
          </cell>
        </row>
        <row r="12984">
          <cell r="A12984">
            <v>8121101</v>
          </cell>
        </row>
        <row r="12985">
          <cell r="A12985">
            <v>8121102</v>
          </cell>
        </row>
        <row r="12986">
          <cell r="A12986">
            <v>8121103</v>
          </cell>
        </row>
        <row r="12987">
          <cell r="A12987">
            <v>8121104</v>
          </cell>
        </row>
        <row r="12988">
          <cell r="A12988">
            <v>8121105</v>
          </cell>
        </row>
        <row r="12989">
          <cell r="A12989">
            <v>8121106</v>
          </cell>
        </row>
        <row r="12990">
          <cell r="A12990">
            <v>8121107</v>
          </cell>
        </row>
        <row r="12991">
          <cell r="A12991">
            <v>8121108</v>
          </cell>
        </row>
        <row r="12992">
          <cell r="A12992">
            <v>8121109</v>
          </cell>
        </row>
        <row r="12993">
          <cell r="A12993">
            <v>8121110</v>
          </cell>
        </row>
        <row r="12994">
          <cell r="A12994">
            <v>8121111</v>
          </cell>
        </row>
        <row r="12995">
          <cell r="A12995">
            <v>8121112</v>
          </cell>
        </row>
        <row r="12996">
          <cell r="A12996">
            <v>8121113</v>
          </cell>
        </row>
        <row r="12997">
          <cell r="A12997">
            <v>8121114</v>
          </cell>
        </row>
        <row r="12998">
          <cell r="A12998">
            <v>8121115</v>
          </cell>
        </row>
        <row r="12999">
          <cell r="A12999">
            <v>8121116</v>
          </cell>
        </row>
        <row r="13000">
          <cell r="A13000">
            <v>8121117</v>
          </cell>
        </row>
        <row r="13001">
          <cell r="A13001">
            <v>8121118</v>
          </cell>
        </row>
        <row r="13002">
          <cell r="A13002">
            <v>8121119</v>
          </cell>
        </row>
        <row r="13003">
          <cell r="A13003">
            <v>8121120</v>
          </cell>
        </row>
        <row r="13004">
          <cell r="A13004">
            <v>8121121</v>
          </cell>
        </row>
        <row r="13005">
          <cell r="A13005">
            <v>8121122</v>
          </cell>
        </row>
        <row r="13006">
          <cell r="A13006">
            <v>8121123</v>
          </cell>
        </row>
        <row r="13007">
          <cell r="A13007">
            <v>8121124</v>
          </cell>
        </row>
        <row r="13008">
          <cell r="A13008">
            <v>8121125</v>
          </cell>
        </row>
        <row r="13009">
          <cell r="A13009">
            <v>8121126</v>
          </cell>
        </row>
        <row r="13010">
          <cell r="A13010">
            <v>8121127</v>
          </cell>
        </row>
        <row r="13011">
          <cell r="A13011">
            <v>8121132</v>
          </cell>
        </row>
        <row r="13012">
          <cell r="A13012">
            <v>8121133</v>
          </cell>
        </row>
        <row r="13013">
          <cell r="A13013">
            <v>8121134</v>
          </cell>
        </row>
        <row r="13014">
          <cell r="A13014">
            <v>8121135</v>
          </cell>
        </row>
        <row r="13015">
          <cell r="A13015">
            <v>8121136</v>
          </cell>
        </row>
        <row r="13016">
          <cell r="A13016">
            <v>8121137</v>
          </cell>
        </row>
        <row r="13017">
          <cell r="A13017">
            <v>8121138</v>
          </cell>
        </row>
        <row r="13018">
          <cell r="A13018">
            <v>8121139</v>
          </cell>
        </row>
        <row r="13019">
          <cell r="A13019">
            <v>8121140</v>
          </cell>
        </row>
        <row r="13020">
          <cell r="A13020">
            <v>8121141</v>
          </cell>
        </row>
        <row r="13021">
          <cell r="A13021">
            <v>8121142</v>
          </cell>
        </row>
        <row r="13022">
          <cell r="A13022">
            <v>8121143</v>
          </cell>
        </row>
        <row r="13023">
          <cell r="A13023">
            <v>8121144</v>
          </cell>
        </row>
        <row r="13024">
          <cell r="A13024">
            <v>8121145</v>
          </cell>
        </row>
        <row r="13025">
          <cell r="A13025">
            <v>8121201</v>
          </cell>
        </row>
        <row r="13026">
          <cell r="A13026">
            <v>8121202</v>
          </cell>
        </row>
        <row r="13027">
          <cell r="A13027">
            <v>8121203</v>
          </cell>
        </row>
        <row r="13028">
          <cell r="A13028">
            <v>8121204</v>
          </cell>
        </row>
        <row r="13029">
          <cell r="A13029">
            <v>8121205</v>
          </cell>
        </row>
        <row r="13030">
          <cell r="A13030">
            <v>8121206</v>
          </cell>
        </row>
        <row r="13031">
          <cell r="A13031">
            <v>8121207</v>
          </cell>
        </row>
        <row r="13032">
          <cell r="A13032">
            <v>8121208</v>
          </cell>
        </row>
        <row r="13033">
          <cell r="A13033">
            <v>8121209</v>
          </cell>
        </row>
        <row r="13034">
          <cell r="A13034">
            <v>8121210</v>
          </cell>
        </row>
        <row r="13035">
          <cell r="A13035">
            <v>8121211</v>
          </cell>
        </row>
        <row r="13036">
          <cell r="A13036">
            <v>8121212</v>
          </cell>
        </row>
        <row r="13037">
          <cell r="A13037">
            <v>8121213</v>
          </cell>
        </row>
        <row r="13038">
          <cell r="A13038">
            <v>8121214</v>
          </cell>
        </row>
        <row r="13039">
          <cell r="A13039">
            <v>8121215</v>
          </cell>
        </row>
        <row r="13040">
          <cell r="A13040">
            <v>8121216</v>
          </cell>
        </row>
        <row r="13041">
          <cell r="A13041">
            <v>8121227</v>
          </cell>
        </row>
        <row r="13042">
          <cell r="A13042">
            <v>8121228</v>
          </cell>
        </row>
        <row r="13043">
          <cell r="A13043">
            <v>8121229</v>
          </cell>
        </row>
        <row r="13044">
          <cell r="A13044">
            <v>8121230</v>
          </cell>
        </row>
        <row r="13045">
          <cell r="A13045">
            <v>8121231</v>
          </cell>
        </row>
        <row r="13046">
          <cell r="A13046">
            <v>8121232</v>
          </cell>
        </row>
        <row r="13047">
          <cell r="A13047">
            <v>8121233</v>
          </cell>
        </row>
        <row r="13048">
          <cell r="A13048">
            <v>8121234</v>
          </cell>
        </row>
        <row r="13049">
          <cell r="A13049">
            <v>8121235</v>
          </cell>
        </row>
        <row r="13050">
          <cell r="A13050">
            <v>8121236</v>
          </cell>
        </row>
        <row r="13051">
          <cell r="A13051">
            <v>8121238</v>
          </cell>
        </row>
        <row r="13052">
          <cell r="A13052">
            <v>8121239</v>
          </cell>
        </row>
        <row r="13053">
          <cell r="A13053">
            <v>8121240</v>
          </cell>
        </row>
        <row r="13054">
          <cell r="A13054">
            <v>8121241</v>
          </cell>
        </row>
        <row r="13055">
          <cell r="A13055">
            <v>8121242</v>
          </cell>
        </row>
        <row r="13056">
          <cell r="A13056">
            <v>8121243</v>
          </cell>
        </row>
        <row r="13057">
          <cell r="A13057">
            <v>8121244</v>
          </cell>
        </row>
        <row r="13058">
          <cell r="A13058">
            <v>8121245</v>
          </cell>
        </row>
        <row r="13059">
          <cell r="A13059">
            <v>8121246</v>
          </cell>
        </row>
        <row r="13060">
          <cell r="A13060">
            <v>8121247</v>
          </cell>
        </row>
        <row r="13061">
          <cell r="A13061">
            <v>8121248</v>
          </cell>
        </row>
        <row r="13062">
          <cell r="A13062">
            <v>8121249</v>
          </cell>
        </row>
        <row r="13063">
          <cell r="A13063">
            <v>8121250</v>
          </cell>
        </row>
        <row r="13064">
          <cell r="A13064">
            <v>8121301</v>
          </cell>
        </row>
        <row r="13065">
          <cell r="A13065">
            <v>8121302</v>
          </cell>
        </row>
        <row r="13066">
          <cell r="A13066">
            <v>8121303</v>
          </cell>
        </row>
        <row r="13067">
          <cell r="A13067">
            <v>8121304</v>
          </cell>
        </row>
        <row r="13068">
          <cell r="A13068">
            <v>8121305</v>
          </cell>
        </row>
        <row r="13069">
          <cell r="A13069">
            <v>8121306</v>
          </cell>
        </row>
        <row r="13070">
          <cell r="A13070">
            <v>8121307</v>
          </cell>
        </row>
        <row r="13071">
          <cell r="A13071">
            <v>8121308</v>
          </cell>
        </row>
        <row r="13072">
          <cell r="A13072">
            <v>8121309</v>
          </cell>
        </row>
        <row r="13073">
          <cell r="A13073">
            <v>8121310</v>
          </cell>
        </row>
        <row r="13074">
          <cell r="A13074">
            <v>8121311</v>
          </cell>
        </row>
        <row r="13075">
          <cell r="A13075">
            <v>8121312</v>
          </cell>
        </row>
        <row r="13076">
          <cell r="A13076">
            <v>8121313</v>
          </cell>
        </row>
        <row r="13077">
          <cell r="A13077">
            <v>8121314</v>
          </cell>
        </row>
        <row r="13078">
          <cell r="A13078">
            <v>8121315</v>
          </cell>
        </row>
        <row r="13079">
          <cell r="A13079">
            <v>8121316</v>
          </cell>
        </row>
        <row r="13080">
          <cell r="A13080">
            <v>8121317</v>
          </cell>
        </row>
        <row r="13081">
          <cell r="A13081">
            <v>8121318</v>
          </cell>
        </row>
        <row r="13082">
          <cell r="A13082">
            <v>8121319</v>
          </cell>
        </row>
        <row r="13083">
          <cell r="A13083">
            <v>8121320</v>
          </cell>
        </row>
        <row r="13084">
          <cell r="A13084">
            <v>8121321</v>
          </cell>
        </row>
        <row r="13085">
          <cell r="A13085">
            <v>8121322</v>
          </cell>
        </row>
        <row r="13086">
          <cell r="A13086">
            <v>8121323</v>
          </cell>
        </row>
        <row r="13087">
          <cell r="A13087">
            <v>8121324</v>
          </cell>
        </row>
        <row r="13088">
          <cell r="A13088">
            <v>8121325</v>
          </cell>
        </row>
        <row r="13089">
          <cell r="A13089">
            <v>8121326</v>
          </cell>
        </row>
        <row r="13090">
          <cell r="A13090">
            <v>8121327</v>
          </cell>
        </row>
        <row r="13091">
          <cell r="A13091">
            <v>8121328</v>
          </cell>
        </row>
        <row r="13092">
          <cell r="A13092">
            <v>8121329</v>
          </cell>
        </row>
        <row r="13093">
          <cell r="A13093">
            <v>8121330</v>
          </cell>
        </row>
        <row r="13094">
          <cell r="A13094">
            <v>8121331</v>
          </cell>
        </row>
        <row r="13095">
          <cell r="A13095">
            <v>8121501</v>
          </cell>
        </row>
        <row r="13096">
          <cell r="A13096">
            <v>8121502</v>
          </cell>
        </row>
        <row r="13097">
          <cell r="A13097">
            <v>8121503</v>
          </cell>
        </row>
        <row r="13098">
          <cell r="A13098">
            <v>8121504</v>
          </cell>
        </row>
        <row r="13099">
          <cell r="A13099">
            <v>8121505</v>
          </cell>
        </row>
        <row r="13100">
          <cell r="A13100">
            <v>8121506</v>
          </cell>
        </row>
        <row r="13101">
          <cell r="A13101">
            <v>8121507</v>
          </cell>
        </row>
        <row r="13102">
          <cell r="A13102">
            <v>8121508</v>
          </cell>
        </row>
        <row r="13103">
          <cell r="A13103">
            <v>8121509</v>
          </cell>
        </row>
        <row r="13104">
          <cell r="A13104">
            <v>8121510</v>
          </cell>
        </row>
        <row r="13105">
          <cell r="A13105">
            <v>8121511</v>
          </cell>
        </row>
        <row r="13106">
          <cell r="A13106">
            <v>8121512</v>
          </cell>
        </row>
        <row r="13107">
          <cell r="A13107">
            <v>8121513</v>
          </cell>
        </row>
        <row r="13108">
          <cell r="A13108">
            <v>8121514</v>
          </cell>
        </row>
        <row r="13109">
          <cell r="A13109">
            <v>8121515</v>
          </cell>
        </row>
        <row r="13110">
          <cell r="A13110">
            <v>8121516</v>
          </cell>
        </row>
        <row r="13111">
          <cell r="A13111">
            <v>8121517</v>
          </cell>
        </row>
        <row r="13112">
          <cell r="A13112">
            <v>8121518</v>
          </cell>
        </row>
        <row r="13113">
          <cell r="A13113">
            <v>8121519</v>
          </cell>
        </row>
        <row r="13114">
          <cell r="A13114">
            <v>8121520</v>
          </cell>
        </row>
        <row r="13115">
          <cell r="A13115">
            <v>8121521</v>
          </cell>
        </row>
        <row r="13116">
          <cell r="A13116">
            <v>8121522</v>
          </cell>
        </row>
        <row r="13117">
          <cell r="A13117">
            <v>8121523</v>
          </cell>
        </row>
        <row r="13118">
          <cell r="A13118">
            <v>8121524</v>
          </cell>
        </row>
        <row r="13119">
          <cell r="A13119">
            <v>8121525</v>
          </cell>
        </row>
        <row r="13120">
          <cell r="A13120">
            <v>8121526</v>
          </cell>
        </row>
        <row r="13121">
          <cell r="A13121">
            <v>8121527</v>
          </cell>
        </row>
        <row r="13122">
          <cell r="A13122">
            <v>8121528</v>
          </cell>
        </row>
        <row r="13123">
          <cell r="A13123">
            <v>8121529</v>
          </cell>
        </row>
        <row r="13124">
          <cell r="A13124">
            <v>8121530</v>
          </cell>
        </row>
        <row r="13125">
          <cell r="A13125">
            <v>8121531</v>
          </cell>
        </row>
        <row r="13126">
          <cell r="A13126">
            <v>8121532</v>
          </cell>
        </row>
        <row r="13127">
          <cell r="A13127">
            <v>8121533</v>
          </cell>
        </row>
        <row r="13128">
          <cell r="A13128">
            <v>8121534</v>
          </cell>
        </row>
        <row r="13129">
          <cell r="A13129">
            <v>8121535</v>
          </cell>
        </row>
        <row r="13130">
          <cell r="A13130">
            <v>8121536</v>
          </cell>
        </row>
        <row r="13131">
          <cell r="A13131">
            <v>8121537</v>
          </cell>
        </row>
        <row r="13132">
          <cell r="A13132">
            <v>8121538</v>
          </cell>
        </row>
        <row r="13133">
          <cell r="A13133">
            <v>8121539</v>
          </cell>
        </row>
        <row r="13134">
          <cell r="A13134">
            <v>8121540</v>
          </cell>
        </row>
        <row r="13135">
          <cell r="A13135">
            <v>8121601</v>
          </cell>
        </row>
        <row r="13136">
          <cell r="A13136">
            <v>8121602</v>
          </cell>
        </row>
        <row r="13137">
          <cell r="A13137">
            <v>8121603</v>
          </cell>
        </row>
        <row r="13138">
          <cell r="A13138">
            <v>8121604</v>
          </cell>
        </row>
        <row r="13139">
          <cell r="A13139">
            <v>8121605</v>
          </cell>
        </row>
        <row r="13140">
          <cell r="A13140">
            <v>8121606</v>
          </cell>
        </row>
        <row r="13141">
          <cell r="A13141">
            <v>8121607</v>
          </cell>
        </row>
        <row r="13142">
          <cell r="A13142">
            <v>8121608</v>
          </cell>
        </row>
        <row r="13143">
          <cell r="A13143">
            <v>8121609</v>
          </cell>
        </row>
        <row r="13144">
          <cell r="A13144">
            <v>8121610</v>
          </cell>
        </row>
        <row r="13145">
          <cell r="A13145">
            <v>8121611</v>
          </cell>
        </row>
        <row r="13146">
          <cell r="A13146">
            <v>8121612</v>
          </cell>
        </row>
        <row r="13147">
          <cell r="A13147">
            <v>8121613</v>
          </cell>
        </row>
        <row r="13148">
          <cell r="A13148">
            <v>8121614</v>
          </cell>
        </row>
        <row r="13149">
          <cell r="A13149">
            <v>8121615</v>
          </cell>
        </row>
        <row r="13150">
          <cell r="A13150">
            <v>8121616</v>
          </cell>
        </row>
        <row r="13151">
          <cell r="A13151">
            <v>8121621</v>
          </cell>
        </row>
        <row r="13152">
          <cell r="A13152">
            <v>8121625</v>
          </cell>
        </row>
        <row r="13153">
          <cell r="A13153">
            <v>8121626</v>
          </cell>
        </row>
        <row r="13154">
          <cell r="A13154">
            <v>8121627</v>
          </cell>
        </row>
        <row r="13155">
          <cell r="A13155">
            <v>8121628</v>
          </cell>
        </row>
        <row r="13156">
          <cell r="A13156">
            <v>8121629</v>
          </cell>
        </row>
        <row r="13157">
          <cell r="A13157">
            <v>8121630</v>
          </cell>
        </row>
        <row r="13158">
          <cell r="A13158">
            <v>8121631</v>
          </cell>
        </row>
        <row r="13159">
          <cell r="A13159">
            <v>8121632</v>
          </cell>
        </row>
        <row r="13160">
          <cell r="A13160">
            <v>8121633</v>
          </cell>
        </row>
        <row r="13161">
          <cell r="A13161">
            <v>8121634</v>
          </cell>
        </row>
        <row r="13162">
          <cell r="A13162">
            <v>8121635</v>
          </cell>
        </row>
        <row r="13163">
          <cell r="A13163">
            <v>8121636</v>
          </cell>
        </row>
        <row r="13164">
          <cell r="A13164">
            <v>8121637</v>
          </cell>
        </row>
        <row r="13165">
          <cell r="A13165">
            <v>8121638</v>
          </cell>
        </row>
        <row r="13166">
          <cell r="A13166">
            <v>8121639</v>
          </cell>
        </row>
        <row r="13167">
          <cell r="A13167">
            <v>8121640</v>
          </cell>
        </row>
        <row r="13168">
          <cell r="A13168">
            <v>8121641</v>
          </cell>
        </row>
        <row r="13169">
          <cell r="A13169">
            <v>8121642</v>
          </cell>
        </row>
        <row r="13170">
          <cell r="A13170">
            <v>8121643</v>
          </cell>
        </row>
        <row r="13171">
          <cell r="A13171">
            <v>8121644</v>
          </cell>
        </row>
        <row r="13172">
          <cell r="A13172">
            <v>8121645</v>
          </cell>
        </row>
        <row r="13173">
          <cell r="A13173">
            <v>8121646</v>
          </cell>
        </row>
        <row r="13174">
          <cell r="A13174">
            <v>8121701</v>
          </cell>
        </row>
        <row r="13175">
          <cell r="A13175">
            <v>8121702</v>
          </cell>
        </row>
        <row r="13176">
          <cell r="A13176">
            <v>8121703</v>
          </cell>
        </row>
        <row r="13177">
          <cell r="A13177">
            <v>8121704</v>
          </cell>
        </row>
        <row r="13178">
          <cell r="A13178">
            <v>8121705</v>
          </cell>
        </row>
        <row r="13179">
          <cell r="A13179">
            <v>8121706</v>
          </cell>
        </row>
        <row r="13180">
          <cell r="A13180">
            <v>8121707</v>
          </cell>
        </row>
        <row r="13181">
          <cell r="A13181">
            <v>8121708</v>
          </cell>
        </row>
        <row r="13182">
          <cell r="A13182">
            <v>8121709</v>
          </cell>
        </row>
        <row r="13183">
          <cell r="A13183">
            <v>8121710</v>
          </cell>
        </row>
        <row r="13184">
          <cell r="A13184">
            <v>8121711</v>
          </cell>
        </row>
        <row r="13185">
          <cell r="A13185">
            <v>8121712</v>
          </cell>
        </row>
        <row r="13186">
          <cell r="A13186">
            <v>8121721</v>
          </cell>
        </row>
        <row r="13187">
          <cell r="A13187">
            <v>8121722</v>
          </cell>
        </row>
        <row r="13188">
          <cell r="A13188">
            <v>8121723</v>
          </cell>
        </row>
        <row r="13189">
          <cell r="A13189">
            <v>8121724</v>
          </cell>
        </row>
        <row r="13190">
          <cell r="A13190">
            <v>8121725</v>
          </cell>
        </row>
        <row r="13191">
          <cell r="A13191">
            <v>8121726</v>
          </cell>
        </row>
        <row r="13192">
          <cell r="A13192">
            <v>8121727</v>
          </cell>
        </row>
        <row r="13193">
          <cell r="A13193">
            <v>8121728</v>
          </cell>
        </row>
        <row r="13194">
          <cell r="A13194">
            <v>8121729</v>
          </cell>
        </row>
        <row r="13195">
          <cell r="A13195">
            <v>8121730</v>
          </cell>
        </row>
        <row r="13196">
          <cell r="A13196">
            <v>8121731</v>
          </cell>
        </row>
        <row r="13197">
          <cell r="A13197">
            <v>8121732</v>
          </cell>
        </row>
        <row r="13198">
          <cell r="A13198">
            <v>8121733</v>
          </cell>
        </row>
        <row r="13199">
          <cell r="A13199">
            <v>8121735</v>
          </cell>
        </row>
        <row r="13200">
          <cell r="A13200">
            <v>8121736</v>
          </cell>
        </row>
        <row r="13201">
          <cell r="A13201">
            <v>8121801</v>
          </cell>
        </row>
        <row r="13202">
          <cell r="A13202">
            <v>8121802</v>
          </cell>
        </row>
        <row r="13203">
          <cell r="A13203">
            <v>8121803</v>
          </cell>
        </row>
        <row r="13204">
          <cell r="A13204">
            <v>8121804</v>
          </cell>
        </row>
        <row r="13205">
          <cell r="A13205">
            <v>8121805</v>
          </cell>
        </row>
        <row r="13206">
          <cell r="A13206">
            <v>8121806</v>
          </cell>
        </row>
        <row r="13207">
          <cell r="A13207">
            <v>8121807</v>
          </cell>
        </row>
        <row r="13208">
          <cell r="A13208">
            <v>8121808</v>
          </cell>
        </row>
        <row r="13209">
          <cell r="A13209">
            <v>8121809</v>
          </cell>
        </row>
        <row r="13210">
          <cell r="A13210">
            <v>8121813</v>
          </cell>
        </row>
        <row r="13211">
          <cell r="A13211">
            <v>8121814</v>
          </cell>
        </row>
        <row r="13212">
          <cell r="A13212">
            <v>8121815</v>
          </cell>
        </row>
        <row r="13213">
          <cell r="A13213">
            <v>8121816</v>
          </cell>
        </row>
        <row r="13214">
          <cell r="A13214">
            <v>8121817</v>
          </cell>
        </row>
        <row r="13215">
          <cell r="A13215">
            <v>8121818</v>
          </cell>
        </row>
        <row r="13216">
          <cell r="A13216">
            <v>8121819</v>
          </cell>
        </row>
        <row r="13217">
          <cell r="A13217">
            <v>8121820</v>
          </cell>
        </row>
        <row r="13218">
          <cell r="A13218">
            <v>8121821</v>
          </cell>
        </row>
        <row r="13219">
          <cell r="A13219">
            <v>8121822</v>
          </cell>
        </row>
        <row r="13220">
          <cell r="A13220">
            <v>8121823</v>
          </cell>
        </row>
        <row r="13221">
          <cell r="A13221">
            <v>8121824</v>
          </cell>
        </row>
        <row r="13222">
          <cell r="A13222">
            <v>8121825</v>
          </cell>
        </row>
        <row r="13223">
          <cell r="A13223">
            <v>8121826</v>
          </cell>
        </row>
        <row r="13224">
          <cell r="A13224">
            <v>8121829</v>
          </cell>
        </row>
        <row r="13225">
          <cell r="A13225">
            <v>8121830</v>
          </cell>
        </row>
        <row r="13226">
          <cell r="A13226">
            <v>8121831</v>
          </cell>
        </row>
        <row r="13227">
          <cell r="A13227">
            <v>8121832</v>
          </cell>
        </row>
        <row r="13228">
          <cell r="A13228">
            <v>8121833</v>
          </cell>
        </row>
        <row r="13229">
          <cell r="A13229">
            <v>8121834</v>
          </cell>
        </row>
        <row r="13230">
          <cell r="A13230">
            <v>8121835</v>
          </cell>
        </row>
        <row r="13231">
          <cell r="A13231">
            <v>8121836</v>
          </cell>
        </row>
        <row r="13232">
          <cell r="A13232">
            <v>8121837</v>
          </cell>
        </row>
        <row r="13233">
          <cell r="A13233">
            <v>8121838</v>
          </cell>
        </row>
        <row r="13234">
          <cell r="A13234">
            <v>8121839</v>
          </cell>
        </row>
        <row r="13235">
          <cell r="A13235">
            <v>8121840</v>
          </cell>
        </row>
        <row r="13236">
          <cell r="A13236">
            <v>8121841</v>
          </cell>
        </row>
        <row r="13237">
          <cell r="A13237">
            <v>8121842</v>
          </cell>
        </row>
        <row r="13238">
          <cell r="A13238">
            <v>8121901</v>
          </cell>
        </row>
        <row r="13239">
          <cell r="A13239">
            <v>8121902</v>
          </cell>
        </row>
        <row r="13240">
          <cell r="A13240">
            <v>8121903</v>
          </cell>
        </row>
        <row r="13241">
          <cell r="A13241">
            <v>8121904</v>
          </cell>
        </row>
        <row r="13242">
          <cell r="A13242">
            <v>8121905</v>
          </cell>
        </row>
        <row r="13243">
          <cell r="A13243">
            <v>8121906</v>
          </cell>
        </row>
        <row r="13244">
          <cell r="A13244">
            <v>8121907</v>
          </cell>
        </row>
        <row r="13245">
          <cell r="A13245">
            <v>8121908</v>
          </cell>
        </row>
        <row r="13246">
          <cell r="A13246">
            <v>8121909</v>
          </cell>
        </row>
        <row r="13247">
          <cell r="A13247">
            <v>8121910</v>
          </cell>
        </row>
        <row r="13248">
          <cell r="A13248">
            <v>8121911</v>
          </cell>
        </row>
        <row r="13249">
          <cell r="A13249">
            <v>8121913</v>
          </cell>
        </row>
        <row r="13250">
          <cell r="A13250">
            <v>8121914</v>
          </cell>
        </row>
        <row r="13251">
          <cell r="A13251">
            <v>8121915</v>
          </cell>
        </row>
        <row r="13252">
          <cell r="A13252">
            <v>8121918</v>
          </cell>
        </row>
        <row r="13253">
          <cell r="A13253">
            <v>8121919</v>
          </cell>
        </row>
        <row r="13254">
          <cell r="A13254">
            <v>8121920</v>
          </cell>
        </row>
        <row r="13255">
          <cell r="A13255">
            <v>8121921</v>
          </cell>
        </row>
        <row r="13256">
          <cell r="A13256">
            <v>8121922</v>
          </cell>
        </row>
        <row r="13257">
          <cell r="A13257">
            <v>8121925</v>
          </cell>
        </row>
        <row r="13258">
          <cell r="A13258">
            <v>8121926</v>
          </cell>
        </row>
        <row r="13259">
          <cell r="A13259">
            <v>8121927</v>
          </cell>
        </row>
        <row r="13260">
          <cell r="A13260">
            <v>8121928</v>
          </cell>
        </row>
        <row r="13261">
          <cell r="A13261">
            <v>8121929</v>
          </cell>
        </row>
        <row r="13262">
          <cell r="A13262">
            <v>8121930</v>
          </cell>
        </row>
        <row r="13263">
          <cell r="A13263">
            <v>8122201</v>
          </cell>
        </row>
        <row r="13264">
          <cell r="A13264">
            <v>8122202</v>
          </cell>
        </row>
        <row r="13265">
          <cell r="A13265">
            <v>8122203</v>
          </cell>
        </row>
        <row r="13266">
          <cell r="A13266">
            <v>8122204</v>
          </cell>
        </row>
        <row r="13267">
          <cell r="A13267">
            <v>8122205</v>
          </cell>
        </row>
        <row r="13268">
          <cell r="A13268">
            <v>8122206</v>
          </cell>
        </row>
        <row r="13269">
          <cell r="A13269">
            <v>8122207</v>
          </cell>
        </row>
        <row r="13270">
          <cell r="A13270">
            <v>8122208</v>
          </cell>
        </row>
        <row r="13271">
          <cell r="A13271">
            <v>8122209</v>
          </cell>
        </row>
        <row r="13272">
          <cell r="A13272">
            <v>8122212</v>
          </cell>
        </row>
        <row r="13273">
          <cell r="A13273">
            <v>8122213</v>
          </cell>
        </row>
        <row r="13274">
          <cell r="A13274">
            <v>8122214</v>
          </cell>
        </row>
        <row r="13275">
          <cell r="A13275">
            <v>8122215</v>
          </cell>
        </row>
        <row r="13276">
          <cell r="A13276">
            <v>8122216</v>
          </cell>
        </row>
        <row r="13277">
          <cell r="A13277">
            <v>8122217</v>
          </cell>
        </row>
        <row r="13278">
          <cell r="A13278">
            <v>8122218</v>
          </cell>
        </row>
        <row r="13279">
          <cell r="A13279">
            <v>8122219</v>
          </cell>
        </row>
        <row r="13280">
          <cell r="A13280">
            <v>8122220</v>
          </cell>
        </row>
        <row r="13281">
          <cell r="A13281">
            <v>8122221</v>
          </cell>
        </row>
        <row r="13282">
          <cell r="A13282">
            <v>8122301</v>
          </cell>
        </row>
        <row r="13283">
          <cell r="A13283">
            <v>8122302</v>
          </cell>
        </row>
        <row r="13284">
          <cell r="A13284">
            <v>8122303</v>
          </cell>
        </row>
        <row r="13285">
          <cell r="A13285">
            <v>8122304</v>
          </cell>
        </row>
        <row r="13286">
          <cell r="A13286">
            <v>8122305</v>
          </cell>
        </row>
        <row r="13287">
          <cell r="A13287">
            <v>8122306</v>
          </cell>
        </row>
        <row r="13288">
          <cell r="A13288">
            <v>8122307</v>
          </cell>
        </row>
        <row r="13289">
          <cell r="A13289">
            <v>8122310</v>
          </cell>
        </row>
        <row r="13290">
          <cell r="A13290">
            <v>8122311</v>
          </cell>
        </row>
        <row r="13291">
          <cell r="A13291">
            <v>8122312</v>
          </cell>
        </row>
        <row r="13292">
          <cell r="A13292">
            <v>8122313</v>
          </cell>
        </row>
        <row r="13293">
          <cell r="A13293">
            <v>8122314</v>
          </cell>
        </row>
        <row r="13294">
          <cell r="A13294">
            <v>8122315</v>
          </cell>
        </row>
        <row r="13295">
          <cell r="A13295">
            <v>8122319</v>
          </cell>
        </row>
        <row r="13296">
          <cell r="A13296">
            <v>8122320</v>
          </cell>
        </row>
        <row r="13297">
          <cell r="A13297">
            <v>8122321</v>
          </cell>
        </row>
        <row r="13298">
          <cell r="A13298">
            <v>8122322</v>
          </cell>
        </row>
        <row r="13299">
          <cell r="A13299">
            <v>8122401</v>
          </cell>
        </row>
        <row r="13300">
          <cell r="A13300">
            <v>8122402</v>
          </cell>
        </row>
        <row r="13301">
          <cell r="A13301">
            <v>8122403</v>
          </cell>
        </row>
        <row r="13302">
          <cell r="A13302">
            <v>8122404</v>
          </cell>
        </row>
        <row r="13303">
          <cell r="A13303">
            <v>8122405</v>
          </cell>
        </row>
        <row r="13304">
          <cell r="A13304">
            <v>8122406</v>
          </cell>
        </row>
        <row r="13305">
          <cell r="A13305">
            <v>8122407</v>
          </cell>
        </row>
        <row r="13306">
          <cell r="A13306">
            <v>8122408</v>
          </cell>
        </row>
        <row r="13307">
          <cell r="A13307">
            <v>8122409</v>
          </cell>
        </row>
        <row r="13308">
          <cell r="A13308">
            <v>8122410</v>
          </cell>
        </row>
        <row r="13309">
          <cell r="A13309">
            <v>8122415</v>
          </cell>
        </row>
        <row r="13310">
          <cell r="A13310">
            <v>8122416</v>
          </cell>
        </row>
        <row r="13311">
          <cell r="A13311">
            <v>8122417</v>
          </cell>
        </row>
        <row r="13312">
          <cell r="A13312">
            <v>8122418</v>
          </cell>
        </row>
        <row r="13313">
          <cell r="A13313">
            <v>8122419</v>
          </cell>
        </row>
        <row r="13314">
          <cell r="A13314">
            <v>8122420</v>
          </cell>
        </row>
        <row r="13315">
          <cell r="A13315">
            <v>8122421</v>
          </cell>
        </row>
        <row r="13316">
          <cell r="A13316">
            <v>8122422</v>
          </cell>
        </row>
        <row r="13317">
          <cell r="A13317">
            <v>8122423</v>
          </cell>
        </row>
        <row r="13318">
          <cell r="A13318">
            <v>8122424</v>
          </cell>
        </row>
        <row r="13319">
          <cell r="A13319">
            <v>8122425</v>
          </cell>
        </row>
        <row r="13320">
          <cell r="A13320">
            <v>8122426</v>
          </cell>
        </row>
        <row r="13321">
          <cell r="A13321">
            <v>8122427</v>
          </cell>
        </row>
        <row r="13322">
          <cell r="A13322">
            <v>8122428</v>
          </cell>
        </row>
        <row r="13323">
          <cell r="A13323">
            <v>8122429</v>
          </cell>
        </row>
        <row r="13324">
          <cell r="A13324">
            <v>8122430</v>
          </cell>
        </row>
        <row r="13325">
          <cell r="A13325">
            <v>8122431</v>
          </cell>
        </row>
        <row r="13326">
          <cell r="A13326">
            <v>8122432</v>
          </cell>
        </row>
        <row r="13327">
          <cell r="A13327">
            <v>8122433</v>
          </cell>
        </row>
        <row r="13328">
          <cell r="A13328">
            <v>8122434</v>
          </cell>
        </row>
        <row r="13329">
          <cell r="A13329">
            <v>8122435</v>
          </cell>
        </row>
        <row r="13330">
          <cell r="A13330">
            <v>8122501</v>
          </cell>
        </row>
        <row r="13331">
          <cell r="A13331">
            <v>8122502</v>
          </cell>
        </row>
        <row r="13332">
          <cell r="A13332">
            <v>8122503</v>
          </cell>
        </row>
        <row r="13333">
          <cell r="A13333">
            <v>8122504</v>
          </cell>
        </row>
        <row r="13334">
          <cell r="A13334">
            <v>8122505</v>
          </cell>
        </row>
        <row r="13335">
          <cell r="A13335">
            <v>8122506</v>
          </cell>
        </row>
        <row r="13336">
          <cell r="A13336">
            <v>8122507</v>
          </cell>
        </row>
        <row r="13337">
          <cell r="A13337">
            <v>8122508</v>
          </cell>
        </row>
        <row r="13338">
          <cell r="A13338">
            <v>8122509</v>
          </cell>
        </row>
        <row r="13339">
          <cell r="A13339">
            <v>8122510</v>
          </cell>
        </row>
        <row r="13340">
          <cell r="A13340">
            <v>8122511</v>
          </cell>
        </row>
        <row r="13341">
          <cell r="A13341">
            <v>8122601</v>
          </cell>
        </row>
        <row r="13342">
          <cell r="A13342">
            <v>8122602</v>
          </cell>
        </row>
        <row r="13343">
          <cell r="A13343">
            <v>8122603</v>
          </cell>
        </row>
        <row r="13344">
          <cell r="A13344">
            <v>8122604</v>
          </cell>
        </row>
        <row r="13345">
          <cell r="A13345">
            <v>9010501</v>
          </cell>
        </row>
        <row r="13346">
          <cell r="A13346">
            <v>9010502</v>
          </cell>
        </row>
        <row r="13347">
          <cell r="A13347">
            <v>9010503</v>
          </cell>
        </row>
        <row r="13348">
          <cell r="A13348">
            <v>9010504</v>
          </cell>
        </row>
        <row r="13349">
          <cell r="A13349">
            <v>9010505</v>
          </cell>
        </row>
        <row r="13350">
          <cell r="A13350">
            <v>9010506</v>
          </cell>
        </row>
        <row r="13351">
          <cell r="A13351">
            <v>9010507</v>
          </cell>
        </row>
        <row r="13352">
          <cell r="A13352">
            <v>9010508</v>
          </cell>
        </row>
        <row r="13353">
          <cell r="A13353">
            <v>9010509</v>
          </cell>
        </row>
        <row r="13354">
          <cell r="A13354">
            <v>9010510</v>
          </cell>
        </row>
        <row r="13355">
          <cell r="A13355">
            <v>9010511</v>
          </cell>
        </row>
        <row r="13356">
          <cell r="A13356">
            <v>9010512</v>
          </cell>
        </row>
        <row r="13357">
          <cell r="A13357">
            <v>9010513</v>
          </cell>
        </row>
        <row r="13358">
          <cell r="A13358">
            <v>9010514</v>
          </cell>
        </row>
        <row r="13359">
          <cell r="A13359">
            <v>9010515</v>
          </cell>
        </row>
        <row r="13360">
          <cell r="A13360">
            <v>9010516</v>
          </cell>
        </row>
        <row r="13361">
          <cell r="A13361">
            <v>9010517</v>
          </cell>
        </row>
        <row r="13362">
          <cell r="A13362">
            <v>9010518</v>
          </cell>
        </row>
        <row r="13363">
          <cell r="A13363">
            <v>9010519</v>
          </cell>
        </row>
        <row r="13364">
          <cell r="A13364">
            <v>9010520</v>
          </cell>
        </row>
        <row r="13365">
          <cell r="A13365">
            <v>9010521</v>
          </cell>
        </row>
        <row r="13366">
          <cell r="A13366">
            <v>9010522</v>
          </cell>
        </row>
        <row r="13367">
          <cell r="A13367">
            <v>9010523</v>
          </cell>
        </row>
        <row r="13368">
          <cell r="A13368">
            <v>9010524</v>
          </cell>
        </row>
        <row r="13369">
          <cell r="A13369">
            <v>9010601</v>
          </cell>
        </row>
        <row r="13370">
          <cell r="A13370">
            <v>9010602</v>
          </cell>
        </row>
        <row r="13371">
          <cell r="A13371">
            <v>9010603</v>
          </cell>
        </row>
        <row r="13372">
          <cell r="A13372">
            <v>9010604</v>
          </cell>
        </row>
        <row r="13373">
          <cell r="A13373">
            <v>9010605</v>
          </cell>
        </row>
        <row r="13374">
          <cell r="A13374">
            <v>9010606</v>
          </cell>
        </row>
        <row r="13375">
          <cell r="A13375">
            <v>9010607</v>
          </cell>
        </row>
        <row r="13376">
          <cell r="A13376">
            <v>9010608</v>
          </cell>
        </row>
        <row r="13377">
          <cell r="A13377">
            <v>9010609</v>
          </cell>
        </row>
        <row r="13378">
          <cell r="A13378">
            <v>9010610</v>
          </cell>
        </row>
        <row r="13379">
          <cell r="A13379">
            <v>9010611</v>
          </cell>
        </row>
        <row r="13380">
          <cell r="A13380">
            <v>9010612</v>
          </cell>
        </row>
        <row r="13381">
          <cell r="A13381">
            <v>9010613</v>
          </cell>
        </row>
        <row r="13382">
          <cell r="A13382">
            <v>9010614</v>
          </cell>
        </row>
        <row r="13383">
          <cell r="A13383">
            <v>9010615</v>
          </cell>
        </row>
        <row r="13384">
          <cell r="A13384">
            <v>9010616</v>
          </cell>
        </row>
        <row r="13385">
          <cell r="A13385">
            <v>9010617</v>
          </cell>
        </row>
        <row r="13386">
          <cell r="A13386">
            <v>9010618</v>
          </cell>
        </row>
        <row r="13387">
          <cell r="A13387">
            <v>9010619</v>
          </cell>
        </row>
        <row r="13388">
          <cell r="A13388">
            <v>9010620</v>
          </cell>
        </row>
        <row r="13389">
          <cell r="A13389">
            <v>9010621</v>
          </cell>
        </row>
        <row r="13390">
          <cell r="A13390">
            <v>9010622</v>
          </cell>
        </row>
        <row r="13391">
          <cell r="A13391">
            <v>9010623</v>
          </cell>
        </row>
        <row r="13392">
          <cell r="A13392">
            <v>9010624</v>
          </cell>
        </row>
        <row r="13393">
          <cell r="A13393">
            <v>9010625</v>
          </cell>
        </row>
        <row r="13394">
          <cell r="A13394">
            <v>9010630</v>
          </cell>
        </row>
        <row r="13395">
          <cell r="A13395">
            <v>9010634</v>
          </cell>
        </row>
        <row r="13396">
          <cell r="A13396">
            <v>9010635</v>
          </cell>
        </row>
        <row r="13397">
          <cell r="A13397">
            <v>9010636</v>
          </cell>
        </row>
        <row r="13398">
          <cell r="A13398">
            <v>9010701</v>
          </cell>
        </row>
        <row r="13399">
          <cell r="A13399">
            <v>9010702</v>
          </cell>
        </row>
        <row r="13400">
          <cell r="A13400">
            <v>9010703</v>
          </cell>
        </row>
        <row r="13401">
          <cell r="A13401">
            <v>9010704</v>
          </cell>
        </row>
        <row r="13402">
          <cell r="A13402">
            <v>9010705</v>
          </cell>
        </row>
        <row r="13403">
          <cell r="A13403">
            <v>9010706</v>
          </cell>
        </row>
        <row r="13404">
          <cell r="A13404">
            <v>9010707</v>
          </cell>
        </row>
        <row r="13405">
          <cell r="A13405">
            <v>9010708</v>
          </cell>
        </row>
        <row r="13406">
          <cell r="A13406">
            <v>9010709</v>
          </cell>
        </row>
        <row r="13407">
          <cell r="A13407">
            <v>9010710</v>
          </cell>
        </row>
        <row r="13408">
          <cell r="A13408">
            <v>9010711</v>
          </cell>
        </row>
        <row r="13409">
          <cell r="A13409">
            <v>9010712</v>
          </cell>
        </row>
        <row r="13410">
          <cell r="A13410">
            <v>9010713</v>
          </cell>
        </row>
        <row r="13411">
          <cell r="A13411">
            <v>9010715</v>
          </cell>
        </row>
        <row r="13412">
          <cell r="A13412">
            <v>9010716</v>
          </cell>
        </row>
        <row r="13413">
          <cell r="A13413">
            <v>9010717</v>
          </cell>
        </row>
        <row r="13414">
          <cell r="A13414">
            <v>9010718</v>
          </cell>
        </row>
        <row r="13415">
          <cell r="A13415">
            <v>9010719</v>
          </cell>
        </row>
        <row r="13416">
          <cell r="A13416">
            <v>9010720</v>
          </cell>
        </row>
        <row r="13417">
          <cell r="A13417">
            <v>9010721</v>
          </cell>
        </row>
        <row r="13418">
          <cell r="A13418">
            <v>9010722</v>
          </cell>
        </row>
        <row r="13419">
          <cell r="A13419">
            <v>9010723</v>
          </cell>
        </row>
        <row r="13420">
          <cell r="A13420">
            <v>9010724</v>
          </cell>
        </row>
        <row r="13421">
          <cell r="A13421">
            <v>9010725</v>
          </cell>
        </row>
        <row r="13422">
          <cell r="A13422">
            <v>9010726</v>
          </cell>
        </row>
        <row r="13423">
          <cell r="A13423">
            <v>9010727</v>
          </cell>
        </row>
        <row r="13424">
          <cell r="A13424">
            <v>9010801</v>
          </cell>
        </row>
        <row r="13425">
          <cell r="A13425">
            <v>9010802</v>
          </cell>
        </row>
        <row r="13426">
          <cell r="A13426">
            <v>9010803</v>
          </cell>
        </row>
        <row r="13427">
          <cell r="A13427">
            <v>9010804</v>
          </cell>
        </row>
        <row r="13428">
          <cell r="A13428">
            <v>9010805</v>
          </cell>
        </row>
        <row r="13429">
          <cell r="A13429">
            <v>9010806</v>
          </cell>
        </row>
        <row r="13430">
          <cell r="A13430">
            <v>9010807</v>
          </cell>
        </row>
        <row r="13431">
          <cell r="A13431">
            <v>9010808</v>
          </cell>
        </row>
        <row r="13432">
          <cell r="A13432">
            <v>9010809</v>
          </cell>
        </row>
        <row r="13433">
          <cell r="A13433">
            <v>9010810</v>
          </cell>
        </row>
        <row r="13434">
          <cell r="A13434">
            <v>9010811</v>
          </cell>
        </row>
        <row r="13435">
          <cell r="A13435">
            <v>9010812</v>
          </cell>
        </row>
        <row r="13436">
          <cell r="A13436">
            <v>9010813</v>
          </cell>
        </row>
        <row r="13437">
          <cell r="A13437">
            <v>9010814</v>
          </cell>
        </row>
        <row r="13438">
          <cell r="A13438">
            <v>9010815</v>
          </cell>
        </row>
        <row r="13439">
          <cell r="A13439">
            <v>9010816</v>
          </cell>
        </row>
        <row r="13440">
          <cell r="A13440">
            <v>9010817</v>
          </cell>
        </row>
        <row r="13441">
          <cell r="A13441">
            <v>9010818</v>
          </cell>
        </row>
        <row r="13442">
          <cell r="A13442">
            <v>9010819</v>
          </cell>
        </row>
        <row r="13443">
          <cell r="A13443">
            <v>9010820</v>
          </cell>
        </row>
        <row r="13444">
          <cell r="A13444">
            <v>9010821</v>
          </cell>
        </row>
        <row r="13445">
          <cell r="A13445">
            <v>9010822</v>
          </cell>
        </row>
        <row r="13446">
          <cell r="A13446">
            <v>9010823</v>
          </cell>
        </row>
        <row r="13447">
          <cell r="A13447">
            <v>9010824</v>
          </cell>
        </row>
        <row r="13448">
          <cell r="A13448">
            <v>9010825</v>
          </cell>
        </row>
        <row r="13449">
          <cell r="A13449">
            <v>9010826</v>
          </cell>
        </row>
        <row r="13450">
          <cell r="A13450">
            <v>9010827</v>
          </cell>
        </row>
        <row r="13451">
          <cell r="A13451">
            <v>9010828</v>
          </cell>
        </row>
        <row r="13452">
          <cell r="A13452">
            <v>9010901</v>
          </cell>
        </row>
        <row r="13453">
          <cell r="A13453">
            <v>9010902</v>
          </cell>
        </row>
        <row r="13454">
          <cell r="A13454">
            <v>9010903</v>
          </cell>
        </row>
        <row r="13455">
          <cell r="A13455">
            <v>9010904</v>
          </cell>
        </row>
        <row r="13456">
          <cell r="A13456">
            <v>9010905</v>
          </cell>
        </row>
        <row r="13457">
          <cell r="A13457">
            <v>9010906</v>
          </cell>
        </row>
        <row r="13458">
          <cell r="A13458">
            <v>9010907</v>
          </cell>
        </row>
        <row r="13459">
          <cell r="A13459">
            <v>9010908</v>
          </cell>
        </row>
        <row r="13460">
          <cell r="A13460">
            <v>9010909</v>
          </cell>
        </row>
        <row r="13461">
          <cell r="A13461">
            <v>9010910</v>
          </cell>
        </row>
        <row r="13462">
          <cell r="A13462">
            <v>9010911</v>
          </cell>
        </row>
        <row r="13463">
          <cell r="A13463">
            <v>9010912</v>
          </cell>
        </row>
        <row r="13464">
          <cell r="A13464">
            <v>9010913</v>
          </cell>
        </row>
        <row r="13465">
          <cell r="A13465">
            <v>9010914</v>
          </cell>
        </row>
        <row r="13466">
          <cell r="A13466">
            <v>9011201</v>
          </cell>
        </row>
        <row r="13467">
          <cell r="A13467">
            <v>9011202</v>
          </cell>
        </row>
        <row r="13468">
          <cell r="A13468">
            <v>9011203</v>
          </cell>
        </row>
        <row r="13469">
          <cell r="A13469">
            <v>9011204</v>
          </cell>
        </row>
        <row r="13470">
          <cell r="A13470">
            <v>9011205</v>
          </cell>
        </row>
        <row r="13471">
          <cell r="A13471">
            <v>9011206</v>
          </cell>
        </row>
        <row r="13472">
          <cell r="A13472">
            <v>9011207</v>
          </cell>
        </row>
        <row r="13473">
          <cell r="A13473">
            <v>9011208</v>
          </cell>
        </row>
        <row r="13474">
          <cell r="A13474">
            <v>9011209</v>
          </cell>
        </row>
        <row r="13475">
          <cell r="A13475">
            <v>9011210</v>
          </cell>
        </row>
        <row r="13476">
          <cell r="A13476">
            <v>9011211</v>
          </cell>
        </row>
        <row r="13477">
          <cell r="A13477">
            <v>9011212</v>
          </cell>
        </row>
        <row r="13478">
          <cell r="A13478">
            <v>9011213</v>
          </cell>
        </row>
        <row r="13479">
          <cell r="A13479">
            <v>9011214</v>
          </cell>
        </row>
        <row r="13480">
          <cell r="A13480">
            <v>9011215</v>
          </cell>
        </row>
        <row r="13481">
          <cell r="A13481">
            <v>9011216</v>
          </cell>
        </row>
        <row r="13482">
          <cell r="A13482">
            <v>9011217</v>
          </cell>
        </row>
        <row r="13483">
          <cell r="A13483">
            <v>9011218</v>
          </cell>
        </row>
        <row r="13484">
          <cell r="A13484">
            <v>9011219</v>
          </cell>
        </row>
        <row r="13485">
          <cell r="A13485">
            <v>9011220</v>
          </cell>
        </row>
        <row r="13486">
          <cell r="A13486">
            <v>9011221</v>
          </cell>
        </row>
        <row r="13487">
          <cell r="A13487">
            <v>9011222</v>
          </cell>
        </row>
        <row r="13488">
          <cell r="A13488">
            <v>9011223</v>
          </cell>
        </row>
        <row r="13489">
          <cell r="A13489">
            <v>9011224</v>
          </cell>
        </row>
        <row r="13490">
          <cell r="A13490">
            <v>9011225</v>
          </cell>
        </row>
        <row r="13491">
          <cell r="A13491">
            <v>9011226</v>
          </cell>
        </row>
        <row r="13492">
          <cell r="A13492">
            <v>9011227</v>
          </cell>
        </row>
        <row r="13493">
          <cell r="A13493">
            <v>9011228</v>
          </cell>
        </row>
        <row r="13494">
          <cell r="A13494">
            <v>9011301</v>
          </cell>
        </row>
        <row r="13495">
          <cell r="A13495">
            <v>9011302</v>
          </cell>
        </row>
        <row r="13496">
          <cell r="A13496">
            <v>9011303</v>
          </cell>
        </row>
        <row r="13497">
          <cell r="A13497">
            <v>9011304</v>
          </cell>
        </row>
        <row r="13498">
          <cell r="A13498">
            <v>9011305</v>
          </cell>
        </row>
        <row r="13499">
          <cell r="A13499">
            <v>9011306</v>
          </cell>
        </row>
        <row r="13500">
          <cell r="A13500">
            <v>9011307</v>
          </cell>
        </row>
        <row r="13501">
          <cell r="A13501">
            <v>9011308</v>
          </cell>
        </row>
        <row r="13502">
          <cell r="A13502">
            <v>9011309</v>
          </cell>
        </row>
        <row r="13503">
          <cell r="A13503">
            <v>9011310</v>
          </cell>
        </row>
        <row r="13504">
          <cell r="A13504">
            <v>9011311</v>
          </cell>
        </row>
        <row r="13505">
          <cell r="A13505">
            <v>9011312</v>
          </cell>
        </row>
        <row r="13506">
          <cell r="A13506">
            <v>9011313</v>
          </cell>
        </row>
        <row r="13507">
          <cell r="A13507">
            <v>9011319</v>
          </cell>
        </row>
        <row r="13508">
          <cell r="A13508">
            <v>9011320</v>
          </cell>
        </row>
        <row r="13509">
          <cell r="A13509">
            <v>9011321</v>
          </cell>
        </row>
        <row r="13510">
          <cell r="A13510">
            <v>9011329</v>
          </cell>
        </row>
        <row r="13511">
          <cell r="A13511">
            <v>9011330</v>
          </cell>
        </row>
        <row r="13512">
          <cell r="A13512">
            <v>9011331</v>
          </cell>
        </row>
        <row r="13513">
          <cell r="A13513">
            <v>9011333</v>
          </cell>
        </row>
        <row r="13514">
          <cell r="A13514">
            <v>9011334</v>
          </cell>
        </row>
        <row r="13515">
          <cell r="A13515">
            <v>9011335</v>
          </cell>
        </row>
        <row r="13516">
          <cell r="A13516">
            <v>9011336</v>
          </cell>
        </row>
        <row r="13517">
          <cell r="A13517">
            <v>9011337</v>
          </cell>
        </row>
        <row r="13518">
          <cell r="A13518">
            <v>9011401</v>
          </cell>
        </row>
        <row r="13519">
          <cell r="A13519">
            <v>9011402</v>
          </cell>
        </row>
        <row r="13520">
          <cell r="A13520">
            <v>9011403</v>
          </cell>
        </row>
        <row r="13521">
          <cell r="A13521">
            <v>9011404</v>
          </cell>
        </row>
        <row r="13522">
          <cell r="A13522">
            <v>9011405</v>
          </cell>
        </row>
        <row r="13523">
          <cell r="A13523">
            <v>9011406</v>
          </cell>
        </row>
        <row r="13524">
          <cell r="A13524">
            <v>9011407</v>
          </cell>
        </row>
        <row r="13525">
          <cell r="A13525">
            <v>9011408</v>
          </cell>
        </row>
        <row r="13526">
          <cell r="A13526">
            <v>9011409</v>
          </cell>
        </row>
        <row r="13527">
          <cell r="A13527">
            <v>9011410</v>
          </cell>
        </row>
        <row r="13528">
          <cell r="A13528">
            <v>9011411</v>
          </cell>
        </row>
        <row r="13529">
          <cell r="A13529">
            <v>9011412</v>
          </cell>
        </row>
        <row r="13530">
          <cell r="A13530">
            <v>9011413</v>
          </cell>
        </row>
        <row r="13531">
          <cell r="A13531">
            <v>9011414</v>
          </cell>
        </row>
        <row r="13532">
          <cell r="A13532">
            <v>9011415</v>
          </cell>
        </row>
        <row r="13533">
          <cell r="A13533">
            <v>9011416</v>
          </cell>
        </row>
        <row r="13534">
          <cell r="A13534">
            <v>9011417</v>
          </cell>
        </row>
        <row r="13535">
          <cell r="A13535">
            <v>9011418</v>
          </cell>
        </row>
        <row r="13536">
          <cell r="A13536">
            <v>9011419</v>
          </cell>
        </row>
        <row r="13537">
          <cell r="A13537">
            <v>9011420</v>
          </cell>
        </row>
        <row r="13538">
          <cell r="A13538">
            <v>9011423</v>
          </cell>
        </row>
        <row r="13539">
          <cell r="A13539">
            <v>9011424</v>
          </cell>
        </row>
        <row r="13540">
          <cell r="A13540">
            <v>9011425</v>
          </cell>
        </row>
        <row r="13541">
          <cell r="A13541">
            <v>9011426</v>
          </cell>
        </row>
        <row r="13542">
          <cell r="A13542">
            <v>9011429</v>
          </cell>
        </row>
        <row r="13543">
          <cell r="A13543">
            <v>9011430</v>
          </cell>
        </row>
        <row r="13544">
          <cell r="A13544">
            <v>9011431</v>
          </cell>
        </row>
        <row r="13545">
          <cell r="A13545">
            <v>9011432</v>
          </cell>
        </row>
        <row r="13546">
          <cell r="A13546">
            <v>9011501</v>
          </cell>
        </row>
        <row r="13547">
          <cell r="A13547">
            <v>9011502</v>
          </cell>
        </row>
        <row r="13548">
          <cell r="A13548">
            <v>9011503</v>
          </cell>
        </row>
        <row r="13549">
          <cell r="A13549">
            <v>9011504</v>
          </cell>
        </row>
        <row r="13550">
          <cell r="A13550">
            <v>9011505</v>
          </cell>
        </row>
        <row r="13551">
          <cell r="A13551">
            <v>9011506</v>
          </cell>
        </row>
        <row r="13552">
          <cell r="A13552">
            <v>9011507</v>
          </cell>
        </row>
        <row r="13553">
          <cell r="A13553">
            <v>9011508</v>
          </cell>
        </row>
        <row r="13554">
          <cell r="A13554">
            <v>9011509</v>
          </cell>
        </row>
        <row r="13555">
          <cell r="A13555">
            <v>9011510</v>
          </cell>
        </row>
        <row r="13556">
          <cell r="A13556">
            <v>9011515</v>
          </cell>
        </row>
        <row r="13557">
          <cell r="A13557">
            <v>9011516</v>
          </cell>
        </row>
        <row r="13558">
          <cell r="A13558">
            <v>9011517</v>
          </cell>
        </row>
        <row r="13559">
          <cell r="A13559">
            <v>9011518</v>
          </cell>
        </row>
        <row r="13560">
          <cell r="A13560">
            <v>9011519</v>
          </cell>
        </row>
        <row r="13561">
          <cell r="A13561">
            <v>9011520</v>
          </cell>
        </row>
        <row r="13562">
          <cell r="A13562">
            <v>9011521</v>
          </cell>
        </row>
        <row r="13563">
          <cell r="A13563">
            <v>9011522</v>
          </cell>
        </row>
        <row r="13564">
          <cell r="A13564">
            <v>9011523</v>
          </cell>
        </row>
        <row r="13565">
          <cell r="A13565">
            <v>9011524</v>
          </cell>
        </row>
        <row r="13566">
          <cell r="A13566">
            <v>9011525</v>
          </cell>
        </row>
        <row r="13567">
          <cell r="A13567">
            <v>9011526</v>
          </cell>
        </row>
        <row r="13568">
          <cell r="A13568">
            <v>9011527</v>
          </cell>
        </row>
        <row r="13569">
          <cell r="A13569">
            <v>9011528</v>
          </cell>
        </row>
        <row r="13570">
          <cell r="A13570">
            <v>9011529</v>
          </cell>
        </row>
        <row r="13571">
          <cell r="A13571">
            <v>9011601</v>
          </cell>
        </row>
        <row r="13572">
          <cell r="A13572">
            <v>9011602</v>
          </cell>
        </row>
        <row r="13573">
          <cell r="A13573">
            <v>9011603</v>
          </cell>
        </row>
        <row r="13574">
          <cell r="A13574">
            <v>9011901</v>
          </cell>
        </row>
        <row r="13575">
          <cell r="A13575">
            <v>9011902</v>
          </cell>
        </row>
        <row r="13576">
          <cell r="A13576">
            <v>9011903</v>
          </cell>
        </row>
        <row r="13577">
          <cell r="A13577">
            <v>9011904</v>
          </cell>
        </row>
        <row r="13578">
          <cell r="A13578">
            <v>9011905</v>
          </cell>
        </row>
        <row r="13579">
          <cell r="A13579">
            <v>9011906</v>
          </cell>
        </row>
        <row r="13580">
          <cell r="A13580">
            <v>9011907</v>
          </cell>
        </row>
        <row r="13581">
          <cell r="A13581">
            <v>9011908</v>
          </cell>
        </row>
        <row r="13582">
          <cell r="A13582">
            <v>9011909</v>
          </cell>
        </row>
        <row r="13583">
          <cell r="A13583">
            <v>9011910</v>
          </cell>
        </row>
        <row r="13584">
          <cell r="A13584">
            <v>9011911</v>
          </cell>
        </row>
        <row r="13585">
          <cell r="A13585">
            <v>9011912</v>
          </cell>
        </row>
        <row r="13586">
          <cell r="A13586">
            <v>9011913</v>
          </cell>
        </row>
        <row r="13587">
          <cell r="A13587">
            <v>9011914</v>
          </cell>
        </row>
        <row r="13588">
          <cell r="A13588">
            <v>9011915</v>
          </cell>
        </row>
        <row r="13589">
          <cell r="A13589">
            <v>9011916</v>
          </cell>
        </row>
        <row r="13590">
          <cell r="A13590">
            <v>9011921</v>
          </cell>
        </row>
        <row r="13591">
          <cell r="A13591">
            <v>9011922</v>
          </cell>
        </row>
        <row r="13592">
          <cell r="A13592">
            <v>9011923</v>
          </cell>
        </row>
        <row r="13593">
          <cell r="A13593">
            <v>9011924</v>
          </cell>
        </row>
        <row r="13594">
          <cell r="A13594">
            <v>9011925</v>
          </cell>
        </row>
        <row r="13595">
          <cell r="A13595">
            <v>9011926</v>
          </cell>
        </row>
        <row r="13596">
          <cell r="A13596">
            <v>9011927</v>
          </cell>
        </row>
        <row r="13597">
          <cell r="A13597">
            <v>9012001</v>
          </cell>
        </row>
        <row r="13598">
          <cell r="A13598">
            <v>9012002</v>
          </cell>
        </row>
        <row r="13599">
          <cell r="A13599">
            <v>9012003</v>
          </cell>
        </row>
        <row r="13600">
          <cell r="A13600">
            <v>9012004</v>
          </cell>
        </row>
        <row r="13601">
          <cell r="A13601">
            <v>9012005</v>
          </cell>
        </row>
        <row r="13602">
          <cell r="A13602">
            <v>9012006</v>
          </cell>
        </row>
        <row r="13603">
          <cell r="A13603">
            <v>9012007</v>
          </cell>
        </row>
        <row r="13604">
          <cell r="A13604">
            <v>9012008</v>
          </cell>
        </row>
        <row r="13605">
          <cell r="A13605">
            <v>9012009</v>
          </cell>
        </row>
        <row r="13606">
          <cell r="A13606">
            <v>9012010</v>
          </cell>
        </row>
        <row r="13607">
          <cell r="A13607">
            <v>9012011</v>
          </cell>
        </row>
        <row r="13608">
          <cell r="A13608">
            <v>9012012</v>
          </cell>
        </row>
        <row r="13609">
          <cell r="A13609">
            <v>9012013</v>
          </cell>
        </row>
        <row r="13610">
          <cell r="A13610">
            <v>9012014</v>
          </cell>
        </row>
        <row r="13611">
          <cell r="A13611">
            <v>9012015</v>
          </cell>
        </row>
        <row r="13612">
          <cell r="A13612">
            <v>9012016</v>
          </cell>
        </row>
        <row r="13613">
          <cell r="A13613">
            <v>9012017</v>
          </cell>
        </row>
        <row r="13614">
          <cell r="A13614">
            <v>9012018</v>
          </cell>
        </row>
        <row r="13615">
          <cell r="A13615">
            <v>9012019</v>
          </cell>
        </row>
        <row r="13616">
          <cell r="A13616">
            <v>9012020</v>
          </cell>
        </row>
        <row r="13617">
          <cell r="A13617">
            <v>9012021</v>
          </cell>
        </row>
        <row r="13618">
          <cell r="A13618">
            <v>9012022</v>
          </cell>
        </row>
        <row r="13619">
          <cell r="A13619">
            <v>9012023</v>
          </cell>
        </row>
        <row r="13620">
          <cell r="A13620">
            <v>9012024</v>
          </cell>
        </row>
        <row r="13621">
          <cell r="A13621">
            <v>9012025</v>
          </cell>
        </row>
        <row r="13622">
          <cell r="A13622">
            <v>9012026</v>
          </cell>
        </row>
        <row r="13623">
          <cell r="A13623">
            <v>9012027</v>
          </cell>
        </row>
        <row r="13624">
          <cell r="A13624">
            <v>9012028</v>
          </cell>
        </row>
        <row r="13625">
          <cell r="A13625">
            <v>9012029</v>
          </cell>
        </row>
        <row r="13626">
          <cell r="A13626">
            <v>9012030</v>
          </cell>
        </row>
        <row r="13627">
          <cell r="A13627">
            <v>9012031</v>
          </cell>
        </row>
        <row r="13628">
          <cell r="A13628">
            <v>9012032</v>
          </cell>
        </row>
        <row r="13629">
          <cell r="A13629">
            <v>9012033</v>
          </cell>
        </row>
        <row r="13630">
          <cell r="A13630">
            <v>9012034</v>
          </cell>
        </row>
        <row r="13631">
          <cell r="A13631">
            <v>9012035</v>
          </cell>
        </row>
        <row r="13632">
          <cell r="A13632">
            <v>9012101</v>
          </cell>
        </row>
        <row r="13633">
          <cell r="A13633">
            <v>9012102</v>
          </cell>
        </row>
        <row r="13634">
          <cell r="A13634">
            <v>9012103</v>
          </cell>
        </row>
        <row r="13635">
          <cell r="A13635">
            <v>9012104</v>
          </cell>
        </row>
        <row r="13636">
          <cell r="A13636">
            <v>9012105</v>
          </cell>
        </row>
        <row r="13637">
          <cell r="A13637">
            <v>9012106</v>
          </cell>
        </row>
        <row r="13638">
          <cell r="A13638">
            <v>9012107</v>
          </cell>
        </row>
        <row r="13639">
          <cell r="A13639">
            <v>9012108</v>
          </cell>
        </row>
        <row r="13640">
          <cell r="A13640">
            <v>9012109</v>
          </cell>
        </row>
        <row r="13641">
          <cell r="A13641">
            <v>9012110</v>
          </cell>
        </row>
        <row r="13642">
          <cell r="A13642">
            <v>9012111</v>
          </cell>
        </row>
        <row r="13643">
          <cell r="A13643">
            <v>9012112</v>
          </cell>
        </row>
        <row r="13644">
          <cell r="A13644">
            <v>9012113</v>
          </cell>
        </row>
        <row r="13645">
          <cell r="A13645">
            <v>9012114</v>
          </cell>
        </row>
        <row r="13646">
          <cell r="A13646">
            <v>9012115</v>
          </cell>
        </row>
        <row r="13647">
          <cell r="A13647">
            <v>9012116</v>
          </cell>
        </row>
        <row r="13648">
          <cell r="A13648">
            <v>9012117</v>
          </cell>
        </row>
        <row r="13649">
          <cell r="A13649">
            <v>9012118</v>
          </cell>
        </row>
        <row r="13650">
          <cell r="A13650">
            <v>9012119</v>
          </cell>
        </row>
        <row r="13651">
          <cell r="A13651">
            <v>9012120</v>
          </cell>
        </row>
        <row r="13652">
          <cell r="A13652">
            <v>9012121</v>
          </cell>
        </row>
        <row r="13653">
          <cell r="A13653">
            <v>9012122</v>
          </cell>
        </row>
        <row r="13654">
          <cell r="A13654">
            <v>9012123</v>
          </cell>
        </row>
        <row r="13655">
          <cell r="A13655">
            <v>9012132</v>
          </cell>
        </row>
        <row r="13656">
          <cell r="A13656">
            <v>9012133</v>
          </cell>
        </row>
        <row r="13657">
          <cell r="A13657">
            <v>9012134</v>
          </cell>
        </row>
        <row r="13658">
          <cell r="A13658">
            <v>9012135</v>
          </cell>
        </row>
        <row r="13659">
          <cell r="A13659">
            <v>9012136</v>
          </cell>
        </row>
        <row r="13660">
          <cell r="A13660">
            <v>9012137</v>
          </cell>
        </row>
        <row r="13661">
          <cell r="A13661">
            <v>9012138</v>
          </cell>
        </row>
        <row r="13662">
          <cell r="A13662">
            <v>9012139</v>
          </cell>
        </row>
        <row r="13663">
          <cell r="A13663">
            <v>9012140</v>
          </cell>
        </row>
        <row r="13664">
          <cell r="A13664">
            <v>9012141</v>
          </cell>
        </row>
        <row r="13665">
          <cell r="A13665">
            <v>9012142</v>
          </cell>
        </row>
        <row r="13666">
          <cell r="A13666">
            <v>9012143</v>
          </cell>
        </row>
        <row r="13667">
          <cell r="A13667">
            <v>9012201</v>
          </cell>
        </row>
        <row r="13668">
          <cell r="A13668">
            <v>9012202</v>
          </cell>
        </row>
        <row r="13669">
          <cell r="A13669">
            <v>9012203</v>
          </cell>
        </row>
        <row r="13670">
          <cell r="A13670">
            <v>9012204</v>
          </cell>
        </row>
        <row r="13671">
          <cell r="A13671">
            <v>9012205</v>
          </cell>
        </row>
        <row r="13672">
          <cell r="A13672">
            <v>9012206</v>
          </cell>
        </row>
        <row r="13673">
          <cell r="A13673">
            <v>9012207</v>
          </cell>
        </row>
        <row r="13674">
          <cell r="A13674">
            <v>9012208</v>
          </cell>
        </row>
        <row r="13675">
          <cell r="A13675">
            <v>9012209</v>
          </cell>
        </row>
        <row r="13676">
          <cell r="A13676">
            <v>9012210</v>
          </cell>
        </row>
        <row r="13677">
          <cell r="A13677">
            <v>9012211</v>
          </cell>
        </row>
        <row r="13678">
          <cell r="A13678">
            <v>9012212</v>
          </cell>
        </row>
        <row r="13679">
          <cell r="A13679">
            <v>9012213</v>
          </cell>
        </row>
        <row r="13680">
          <cell r="A13680">
            <v>9012214</v>
          </cell>
        </row>
        <row r="13681">
          <cell r="A13681">
            <v>9012215</v>
          </cell>
        </row>
        <row r="13682">
          <cell r="A13682">
            <v>9012216</v>
          </cell>
        </row>
        <row r="13683">
          <cell r="A13683">
            <v>9012217</v>
          </cell>
        </row>
        <row r="13684">
          <cell r="A13684">
            <v>9012218</v>
          </cell>
        </row>
        <row r="13685">
          <cell r="A13685">
            <v>9012219</v>
          </cell>
        </row>
        <row r="13686">
          <cell r="A13686">
            <v>9012220</v>
          </cell>
        </row>
        <row r="13687">
          <cell r="A13687">
            <v>9012221</v>
          </cell>
        </row>
        <row r="13688">
          <cell r="A13688">
            <v>9012222</v>
          </cell>
        </row>
        <row r="13689">
          <cell r="A13689">
            <v>9012223</v>
          </cell>
        </row>
        <row r="13690">
          <cell r="A13690">
            <v>9012231</v>
          </cell>
        </row>
        <row r="13691">
          <cell r="A13691">
            <v>9012232</v>
          </cell>
        </row>
        <row r="13692">
          <cell r="A13692">
            <v>9012234</v>
          </cell>
        </row>
        <row r="13693">
          <cell r="A13693">
            <v>9012235</v>
          </cell>
        </row>
        <row r="13694">
          <cell r="A13694">
            <v>9012236</v>
          </cell>
        </row>
        <row r="13695">
          <cell r="A13695">
            <v>9012237</v>
          </cell>
        </row>
        <row r="13696">
          <cell r="A13696">
            <v>9012238</v>
          </cell>
        </row>
        <row r="13697">
          <cell r="A13697">
            <v>9012239</v>
          </cell>
        </row>
        <row r="13698">
          <cell r="A13698">
            <v>9012301</v>
          </cell>
        </row>
        <row r="13699">
          <cell r="A13699">
            <v>9012302</v>
          </cell>
        </row>
        <row r="13700">
          <cell r="A13700">
            <v>9012303</v>
          </cell>
        </row>
        <row r="13701">
          <cell r="A13701">
            <v>9012304</v>
          </cell>
        </row>
        <row r="13702">
          <cell r="A13702">
            <v>9012305</v>
          </cell>
        </row>
        <row r="13703">
          <cell r="A13703">
            <v>9012306</v>
          </cell>
        </row>
        <row r="13704">
          <cell r="A13704">
            <v>9012307</v>
          </cell>
        </row>
        <row r="13705">
          <cell r="A13705">
            <v>9012308</v>
          </cell>
        </row>
        <row r="13706">
          <cell r="A13706">
            <v>9012309</v>
          </cell>
        </row>
        <row r="13707">
          <cell r="A13707">
            <v>9012310</v>
          </cell>
        </row>
        <row r="13708">
          <cell r="A13708">
            <v>9012311</v>
          </cell>
        </row>
        <row r="13709">
          <cell r="A13709">
            <v>9012318</v>
          </cell>
        </row>
        <row r="13710">
          <cell r="A13710">
            <v>9012319</v>
          </cell>
        </row>
        <row r="13711">
          <cell r="A13711">
            <v>9012320</v>
          </cell>
        </row>
        <row r="13712">
          <cell r="A13712">
            <v>9012322</v>
          </cell>
        </row>
        <row r="13713">
          <cell r="A13713">
            <v>9012601</v>
          </cell>
        </row>
        <row r="13714">
          <cell r="A13714">
            <v>9012602</v>
          </cell>
        </row>
        <row r="13715">
          <cell r="A13715">
            <v>9012603</v>
          </cell>
        </row>
        <row r="13716">
          <cell r="A13716">
            <v>9012604</v>
          </cell>
        </row>
        <row r="13717">
          <cell r="A13717">
            <v>9012605</v>
          </cell>
        </row>
        <row r="13718">
          <cell r="A13718">
            <v>9012606</v>
          </cell>
        </row>
        <row r="13719">
          <cell r="A13719">
            <v>9012607</v>
          </cell>
        </row>
        <row r="13720">
          <cell r="A13720">
            <v>9012608</v>
          </cell>
        </row>
        <row r="13721">
          <cell r="A13721">
            <v>9012609</v>
          </cell>
        </row>
        <row r="13722">
          <cell r="A13722">
            <v>9012610</v>
          </cell>
        </row>
        <row r="13723">
          <cell r="A13723">
            <v>9012611</v>
          </cell>
        </row>
        <row r="13724">
          <cell r="A13724">
            <v>9012612</v>
          </cell>
        </row>
        <row r="13725">
          <cell r="A13725">
            <v>9012613</v>
          </cell>
        </row>
        <row r="13726">
          <cell r="A13726">
            <v>9012614</v>
          </cell>
        </row>
        <row r="13727">
          <cell r="A13727">
            <v>9012615</v>
          </cell>
        </row>
        <row r="13728">
          <cell r="A13728">
            <v>9012616</v>
          </cell>
        </row>
        <row r="13729">
          <cell r="A13729">
            <v>9012617</v>
          </cell>
        </row>
        <row r="13730">
          <cell r="A13730">
            <v>9012618</v>
          </cell>
        </row>
        <row r="13731">
          <cell r="A13731">
            <v>9012619</v>
          </cell>
        </row>
        <row r="13732">
          <cell r="A13732">
            <v>9012620</v>
          </cell>
        </row>
        <row r="13733">
          <cell r="A13733">
            <v>9012621</v>
          </cell>
        </row>
        <row r="13734">
          <cell r="A13734">
            <v>9012622</v>
          </cell>
        </row>
        <row r="13735">
          <cell r="A13735">
            <v>9012623</v>
          </cell>
        </row>
        <row r="13736">
          <cell r="A13736">
            <v>9012624</v>
          </cell>
        </row>
        <row r="13737">
          <cell r="A13737">
            <v>9012701</v>
          </cell>
        </row>
        <row r="13738">
          <cell r="A13738">
            <v>9012702</v>
          </cell>
        </row>
        <row r="13739">
          <cell r="A13739">
            <v>9012703</v>
          </cell>
        </row>
        <row r="13740">
          <cell r="A13740">
            <v>9012704</v>
          </cell>
        </row>
        <row r="13741">
          <cell r="A13741">
            <v>9012705</v>
          </cell>
        </row>
        <row r="13742">
          <cell r="A13742">
            <v>9012706</v>
          </cell>
        </row>
        <row r="13743">
          <cell r="A13743">
            <v>9012707</v>
          </cell>
        </row>
        <row r="13744">
          <cell r="A13744">
            <v>9012708</v>
          </cell>
        </row>
        <row r="13745">
          <cell r="A13745">
            <v>9012709</v>
          </cell>
        </row>
        <row r="13746">
          <cell r="A13746">
            <v>9012710</v>
          </cell>
        </row>
        <row r="13747">
          <cell r="A13747">
            <v>9012711</v>
          </cell>
        </row>
        <row r="13748">
          <cell r="A13748">
            <v>9012712</v>
          </cell>
        </row>
        <row r="13749">
          <cell r="A13749">
            <v>9012713</v>
          </cell>
        </row>
        <row r="13750">
          <cell r="A13750">
            <v>9012714</v>
          </cell>
        </row>
        <row r="13751">
          <cell r="A13751">
            <v>9012715</v>
          </cell>
        </row>
        <row r="13752">
          <cell r="A13752">
            <v>9012716</v>
          </cell>
        </row>
        <row r="13753">
          <cell r="A13753">
            <v>9012717</v>
          </cell>
        </row>
        <row r="13754">
          <cell r="A13754">
            <v>9012718</v>
          </cell>
        </row>
        <row r="13755">
          <cell r="A13755">
            <v>9012719</v>
          </cell>
        </row>
        <row r="13756">
          <cell r="A13756">
            <v>9012720</v>
          </cell>
        </row>
        <row r="13757">
          <cell r="A13757">
            <v>9012721</v>
          </cell>
        </row>
        <row r="13758">
          <cell r="A13758">
            <v>9012724</v>
          </cell>
        </row>
        <row r="13759">
          <cell r="A13759">
            <v>9012725</v>
          </cell>
        </row>
        <row r="13760">
          <cell r="A13760">
            <v>9012726</v>
          </cell>
        </row>
        <row r="13761">
          <cell r="A13761">
            <v>9012727</v>
          </cell>
        </row>
        <row r="13762">
          <cell r="A13762">
            <v>9012728</v>
          </cell>
        </row>
        <row r="13763">
          <cell r="A13763">
            <v>9012729</v>
          </cell>
        </row>
        <row r="13764">
          <cell r="A13764">
            <v>9012732</v>
          </cell>
        </row>
        <row r="13765">
          <cell r="A13765">
            <v>9012733</v>
          </cell>
        </row>
        <row r="13766">
          <cell r="A13766">
            <v>9012734</v>
          </cell>
        </row>
        <row r="13767">
          <cell r="A13767">
            <v>9012735</v>
          </cell>
        </row>
        <row r="13768">
          <cell r="A13768">
            <v>9012736</v>
          </cell>
        </row>
        <row r="13769">
          <cell r="A13769">
            <v>9012738</v>
          </cell>
        </row>
        <row r="13770">
          <cell r="A13770">
            <v>9012739</v>
          </cell>
        </row>
        <row r="13771">
          <cell r="A13771">
            <v>9012740</v>
          </cell>
        </row>
        <row r="13772">
          <cell r="A13772">
            <v>9012801</v>
          </cell>
        </row>
        <row r="13773">
          <cell r="A13773">
            <v>9012802</v>
          </cell>
        </row>
        <row r="13774">
          <cell r="A13774">
            <v>9012803</v>
          </cell>
        </row>
        <row r="13775">
          <cell r="A13775">
            <v>9012804</v>
          </cell>
        </row>
        <row r="13776">
          <cell r="A13776">
            <v>9012805</v>
          </cell>
        </row>
        <row r="13777">
          <cell r="A13777">
            <v>9012806</v>
          </cell>
        </row>
        <row r="13778">
          <cell r="A13778">
            <v>9012807</v>
          </cell>
        </row>
        <row r="13779">
          <cell r="A13779">
            <v>9012808</v>
          </cell>
        </row>
        <row r="13780">
          <cell r="A13780">
            <v>9012809</v>
          </cell>
        </row>
        <row r="13781">
          <cell r="A13781">
            <v>9012810</v>
          </cell>
        </row>
        <row r="13782">
          <cell r="A13782">
            <v>9012811</v>
          </cell>
        </row>
        <row r="13783">
          <cell r="A13783">
            <v>9012812</v>
          </cell>
        </row>
        <row r="13784">
          <cell r="A13784">
            <v>9012813</v>
          </cell>
        </row>
        <row r="13785">
          <cell r="A13785">
            <v>9012817</v>
          </cell>
        </row>
        <row r="13786">
          <cell r="A13786">
            <v>9012818</v>
          </cell>
        </row>
        <row r="13787">
          <cell r="A13787">
            <v>9012819</v>
          </cell>
        </row>
        <row r="13788">
          <cell r="A13788">
            <v>9012820</v>
          </cell>
        </row>
        <row r="13789">
          <cell r="A13789">
            <v>9012821</v>
          </cell>
        </row>
        <row r="13790">
          <cell r="A13790">
            <v>9012822</v>
          </cell>
        </row>
        <row r="13791">
          <cell r="A13791">
            <v>9012823</v>
          </cell>
        </row>
        <row r="13792">
          <cell r="A13792">
            <v>9012824</v>
          </cell>
        </row>
        <row r="13793">
          <cell r="A13793">
            <v>9012825</v>
          </cell>
        </row>
        <row r="13794">
          <cell r="A13794">
            <v>9012826</v>
          </cell>
        </row>
        <row r="13795">
          <cell r="A13795">
            <v>9012901</v>
          </cell>
        </row>
        <row r="13796">
          <cell r="A13796">
            <v>9012902</v>
          </cell>
        </row>
        <row r="13797">
          <cell r="A13797">
            <v>9012903</v>
          </cell>
        </row>
        <row r="13798">
          <cell r="A13798">
            <v>9012904</v>
          </cell>
        </row>
        <row r="13799">
          <cell r="A13799">
            <v>9012905</v>
          </cell>
        </row>
        <row r="13800">
          <cell r="A13800">
            <v>9012906</v>
          </cell>
        </row>
        <row r="13801">
          <cell r="A13801">
            <v>9012907</v>
          </cell>
        </row>
        <row r="13802">
          <cell r="A13802">
            <v>9012908</v>
          </cell>
        </row>
        <row r="13803">
          <cell r="A13803">
            <v>9012909</v>
          </cell>
        </row>
        <row r="13804">
          <cell r="A13804">
            <v>9012910</v>
          </cell>
        </row>
        <row r="13805">
          <cell r="A13805">
            <v>9012911</v>
          </cell>
        </row>
        <row r="13806">
          <cell r="A13806">
            <v>9012912</v>
          </cell>
        </row>
        <row r="13807">
          <cell r="A13807">
            <v>9012913</v>
          </cell>
        </row>
        <row r="13808">
          <cell r="A13808">
            <v>9012914</v>
          </cell>
        </row>
        <row r="13809">
          <cell r="A13809">
            <v>9012915</v>
          </cell>
        </row>
        <row r="13810">
          <cell r="A13810">
            <v>9012916</v>
          </cell>
        </row>
        <row r="13811">
          <cell r="A13811">
            <v>9012917</v>
          </cell>
        </row>
        <row r="13812">
          <cell r="A13812">
            <v>9012918</v>
          </cell>
        </row>
        <row r="13813">
          <cell r="A13813">
            <v>9013001</v>
          </cell>
        </row>
        <row r="13814">
          <cell r="A13814">
            <v>9013002</v>
          </cell>
        </row>
        <row r="13815">
          <cell r="A13815">
            <v>9013003</v>
          </cell>
        </row>
        <row r="13816">
          <cell r="A13816">
            <v>9013004</v>
          </cell>
        </row>
        <row r="13817">
          <cell r="A13817">
            <v>9020201</v>
          </cell>
        </row>
        <row r="13818">
          <cell r="A13818">
            <v>9020202</v>
          </cell>
        </row>
        <row r="13819">
          <cell r="A13819">
            <v>9020203</v>
          </cell>
        </row>
        <row r="13820">
          <cell r="A13820">
            <v>9020204</v>
          </cell>
        </row>
        <row r="13821">
          <cell r="A13821">
            <v>9020205</v>
          </cell>
        </row>
        <row r="13822">
          <cell r="A13822">
            <v>9020206</v>
          </cell>
        </row>
        <row r="13823">
          <cell r="A13823">
            <v>9020207</v>
          </cell>
        </row>
        <row r="13824">
          <cell r="A13824">
            <v>9020208</v>
          </cell>
        </row>
        <row r="13825">
          <cell r="A13825">
            <v>9020209</v>
          </cell>
        </row>
        <row r="13826">
          <cell r="A13826">
            <v>9020210</v>
          </cell>
        </row>
        <row r="13827">
          <cell r="A13827">
            <v>9020215</v>
          </cell>
        </row>
        <row r="13828">
          <cell r="A13828">
            <v>9020216</v>
          </cell>
        </row>
        <row r="13829">
          <cell r="A13829">
            <v>9020217</v>
          </cell>
        </row>
        <row r="13830">
          <cell r="A13830">
            <v>9020218</v>
          </cell>
        </row>
        <row r="13831">
          <cell r="A13831">
            <v>9020219</v>
          </cell>
        </row>
        <row r="13832">
          <cell r="A13832">
            <v>9020220</v>
          </cell>
        </row>
        <row r="13833">
          <cell r="A13833">
            <v>9020221</v>
          </cell>
        </row>
        <row r="13834">
          <cell r="A13834">
            <v>9020223</v>
          </cell>
        </row>
        <row r="13835">
          <cell r="A13835">
            <v>9020301</v>
          </cell>
        </row>
        <row r="13836">
          <cell r="A13836">
            <v>9020302</v>
          </cell>
        </row>
        <row r="13837">
          <cell r="A13837">
            <v>9020303</v>
          </cell>
        </row>
        <row r="13838">
          <cell r="A13838">
            <v>9020304</v>
          </cell>
        </row>
        <row r="13839">
          <cell r="A13839">
            <v>9020305</v>
          </cell>
        </row>
        <row r="13840">
          <cell r="A13840">
            <v>9020306</v>
          </cell>
        </row>
        <row r="13841">
          <cell r="A13841">
            <v>9020307</v>
          </cell>
        </row>
        <row r="13842">
          <cell r="A13842">
            <v>9020308</v>
          </cell>
        </row>
        <row r="13843">
          <cell r="A13843">
            <v>9020309</v>
          </cell>
        </row>
        <row r="13844">
          <cell r="A13844">
            <v>9020310</v>
          </cell>
        </row>
        <row r="13845">
          <cell r="A13845">
            <v>9020311</v>
          </cell>
        </row>
        <row r="13846">
          <cell r="A13846">
            <v>9020312</v>
          </cell>
        </row>
        <row r="13847">
          <cell r="A13847">
            <v>9020313</v>
          </cell>
        </row>
        <row r="13848">
          <cell r="A13848">
            <v>9020314</v>
          </cell>
        </row>
        <row r="13849">
          <cell r="A13849">
            <v>9020315</v>
          </cell>
        </row>
        <row r="13850">
          <cell r="A13850">
            <v>9020316</v>
          </cell>
        </row>
        <row r="13851">
          <cell r="A13851">
            <v>9020317</v>
          </cell>
        </row>
        <row r="13852">
          <cell r="A13852">
            <v>9020318</v>
          </cell>
        </row>
        <row r="13853">
          <cell r="A13853">
            <v>9020319</v>
          </cell>
        </row>
        <row r="13854">
          <cell r="A13854">
            <v>9020324</v>
          </cell>
        </row>
        <row r="13855">
          <cell r="A13855">
            <v>9020325</v>
          </cell>
        </row>
        <row r="13856">
          <cell r="A13856">
            <v>9020326</v>
          </cell>
        </row>
        <row r="13857">
          <cell r="A13857">
            <v>9020327</v>
          </cell>
        </row>
        <row r="13858">
          <cell r="A13858">
            <v>9020328</v>
          </cell>
        </row>
        <row r="13859">
          <cell r="A13859">
            <v>9020329</v>
          </cell>
        </row>
        <row r="13860">
          <cell r="A13860">
            <v>9020330</v>
          </cell>
        </row>
        <row r="13861">
          <cell r="A13861">
            <v>9020331</v>
          </cell>
        </row>
        <row r="13862">
          <cell r="A13862">
            <v>9020332</v>
          </cell>
        </row>
        <row r="13863">
          <cell r="A13863">
            <v>9020333</v>
          </cell>
        </row>
        <row r="13864">
          <cell r="A13864">
            <v>9020334</v>
          </cell>
        </row>
        <row r="13865">
          <cell r="A13865">
            <v>9020341</v>
          </cell>
        </row>
        <row r="13866">
          <cell r="A13866">
            <v>9020343</v>
          </cell>
        </row>
        <row r="13867">
          <cell r="A13867">
            <v>9020401</v>
          </cell>
        </row>
        <row r="13868">
          <cell r="A13868">
            <v>9020402</v>
          </cell>
        </row>
        <row r="13869">
          <cell r="A13869">
            <v>9020403</v>
          </cell>
        </row>
        <row r="13870">
          <cell r="A13870">
            <v>9020404</v>
          </cell>
        </row>
        <row r="13871">
          <cell r="A13871">
            <v>9020405</v>
          </cell>
        </row>
        <row r="13872">
          <cell r="A13872">
            <v>9020406</v>
          </cell>
        </row>
        <row r="13873">
          <cell r="A13873">
            <v>9020407</v>
          </cell>
        </row>
        <row r="13874">
          <cell r="A13874">
            <v>9020408</v>
          </cell>
        </row>
        <row r="13875">
          <cell r="A13875">
            <v>9020409</v>
          </cell>
        </row>
        <row r="13876">
          <cell r="A13876">
            <v>9020410</v>
          </cell>
        </row>
        <row r="13877">
          <cell r="A13877">
            <v>9020411</v>
          </cell>
        </row>
        <row r="13878">
          <cell r="A13878">
            <v>9020412</v>
          </cell>
        </row>
        <row r="13879">
          <cell r="A13879">
            <v>9020413</v>
          </cell>
        </row>
        <row r="13880">
          <cell r="A13880">
            <v>9020414</v>
          </cell>
        </row>
        <row r="13881">
          <cell r="A13881">
            <v>9020415</v>
          </cell>
        </row>
        <row r="13882">
          <cell r="A13882">
            <v>9020420</v>
          </cell>
        </row>
        <row r="13883">
          <cell r="A13883">
            <v>9020421</v>
          </cell>
        </row>
        <row r="13884">
          <cell r="A13884">
            <v>9020422</v>
          </cell>
        </row>
        <row r="13885">
          <cell r="A13885">
            <v>9020423</v>
          </cell>
        </row>
        <row r="13886">
          <cell r="A13886">
            <v>9020424</v>
          </cell>
        </row>
        <row r="13887">
          <cell r="A13887">
            <v>9020425</v>
          </cell>
        </row>
        <row r="13888">
          <cell r="A13888">
            <v>9020501</v>
          </cell>
        </row>
        <row r="13889">
          <cell r="A13889">
            <v>9020502</v>
          </cell>
        </row>
        <row r="13890">
          <cell r="A13890">
            <v>9020503</v>
          </cell>
        </row>
        <row r="13891">
          <cell r="A13891">
            <v>9020504</v>
          </cell>
        </row>
        <row r="13892">
          <cell r="A13892">
            <v>9020505</v>
          </cell>
        </row>
        <row r="13893">
          <cell r="A13893">
            <v>9020506</v>
          </cell>
        </row>
        <row r="13894">
          <cell r="A13894">
            <v>9020507</v>
          </cell>
        </row>
        <row r="13895">
          <cell r="A13895">
            <v>9020508</v>
          </cell>
        </row>
        <row r="13896">
          <cell r="A13896">
            <v>9020509</v>
          </cell>
        </row>
        <row r="13897">
          <cell r="A13897">
            <v>9020510</v>
          </cell>
        </row>
        <row r="13898">
          <cell r="A13898">
            <v>9020511</v>
          </cell>
        </row>
        <row r="13899">
          <cell r="A13899">
            <v>9020512</v>
          </cell>
        </row>
        <row r="13900">
          <cell r="A13900">
            <v>9020513</v>
          </cell>
        </row>
        <row r="13901">
          <cell r="A13901">
            <v>9020516</v>
          </cell>
        </row>
        <row r="13902">
          <cell r="A13902">
            <v>9020517</v>
          </cell>
        </row>
        <row r="13903">
          <cell r="A13903">
            <v>9020520</v>
          </cell>
        </row>
        <row r="13904">
          <cell r="A13904">
            <v>9020521</v>
          </cell>
        </row>
        <row r="13905">
          <cell r="A13905">
            <v>9020522</v>
          </cell>
        </row>
        <row r="13906">
          <cell r="A13906">
            <v>9020523</v>
          </cell>
        </row>
        <row r="13907">
          <cell r="A13907">
            <v>9020601</v>
          </cell>
        </row>
        <row r="13908">
          <cell r="A13908">
            <v>9020602</v>
          </cell>
        </row>
        <row r="13909">
          <cell r="A13909">
            <v>9020603</v>
          </cell>
        </row>
        <row r="13910">
          <cell r="A13910">
            <v>9020604</v>
          </cell>
        </row>
        <row r="13911">
          <cell r="A13911">
            <v>9020605</v>
          </cell>
        </row>
        <row r="13912">
          <cell r="A13912">
            <v>9020610</v>
          </cell>
        </row>
        <row r="13913">
          <cell r="A13913">
            <v>9020611</v>
          </cell>
        </row>
        <row r="13914">
          <cell r="A13914">
            <v>9020612</v>
          </cell>
        </row>
        <row r="13915">
          <cell r="A13915">
            <v>9020613</v>
          </cell>
        </row>
        <row r="13916">
          <cell r="A13916">
            <v>9021001</v>
          </cell>
        </row>
        <row r="13917">
          <cell r="A13917">
            <v>9021002</v>
          </cell>
        </row>
        <row r="13918">
          <cell r="A13918">
            <v>9021003</v>
          </cell>
        </row>
        <row r="13919">
          <cell r="A13919">
            <v>9021004</v>
          </cell>
        </row>
        <row r="13920">
          <cell r="A13920">
            <v>9021005</v>
          </cell>
        </row>
        <row r="13921">
          <cell r="A13921">
            <v>9021006</v>
          </cell>
        </row>
        <row r="13922">
          <cell r="A13922">
            <v>9021007</v>
          </cell>
        </row>
        <row r="13923">
          <cell r="A13923">
            <v>9021008</v>
          </cell>
        </row>
        <row r="13924">
          <cell r="A13924">
            <v>9021009</v>
          </cell>
        </row>
        <row r="13925">
          <cell r="A13925">
            <v>9021010</v>
          </cell>
        </row>
        <row r="13926">
          <cell r="A13926">
            <v>9021011</v>
          </cell>
        </row>
        <row r="13927">
          <cell r="A13927">
            <v>9021012</v>
          </cell>
        </row>
        <row r="13928">
          <cell r="A13928">
            <v>9021013</v>
          </cell>
        </row>
        <row r="13929">
          <cell r="A13929">
            <v>9021014</v>
          </cell>
        </row>
        <row r="13930">
          <cell r="A13930">
            <v>9021015</v>
          </cell>
        </row>
        <row r="13931">
          <cell r="A13931">
            <v>9021016</v>
          </cell>
        </row>
        <row r="13932">
          <cell r="A13932">
            <v>9021017</v>
          </cell>
        </row>
        <row r="13933">
          <cell r="A13933">
            <v>9021018</v>
          </cell>
        </row>
        <row r="13934">
          <cell r="A13934">
            <v>9021019</v>
          </cell>
        </row>
        <row r="13935">
          <cell r="A13935">
            <v>9021026</v>
          </cell>
        </row>
        <row r="13936">
          <cell r="A13936">
            <v>9021027</v>
          </cell>
        </row>
        <row r="13937">
          <cell r="A13937">
            <v>9021028</v>
          </cell>
        </row>
        <row r="13938">
          <cell r="A13938">
            <v>9021035</v>
          </cell>
        </row>
        <row r="13939">
          <cell r="A13939">
            <v>9021036</v>
          </cell>
        </row>
        <row r="13940">
          <cell r="A13940">
            <v>9021037</v>
          </cell>
        </row>
        <row r="13941">
          <cell r="A13941">
            <v>9021038</v>
          </cell>
        </row>
        <row r="13942">
          <cell r="A13942">
            <v>9021039</v>
          </cell>
        </row>
        <row r="13943">
          <cell r="A13943">
            <v>9021040</v>
          </cell>
        </row>
        <row r="13944">
          <cell r="A13944">
            <v>9021101</v>
          </cell>
        </row>
        <row r="13945">
          <cell r="A13945">
            <v>9021102</v>
          </cell>
        </row>
        <row r="13946">
          <cell r="A13946">
            <v>9021103</v>
          </cell>
        </row>
        <row r="13947">
          <cell r="A13947">
            <v>9021104</v>
          </cell>
        </row>
        <row r="13948">
          <cell r="A13948">
            <v>9021105</v>
          </cell>
        </row>
        <row r="13949">
          <cell r="A13949">
            <v>9021106</v>
          </cell>
        </row>
        <row r="13950">
          <cell r="A13950">
            <v>9021107</v>
          </cell>
        </row>
        <row r="13951">
          <cell r="A13951">
            <v>9021108</v>
          </cell>
        </row>
        <row r="13952">
          <cell r="A13952">
            <v>9021109</v>
          </cell>
        </row>
        <row r="13953">
          <cell r="A13953">
            <v>9021110</v>
          </cell>
        </row>
        <row r="13954">
          <cell r="A13954">
            <v>9021111</v>
          </cell>
        </row>
        <row r="13955">
          <cell r="A13955">
            <v>9021112</v>
          </cell>
        </row>
        <row r="13956">
          <cell r="A13956">
            <v>9021113</v>
          </cell>
        </row>
        <row r="13957">
          <cell r="A13957">
            <v>9021114</v>
          </cell>
        </row>
        <row r="13958">
          <cell r="A13958">
            <v>9021115</v>
          </cell>
        </row>
        <row r="13959">
          <cell r="A13959">
            <v>9021116</v>
          </cell>
        </row>
        <row r="13960">
          <cell r="A13960">
            <v>9021117</v>
          </cell>
        </row>
        <row r="13961">
          <cell r="A13961">
            <v>9021118</v>
          </cell>
        </row>
        <row r="13962">
          <cell r="A13962">
            <v>9021119</v>
          </cell>
        </row>
        <row r="13963">
          <cell r="A13963">
            <v>9021120</v>
          </cell>
        </row>
        <row r="13964">
          <cell r="A13964">
            <v>9021121</v>
          </cell>
        </row>
        <row r="13965">
          <cell r="A13965">
            <v>9021122</v>
          </cell>
        </row>
        <row r="13966">
          <cell r="A13966">
            <v>9021123</v>
          </cell>
        </row>
        <row r="13967">
          <cell r="A13967">
            <v>9021124</v>
          </cell>
        </row>
        <row r="13968">
          <cell r="A13968">
            <v>9021127</v>
          </cell>
        </row>
        <row r="13969">
          <cell r="A13969">
            <v>9021128</v>
          </cell>
        </row>
        <row r="13970">
          <cell r="A13970">
            <v>9021129</v>
          </cell>
        </row>
        <row r="13971">
          <cell r="A13971">
            <v>9021130</v>
          </cell>
        </row>
        <row r="13972">
          <cell r="A13972">
            <v>9021131</v>
          </cell>
        </row>
        <row r="13973">
          <cell r="A13973">
            <v>9021132</v>
          </cell>
        </row>
        <row r="13974">
          <cell r="A13974">
            <v>9021133</v>
          </cell>
        </row>
        <row r="13975">
          <cell r="A13975">
            <v>9021134</v>
          </cell>
        </row>
        <row r="13976">
          <cell r="A13976">
            <v>9021135</v>
          </cell>
        </row>
        <row r="13977">
          <cell r="A13977">
            <v>9021136</v>
          </cell>
        </row>
        <row r="13978">
          <cell r="A13978">
            <v>9021137</v>
          </cell>
        </row>
        <row r="13979">
          <cell r="A13979">
            <v>9021138</v>
          </cell>
        </row>
        <row r="13980">
          <cell r="A13980">
            <v>9021201</v>
          </cell>
        </row>
        <row r="13981">
          <cell r="A13981">
            <v>9021202</v>
          </cell>
        </row>
        <row r="13982">
          <cell r="A13982">
            <v>9021203</v>
          </cell>
        </row>
        <row r="13983">
          <cell r="A13983">
            <v>9021204</v>
          </cell>
        </row>
        <row r="13984">
          <cell r="A13984">
            <v>9021205</v>
          </cell>
        </row>
        <row r="13985">
          <cell r="A13985">
            <v>9021206</v>
          </cell>
        </row>
        <row r="13986">
          <cell r="A13986">
            <v>9021207</v>
          </cell>
        </row>
        <row r="13987">
          <cell r="A13987">
            <v>9021208</v>
          </cell>
        </row>
        <row r="13988">
          <cell r="A13988">
            <v>9021209</v>
          </cell>
        </row>
        <row r="13989">
          <cell r="A13989">
            <v>9021210</v>
          </cell>
        </row>
        <row r="13990">
          <cell r="A13990">
            <v>9021211</v>
          </cell>
        </row>
        <row r="13991">
          <cell r="A13991">
            <v>9021212</v>
          </cell>
        </row>
        <row r="13992">
          <cell r="A13992">
            <v>9021213</v>
          </cell>
        </row>
        <row r="13993">
          <cell r="A13993">
            <v>9021214</v>
          </cell>
        </row>
        <row r="13994">
          <cell r="A13994">
            <v>9021215</v>
          </cell>
        </row>
        <row r="13995">
          <cell r="A13995">
            <v>9021216</v>
          </cell>
        </row>
        <row r="13996">
          <cell r="A13996">
            <v>9021217</v>
          </cell>
        </row>
        <row r="13997">
          <cell r="A13997">
            <v>9021218</v>
          </cell>
        </row>
        <row r="13998">
          <cell r="A13998">
            <v>9021219</v>
          </cell>
        </row>
        <row r="13999">
          <cell r="A13999">
            <v>9021220</v>
          </cell>
        </row>
        <row r="14000">
          <cell r="A14000">
            <v>9021221</v>
          </cell>
        </row>
        <row r="14001">
          <cell r="A14001">
            <v>9021222</v>
          </cell>
        </row>
        <row r="14002">
          <cell r="A14002">
            <v>9021226</v>
          </cell>
        </row>
        <row r="14003">
          <cell r="A14003">
            <v>9021227</v>
          </cell>
        </row>
        <row r="14004">
          <cell r="A14004">
            <v>9021228</v>
          </cell>
        </row>
        <row r="14005">
          <cell r="A14005">
            <v>9021229</v>
          </cell>
        </row>
        <row r="14006">
          <cell r="A14006">
            <v>9021230</v>
          </cell>
        </row>
        <row r="14007">
          <cell r="A14007">
            <v>9021231</v>
          </cell>
        </row>
        <row r="14008">
          <cell r="A14008">
            <v>9021232</v>
          </cell>
        </row>
        <row r="14009">
          <cell r="A14009">
            <v>9021233</v>
          </cell>
        </row>
        <row r="14010">
          <cell r="A14010">
            <v>9021234</v>
          </cell>
        </row>
        <row r="14011">
          <cell r="A14011">
            <v>9021236</v>
          </cell>
        </row>
        <row r="14012">
          <cell r="A14012">
            <v>9021237</v>
          </cell>
        </row>
        <row r="14013">
          <cell r="A14013">
            <v>9021238</v>
          </cell>
        </row>
        <row r="14014">
          <cell r="A14014">
            <v>9021239</v>
          </cell>
        </row>
        <row r="14015">
          <cell r="A14015">
            <v>9021240</v>
          </cell>
        </row>
        <row r="14016">
          <cell r="A14016">
            <v>9021301</v>
          </cell>
        </row>
        <row r="14017">
          <cell r="A14017">
            <v>9021302</v>
          </cell>
        </row>
        <row r="14018">
          <cell r="A14018">
            <v>9021303</v>
          </cell>
        </row>
        <row r="14019">
          <cell r="A14019">
            <v>9021304</v>
          </cell>
        </row>
        <row r="14020">
          <cell r="A14020">
            <v>9021305</v>
          </cell>
        </row>
        <row r="14021">
          <cell r="A14021">
            <v>9021306</v>
          </cell>
        </row>
        <row r="14022">
          <cell r="A14022">
            <v>9021307</v>
          </cell>
        </row>
        <row r="14023">
          <cell r="A14023">
            <v>9021308</v>
          </cell>
        </row>
        <row r="14024">
          <cell r="A14024">
            <v>9021309</v>
          </cell>
        </row>
        <row r="14025">
          <cell r="A14025">
            <v>9021310</v>
          </cell>
        </row>
        <row r="14026">
          <cell r="A14026">
            <v>9021311</v>
          </cell>
        </row>
        <row r="14027">
          <cell r="A14027">
            <v>9021313</v>
          </cell>
        </row>
        <row r="14028">
          <cell r="A14028">
            <v>9021314</v>
          </cell>
        </row>
        <row r="14029">
          <cell r="A14029">
            <v>9021315</v>
          </cell>
        </row>
        <row r="14030">
          <cell r="A14030">
            <v>9021316</v>
          </cell>
        </row>
        <row r="14031">
          <cell r="A14031">
            <v>9021317</v>
          </cell>
        </row>
        <row r="14032">
          <cell r="A14032">
            <v>9021318</v>
          </cell>
        </row>
        <row r="14033">
          <cell r="A14033">
            <v>9021319</v>
          </cell>
        </row>
        <row r="14034">
          <cell r="A14034">
            <v>9021323</v>
          </cell>
        </row>
        <row r="14035">
          <cell r="A14035">
            <v>9021324</v>
          </cell>
        </row>
        <row r="14036">
          <cell r="A14036">
            <v>9021325</v>
          </cell>
        </row>
        <row r="14037">
          <cell r="A14037">
            <v>9021327</v>
          </cell>
        </row>
        <row r="14038">
          <cell r="A14038">
            <v>9021328</v>
          </cell>
        </row>
        <row r="14039">
          <cell r="A14039">
            <v>9021329</v>
          </cell>
        </row>
        <row r="14040">
          <cell r="A14040">
            <v>9021331</v>
          </cell>
        </row>
        <row r="14041">
          <cell r="A14041">
            <v>9021332</v>
          </cell>
        </row>
        <row r="14042">
          <cell r="A14042">
            <v>9021601</v>
          </cell>
        </row>
        <row r="14043">
          <cell r="A14043">
            <v>9021602</v>
          </cell>
        </row>
        <row r="14044">
          <cell r="A14044">
            <v>9021603</v>
          </cell>
        </row>
        <row r="14045">
          <cell r="A14045">
            <v>9021604</v>
          </cell>
        </row>
        <row r="14046">
          <cell r="A14046">
            <v>9021610</v>
          </cell>
        </row>
        <row r="14047">
          <cell r="A14047">
            <v>9021611</v>
          </cell>
        </row>
        <row r="14048">
          <cell r="A14048">
            <v>9021612</v>
          </cell>
        </row>
        <row r="14049">
          <cell r="A14049">
            <v>9021613</v>
          </cell>
        </row>
        <row r="14050">
          <cell r="A14050">
            <v>9021614</v>
          </cell>
        </row>
        <row r="14051">
          <cell r="A14051">
            <v>9021616</v>
          </cell>
        </row>
        <row r="14052">
          <cell r="A14052">
            <v>9021619</v>
          </cell>
        </row>
        <row r="14053">
          <cell r="A14053">
            <v>9021620</v>
          </cell>
        </row>
        <row r="14054">
          <cell r="A14054">
            <v>9021621</v>
          </cell>
        </row>
        <row r="14055">
          <cell r="A14055">
            <v>9021622</v>
          </cell>
        </row>
        <row r="14056">
          <cell r="A14056">
            <v>9021623</v>
          </cell>
        </row>
        <row r="14057">
          <cell r="A14057">
            <v>9021624</v>
          </cell>
        </row>
        <row r="14058">
          <cell r="A14058">
            <v>9021625</v>
          </cell>
        </row>
        <row r="14059">
          <cell r="A14059">
            <v>9021701</v>
          </cell>
        </row>
        <row r="14060">
          <cell r="A14060">
            <v>9021702</v>
          </cell>
        </row>
        <row r="14061">
          <cell r="A14061">
            <v>9021703</v>
          </cell>
        </row>
        <row r="14062">
          <cell r="A14062">
            <v>9021704</v>
          </cell>
        </row>
        <row r="14063">
          <cell r="A14063">
            <v>9021705</v>
          </cell>
        </row>
        <row r="14064">
          <cell r="A14064">
            <v>9021706</v>
          </cell>
        </row>
        <row r="14065">
          <cell r="A14065">
            <v>9021707</v>
          </cell>
        </row>
        <row r="14066">
          <cell r="A14066">
            <v>9021709</v>
          </cell>
        </row>
        <row r="14067">
          <cell r="A14067">
            <v>9021710</v>
          </cell>
        </row>
        <row r="14068">
          <cell r="A14068">
            <v>9021711</v>
          </cell>
        </row>
        <row r="14069">
          <cell r="A14069">
            <v>9021715</v>
          </cell>
        </row>
        <row r="14070">
          <cell r="A14070">
            <v>9021716</v>
          </cell>
        </row>
        <row r="14071">
          <cell r="A14071">
            <v>9021717</v>
          </cell>
        </row>
        <row r="14072">
          <cell r="A14072">
            <v>9021718</v>
          </cell>
        </row>
        <row r="14073">
          <cell r="A14073">
            <v>9021719</v>
          </cell>
        </row>
        <row r="14074">
          <cell r="A14074">
            <v>9021720</v>
          </cell>
        </row>
        <row r="14075">
          <cell r="A14075">
            <v>9021721</v>
          </cell>
        </row>
        <row r="14076">
          <cell r="A14076">
            <v>9021722</v>
          </cell>
        </row>
        <row r="14077">
          <cell r="A14077">
            <v>9021723</v>
          </cell>
        </row>
        <row r="14078">
          <cell r="A14078">
            <v>9021724</v>
          </cell>
        </row>
        <row r="14079">
          <cell r="A14079">
            <v>9021725</v>
          </cell>
        </row>
        <row r="14080">
          <cell r="A14080">
            <v>9021726</v>
          </cell>
        </row>
        <row r="14081">
          <cell r="A14081">
            <v>9021727</v>
          </cell>
        </row>
        <row r="14082">
          <cell r="A14082">
            <v>9021729</v>
          </cell>
        </row>
        <row r="14083">
          <cell r="A14083">
            <v>9021730</v>
          </cell>
        </row>
        <row r="14084">
          <cell r="A14084">
            <v>9021731</v>
          </cell>
        </row>
        <row r="14085">
          <cell r="A14085">
            <v>9021732</v>
          </cell>
        </row>
        <row r="14086">
          <cell r="A14086">
            <v>9021733</v>
          </cell>
        </row>
        <row r="14087">
          <cell r="A14087">
            <v>9021734</v>
          </cell>
        </row>
        <row r="14088">
          <cell r="A14088">
            <v>9021801</v>
          </cell>
        </row>
        <row r="14089">
          <cell r="A14089">
            <v>9021802</v>
          </cell>
        </row>
        <row r="14090">
          <cell r="A14090">
            <v>9021803</v>
          </cell>
        </row>
        <row r="14091">
          <cell r="A14091">
            <v>9021804</v>
          </cell>
        </row>
        <row r="14092">
          <cell r="A14092">
            <v>9021805</v>
          </cell>
        </row>
        <row r="14093">
          <cell r="A14093">
            <v>9021806</v>
          </cell>
        </row>
        <row r="14094">
          <cell r="A14094">
            <v>9021807</v>
          </cell>
        </row>
        <row r="14095">
          <cell r="A14095">
            <v>9021808</v>
          </cell>
        </row>
        <row r="14096">
          <cell r="A14096">
            <v>9021809</v>
          </cell>
        </row>
        <row r="14097">
          <cell r="A14097">
            <v>9021810</v>
          </cell>
        </row>
        <row r="14098">
          <cell r="A14098">
            <v>9021811</v>
          </cell>
        </row>
        <row r="14099">
          <cell r="A14099">
            <v>9021812</v>
          </cell>
        </row>
        <row r="14100">
          <cell r="A14100">
            <v>9021813</v>
          </cell>
        </row>
        <row r="14101">
          <cell r="A14101">
            <v>9021818</v>
          </cell>
        </row>
        <row r="14102">
          <cell r="A14102">
            <v>9021819</v>
          </cell>
        </row>
        <row r="14103">
          <cell r="A14103">
            <v>9021820</v>
          </cell>
        </row>
        <row r="14104">
          <cell r="A14104">
            <v>9021821</v>
          </cell>
        </row>
        <row r="14105">
          <cell r="A14105">
            <v>9021822</v>
          </cell>
        </row>
        <row r="14106">
          <cell r="A14106">
            <v>9021823</v>
          </cell>
        </row>
        <row r="14107">
          <cell r="A14107">
            <v>9021824</v>
          </cell>
        </row>
        <row r="14108">
          <cell r="A14108">
            <v>9021825</v>
          </cell>
        </row>
        <row r="14109">
          <cell r="A14109">
            <v>9021826</v>
          </cell>
        </row>
        <row r="14110">
          <cell r="A14110">
            <v>9021827</v>
          </cell>
        </row>
        <row r="14111">
          <cell r="A14111">
            <v>9021828</v>
          </cell>
        </row>
        <row r="14112">
          <cell r="A14112">
            <v>9021829</v>
          </cell>
        </row>
        <row r="14113">
          <cell r="A14113">
            <v>9021830</v>
          </cell>
        </row>
        <row r="14114">
          <cell r="A14114">
            <v>9021831</v>
          </cell>
        </row>
        <row r="14115">
          <cell r="A14115">
            <v>9021901</v>
          </cell>
        </row>
        <row r="14116">
          <cell r="A14116">
            <v>9021902</v>
          </cell>
        </row>
        <row r="14117">
          <cell r="A14117">
            <v>9021903</v>
          </cell>
        </row>
        <row r="14118">
          <cell r="A14118">
            <v>9021904</v>
          </cell>
        </row>
        <row r="14119">
          <cell r="A14119">
            <v>9021905</v>
          </cell>
        </row>
        <row r="14120">
          <cell r="A14120">
            <v>9021906</v>
          </cell>
        </row>
        <row r="14121">
          <cell r="A14121">
            <v>9021907</v>
          </cell>
        </row>
        <row r="14122">
          <cell r="A14122">
            <v>9021908</v>
          </cell>
        </row>
        <row r="14123">
          <cell r="A14123">
            <v>9021909</v>
          </cell>
        </row>
        <row r="14124">
          <cell r="A14124">
            <v>9021910</v>
          </cell>
        </row>
        <row r="14125">
          <cell r="A14125">
            <v>9021911</v>
          </cell>
        </row>
        <row r="14126">
          <cell r="A14126">
            <v>9021912</v>
          </cell>
        </row>
        <row r="14127">
          <cell r="A14127">
            <v>9021919</v>
          </cell>
        </row>
        <row r="14128">
          <cell r="A14128">
            <v>9021920</v>
          </cell>
        </row>
        <row r="14129">
          <cell r="A14129">
            <v>9021921</v>
          </cell>
        </row>
        <row r="14130">
          <cell r="A14130">
            <v>9021922</v>
          </cell>
        </row>
        <row r="14131">
          <cell r="A14131">
            <v>9021923</v>
          </cell>
        </row>
        <row r="14132">
          <cell r="A14132">
            <v>9021924</v>
          </cell>
        </row>
        <row r="14133">
          <cell r="A14133">
            <v>9021927</v>
          </cell>
        </row>
        <row r="14134">
          <cell r="A14134">
            <v>9021930</v>
          </cell>
        </row>
        <row r="14135">
          <cell r="A14135">
            <v>9021931</v>
          </cell>
        </row>
        <row r="14136">
          <cell r="A14136">
            <v>9021932</v>
          </cell>
        </row>
        <row r="14137">
          <cell r="A14137">
            <v>9021933</v>
          </cell>
        </row>
        <row r="14138">
          <cell r="A14138">
            <v>9021934</v>
          </cell>
        </row>
        <row r="14139">
          <cell r="A14139">
            <v>9022001</v>
          </cell>
        </row>
        <row r="14140">
          <cell r="A14140">
            <v>9022002</v>
          </cell>
        </row>
        <row r="14141">
          <cell r="A14141">
            <v>9022301</v>
          </cell>
        </row>
        <row r="14142">
          <cell r="A14142">
            <v>9022302</v>
          </cell>
        </row>
        <row r="14143">
          <cell r="A14143">
            <v>9022303</v>
          </cell>
        </row>
        <row r="14144">
          <cell r="A14144">
            <v>9022304</v>
          </cell>
        </row>
        <row r="14145">
          <cell r="A14145">
            <v>9022305</v>
          </cell>
        </row>
        <row r="14146">
          <cell r="A14146">
            <v>9022306</v>
          </cell>
        </row>
        <row r="14147">
          <cell r="A14147">
            <v>9022307</v>
          </cell>
        </row>
        <row r="14148">
          <cell r="A14148">
            <v>9022308</v>
          </cell>
        </row>
        <row r="14149">
          <cell r="A14149">
            <v>9022309</v>
          </cell>
        </row>
        <row r="14150">
          <cell r="A14150">
            <v>9022310</v>
          </cell>
        </row>
        <row r="14151">
          <cell r="A14151">
            <v>9022311</v>
          </cell>
        </row>
        <row r="14152">
          <cell r="A14152">
            <v>9022312</v>
          </cell>
        </row>
        <row r="14153">
          <cell r="A14153">
            <v>9022313</v>
          </cell>
        </row>
        <row r="14154">
          <cell r="A14154">
            <v>9022314</v>
          </cell>
        </row>
        <row r="14155">
          <cell r="A14155">
            <v>9022315</v>
          </cell>
        </row>
        <row r="14156">
          <cell r="A14156">
            <v>9022316</v>
          </cell>
        </row>
        <row r="14157">
          <cell r="A14157">
            <v>9022317</v>
          </cell>
        </row>
        <row r="14158">
          <cell r="A14158">
            <v>9022318</v>
          </cell>
        </row>
        <row r="14159">
          <cell r="A14159">
            <v>9022319</v>
          </cell>
        </row>
        <row r="14160">
          <cell r="A14160">
            <v>9022320</v>
          </cell>
        </row>
        <row r="14161">
          <cell r="A14161">
            <v>9022321</v>
          </cell>
        </row>
        <row r="14162">
          <cell r="A14162">
            <v>9022322</v>
          </cell>
        </row>
        <row r="14163">
          <cell r="A14163">
            <v>9022323</v>
          </cell>
        </row>
        <row r="14164">
          <cell r="A14164">
            <v>9022328</v>
          </cell>
        </row>
        <row r="14165">
          <cell r="A14165">
            <v>9022329</v>
          </cell>
        </row>
        <row r="14166">
          <cell r="A14166">
            <v>9022330</v>
          </cell>
        </row>
        <row r="14167">
          <cell r="A14167">
            <v>9022331</v>
          </cell>
        </row>
        <row r="14168">
          <cell r="A14168">
            <v>9022332</v>
          </cell>
        </row>
        <row r="14169">
          <cell r="A14169">
            <v>9022333</v>
          </cell>
        </row>
        <row r="14170">
          <cell r="A14170">
            <v>9022334</v>
          </cell>
        </row>
        <row r="14171">
          <cell r="A14171">
            <v>9022338</v>
          </cell>
        </row>
        <row r="14172">
          <cell r="A14172">
            <v>9022339</v>
          </cell>
        </row>
        <row r="14173">
          <cell r="A14173">
            <v>9022340</v>
          </cell>
        </row>
        <row r="14174">
          <cell r="A14174">
            <v>9022341</v>
          </cell>
        </row>
        <row r="14175">
          <cell r="A14175">
            <v>9022342</v>
          </cell>
        </row>
        <row r="14176">
          <cell r="A14176">
            <v>9022343</v>
          </cell>
        </row>
        <row r="14177">
          <cell r="A14177">
            <v>9022344</v>
          </cell>
        </row>
        <row r="14178">
          <cell r="A14178">
            <v>9022401</v>
          </cell>
        </row>
        <row r="14179">
          <cell r="A14179">
            <v>9022402</v>
          </cell>
        </row>
        <row r="14180">
          <cell r="A14180">
            <v>9022403</v>
          </cell>
        </row>
        <row r="14181">
          <cell r="A14181">
            <v>9022404</v>
          </cell>
        </row>
        <row r="14182">
          <cell r="A14182">
            <v>9022405</v>
          </cell>
        </row>
        <row r="14183">
          <cell r="A14183">
            <v>9022406</v>
          </cell>
        </row>
        <row r="14184">
          <cell r="A14184">
            <v>9022407</v>
          </cell>
        </row>
        <row r="14185">
          <cell r="A14185">
            <v>9022408</v>
          </cell>
        </row>
        <row r="14186">
          <cell r="A14186">
            <v>9022409</v>
          </cell>
        </row>
        <row r="14187">
          <cell r="A14187">
            <v>9022410</v>
          </cell>
        </row>
        <row r="14188">
          <cell r="A14188">
            <v>9022411</v>
          </cell>
        </row>
        <row r="14189">
          <cell r="A14189">
            <v>9022413</v>
          </cell>
        </row>
        <row r="14190">
          <cell r="A14190">
            <v>9022417</v>
          </cell>
        </row>
        <row r="14191">
          <cell r="A14191">
            <v>9022418</v>
          </cell>
        </row>
        <row r="14192">
          <cell r="A14192">
            <v>9022419</v>
          </cell>
        </row>
        <row r="14193">
          <cell r="A14193">
            <v>9022420</v>
          </cell>
        </row>
        <row r="14194">
          <cell r="A14194">
            <v>9022421</v>
          </cell>
        </row>
        <row r="14195">
          <cell r="A14195">
            <v>9022422</v>
          </cell>
        </row>
        <row r="14196">
          <cell r="A14196">
            <v>9022423</v>
          </cell>
        </row>
        <row r="14197">
          <cell r="A14197">
            <v>9022501</v>
          </cell>
        </row>
        <row r="14198">
          <cell r="A14198">
            <v>9022502</v>
          </cell>
        </row>
        <row r="14199">
          <cell r="A14199">
            <v>9022503</v>
          </cell>
        </row>
        <row r="14200">
          <cell r="A14200">
            <v>9022504</v>
          </cell>
        </row>
        <row r="14201">
          <cell r="A14201">
            <v>9022505</v>
          </cell>
        </row>
        <row r="14202">
          <cell r="A14202">
            <v>9022506</v>
          </cell>
        </row>
        <row r="14203">
          <cell r="A14203">
            <v>9022507</v>
          </cell>
        </row>
        <row r="14204">
          <cell r="A14204">
            <v>9022508</v>
          </cell>
        </row>
        <row r="14205">
          <cell r="A14205">
            <v>9022509</v>
          </cell>
        </row>
        <row r="14206">
          <cell r="A14206">
            <v>9022510</v>
          </cell>
        </row>
        <row r="14207">
          <cell r="A14207">
            <v>9022511</v>
          </cell>
        </row>
        <row r="14208">
          <cell r="A14208">
            <v>9022512</v>
          </cell>
        </row>
        <row r="14209">
          <cell r="A14209">
            <v>9022513</v>
          </cell>
        </row>
        <row r="14210">
          <cell r="A14210">
            <v>9022514</v>
          </cell>
        </row>
        <row r="14211">
          <cell r="A14211">
            <v>9022515</v>
          </cell>
        </row>
        <row r="14212">
          <cell r="A14212">
            <v>9022516</v>
          </cell>
        </row>
        <row r="14213">
          <cell r="A14213">
            <v>9022517</v>
          </cell>
        </row>
        <row r="14214">
          <cell r="A14214">
            <v>9022518</v>
          </cell>
        </row>
        <row r="14215">
          <cell r="A14215">
            <v>9022519</v>
          </cell>
        </row>
        <row r="14216">
          <cell r="A14216">
            <v>9022520</v>
          </cell>
        </row>
        <row r="14217">
          <cell r="A14217">
            <v>9022521</v>
          </cell>
        </row>
        <row r="14218">
          <cell r="A14218">
            <v>9022522</v>
          </cell>
        </row>
        <row r="14219">
          <cell r="A14219">
            <v>9022526</v>
          </cell>
        </row>
        <row r="14220">
          <cell r="A14220">
            <v>9022527</v>
          </cell>
        </row>
        <row r="14221">
          <cell r="A14221">
            <v>9022528</v>
          </cell>
        </row>
        <row r="14222">
          <cell r="A14222">
            <v>9022529</v>
          </cell>
        </row>
        <row r="14223">
          <cell r="A14223">
            <v>9022530</v>
          </cell>
        </row>
        <row r="14224">
          <cell r="A14224">
            <v>9022531</v>
          </cell>
        </row>
        <row r="14225">
          <cell r="A14225">
            <v>9022532</v>
          </cell>
        </row>
        <row r="14226">
          <cell r="A14226">
            <v>9022533</v>
          </cell>
        </row>
        <row r="14227">
          <cell r="A14227">
            <v>9022534</v>
          </cell>
        </row>
        <row r="14228">
          <cell r="A14228">
            <v>9022535</v>
          </cell>
        </row>
        <row r="14229">
          <cell r="A14229">
            <v>9022536</v>
          </cell>
        </row>
        <row r="14230">
          <cell r="A14230">
            <v>9022537</v>
          </cell>
        </row>
        <row r="14231">
          <cell r="A14231">
            <v>9022538</v>
          </cell>
        </row>
        <row r="14232">
          <cell r="A14232">
            <v>9022539</v>
          </cell>
        </row>
        <row r="14233">
          <cell r="A14233">
            <v>9022601</v>
          </cell>
        </row>
        <row r="14234">
          <cell r="A14234">
            <v>9022602</v>
          </cell>
        </row>
        <row r="14235">
          <cell r="A14235">
            <v>9022603</v>
          </cell>
        </row>
        <row r="14236">
          <cell r="A14236">
            <v>9022604</v>
          </cell>
        </row>
        <row r="14237">
          <cell r="A14237">
            <v>9022605</v>
          </cell>
        </row>
        <row r="14238">
          <cell r="A14238">
            <v>9022606</v>
          </cell>
        </row>
        <row r="14239">
          <cell r="A14239">
            <v>9022607</v>
          </cell>
        </row>
        <row r="14240">
          <cell r="A14240">
            <v>9022608</v>
          </cell>
        </row>
        <row r="14241">
          <cell r="A14241">
            <v>9022609</v>
          </cell>
        </row>
        <row r="14242">
          <cell r="A14242">
            <v>9022610</v>
          </cell>
        </row>
        <row r="14243">
          <cell r="A14243">
            <v>9022611</v>
          </cell>
        </row>
        <row r="14244">
          <cell r="A14244">
            <v>9022612</v>
          </cell>
        </row>
        <row r="14245">
          <cell r="A14245">
            <v>9022613</v>
          </cell>
        </row>
        <row r="14246">
          <cell r="A14246">
            <v>9022614</v>
          </cell>
        </row>
        <row r="14247">
          <cell r="A14247">
            <v>9022615</v>
          </cell>
        </row>
        <row r="14248">
          <cell r="A14248">
            <v>9022616</v>
          </cell>
        </row>
        <row r="14249">
          <cell r="A14249">
            <v>9022617</v>
          </cell>
        </row>
        <row r="14250">
          <cell r="A14250">
            <v>9022618</v>
          </cell>
        </row>
        <row r="14251">
          <cell r="A14251">
            <v>9022619</v>
          </cell>
        </row>
        <row r="14252">
          <cell r="A14252">
            <v>9022626</v>
          </cell>
        </row>
        <row r="14253">
          <cell r="A14253">
            <v>9022627</v>
          </cell>
        </row>
        <row r="14254">
          <cell r="A14254">
            <v>9022628</v>
          </cell>
        </row>
        <row r="14255">
          <cell r="A14255">
            <v>9022629</v>
          </cell>
        </row>
        <row r="14256">
          <cell r="A14256">
            <v>9022630</v>
          </cell>
        </row>
        <row r="14257">
          <cell r="A14257">
            <v>9022631</v>
          </cell>
        </row>
        <row r="14258">
          <cell r="A14258">
            <v>9022632</v>
          </cell>
        </row>
        <row r="14259">
          <cell r="A14259">
            <v>9022701</v>
          </cell>
        </row>
        <row r="14260">
          <cell r="A14260">
            <v>9022702</v>
          </cell>
        </row>
        <row r="14261">
          <cell r="A14261">
            <v>9030201</v>
          </cell>
        </row>
        <row r="14262">
          <cell r="A14262">
            <v>9030202</v>
          </cell>
        </row>
        <row r="14263">
          <cell r="A14263">
            <v>9030203</v>
          </cell>
        </row>
        <row r="14264">
          <cell r="A14264">
            <v>9030204</v>
          </cell>
        </row>
        <row r="14265">
          <cell r="A14265">
            <v>9030205</v>
          </cell>
        </row>
        <row r="14266">
          <cell r="A14266">
            <v>9030206</v>
          </cell>
        </row>
        <row r="14267">
          <cell r="A14267">
            <v>9030207</v>
          </cell>
        </row>
        <row r="14268">
          <cell r="A14268">
            <v>9030208</v>
          </cell>
        </row>
        <row r="14269">
          <cell r="A14269">
            <v>9030209</v>
          </cell>
        </row>
        <row r="14270">
          <cell r="A14270">
            <v>9030210</v>
          </cell>
        </row>
        <row r="14271">
          <cell r="A14271">
            <v>9030211</v>
          </cell>
        </row>
        <row r="14272">
          <cell r="A14272">
            <v>9030212</v>
          </cell>
        </row>
        <row r="14273">
          <cell r="A14273">
            <v>9030213</v>
          </cell>
        </row>
        <row r="14274">
          <cell r="A14274">
            <v>9030214</v>
          </cell>
        </row>
        <row r="14275">
          <cell r="A14275">
            <v>9030215</v>
          </cell>
        </row>
        <row r="14276">
          <cell r="A14276">
            <v>9030216</v>
          </cell>
        </row>
        <row r="14277">
          <cell r="A14277">
            <v>9030217</v>
          </cell>
        </row>
        <row r="14278">
          <cell r="A14278">
            <v>9030218</v>
          </cell>
        </row>
        <row r="14279">
          <cell r="A14279">
            <v>9030219</v>
          </cell>
        </row>
        <row r="14280">
          <cell r="A14280">
            <v>9030220</v>
          </cell>
        </row>
        <row r="14281">
          <cell r="A14281">
            <v>9030221</v>
          </cell>
        </row>
        <row r="14282">
          <cell r="A14282">
            <v>9030222</v>
          </cell>
        </row>
        <row r="14283">
          <cell r="A14283">
            <v>9030223</v>
          </cell>
        </row>
        <row r="14284">
          <cell r="A14284">
            <v>9030224</v>
          </cell>
        </row>
        <row r="14285">
          <cell r="A14285">
            <v>9030225</v>
          </cell>
        </row>
        <row r="14286">
          <cell r="A14286">
            <v>9030226</v>
          </cell>
        </row>
        <row r="14287">
          <cell r="A14287">
            <v>9030227</v>
          </cell>
        </row>
        <row r="14288">
          <cell r="A14288">
            <v>9030228</v>
          </cell>
        </row>
        <row r="14289">
          <cell r="A14289">
            <v>9030229</v>
          </cell>
        </row>
        <row r="14290">
          <cell r="A14290">
            <v>9030231</v>
          </cell>
        </row>
        <row r="14291">
          <cell r="A14291">
            <v>9030301</v>
          </cell>
        </row>
        <row r="14292">
          <cell r="A14292">
            <v>9030302</v>
          </cell>
        </row>
        <row r="14293">
          <cell r="A14293">
            <v>9030303</v>
          </cell>
        </row>
        <row r="14294">
          <cell r="A14294">
            <v>9030304</v>
          </cell>
        </row>
        <row r="14295">
          <cell r="A14295">
            <v>9030305</v>
          </cell>
        </row>
        <row r="14296">
          <cell r="A14296">
            <v>9030306</v>
          </cell>
        </row>
        <row r="14297">
          <cell r="A14297">
            <v>9030307</v>
          </cell>
        </row>
        <row r="14298">
          <cell r="A14298">
            <v>9030308</v>
          </cell>
        </row>
        <row r="14299">
          <cell r="A14299">
            <v>9030309</v>
          </cell>
        </row>
        <row r="14300">
          <cell r="A14300">
            <v>9030310</v>
          </cell>
        </row>
        <row r="14301">
          <cell r="A14301">
            <v>9030311</v>
          </cell>
        </row>
        <row r="14302">
          <cell r="A14302">
            <v>9030312</v>
          </cell>
        </row>
        <row r="14303">
          <cell r="A14303">
            <v>9030313</v>
          </cell>
        </row>
        <row r="14304">
          <cell r="A14304">
            <v>9030314</v>
          </cell>
        </row>
        <row r="14305">
          <cell r="A14305">
            <v>9030315</v>
          </cell>
        </row>
        <row r="14306">
          <cell r="A14306">
            <v>9030316</v>
          </cell>
        </row>
        <row r="14307">
          <cell r="A14307">
            <v>9030317</v>
          </cell>
        </row>
        <row r="14308">
          <cell r="A14308">
            <v>9030318</v>
          </cell>
        </row>
        <row r="14309">
          <cell r="A14309">
            <v>9030319</v>
          </cell>
        </row>
        <row r="14310">
          <cell r="A14310">
            <v>9030320</v>
          </cell>
        </row>
        <row r="14311">
          <cell r="A14311">
            <v>9030321</v>
          </cell>
        </row>
        <row r="14312">
          <cell r="A14312">
            <v>9030322</v>
          </cell>
        </row>
        <row r="14313">
          <cell r="A14313">
            <v>9030323</v>
          </cell>
        </row>
        <row r="14314">
          <cell r="A14314">
            <v>9030324</v>
          </cell>
        </row>
        <row r="14315">
          <cell r="A14315">
            <v>9030325</v>
          </cell>
        </row>
        <row r="14316">
          <cell r="A14316">
            <v>9030326</v>
          </cell>
        </row>
        <row r="14317">
          <cell r="A14317">
            <v>9030401</v>
          </cell>
        </row>
        <row r="14318">
          <cell r="A14318">
            <v>9030402</v>
          </cell>
        </row>
        <row r="14319">
          <cell r="A14319">
            <v>9030403</v>
          </cell>
        </row>
        <row r="14320">
          <cell r="A14320">
            <v>9030404</v>
          </cell>
        </row>
        <row r="14321">
          <cell r="A14321">
            <v>9030405</v>
          </cell>
        </row>
        <row r="14322">
          <cell r="A14322">
            <v>9030406</v>
          </cell>
        </row>
        <row r="14323">
          <cell r="A14323">
            <v>9030407</v>
          </cell>
        </row>
        <row r="14324">
          <cell r="A14324">
            <v>9030408</v>
          </cell>
        </row>
        <row r="14325">
          <cell r="A14325">
            <v>9030409</v>
          </cell>
        </row>
        <row r="14326">
          <cell r="A14326">
            <v>9030410</v>
          </cell>
        </row>
        <row r="14327">
          <cell r="A14327">
            <v>9030411</v>
          </cell>
        </row>
        <row r="14328">
          <cell r="A14328">
            <v>9030412</v>
          </cell>
        </row>
        <row r="14329">
          <cell r="A14329">
            <v>9030413</v>
          </cell>
        </row>
        <row r="14330">
          <cell r="A14330">
            <v>9030414</v>
          </cell>
        </row>
        <row r="14331">
          <cell r="A14331">
            <v>9030415</v>
          </cell>
        </row>
        <row r="14332">
          <cell r="A14332">
            <v>9030416</v>
          </cell>
        </row>
        <row r="14333">
          <cell r="A14333">
            <v>9030417</v>
          </cell>
        </row>
        <row r="14334">
          <cell r="A14334">
            <v>9030418</v>
          </cell>
        </row>
        <row r="14335">
          <cell r="A14335">
            <v>9030419</v>
          </cell>
        </row>
        <row r="14336">
          <cell r="A14336">
            <v>9030420</v>
          </cell>
        </row>
        <row r="14337">
          <cell r="A14337">
            <v>9030421</v>
          </cell>
        </row>
        <row r="14338">
          <cell r="A14338">
            <v>9030422</v>
          </cell>
        </row>
        <row r="14339">
          <cell r="A14339">
            <v>9030423</v>
          </cell>
        </row>
        <row r="14340">
          <cell r="A14340">
            <v>9030424</v>
          </cell>
        </row>
        <row r="14341">
          <cell r="A14341">
            <v>9030427</v>
          </cell>
        </row>
        <row r="14342">
          <cell r="A14342">
            <v>9030428</v>
          </cell>
        </row>
        <row r="14343">
          <cell r="A14343">
            <v>9030429</v>
          </cell>
        </row>
        <row r="14344">
          <cell r="A14344">
            <v>9030431</v>
          </cell>
        </row>
        <row r="14345">
          <cell r="A14345">
            <v>9030432</v>
          </cell>
        </row>
        <row r="14346">
          <cell r="A14346">
            <v>9030433</v>
          </cell>
        </row>
        <row r="14347">
          <cell r="A14347">
            <v>9030434</v>
          </cell>
        </row>
        <row r="14348">
          <cell r="A14348">
            <v>9030435</v>
          </cell>
        </row>
        <row r="14349">
          <cell r="A14349">
            <v>9030436</v>
          </cell>
        </row>
        <row r="14350">
          <cell r="A14350">
            <v>9030501</v>
          </cell>
        </row>
        <row r="14351">
          <cell r="A14351">
            <v>9030502</v>
          </cell>
        </row>
        <row r="14352">
          <cell r="A14352">
            <v>9030503</v>
          </cell>
        </row>
        <row r="14353">
          <cell r="A14353">
            <v>9030504</v>
          </cell>
        </row>
        <row r="14354">
          <cell r="A14354">
            <v>9030505</v>
          </cell>
        </row>
        <row r="14355">
          <cell r="A14355">
            <v>9030506</v>
          </cell>
        </row>
        <row r="14356">
          <cell r="A14356">
            <v>9030507</v>
          </cell>
        </row>
        <row r="14357">
          <cell r="A14357">
            <v>9030508</v>
          </cell>
        </row>
        <row r="14358">
          <cell r="A14358">
            <v>9030509</v>
          </cell>
        </row>
        <row r="14359">
          <cell r="A14359">
            <v>9030514</v>
          </cell>
        </row>
        <row r="14360">
          <cell r="A14360">
            <v>9030515</v>
          </cell>
        </row>
        <row r="14361">
          <cell r="A14361">
            <v>9030516</v>
          </cell>
        </row>
        <row r="14362">
          <cell r="A14362">
            <v>9030517</v>
          </cell>
        </row>
        <row r="14363">
          <cell r="A14363">
            <v>9030518</v>
          </cell>
        </row>
        <row r="14364">
          <cell r="A14364">
            <v>9030519</v>
          </cell>
        </row>
        <row r="14365">
          <cell r="A14365">
            <v>9030520</v>
          </cell>
        </row>
        <row r="14366">
          <cell r="A14366">
            <v>9030521</v>
          </cell>
        </row>
        <row r="14367">
          <cell r="A14367">
            <v>9030522</v>
          </cell>
        </row>
        <row r="14368">
          <cell r="A14368">
            <v>9030523</v>
          </cell>
        </row>
        <row r="14369">
          <cell r="A14369">
            <v>9030524</v>
          </cell>
        </row>
        <row r="14370">
          <cell r="A14370">
            <v>9030525</v>
          </cell>
        </row>
        <row r="14371">
          <cell r="A14371">
            <v>9030529</v>
          </cell>
        </row>
        <row r="14372">
          <cell r="A14372">
            <v>9030533</v>
          </cell>
        </row>
        <row r="14373">
          <cell r="A14373">
            <v>9030534</v>
          </cell>
        </row>
        <row r="14374">
          <cell r="A14374">
            <v>9030535</v>
          </cell>
        </row>
        <row r="14375">
          <cell r="A14375">
            <v>9030536</v>
          </cell>
        </row>
        <row r="14376">
          <cell r="A14376">
            <v>9030537</v>
          </cell>
        </row>
        <row r="14377">
          <cell r="A14377">
            <v>9030538</v>
          </cell>
        </row>
        <row r="14378">
          <cell r="A14378">
            <v>9030539</v>
          </cell>
        </row>
        <row r="14379">
          <cell r="A14379">
            <v>9030540</v>
          </cell>
        </row>
        <row r="14380">
          <cell r="A14380">
            <v>9030901</v>
          </cell>
        </row>
        <row r="14381">
          <cell r="A14381">
            <v>9030902</v>
          </cell>
        </row>
        <row r="14382">
          <cell r="A14382">
            <v>9030903</v>
          </cell>
        </row>
        <row r="14383">
          <cell r="A14383">
            <v>9030904</v>
          </cell>
        </row>
        <row r="14384">
          <cell r="A14384">
            <v>9030905</v>
          </cell>
        </row>
        <row r="14385">
          <cell r="A14385">
            <v>9030906</v>
          </cell>
        </row>
        <row r="14386">
          <cell r="A14386">
            <v>9030907</v>
          </cell>
        </row>
        <row r="14387">
          <cell r="A14387">
            <v>9030908</v>
          </cell>
        </row>
        <row r="14388">
          <cell r="A14388">
            <v>9030909</v>
          </cell>
        </row>
        <row r="14389">
          <cell r="A14389">
            <v>9030910</v>
          </cell>
        </row>
        <row r="14390">
          <cell r="A14390">
            <v>9030911</v>
          </cell>
        </row>
        <row r="14391">
          <cell r="A14391">
            <v>9030912</v>
          </cell>
        </row>
        <row r="14392">
          <cell r="A14392">
            <v>9030913</v>
          </cell>
        </row>
        <row r="14393">
          <cell r="A14393">
            <v>9030914</v>
          </cell>
        </row>
        <row r="14394">
          <cell r="A14394">
            <v>9030915</v>
          </cell>
        </row>
        <row r="14395">
          <cell r="A14395">
            <v>9030916</v>
          </cell>
        </row>
        <row r="14396">
          <cell r="A14396">
            <v>9030917</v>
          </cell>
        </row>
        <row r="14397">
          <cell r="A14397">
            <v>9030918</v>
          </cell>
        </row>
        <row r="14398">
          <cell r="A14398">
            <v>9030919</v>
          </cell>
        </row>
        <row r="14399">
          <cell r="A14399">
            <v>9030920</v>
          </cell>
        </row>
        <row r="14400">
          <cell r="A14400">
            <v>9030921</v>
          </cell>
        </row>
        <row r="14401">
          <cell r="A14401">
            <v>9030922</v>
          </cell>
        </row>
        <row r="14402">
          <cell r="A14402">
            <v>9030923</v>
          </cell>
        </row>
        <row r="14403">
          <cell r="A14403">
            <v>9030924</v>
          </cell>
        </row>
        <row r="14404">
          <cell r="A14404">
            <v>9030925</v>
          </cell>
        </row>
        <row r="14405">
          <cell r="A14405">
            <v>9030926</v>
          </cell>
        </row>
        <row r="14406">
          <cell r="A14406">
            <v>9030927</v>
          </cell>
        </row>
        <row r="14407">
          <cell r="A14407">
            <v>9030928</v>
          </cell>
        </row>
        <row r="14408">
          <cell r="A14408">
            <v>9030929</v>
          </cell>
        </row>
        <row r="14409">
          <cell r="A14409">
            <v>9030933</v>
          </cell>
        </row>
        <row r="14410">
          <cell r="A14410">
            <v>9030934</v>
          </cell>
        </row>
        <row r="14411">
          <cell r="A14411">
            <v>9030935</v>
          </cell>
        </row>
        <row r="14412">
          <cell r="A14412">
            <v>9030936</v>
          </cell>
        </row>
        <row r="14413">
          <cell r="A14413">
            <v>9030937</v>
          </cell>
        </row>
        <row r="14414">
          <cell r="A14414">
            <v>9030938</v>
          </cell>
        </row>
        <row r="14415">
          <cell r="A14415">
            <v>9030939</v>
          </cell>
        </row>
        <row r="14416">
          <cell r="A14416">
            <v>9030940</v>
          </cell>
        </row>
        <row r="14417">
          <cell r="A14417">
            <v>9030941</v>
          </cell>
        </row>
        <row r="14418">
          <cell r="A14418">
            <v>9030942</v>
          </cell>
        </row>
        <row r="14419">
          <cell r="A14419">
            <v>9030943</v>
          </cell>
        </row>
        <row r="14420">
          <cell r="A14420">
            <v>9030944</v>
          </cell>
        </row>
        <row r="14421">
          <cell r="A14421">
            <v>9030945</v>
          </cell>
        </row>
        <row r="14422">
          <cell r="A14422">
            <v>9030946</v>
          </cell>
        </row>
        <row r="14423">
          <cell r="A14423">
            <v>9031001</v>
          </cell>
        </row>
        <row r="14424">
          <cell r="A14424">
            <v>9031002</v>
          </cell>
        </row>
        <row r="14425">
          <cell r="A14425">
            <v>9031003</v>
          </cell>
        </row>
        <row r="14426">
          <cell r="A14426">
            <v>9031004</v>
          </cell>
        </row>
        <row r="14427">
          <cell r="A14427">
            <v>9031005</v>
          </cell>
        </row>
        <row r="14428">
          <cell r="A14428">
            <v>9031006</v>
          </cell>
        </row>
        <row r="14429">
          <cell r="A14429">
            <v>9031007</v>
          </cell>
        </row>
        <row r="14430">
          <cell r="A14430">
            <v>9031008</v>
          </cell>
        </row>
        <row r="14431">
          <cell r="A14431">
            <v>9031009</v>
          </cell>
        </row>
        <row r="14432">
          <cell r="A14432">
            <v>9031010</v>
          </cell>
        </row>
        <row r="14433">
          <cell r="A14433">
            <v>9031011</v>
          </cell>
        </row>
        <row r="14434">
          <cell r="A14434">
            <v>9031012</v>
          </cell>
        </row>
        <row r="14435">
          <cell r="A14435">
            <v>9031013</v>
          </cell>
        </row>
        <row r="14436">
          <cell r="A14436">
            <v>9031014</v>
          </cell>
        </row>
        <row r="14437">
          <cell r="A14437">
            <v>9031015</v>
          </cell>
        </row>
        <row r="14438">
          <cell r="A14438">
            <v>9031016</v>
          </cell>
        </row>
        <row r="14439">
          <cell r="A14439">
            <v>9031017</v>
          </cell>
        </row>
        <row r="14440">
          <cell r="A14440">
            <v>9031018</v>
          </cell>
        </row>
        <row r="14441">
          <cell r="A14441">
            <v>9031019</v>
          </cell>
        </row>
        <row r="14442">
          <cell r="A14442">
            <v>9031020</v>
          </cell>
        </row>
        <row r="14443">
          <cell r="A14443">
            <v>9031021</v>
          </cell>
        </row>
        <row r="14444">
          <cell r="A14444">
            <v>9031022</v>
          </cell>
        </row>
        <row r="14445">
          <cell r="A14445">
            <v>9031023</v>
          </cell>
        </row>
        <row r="14446">
          <cell r="A14446">
            <v>9031024</v>
          </cell>
        </row>
        <row r="14447">
          <cell r="A14447">
            <v>9031025</v>
          </cell>
        </row>
        <row r="14448">
          <cell r="A14448">
            <v>9031026</v>
          </cell>
        </row>
        <row r="14449">
          <cell r="A14449">
            <v>9031027</v>
          </cell>
        </row>
        <row r="14450">
          <cell r="A14450">
            <v>9031028</v>
          </cell>
        </row>
        <row r="14451">
          <cell r="A14451">
            <v>9031029</v>
          </cell>
        </row>
        <row r="14452">
          <cell r="A14452">
            <v>9031030</v>
          </cell>
        </row>
        <row r="14453">
          <cell r="A14453">
            <v>9031031</v>
          </cell>
        </row>
        <row r="14454">
          <cell r="A14454">
            <v>9031032</v>
          </cell>
        </row>
        <row r="14455">
          <cell r="A14455">
            <v>9031033</v>
          </cell>
        </row>
        <row r="14456">
          <cell r="A14456">
            <v>9031034</v>
          </cell>
        </row>
        <row r="14457">
          <cell r="A14457">
            <v>9031035</v>
          </cell>
        </row>
        <row r="14458">
          <cell r="A14458">
            <v>9031036</v>
          </cell>
        </row>
        <row r="14459">
          <cell r="A14459">
            <v>9031037</v>
          </cell>
        </row>
        <row r="14460">
          <cell r="A14460">
            <v>9031038</v>
          </cell>
        </row>
        <row r="14461">
          <cell r="A14461">
            <v>9031101</v>
          </cell>
        </row>
        <row r="14462">
          <cell r="A14462">
            <v>9031102</v>
          </cell>
        </row>
        <row r="14463">
          <cell r="A14463">
            <v>9031103</v>
          </cell>
        </row>
        <row r="14464">
          <cell r="A14464">
            <v>9031104</v>
          </cell>
        </row>
        <row r="14465">
          <cell r="A14465">
            <v>9031105</v>
          </cell>
        </row>
        <row r="14466">
          <cell r="A14466">
            <v>9031106</v>
          </cell>
        </row>
        <row r="14467">
          <cell r="A14467">
            <v>9031107</v>
          </cell>
        </row>
        <row r="14468">
          <cell r="A14468">
            <v>9031108</v>
          </cell>
        </row>
        <row r="14469">
          <cell r="A14469">
            <v>9031109</v>
          </cell>
        </row>
        <row r="14470">
          <cell r="A14470">
            <v>9031110</v>
          </cell>
        </row>
        <row r="14471">
          <cell r="A14471">
            <v>9031111</v>
          </cell>
        </row>
        <row r="14472">
          <cell r="A14472">
            <v>9031112</v>
          </cell>
        </row>
        <row r="14473">
          <cell r="A14473">
            <v>9031113</v>
          </cell>
        </row>
        <row r="14474">
          <cell r="A14474">
            <v>9031117</v>
          </cell>
        </row>
        <row r="14475">
          <cell r="A14475">
            <v>9031118</v>
          </cell>
        </row>
        <row r="14476">
          <cell r="A14476">
            <v>9031119</v>
          </cell>
        </row>
        <row r="14477">
          <cell r="A14477">
            <v>9031120</v>
          </cell>
        </row>
        <row r="14478">
          <cell r="A14478">
            <v>9031121</v>
          </cell>
        </row>
        <row r="14479">
          <cell r="A14479">
            <v>9031122</v>
          </cell>
        </row>
        <row r="14480">
          <cell r="A14480">
            <v>9031123</v>
          </cell>
        </row>
        <row r="14481">
          <cell r="A14481">
            <v>9031124</v>
          </cell>
        </row>
        <row r="14482">
          <cell r="A14482">
            <v>9031125</v>
          </cell>
        </row>
        <row r="14483">
          <cell r="A14483">
            <v>9031126</v>
          </cell>
        </row>
        <row r="14484">
          <cell r="A14484">
            <v>9031127</v>
          </cell>
        </row>
        <row r="14485">
          <cell r="A14485">
            <v>9031128</v>
          </cell>
        </row>
        <row r="14486">
          <cell r="A14486">
            <v>9031129</v>
          </cell>
        </row>
        <row r="14487">
          <cell r="A14487">
            <v>9031133</v>
          </cell>
        </row>
        <row r="14488">
          <cell r="A14488">
            <v>9031134</v>
          </cell>
        </row>
        <row r="14489">
          <cell r="A14489">
            <v>9031135</v>
          </cell>
        </row>
        <row r="14490">
          <cell r="A14490">
            <v>9031136</v>
          </cell>
        </row>
        <row r="14491">
          <cell r="A14491">
            <v>9031137</v>
          </cell>
        </row>
        <row r="14492">
          <cell r="A14492">
            <v>9031138</v>
          </cell>
        </row>
        <row r="14493">
          <cell r="A14493">
            <v>9031139</v>
          </cell>
        </row>
        <row r="14494">
          <cell r="A14494">
            <v>9031140</v>
          </cell>
        </row>
        <row r="14495">
          <cell r="A14495">
            <v>9031141</v>
          </cell>
        </row>
        <row r="14496">
          <cell r="A14496">
            <v>9031142</v>
          </cell>
        </row>
        <row r="14497">
          <cell r="A14497">
            <v>9031143</v>
          </cell>
        </row>
        <row r="14498">
          <cell r="A14498">
            <v>9031144</v>
          </cell>
        </row>
        <row r="14499">
          <cell r="A14499">
            <v>9031145</v>
          </cell>
        </row>
        <row r="14500">
          <cell r="A14500">
            <v>9031146</v>
          </cell>
        </row>
        <row r="14501">
          <cell r="A14501">
            <v>9031147</v>
          </cell>
        </row>
        <row r="14502">
          <cell r="A14502">
            <v>9031201</v>
          </cell>
        </row>
        <row r="14503">
          <cell r="A14503">
            <v>9031202</v>
          </cell>
        </row>
        <row r="14504">
          <cell r="A14504">
            <v>9031203</v>
          </cell>
        </row>
        <row r="14505">
          <cell r="A14505">
            <v>9031204</v>
          </cell>
        </row>
        <row r="14506">
          <cell r="A14506">
            <v>9031205</v>
          </cell>
        </row>
        <row r="14507">
          <cell r="A14507">
            <v>9031206</v>
          </cell>
        </row>
        <row r="14508">
          <cell r="A14508">
            <v>9031207</v>
          </cell>
        </row>
        <row r="14509">
          <cell r="A14509">
            <v>9031208</v>
          </cell>
        </row>
        <row r="14510">
          <cell r="A14510">
            <v>9031209</v>
          </cell>
        </row>
        <row r="14511">
          <cell r="A14511">
            <v>9031210</v>
          </cell>
        </row>
        <row r="14512">
          <cell r="A14512">
            <v>9031211</v>
          </cell>
        </row>
        <row r="14513">
          <cell r="A14513">
            <v>9031212</v>
          </cell>
        </row>
        <row r="14514">
          <cell r="A14514">
            <v>9031213</v>
          </cell>
        </row>
        <row r="14515">
          <cell r="A14515">
            <v>9031214</v>
          </cell>
        </row>
        <row r="14516">
          <cell r="A14516">
            <v>9031215</v>
          </cell>
        </row>
        <row r="14517">
          <cell r="A14517">
            <v>9031219</v>
          </cell>
        </row>
        <row r="14518">
          <cell r="A14518">
            <v>9031220</v>
          </cell>
        </row>
        <row r="14519">
          <cell r="A14519">
            <v>9031221</v>
          </cell>
        </row>
        <row r="14520">
          <cell r="A14520">
            <v>9031224</v>
          </cell>
        </row>
        <row r="14521">
          <cell r="A14521">
            <v>9031225</v>
          </cell>
        </row>
        <row r="14522">
          <cell r="A14522">
            <v>9031226</v>
          </cell>
        </row>
        <row r="14523">
          <cell r="A14523">
            <v>9031227</v>
          </cell>
        </row>
        <row r="14524">
          <cell r="A14524">
            <v>9031228</v>
          </cell>
        </row>
        <row r="14525">
          <cell r="A14525">
            <v>9031229</v>
          </cell>
        </row>
        <row r="14526">
          <cell r="A14526">
            <v>9031230</v>
          </cell>
        </row>
        <row r="14527">
          <cell r="A14527">
            <v>9031231</v>
          </cell>
        </row>
        <row r="14528">
          <cell r="A14528">
            <v>9031232</v>
          </cell>
        </row>
        <row r="14529">
          <cell r="A14529">
            <v>9031233</v>
          </cell>
        </row>
        <row r="14530">
          <cell r="A14530">
            <v>9031234</v>
          </cell>
        </row>
        <row r="14531">
          <cell r="A14531">
            <v>9031235</v>
          </cell>
        </row>
        <row r="14532">
          <cell r="A14532">
            <v>9031236</v>
          </cell>
        </row>
        <row r="14533">
          <cell r="A14533">
            <v>9031244</v>
          </cell>
        </row>
        <row r="14534">
          <cell r="A14534">
            <v>9031245</v>
          </cell>
        </row>
        <row r="14535">
          <cell r="A14535">
            <v>9031246</v>
          </cell>
        </row>
        <row r="14536">
          <cell r="A14536">
            <v>9031247</v>
          </cell>
        </row>
        <row r="14537">
          <cell r="A14537">
            <v>9031301</v>
          </cell>
        </row>
        <row r="14538">
          <cell r="A14538">
            <v>9031302</v>
          </cell>
        </row>
        <row r="14539">
          <cell r="A14539">
            <v>9031306</v>
          </cell>
        </row>
        <row r="14540">
          <cell r="A14540">
            <v>9031307</v>
          </cell>
        </row>
        <row r="14541">
          <cell r="A14541">
            <v>9031308</v>
          </cell>
        </row>
        <row r="14542">
          <cell r="A14542">
            <v>9031309</v>
          </cell>
        </row>
        <row r="14543">
          <cell r="A14543">
            <v>9031310</v>
          </cell>
        </row>
        <row r="14544">
          <cell r="A14544">
            <v>9031311</v>
          </cell>
        </row>
        <row r="14545">
          <cell r="A14545">
            <v>9031312</v>
          </cell>
        </row>
        <row r="14546">
          <cell r="A14546">
            <v>9031313</v>
          </cell>
        </row>
        <row r="14547">
          <cell r="A14547">
            <v>9031314</v>
          </cell>
        </row>
        <row r="14548">
          <cell r="A14548">
            <v>9031320</v>
          </cell>
        </row>
        <row r="14549">
          <cell r="A14549">
            <v>9031321</v>
          </cell>
        </row>
        <row r="14550">
          <cell r="A14550">
            <v>9031322</v>
          </cell>
        </row>
        <row r="14551">
          <cell r="A14551">
            <v>9031323</v>
          </cell>
        </row>
        <row r="14552">
          <cell r="A14552">
            <v>9031324</v>
          </cell>
        </row>
        <row r="14553">
          <cell r="A14553">
            <v>9031325</v>
          </cell>
        </row>
        <row r="14554">
          <cell r="A14554">
            <v>9031326</v>
          </cell>
        </row>
        <row r="14555">
          <cell r="A14555">
            <v>9031327</v>
          </cell>
        </row>
        <row r="14556">
          <cell r="A14556">
            <v>9031331</v>
          </cell>
        </row>
        <row r="14557">
          <cell r="A14557">
            <v>9031332</v>
          </cell>
        </row>
        <row r="14558">
          <cell r="A14558">
            <v>9031333</v>
          </cell>
        </row>
        <row r="14559">
          <cell r="A14559">
            <v>9031334</v>
          </cell>
        </row>
        <row r="14560">
          <cell r="A14560">
            <v>9031335</v>
          </cell>
        </row>
        <row r="14561">
          <cell r="A14561">
            <v>9031336</v>
          </cell>
        </row>
        <row r="14562">
          <cell r="A14562">
            <v>9031337</v>
          </cell>
        </row>
        <row r="14563">
          <cell r="A14563">
            <v>9031601</v>
          </cell>
        </row>
        <row r="14564">
          <cell r="A14564">
            <v>9031602</v>
          </cell>
        </row>
        <row r="14565">
          <cell r="A14565">
            <v>9031603</v>
          </cell>
        </row>
        <row r="14566">
          <cell r="A14566">
            <v>9031604</v>
          </cell>
        </row>
        <row r="14567">
          <cell r="A14567">
            <v>9031605</v>
          </cell>
        </row>
        <row r="14568">
          <cell r="A14568">
            <v>9031606</v>
          </cell>
        </row>
        <row r="14569">
          <cell r="A14569">
            <v>9031607</v>
          </cell>
        </row>
        <row r="14570">
          <cell r="A14570">
            <v>9031608</v>
          </cell>
        </row>
        <row r="14571">
          <cell r="A14571">
            <v>9031609</v>
          </cell>
        </row>
        <row r="14572">
          <cell r="A14572">
            <v>9031610</v>
          </cell>
        </row>
        <row r="14573">
          <cell r="A14573">
            <v>9031611</v>
          </cell>
        </row>
        <row r="14574">
          <cell r="A14574">
            <v>9031612</v>
          </cell>
        </row>
        <row r="14575">
          <cell r="A14575">
            <v>9031613</v>
          </cell>
        </row>
        <row r="14576">
          <cell r="A14576">
            <v>9031616</v>
          </cell>
        </row>
        <row r="14577">
          <cell r="A14577">
            <v>9031617</v>
          </cell>
        </row>
        <row r="14578">
          <cell r="A14578">
            <v>9031618</v>
          </cell>
        </row>
        <row r="14579">
          <cell r="A14579">
            <v>9031619</v>
          </cell>
        </row>
        <row r="14580">
          <cell r="A14580">
            <v>9031620</v>
          </cell>
        </row>
        <row r="14581">
          <cell r="A14581">
            <v>9031621</v>
          </cell>
        </row>
        <row r="14582">
          <cell r="A14582">
            <v>9031622</v>
          </cell>
        </row>
        <row r="14583">
          <cell r="A14583">
            <v>9031623</v>
          </cell>
        </row>
        <row r="14584">
          <cell r="A14584">
            <v>9031624</v>
          </cell>
        </row>
        <row r="14585">
          <cell r="A14585">
            <v>9031625</v>
          </cell>
        </row>
        <row r="14586">
          <cell r="A14586">
            <v>9031626</v>
          </cell>
        </row>
        <row r="14587">
          <cell r="A14587">
            <v>9031627</v>
          </cell>
        </row>
        <row r="14588">
          <cell r="A14588">
            <v>9031628</v>
          </cell>
        </row>
        <row r="14589">
          <cell r="A14589">
            <v>9031629</v>
          </cell>
        </row>
        <row r="14590">
          <cell r="A14590">
            <v>9031630</v>
          </cell>
        </row>
        <row r="14591">
          <cell r="A14591">
            <v>9031631</v>
          </cell>
        </row>
        <row r="14592">
          <cell r="A14592">
            <v>9031632</v>
          </cell>
        </row>
        <row r="14593">
          <cell r="A14593">
            <v>9031633</v>
          </cell>
        </row>
        <row r="14594">
          <cell r="A14594">
            <v>9031634</v>
          </cell>
        </row>
        <row r="14595">
          <cell r="A14595">
            <v>9031635</v>
          </cell>
        </row>
        <row r="14596">
          <cell r="A14596">
            <v>9031636</v>
          </cell>
        </row>
        <row r="14597">
          <cell r="A14597">
            <v>9031637</v>
          </cell>
        </row>
        <row r="14598">
          <cell r="A14598">
            <v>9031638</v>
          </cell>
        </row>
        <row r="14599">
          <cell r="A14599">
            <v>9031639</v>
          </cell>
        </row>
        <row r="14600">
          <cell r="A14600">
            <v>9031701</v>
          </cell>
        </row>
        <row r="14601">
          <cell r="A14601">
            <v>9031702</v>
          </cell>
        </row>
        <row r="14602">
          <cell r="A14602">
            <v>9031703</v>
          </cell>
        </row>
        <row r="14603">
          <cell r="A14603">
            <v>9031704</v>
          </cell>
        </row>
        <row r="14604">
          <cell r="A14604">
            <v>9031705</v>
          </cell>
        </row>
        <row r="14605">
          <cell r="A14605">
            <v>9031706</v>
          </cell>
        </row>
        <row r="14606">
          <cell r="A14606">
            <v>9031707</v>
          </cell>
        </row>
        <row r="14607">
          <cell r="A14607">
            <v>9031708</v>
          </cell>
        </row>
        <row r="14608">
          <cell r="A14608">
            <v>9031711</v>
          </cell>
        </row>
        <row r="14609">
          <cell r="A14609">
            <v>9031712</v>
          </cell>
        </row>
        <row r="14610">
          <cell r="A14610">
            <v>9031713</v>
          </cell>
        </row>
        <row r="14611">
          <cell r="A14611">
            <v>9031714</v>
          </cell>
        </row>
        <row r="14612">
          <cell r="A14612">
            <v>9031715</v>
          </cell>
        </row>
        <row r="14613">
          <cell r="A14613">
            <v>9031716</v>
          </cell>
        </row>
        <row r="14614">
          <cell r="A14614">
            <v>9031717</v>
          </cell>
        </row>
        <row r="14615">
          <cell r="A14615">
            <v>9031718</v>
          </cell>
        </row>
        <row r="14616">
          <cell r="A14616">
            <v>9031719</v>
          </cell>
        </row>
        <row r="14617">
          <cell r="A14617">
            <v>9031720</v>
          </cell>
        </row>
        <row r="14618">
          <cell r="A14618">
            <v>9031721</v>
          </cell>
        </row>
        <row r="14619">
          <cell r="A14619">
            <v>9031722</v>
          </cell>
        </row>
        <row r="14620">
          <cell r="A14620">
            <v>9031724</v>
          </cell>
        </row>
        <row r="14621">
          <cell r="A14621">
            <v>9031725</v>
          </cell>
        </row>
        <row r="14622">
          <cell r="A14622">
            <v>9031726</v>
          </cell>
        </row>
        <row r="14623">
          <cell r="A14623">
            <v>9031727</v>
          </cell>
        </row>
        <row r="14624">
          <cell r="A14624">
            <v>9031728</v>
          </cell>
        </row>
        <row r="14625">
          <cell r="A14625">
            <v>9031729</v>
          </cell>
        </row>
        <row r="14626">
          <cell r="A14626">
            <v>9031730</v>
          </cell>
        </row>
        <row r="14627">
          <cell r="A14627">
            <v>9031731</v>
          </cell>
        </row>
        <row r="14628">
          <cell r="A14628">
            <v>9031732</v>
          </cell>
        </row>
        <row r="14629">
          <cell r="A14629">
            <v>9031801</v>
          </cell>
        </row>
        <row r="14630">
          <cell r="A14630">
            <v>9031802</v>
          </cell>
        </row>
        <row r="14631">
          <cell r="A14631">
            <v>9031803</v>
          </cell>
        </row>
        <row r="14632">
          <cell r="A14632">
            <v>9031804</v>
          </cell>
        </row>
        <row r="14633">
          <cell r="A14633">
            <v>9031805</v>
          </cell>
        </row>
        <row r="14634">
          <cell r="A14634">
            <v>9031806</v>
          </cell>
        </row>
        <row r="14635">
          <cell r="A14635">
            <v>9031807</v>
          </cell>
        </row>
        <row r="14636">
          <cell r="A14636">
            <v>9031808</v>
          </cell>
        </row>
        <row r="14637">
          <cell r="A14637">
            <v>9031809</v>
          </cell>
        </row>
        <row r="14638">
          <cell r="A14638">
            <v>9031810</v>
          </cell>
        </row>
        <row r="14639">
          <cell r="A14639">
            <v>9031811</v>
          </cell>
        </row>
        <row r="14640">
          <cell r="A14640">
            <v>9031812</v>
          </cell>
        </row>
        <row r="14641">
          <cell r="A14641">
            <v>9031813</v>
          </cell>
        </row>
        <row r="14642">
          <cell r="A14642">
            <v>9031814</v>
          </cell>
        </row>
        <row r="14643">
          <cell r="A14643">
            <v>9031820</v>
          </cell>
        </row>
        <row r="14644">
          <cell r="A14644">
            <v>9031821</v>
          </cell>
        </row>
        <row r="14645">
          <cell r="A14645">
            <v>9031822</v>
          </cell>
        </row>
        <row r="14646">
          <cell r="A14646">
            <v>9031823</v>
          </cell>
        </row>
        <row r="14647">
          <cell r="A14647">
            <v>9031824</v>
          </cell>
        </row>
        <row r="14648">
          <cell r="A14648">
            <v>9031825</v>
          </cell>
        </row>
        <row r="14649">
          <cell r="A14649">
            <v>9031826</v>
          </cell>
        </row>
        <row r="14650">
          <cell r="A14650">
            <v>9031827</v>
          </cell>
        </row>
        <row r="14651">
          <cell r="A14651">
            <v>9031828</v>
          </cell>
        </row>
        <row r="14652">
          <cell r="A14652">
            <v>9031829</v>
          </cell>
        </row>
        <row r="14653">
          <cell r="A14653">
            <v>9031830</v>
          </cell>
        </row>
        <row r="14654">
          <cell r="A14654">
            <v>9031831</v>
          </cell>
        </row>
        <row r="14655">
          <cell r="A14655">
            <v>9031832</v>
          </cell>
        </row>
        <row r="14656">
          <cell r="A14656">
            <v>9031833</v>
          </cell>
        </row>
        <row r="14657">
          <cell r="A14657">
            <v>9031834</v>
          </cell>
        </row>
        <row r="14658">
          <cell r="A14658">
            <v>9031835</v>
          </cell>
        </row>
        <row r="14659">
          <cell r="A14659">
            <v>9031836</v>
          </cell>
        </row>
        <row r="14660">
          <cell r="A14660">
            <v>9031837</v>
          </cell>
        </row>
        <row r="14661">
          <cell r="A14661">
            <v>9031901</v>
          </cell>
        </row>
        <row r="14662">
          <cell r="A14662">
            <v>9031902</v>
          </cell>
        </row>
        <row r="14663">
          <cell r="A14663">
            <v>9031903</v>
          </cell>
        </row>
        <row r="14664">
          <cell r="A14664">
            <v>9031904</v>
          </cell>
        </row>
        <row r="14665">
          <cell r="A14665">
            <v>9031905</v>
          </cell>
        </row>
        <row r="14666">
          <cell r="A14666">
            <v>9031906</v>
          </cell>
        </row>
        <row r="14667">
          <cell r="A14667">
            <v>9031907</v>
          </cell>
        </row>
        <row r="14668">
          <cell r="A14668">
            <v>9031908</v>
          </cell>
        </row>
        <row r="14669">
          <cell r="A14669">
            <v>9031909</v>
          </cell>
        </row>
        <row r="14670">
          <cell r="A14670">
            <v>9031910</v>
          </cell>
        </row>
        <row r="14671">
          <cell r="A14671">
            <v>9031911</v>
          </cell>
        </row>
        <row r="14672">
          <cell r="A14672">
            <v>9031912</v>
          </cell>
        </row>
        <row r="14673">
          <cell r="A14673">
            <v>9031913</v>
          </cell>
        </row>
        <row r="14674">
          <cell r="A14674">
            <v>9031914</v>
          </cell>
        </row>
        <row r="14675">
          <cell r="A14675">
            <v>9031915</v>
          </cell>
        </row>
        <row r="14676">
          <cell r="A14676">
            <v>9031916</v>
          </cell>
        </row>
        <row r="14677">
          <cell r="A14677">
            <v>9031917</v>
          </cell>
        </row>
        <row r="14678">
          <cell r="A14678">
            <v>9031918</v>
          </cell>
        </row>
        <row r="14679">
          <cell r="A14679">
            <v>9031919</v>
          </cell>
        </row>
        <row r="14680">
          <cell r="A14680">
            <v>9031920</v>
          </cell>
        </row>
        <row r="14681">
          <cell r="A14681">
            <v>9031921</v>
          </cell>
        </row>
        <row r="14682">
          <cell r="A14682">
            <v>9031922</v>
          </cell>
        </row>
        <row r="14683">
          <cell r="A14683">
            <v>9031923</v>
          </cell>
        </row>
        <row r="14684">
          <cell r="A14684">
            <v>9031924</v>
          </cell>
        </row>
        <row r="14685">
          <cell r="A14685">
            <v>9031925</v>
          </cell>
        </row>
        <row r="14686">
          <cell r="A14686">
            <v>9031926</v>
          </cell>
        </row>
        <row r="14687">
          <cell r="A14687">
            <v>9031927</v>
          </cell>
        </row>
        <row r="14688">
          <cell r="A14688">
            <v>9031928</v>
          </cell>
        </row>
        <row r="14689">
          <cell r="A14689">
            <v>9031929</v>
          </cell>
        </row>
        <row r="14690">
          <cell r="A14690">
            <v>9031930</v>
          </cell>
        </row>
        <row r="14691">
          <cell r="A14691">
            <v>9031931</v>
          </cell>
        </row>
        <row r="14692">
          <cell r="A14692">
            <v>9031932</v>
          </cell>
        </row>
        <row r="14693">
          <cell r="A14693">
            <v>9031933</v>
          </cell>
        </row>
        <row r="14694">
          <cell r="A14694">
            <v>9031934</v>
          </cell>
        </row>
        <row r="14695">
          <cell r="A14695">
            <v>9031935</v>
          </cell>
        </row>
        <row r="14696">
          <cell r="A14696">
            <v>9031936</v>
          </cell>
        </row>
        <row r="14697">
          <cell r="A14697">
            <v>9031937</v>
          </cell>
        </row>
        <row r="14698">
          <cell r="A14698">
            <v>9031942</v>
          </cell>
        </row>
        <row r="14699">
          <cell r="A14699">
            <v>9031943</v>
          </cell>
        </row>
        <row r="14700">
          <cell r="A14700">
            <v>9031944</v>
          </cell>
        </row>
        <row r="14701">
          <cell r="A14701">
            <v>9031945</v>
          </cell>
        </row>
        <row r="14702">
          <cell r="A14702">
            <v>9031946</v>
          </cell>
        </row>
        <row r="14703">
          <cell r="A14703">
            <v>9031947</v>
          </cell>
        </row>
        <row r="14704">
          <cell r="A14704">
            <v>9031949</v>
          </cell>
        </row>
        <row r="14705">
          <cell r="A14705">
            <v>9031950</v>
          </cell>
        </row>
        <row r="14706">
          <cell r="A14706">
            <v>9031951</v>
          </cell>
        </row>
        <row r="14707">
          <cell r="A14707">
            <v>9031952</v>
          </cell>
        </row>
        <row r="14708">
          <cell r="A14708">
            <v>9031953</v>
          </cell>
        </row>
        <row r="14709">
          <cell r="A14709">
            <v>9031954</v>
          </cell>
        </row>
        <row r="14710">
          <cell r="A14710">
            <v>9031955</v>
          </cell>
        </row>
        <row r="14711">
          <cell r="A14711">
            <v>9032001</v>
          </cell>
        </row>
        <row r="14712">
          <cell r="A14712">
            <v>9032002</v>
          </cell>
        </row>
        <row r="14713">
          <cell r="A14713">
            <v>9032003</v>
          </cell>
        </row>
        <row r="14714">
          <cell r="A14714">
            <v>9032004</v>
          </cell>
        </row>
        <row r="14715">
          <cell r="A14715">
            <v>9032301</v>
          </cell>
        </row>
        <row r="14716">
          <cell r="A14716">
            <v>9032302</v>
          </cell>
        </row>
        <row r="14717">
          <cell r="A14717">
            <v>9032303</v>
          </cell>
        </row>
        <row r="14718">
          <cell r="A14718">
            <v>9032304</v>
          </cell>
        </row>
        <row r="14719">
          <cell r="A14719">
            <v>9032305</v>
          </cell>
        </row>
        <row r="14720">
          <cell r="A14720">
            <v>9032306</v>
          </cell>
        </row>
        <row r="14721">
          <cell r="A14721">
            <v>9032307</v>
          </cell>
        </row>
        <row r="14722">
          <cell r="A14722">
            <v>9032308</v>
          </cell>
        </row>
        <row r="14723">
          <cell r="A14723">
            <v>9032309</v>
          </cell>
        </row>
        <row r="14724">
          <cell r="A14724">
            <v>9032310</v>
          </cell>
        </row>
        <row r="14725">
          <cell r="A14725">
            <v>9032311</v>
          </cell>
        </row>
        <row r="14726">
          <cell r="A14726">
            <v>9032312</v>
          </cell>
        </row>
        <row r="14727">
          <cell r="A14727">
            <v>9032313</v>
          </cell>
        </row>
        <row r="14728">
          <cell r="A14728">
            <v>9032314</v>
          </cell>
        </row>
        <row r="14729">
          <cell r="A14729">
            <v>9032315</v>
          </cell>
        </row>
        <row r="14730">
          <cell r="A14730">
            <v>9032316</v>
          </cell>
        </row>
        <row r="14731">
          <cell r="A14731">
            <v>9032317</v>
          </cell>
        </row>
        <row r="14732">
          <cell r="A14732">
            <v>9032320</v>
          </cell>
        </row>
        <row r="14733">
          <cell r="A14733">
            <v>9032321</v>
          </cell>
        </row>
        <row r="14734">
          <cell r="A14734">
            <v>9032322</v>
          </cell>
        </row>
        <row r="14735">
          <cell r="A14735">
            <v>9032323</v>
          </cell>
        </row>
        <row r="14736">
          <cell r="A14736">
            <v>9032324</v>
          </cell>
        </row>
        <row r="14737">
          <cell r="A14737">
            <v>9032325</v>
          </cell>
        </row>
        <row r="14738">
          <cell r="A14738">
            <v>9032339</v>
          </cell>
        </row>
        <row r="14739">
          <cell r="A14739">
            <v>9032340</v>
          </cell>
        </row>
        <row r="14740">
          <cell r="A14740">
            <v>9032341</v>
          </cell>
        </row>
        <row r="14741">
          <cell r="A14741">
            <v>9032342</v>
          </cell>
        </row>
        <row r="14742">
          <cell r="A14742">
            <v>9032343</v>
          </cell>
        </row>
        <row r="14743">
          <cell r="A14743">
            <v>9032344</v>
          </cell>
        </row>
        <row r="14744">
          <cell r="A14744">
            <v>9032345</v>
          </cell>
        </row>
        <row r="14745">
          <cell r="A14745">
            <v>9032346</v>
          </cell>
        </row>
        <row r="14746">
          <cell r="A14746">
            <v>9032347</v>
          </cell>
        </row>
        <row r="14747">
          <cell r="A14747">
            <v>9032348</v>
          </cell>
        </row>
        <row r="14748">
          <cell r="A14748">
            <v>9032349</v>
          </cell>
        </row>
        <row r="14749">
          <cell r="A14749">
            <v>9032350</v>
          </cell>
        </row>
        <row r="14750">
          <cell r="A14750">
            <v>9032351</v>
          </cell>
        </row>
        <row r="14751">
          <cell r="A14751">
            <v>9032352</v>
          </cell>
        </row>
        <row r="14752">
          <cell r="A14752">
            <v>9032353</v>
          </cell>
        </row>
        <row r="14753">
          <cell r="A14753">
            <v>9032354</v>
          </cell>
        </row>
        <row r="14754">
          <cell r="A14754">
            <v>9032355</v>
          </cell>
        </row>
        <row r="14755">
          <cell r="A14755">
            <v>9032356</v>
          </cell>
        </row>
        <row r="14756">
          <cell r="A14756">
            <v>9032401</v>
          </cell>
        </row>
        <row r="14757">
          <cell r="A14757">
            <v>9032402</v>
          </cell>
        </row>
        <row r="14758">
          <cell r="A14758">
            <v>9032403</v>
          </cell>
        </row>
        <row r="14759">
          <cell r="A14759">
            <v>9032404</v>
          </cell>
        </row>
        <row r="14760">
          <cell r="A14760">
            <v>9032405</v>
          </cell>
        </row>
        <row r="14761">
          <cell r="A14761">
            <v>9032406</v>
          </cell>
        </row>
        <row r="14762">
          <cell r="A14762">
            <v>9032407</v>
          </cell>
        </row>
        <row r="14763">
          <cell r="A14763">
            <v>9032408</v>
          </cell>
        </row>
        <row r="14764">
          <cell r="A14764">
            <v>9032409</v>
          </cell>
        </row>
        <row r="14765">
          <cell r="A14765">
            <v>9032410</v>
          </cell>
        </row>
        <row r="14766">
          <cell r="A14766">
            <v>9032411</v>
          </cell>
        </row>
        <row r="14767">
          <cell r="A14767">
            <v>9032412</v>
          </cell>
        </row>
        <row r="14768">
          <cell r="A14768">
            <v>9032413</v>
          </cell>
        </row>
        <row r="14769">
          <cell r="A14769">
            <v>9032414</v>
          </cell>
        </row>
        <row r="14770">
          <cell r="A14770">
            <v>9032415</v>
          </cell>
        </row>
        <row r="14771">
          <cell r="A14771">
            <v>9032416</v>
          </cell>
        </row>
        <row r="14772">
          <cell r="A14772">
            <v>9032417</v>
          </cell>
        </row>
        <row r="14773">
          <cell r="A14773">
            <v>9032418</v>
          </cell>
        </row>
        <row r="14774">
          <cell r="A14774">
            <v>9032419</v>
          </cell>
        </row>
        <row r="14775">
          <cell r="A14775">
            <v>9032420</v>
          </cell>
        </row>
        <row r="14776">
          <cell r="A14776">
            <v>9032421</v>
          </cell>
        </row>
        <row r="14777">
          <cell r="A14777">
            <v>9032422</v>
          </cell>
        </row>
        <row r="14778">
          <cell r="A14778">
            <v>9032423</v>
          </cell>
        </row>
        <row r="14779">
          <cell r="A14779">
            <v>9032424</v>
          </cell>
        </row>
        <row r="14780">
          <cell r="A14780">
            <v>9032425</v>
          </cell>
        </row>
        <row r="14781">
          <cell r="A14781">
            <v>9032426</v>
          </cell>
        </row>
        <row r="14782">
          <cell r="A14782">
            <v>9032427</v>
          </cell>
        </row>
        <row r="14783">
          <cell r="A14783">
            <v>9032428</v>
          </cell>
        </row>
        <row r="14784">
          <cell r="A14784">
            <v>9032429</v>
          </cell>
        </row>
        <row r="14785">
          <cell r="A14785">
            <v>9032430</v>
          </cell>
        </row>
        <row r="14786">
          <cell r="A14786">
            <v>9032431</v>
          </cell>
        </row>
        <row r="14787">
          <cell r="A14787">
            <v>9032432</v>
          </cell>
        </row>
        <row r="14788">
          <cell r="A14788">
            <v>9032433</v>
          </cell>
        </row>
        <row r="14789">
          <cell r="A14789">
            <v>9032434</v>
          </cell>
        </row>
        <row r="14790">
          <cell r="A14790">
            <v>9032435</v>
          </cell>
        </row>
        <row r="14791">
          <cell r="A14791">
            <v>9032436</v>
          </cell>
        </row>
        <row r="14792">
          <cell r="A14792">
            <v>9032437</v>
          </cell>
        </row>
        <row r="14793">
          <cell r="A14793">
            <v>9032438</v>
          </cell>
        </row>
        <row r="14794">
          <cell r="A14794">
            <v>9032439</v>
          </cell>
        </row>
        <row r="14795">
          <cell r="A14795">
            <v>9032440</v>
          </cell>
        </row>
        <row r="14796">
          <cell r="A14796">
            <v>9032442</v>
          </cell>
        </row>
        <row r="14797">
          <cell r="A14797">
            <v>9032443</v>
          </cell>
        </row>
        <row r="14798">
          <cell r="A14798">
            <v>9032501</v>
          </cell>
        </row>
        <row r="14799">
          <cell r="A14799">
            <v>9032502</v>
          </cell>
        </row>
        <row r="14800">
          <cell r="A14800">
            <v>9032503</v>
          </cell>
        </row>
        <row r="14801">
          <cell r="A14801">
            <v>9032504</v>
          </cell>
        </row>
        <row r="14802">
          <cell r="A14802">
            <v>9032505</v>
          </cell>
        </row>
        <row r="14803">
          <cell r="A14803">
            <v>9032506</v>
          </cell>
        </row>
        <row r="14804">
          <cell r="A14804">
            <v>9032507</v>
          </cell>
        </row>
        <row r="14805">
          <cell r="A14805">
            <v>9032508</v>
          </cell>
        </row>
        <row r="14806">
          <cell r="A14806">
            <v>9032509</v>
          </cell>
        </row>
        <row r="14807">
          <cell r="A14807">
            <v>9032510</v>
          </cell>
        </row>
        <row r="14808">
          <cell r="A14808">
            <v>9032511</v>
          </cell>
        </row>
        <row r="14809">
          <cell r="A14809">
            <v>9032512</v>
          </cell>
        </row>
        <row r="14810">
          <cell r="A14810">
            <v>9032513</v>
          </cell>
        </row>
        <row r="14811">
          <cell r="A14811">
            <v>9032514</v>
          </cell>
        </row>
        <row r="14812">
          <cell r="A14812">
            <v>9032515</v>
          </cell>
        </row>
        <row r="14813">
          <cell r="A14813">
            <v>9032516</v>
          </cell>
        </row>
        <row r="14814">
          <cell r="A14814">
            <v>9032517</v>
          </cell>
        </row>
        <row r="14815">
          <cell r="A14815">
            <v>9032518</v>
          </cell>
        </row>
        <row r="14816">
          <cell r="A14816">
            <v>9032519</v>
          </cell>
        </row>
        <row r="14817">
          <cell r="A14817">
            <v>9032520</v>
          </cell>
        </row>
        <row r="14818">
          <cell r="A14818">
            <v>9032521</v>
          </cell>
        </row>
        <row r="14819">
          <cell r="A14819">
            <v>9032522</v>
          </cell>
        </row>
        <row r="14820">
          <cell r="A14820">
            <v>9032523</v>
          </cell>
        </row>
        <row r="14821">
          <cell r="A14821">
            <v>9032524</v>
          </cell>
        </row>
        <row r="14822">
          <cell r="A14822">
            <v>9032525</v>
          </cell>
        </row>
        <row r="14823">
          <cell r="A14823">
            <v>9032526</v>
          </cell>
        </row>
        <row r="14824">
          <cell r="A14824">
            <v>9032527</v>
          </cell>
        </row>
        <row r="14825">
          <cell r="A14825">
            <v>9032528</v>
          </cell>
        </row>
        <row r="14826">
          <cell r="A14826">
            <v>9032529</v>
          </cell>
        </row>
        <row r="14827">
          <cell r="A14827">
            <v>9032530</v>
          </cell>
        </row>
        <row r="14828">
          <cell r="A14828">
            <v>9032531</v>
          </cell>
        </row>
        <row r="14829">
          <cell r="A14829">
            <v>9032532</v>
          </cell>
        </row>
        <row r="14830">
          <cell r="A14830">
            <v>9032533</v>
          </cell>
        </row>
        <row r="14831">
          <cell r="A14831">
            <v>9032534</v>
          </cell>
        </row>
        <row r="14832">
          <cell r="A14832">
            <v>9032535</v>
          </cell>
        </row>
        <row r="14833">
          <cell r="A14833">
            <v>9032601</v>
          </cell>
        </row>
        <row r="14834">
          <cell r="A14834">
            <v>9032602</v>
          </cell>
        </row>
        <row r="14835">
          <cell r="A14835">
            <v>9032603</v>
          </cell>
        </row>
        <row r="14836">
          <cell r="A14836">
            <v>9032604</v>
          </cell>
        </row>
        <row r="14837">
          <cell r="A14837">
            <v>9032605</v>
          </cell>
        </row>
        <row r="14838">
          <cell r="A14838">
            <v>9032606</v>
          </cell>
        </row>
        <row r="14839">
          <cell r="A14839">
            <v>9032607</v>
          </cell>
        </row>
        <row r="14840">
          <cell r="A14840">
            <v>9032608</v>
          </cell>
        </row>
        <row r="14841">
          <cell r="A14841">
            <v>9032609</v>
          </cell>
        </row>
        <row r="14842">
          <cell r="A14842">
            <v>9032610</v>
          </cell>
        </row>
        <row r="14843">
          <cell r="A14843">
            <v>9032611</v>
          </cell>
        </row>
        <row r="14844">
          <cell r="A14844">
            <v>9032612</v>
          </cell>
        </row>
        <row r="14845">
          <cell r="A14845">
            <v>9032613</v>
          </cell>
        </row>
        <row r="14846">
          <cell r="A14846">
            <v>9032614</v>
          </cell>
        </row>
        <row r="14847">
          <cell r="A14847">
            <v>9032615</v>
          </cell>
        </row>
        <row r="14848">
          <cell r="A14848">
            <v>9032616</v>
          </cell>
        </row>
        <row r="14849">
          <cell r="A14849">
            <v>9032617</v>
          </cell>
        </row>
        <row r="14850">
          <cell r="A14850">
            <v>9032618</v>
          </cell>
        </row>
        <row r="14851">
          <cell r="A14851">
            <v>9032619</v>
          </cell>
        </row>
        <row r="14852">
          <cell r="A14852">
            <v>9032620</v>
          </cell>
        </row>
        <row r="14853">
          <cell r="A14853">
            <v>9032621</v>
          </cell>
        </row>
        <row r="14854">
          <cell r="A14854">
            <v>9032622</v>
          </cell>
        </row>
        <row r="14855">
          <cell r="A14855">
            <v>9032623</v>
          </cell>
        </row>
        <row r="14856">
          <cell r="A14856">
            <v>9032624</v>
          </cell>
        </row>
        <row r="14857">
          <cell r="A14857">
            <v>9032625</v>
          </cell>
        </row>
        <row r="14858">
          <cell r="A14858">
            <v>9032626</v>
          </cell>
        </row>
        <row r="14859">
          <cell r="A14859">
            <v>9032627</v>
          </cell>
        </row>
        <row r="14860">
          <cell r="A14860">
            <v>9032628</v>
          </cell>
        </row>
        <row r="14861">
          <cell r="A14861">
            <v>9032629</v>
          </cell>
        </row>
        <row r="14862">
          <cell r="A14862">
            <v>9032630</v>
          </cell>
        </row>
        <row r="14863">
          <cell r="A14863">
            <v>9032631</v>
          </cell>
        </row>
        <row r="14864">
          <cell r="A14864">
            <v>9032632</v>
          </cell>
        </row>
        <row r="14865">
          <cell r="A14865">
            <v>9032633</v>
          </cell>
        </row>
        <row r="14866">
          <cell r="A14866">
            <v>9032634</v>
          </cell>
        </row>
        <row r="14867">
          <cell r="A14867">
            <v>9032635</v>
          </cell>
        </row>
        <row r="14868">
          <cell r="A14868">
            <v>9032636</v>
          </cell>
        </row>
        <row r="14869">
          <cell r="A14869">
            <v>9032637</v>
          </cell>
        </row>
        <row r="14870">
          <cell r="A14870">
            <v>9032638</v>
          </cell>
        </row>
        <row r="14871">
          <cell r="A14871">
            <v>9032639</v>
          </cell>
        </row>
        <row r="14872">
          <cell r="A14872">
            <v>9032640</v>
          </cell>
        </row>
        <row r="14873">
          <cell r="A14873">
            <v>9032641</v>
          </cell>
        </row>
        <row r="14874">
          <cell r="A14874">
            <v>9032702</v>
          </cell>
        </row>
        <row r="14875">
          <cell r="A14875">
            <v>9032703</v>
          </cell>
        </row>
        <row r="14876">
          <cell r="A14876">
            <v>9033001</v>
          </cell>
        </row>
        <row r="14877">
          <cell r="A14877">
            <v>9033002</v>
          </cell>
        </row>
        <row r="14878">
          <cell r="A14878">
            <v>9033003</v>
          </cell>
        </row>
        <row r="14879">
          <cell r="A14879">
            <v>9033004</v>
          </cell>
        </row>
        <row r="14880">
          <cell r="A14880">
            <v>9033005</v>
          </cell>
        </row>
        <row r="14881">
          <cell r="A14881">
            <v>9033006</v>
          </cell>
        </row>
        <row r="14882">
          <cell r="A14882">
            <v>9033007</v>
          </cell>
        </row>
        <row r="14883">
          <cell r="A14883">
            <v>9033008</v>
          </cell>
        </row>
        <row r="14884">
          <cell r="A14884">
            <v>9033009</v>
          </cell>
        </row>
        <row r="14885">
          <cell r="A14885">
            <v>9033010</v>
          </cell>
        </row>
        <row r="14886">
          <cell r="A14886">
            <v>9033011</v>
          </cell>
        </row>
        <row r="14887">
          <cell r="A14887">
            <v>9033012</v>
          </cell>
        </row>
        <row r="14888">
          <cell r="A14888">
            <v>9033013</v>
          </cell>
        </row>
        <row r="14889">
          <cell r="A14889">
            <v>9033014</v>
          </cell>
        </row>
        <row r="14890">
          <cell r="A14890">
            <v>9033018</v>
          </cell>
        </row>
        <row r="14891">
          <cell r="A14891">
            <v>9033019</v>
          </cell>
        </row>
        <row r="14892">
          <cell r="A14892">
            <v>9033020</v>
          </cell>
        </row>
        <row r="14893">
          <cell r="A14893">
            <v>9033021</v>
          </cell>
        </row>
        <row r="14894">
          <cell r="A14894">
            <v>9033025</v>
          </cell>
        </row>
        <row r="14895">
          <cell r="A14895">
            <v>9033026</v>
          </cell>
        </row>
        <row r="14896">
          <cell r="A14896">
            <v>9033027</v>
          </cell>
        </row>
        <row r="14897">
          <cell r="A14897">
            <v>9033028</v>
          </cell>
        </row>
        <row r="14898">
          <cell r="A14898">
            <v>9033029</v>
          </cell>
        </row>
        <row r="14899">
          <cell r="A14899">
            <v>9033030</v>
          </cell>
        </row>
        <row r="14900">
          <cell r="A14900">
            <v>9033031</v>
          </cell>
        </row>
        <row r="14901">
          <cell r="A14901">
            <v>9033032</v>
          </cell>
        </row>
        <row r="14902">
          <cell r="A14902">
            <v>9033033</v>
          </cell>
        </row>
        <row r="14903">
          <cell r="A14903">
            <v>9033034</v>
          </cell>
        </row>
        <row r="14904">
          <cell r="A14904">
            <v>9033035</v>
          </cell>
        </row>
        <row r="14905">
          <cell r="A14905">
            <v>9033036</v>
          </cell>
        </row>
        <row r="14906">
          <cell r="A14906">
            <v>9033037</v>
          </cell>
        </row>
        <row r="14907">
          <cell r="A14907">
            <v>9033038</v>
          </cell>
        </row>
        <row r="14908">
          <cell r="A14908">
            <v>9033039</v>
          </cell>
        </row>
        <row r="14909">
          <cell r="A14909">
            <v>9033040</v>
          </cell>
        </row>
        <row r="14910">
          <cell r="A14910">
            <v>9033041</v>
          </cell>
        </row>
        <row r="14911">
          <cell r="A14911">
            <v>9033042</v>
          </cell>
        </row>
        <row r="14912">
          <cell r="A14912">
            <v>9033101</v>
          </cell>
        </row>
        <row r="14913">
          <cell r="A14913">
            <v>9033102</v>
          </cell>
        </row>
        <row r="14914">
          <cell r="A14914">
            <v>9033103</v>
          </cell>
        </row>
        <row r="14915">
          <cell r="A14915">
            <v>9033104</v>
          </cell>
        </row>
        <row r="14916">
          <cell r="A14916">
            <v>9033105</v>
          </cell>
        </row>
        <row r="14917">
          <cell r="A14917">
            <v>9033111</v>
          </cell>
        </row>
        <row r="14918">
          <cell r="A14918">
            <v>9033112</v>
          </cell>
        </row>
        <row r="14919">
          <cell r="A14919">
            <v>9033113</v>
          </cell>
        </row>
        <row r="14920">
          <cell r="A14920">
            <v>9033114</v>
          </cell>
        </row>
        <row r="14921">
          <cell r="A14921">
            <v>9033115</v>
          </cell>
        </row>
        <row r="14922">
          <cell r="A14922">
            <v>9033116</v>
          </cell>
        </row>
        <row r="14923">
          <cell r="A14923">
            <v>9033117</v>
          </cell>
        </row>
        <row r="14924">
          <cell r="A14924">
            <v>9033118</v>
          </cell>
        </row>
        <row r="14925">
          <cell r="A14925">
            <v>9033119</v>
          </cell>
        </row>
        <row r="14926">
          <cell r="A14926">
            <v>9033120</v>
          </cell>
        </row>
        <row r="14927">
          <cell r="A14927">
            <v>9040101</v>
          </cell>
        </row>
        <row r="14928">
          <cell r="A14928">
            <v>9040102</v>
          </cell>
        </row>
        <row r="14929">
          <cell r="A14929">
            <v>9040103</v>
          </cell>
        </row>
        <row r="14930">
          <cell r="A14930">
            <v>9040104</v>
          </cell>
        </row>
        <row r="14931">
          <cell r="A14931">
            <v>9040105</v>
          </cell>
        </row>
        <row r="14932">
          <cell r="A14932">
            <v>9040106</v>
          </cell>
        </row>
        <row r="14933">
          <cell r="A14933">
            <v>9040107</v>
          </cell>
        </row>
        <row r="14934">
          <cell r="A14934">
            <v>9040108</v>
          </cell>
        </row>
        <row r="14935">
          <cell r="A14935">
            <v>9040109</v>
          </cell>
        </row>
        <row r="14936">
          <cell r="A14936">
            <v>9040110</v>
          </cell>
        </row>
        <row r="14937">
          <cell r="A14937">
            <v>9040111</v>
          </cell>
        </row>
        <row r="14938">
          <cell r="A14938">
            <v>9040112</v>
          </cell>
        </row>
        <row r="14939">
          <cell r="A14939">
            <v>9040113</v>
          </cell>
        </row>
        <row r="14940">
          <cell r="A14940">
            <v>9040114</v>
          </cell>
        </row>
        <row r="14941">
          <cell r="A14941">
            <v>9040115</v>
          </cell>
        </row>
        <row r="14942">
          <cell r="A14942">
            <v>9040116</v>
          </cell>
        </row>
        <row r="14943">
          <cell r="A14943">
            <v>9040117</v>
          </cell>
        </row>
        <row r="14944">
          <cell r="A14944">
            <v>9040118</v>
          </cell>
        </row>
        <row r="14945">
          <cell r="A14945">
            <v>9040119</v>
          </cell>
        </row>
        <row r="14946">
          <cell r="A14946">
            <v>9040120</v>
          </cell>
        </row>
        <row r="14947">
          <cell r="A14947">
            <v>9040121</v>
          </cell>
        </row>
        <row r="14948">
          <cell r="A14948">
            <v>9040122</v>
          </cell>
        </row>
        <row r="14949">
          <cell r="A14949">
            <v>9040123</v>
          </cell>
        </row>
        <row r="14950">
          <cell r="A14950">
            <v>9040124</v>
          </cell>
        </row>
        <row r="14951">
          <cell r="A14951">
            <v>9040125</v>
          </cell>
        </row>
        <row r="14952">
          <cell r="A14952">
            <v>9040126</v>
          </cell>
        </row>
        <row r="14953">
          <cell r="A14953">
            <v>9040127</v>
          </cell>
        </row>
        <row r="14954">
          <cell r="A14954">
            <v>9040128</v>
          </cell>
        </row>
        <row r="14955">
          <cell r="A14955">
            <v>9040129</v>
          </cell>
        </row>
        <row r="14956">
          <cell r="A14956">
            <v>9040130</v>
          </cell>
        </row>
        <row r="14957">
          <cell r="A14957">
            <v>9040131</v>
          </cell>
        </row>
        <row r="14958">
          <cell r="A14958">
            <v>9040132</v>
          </cell>
        </row>
        <row r="14959">
          <cell r="A14959">
            <v>9040133</v>
          </cell>
        </row>
        <row r="14960">
          <cell r="A14960">
            <v>9040134</v>
          </cell>
        </row>
        <row r="14961">
          <cell r="A14961">
            <v>9040135</v>
          </cell>
        </row>
        <row r="14962">
          <cell r="A14962">
            <v>9040201</v>
          </cell>
        </row>
        <row r="14963">
          <cell r="A14963">
            <v>9040202</v>
          </cell>
        </row>
        <row r="14964">
          <cell r="A14964">
            <v>9040203</v>
          </cell>
        </row>
        <row r="14965">
          <cell r="A14965">
            <v>9040204</v>
          </cell>
        </row>
        <row r="14966">
          <cell r="A14966">
            <v>9040205</v>
          </cell>
        </row>
        <row r="14967">
          <cell r="A14967">
            <v>9040206</v>
          </cell>
        </row>
        <row r="14968">
          <cell r="A14968">
            <v>9040207</v>
          </cell>
        </row>
        <row r="14969">
          <cell r="A14969">
            <v>9040208</v>
          </cell>
        </row>
        <row r="14970">
          <cell r="A14970">
            <v>9040209</v>
          </cell>
        </row>
        <row r="14971">
          <cell r="A14971">
            <v>9040210</v>
          </cell>
        </row>
        <row r="14972">
          <cell r="A14972">
            <v>9040211</v>
          </cell>
        </row>
        <row r="14973">
          <cell r="A14973">
            <v>9040212</v>
          </cell>
        </row>
        <row r="14974">
          <cell r="A14974">
            <v>9040213</v>
          </cell>
        </row>
        <row r="14975">
          <cell r="A14975">
            <v>9040214</v>
          </cell>
        </row>
        <row r="14976">
          <cell r="A14976">
            <v>9040215</v>
          </cell>
        </row>
        <row r="14977">
          <cell r="A14977">
            <v>9040216</v>
          </cell>
        </row>
        <row r="14978">
          <cell r="A14978">
            <v>9040217</v>
          </cell>
        </row>
        <row r="14979">
          <cell r="A14979">
            <v>9040218</v>
          </cell>
        </row>
        <row r="14980">
          <cell r="A14980">
            <v>9040219</v>
          </cell>
        </row>
        <row r="14981">
          <cell r="A14981">
            <v>9040220</v>
          </cell>
        </row>
        <row r="14982">
          <cell r="A14982">
            <v>9040221</v>
          </cell>
        </row>
        <row r="14983">
          <cell r="A14983">
            <v>9040222</v>
          </cell>
        </row>
        <row r="14984">
          <cell r="A14984">
            <v>9040223</v>
          </cell>
        </row>
        <row r="14985">
          <cell r="A14985">
            <v>9040224</v>
          </cell>
        </row>
        <row r="14986">
          <cell r="A14986">
            <v>9040236</v>
          </cell>
        </row>
        <row r="14987">
          <cell r="A14987">
            <v>9040237</v>
          </cell>
        </row>
        <row r="14988">
          <cell r="A14988">
            <v>9040238</v>
          </cell>
        </row>
        <row r="14989">
          <cell r="A14989">
            <v>9040239</v>
          </cell>
        </row>
        <row r="14990">
          <cell r="A14990">
            <v>9040240</v>
          </cell>
        </row>
        <row r="14991">
          <cell r="A14991">
            <v>9040301</v>
          </cell>
        </row>
        <row r="14992">
          <cell r="A14992">
            <v>9040302</v>
          </cell>
        </row>
        <row r="14993">
          <cell r="A14993">
            <v>9040303</v>
          </cell>
        </row>
        <row r="14994">
          <cell r="A14994">
            <v>9040304</v>
          </cell>
        </row>
        <row r="14995">
          <cell r="A14995">
            <v>9040305</v>
          </cell>
        </row>
        <row r="14996">
          <cell r="A14996">
            <v>9040306</v>
          </cell>
        </row>
        <row r="14997">
          <cell r="A14997">
            <v>9040307</v>
          </cell>
        </row>
        <row r="14998">
          <cell r="A14998">
            <v>9040308</v>
          </cell>
        </row>
        <row r="14999">
          <cell r="A14999">
            <v>9040309</v>
          </cell>
        </row>
        <row r="15000">
          <cell r="A15000">
            <v>9040310</v>
          </cell>
        </row>
        <row r="15001">
          <cell r="A15001">
            <v>9040311</v>
          </cell>
        </row>
        <row r="15002">
          <cell r="A15002">
            <v>9040312</v>
          </cell>
        </row>
        <row r="15003">
          <cell r="A15003">
            <v>9040313</v>
          </cell>
        </row>
        <row r="15004">
          <cell r="A15004">
            <v>9040314</v>
          </cell>
        </row>
        <row r="15005">
          <cell r="A15005">
            <v>9040315</v>
          </cell>
        </row>
        <row r="15006">
          <cell r="A15006">
            <v>9040316</v>
          </cell>
        </row>
        <row r="15007">
          <cell r="A15007">
            <v>9040317</v>
          </cell>
        </row>
        <row r="15008">
          <cell r="A15008">
            <v>9040318</v>
          </cell>
        </row>
        <row r="15009">
          <cell r="A15009">
            <v>9040319</v>
          </cell>
        </row>
        <row r="15010">
          <cell r="A15010">
            <v>9040320</v>
          </cell>
        </row>
        <row r="15011">
          <cell r="A15011">
            <v>9040321</v>
          </cell>
        </row>
        <row r="15012">
          <cell r="A15012">
            <v>9040322</v>
          </cell>
        </row>
        <row r="15013">
          <cell r="A15013">
            <v>9040323</v>
          </cell>
        </row>
        <row r="15014">
          <cell r="A15014">
            <v>9040324</v>
          </cell>
        </row>
        <row r="15015">
          <cell r="A15015">
            <v>9040325</v>
          </cell>
        </row>
        <row r="15016">
          <cell r="A15016">
            <v>9040326</v>
          </cell>
        </row>
        <row r="15017">
          <cell r="A15017">
            <v>9040327</v>
          </cell>
        </row>
        <row r="15018">
          <cell r="A15018">
            <v>9040328</v>
          </cell>
        </row>
        <row r="15019">
          <cell r="A15019">
            <v>9040329</v>
          </cell>
        </row>
        <row r="15020">
          <cell r="A15020">
            <v>9040330</v>
          </cell>
        </row>
        <row r="15021">
          <cell r="A15021">
            <v>9040331</v>
          </cell>
        </row>
        <row r="15022">
          <cell r="A15022">
            <v>9040337</v>
          </cell>
        </row>
        <row r="15023">
          <cell r="A15023">
            <v>9040338</v>
          </cell>
        </row>
        <row r="15024">
          <cell r="A15024">
            <v>9040339</v>
          </cell>
        </row>
        <row r="15025">
          <cell r="A15025">
            <v>9040340</v>
          </cell>
        </row>
        <row r="15026">
          <cell r="A15026">
            <v>9040341</v>
          </cell>
        </row>
        <row r="15027">
          <cell r="A15027">
            <v>9040342</v>
          </cell>
        </row>
        <row r="15028">
          <cell r="A15028">
            <v>9040343</v>
          </cell>
        </row>
        <row r="15029">
          <cell r="A15029">
            <v>9040349</v>
          </cell>
        </row>
        <row r="15030">
          <cell r="A15030">
            <v>9040350</v>
          </cell>
        </row>
        <row r="15031">
          <cell r="A15031">
            <v>9040351</v>
          </cell>
        </row>
        <row r="15032">
          <cell r="A15032">
            <v>9040353</v>
          </cell>
        </row>
        <row r="15033">
          <cell r="A15033">
            <v>9040354</v>
          </cell>
        </row>
        <row r="15034">
          <cell r="A15034">
            <v>9040401</v>
          </cell>
        </row>
        <row r="15035">
          <cell r="A15035">
            <v>9040402</v>
          </cell>
        </row>
        <row r="15036">
          <cell r="A15036">
            <v>9040403</v>
          </cell>
        </row>
        <row r="15037">
          <cell r="A15037">
            <v>9040404</v>
          </cell>
        </row>
        <row r="15038">
          <cell r="A15038">
            <v>9040405</v>
          </cell>
        </row>
        <row r="15039">
          <cell r="A15039">
            <v>9040406</v>
          </cell>
        </row>
        <row r="15040">
          <cell r="A15040">
            <v>9040407</v>
          </cell>
        </row>
        <row r="15041">
          <cell r="A15041">
            <v>9040408</v>
          </cell>
        </row>
        <row r="15042">
          <cell r="A15042">
            <v>9040409</v>
          </cell>
        </row>
        <row r="15043">
          <cell r="A15043">
            <v>9040410</v>
          </cell>
        </row>
        <row r="15044">
          <cell r="A15044">
            <v>9040411</v>
          </cell>
        </row>
        <row r="15045">
          <cell r="A15045">
            <v>9040412</v>
          </cell>
        </row>
        <row r="15046">
          <cell r="A15046">
            <v>9040413</v>
          </cell>
        </row>
        <row r="15047">
          <cell r="A15047">
            <v>9040414</v>
          </cell>
        </row>
        <row r="15048">
          <cell r="A15048">
            <v>9040415</v>
          </cell>
        </row>
        <row r="15049">
          <cell r="A15049">
            <v>9040416</v>
          </cell>
        </row>
        <row r="15050">
          <cell r="A15050">
            <v>9040417</v>
          </cell>
        </row>
        <row r="15051">
          <cell r="A15051">
            <v>9040418</v>
          </cell>
        </row>
        <row r="15052">
          <cell r="A15052">
            <v>9040419</v>
          </cell>
        </row>
        <row r="15053">
          <cell r="A15053">
            <v>9040420</v>
          </cell>
        </row>
        <row r="15054">
          <cell r="A15054">
            <v>9040421</v>
          </cell>
        </row>
        <row r="15055">
          <cell r="A15055">
            <v>9040422</v>
          </cell>
        </row>
        <row r="15056">
          <cell r="A15056">
            <v>9040426</v>
          </cell>
        </row>
        <row r="15057">
          <cell r="A15057">
            <v>9040427</v>
          </cell>
        </row>
        <row r="15058">
          <cell r="A15058">
            <v>9040428</v>
          </cell>
        </row>
        <row r="15059">
          <cell r="A15059">
            <v>9040601</v>
          </cell>
        </row>
        <row r="15060">
          <cell r="A15060">
            <v>9040602</v>
          </cell>
        </row>
        <row r="15061">
          <cell r="A15061">
            <v>9040603</v>
          </cell>
        </row>
        <row r="15062">
          <cell r="A15062">
            <v>9040604</v>
          </cell>
        </row>
        <row r="15063">
          <cell r="A15063">
            <v>9040609</v>
          </cell>
        </row>
        <row r="15064">
          <cell r="A15064">
            <v>9040610</v>
          </cell>
        </row>
        <row r="15065">
          <cell r="A15065">
            <v>9040611</v>
          </cell>
        </row>
        <row r="15066">
          <cell r="A15066">
            <v>9040612</v>
          </cell>
        </row>
        <row r="15067">
          <cell r="A15067">
            <v>9040613</v>
          </cell>
        </row>
        <row r="15068">
          <cell r="A15068">
            <v>9040614</v>
          </cell>
        </row>
        <row r="15069">
          <cell r="A15069">
            <v>9040615</v>
          </cell>
        </row>
        <row r="15070">
          <cell r="A15070">
            <v>9040616</v>
          </cell>
        </row>
        <row r="15071">
          <cell r="A15071">
            <v>9040617</v>
          </cell>
        </row>
        <row r="15072">
          <cell r="A15072">
            <v>9040618</v>
          </cell>
        </row>
        <row r="15073">
          <cell r="A15073">
            <v>9040619</v>
          </cell>
        </row>
        <row r="15074">
          <cell r="A15074">
            <v>9040620</v>
          </cell>
        </row>
        <row r="15075">
          <cell r="A15075">
            <v>9040621</v>
          </cell>
        </row>
        <row r="15076">
          <cell r="A15076">
            <v>9040622</v>
          </cell>
        </row>
        <row r="15077">
          <cell r="A15077">
            <v>9040623</v>
          </cell>
        </row>
        <row r="15078">
          <cell r="A15078">
            <v>9040624</v>
          </cell>
        </row>
        <row r="15079">
          <cell r="A15079">
            <v>9040701</v>
          </cell>
        </row>
        <row r="15080">
          <cell r="A15080">
            <v>9040702</v>
          </cell>
        </row>
        <row r="15081">
          <cell r="A15081">
            <v>9040703</v>
          </cell>
        </row>
        <row r="15082">
          <cell r="A15082">
            <v>9040704</v>
          </cell>
        </row>
        <row r="15083">
          <cell r="A15083">
            <v>9040705</v>
          </cell>
        </row>
        <row r="15084">
          <cell r="A15084">
            <v>9040706</v>
          </cell>
        </row>
        <row r="15085">
          <cell r="A15085">
            <v>9040707</v>
          </cell>
        </row>
        <row r="15086">
          <cell r="A15086">
            <v>9040708</v>
          </cell>
        </row>
        <row r="15087">
          <cell r="A15087">
            <v>9040709</v>
          </cell>
        </row>
        <row r="15088">
          <cell r="A15088">
            <v>9040710</v>
          </cell>
        </row>
        <row r="15089">
          <cell r="A15089">
            <v>9040711</v>
          </cell>
        </row>
        <row r="15090">
          <cell r="A15090">
            <v>9040712</v>
          </cell>
        </row>
        <row r="15091">
          <cell r="A15091">
            <v>9040713</v>
          </cell>
        </row>
        <row r="15092">
          <cell r="A15092">
            <v>9040714</v>
          </cell>
        </row>
        <row r="15093">
          <cell r="A15093">
            <v>9040715</v>
          </cell>
        </row>
        <row r="15094">
          <cell r="A15094">
            <v>9040716</v>
          </cell>
        </row>
        <row r="15095">
          <cell r="A15095">
            <v>9040717</v>
          </cell>
        </row>
        <row r="15096">
          <cell r="A15096">
            <v>9040718</v>
          </cell>
        </row>
        <row r="15097">
          <cell r="A15097">
            <v>9040719</v>
          </cell>
        </row>
        <row r="15098">
          <cell r="A15098">
            <v>9040720</v>
          </cell>
        </row>
        <row r="15099">
          <cell r="A15099">
            <v>9040721</v>
          </cell>
        </row>
        <row r="15100">
          <cell r="A15100">
            <v>9040722</v>
          </cell>
        </row>
        <row r="15101">
          <cell r="A15101">
            <v>9040723</v>
          </cell>
        </row>
        <row r="15102">
          <cell r="A15102">
            <v>9040724</v>
          </cell>
        </row>
        <row r="15103">
          <cell r="A15103">
            <v>9040725</v>
          </cell>
        </row>
        <row r="15104">
          <cell r="A15104">
            <v>9040726</v>
          </cell>
        </row>
        <row r="15105">
          <cell r="A15105">
            <v>9040727</v>
          </cell>
        </row>
        <row r="15106">
          <cell r="A15106">
            <v>9040728</v>
          </cell>
        </row>
        <row r="15107">
          <cell r="A15107">
            <v>9040729</v>
          </cell>
        </row>
        <row r="15108">
          <cell r="A15108">
            <v>9040730</v>
          </cell>
        </row>
        <row r="15109">
          <cell r="A15109">
            <v>9040731</v>
          </cell>
        </row>
        <row r="15110">
          <cell r="A15110">
            <v>9040732</v>
          </cell>
        </row>
        <row r="15111">
          <cell r="A15111">
            <v>9040733</v>
          </cell>
        </row>
        <row r="15112">
          <cell r="A15112">
            <v>9040734</v>
          </cell>
        </row>
        <row r="15113">
          <cell r="A15113">
            <v>9040735</v>
          </cell>
        </row>
        <row r="15114">
          <cell r="A15114">
            <v>9040736</v>
          </cell>
        </row>
        <row r="15115">
          <cell r="A15115">
            <v>9040737</v>
          </cell>
        </row>
        <row r="15116">
          <cell r="A15116">
            <v>9040738</v>
          </cell>
        </row>
        <row r="15117">
          <cell r="A15117">
            <v>9040740</v>
          </cell>
        </row>
        <row r="15118">
          <cell r="A15118">
            <v>9040741</v>
          </cell>
        </row>
        <row r="15119">
          <cell r="A15119">
            <v>9040746</v>
          </cell>
        </row>
        <row r="15120">
          <cell r="A15120">
            <v>9040747</v>
          </cell>
        </row>
        <row r="15121">
          <cell r="A15121">
            <v>9040748</v>
          </cell>
        </row>
        <row r="15122">
          <cell r="A15122">
            <v>9040749</v>
          </cell>
        </row>
        <row r="15123">
          <cell r="A15123">
            <v>9040750</v>
          </cell>
        </row>
        <row r="15124">
          <cell r="A15124">
            <v>9040751</v>
          </cell>
        </row>
        <row r="15125">
          <cell r="A15125">
            <v>9040763</v>
          </cell>
        </row>
        <row r="15126">
          <cell r="A15126">
            <v>9040764</v>
          </cell>
        </row>
        <row r="15127">
          <cell r="A15127">
            <v>9040765</v>
          </cell>
        </row>
        <row r="15128">
          <cell r="A15128">
            <v>9040801</v>
          </cell>
        </row>
        <row r="15129">
          <cell r="A15129">
            <v>9040802</v>
          </cell>
        </row>
        <row r="15130">
          <cell r="A15130">
            <v>9040803</v>
          </cell>
        </row>
        <row r="15131">
          <cell r="A15131">
            <v>9040804</v>
          </cell>
        </row>
        <row r="15132">
          <cell r="A15132">
            <v>9040805</v>
          </cell>
        </row>
        <row r="15133">
          <cell r="A15133">
            <v>9040806</v>
          </cell>
        </row>
        <row r="15134">
          <cell r="A15134">
            <v>9040807</v>
          </cell>
        </row>
        <row r="15135">
          <cell r="A15135">
            <v>9040808</v>
          </cell>
        </row>
        <row r="15136">
          <cell r="A15136">
            <v>9040809</v>
          </cell>
        </row>
        <row r="15137">
          <cell r="A15137">
            <v>9040810</v>
          </cell>
        </row>
        <row r="15138">
          <cell r="A15138">
            <v>9040811</v>
          </cell>
        </row>
        <row r="15139">
          <cell r="A15139">
            <v>9040812</v>
          </cell>
        </row>
        <row r="15140">
          <cell r="A15140">
            <v>9040813</v>
          </cell>
        </row>
        <row r="15141">
          <cell r="A15141">
            <v>9040814</v>
          </cell>
        </row>
        <row r="15142">
          <cell r="A15142">
            <v>9040815</v>
          </cell>
        </row>
        <row r="15143">
          <cell r="A15143">
            <v>9040816</v>
          </cell>
        </row>
        <row r="15144">
          <cell r="A15144">
            <v>9040817</v>
          </cell>
        </row>
        <row r="15145">
          <cell r="A15145">
            <v>9040818</v>
          </cell>
        </row>
        <row r="15146">
          <cell r="A15146">
            <v>9040819</v>
          </cell>
        </row>
        <row r="15147">
          <cell r="A15147">
            <v>9040820</v>
          </cell>
        </row>
        <row r="15148">
          <cell r="A15148">
            <v>9040825</v>
          </cell>
        </row>
        <row r="15149">
          <cell r="A15149">
            <v>9040826</v>
          </cell>
        </row>
        <row r="15150">
          <cell r="A15150">
            <v>9040827</v>
          </cell>
        </row>
        <row r="15151">
          <cell r="A15151">
            <v>9040828</v>
          </cell>
        </row>
        <row r="15152">
          <cell r="A15152">
            <v>9040829</v>
          </cell>
        </row>
        <row r="15153">
          <cell r="A15153">
            <v>9040830</v>
          </cell>
        </row>
        <row r="15154">
          <cell r="A15154">
            <v>9040831</v>
          </cell>
        </row>
        <row r="15155">
          <cell r="A15155">
            <v>9040832</v>
          </cell>
        </row>
        <row r="15156">
          <cell r="A15156">
            <v>9040833</v>
          </cell>
        </row>
        <row r="15157">
          <cell r="A15157">
            <v>9040834</v>
          </cell>
        </row>
        <row r="15158">
          <cell r="A15158">
            <v>9040835</v>
          </cell>
        </row>
        <row r="15159">
          <cell r="A15159">
            <v>9040836</v>
          </cell>
        </row>
        <row r="15160">
          <cell r="A15160">
            <v>9040837</v>
          </cell>
        </row>
        <row r="15161">
          <cell r="A15161">
            <v>9040838</v>
          </cell>
        </row>
        <row r="15162">
          <cell r="A15162">
            <v>9040839</v>
          </cell>
        </row>
        <row r="15163">
          <cell r="A15163">
            <v>9040840</v>
          </cell>
        </row>
        <row r="15164">
          <cell r="A15164">
            <v>9040841</v>
          </cell>
        </row>
        <row r="15165">
          <cell r="A15165">
            <v>9040842</v>
          </cell>
        </row>
        <row r="15166">
          <cell r="A15166">
            <v>9040843</v>
          </cell>
        </row>
        <row r="15167">
          <cell r="A15167">
            <v>9040844</v>
          </cell>
        </row>
        <row r="15168">
          <cell r="A15168">
            <v>9040901</v>
          </cell>
        </row>
        <row r="15169">
          <cell r="A15169">
            <v>9040902</v>
          </cell>
        </row>
        <row r="15170">
          <cell r="A15170">
            <v>9040903</v>
          </cell>
        </row>
        <row r="15171">
          <cell r="A15171">
            <v>9040904</v>
          </cell>
        </row>
        <row r="15172">
          <cell r="A15172">
            <v>9040905</v>
          </cell>
        </row>
        <row r="15173">
          <cell r="A15173">
            <v>9040906</v>
          </cell>
        </row>
        <row r="15174">
          <cell r="A15174">
            <v>9040907</v>
          </cell>
        </row>
        <row r="15175">
          <cell r="A15175">
            <v>9040908</v>
          </cell>
        </row>
        <row r="15176">
          <cell r="A15176">
            <v>9040909</v>
          </cell>
        </row>
        <row r="15177">
          <cell r="A15177">
            <v>9040910</v>
          </cell>
        </row>
        <row r="15178">
          <cell r="A15178">
            <v>9040911</v>
          </cell>
        </row>
        <row r="15179">
          <cell r="A15179">
            <v>9040912</v>
          </cell>
        </row>
        <row r="15180">
          <cell r="A15180">
            <v>9040913</v>
          </cell>
        </row>
        <row r="15181">
          <cell r="A15181">
            <v>9040914</v>
          </cell>
        </row>
        <row r="15182">
          <cell r="A15182">
            <v>9040915</v>
          </cell>
        </row>
        <row r="15183">
          <cell r="A15183">
            <v>9040916</v>
          </cell>
        </row>
        <row r="15184">
          <cell r="A15184">
            <v>9040917</v>
          </cell>
        </row>
        <row r="15185">
          <cell r="A15185">
            <v>9040918</v>
          </cell>
        </row>
        <row r="15186">
          <cell r="A15186">
            <v>9040919</v>
          </cell>
        </row>
        <row r="15187">
          <cell r="A15187">
            <v>9040920</v>
          </cell>
        </row>
        <row r="15188">
          <cell r="A15188">
            <v>9040921</v>
          </cell>
        </row>
        <row r="15189">
          <cell r="A15189">
            <v>9040922</v>
          </cell>
        </row>
        <row r="15190">
          <cell r="A15190">
            <v>9040923</v>
          </cell>
        </row>
        <row r="15191">
          <cell r="A15191">
            <v>9040924</v>
          </cell>
        </row>
        <row r="15192">
          <cell r="A15192">
            <v>9040925</v>
          </cell>
        </row>
        <row r="15193">
          <cell r="A15193">
            <v>9040926</v>
          </cell>
        </row>
        <row r="15194">
          <cell r="A15194">
            <v>9040927</v>
          </cell>
        </row>
        <row r="15195">
          <cell r="A15195">
            <v>9040928</v>
          </cell>
        </row>
        <row r="15196">
          <cell r="A15196">
            <v>9040929</v>
          </cell>
        </row>
        <row r="15197">
          <cell r="A15197">
            <v>9040930</v>
          </cell>
        </row>
        <row r="15198">
          <cell r="A15198">
            <v>9040931</v>
          </cell>
        </row>
        <row r="15199">
          <cell r="A15199">
            <v>9040932</v>
          </cell>
        </row>
        <row r="15200">
          <cell r="A15200">
            <v>9040933</v>
          </cell>
        </row>
        <row r="15201">
          <cell r="A15201">
            <v>9040934</v>
          </cell>
        </row>
        <row r="15202">
          <cell r="A15202">
            <v>9040935</v>
          </cell>
        </row>
        <row r="15203">
          <cell r="A15203">
            <v>9040936</v>
          </cell>
        </row>
        <row r="15204">
          <cell r="A15204">
            <v>9040937</v>
          </cell>
        </row>
        <row r="15205">
          <cell r="A15205">
            <v>9040938</v>
          </cell>
        </row>
        <row r="15206">
          <cell r="A15206">
            <v>9040939</v>
          </cell>
        </row>
        <row r="15207">
          <cell r="A15207">
            <v>9040940</v>
          </cell>
        </row>
        <row r="15208">
          <cell r="A15208">
            <v>9040941</v>
          </cell>
        </row>
        <row r="15209">
          <cell r="A15209">
            <v>9040942</v>
          </cell>
        </row>
        <row r="15210">
          <cell r="A15210">
            <v>9040943</v>
          </cell>
        </row>
        <row r="15211">
          <cell r="A15211">
            <v>9040944</v>
          </cell>
        </row>
        <row r="15212">
          <cell r="A15212">
            <v>9040945</v>
          </cell>
        </row>
        <row r="15213">
          <cell r="A15213">
            <v>9040946</v>
          </cell>
        </row>
        <row r="15214">
          <cell r="A15214">
            <v>9040947</v>
          </cell>
        </row>
        <row r="15215">
          <cell r="A15215">
            <v>9040948</v>
          </cell>
        </row>
        <row r="15216">
          <cell r="A15216">
            <v>9040949</v>
          </cell>
        </row>
        <row r="15217">
          <cell r="A15217">
            <v>9040950</v>
          </cell>
        </row>
        <row r="15218">
          <cell r="A15218">
            <v>9041001</v>
          </cell>
        </row>
        <row r="15219">
          <cell r="A15219">
            <v>9041002</v>
          </cell>
        </row>
        <row r="15220">
          <cell r="A15220">
            <v>9041003</v>
          </cell>
        </row>
        <row r="15221">
          <cell r="A15221">
            <v>9041004</v>
          </cell>
        </row>
        <row r="15222">
          <cell r="A15222">
            <v>9041005</v>
          </cell>
        </row>
        <row r="15223">
          <cell r="A15223">
            <v>9041006</v>
          </cell>
        </row>
        <row r="15224">
          <cell r="A15224">
            <v>9041007</v>
          </cell>
        </row>
        <row r="15225">
          <cell r="A15225">
            <v>9041008</v>
          </cell>
        </row>
        <row r="15226">
          <cell r="A15226">
            <v>9041009</v>
          </cell>
        </row>
        <row r="15227">
          <cell r="A15227">
            <v>9041010</v>
          </cell>
        </row>
        <row r="15228">
          <cell r="A15228">
            <v>9041011</v>
          </cell>
        </row>
        <row r="15229">
          <cell r="A15229">
            <v>9041012</v>
          </cell>
        </row>
        <row r="15230">
          <cell r="A15230">
            <v>9041013</v>
          </cell>
        </row>
        <row r="15231">
          <cell r="A15231">
            <v>9041014</v>
          </cell>
        </row>
        <row r="15232">
          <cell r="A15232">
            <v>9041015</v>
          </cell>
        </row>
        <row r="15233">
          <cell r="A15233">
            <v>9041016</v>
          </cell>
        </row>
        <row r="15234">
          <cell r="A15234">
            <v>9041018</v>
          </cell>
        </row>
        <row r="15235">
          <cell r="A15235">
            <v>9041019</v>
          </cell>
        </row>
        <row r="15236">
          <cell r="A15236">
            <v>9041020</v>
          </cell>
        </row>
        <row r="15237">
          <cell r="A15237">
            <v>9041021</v>
          </cell>
        </row>
        <row r="15238">
          <cell r="A15238">
            <v>9041025</v>
          </cell>
        </row>
        <row r="15239">
          <cell r="A15239">
            <v>9041026</v>
          </cell>
        </row>
        <row r="15240">
          <cell r="A15240">
            <v>9041027</v>
          </cell>
        </row>
        <row r="15241">
          <cell r="A15241">
            <v>9041028</v>
          </cell>
        </row>
        <row r="15242">
          <cell r="A15242">
            <v>9041029</v>
          </cell>
        </row>
        <row r="15243">
          <cell r="A15243">
            <v>9041030</v>
          </cell>
        </row>
        <row r="15244">
          <cell r="A15244">
            <v>9041031</v>
          </cell>
        </row>
        <row r="15245">
          <cell r="A15245">
            <v>9041032</v>
          </cell>
        </row>
        <row r="15246">
          <cell r="A15246">
            <v>9041033</v>
          </cell>
        </row>
        <row r="15247">
          <cell r="A15247">
            <v>9041034</v>
          </cell>
        </row>
        <row r="15248">
          <cell r="A15248">
            <v>9042001</v>
          </cell>
        </row>
        <row r="15249">
          <cell r="A15249">
            <v>9042002</v>
          </cell>
        </row>
        <row r="15250">
          <cell r="A15250">
            <v>9042003</v>
          </cell>
        </row>
        <row r="15251">
          <cell r="A15251">
            <v>9042004</v>
          </cell>
        </row>
        <row r="15252">
          <cell r="A15252">
            <v>9042005</v>
          </cell>
        </row>
        <row r="15253">
          <cell r="A15253">
            <v>9042006</v>
          </cell>
        </row>
        <row r="15254">
          <cell r="A15254">
            <v>9042007</v>
          </cell>
        </row>
        <row r="15255">
          <cell r="A15255">
            <v>9042008</v>
          </cell>
        </row>
        <row r="15256">
          <cell r="A15256">
            <v>9042009</v>
          </cell>
        </row>
        <row r="15257">
          <cell r="A15257">
            <v>9042010</v>
          </cell>
        </row>
        <row r="15258">
          <cell r="A15258">
            <v>9042011</v>
          </cell>
        </row>
        <row r="15259">
          <cell r="A15259">
            <v>9042012</v>
          </cell>
        </row>
        <row r="15260">
          <cell r="A15260">
            <v>9042013</v>
          </cell>
        </row>
        <row r="15261">
          <cell r="A15261">
            <v>9042014</v>
          </cell>
        </row>
        <row r="15262">
          <cell r="A15262">
            <v>9042018</v>
          </cell>
        </row>
        <row r="15263">
          <cell r="A15263">
            <v>9042019</v>
          </cell>
        </row>
        <row r="15264">
          <cell r="A15264">
            <v>9042020</v>
          </cell>
        </row>
        <row r="15265">
          <cell r="A15265">
            <v>9042021</v>
          </cell>
        </row>
        <row r="15266">
          <cell r="A15266">
            <v>9042022</v>
          </cell>
        </row>
        <row r="15267">
          <cell r="A15267">
            <v>9042023</v>
          </cell>
        </row>
        <row r="15268">
          <cell r="A15268">
            <v>9042024</v>
          </cell>
        </row>
        <row r="15269">
          <cell r="A15269">
            <v>9042025</v>
          </cell>
        </row>
        <row r="15270">
          <cell r="A15270">
            <v>9042026</v>
          </cell>
        </row>
        <row r="15271">
          <cell r="A15271">
            <v>9042027</v>
          </cell>
        </row>
        <row r="15272">
          <cell r="A15272">
            <v>9042028</v>
          </cell>
        </row>
        <row r="15273">
          <cell r="A15273">
            <v>9042029</v>
          </cell>
        </row>
        <row r="15274">
          <cell r="A15274">
            <v>9042030</v>
          </cell>
        </row>
        <row r="15275">
          <cell r="A15275">
            <v>9042031</v>
          </cell>
        </row>
        <row r="15276">
          <cell r="A15276">
            <v>9042032</v>
          </cell>
        </row>
        <row r="15277">
          <cell r="A15277">
            <v>9042033</v>
          </cell>
        </row>
        <row r="15278">
          <cell r="A15278">
            <v>9042034</v>
          </cell>
        </row>
        <row r="15279">
          <cell r="A15279">
            <v>9042035</v>
          </cell>
        </row>
        <row r="15280">
          <cell r="A15280">
            <v>9042036</v>
          </cell>
        </row>
        <row r="15281">
          <cell r="A15281">
            <v>9042037</v>
          </cell>
        </row>
        <row r="15282">
          <cell r="A15282">
            <v>9042038</v>
          </cell>
        </row>
        <row r="15283">
          <cell r="A15283">
            <v>9042039</v>
          </cell>
        </row>
        <row r="15284">
          <cell r="A15284">
            <v>9042040</v>
          </cell>
        </row>
        <row r="15285">
          <cell r="A15285">
            <v>9042041</v>
          </cell>
        </row>
        <row r="15286">
          <cell r="A15286">
            <v>9042042</v>
          </cell>
        </row>
        <row r="15287">
          <cell r="A15287">
            <v>9042043</v>
          </cell>
        </row>
        <row r="15288">
          <cell r="A15288">
            <v>9042044</v>
          </cell>
        </row>
        <row r="15289">
          <cell r="A15289">
            <v>9042045</v>
          </cell>
        </row>
        <row r="15290">
          <cell r="A15290">
            <v>9042046</v>
          </cell>
        </row>
        <row r="15291">
          <cell r="A15291">
            <v>9042047</v>
          </cell>
        </row>
        <row r="15292">
          <cell r="A15292">
            <v>9042101</v>
          </cell>
        </row>
        <row r="15293">
          <cell r="A15293">
            <v>9042102</v>
          </cell>
        </row>
        <row r="15294">
          <cell r="A15294">
            <v>9042103</v>
          </cell>
        </row>
        <row r="15295">
          <cell r="A15295">
            <v>9042104</v>
          </cell>
        </row>
        <row r="15296">
          <cell r="A15296">
            <v>9042105</v>
          </cell>
        </row>
        <row r="15297">
          <cell r="A15297">
            <v>9042107</v>
          </cell>
        </row>
        <row r="15298">
          <cell r="A15298">
            <v>9042108</v>
          </cell>
        </row>
        <row r="15299">
          <cell r="A15299">
            <v>9042109</v>
          </cell>
        </row>
        <row r="15300">
          <cell r="A15300">
            <v>9042110</v>
          </cell>
        </row>
        <row r="15301">
          <cell r="A15301">
            <v>9042111</v>
          </cell>
        </row>
        <row r="15302">
          <cell r="A15302">
            <v>9042112</v>
          </cell>
        </row>
        <row r="15303">
          <cell r="A15303">
            <v>9042113</v>
          </cell>
        </row>
        <row r="15304">
          <cell r="A15304">
            <v>9042114</v>
          </cell>
        </row>
        <row r="15305">
          <cell r="A15305">
            <v>9042115</v>
          </cell>
        </row>
        <row r="15306">
          <cell r="A15306">
            <v>9042116</v>
          </cell>
        </row>
        <row r="15307">
          <cell r="A15307">
            <v>9042117</v>
          </cell>
        </row>
        <row r="15308">
          <cell r="A15308">
            <v>9042118</v>
          </cell>
        </row>
        <row r="15309">
          <cell r="A15309">
            <v>9042119</v>
          </cell>
        </row>
        <row r="15310">
          <cell r="A15310">
            <v>9042120</v>
          </cell>
        </row>
        <row r="15311">
          <cell r="A15311">
            <v>9042121</v>
          </cell>
        </row>
        <row r="15312">
          <cell r="A15312">
            <v>9042122</v>
          </cell>
        </row>
        <row r="15313">
          <cell r="A15313">
            <v>9042123</v>
          </cell>
        </row>
        <row r="15314">
          <cell r="A15314">
            <v>9042124</v>
          </cell>
        </row>
        <row r="15315">
          <cell r="A15315">
            <v>9042125</v>
          </cell>
        </row>
        <row r="15316">
          <cell r="A15316">
            <v>9042126</v>
          </cell>
        </row>
        <row r="15317">
          <cell r="A15317">
            <v>9042127</v>
          </cell>
        </row>
        <row r="15318">
          <cell r="A15318">
            <v>9042128</v>
          </cell>
        </row>
        <row r="15319">
          <cell r="A15319">
            <v>9042129</v>
          </cell>
        </row>
        <row r="15320">
          <cell r="A15320">
            <v>9042130</v>
          </cell>
        </row>
        <row r="15321">
          <cell r="A15321">
            <v>9042131</v>
          </cell>
        </row>
        <row r="15322">
          <cell r="A15322">
            <v>9042132</v>
          </cell>
        </row>
        <row r="15323">
          <cell r="A15323">
            <v>9042133</v>
          </cell>
        </row>
        <row r="15324">
          <cell r="A15324">
            <v>9042134</v>
          </cell>
        </row>
        <row r="15325">
          <cell r="A15325">
            <v>9042135</v>
          </cell>
        </row>
        <row r="15326">
          <cell r="A15326">
            <v>9042136</v>
          </cell>
        </row>
        <row r="15327">
          <cell r="A15327">
            <v>9042137</v>
          </cell>
        </row>
        <row r="15328">
          <cell r="A15328">
            <v>9042138</v>
          </cell>
        </row>
        <row r="15329">
          <cell r="A15329">
            <v>9042139</v>
          </cell>
        </row>
        <row r="15330">
          <cell r="A15330">
            <v>9042140</v>
          </cell>
        </row>
        <row r="15331">
          <cell r="A15331">
            <v>9042141</v>
          </cell>
        </row>
        <row r="15332">
          <cell r="A15332">
            <v>9042142</v>
          </cell>
        </row>
        <row r="15333">
          <cell r="A15333">
            <v>9042201</v>
          </cell>
        </row>
        <row r="15334">
          <cell r="A15334">
            <v>9042202</v>
          </cell>
        </row>
        <row r="15335">
          <cell r="A15335">
            <v>9042203</v>
          </cell>
        </row>
        <row r="15336">
          <cell r="A15336">
            <v>9042204</v>
          </cell>
        </row>
        <row r="15337">
          <cell r="A15337">
            <v>9042205</v>
          </cell>
        </row>
        <row r="15338">
          <cell r="A15338">
            <v>9042206</v>
          </cell>
        </row>
        <row r="15339">
          <cell r="A15339">
            <v>9042207</v>
          </cell>
        </row>
        <row r="15340">
          <cell r="A15340">
            <v>9042208</v>
          </cell>
        </row>
        <row r="15341">
          <cell r="A15341">
            <v>9042209</v>
          </cell>
        </row>
        <row r="15342">
          <cell r="A15342">
            <v>9042210</v>
          </cell>
        </row>
        <row r="15343">
          <cell r="A15343">
            <v>9042211</v>
          </cell>
        </row>
        <row r="15344">
          <cell r="A15344">
            <v>9042212</v>
          </cell>
        </row>
        <row r="15345">
          <cell r="A15345">
            <v>9042213</v>
          </cell>
        </row>
        <row r="15346">
          <cell r="A15346">
            <v>9042214</v>
          </cell>
        </row>
        <row r="15347">
          <cell r="A15347">
            <v>9042215</v>
          </cell>
        </row>
        <row r="15348">
          <cell r="A15348">
            <v>9042216</v>
          </cell>
        </row>
        <row r="15349">
          <cell r="A15349">
            <v>9042217</v>
          </cell>
        </row>
        <row r="15350">
          <cell r="A15350">
            <v>9042218</v>
          </cell>
        </row>
        <row r="15351">
          <cell r="A15351">
            <v>9042219</v>
          </cell>
        </row>
        <row r="15352">
          <cell r="A15352">
            <v>9042220</v>
          </cell>
        </row>
        <row r="15353">
          <cell r="A15353">
            <v>9042221</v>
          </cell>
        </row>
        <row r="15354">
          <cell r="A15354">
            <v>9042222</v>
          </cell>
        </row>
        <row r="15355">
          <cell r="A15355">
            <v>9042223</v>
          </cell>
        </row>
        <row r="15356">
          <cell r="A15356">
            <v>9042224</v>
          </cell>
        </row>
        <row r="15357">
          <cell r="A15357">
            <v>9042225</v>
          </cell>
        </row>
        <row r="15358">
          <cell r="A15358">
            <v>9042226</v>
          </cell>
        </row>
        <row r="15359">
          <cell r="A15359">
            <v>9042227</v>
          </cell>
        </row>
        <row r="15360">
          <cell r="A15360">
            <v>9042228</v>
          </cell>
        </row>
        <row r="15361">
          <cell r="A15361">
            <v>9042232</v>
          </cell>
        </row>
        <row r="15362">
          <cell r="A15362">
            <v>9042233</v>
          </cell>
        </row>
        <row r="15363">
          <cell r="A15363">
            <v>9042301</v>
          </cell>
        </row>
        <row r="15364">
          <cell r="A15364">
            <v>9042302</v>
          </cell>
        </row>
        <row r="15365">
          <cell r="A15365">
            <v>9042303</v>
          </cell>
        </row>
        <row r="15366">
          <cell r="A15366">
            <v>9042304</v>
          </cell>
        </row>
        <row r="15367">
          <cell r="A15367">
            <v>9042305</v>
          </cell>
        </row>
        <row r="15368">
          <cell r="A15368">
            <v>9042306</v>
          </cell>
        </row>
        <row r="15369">
          <cell r="A15369">
            <v>9042307</v>
          </cell>
        </row>
        <row r="15370">
          <cell r="A15370">
            <v>9042308</v>
          </cell>
        </row>
        <row r="15371">
          <cell r="A15371">
            <v>9042309</v>
          </cell>
        </row>
        <row r="15372">
          <cell r="A15372">
            <v>9042310</v>
          </cell>
        </row>
        <row r="15373">
          <cell r="A15373">
            <v>9042311</v>
          </cell>
        </row>
        <row r="15374">
          <cell r="A15374">
            <v>9042312</v>
          </cell>
        </row>
        <row r="15375">
          <cell r="A15375">
            <v>9042313</v>
          </cell>
        </row>
        <row r="15376">
          <cell r="A15376">
            <v>9042314</v>
          </cell>
        </row>
        <row r="15377">
          <cell r="A15377">
            <v>9042315</v>
          </cell>
        </row>
        <row r="15378">
          <cell r="A15378">
            <v>9042316</v>
          </cell>
        </row>
        <row r="15379">
          <cell r="A15379">
            <v>9042317</v>
          </cell>
        </row>
        <row r="15380">
          <cell r="A15380">
            <v>9042318</v>
          </cell>
        </row>
        <row r="15381">
          <cell r="A15381">
            <v>9042319</v>
          </cell>
        </row>
        <row r="15382">
          <cell r="A15382">
            <v>9042320</v>
          </cell>
        </row>
        <row r="15383">
          <cell r="A15383">
            <v>9042321</v>
          </cell>
        </row>
        <row r="15384">
          <cell r="A15384">
            <v>9042322</v>
          </cell>
        </row>
        <row r="15385">
          <cell r="A15385">
            <v>9042323</v>
          </cell>
        </row>
        <row r="15386">
          <cell r="A15386">
            <v>9042324</v>
          </cell>
        </row>
        <row r="15387">
          <cell r="A15387">
            <v>9042325</v>
          </cell>
        </row>
        <row r="15388">
          <cell r="A15388">
            <v>9042326</v>
          </cell>
        </row>
        <row r="15389">
          <cell r="A15389">
            <v>9042327</v>
          </cell>
        </row>
        <row r="15390">
          <cell r="A15390">
            <v>9042328</v>
          </cell>
        </row>
        <row r="15391">
          <cell r="A15391">
            <v>9042329</v>
          </cell>
        </row>
        <row r="15392">
          <cell r="A15392">
            <v>9042330</v>
          </cell>
        </row>
        <row r="15393">
          <cell r="A15393">
            <v>9042331</v>
          </cell>
        </row>
        <row r="15394">
          <cell r="A15394">
            <v>9042332</v>
          </cell>
        </row>
        <row r="15395">
          <cell r="A15395">
            <v>9042333</v>
          </cell>
        </row>
        <row r="15396">
          <cell r="A15396">
            <v>9042334</v>
          </cell>
        </row>
        <row r="15397">
          <cell r="A15397">
            <v>9042335</v>
          </cell>
        </row>
        <row r="15398">
          <cell r="A15398">
            <v>9042336</v>
          </cell>
        </row>
        <row r="15399">
          <cell r="A15399">
            <v>9042337</v>
          </cell>
        </row>
        <row r="15400">
          <cell r="A15400">
            <v>9042338</v>
          </cell>
        </row>
        <row r="15401">
          <cell r="A15401">
            <v>9042340</v>
          </cell>
        </row>
        <row r="15402">
          <cell r="A15402">
            <v>9042401</v>
          </cell>
        </row>
        <row r="15403">
          <cell r="A15403">
            <v>9042402</v>
          </cell>
        </row>
        <row r="15404">
          <cell r="A15404">
            <v>9042403</v>
          </cell>
        </row>
        <row r="15405">
          <cell r="A15405">
            <v>9042404</v>
          </cell>
        </row>
        <row r="15406">
          <cell r="A15406">
            <v>9042405</v>
          </cell>
        </row>
        <row r="15407">
          <cell r="A15407">
            <v>9042406</v>
          </cell>
        </row>
        <row r="15408">
          <cell r="A15408">
            <v>9042407</v>
          </cell>
        </row>
        <row r="15409">
          <cell r="A15409">
            <v>9042408</v>
          </cell>
        </row>
        <row r="15410">
          <cell r="A15410">
            <v>9042409</v>
          </cell>
        </row>
        <row r="15411">
          <cell r="A15411">
            <v>9042410</v>
          </cell>
        </row>
        <row r="15412">
          <cell r="A15412">
            <v>9042411</v>
          </cell>
        </row>
        <row r="15413">
          <cell r="A15413">
            <v>9042412</v>
          </cell>
        </row>
        <row r="15414">
          <cell r="A15414">
            <v>9042413</v>
          </cell>
        </row>
        <row r="15415">
          <cell r="A15415">
            <v>9042414</v>
          </cell>
        </row>
        <row r="15416">
          <cell r="A15416">
            <v>9042415</v>
          </cell>
        </row>
        <row r="15417">
          <cell r="A15417">
            <v>9042416</v>
          </cell>
        </row>
        <row r="15418">
          <cell r="A15418">
            <v>9042417</v>
          </cell>
        </row>
        <row r="15419">
          <cell r="A15419">
            <v>9042418</v>
          </cell>
        </row>
        <row r="15420">
          <cell r="A15420">
            <v>9042419</v>
          </cell>
        </row>
        <row r="15421">
          <cell r="A15421">
            <v>9042420</v>
          </cell>
        </row>
        <row r="15422">
          <cell r="A15422">
            <v>9042421</v>
          </cell>
        </row>
        <row r="15423">
          <cell r="A15423">
            <v>9042422</v>
          </cell>
        </row>
        <row r="15424">
          <cell r="A15424">
            <v>9042423</v>
          </cell>
        </row>
        <row r="15425">
          <cell r="A15425">
            <v>9042424</v>
          </cell>
        </row>
        <row r="15426">
          <cell r="A15426">
            <v>9042425</v>
          </cell>
        </row>
        <row r="15427">
          <cell r="A15427">
            <v>9042426</v>
          </cell>
        </row>
        <row r="15428">
          <cell r="A15428">
            <v>9042427</v>
          </cell>
        </row>
        <row r="15429">
          <cell r="A15429">
            <v>9042428</v>
          </cell>
        </row>
        <row r="15430">
          <cell r="A15430">
            <v>9042429</v>
          </cell>
        </row>
        <row r="15431">
          <cell r="A15431">
            <v>9042430</v>
          </cell>
        </row>
        <row r="15432">
          <cell r="A15432">
            <v>9042431</v>
          </cell>
        </row>
        <row r="15433">
          <cell r="A15433">
            <v>9042432</v>
          </cell>
        </row>
        <row r="15434">
          <cell r="A15434">
            <v>9042433</v>
          </cell>
        </row>
        <row r="15435">
          <cell r="A15435">
            <v>9042434</v>
          </cell>
        </row>
        <row r="15436">
          <cell r="A15436">
            <v>9042435</v>
          </cell>
        </row>
        <row r="15437">
          <cell r="A15437">
            <v>9042436</v>
          </cell>
        </row>
        <row r="15438">
          <cell r="A15438">
            <v>9042437</v>
          </cell>
        </row>
        <row r="15439">
          <cell r="A15439">
            <v>9042438</v>
          </cell>
        </row>
        <row r="15440">
          <cell r="A15440">
            <v>9042439</v>
          </cell>
        </row>
        <row r="15441">
          <cell r="A15441">
            <v>9042440</v>
          </cell>
        </row>
        <row r="15442">
          <cell r="A15442">
            <v>9042441</v>
          </cell>
        </row>
        <row r="15443">
          <cell r="A15443">
            <v>9042701</v>
          </cell>
        </row>
        <row r="15444">
          <cell r="A15444">
            <v>9042702</v>
          </cell>
        </row>
        <row r="15445">
          <cell r="A15445">
            <v>9042703</v>
          </cell>
        </row>
        <row r="15446">
          <cell r="A15446">
            <v>9042704</v>
          </cell>
        </row>
        <row r="15447">
          <cell r="A15447">
            <v>9042705</v>
          </cell>
        </row>
        <row r="15448">
          <cell r="A15448">
            <v>9042706</v>
          </cell>
        </row>
        <row r="15449">
          <cell r="A15449">
            <v>9042707</v>
          </cell>
        </row>
        <row r="15450">
          <cell r="A15450">
            <v>9042708</v>
          </cell>
        </row>
        <row r="15451">
          <cell r="A15451">
            <v>9042709</v>
          </cell>
        </row>
        <row r="15452">
          <cell r="A15452">
            <v>9042710</v>
          </cell>
        </row>
        <row r="15453">
          <cell r="A15453">
            <v>9042711</v>
          </cell>
        </row>
        <row r="15454">
          <cell r="A15454">
            <v>9042712</v>
          </cell>
        </row>
        <row r="15455">
          <cell r="A15455">
            <v>9042713</v>
          </cell>
        </row>
        <row r="15456">
          <cell r="A15456">
            <v>9042714</v>
          </cell>
        </row>
        <row r="15457">
          <cell r="A15457">
            <v>9042715</v>
          </cell>
        </row>
        <row r="15458">
          <cell r="A15458">
            <v>9042716</v>
          </cell>
        </row>
        <row r="15459">
          <cell r="A15459">
            <v>9042717</v>
          </cell>
        </row>
        <row r="15460">
          <cell r="A15460">
            <v>9042718</v>
          </cell>
        </row>
        <row r="15461">
          <cell r="A15461">
            <v>9042721</v>
          </cell>
        </row>
        <row r="15462">
          <cell r="A15462">
            <v>9042725</v>
          </cell>
        </row>
        <row r="15463">
          <cell r="A15463">
            <v>9042726</v>
          </cell>
        </row>
        <row r="15464">
          <cell r="A15464">
            <v>9042727</v>
          </cell>
        </row>
        <row r="15465">
          <cell r="A15465">
            <v>9042728</v>
          </cell>
        </row>
        <row r="15466">
          <cell r="A15466">
            <v>9042729</v>
          </cell>
        </row>
        <row r="15467">
          <cell r="A15467">
            <v>9042730</v>
          </cell>
        </row>
        <row r="15468">
          <cell r="A15468">
            <v>9042731</v>
          </cell>
        </row>
        <row r="15469">
          <cell r="A15469">
            <v>9042732</v>
          </cell>
        </row>
        <row r="15470">
          <cell r="A15470">
            <v>9042733</v>
          </cell>
        </row>
        <row r="15471">
          <cell r="A15471">
            <v>9042734</v>
          </cell>
        </row>
        <row r="15472">
          <cell r="A15472">
            <v>9042735</v>
          </cell>
        </row>
        <row r="15473">
          <cell r="A15473">
            <v>9042736</v>
          </cell>
        </row>
        <row r="15474">
          <cell r="A15474">
            <v>9042737</v>
          </cell>
        </row>
        <row r="15475">
          <cell r="A15475">
            <v>9042738</v>
          </cell>
        </row>
        <row r="15476">
          <cell r="A15476">
            <v>9042739</v>
          </cell>
        </row>
        <row r="15477">
          <cell r="A15477">
            <v>9042740</v>
          </cell>
        </row>
        <row r="15478">
          <cell r="A15478">
            <v>9042741</v>
          </cell>
        </row>
        <row r="15479">
          <cell r="A15479">
            <v>9042742</v>
          </cell>
        </row>
        <row r="15480">
          <cell r="A15480">
            <v>9042743</v>
          </cell>
        </row>
        <row r="15481">
          <cell r="A15481">
            <v>9042744</v>
          </cell>
        </row>
        <row r="15482">
          <cell r="A15482">
            <v>9042745</v>
          </cell>
        </row>
        <row r="15483">
          <cell r="A15483">
            <v>9042746</v>
          </cell>
        </row>
        <row r="15484">
          <cell r="A15484">
            <v>9042747</v>
          </cell>
        </row>
        <row r="15485">
          <cell r="A15485">
            <v>9042748</v>
          </cell>
        </row>
        <row r="15486">
          <cell r="A15486">
            <v>9042801</v>
          </cell>
        </row>
        <row r="15487">
          <cell r="A15487">
            <v>9042802</v>
          </cell>
        </row>
        <row r="15488">
          <cell r="A15488">
            <v>9042803</v>
          </cell>
        </row>
        <row r="15489">
          <cell r="A15489">
            <v>9042804</v>
          </cell>
        </row>
        <row r="15490">
          <cell r="A15490">
            <v>9042805</v>
          </cell>
        </row>
        <row r="15491">
          <cell r="A15491">
            <v>9042806</v>
          </cell>
        </row>
        <row r="15492">
          <cell r="A15492">
            <v>9042807</v>
          </cell>
        </row>
        <row r="15493">
          <cell r="A15493">
            <v>9042808</v>
          </cell>
        </row>
        <row r="15494">
          <cell r="A15494">
            <v>9042809</v>
          </cell>
        </row>
        <row r="15495">
          <cell r="A15495">
            <v>9042810</v>
          </cell>
        </row>
        <row r="15496">
          <cell r="A15496">
            <v>9042811</v>
          </cell>
        </row>
        <row r="15497">
          <cell r="A15497">
            <v>9042812</v>
          </cell>
        </row>
        <row r="15498">
          <cell r="A15498">
            <v>9042813</v>
          </cell>
        </row>
        <row r="15499">
          <cell r="A15499">
            <v>9042814</v>
          </cell>
        </row>
        <row r="15500">
          <cell r="A15500">
            <v>9042815</v>
          </cell>
        </row>
        <row r="15501">
          <cell r="A15501">
            <v>9042816</v>
          </cell>
        </row>
        <row r="15502">
          <cell r="A15502">
            <v>9042817</v>
          </cell>
        </row>
        <row r="15503">
          <cell r="A15503">
            <v>9042818</v>
          </cell>
        </row>
        <row r="15504">
          <cell r="A15504">
            <v>9042819</v>
          </cell>
        </row>
        <row r="15505">
          <cell r="A15505">
            <v>9042820</v>
          </cell>
        </row>
        <row r="15506">
          <cell r="A15506">
            <v>9042821</v>
          </cell>
        </row>
        <row r="15507">
          <cell r="A15507">
            <v>9042822</v>
          </cell>
        </row>
        <row r="15508">
          <cell r="A15508">
            <v>9042823</v>
          </cell>
        </row>
        <row r="15509">
          <cell r="A15509">
            <v>9042824</v>
          </cell>
        </row>
        <row r="15510">
          <cell r="A15510">
            <v>9042825</v>
          </cell>
        </row>
        <row r="15511">
          <cell r="A15511">
            <v>9042826</v>
          </cell>
        </row>
        <row r="15512">
          <cell r="A15512">
            <v>9042827</v>
          </cell>
        </row>
        <row r="15513">
          <cell r="A15513">
            <v>9042828</v>
          </cell>
        </row>
        <row r="15514">
          <cell r="A15514">
            <v>9042829</v>
          </cell>
        </row>
        <row r="15515">
          <cell r="A15515">
            <v>9042830</v>
          </cell>
        </row>
        <row r="15516">
          <cell r="A15516">
            <v>9042831</v>
          </cell>
        </row>
        <row r="15517">
          <cell r="A15517">
            <v>9042832</v>
          </cell>
        </row>
        <row r="15518">
          <cell r="A15518">
            <v>9042833</v>
          </cell>
        </row>
        <row r="15519">
          <cell r="A15519">
            <v>9042834</v>
          </cell>
        </row>
        <row r="15520">
          <cell r="A15520">
            <v>9042835</v>
          </cell>
        </row>
        <row r="15521">
          <cell r="A15521">
            <v>9042836</v>
          </cell>
        </row>
        <row r="15522">
          <cell r="A15522">
            <v>9042840</v>
          </cell>
        </row>
        <row r="15523">
          <cell r="A15523">
            <v>9042842</v>
          </cell>
        </row>
        <row r="15524">
          <cell r="A15524">
            <v>9042843</v>
          </cell>
        </row>
        <row r="15525">
          <cell r="A15525">
            <v>9042844</v>
          </cell>
        </row>
        <row r="15526">
          <cell r="A15526">
            <v>9042845</v>
          </cell>
        </row>
        <row r="15527">
          <cell r="A15527">
            <v>9042901</v>
          </cell>
        </row>
        <row r="15528">
          <cell r="A15528">
            <v>9042902</v>
          </cell>
        </row>
        <row r="15529">
          <cell r="A15529">
            <v>9042903</v>
          </cell>
        </row>
        <row r="15530">
          <cell r="A15530">
            <v>9042904</v>
          </cell>
        </row>
        <row r="15531">
          <cell r="A15531">
            <v>9042905</v>
          </cell>
        </row>
        <row r="15532">
          <cell r="A15532">
            <v>9042906</v>
          </cell>
        </row>
        <row r="15533">
          <cell r="A15533">
            <v>9042907</v>
          </cell>
        </row>
        <row r="15534">
          <cell r="A15534">
            <v>9042908</v>
          </cell>
        </row>
        <row r="15535">
          <cell r="A15535">
            <v>9042909</v>
          </cell>
        </row>
        <row r="15536">
          <cell r="A15536">
            <v>9042910</v>
          </cell>
        </row>
        <row r="15537">
          <cell r="A15537">
            <v>9042911</v>
          </cell>
        </row>
        <row r="15538">
          <cell r="A15538">
            <v>9042912</v>
          </cell>
        </row>
        <row r="15539">
          <cell r="A15539">
            <v>9042913</v>
          </cell>
        </row>
        <row r="15540">
          <cell r="A15540">
            <v>9042914</v>
          </cell>
        </row>
        <row r="15541">
          <cell r="A15541">
            <v>9042915</v>
          </cell>
        </row>
        <row r="15542">
          <cell r="A15542">
            <v>9042916</v>
          </cell>
        </row>
        <row r="15543">
          <cell r="A15543">
            <v>9042917</v>
          </cell>
        </row>
        <row r="15544">
          <cell r="A15544">
            <v>9042918</v>
          </cell>
        </row>
        <row r="15545">
          <cell r="A15545">
            <v>9042919</v>
          </cell>
        </row>
        <row r="15546">
          <cell r="A15546">
            <v>9042920</v>
          </cell>
        </row>
        <row r="15547">
          <cell r="A15547">
            <v>9042921</v>
          </cell>
        </row>
        <row r="15548">
          <cell r="A15548">
            <v>9042922</v>
          </cell>
        </row>
        <row r="15549">
          <cell r="A15549">
            <v>9042923</v>
          </cell>
        </row>
        <row r="15550">
          <cell r="A15550">
            <v>9042924</v>
          </cell>
        </row>
        <row r="15551">
          <cell r="A15551">
            <v>9042925</v>
          </cell>
        </row>
        <row r="15552">
          <cell r="A15552">
            <v>9042926</v>
          </cell>
        </row>
        <row r="15553">
          <cell r="A15553">
            <v>9042927</v>
          </cell>
        </row>
        <row r="15554">
          <cell r="A15554">
            <v>9042928</v>
          </cell>
        </row>
        <row r="15555">
          <cell r="A15555">
            <v>9042929</v>
          </cell>
        </row>
        <row r="15556">
          <cell r="A15556">
            <v>9042930</v>
          </cell>
        </row>
        <row r="15557">
          <cell r="A15557">
            <v>9042931</v>
          </cell>
        </row>
        <row r="15558">
          <cell r="A15558">
            <v>9042932</v>
          </cell>
        </row>
        <row r="15559">
          <cell r="A15559">
            <v>9042933</v>
          </cell>
        </row>
        <row r="15560">
          <cell r="A15560">
            <v>9042934</v>
          </cell>
        </row>
        <row r="15561">
          <cell r="A15561">
            <v>9042935</v>
          </cell>
        </row>
        <row r="15562">
          <cell r="A15562">
            <v>9042936</v>
          </cell>
        </row>
        <row r="15563">
          <cell r="A15563">
            <v>9042937</v>
          </cell>
        </row>
        <row r="15564">
          <cell r="A15564">
            <v>9042938</v>
          </cell>
        </row>
        <row r="15565">
          <cell r="A15565">
            <v>9042939</v>
          </cell>
        </row>
        <row r="15566">
          <cell r="A15566">
            <v>9042940</v>
          </cell>
        </row>
        <row r="15567">
          <cell r="A15567">
            <v>9042941</v>
          </cell>
        </row>
        <row r="15568">
          <cell r="A15568">
            <v>9042942</v>
          </cell>
        </row>
        <row r="15569">
          <cell r="A15569">
            <v>9042943</v>
          </cell>
        </row>
        <row r="15570">
          <cell r="A15570">
            <v>9042944</v>
          </cell>
        </row>
        <row r="15571">
          <cell r="A15571">
            <v>9042945</v>
          </cell>
        </row>
        <row r="15572">
          <cell r="A15572">
            <v>9042946</v>
          </cell>
        </row>
        <row r="15573">
          <cell r="A15573">
            <v>9043001</v>
          </cell>
        </row>
        <row r="15574">
          <cell r="A15574">
            <v>9043002</v>
          </cell>
        </row>
        <row r="15575">
          <cell r="A15575">
            <v>9043003</v>
          </cell>
        </row>
        <row r="15576">
          <cell r="A15576">
            <v>9043004</v>
          </cell>
        </row>
        <row r="15577">
          <cell r="A15577">
            <v>9043005</v>
          </cell>
        </row>
        <row r="15578">
          <cell r="A15578">
            <v>9043006</v>
          </cell>
        </row>
        <row r="15579">
          <cell r="A15579">
            <v>9043007</v>
          </cell>
        </row>
        <row r="15580">
          <cell r="A15580">
            <v>9043008</v>
          </cell>
        </row>
        <row r="15581">
          <cell r="A15581">
            <v>9043009</v>
          </cell>
        </row>
        <row r="15582">
          <cell r="A15582">
            <v>9043010</v>
          </cell>
        </row>
        <row r="15583">
          <cell r="A15583">
            <v>9043011</v>
          </cell>
        </row>
        <row r="15584">
          <cell r="A15584">
            <v>9043012</v>
          </cell>
        </row>
        <row r="15585">
          <cell r="A15585">
            <v>9043013</v>
          </cell>
        </row>
        <row r="15586">
          <cell r="A15586">
            <v>9043014</v>
          </cell>
        </row>
        <row r="15587">
          <cell r="A15587">
            <v>9043015</v>
          </cell>
        </row>
        <row r="15588">
          <cell r="A15588">
            <v>9043019</v>
          </cell>
        </row>
        <row r="15589">
          <cell r="A15589">
            <v>9043020</v>
          </cell>
        </row>
        <row r="15590">
          <cell r="A15590">
            <v>9043021</v>
          </cell>
        </row>
        <row r="15591">
          <cell r="A15591">
            <v>9043022</v>
          </cell>
        </row>
        <row r="15592">
          <cell r="A15592">
            <v>9043023</v>
          </cell>
        </row>
        <row r="15593">
          <cell r="A15593">
            <v>9043024</v>
          </cell>
        </row>
        <row r="15594">
          <cell r="A15594">
            <v>9043025</v>
          </cell>
        </row>
        <row r="15595">
          <cell r="A15595">
            <v>9043026</v>
          </cell>
        </row>
        <row r="15596">
          <cell r="A15596">
            <v>9043027</v>
          </cell>
        </row>
        <row r="15597">
          <cell r="A15597">
            <v>9043028</v>
          </cell>
        </row>
        <row r="15598">
          <cell r="A15598">
            <v>9043029</v>
          </cell>
        </row>
        <row r="15599">
          <cell r="A15599">
            <v>9043030</v>
          </cell>
        </row>
        <row r="15600">
          <cell r="A15600">
            <v>9043031</v>
          </cell>
        </row>
        <row r="15601">
          <cell r="A15601">
            <v>9043033</v>
          </cell>
        </row>
        <row r="15602">
          <cell r="A15602">
            <v>9043034</v>
          </cell>
        </row>
        <row r="15603">
          <cell r="A15603">
            <v>9043035</v>
          </cell>
        </row>
        <row r="15604">
          <cell r="A15604">
            <v>9043036</v>
          </cell>
        </row>
        <row r="15605">
          <cell r="A15605">
            <v>9050401</v>
          </cell>
        </row>
        <row r="15606">
          <cell r="A15606">
            <v>9050402</v>
          </cell>
        </row>
        <row r="15607">
          <cell r="A15607">
            <v>9050403</v>
          </cell>
        </row>
        <row r="15608">
          <cell r="A15608">
            <v>9050404</v>
          </cell>
        </row>
        <row r="15609">
          <cell r="A15609">
            <v>9050405</v>
          </cell>
        </row>
        <row r="15610">
          <cell r="A15610">
            <v>9050406</v>
          </cell>
        </row>
        <row r="15611">
          <cell r="A15611">
            <v>9050407</v>
          </cell>
        </row>
        <row r="15612">
          <cell r="A15612">
            <v>9050408</v>
          </cell>
        </row>
        <row r="15613">
          <cell r="A15613">
            <v>9050409</v>
          </cell>
        </row>
        <row r="15614">
          <cell r="A15614">
            <v>9050410</v>
          </cell>
        </row>
        <row r="15615">
          <cell r="A15615">
            <v>9050411</v>
          </cell>
        </row>
        <row r="15616">
          <cell r="A15616">
            <v>9050412</v>
          </cell>
        </row>
        <row r="15617">
          <cell r="A15617">
            <v>9050413</v>
          </cell>
        </row>
        <row r="15618">
          <cell r="A15618">
            <v>9050414</v>
          </cell>
        </row>
        <row r="15619">
          <cell r="A15619">
            <v>9050422</v>
          </cell>
        </row>
        <row r="15620">
          <cell r="A15620">
            <v>9050423</v>
          </cell>
        </row>
        <row r="15621">
          <cell r="A15621">
            <v>9050424</v>
          </cell>
        </row>
        <row r="15622">
          <cell r="A15622">
            <v>9050425</v>
          </cell>
        </row>
        <row r="15623">
          <cell r="A15623">
            <v>9050426</v>
          </cell>
        </row>
        <row r="15624">
          <cell r="A15624">
            <v>9050427</v>
          </cell>
        </row>
        <row r="15625">
          <cell r="A15625">
            <v>9050428</v>
          </cell>
        </row>
        <row r="15626">
          <cell r="A15626">
            <v>9050429</v>
          </cell>
        </row>
        <row r="15627">
          <cell r="A15627">
            <v>9050430</v>
          </cell>
        </row>
        <row r="15628">
          <cell r="A15628">
            <v>9050431</v>
          </cell>
        </row>
        <row r="15629">
          <cell r="A15629">
            <v>9050432</v>
          </cell>
        </row>
        <row r="15630">
          <cell r="A15630">
            <v>9050433</v>
          </cell>
        </row>
        <row r="15631">
          <cell r="A15631">
            <v>9050434</v>
          </cell>
        </row>
        <row r="15632">
          <cell r="A15632">
            <v>9050435</v>
          </cell>
        </row>
        <row r="15633">
          <cell r="A15633">
            <v>9050501</v>
          </cell>
        </row>
        <row r="15634">
          <cell r="A15634">
            <v>9050502</v>
          </cell>
        </row>
        <row r="15635">
          <cell r="A15635">
            <v>9050503</v>
          </cell>
        </row>
        <row r="15636">
          <cell r="A15636">
            <v>9050504</v>
          </cell>
        </row>
        <row r="15637">
          <cell r="A15637">
            <v>9050505</v>
          </cell>
        </row>
        <row r="15638">
          <cell r="A15638">
            <v>9050506</v>
          </cell>
        </row>
        <row r="15639">
          <cell r="A15639">
            <v>9050507</v>
          </cell>
        </row>
        <row r="15640">
          <cell r="A15640">
            <v>9050508</v>
          </cell>
        </row>
        <row r="15641">
          <cell r="A15641">
            <v>9050509</v>
          </cell>
        </row>
        <row r="15642">
          <cell r="A15642">
            <v>9050510</v>
          </cell>
        </row>
        <row r="15643">
          <cell r="A15643">
            <v>9050511</v>
          </cell>
        </row>
        <row r="15644">
          <cell r="A15644">
            <v>9050512</v>
          </cell>
        </row>
        <row r="15645">
          <cell r="A15645">
            <v>9050513</v>
          </cell>
        </row>
        <row r="15646">
          <cell r="A15646">
            <v>9050514</v>
          </cell>
        </row>
        <row r="15647">
          <cell r="A15647">
            <v>9050515</v>
          </cell>
        </row>
        <row r="15648">
          <cell r="A15648">
            <v>9050516</v>
          </cell>
        </row>
        <row r="15649">
          <cell r="A15649">
            <v>9050517</v>
          </cell>
        </row>
        <row r="15650">
          <cell r="A15650">
            <v>9050518</v>
          </cell>
        </row>
        <row r="15651">
          <cell r="A15651">
            <v>9050519</v>
          </cell>
        </row>
        <row r="15652">
          <cell r="A15652">
            <v>9050520</v>
          </cell>
        </row>
        <row r="15653">
          <cell r="A15653">
            <v>9050521</v>
          </cell>
        </row>
        <row r="15654">
          <cell r="A15654">
            <v>9050522</v>
          </cell>
        </row>
        <row r="15655">
          <cell r="A15655">
            <v>9050523</v>
          </cell>
        </row>
        <row r="15656">
          <cell r="A15656">
            <v>9050524</v>
          </cell>
        </row>
        <row r="15657">
          <cell r="A15657">
            <v>9050525</v>
          </cell>
        </row>
        <row r="15658">
          <cell r="A15658">
            <v>9050526</v>
          </cell>
        </row>
        <row r="15659">
          <cell r="A15659">
            <v>9050527</v>
          </cell>
        </row>
        <row r="15660">
          <cell r="A15660">
            <v>9050528</v>
          </cell>
        </row>
        <row r="15661">
          <cell r="A15661">
            <v>9050529</v>
          </cell>
        </row>
        <row r="15662">
          <cell r="A15662">
            <v>9050530</v>
          </cell>
        </row>
        <row r="15663">
          <cell r="A15663">
            <v>9050531</v>
          </cell>
        </row>
        <row r="15664">
          <cell r="A15664">
            <v>9050532</v>
          </cell>
        </row>
        <row r="15665">
          <cell r="A15665">
            <v>9050533</v>
          </cell>
        </row>
        <row r="15666">
          <cell r="A15666">
            <v>9050536</v>
          </cell>
        </row>
        <row r="15667">
          <cell r="A15667">
            <v>9050601</v>
          </cell>
        </row>
        <row r="15668">
          <cell r="A15668">
            <v>9050602</v>
          </cell>
        </row>
        <row r="15669">
          <cell r="A15669">
            <v>9050603</v>
          </cell>
        </row>
        <row r="15670">
          <cell r="A15670">
            <v>9050604</v>
          </cell>
        </row>
        <row r="15671">
          <cell r="A15671">
            <v>9050605</v>
          </cell>
        </row>
        <row r="15672">
          <cell r="A15672">
            <v>9050606</v>
          </cell>
        </row>
        <row r="15673">
          <cell r="A15673">
            <v>9050607</v>
          </cell>
        </row>
        <row r="15674">
          <cell r="A15674">
            <v>9050608</v>
          </cell>
        </row>
        <row r="15675">
          <cell r="A15675">
            <v>9050609</v>
          </cell>
        </row>
        <row r="15676">
          <cell r="A15676">
            <v>9050610</v>
          </cell>
        </row>
        <row r="15677">
          <cell r="A15677">
            <v>9050611</v>
          </cell>
        </row>
        <row r="15678">
          <cell r="A15678">
            <v>9050612</v>
          </cell>
        </row>
        <row r="15679">
          <cell r="A15679">
            <v>9050613</v>
          </cell>
        </row>
        <row r="15680">
          <cell r="A15680">
            <v>9050614</v>
          </cell>
        </row>
        <row r="15681">
          <cell r="A15681">
            <v>9050615</v>
          </cell>
        </row>
        <row r="15682">
          <cell r="A15682">
            <v>9050616</v>
          </cell>
        </row>
        <row r="15683">
          <cell r="A15683">
            <v>9050617</v>
          </cell>
        </row>
        <row r="15684">
          <cell r="A15684">
            <v>9050618</v>
          </cell>
        </row>
        <row r="15685">
          <cell r="A15685">
            <v>9050619</v>
          </cell>
        </row>
        <row r="15686">
          <cell r="A15686">
            <v>9050620</v>
          </cell>
        </row>
        <row r="15687">
          <cell r="A15687">
            <v>9050621</v>
          </cell>
        </row>
        <row r="15688">
          <cell r="A15688">
            <v>9050622</v>
          </cell>
        </row>
        <row r="15689">
          <cell r="A15689">
            <v>9050623</v>
          </cell>
        </row>
        <row r="15690">
          <cell r="A15690">
            <v>9050624</v>
          </cell>
        </row>
        <row r="15691">
          <cell r="A15691">
            <v>9050625</v>
          </cell>
        </row>
        <row r="15692">
          <cell r="A15692">
            <v>9050626</v>
          </cell>
        </row>
        <row r="15693">
          <cell r="A15693">
            <v>9050627</v>
          </cell>
        </row>
        <row r="15694">
          <cell r="A15694">
            <v>9050628</v>
          </cell>
        </row>
        <row r="15695">
          <cell r="A15695">
            <v>9050629</v>
          </cell>
        </row>
        <row r="15696">
          <cell r="A15696">
            <v>9050701</v>
          </cell>
        </row>
        <row r="15697">
          <cell r="A15697">
            <v>9050702</v>
          </cell>
        </row>
        <row r="15698">
          <cell r="A15698">
            <v>9050703</v>
          </cell>
        </row>
        <row r="15699">
          <cell r="A15699">
            <v>9050704</v>
          </cell>
        </row>
        <row r="15700">
          <cell r="A15700">
            <v>9050705</v>
          </cell>
        </row>
        <row r="15701">
          <cell r="A15701">
            <v>9050706</v>
          </cell>
        </row>
        <row r="15702">
          <cell r="A15702">
            <v>9050707</v>
          </cell>
        </row>
        <row r="15703">
          <cell r="A15703">
            <v>9050708</v>
          </cell>
        </row>
        <row r="15704">
          <cell r="A15704">
            <v>9050709</v>
          </cell>
        </row>
        <row r="15705">
          <cell r="A15705">
            <v>9050710</v>
          </cell>
        </row>
        <row r="15706">
          <cell r="A15706">
            <v>9050711</v>
          </cell>
        </row>
        <row r="15707">
          <cell r="A15707">
            <v>9050712</v>
          </cell>
        </row>
        <row r="15708">
          <cell r="A15708">
            <v>9050713</v>
          </cell>
        </row>
        <row r="15709">
          <cell r="A15709">
            <v>9050714</v>
          </cell>
        </row>
        <row r="15710">
          <cell r="A15710">
            <v>9050722</v>
          </cell>
        </row>
        <row r="15711">
          <cell r="A15711">
            <v>9050723</v>
          </cell>
        </row>
        <row r="15712">
          <cell r="A15712">
            <v>9050724</v>
          </cell>
        </row>
        <row r="15713">
          <cell r="A15713">
            <v>9050725</v>
          </cell>
        </row>
        <row r="15714">
          <cell r="A15714">
            <v>9050726</v>
          </cell>
        </row>
        <row r="15715">
          <cell r="A15715">
            <v>9050727</v>
          </cell>
        </row>
        <row r="15716">
          <cell r="A15716">
            <v>9050728</v>
          </cell>
        </row>
        <row r="15717">
          <cell r="A15717">
            <v>9050729</v>
          </cell>
        </row>
        <row r="15718">
          <cell r="A15718">
            <v>9050730</v>
          </cell>
        </row>
        <row r="15719">
          <cell r="A15719">
            <v>9050731</v>
          </cell>
        </row>
        <row r="15720">
          <cell r="A15720">
            <v>9050732</v>
          </cell>
        </row>
        <row r="15721">
          <cell r="A15721">
            <v>9050733</v>
          </cell>
        </row>
        <row r="15722">
          <cell r="A15722">
            <v>9050734</v>
          </cell>
        </row>
        <row r="15723">
          <cell r="A15723">
            <v>9050735</v>
          </cell>
        </row>
        <row r="15724">
          <cell r="A15724">
            <v>9050736</v>
          </cell>
        </row>
        <row r="15725">
          <cell r="A15725">
            <v>9050737</v>
          </cell>
        </row>
        <row r="15726">
          <cell r="A15726">
            <v>9050738</v>
          </cell>
        </row>
        <row r="15727">
          <cell r="A15727">
            <v>9050739</v>
          </cell>
        </row>
        <row r="15728">
          <cell r="A15728">
            <v>9050740</v>
          </cell>
        </row>
        <row r="15729">
          <cell r="A15729">
            <v>9050743</v>
          </cell>
        </row>
        <row r="15730">
          <cell r="A15730">
            <v>9050744</v>
          </cell>
        </row>
        <row r="15731">
          <cell r="A15731">
            <v>9050745</v>
          </cell>
        </row>
        <row r="15732">
          <cell r="A15732">
            <v>9050746</v>
          </cell>
        </row>
        <row r="15733">
          <cell r="A15733">
            <v>9050747</v>
          </cell>
        </row>
        <row r="15734">
          <cell r="A15734">
            <v>9050748</v>
          </cell>
        </row>
        <row r="15735">
          <cell r="A15735">
            <v>9050749</v>
          </cell>
        </row>
        <row r="15736">
          <cell r="A15736">
            <v>9050750</v>
          </cell>
        </row>
        <row r="15737">
          <cell r="A15737">
            <v>9050751</v>
          </cell>
        </row>
        <row r="15738">
          <cell r="A15738">
            <v>9050752</v>
          </cell>
        </row>
        <row r="15739">
          <cell r="A15739">
            <v>9050753</v>
          </cell>
        </row>
        <row r="15740">
          <cell r="A15740">
            <v>9050901</v>
          </cell>
        </row>
        <row r="15741">
          <cell r="A15741">
            <v>9050902</v>
          </cell>
        </row>
        <row r="15742">
          <cell r="A15742">
            <v>9050903</v>
          </cell>
        </row>
        <row r="15743">
          <cell r="A15743">
            <v>9050904</v>
          </cell>
        </row>
        <row r="15744">
          <cell r="A15744">
            <v>9050905</v>
          </cell>
        </row>
        <row r="15745">
          <cell r="A15745">
            <v>9050916</v>
          </cell>
        </row>
        <row r="15746">
          <cell r="A15746">
            <v>9050917</v>
          </cell>
        </row>
        <row r="15747">
          <cell r="A15747">
            <v>9050918</v>
          </cell>
        </row>
        <row r="15748">
          <cell r="A15748">
            <v>9050919</v>
          </cell>
        </row>
        <row r="15749">
          <cell r="A15749">
            <v>9050920</v>
          </cell>
        </row>
        <row r="15750">
          <cell r="A15750">
            <v>9050921</v>
          </cell>
        </row>
        <row r="15751">
          <cell r="A15751">
            <v>9050922</v>
          </cell>
        </row>
        <row r="15752">
          <cell r="A15752">
            <v>9050923</v>
          </cell>
        </row>
        <row r="15753">
          <cell r="A15753">
            <v>9050924</v>
          </cell>
        </row>
        <row r="15754">
          <cell r="A15754">
            <v>9050925</v>
          </cell>
        </row>
        <row r="15755">
          <cell r="A15755">
            <v>9050926</v>
          </cell>
        </row>
        <row r="15756">
          <cell r="A15756">
            <v>9050927</v>
          </cell>
        </row>
        <row r="15757">
          <cell r="A15757">
            <v>9050928</v>
          </cell>
        </row>
        <row r="15758">
          <cell r="A15758">
            <v>9050929</v>
          </cell>
        </row>
        <row r="15759">
          <cell r="A15759">
            <v>9051101</v>
          </cell>
        </row>
        <row r="15760">
          <cell r="A15760">
            <v>9051102</v>
          </cell>
        </row>
        <row r="15761">
          <cell r="A15761">
            <v>9051103</v>
          </cell>
        </row>
        <row r="15762">
          <cell r="A15762">
            <v>9051104</v>
          </cell>
        </row>
        <row r="15763">
          <cell r="A15763">
            <v>9051105</v>
          </cell>
        </row>
        <row r="15764">
          <cell r="A15764">
            <v>9051106</v>
          </cell>
        </row>
        <row r="15765">
          <cell r="A15765">
            <v>9051107</v>
          </cell>
        </row>
        <row r="15766">
          <cell r="A15766">
            <v>9051108</v>
          </cell>
        </row>
        <row r="15767">
          <cell r="A15767">
            <v>9051109</v>
          </cell>
        </row>
        <row r="15768">
          <cell r="A15768">
            <v>9051110</v>
          </cell>
        </row>
        <row r="15769">
          <cell r="A15769">
            <v>9051111</v>
          </cell>
        </row>
        <row r="15770">
          <cell r="A15770">
            <v>9051112</v>
          </cell>
        </row>
        <row r="15771">
          <cell r="A15771">
            <v>9051113</v>
          </cell>
        </row>
        <row r="15772">
          <cell r="A15772">
            <v>9051114</v>
          </cell>
        </row>
        <row r="15773">
          <cell r="A15773">
            <v>9051115</v>
          </cell>
        </row>
        <row r="15774">
          <cell r="A15774">
            <v>9051118</v>
          </cell>
        </row>
        <row r="15775">
          <cell r="A15775">
            <v>9051119</v>
          </cell>
        </row>
        <row r="15776">
          <cell r="A15776">
            <v>9051120</v>
          </cell>
        </row>
        <row r="15777">
          <cell r="A15777">
            <v>9051121</v>
          </cell>
        </row>
        <row r="15778">
          <cell r="A15778">
            <v>9051122</v>
          </cell>
        </row>
        <row r="15779">
          <cell r="A15779">
            <v>9051123</v>
          </cell>
        </row>
        <row r="15780">
          <cell r="A15780">
            <v>9051124</v>
          </cell>
        </row>
        <row r="15781">
          <cell r="A15781">
            <v>9051125</v>
          </cell>
        </row>
        <row r="15782">
          <cell r="A15782">
            <v>9051126</v>
          </cell>
        </row>
        <row r="15783">
          <cell r="A15783">
            <v>9051127</v>
          </cell>
        </row>
        <row r="15784">
          <cell r="A15784">
            <v>9051128</v>
          </cell>
        </row>
        <row r="15785">
          <cell r="A15785">
            <v>9051129</v>
          </cell>
        </row>
        <row r="15786">
          <cell r="A15786">
            <v>9051130</v>
          </cell>
        </row>
        <row r="15787">
          <cell r="A15787">
            <v>9051131</v>
          </cell>
        </row>
        <row r="15788">
          <cell r="A15788">
            <v>9051132</v>
          </cell>
        </row>
        <row r="15789">
          <cell r="A15789">
            <v>9051133</v>
          </cell>
        </row>
        <row r="15790">
          <cell r="A15790">
            <v>9051134</v>
          </cell>
        </row>
        <row r="15791">
          <cell r="A15791">
            <v>9051135</v>
          </cell>
        </row>
        <row r="15792">
          <cell r="A15792">
            <v>9051136</v>
          </cell>
        </row>
        <row r="15793">
          <cell r="A15793">
            <v>9051137</v>
          </cell>
        </row>
        <row r="15794">
          <cell r="A15794">
            <v>9051138</v>
          </cell>
        </row>
        <row r="15795">
          <cell r="A15795">
            <v>9051139</v>
          </cell>
        </row>
        <row r="15796">
          <cell r="A15796">
            <v>9051140</v>
          </cell>
        </row>
        <row r="15797">
          <cell r="A15797">
            <v>9051141</v>
          </cell>
        </row>
        <row r="15798">
          <cell r="A15798">
            <v>9051142</v>
          </cell>
        </row>
        <row r="15799">
          <cell r="A15799">
            <v>9051143</v>
          </cell>
        </row>
        <row r="15800">
          <cell r="A15800">
            <v>9051144</v>
          </cell>
        </row>
        <row r="15801">
          <cell r="A15801">
            <v>9051145</v>
          </cell>
        </row>
        <row r="15802">
          <cell r="A15802">
            <v>9051146</v>
          </cell>
        </row>
        <row r="15803">
          <cell r="A15803">
            <v>9051147</v>
          </cell>
        </row>
        <row r="15804">
          <cell r="A15804">
            <v>9051148</v>
          </cell>
        </row>
        <row r="15805">
          <cell r="A15805">
            <v>9051149</v>
          </cell>
        </row>
        <row r="15806">
          <cell r="A15806">
            <v>9051150</v>
          </cell>
        </row>
        <row r="15807">
          <cell r="A15807">
            <v>9051201</v>
          </cell>
        </row>
        <row r="15808">
          <cell r="A15808">
            <v>9051202</v>
          </cell>
        </row>
        <row r="15809">
          <cell r="A15809">
            <v>9051203</v>
          </cell>
        </row>
        <row r="15810">
          <cell r="A15810">
            <v>9051204</v>
          </cell>
        </row>
        <row r="15811">
          <cell r="A15811">
            <v>9051205</v>
          </cell>
        </row>
        <row r="15812">
          <cell r="A15812">
            <v>9051206</v>
          </cell>
        </row>
        <row r="15813">
          <cell r="A15813">
            <v>9051207</v>
          </cell>
        </row>
        <row r="15814">
          <cell r="A15814">
            <v>9051208</v>
          </cell>
        </row>
        <row r="15815">
          <cell r="A15815">
            <v>9051209</v>
          </cell>
        </row>
        <row r="15816">
          <cell r="A15816">
            <v>9051210</v>
          </cell>
        </row>
        <row r="15817">
          <cell r="A15817">
            <v>9051211</v>
          </cell>
        </row>
        <row r="15818">
          <cell r="A15818">
            <v>9051212</v>
          </cell>
        </row>
        <row r="15819">
          <cell r="A15819">
            <v>9051213</v>
          </cell>
        </row>
        <row r="15820">
          <cell r="A15820">
            <v>9051214</v>
          </cell>
        </row>
        <row r="15821">
          <cell r="A15821">
            <v>9051215</v>
          </cell>
        </row>
        <row r="15822">
          <cell r="A15822">
            <v>9051216</v>
          </cell>
        </row>
        <row r="15823">
          <cell r="A15823">
            <v>9051217</v>
          </cell>
        </row>
        <row r="15824">
          <cell r="A15824">
            <v>9051218</v>
          </cell>
        </row>
        <row r="15825">
          <cell r="A15825">
            <v>9051219</v>
          </cell>
        </row>
        <row r="15826">
          <cell r="A15826">
            <v>9051220</v>
          </cell>
        </row>
        <row r="15827">
          <cell r="A15827">
            <v>9051221</v>
          </cell>
        </row>
        <row r="15828">
          <cell r="A15828">
            <v>9051222</v>
          </cell>
        </row>
        <row r="15829">
          <cell r="A15829">
            <v>9051223</v>
          </cell>
        </row>
        <row r="15830">
          <cell r="A15830">
            <v>9051224</v>
          </cell>
        </row>
        <row r="15831">
          <cell r="A15831">
            <v>9051225</v>
          </cell>
        </row>
        <row r="15832">
          <cell r="A15832">
            <v>9051226</v>
          </cell>
        </row>
        <row r="15833">
          <cell r="A15833">
            <v>9051227</v>
          </cell>
        </row>
        <row r="15834">
          <cell r="A15834">
            <v>9051230</v>
          </cell>
        </row>
        <row r="15835">
          <cell r="A15835">
            <v>9051231</v>
          </cell>
        </row>
        <row r="15836">
          <cell r="A15836">
            <v>9051232</v>
          </cell>
        </row>
        <row r="15837">
          <cell r="A15837">
            <v>9051233</v>
          </cell>
        </row>
        <row r="15838">
          <cell r="A15838">
            <v>9051301</v>
          </cell>
        </row>
        <row r="15839">
          <cell r="A15839">
            <v>9051302</v>
          </cell>
        </row>
        <row r="15840">
          <cell r="A15840">
            <v>9051303</v>
          </cell>
        </row>
        <row r="15841">
          <cell r="A15841">
            <v>9051304</v>
          </cell>
        </row>
        <row r="15842">
          <cell r="A15842">
            <v>9051305</v>
          </cell>
        </row>
        <row r="15843">
          <cell r="A15843">
            <v>9051306</v>
          </cell>
        </row>
        <row r="15844">
          <cell r="A15844">
            <v>9051307</v>
          </cell>
        </row>
        <row r="15845">
          <cell r="A15845">
            <v>9051308</v>
          </cell>
        </row>
        <row r="15846">
          <cell r="A15846">
            <v>9051309</v>
          </cell>
        </row>
        <row r="15847">
          <cell r="A15847">
            <v>9051310</v>
          </cell>
        </row>
        <row r="15848">
          <cell r="A15848">
            <v>9051311</v>
          </cell>
        </row>
        <row r="15849">
          <cell r="A15849">
            <v>9051312</v>
          </cell>
        </row>
        <row r="15850">
          <cell r="A15850">
            <v>9051313</v>
          </cell>
        </row>
        <row r="15851">
          <cell r="A15851">
            <v>9051314</v>
          </cell>
        </row>
        <row r="15852">
          <cell r="A15852">
            <v>9051316</v>
          </cell>
        </row>
        <row r="15853">
          <cell r="A15853">
            <v>9051317</v>
          </cell>
        </row>
        <row r="15854">
          <cell r="A15854">
            <v>9051318</v>
          </cell>
        </row>
        <row r="15855">
          <cell r="A15855">
            <v>9051319</v>
          </cell>
        </row>
        <row r="15856">
          <cell r="A15856">
            <v>9051320</v>
          </cell>
        </row>
        <row r="15857">
          <cell r="A15857">
            <v>9051321</v>
          </cell>
        </row>
        <row r="15858">
          <cell r="A15858">
            <v>9051322</v>
          </cell>
        </row>
        <row r="15859">
          <cell r="A15859">
            <v>9051323</v>
          </cell>
        </row>
        <row r="15860">
          <cell r="A15860">
            <v>9051324</v>
          </cell>
        </row>
        <row r="15861">
          <cell r="A15861">
            <v>9051325</v>
          </cell>
        </row>
        <row r="15862">
          <cell r="A15862">
            <v>9051326</v>
          </cell>
        </row>
        <row r="15863">
          <cell r="A15863">
            <v>9051327</v>
          </cell>
        </row>
        <row r="15864">
          <cell r="A15864">
            <v>9051328</v>
          </cell>
        </row>
        <row r="15865">
          <cell r="A15865">
            <v>9051329</v>
          </cell>
        </row>
        <row r="15866">
          <cell r="A15866">
            <v>9051330</v>
          </cell>
        </row>
        <row r="15867">
          <cell r="A15867">
            <v>9051331</v>
          </cell>
        </row>
        <row r="15868">
          <cell r="A15868">
            <v>9051332</v>
          </cell>
        </row>
        <row r="15869">
          <cell r="A15869">
            <v>9051333</v>
          </cell>
        </row>
        <row r="15870">
          <cell r="A15870">
            <v>9051334</v>
          </cell>
        </row>
        <row r="15871">
          <cell r="A15871">
            <v>9051339</v>
          </cell>
        </row>
        <row r="15872">
          <cell r="A15872">
            <v>9051340</v>
          </cell>
        </row>
        <row r="15873">
          <cell r="A15873">
            <v>9051341</v>
          </cell>
        </row>
        <row r="15874">
          <cell r="A15874">
            <v>9051342</v>
          </cell>
        </row>
        <row r="15875">
          <cell r="A15875">
            <v>9051343</v>
          </cell>
        </row>
        <row r="15876">
          <cell r="A15876">
            <v>9051344</v>
          </cell>
        </row>
        <row r="15877">
          <cell r="A15877">
            <v>9051345</v>
          </cell>
        </row>
        <row r="15878">
          <cell r="A15878">
            <v>9051346</v>
          </cell>
        </row>
        <row r="15879">
          <cell r="A15879">
            <v>9051347</v>
          </cell>
        </row>
        <row r="15880">
          <cell r="A15880">
            <v>9051348</v>
          </cell>
        </row>
        <row r="15881">
          <cell r="A15881">
            <v>9051349</v>
          </cell>
        </row>
        <row r="15882">
          <cell r="A15882">
            <v>9051350</v>
          </cell>
        </row>
        <row r="15883">
          <cell r="A15883">
            <v>9051351</v>
          </cell>
        </row>
        <row r="15884">
          <cell r="A15884">
            <v>9051352</v>
          </cell>
        </row>
        <row r="15885">
          <cell r="A15885">
            <v>9051353</v>
          </cell>
        </row>
        <row r="15886">
          <cell r="A15886">
            <v>9051354</v>
          </cell>
        </row>
        <row r="15887">
          <cell r="A15887">
            <v>9051355</v>
          </cell>
        </row>
        <row r="15888">
          <cell r="A15888">
            <v>9051356</v>
          </cell>
        </row>
        <row r="15889">
          <cell r="A15889">
            <v>9051357</v>
          </cell>
        </row>
        <row r="15890">
          <cell r="A15890">
            <v>9051358</v>
          </cell>
        </row>
        <row r="15891">
          <cell r="A15891">
            <v>9051359</v>
          </cell>
        </row>
        <row r="15892">
          <cell r="A15892">
            <v>9051360</v>
          </cell>
        </row>
        <row r="15893">
          <cell r="A15893">
            <v>9051361</v>
          </cell>
        </row>
        <row r="15894">
          <cell r="A15894">
            <v>9051362</v>
          </cell>
        </row>
        <row r="15895">
          <cell r="A15895">
            <v>9051363</v>
          </cell>
        </row>
        <row r="15896">
          <cell r="A15896">
            <v>9051364</v>
          </cell>
        </row>
        <row r="15897">
          <cell r="A15897">
            <v>9051365</v>
          </cell>
        </row>
        <row r="15898">
          <cell r="A15898">
            <v>9051366</v>
          </cell>
        </row>
        <row r="15899">
          <cell r="A15899">
            <v>9051367</v>
          </cell>
        </row>
        <row r="15900">
          <cell r="A15900">
            <v>9051368</v>
          </cell>
        </row>
        <row r="15901">
          <cell r="A15901">
            <v>9051369</v>
          </cell>
        </row>
        <row r="15902">
          <cell r="A15902">
            <v>9051401</v>
          </cell>
        </row>
        <row r="15903">
          <cell r="A15903">
            <v>9051402</v>
          </cell>
        </row>
        <row r="15904">
          <cell r="A15904">
            <v>9051403</v>
          </cell>
        </row>
        <row r="15905">
          <cell r="A15905">
            <v>9051404</v>
          </cell>
        </row>
        <row r="15906">
          <cell r="A15906">
            <v>9051405</v>
          </cell>
        </row>
        <row r="15907">
          <cell r="A15907">
            <v>9051406</v>
          </cell>
        </row>
        <row r="15908">
          <cell r="A15908">
            <v>9051407</v>
          </cell>
        </row>
        <row r="15909">
          <cell r="A15909">
            <v>9051408</v>
          </cell>
        </row>
        <row r="15910">
          <cell r="A15910">
            <v>9051409</v>
          </cell>
        </row>
        <row r="15911">
          <cell r="A15911">
            <v>9051410</v>
          </cell>
        </row>
        <row r="15912">
          <cell r="A15912">
            <v>9051411</v>
          </cell>
        </row>
        <row r="15913">
          <cell r="A15913">
            <v>9051412</v>
          </cell>
        </row>
        <row r="15914">
          <cell r="A15914">
            <v>9051413</v>
          </cell>
        </row>
        <row r="15915">
          <cell r="A15915">
            <v>9051414</v>
          </cell>
        </row>
        <row r="15916">
          <cell r="A15916">
            <v>9051415</v>
          </cell>
        </row>
        <row r="15917">
          <cell r="A15917">
            <v>9051416</v>
          </cell>
        </row>
        <row r="15918">
          <cell r="A15918">
            <v>9051417</v>
          </cell>
        </row>
        <row r="15919">
          <cell r="A15919">
            <v>9051418</v>
          </cell>
        </row>
        <row r="15920">
          <cell r="A15920">
            <v>9051419</v>
          </cell>
        </row>
        <row r="15921">
          <cell r="A15921">
            <v>9051420</v>
          </cell>
        </row>
        <row r="15922">
          <cell r="A15922">
            <v>9051421</v>
          </cell>
        </row>
        <row r="15923">
          <cell r="A15923">
            <v>9051422</v>
          </cell>
        </row>
        <row r="15924">
          <cell r="A15924">
            <v>9051423</v>
          </cell>
        </row>
        <row r="15925">
          <cell r="A15925">
            <v>9051424</v>
          </cell>
        </row>
        <row r="15926">
          <cell r="A15926">
            <v>9051425</v>
          </cell>
        </row>
        <row r="15927">
          <cell r="A15927">
            <v>9051426</v>
          </cell>
        </row>
        <row r="15928">
          <cell r="A15928">
            <v>9051427</v>
          </cell>
        </row>
        <row r="15929">
          <cell r="A15929">
            <v>9051431</v>
          </cell>
        </row>
        <row r="15930">
          <cell r="A15930">
            <v>9051432</v>
          </cell>
        </row>
        <row r="15931">
          <cell r="A15931">
            <v>9051433</v>
          </cell>
        </row>
        <row r="15932">
          <cell r="A15932">
            <v>9051434</v>
          </cell>
        </row>
        <row r="15933">
          <cell r="A15933">
            <v>9051435</v>
          </cell>
        </row>
        <row r="15934">
          <cell r="A15934">
            <v>9051436</v>
          </cell>
        </row>
        <row r="15935">
          <cell r="A15935">
            <v>9051437</v>
          </cell>
        </row>
        <row r="15936">
          <cell r="A15936">
            <v>9051438</v>
          </cell>
        </row>
        <row r="15937">
          <cell r="A15937">
            <v>9051439</v>
          </cell>
        </row>
        <row r="15938">
          <cell r="A15938">
            <v>9051440</v>
          </cell>
        </row>
        <row r="15939">
          <cell r="A15939">
            <v>9051441</v>
          </cell>
        </row>
        <row r="15940">
          <cell r="A15940">
            <v>9051442</v>
          </cell>
        </row>
        <row r="15941">
          <cell r="A15941">
            <v>9051443</v>
          </cell>
        </row>
        <row r="15942">
          <cell r="A15942">
            <v>9051444</v>
          </cell>
        </row>
        <row r="15943">
          <cell r="A15943">
            <v>9051445</v>
          </cell>
        </row>
        <row r="15944">
          <cell r="A15944">
            <v>9051446</v>
          </cell>
        </row>
        <row r="15945">
          <cell r="A15945">
            <v>9051447</v>
          </cell>
        </row>
        <row r="15946">
          <cell r="A15946">
            <v>9051449</v>
          </cell>
        </row>
        <row r="15947">
          <cell r="A15947">
            <v>9051450</v>
          </cell>
        </row>
        <row r="15948">
          <cell r="A15948">
            <v>9051451</v>
          </cell>
        </row>
        <row r="15949">
          <cell r="A15949">
            <v>9051452</v>
          </cell>
        </row>
        <row r="15950">
          <cell r="A15950">
            <v>9051453</v>
          </cell>
        </row>
        <row r="15951">
          <cell r="A15951">
            <v>9051454</v>
          </cell>
        </row>
        <row r="15952">
          <cell r="A15952">
            <v>9051455</v>
          </cell>
        </row>
        <row r="15953">
          <cell r="A15953">
            <v>9051456</v>
          </cell>
        </row>
        <row r="15954">
          <cell r="A15954">
            <v>9051457</v>
          </cell>
        </row>
        <row r="15955">
          <cell r="A15955">
            <v>9051458</v>
          </cell>
        </row>
        <row r="15956">
          <cell r="A15956">
            <v>9051459</v>
          </cell>
        </row>
        <row r="15957">
          <cell r="A15957">
            <v>9051460</v>
          </cell>
        </row>
        <row r="15958">
          <cell r="A15958">
            <v>9051501</v>
          </cell>
        </row>
        <row r="15959">
          <cell r="A15959">
            <v>9051502</v>
          </cell>
        </row>
        <row r="15960">
          <cell r="A15960">
            <v>9051503</v>
          </cell>
        </row>
        <row r="15961">
          <cell r="A15961">
            <v>9051504</v>
          </cell>
        </row>
        <row r="15962">
          <cell r="A15962">
            <v>9051505</v>
          </cell>
        </row>
        <row r="15963">
          <cell r="A15963">
            <v>9051506</v>
          </cell>
        </row>
        <row r="15964">
          <cell r="A15964">
            <v>9051507</v>
          </cell>
        </row>
        <row r="15965">
          <cell r="A15965">
            <v>9051508</v>
          </cell>
        </row>
        <row r="15966">
          <cell r="A15966">
            <v>9051509</v>
          </cell>
        </row>
        <row r="15967">
          <cell r="A15967">
            <v>9051510</v>
          </cell>
        </row>
        <row r="15968">
          <cell r="A15968">
            <v>9051511</v>
          </cell>
        </row>
        <row r="15969">
          <cell r="A15969">
            <v>9051512</v>
          </cell>
        </row>
        <row r="15970">
          <cell r="A15970">
            <v>9051513</v>
          </cell>
        </row>
        <row r="15971">
          <cell r="A15971">
            <v>9051514</v>
          </cell>
        </row>
        <row r="15972">
          <cell r="A15972">
            <v>9051515</v>
          </cell>
        </row>
        <row r="15973">
          <cell r="A15973">
            <v>9051516</v>
          </cell>
        </row>
        <row r="15974">
          <cell r="A15974">
            <v>9051519</v>
          </cell>
        </row>
        <row r="15975">
          <cell r="A15975">
            <v>9051520</v>
          </cell>
        </row>
        <row r="15976">
          <cell r="A15976">
            <v>9051521</v>
          </cell>
        </row>
        <row r="15977">
          <cell r="A15977">
            <v>9051522</v>
          </cell>
        </row>
        <row r="15978">
          <cell r="A15978">
            <v>9051523</v>
          </cell>
        </row>
        <row r="15979">
          <cell r="A15979">
            <v>9051524</v>
          </cell>
        </row>
        <row r="15980">
          <cell r="A15980">
            <v>9051525</v>
          </cell>
        </row>
        <row r="15981">
          <cell r="A15981">
            <v>9051526</v>
          </cell>
        </row>
        <row r="15982">
          <cell r="A15982">
            <v>9051528</v>
          </cell>
        </row>
        <row r="15983">
          <cell r="A15983">
            <v>9051529</v>
          </cell>
        </row>
        <row r="15984">
          <cell r="A15984">
            <v>9051530</v>
          </cell>
        </row>
        <row r="15985">
          <cell r="A15985">
            <v>9051531</v>
          </cell>
        </row>
        <row r="15986">
          <cell r="A15986">
            <v>9051532</v>
          </cell>
        </row>
        <row r="15987">
          <cell r="A15987">
            <v>9051533</v>
          </cell>
        </row>
        <row r="15988">
          <cell r="A15988">
            <v>9051534</v>
          </cell>
        </row>
        <row r="15989">
          <cell r="A15989">
            <v>9051535</v>
          </cell>
        </row>
        <row r="15990">
          <cell r="A15990">
            <v>9051536</v>
          </cell>
        </row>
        <row r="15991">
          <cell r="A15991">
            <v>9051537</v>
          </cell>
        </row>
        <row r="15992">
          <cell r="A15992">
            <v>9051538</v>
          </cell>
        </row>
        <row r="15993">
          <cell r="A15993">
            <v>9051601</v>
          </cell>
        </row>
        <row r="15994">
          <cell r="A15994">
            <v>9051602</v>
          </cell>
        </row>
        <row r="15995">
          <cell r="A15995">
            <v>9051603</v>
          </cell>
        </row>
        <row r="15996">
          <cell r="A15996">
            <v>9051604</v>
          </cell>
        </row>
        <row r="15997">
          <cell r="A15997">
            <v>9051605</v>
          </cell>
        </row>
        <row r="15998">
          <cell r="A15998">
            <v>9051606</v>
          </cell>
        </row>
        <row r="15999">
          <cell r="A15999">
            <v>9051607</v>
          </cell>
        </row>
        <row r="16000">
          <cell r="A16000">
            <v>9051618</v>
          </cell>
        </row>
        <row r="16001">
          <cell r="A16001">
            <v>9051619</v>
          </cell>
        </row>
        <row r="16002">
          <cell r="A16002">
            <v>9051620</v>
          </cell>
        </row>
        <row r="16003">
          <cell r="A16003">
            <v>9051622</v>
          </cell>
        </row>
        <row r="16004">
          <cell r="A16004">
            <v>9051801</v>
          </cell>
        </row>
        <row r="16005">
          <cell r="A16005">
            <v>9051802</v>
          </cell>
        </row>
        <row r="16006">
          <cell r="A16006">
            <v>9051803</v>
          </cell>
        </row>
        <row r="16007">
          <cell r="A16007">
            <v>9051804</v>
          </cell>
        </row>
        <row r="16008">
          <cell r="A16008">
            <v>9051805</v>
          </cell>
        </row>
        <row r="16009">
          <cell r="A16009">
            <v>9051806</v>
          </cell>
        </row>
        <row r="16010">
          <cell r="A16010">
            <v>9051807</v>
          </cell>
        </row>
        <row r="16011">
          <cell r="A16011">
            <v>9051808</v>
          </cell>
        </row>
        <row r="16012">
          <cell r="A16012">
            <v>9051809</v>
          </cell>
        </row>
        <row r="16013">
          <cell r="A16013">
            <v>9051810</v>
          </cell>
        </row>
        <row r="16014">
          <cell r="A16014">
            <v>9051811</v>
          </cell>
        </row>
        <row r="16015">
          <cell r="A16015">
            <v>9051812</v>
          </cell>
        </row>
        <row r="16016">
          <cell r="A16016">
            <v>9051813</v>
          </cell>
        </row>
        <row r="16017">
          <cell r="A16017">
            <v>9051814</v>
          </cell>
        </row>
        <row r="16018">
          <cell r="A16018">
            <v>9051815</v>
          </cell>
        </row>
        <row r="16019">
          <cell r="A16019">
            <v>9051816</v>
          </cell>
        </row>
        <row r="16020">
          <cell r="A16020">
            <v>9051817</v>
          </cell>
        </row>
        <row r="16021">
          <cell r="A16021">
            <v>9051818</v>
          </cell>
        </row>
        <row r="16022">
          <cell r="A16022">
            <v>9051819</v>
          </cell>
        </row>
        <row r="16023">
          <cell r="A16023">
            <v>9051821</v>
          </cell>
        </row>
        <row r="16024">
          <cell r="A16024">
            <v>9051822</v>
          </cell>
        </row>
        <row r="16025">
          <cell r="A16025">
            <v>9051823</v>
          </cell>
        </row>
        <row r="16026">
          <cell r="A16026">
            <v>9051824</v>
          </cell>
        </row>
        <row r="16027">
          <cell r="A16027">
            <v>9051825</v>
          </cell>
        </row>
        <row r="16028">
          <cell r="A16028">
            <v>9051828</v>
          </cell>
        </row>
        <row r="16029">
          <cell r="A16029">
            <v>9051829</v>
          </cell>
        </row>
        <row r="16030">
          <cell r="A16030">
            <v>9051830</v>
          </cell>
        </row>
        <row r="16031">
          <cell r="A16031">
            <v>9051831</v>
          </cell>
        </row>
        <row r="16032">
          <cell r="A16032">
            <v>9051832</v>
          </cell>
        </row>
        <row r="16033">
          <cell r="A16033">
            <v>9051901</v>
          </cell>
        </row>
        <row r="16034">
          <cell r="A16034">
            <v>9051902</v>
          </cell>
        </row>
        <row r="16035">
          <cell r="A16035">
            <v>9051903</v>
          </cell>
        </row>
        <row r="16036">
          <cell r="A16036">
            <v>9051904</v>
          </cell>
        </row>
        <row r="16037">
          <cell r="A16037">
            <v>9051905</v>
          </cell>
        </row>
        <row r="16038">
          <cell r="A16038">
            <v>9051906</v>
          </cell>
        </row>
        <row r="16039">
          <cell r="A16039">
            <v>9051907</v>
          </cell>
        </row>
        <row r="16040">
          <cell r="A16040">
            <v>9051908</v>
          </cell>
        </row>
        <row r="16041">
          <cell r="A16041">
            <v>9051909</v>
          </cell>
        </row>
        <row r="16042">
          <cell r="A16042">
            <v>9051910</v>
          </cell>
        </row>
        <row r="16043">
          <cell r="A16043">
            <v>9051911</v>
          </cell>
        </row>
        <row r="16044">
          <cell r="A16044">
            <v>9051912</v>
          </cell>
        </row>
        <row r="16045">
          <cell r="A16045">
            <v>9051913</v>
          </cell>
        </row>
        <row r="16046">
          <cell r="A16046">
            <v>9051914</v>
          </cell>
        </row>
        <row r="16047">
          <cell r="A16047">
            <v>9051915</v>
          </cell>
        </row>
        <row r="16048">
          <cell r="A16048">
            <v>9051923</v>
          </cell>
        </row>
        <row r="16049">
          <cell r="A16049">
            <v>9051924</v>
          </cell>
        </row>
        <row r="16050">
          <cell r="A16050">
            <v>9051925</v>
          </cell>
        </row>
        <row r="16051">
          <cell r="A16051">
            <v>9051926</v>
          </cell>
        </row>
        <row r="16052">
          <cell r="A16052">
            <v>9051927</v>
          </cell>
        </row>
        <row r="16053">
          <cell r="A16053">
            <v>9051928</v>
          </cell>
        </row>
        <row r="16054">
          <cell r="A16054">
            <v>9051929</v>
          </cell>
        </row>
        <row r="16055">
          <cell r="A16055">
            <v>9051930</v>
          </cell>
        </row>
        <row r="16056">
          <cell r="A16056">
            <v>9051931</v>
          </cell>
        </row>
        <row r="16057">
          <cell r="A16057">
            <v>9051932</v>
          </cell>
        </row>
        <row r="16058">
          <cell r="A16058">
            <v>9052001</v>
          </cell>
        </row>
        <row r="16059">
          <cell r="A16059">
            <v>9052002</v>
          </cell>
        </row>
        <row r="16060">
          <cell r="A16060">
            <v>9052003</v>
          </cell>
        </row>
        <row r="16061">
          <cell r="A16061">
            <v>9052004</v>
          </cell>
        </row>
        <row r="16062">
          <cell r="A16062">
            <v>9052005</v>
          </cell>
        </row>
        <row r="16063">
          <cell r="A16063">
            <v>9052006</v>
          </cell>
        </row>
        <row r="16064">
          <cell r="A16064">
            <v>9052007</v>
          </cell>
        </row>
        <row r="16065">
          <cell r="A16065">
            <v>9052008</v>
          </cell>
        </row>
        <row r="16066">
          <cell r="A16066">
            <v>9052009</v>
          </cell>
        </row>
        <row r="16067">
          <cell r="A16067">
            <v>9052010</v>
          </cell>
        </row>
        <row r="16068">
          <cell r="A16068">
            <v>9052011</v>
          </cell>
        </row>
        <row r="16069">
          <cell r="A16069">
            <v>9052012</v>
          </cell>
        </row>
        <row r="16070">
          <cell r="A16070">
            <v>9052013</v>
          </cell>
        </row>
        <row r="16071">
          <cell r="A16071">
            <v>9052014</v>
          </cell>
        </row>
        <row r="16072">
          <cell r="A16072">
            <v>9052015</v>
          </cell>
        </row>
        <row r="16073">
          <cell r="A16073">
            <v>9052016</v>
          </cell>
        </row>
        <row r="16074">
          <cell r="A16074">
            <v>9052017</v>
          </cell>
        </row>
        <row r="16075">
          <cell r="A16075">
            <v>9052018</v>
          </cell>
        </row>
        <row r="16076">
          <cell r="A16076">
            <v>9052019</v>
          </cell>
        </row>
        <row r="16077">
          <cell r="A16077">
            <v>9052020</v>
          </cell>
        </row>
        <row r="16078">
          <cell r="A16078">
            <v>9052021</v>
          </cell>
        </row>
        <row r="16079">
          <cell r="A16079">
            <v>9052022</v>
          </cell>
        </row>
        <row r="16080">
          <cell r="A16080">
            <v>9052023</v>
          </cell>
        </row>
        <row r="16081">
          <cell r="A16081">
            <v>9052024</v>
          </cell>
        </row>
        <row r="16082">
          <cell r="A16082">
            <v>9052025</v>
          </cell>
        </row>
        <row r="16083">
          <cell r="A16083">
            <v>9052026</v>
          </cell>
        </row>
        <row r="16084">
          <cell r="A16084">
            <v>9052027</v>
          </cell>
        </row>
        <row r="16085">
          <cell r="A16085">
            <v>9052028</v>
          </cell>
        </row>
        <row r="16086">
          <cell r="A16086">
            <v>9052029</v>
          </cell>
        </row>
        <row r="16087">
          <cell r="A16087">
            <v>9052030</v>
          </cell>
        </row>
        <row r="16088">
          <cell r="A16088">
            <v>9052031</v>
          </cell>
        </row>
        <row r="16089">
          <cell r="A16089">
            <v>9052032</v>
          </cell>
        </row>
        <row r="16090">
          <cell r="A16090">
            <v>9052033</v>
          </cell>
        </row>
        <row r="16091">
          <cell r="A16091">
            <v>9052034</v>
          </cell>
        </row>
        <row r="16092">
          <cell r="A16092">
            <v>9052035</v>
          </cell>
        </row>
        <row r="16093">
          <cell r="A16093">
            <v>9052036</v>
          </cell>
        </row>
        <row r="16094">
          <cell r="A16094">
            <v>9052037</v>
          </cell>
        </row>
        <row r="16095">
          <cell r="A16095">
            <v>9052038</v>
          </cell>
        </row>
        <row r="16096">
          <cell r="A16096">
            <v>9052039</v>
          </cell>
        </row>
        <row r="16097">
          <cell r="A16097">
            <v>9052040</v>
          </cell>
        </row>
        <row r="16098">
          <cell r="A16098">
            <v>9052041</v>
          </cell>
        </row>
        <row r="16099">
          <cell r="A16099">
            <v>9052042</v>
          </cell>
        </row>
        <row r="16100">
          <cell r="A16100">
            <v>9052043</v>
          </cell>
        </row>
        <row r="16101">
          <cell r="A16101">
            <v>9052044</v>
          </cell>
        </row>
        <row r="16102">
          <cell r="A16102">
            <v>9052045</v>
          </cell>
        </row>
        <row r="16103">
          <cell r="A16103">
            <v>9052046</v>
          </cell>
        </row>
        <row r="16104">
          <cell r="A16104">
            <v>9052047</v>
          </cell>
        </row>
        <row r="16105">
          <cell r="A16105">
            <v>9052048</v>
          </cell>
        </row>
        <row r="16106">
          <cell r="A16106">
            <v>9052051</v>
          </cell>
        </row>
        <row r="16107">
          <cell r="A16107">
            <v>9052052</v>
          </cell>
        </row>
        <row r="16108">
          <cell r="A16108">
            <v>9052053</v>
          </cell>
        </row>
        <row r="16109">
          <cell r="A16109">
            <v>9052054</v>
          </cell>
        </row>
        <row r="16110">
          <cell r="A16110">
            <v>9052101</v>
          </cell>
        </row>
        <row r="16111">
          <cell r="A16111">
            <v>9052102</v>
          </cell>
        </row>
        <row r="16112">
          <cell r="A16112">
            <v>9052103</v>
          </cell>
        </row>
        <row r="16113">
          <cell r="A16113">
            <v>9052104</v>
          </cell>
        </row>
        <row r="16114">
          <cell r="A16114">
            <v>9052105</v>
          </cell>
        </row>
        <row r="16115">
          <cell r="A16115">
            <v>9052106</v>
          </cell>
        </row>
        <row r="16116">
          <cell r="A16116">
            <v>9052107</v>
          </cell>
        </row>
        <row r="16117">
          <cell r="A16117">
            <v>9052108</v>
          </cell>
        </row>
        <row r="16118">
          <cell r="A16118">
            <v>9052109</v>
          </cell>
        </row>
        <row r="16119">
          <cell r="A16119">
            <v>9052110</v>
          </cell>
        </row>
        <row r="16120">
          <cell r="A16120">
            <v>9052111</v>
          </cell>
        </row>
        <row r="16121">
          <cell r="A16121">
            <v>9052112</v>
          </cell>
        </row>
        <row r="16122">
          <cell r="A16122">
            <v>9052113</v>
          </cell>
        </row>
        <row r="16123">
          <cell r="A16123">
            <v>9052114</v>
          </cell>
        </row>
        <row r="16124">
          <cell r="A16124">
            <v>9052115</v>
          </cell>
        </row>
        <row r="16125">
          <cell r="A16125">
            <v>9052116</v>
          </cell>
        </row>
        <row r="16126">
          <cell r="A16126">
            <v>9052117</v>
          </cell>
        </row>
        <row r="16127">
          <cell r="A16127">
            <v>9052118</v>
          </cell>
        </row>
        <row r="16128">
          <cell r="A16128">
            <v>9052119</v>
          </cell>
        </row>
        <row r="16129">
          <cell r="A16129">
            <v>9052120</v>
          </cell>
        </row>
        <row r="16130">
          <cell r="A16130">
            <v>9052121</v>
          </cell>
        </row>
        <row r="16131">
          <cell r="A16131">
            <v>9052122</v>
          </cell>
        </row>
        <row r="16132">
          <cell r="A16132">
            <v>9052123</v>
          </cell>
        </row>
        <row r="16133">
          <cell r="A16133">
            <v>9052124</v>
          </cell>
        </row>
        <row r="16134">
          <cell r="A16134">
            <v>9052125</v>
          </cell>
        </row>
        <row r="16135">
          <cell r="A16135">
            <v>9052126</v>
          </cell>
        </row>
        <row r="16136">
          <cell r="A16136">
            <v>9052127</v>
          </cell>
        </row>
        <row r="16137">
          <cell r="A16137">
            <v>9052128</v>
          </cell>
        </row>
        <row r="16138">
          <cell r="A16138">
            <v>9052129</v>
          </cell>
        </row>
        <row r="16139">
          <cell r="A16139">
            <v>9052130</v>
          </cell>
        </row>
        <row r="16140">
          <cell r="A16140">
            <v>9052131</v>
          </cell>
        </row>
        <row r="16141">
          <cell r="A16141">
            <v>9052132</v>
          </cell>
        </row>
        <row r="16142">
          <cell r="A16142">
            <v>9052133</v>
          </cell>
        </row>
        <row r="16143">
          <cell r="A16143">
            <v>9052134</v>
          </cell>
        </row>
        <row r="16144">
          <cell r="A16144">
            <v>9052135</v>
          </cell>
        </row>
        <row r="16145">
          <cell r="A16145">
            <v>9052136</v>
          </cell>
        </row>
        <row r="16146">
          <cell r="A16146">
            <v>9052137</v>
          </cell>
        </row>
        <row r="16147">
          <cell r="A16147">
            <v>9052138</v>
          </cell>
        </row>
        <row r="16148">
          <cell r="A16148">
            <v>9052139</v>
          </cell>
        </row>
        <row r="16149">
          <cell r="A16149">
            <v>9052140</v>
          </cell>
        </row>
        <row r="16150">
          <cell r="A16150">
            <v>9052141</v>
          </cell>
        </row>
        <row r="16151">
          <cell r="A16151">
            <v>9052142</v>
          </cell>
        </row>
        <row r="16152">
          <cell r="A16152">
            <v>9052143</v>
          </cell>
        </row>
        <row r="16153">
          <cell r="A16153">
            <v>9052148</v>
          </cell>
        </row>
        <row r="16154">
          <cell r="A16154">
            <v>9052149</v>
          </cell>
        </row>
        <row r="16155">
          <cell r="A16155">
            <v>9052150</v>
          </cell>
        </row>
        <row r="16156">
          <cell r="A16156">
            <v>9052151</v>
          </cell>
        </row>
        <row r="16157">
          <cell r="A16157">
            <v>9052153</v>
          </cell>
        </row>
        <row r="16158">
          <cell r="A16158">
            <v>9052154</v>
          </cell>
        </row>
        <row r="16159">
          <cell r="A16159">
            <v>9052155</v>
          </cell>
        </row>
        <row r="16160">
          <cell r="A16160">
            <v>9052156</v>
          </cell>
        </row>
        <row r="16161">
          <cell r="A16161">
            <v>9052157</v>
          </cell>
        </row>
        <row r="16162">
          <cell r="A16162">
            <v>9052158</v>
          </cell>
        </row>
        <row r="16163">
          <cell r="A16163">
            <v>9052201</v>
          </cell>
        </row>
        <row r="16164">
          <cell r="A16164">
            <v>9052202</v>
          </cell>
        </row>
        <row r="16165">
          <cell r="A16165">
            <v>9052203</v>
          </cell>
        </row>
        <row r="16166">
          <cell r="A16166">
            <v>9052204</v>
          </cell>
        </row>
        <row r="16167">
          <cell r="A16167">
            <v>9052205</v>
          </cell>
        </row>
        <row r="16168">
          <cell r="A16168">
            <v>9052206</v>
          </cell>
        </row>
        <row r="16169">
          <cell r="A16169">
            <v>9052207</v>
          </cell>
        </row>
        <row r="16170">
          <cell r="A16170">
            <v>9052208</v>
          </cell>
        </row>
        <row r="16171">
          <cell r="A16171">
            <v>9052209</v>
          </cell>
        </row>
        <row r="16172">
          <cell r="A16172">
            <v>9052210</v>
          </cell>
        </row>
        <row r="16173">
          <cell r="A16173">
            <v>9052211</v>
          </cell>
        </row>
        <row r="16174">
          <cell r="A16174">
            <v>9052212</v>
          </cell>
        </row>
        <row r="16175">
          <cell r="A16175">
            <v>9052213</v>
          </cell>
        </row>
        <row r="16176">
          <cell r="A16176">
            <v>9052214</v>
          </cell>
        </row>
        <row r="16177">
          <cell r="A16177">
            <v>9052215</v>
          </cell>
        </row>
        <row r="16178">
          <cell r="A16178">
            <v>9052216</v>
          </cell>
        </row>
        <row r="16179">
          <cell r="A16179">
            <v>9052217</v>
          </cell>
        </row>
        <row r="16180">
          <cell r="A16180">
            <v>9052218</v>
          </cell>
        </row>
        <row r="16181">
          <cell r="A16181">
            <v>9052219</v>
          </cell>
        </row>
        <row r="16182">
          <cell r="A16182">
            <v>9052220</v>
          </cell>
        </row>
        <row r="16183">
          <cell r="A16183">
            <v>9052221</v>
          </cell>
        </row>
        <row r="16184">
          <cell r="A16184">
            <v>9052222</v>
          </cell>
        </row>
        <row r="16185">
          <cell r="A16185">
            <v>9052223</v>
          </cell>
        </row>
        <row r="16186">
          <cell r="A16186">
            <v>9052224</v>
          </cell>
        </row>
        <row r="16187">
          <cell r="A16187">
            <v>9052225</v>
          </cell>
        </row>
        <row r="16188">
          <cell r="A16188">
            <v>9052226</v>
          </cell>
        </row>
        <row r="16189">
          <cell r="A16189">
            <v>9052227</v>
          </cell>
        </row>
        <row r="16190">
          <cell r="A16190">
            <v>9052228</v>
          </cell>
        </row>
        <row r="16191">
          <cell r="A16191">
            <v>9052229</v>
          </cell>
        </row>
        <row r="16192">
          <cell r="A16192">
            <v>9052230</v>
          </cell>
        </row>
        <row r="16193">
          <cell r="A16193">
            <v>9052231</v>
          </cell>
        </row>
        <row r="16194">
          <cell r="A16194">
            <v>9052232</v>
          </cell>
        </row>
        <row r="16195">
          <cell r="A16195">
            <v>9052233</v>
          </cell>
        </row>
        <row r="16196">
          <cell r="A16196">
            <v>9052234</v>
          </cell>
        </row>
        <row r="16197">
          <cell r="A16197">
            <v>9052235</v>
          </cell>
        </row>
        <row r="16198">
          <cell r="A16198">
            <v>9052301</v>
          </cell>
        </row>
        <row r="16199">
          <cell r="A16199">
            <v>9052302</v>
          </cell>
        </row>
        <row r="16200">
          <cell r="A16200">
            <v>9052303</v>
          </cell>
        </row>
        <row r="16201">
          <cell r="A16201">
            <v>9052304</v>
          </cell>
        </row>
        <row r="16202">
          <cell r="A16202">
            <v>9052305</v>
          </cell>
        </row>
        <row r="16203">
          <cell r="A16203">
            <v>9052306</v>
          </cell>
        </row>
        <row r="16204">
          <cell r="A16204">
            <v>9052307</v>
          </cell>
        </row>
        <row r="16205">
          <cell r="A16205">
            <v>9052308</v>
          </cell>
        </row>
        <row r="16206">
          <cell r="A16206">
            <v>9052309</v>
          </cell>
        </row>
        <row r="16207">
          <cell r="A16207">
            <v>9052310</v>
          </cell>
        </row>
        <row r="16208">
          <cell r="A16208">
            <v>9052311</v>
          </cell>
        </row>
        <row r="16209">
          <cell r="A16209">
            <v>9052312</v>
          </cell>
        </row>
        <row r="16210">
          <cell r="A16210">
            <v>9052313</v>
          </cell>
        </row>
        <row r="16211">
          <cell r="A16211">
            <v>9052314</v>
          </cell>
        </row>
        <row r="16212">
          <cell r="A16212">
            <v>9052320</v>
          </cell>
        </row>
        <row r="16213">
          <cell r="A16213">
            <v>9052321</v>
          </cell>
        </row>
        <row r="16214">
          <cell r="A16214">
            <v>9052322</v>
          </cell>
        </row>
        <row r="16215">
          <cell r="A16215">
            <v>9052323</v>
          </cell>
        </row>
        <row r="16216">
          <cell r="A16216">
            <v>9052324</v>
          </cell>
        </row>
        <row r="16217">
          <cell r="A16217">
            <v>9052325</v>
          </cell>
        </row>
        <row r="16218">
          <cell r="A16218">
            <v>9052326</v>
          </cell>
        </row>
        <row r="16219">
          <cell r="A16219">
            <v>9052327</v>
          </cell>
        </row>
        <row r="16220">
          <cell r="A16220">
            <v>9052329</v>
          </cell>
        </row>
        <row r="16221">
          <cell r="A16221">
            <v>9052330</v>
          </cell>
        </row>
        <row r="16222">
          <cell r="A16222">
            <v>9052501</v>
          </cell>
        </row>
        <row r="16223">
          <cell r="A16223">
            <v>9052502</v>
          </cell>
        </row>
        <row r="16224">
          <cell r="A16224">
            <v>9052503</v>
          </cell>
        </row>
        <row r="16225">
          <cell r="A16225">
            <v>9052504</v>
          </cell>
        </row>
        <row r="16226">
          <cell r="A16226">
            <v>9052505</v>
          </cell>
        </row>
        <row r="16227">
          <cell r="A16227">
            <v>9052506</v>
          </cell>
        </row>
        <row r="16228">
          <cell r="A16228">
            <v>9052507</v>
          </cell>
        </row>
        <row r="16229">
          <cell r="A16229">
            <v>9052508</v>
          </cell>
        </row>
        <row r="16230">
          <cell r="A16230">
            <v>9052509</v>
          </cell>
        </row>
        <row r="16231">
          <cell r="A16231">
            <v>9052510</v>
          </cell>
        </row>
        <row r="16232">
          <cell r="A16232">
            <v>9052511</v>
          </cell>
        </row>
        <row r="16233">
          <cell r="A16233">
            <v>9052512</v>
          </cell>
        </row>
        <row r="16234">
          <cell r="A16234">
            <v>9052520</v>
          </cell>
        </row>
        <row r="16235">
          <cell r="A16235">
            <v>9052521</v>
          </cell>
        </row>
        <row r="16236">
          <cell r="A16236">
            <v>9052522</v>
          </cell>
        </row>
        <row r="16237">
          <cell r="A16237">
            <v>9052523</v>
          </cell>
        </row>
        <row r="16238">
          <cell r="A16238">
            <v>9052524</v>
          </cell>
        </row>
        <row r="16239">
          <cell r="A16239">
            <v>9052525</v>
          </cell>
        </row>
        <row r="16240">
          <cell r="A16240">
            <v>9052526</v>
          </cell>
        </row>
        <row r="16241">
          <cell r="A16241">
            <v>9052527</v>
          </cell>
        </row>
        <row r="16242">
          <cell r="A16242">
            <v>9052528</v>
          </cell>
        </row>
        <row r="16243">
          <cell r="A16243">
            <v>9052529</v>
          </cell>
        </row>
        <row r="16244">
          <cell r="A16244">
            <v>9052530</v>
          </cell>
        </row>
        <row r="16245">
          <cell r="A16245">
            <v>9052601</v>
          </cell>
        </row>
        <row r="16246">
          <cell r="A16246">
            <v>9052602</v>
          </cell>
        </row>
        <row r="16247">
          <cell r="A16247">
            <v>9052603</v>
          </cell>
        </row>
        <row r="16248">
          <cell r="A16248">
            <v>9052604</v>
          </cell>
        </row>
        <row r="16249">
          <cell r="A16249">
            <v>9052605</v>
          </cell>
        </row>
        <row r="16250">
          <cell r="A16250">
            <v>9052606</v>
          </cell>
        </row>
        <row r="16251">
          <cell r="A16251">
            <v>9052607</v>
          </cell>
        </row>
        <row r="16252">
          <cell r="A16252">
            <v>9052608</v>
          </cell>
        </row>
        <row r="16253">
          <cell r="A16253">
            <v>9052609</v>
          </cell>
        </row>
        <row r="16254">
          <cell r="A16254">
            <v>9052610</v>
          </cell>
        </row>
        <row r="16255">
          <cell r="A16255">
            <v>9052611</v>
          </cell>
        </row>
        <row r="16256">
          <cell r="A16256">
            <v>9052612</v>
          </cell>
        </row>
        <row r="16257">
          <cell r="A16257">
            <v>9052613</v>
          </cell>
        </row>
        <row r="16258">
          <cell r="A16258">
            <v>9052614</v>
          </cell>
        </row>
        <row r="16259">
          <cell r="A16259">
            <v>9052615</v>
          </cell>
        </row>
        <row r="16260">
          <cell r="A16260">
            <v>9052616</v>
          </cell>
        </row>
        <row r="16261">
          <cell r="A16261">
            <v>9052617</v>
          </cell>
        </row>
        <row r="16262">
          <cell r="A16262">
            <v>9052618</v>
          </cell>
        </row>
        <row r="16263">
          <cell r="A16263">
            <v>9052619</v>
          </cell>
        </row>
        <row r="16264">
          <cell r="A16264">
            <v>9052620</v>
          </cell>
        </row>
        <row r="16265">
          <cell r="A16265">
            <v>9052629</v>
          </cell>
        </row>
        <row r="16266">
          <cell r="A16266">
            <v>9052630</v>
          </cell>
        </row>
        <row r="16267">
          <cell r="A16267">
            <v>9052631</v>
          </cell>
        </row>
        <row r="16268">
          <cell r="A16268">
            <v>9052632</v>
          </cell>
        </row>
        <row r="16269">
          <cell r="A16269">
            <v>9052633</v>
          </cell>
        </row>
        <row r="16270">
          <cell r="A16270">
            <v>9052634</v>
          </cell>
        </row>
        <row r="16271">
          <cell r="A16271">
            <v>9052635</v>
          </cell>
        </row>
        <row r="16272">
          <cell r="A16272">
            <v>9052636</v>
          </cell>
        </row>
        <row r="16273">
          <cell r="A16273">
            <v>9052637</v>
          </cell>
        </row>
        <row r="16274">
          <cell r="A16274">
            <v>9052639</v>
          </cell>
        </row>
        <row r="16275">
          <cell r="A16275">
            <v>9052640</v>
          </cell>
        </row>
        <row r="16276">
          <cell r="A16276">
            <v>9052641</v>
          </cell>
        </row>
        <row r="16277">
          <cell r="A16277">
            <v>9052642</v>
          </cell>
        </row>
        <row r="16278">
          <cell r="A16278">
            <v>9052643</v>
          </cell>
        </row>
        <row r="16279">
          <cell r="A16279">
            <v>9052644</v>
          </cell>
        </row>
        <row r="16280">
          <cell r="A16280">
            <v>9052645</v>
          </cell>
        </row>
        <row r="16281">
          <cell r="A16281">
            <v>9052646</v>
          </cell>
        </row>
        <row r="16282">
          <cell r="A16282">
            <v>9052701</v>
          </cell>
        </row>
        <row r="16283">
          <cell r="A16283">
            <v>9052702</v>
          </cell>
        </row>
        <row r="16284">
          <cell r="A16284">
            <v>9052703</v>
          </cell>
        </row>
        <row r="16285">
          <cell r="A16285">
            <v>9052704</v>
          </cell>
        </row>
        <row r="16286">
          <cell r="A16286">
            <v>9052705</v>
          </cell>
        </row>
        <row r="16287">
          <cell r="A16287">
            <v>9052706</v>
          </cell>
        </row>
        <row r="16288">
          <cell r="A16288">
            <v>9052707</v>
          </cell>
        </row>
        <row r="16289">
          <cell r="A16289">
            <v>9052708</v>
          </cell>
        </row>
        <row r="16290">
          <cell r="A16290">
            <v>9052709</v>
          </cell>
        </row>
        <row r="16291">
          <cell r="A16291">
            <v>9052710</v>
          </cell>
        </row>
        <row r="16292">
          <cell r="A16292">
            <v>9052711</v>
          </cell>
        </row>
        <row r="16293">
          <cell r="A16293">
            <v>9052712</v>
          </cell>
        </row>
        <row r="16294">
          <cell r="A16294">
            <v>9052713</v>
          </cell>
        </row>
        <row r="16295">
          <cell r="A16295">
            <v>9052714</v>
          </cell>
        </row>
        <row r="16296">
          <cell r="A16296">
            <v>9052715</v>
          </cell>
        </row>
        <row r="16297">
          <cell r="A16297">
            <v>9052716</v>
          </cell>
        </row>
        <row r="16298">
          <cell r="A16298">
            <v>9052717</v>
          </cell>
        </row>
        <row r="16299">
          <cell r="A16299">
            <v>9052718</v>
          </cell>
        </row>
        <row r="16300">
          <cell r="A16300">
            <v>9052719</v>
          </cell>
        </row>
        <row r="16301">
          <cell r="A16301">
            <v>9052720</v>
          </cell>
        </row>
        <row r="16302">
          <cell r="A16302">
            <v>9052721</v>
          </cell>
        </row>
        <row r="16303">
          <cell r="A16303">
            <v>9052722</v>
          </cell>
        </row>
        <row r="16304">
          <cell r="A16304">
            <v>9052723</v>
          </cell>
        </row>
        <row r="16305">
          <cell r="A16305">
            <v>9052724</v>
          </cell>
        </row>
        <row r="16306">
          <cell r="A16306">
            <v>9052725</v>
          </cell>
        </row>
        <row r="16307">
          <cell r="A16307">
            <v>9052732</v>
          </cell>
        </row>
        <row r="16308">
          <cell r="A16308">
            <v>9052733</v>
          </cell>
        </row>
        <row r="16309">
          <cell r="A16309">
            <v>9052737</v>
          </cell>
        </row>
        <row r="16310">
          <cell r="A16310">
            <v>9052738</v>
          </cell>
        </row>
        <row r="16311">
          <cell r="A16311">
            <v>9052739</v>
          </cell>
        </row>
        <row r="16312">
          <cell r="A16312">
            <v>9052801</v>
          </cell>
        </row>
        <row r="16313">
          <cell r="A16313">
            <v>9052802</v>
          </cell>
        </row>
        <row r="16314">
          <cell r="A16314">
            <v>9052803</v>
          </cell>
        </row>
        <row r="16315">
          <cell r="A16315">
            <v>9052804</v>
          </cell>
        </row>
        <row r="16316">
          <cell r="A16316">
            <v>9052805</v>
          </cell>
        </row>
        <row r="16317">
          <cell r="A16317">
            <v>9052806</v>
          </cell>
        </row>
        <row r="16318">
          <cell r="A16318">
            <v>9052807</v>
          </cell>
        </row>
        <row r="16319">
          <cell r="A16319">
            <v>9052808</v>
          </cell>
        </row>
        <row r="16320">
          <cell r="A16320">
            <v>9052809</v>
          </cell>
        </row>
        <row r="16321">
          <cell r="A16321">
            <v>9052810</v>
          </cell>
        </row>
        <row r="16322">
          <cell r="A16322">
            <v>9052811</v>
          </cell>
        </row>
        <row r="16323">
          <cell r="A16323">
            <v>9052812</v>
          </cell>
        </row>
        <row r="16324">
          <cell r="A16324">
            <v>9052813</v>
          </cell>
        </row>
        <row r="16325">
          <cell r="A16325">
            <v>9052814</v>
          </cell>
        </row>
        <row r="16326">
          <cell r="A16326">
            <v>9052815</v>
          </cell>
        </row>
        <row r="16327">
          <cell r="A16327">
            <v>9052816</v>
          </cell>
        </row>
        <row r="16328">
          <cell r="A16328">
            <v>9052817</v>
          </cell>
        </row>
        <row r="16329">
          <cell r="A16329">
            <v>9052818</v>
          </cell>
        </row>
        <row r="16330">
          <cell r="A16330">
            <v>9052819</v>
          </cell>
        </row>
        <row r="16331">
          <cell r="A16331">
            <v>9052820</v>
          </cell>
        </row>
        <row r="16332">
          <cell r="A16332">
            <v>9052821</v>
          </cell>
        </row>
        <row r="16333">
          <cell r="A16333">
            <v>9052822</v>
          </cell>
        </row>
        <row r="16334">
          <cell r="A16334">
            <v>9052823</v>
          </cell>
        </row>
        <row r="16335">
          <cell r="A16335">
            <v>9052824</v>
          </cell>
        </row>
        <row r="16336">
          <cell r="A16336">
            <v>9052825</v>
          </cell>
        </row>
        <row r="16337">
          <cell r="A16337">
            <v>9052826</v>
          </cell>
        </row>
        <row r="16338">
          <cell r="A16338">
            <v>9052827</v>
          </cell>
        </row>
        <row r="16339">
          <cell r="A16339">
            <v>9052828</v>
          </cell>
        </row>
        <row r="16340">
          <cell r="A16340">
            <v>9052829</v>
          </cell>
        </row>
        <row r="16341">
          <cell r="A16341">
            <v>9052830</v>
          </cell>
        </row>
        <row r="16342">
          <cell r="A16342">
            <v>9052831</v>
          </cell>
        </row>
        <row r="16343">
          <cell r="A16343">
            <v>9052832</v>
          </cell>
        </row>
        <row r="16344">
          <cell r="A16344">
            <v>9052833</v>
          </cell>
        </row>
        <row r="16345">
          <cell r="A16345">
            <v>9052834</v>
          </cell>
        </row>
        <row r="16346">
          <cell r="A16346">
            <v>9052835</v>
          </cell>
        </row>
        <row r="16347">
          <cell r="A16347">
            <v>9052836</v>
          </cell>
        </row>
        <row r="16348">
          <cell r="A16348">
            <v>9052837</v>
          </cell>
        </row>
        <row r="16349">
          <cell r="A16349">
            <v>9052838</v>
          </cell>
        </row>
        <row r="16350">
          <cell r="A16350">
            <v>9052840</v>
          </cell>
        </row>
        <row r="16351">
          <cell r="A16351">
            <v>9052841</v>
          </cell>
        </row>
        <row r="16352">
          <cell r="A16352">
            <v>9052842</v>
          </cell>
        </row>
        <row r="16353">
          <cell r="A16353">
            <v>9052843</v>
          </cell>
        </row>
        <row r="16354">
          <cell r="A16354">
            <v>9052844</v>
          </cell>
        </row>
        <row r="16355">
          <cell r="A16355">
            <v>9052845</v>
          </cell>
        </row>
        <row r="16356">
          <cell r="A16356">
            <v>9052849</v>
          </cell>
        </row>
        <row r="16357">
          <cell r="A16357">
            <v>9052850</v>
          </cell>
        </row>
        <row r="16358">
          <cell r="A16358">
            <v>9052901</v>
          </cell>
        </row>
        <row r="16359">
          <cell r="A16359">
            <v>9052902</v>
          </cell>
        </row>
        <row r="16360">
          <cell r="A16360">
            <v>9052903</v>
          </cell>
        </row>
        <row r="16361">
          <cell r="A16361">
            <v>9052904</v>
          </cell>
        </row>
        <row r="16362">
          <cell r="A16362">
            <v>9052905</v>
          </cell>
        </row>
        <row r="16363">
          <cell r="A16363">
            <v>9052906</v>
          </cell>
        </row>
        <row r="16364">
          <cell r="A16364">
            <v>9052907</v>
          </cell>
        </row>
        <row r="16365">
          <cell r="A16365">
            <v>9052908</v>
          </cell>
        </row>
        <row r="16366">
          <cell r="A16366">
            <v>9052909</v>
          </cell>
        </row>
        <row r="16367">
          <cell r="A16367">
            <v>9052910</v>
          </cell>
        </row>
        <row r="16368">
          <cell r="A16368">
            <v>9052911</v>
          </cell>
        </row>
        <row r="16369">
          <cell r="A16369">
            <v>9052912</v>
          </cell>
        </row>
        <row r="16370">
          <cell r="A16370">
            <v>9052913</v>
          </cell>
        </row>
        <row r="16371">
          <cell r="A16371">
            <v>9052914</v>
          </cell>
        </row>
        <row r="16372">
          <cell r="A16372">
            <v>9052915</v>
          </cell>
        </row>
        <row r="16373">
          <cell r="A16373">
            <v>9052916</v>
          </cell>
        </row>
        <row r="16374">
          <cell r="A16374">
            <v>9052917</v>
          </cell>
        </row>
        <row r="16375">
          <cell r="A16375">
            <v>9052918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รวม2 ct,cp,m"/>
      <sheetName val="DATABASE"/>
      <sheetName val="FORM"/>
      <sheetName val="Jan-25"/>
      <sheetName val="FEB-25"/>
      <sheetName val="Mar-25"/>
      <sheetName val="APR-25"/>
      <sheetName val="May-25"/>
      <sheetName val="Jun-25"/>
      <sheetName val="Jul-25"/>
      <sheetName val="Aug-25"/>
      <sheetName val="Sep-25"/>
      <sheetName val="Oct-25"/>
      <sheetName val="Nov-25"/>
      <sheetName val="Dec-25"/>
      <sheetName val="Jan-26"/>
      <sheetName val="Feb-26"/>
      <sheetName val="Sheet1"/>
      <sheetName val="reportCT1"/>
      <sheetName val="ot"/>
      <sheetName val="RESULT"/>
    </sheetNames>
    <sheetDataSet>
      <sheetData sheetId="0"/>
      <sheetData sheetId="1">
        <row r="2">
          <cell r="A2" t="str">
            <v>SC12</v>
          </cell>
          <cell r="B2" t="str">
            <v>หน้าตัดลาย</v>
          </cell>
          <cell r="C2" t="str">
            <v>SCREENING</v>
          </cell>
          <cell r="D2">
            <v>4.1666666666666664E-2</v>
          </cell>
          <cell r="E2" t="str">
            <v>A</v>
          </cell>
          <cell r="F2" t="str">
            <v>DAY</v>
          </cell>
        </row>
        <row r="3">
          <cell r="A3" t="str">
            <v>SC13</v>
          </cell>
          <cell r="B3" t="str">
            <v>หน้าตัดเอียง</v>
          </cell>
          <cell r="C3" t="str">
            <v>MEETING,CLEANING</v>
          </cell>
          <cell r="D3">
            <v>6.9444444444444441E-3</v>
          </cell>
          <cell r="E3" t="str">
            <v>B</v>
          </cell>
          <cell r="F3" t="str">
            <v>NIGHT</v>
          </cell>
        </row>
        <row r="4">
          <cell r="A4" t="str">
            <v>SC15</v>
          </cell>
          <cell r="B4" t="str">
            <v>รอยลำตัว</v>
          </cell>
          <cell r="C4" t="str">
            <v>ซ่อมเครื่องจักร</v>
          </cell>
          <cell r="D4">
            <v>1.3888888888888888E-2</v>
          </cell>
        </row>
        <row r="5">
          <cell r="A5" t="str">
            <v>SC17</v>
          </cell>
          <cell r="B5" t="str">
            <v>รอย Chuck</v>
          </cell>
          <cell r="C5" t="str">
            <v>เปลี่ยนใบเลื่อย</v>
          </cell>
          <cell r="D5">
            <v>2.0833333333333332E-2</v>
          </cell>
        </row>
        <row r="6">
          <cell r="A6" t="str">
            <v>SC18</v>
          </cell>
          <cell r="B6" t="str">
            <v>รอย Step</v>
          </cell>
          <cell r="C6" t="str">
            <v>เปลี่ยนinsert</v>
          </cell>
          <cell r="D6">
            <v>2.7777777777777776E-2</v>
          </cell>
        </row>
        <row r="7">
          <cell r="A7" t="str">
            <v>SC19</v>
          </cell>
          <cell r="B7" t="str">
            <v>งานเป็นสนิม</v>
          </cell>
          <cell r="C7" t="str">
            <v>เปลี่ยนอะไหล่</v>
          </cell>
          <cell r="D7">
            <v>3.4722222222222224E-2</v>
          </cell>
        </row>
        <row r="8">
          <cell r="A8" t="str">
            <v>SC20</v>
          </cell>
          <cell r="B8" t="str">
            <v>Chamfer เอียง</v>
          </cell>
          <cell r="C8" t="str">
            <v>NO PLAN PC</v>
          </cell>
          <cell r="D8">
            <v>0</v>
          </cell>
        </row>
        <row r="9">
          <cell r="A9" t="str">
            <v>SC21</v>
          </cell>
          <cell r="B9" t="str">
            <v xml:space="preserve">Chamfer Over Spec </v>
          </cell>
          <cell r="C9" t="str">
            <v>WAIT RAW MATERIAL</v>
          </cell>
        </row>
        <row r="10">
          <cell r="A10" t="str">
            <v>SC22</v>
          </cell>
          <cell r="B10" t="str">
            <v>Chamfer Lower Spec</v>
          </cell>
          <cell r="C10" t="str">
            <v>No Worker</v>
          </cell>
        </row>
        <row r="11">
          <cell r="A11" t="str">
            <v>SC23</v>
          </cell>
          <cell r="B11" t="str">
            <v>Diameter Over</v>
          </cell>
          <cell r="C11" t="str">
            <v>PM เครื่องจักร</v>
          </cell>
        </row>
        <row r="12">
          <cell r="A12" t="str">
            <v>SC24</v>
          </cell>
          <cell r="B12" t="str">
            <v>Diameter Lower</v>
          </cell>
          <cell r="C12" t="str">
            <v>PE Test new Product</v>
          </cell>
        </row>
        <row r="13">
          <cell r="A13" t="str">
            <v>SC25</v>
          </cell>
          <cell r="B13" t="str">
            <v>Senter Dill Over Spec</v>
          </cell>
          <cell r="C13" t="str">
            <v>NO OT</v>
          </cell>
        </row>
        <row r="14">
          <cell r="A14" t="str">
            <v>SC26</v>
          </cell>
          <cell r="B14" t="str">
            <v>Senter Dill Lower Spec</v>
          </cell>
          <cell r="C14" t="str">
            <v>งานมีปัญหา</v>
          </cell>
        </row>
        <row r="15">
          <cell r="A15" t="str">
            <v>SC27</v>
          </cell>
          <cell r="B15" t="str">
            <v>No Chamfer</v>
          </cell>
          <cell r="C15" t="str">
            <v>Training</v>
          </cell>
        </row>
        <row r="16">
          <cell r="A16" t="str">
            <v>SC28</v>
          </cell>
          <cell r="B16" t="str">
            <v>Run -out Over Spec</v>
          </cell>
          <cell r="C16" t="str">
            <v>SET-UP</v>
          </cell>
        </row>
        <row r="17">
          <cell r="A17" t="str">
            <v>CH2</v>
          </cell>
          <cell r="B17" t="str">
            <v>Raw Material ECT</v>
          </cell>
          <cell r="C17" t="str">
            <v>เปลี่ยนงาน</v>
          </cell>
        </row>
        <row r="18">
          <cell r="A18" t="str">
            <v>CH4</v>
          </cell>
          <cell r="B18" t="str">
            <v>Length Over - Cutting</v>
          </cell>
          <cell r="C18" t="str">
            <v xml:space="preserve"> ทำ 5 ส.</v>
          </cell>
        </row>
        <row r="19">
          <cell r="A19" t="str">
            <v>CH5</v>
          </cell>
          <cell r="B19" t="str">
            <v>Length Lower - Cutting</v>
          </cell>
          <cell r="C19" t="str">
            <v>ตาชั่งงานติด</v>
          </cell>
        </row>
        <row r="20">
          <cell r="A20" t="str">
            <v>CH6</v>
          </cell>
          <cell r="B20" t="str">
            <v>Weight Over Spec</v>
          </cell>
          <cell r="C20" t="str">
            <v>ล้าง MAT</v>
          </cell>
        </row>
        <row r="21">
          <cell r="A21" t="str">
            <v>CH7</v>
          </cell>
          <cell r="B21" t="str">
            <v>Weight Lowerr Spec</v>
          </cell>
          <cell r="C21" t="str">
            <v>รอCH6,8 Set-up</v>
          </cell>
        </row>
        <row r="22">
          <cell r="A22" t="str">
            <v>CH8</v>
          </cell>
          <cell r="B22" t="str">
            <v>SETTING NG</v>
          </cell>
          <cell r="C22" t="str">
            <v>รอMAKER,SET-Upเครื่อง</v>
          </cell>
        </row>
        <row r="23">
          <cell r="A23" t="str">
            <v>CH10</v>
          </cell>
          <cell r="B23" t="str">
            <v xml:space="preserve">Length Lower </v>
          </cell>
          <cell r="C23" t="str">
            <v>เครื่องเช็คผิวงานSLUGNUTเสีย</v>
          </cell>
        </row>
        <row r="24">
          <cell r="A24" t="str">
            <v>CH11</v>
          </cell>
          <cell r="B24" t="str">
            <v>รอย MAT</v>
          </cell>
          <cell r="C24" t="str">
            <v>รอCH6 CH8 RUNงานหมดORDER</v>
          </cell>
        </row>
        <row r="25">
          <cell r="A25" t="str">
            <v>CP2</v>
          </cell>
          <cell r="B25" t="str">
            <v>Lathe  ไม่หมด</v>
          </cell>
          <cell r="C25" t="str">
            <v>เครื่องดูดควันเสีย</v>
          </cell>
        </row>
        <row r="26">
          <cell r="A26" t="str">
            <v>M069</v>
          </cell>
          <cell r="B26" t="str">
            <v>นำงานไปTest</v>
          </cell>
        </row>
        <row r="27">
          <cell r="A27" t="str">
            <v>RUN-OUT</v>
          </cell>
        </row>
        <row r="28">
          <cell r="A28" t="str">
            <v>SCREENING</v>
          </cell>
        </row>
        <row r="29">
          <cell r="A29" t="str">
            <v>CHAMFER</v>
          </cell>
        </row>
        <row r="30">
          <cell r="A30" t="str">
            <v>BENDING(BDM1)</v>
          </cell>
        </row>
        <row r="31">
          <cell r="A31" t="str">
            <v>SC16</v>
          </cell>
        </row>
        <row r="32">
          <cell r="A32" t="str">
            <v>Packing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4">
          <cell r="AH24">
            <v>366.73745155585652</v>
          </cell>
        </row>
      </sheetData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Jul-25"/>
      <sheetName val="FORM"/>
      <sheetName val="Jan-25"/>
      <sheetName val="Feb-25"/>
      <sheetName val="Mar-25"/>
      <sheetName val="Apr-25"/>
      <sheetName val="May-25"/>
      <sheetName val="Jun-25"/>
      <sheetName val="EXAMPLE"/>
      <sheetName val="Aug-25"/>
      <sheetName val="Sep-25"/>
      <sheetName val="Oct-25"/>
      <sheetName val="Nov-25"/>
      <sheetName val="Dec-25"/>
      <sheetName val="Jan-26"/>
      <sheetName val="Feb-26"/>
      <sheetName val="Sheet3"/>
      <sheetName val="Sheet2"/>
      <sheetName val="report"/>
      <sheetName val="report (2)"/>
      <sheetName val="ot"/>
      <sheetName val="RESULT"/>
      <sheetName val="รวม2 ct,cp,m3"/>
      <sheetName val="ตัวอย่าง"/>
      <sheetName val="DATABASE"/>
    </sheetNames>
    <sheetDataSet>
      <sheetData sheetId="0"/>
      <sheetData sheetId="1"/>
      <sheetData sheetId="2"/>
      <sheetData sheetId="3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45</v>
          </cell>
          <cell r="AV1">
            <v>46</v>
          </cell>
          <cell r="AW1">
            <v>47</v>
          </cell>
          <cell r="AX1">
            <v>48</v>
          </cell>
          <cell r="AY1">
            <v>49</v>
          </cell>
          <cell r="AZ1">
            <v>50</v>
          </cell>
          <cell r="BA1">
            <v>51</v>
          </cell>
          <cell r="BB1">
            <v>52</v>
          </cell>
          <cell r="BC1">
            <v>53</v>
          </cell>
          <cell r="BD1">
            <v>54</v>
          </cell>
          <cell r="BE1">
            <v>55</v>
          </cell>
          <cell r="BF1">
            <v>56</v>
          </cell>
          <cell r="BG1">
            <v>57</v>
          </cell>
          <cell r="BH1">
            <v>58</v>
          </cell>
          <cell r="BI1">
            <v>59</v>
          </cell>
          <cell r="BJ1">
            <v>60</v>
          </cell>
        </row>
        <row r="4">
          <cell r="A4" t="str">
            <v>SCAN GREEN TAG</v>
          </cell>
        </row>
        <row r="5">
          <cell r="A5" t="str">
            <v>PD24121120|Cutting#1</v>
          </cell>
        </row>
        <row r="6">
          <cell r="A6" t="str">
            <v>PD24120972|SB0478|NSC_S45CS1-V_32.25_3200|JGD10-001260-40-1|RACK, PS|970.00|KGS|47.00|PCS|TSK-PRD3|SB120124/4/24|D400488|||23P0792903</v>
          </cell>
        </row>
        <row r="7">
          <cell r="A7" t="str">
            <v>PD24121152|SB0501|NSC_DSCR420_16.92_5100|TG028383-0420|SHAFT, 2W|1,068.00|KGS|118.00|PCS|TSK-PRD3|SB120158/3/24|4R1686|||23P0798832</v>
          </cell>
        </row>
        <row r="8">
          <cell r="A8" t="str">
            <v>PD24121137|SB0207|NSC_SWCH48K_16.7_5500|TG028211-6190|SHAFT ARMATURE|1,010.00|KGS|106.00|PCS|TSK-PRD3|SB120151/1/24|4T0732|||23P0797686</v>
          </cell>
        </row>
        <row r="9">
          <cell r="A9" t="str">
            <v>PD24121142|SB0207|NSC_SWCH48K_16.7_5500|TG028211-6190|SHAFT ARMATURE|1,010.00|KGS|106.00|PCS|TSK-PRD3|SB120154/2/24|3G0627|||23P0798539</v>
          </cell>
        </row>
        <row r="10">
          <cell r="A10" t="str">
            <v>PD24120971|SB0478|NSC_S45CS1-V_32.25_3200|JGD10-001260-40-1|RACK, PS|990.00|KGS|48.00|PCS|TSK2|SB120124/2/24|D400488|||23P0792901</v>
          </cell>
        </row>
        <row r="11">
          <cell r="A11" t="str">
            <v>PD24121119|SB0478|NSC_S45CS1-V_32.25_3200|JGD10-001260-40-1|RACK, PS|20.00|KGS|1.00|PCS|TSK-PRD3|SB120143/7/24|D400488|||23P0797191</v>
          </cell>
        </row>
        <row r="12">
          <cell r="A12" t="str">
            <v>PD24121117|SB0478|NSC_S45CS1-V_32.25_3200|JGD10-001260-40-1|RACK, PS|970.00|KGS|47.00|PCS|TSK-PRD3|SB120143/2/24|D400488|||23P0797176</v>
          </cell>
        </row>
        <row r="13">
          <cell r="A13" t="str">
            <v>PD24121069|SB0130|NSC_S45CS1-QDS_24.0_3170|JGC10-001180-S|RACK, MS|900.00|KGS|80.00|PCS|TSK-PRD3|SB120138/4/24|D400567|||23P0794758</v>
          </cell>
        </row>
        <row r="14">
          <cell r="A14" t="str">
            <v>PD24121071|SB0143|NSC_S45CS1-V_26.0_3480|JGC10S002020-B|RACK BAR|880.00|KGS|60.00|PCS|TSK-PRD3|SB120140/1/24|D400533|||23P0794769</v>
          </cell>
        </row>
        <row r="15">
          <cell r="A15" t="str">
            <v>PD24121072|SB0143|NSC_S45CS1-V_26.0_3480|JGC10S002020-B|RACK BAR|880.00|KGS|60.00|PCS|TSK-PRD3|SB120140/3/24|D400533|||23P0794771</v>
          </cell>
        </row>
        <row r="16">
          <cell r="A16" t="str">
            <v>PD24121144|Cutting#1</v>
          </cell>
        </row>
        <row r="17">
          <cell r="A17" t="str">
            <v>PD24120924|SB0103|KMS_DSS1_14.47_5000|TG028152-5180|Pole Core|990.00|KGS|153.00|PCS|TSK-PRD3|SB120118/3/24|KS004C9260|KMS|KOBELCO Millcon Steel Co.,Ltd|23P0791417</v>
          </cell>
        </row>
        <row r="18">
          <cell r="A18" t="str">
            <v>PD24121072|SB0143|NSC_S45CS1-V_26.0_3480|JGC10S002020-B|RACK BAR|880.00|KGS|60.00|PCS|TSK-PRD3|SB120140/3/24|D400533|||23P0794771</v>
          </cell>
        </row>
        <row r="19">
          <cell r="A19" t="str">
            <v>PD24121118|SB0478|NSC_S45CS1-V_32.25_3200|JGD10-001260-40-1|RACK, PS|970.00|KGS|47.00|PCS|TSK-PRD3|SB120143/3/24|D400488|||23P0797185</v>
          </cell>
        </row>
        <row r="20">
          <cell r="A20" t="str">
            <v>PD24121038|SB0136|NSC_S45CS1-QDS_27.95_3420|JGD10-000520-B|RACK, PS|1,300.00|KGS|78.00|PCS|TSK-PRD3|SB120130/1/24|D400376|||23P0794278</v>
          </cell>
        </row>
        <row r="21">
          <cell r="A21" t="str">
            <v>PD24121152|SB0501|NSC_DSCR420_16.92_5100|TG028383-0420|SHAFT, 2W|1,068.00|KGS|118.00|PCS|TSK-PRD3|SB120158/3/24|4R1686|||23P0798832</v>
          </cell>
        </row>
        <row r="22">
          <cell r="A22" t="str">
            <v>PD25010072|Cutting#1</v>
          </cell>
        </row>
        <row r="23">
          <cell r="A23" t="str">
            <v>PD24121142|SB0207|NSC_SWCH48K_16.7_5500|TG028211-6190|SHAFT ARMATURE|1,010.00|KGS|106.00|PCS|TSK-PRD3|SB120154/2/24|3G0627|||23P0798539</v>
          </cell>
        </row>
        <row r="24">
          <cell r="A24" t="str">
            <v>PD25010071|Cutting#1</v>
          </cell>
        </row>
        <row r="25">
          <cell r="A25" t="str">
            <v>PD24120945|SB0024|NSC_S45CS1-QDS_30.35_3060|2-30JG-0711|RACK POWER STEERING|880.00|KGS|50.00|PCS|TSK-PRD3|SB120107/1/24|D400455|||23P0792011</v>
          </cell>
        </row>
        <row r="26">
          <cell r="A26" t="str">
            <v>PD24120944|SB0024|NSC_S45CS1-QDS_30.35_3060|2-30JG-0711|RACK POWER STEERING|880.00|KGS|50.00|PCS|TSK-PRD3|SB120106/5/24|D400455|||23P0792002</v>
          </cell>
        </row>
        <row r="27">
          <cell r="A27" t="str">
            <v>PD24121069|SB0130|NSC_S45CS1-QDS_24.0_3170|JGC10-001180-S|RACK, MS|900.00|KGS|80.00|PCS|TSK-PRD3|SB120138/4/24|D400567|||23P0794758</v>
          </cell>
        </row>
        <row r="28">
          <cell r="A28" t="str">
            <v>PD24121068|SB0130|NSC_S45CS1-QDS_24.0_3170|JGC10-001180-S|RACK, MS|900.00|KGS|80.00|PCS|TSK-PRD3|SB120138/3/24|D400567|||23P0794757</v>
          </cell>
        </row>
        <row r="29">
          <cell r="A29" t="str">
            <v>PD24121117|SB0478|NSC_S45CS1-V_32.25_3200|JGD10-001260-40-1|RACK, PS|970.00|KGS|47.00|PCS|TSK-PRD3|SB120143/2/24|D400488|||23P0797176</v>
          </cell>
        </row>
        <row r="30">
          <cell r="A30" t="str">
            <v>PD24121074|SB0142|NSC_S45CS1-V_24.0_3200|JGC10-003350-40-1|Rack, MS|694.00|KGS|60.00|PCS|TSK-PRD3|SB120141/2/24|D400533|||23P0795593</v>
          </cell>
        </row>
        <row r="31">
          <cell r="A31" t="str">
            <v>PD24121075|SB0142|NSC_S45CS1-V_24.0_3200|JGC10-003350-40-1|Rack, MS|636.00|KGS|55.00|PCS|TSK-PRD3|SB120141/4/24|D400533|||23P0796306</v>
          </cell>
        </row>
        <row r="32">
          <cell r="A32" t="str">
            <v>PD24120924|SB0103|KMS_DSS1_14.47_5000|TG028152-5180|Pole Core|990.00|KGS|153.00|PCS|TSK-PRD3|SB120118/3/24|KS004C9260|KMS|KOBELCO Millcon Steel Co.,Ltd|23P0791417</v>
          </cell>
        </row>
        <row r="33">
          <cell r="A33" t="str">
            <v>PD24121144|SB0300|NSC_S48CS1-H_31.8_3140|510-30149-020|RACK|354.00|KGS|18.00|PCS|TSK-PRD3|SB120156/5/24|4N0128|||23P0798584</v>
          </cell>
        </row>
        <row r="34">
          <cell r="A34" t="str">
            <v>PD24121143|SB0300|NSC_S48CS1-H_31.8_3140|510-30149-020|RACK|787.00|KGS|40.00|PCS|TSK-PRD3|SB120156/2/24|4N0128|||23P0798579</v>
          </cell>
        </row>
        <row r="35">
          <cell r="A35" t="str">
            <v>PD24120944|SB0024|NSC_S45CS1-QDS_30.35_3060|2-30JG-0711|RACK POWER STEERING|880.00|KGS|50.00|PCS|TSK-PRD3|SB120106/5/24|D400455|||23P0792002</v>
          </cell>
        </row>
        <row r="36">
          <cell r="A36" t="str">
            <v>PD24120946|SB0024|NSC_S45CS1-QDS_30.35_3060|2-30JG-0711|RACK POWER STEERING|880.00|KGS|50.00|PCS|TSK-PRD3|SB120107/3/24|D400455|||23P0792013</v>
          </cell>
        </row>
        <row r="37">
          <cell r="A37" t="str">
            <v>PD24120943|SB0024|NSC_S45CS1-QDS_30.35_3060|2-30JG-0711|RACK POWER STEERING|880.00|KGS|50.00|PCS|TSK-PRD3|SB120106/2/24|D400455|||23P0791999</v>
          </cell>
        </row>
        <row r="38">
          <cell r="A38" t="str">
            <v>PD25010072|MB0028|S25C Dia 40.00x5500 mm.|ZZ2B7401TX1|FLANGE-13 SLUG|1,955.00|KGS|36.00|PCS|TSK-PRD3|2B2500029|3-62282|JFE-SC|JFE Steel Corporation|23P0802342</v>
          </cell>
        </row>
        <row r="39">
          <cell r="A39" t="str">
            <v>PD24121142|SB0207|NSC_SWCH48K_16.7_5500|TG028211-6190|SHAFT ARMATURE|1,010.00|KGS|106.00|PCS|TSK-PRD3|SB120154/2/24|3G0627|||23P0798539</v>
          </cell>
        </row>
        <row r="40">
          <cell r="A40" t="str">
            <v>PD24121068|SB0130|NSC_S45CS1-QDS_24.0_3170|JGC10-001180-S|RACK, MS|900.00|KGS|80.00|PCS|TSK-PRD3|SB120138/3/24|D400567|||23P0794757</v>
          </cell>
        </row>
        <row r="41">
          <cell r="A41" t="str">
            <v>PD24121075|SB0142|NSC_S45CS1-V_24.0_3200|JGC10-003350-40-1|Rack, MS|636.00|KGS|55.00|PCS|TSK-PRD3|SB120141/4/24|D400533|||23P0796306</v>
          </cell>
        </row>
        <row r="42">
          <cell r="A42" t="str">
            <v>PD24121105|SB0142|NSC_S45CS1-V_24.0_3200|JGC10-003660-40-0|Rack, MS|58.00|KGS|5.00|PCS|TSK-PRD3|SB120141/4/24|D400533|||23P0796323</v>
          </cell>
        </row>
        <row r="43">
          <cell r="A43" t="str">
            <v>PD24120919|SB0024|NSC_S45CS1-QDS_30.35_3060|JGD10-BA0101-C|RACK POWER STEERING|875.00|KGS|50.00|PCS|TSK-PRD3|SB120113/4/24|D400454|||23P0791380</v>
          </cell>
        </row>
        <row r="44">
          <cell r="A44" t="str">
            <v>PD25010071|MB0033|S25C Dia 60.00x4000-5500 mm.|141411-60180|Piston Disc Brake Forging|1,952.00|KGS|16.00|PCS|TSK-PRD3|2B2500026|657197|JFE-SC|JFE Steel Corporation|23P0802410</v>
          </cell>
        </row>
        <row r="45">
          <cell r="A45" t="str">
            <v>PD25010126|Cutting#1</v>
          </cell>
        </row>
        <row r="46">
          <cell r="A46" t="str">
            <v>PD24121142|SB0207|NSC_SWCH48K_16.7_5500|TG028211-6190|SHAFT ARMATURE|1,010.00|KGS|106.00|PCS|TSK-PRD3|SB120154/2/24|3G0627|||23P0798539</v>
          </cell>
        </row>
        <row r="47">
          <cell r="A47" t="str">
            <v>PD25010072|MB0028|S25C Dia 40.00x5500 mm.|ZZ2B7401TX1|FLANGE-13 SLUG|1,955.00|KGS|36.00|PCS|TSK-PRD3|2B2500028|3-62282|JFE-SC|JFE Steel Corporation|23P0802341</v>
          </cell>
        </row>
        <row r="48">
          <cell r="A48" t="str">
            <v>PD25010071|MB0033|S25C Dia 60.00x4000-5500 mm.|141411-60180|Piston Disc Brake Forging|1,952.00|KGS|16.00|PCS|TSK-PRD3|2B2500026|657197|JFE-SC|JFE Steel Corporation|23P0802410</v>
          </cell>
        </row>
        <row r="49">
          <cell r="A49" t="str">
            <v>PD25010084|SB0087|NSC_S10C_43.35_5500|S90-6500-4345-01|PISTON|1,090.00|KGS|17.00|PCS|TSK-PRD3|SB010006/1/25|E277422|||23P0803266</v>
          </cell>
        </row>
        <row r="50">
          <cell r="A50" t="str">
            <v>PD24121148|SB0482|JFE_S45CS1-QDS_32.25_3000|JGD10-000751/000761-A|RACK BAR|988.00|KGS|51.00|pcs|TSK-PRD3|SB120155/3/24|657136|JFE-SC|JFE Steel Corporation|23P0798605</v>
          </cell>
        </row>
        <row r="51">
          <cell r="A51" t="str">
            <v>PD24121149|SB0482|JFE_S45CS1-QDS_32.25_3000|JGD10-000751/000761-A|RACK BAR|988.00|KGS|51.00|pcs|TSK-PRD3|SB120155/4/24|657136|JFE-SC|JFE Steel Corporation|23P0798607</v>
          </cell>
        </row>
        <row r="52">
          <cell r="A52" t="str">
            <v>PD24120943|SB0024|NSC_S45CS1-QDS_30.35_3060|2-30JG-0711|RACK POWER STEERING|880.00|KGS|50.00|PCS|TSK-PRD3|SB120106/2/24|D400455|||23P0791999</v>
          </cell>
        </row>
        <row r="53">
          <cell r="A53" t="str">
            <v>PD25010127|SB0478|NSC_S45CS1-V_32.25_3200|JGD10-001260-40-1|RACK, PS|976.00|KGS|47.00|PCS|TSK-PRD3|SB010009/2/25|D400566|||23P0803846</v>
          </cell>
        </row>
        <row r="54">
          <cell r="A54" t="str">
            <v>PD25010128|SB0478|NSC_S45CS1-V_32.25_3200|JGD10-001260-40-1|RACK, PS|976.00|KGS|47.00|PCS|TSK-PRD3|SB010009/4/25|D400566|||23P0803951</v>
          </cell>
        </row>
        <row r="55">
          <cell r="A55" t="str">
            <v>PD24120922|SB0024|NSC_S45CS1-QDS_30.35_3060|JGD10-BA0101-C|RACK POWER STEERING|875.00|KGS|50.00|PCS|TSK-PRD3|SB120115/4/24|D400454|||23P0791386</v>
          </cell>
        </row>
        <row r="56">
          <cell r="A56" t="str">
            <v>PD24120920|SB0024|NSC_S45CS1-QDS_30.35_3060|JGD10-BA0101-C|RACK POWER STEERING|875.00|KGS|50.00|PCS|TSK-PRD3|SB120115/1/24|D400454|||23P0791381</v>
          </cell>
        </row>
        <row r="57">
          <cell r="A57" t="str">
            <v>PD24110949|SB0024|NSC_S45CS1-QDS_30.35_3060|JGD10-BA0101-C|RACK POWER STEERING|874.00|KGS|50.00|PCS|TSK-PRD3|SB110123/1/24|D400135|||23P0760297</v>
          </cell>
        </row>
        <row r="58">
          <cell r="A58" t="str">
            <v>PD25010126|SB0174|POSCO_SWCH35K_18_5650|2550S0553P|SHAFT SPLINE|958.00|KGS|84.00|PCS|TSK-PRD3|SB010007/1/25|SF81132|||23P0803708</v>
          </cell>
        </row>
        <row r="59">
          <cell r="A59" t="str">
            <v>PD25010086|SB0412|NSC_S45CS1-QDS_Dia.27.95_2980|JGD10-001150-40-1|Rack, PS|870.00|KGS|60.00|PCS|TSK-PRD3|SB010003/2/25|D400376|||23P0803372</v>
          </cell>
        </row>
        <row r="60">
          <cell r="A60" t="str">
            <v>PD25010088|SB0412|NSC_S45CS1-QDS_Dia.27.95_2980|JGD10-001150-40-1|Rack, PS|870.00|KGS|60.00|PCS|TSK-PRD3|SB010003/4/25|D400376|||23P0803440</v>
          </cell>
        </row>
        <row r="61">
          <cell r="A61" t="str">
            <v>PD25010083|SB0258|NSC_SS400_40.5_5300|C35-12901-0|YOKE PLUG|746.00|KGS|14.00|PCS|TSK-PRD3|SB010004/2/25|E379119|||23P0803259</v>
          </cell>
        </row>
        <row r="62">
          <cell r="A62" t="str">
            <v>PD25010083|SB0258|NSC_SS400_40.5_5300|C35-12901-0|YOKE PLUG|746.00|KGS|14.00|PCS|TSK-PRD3|SB010004/2/25|E379119|||23P0803259</v>
          </cell>
        </row>
        <row r="63">
          <cell r="A63" t="str">
            <v>PD25010128|SB0478|NSC_S45CS1-V_32.25_3200|JGD10-001260-40-1|RACK, PS|976.00|KGS|47.00|PCS|TSK-PRD3|SB010009/4/25|D400566|||23P0803951</v>
          </cell>
        </row>
        <row r="64">
          <cell r="A64" t="str">
            <v>PD25010084|SB0087|NSC_S10C_43.35_5500|S90-6500-4345-01|PISTON|1,090.00|KGS|17.00|PCS|TSK-PRD3|SB010006/1/25|E277422|||23P0803266</v>
          </cell>
        </row>
        <row r="65">
          <cell r="A65" t="str">
            <v>PD25010126|SB0174|POSCO_SWCH35K_18_5650|2550S0553P|SHAFT SPLINE|958.00|KGS|84.00|PCS|TSK-PRD3|SB010007/1/25|SF81132|||23P0803708</v>
          </cell>
        </row>
        <row r="66">
          <cell r="A66" t="str">
            <v>PD24110949|SB0024|NSC_S45CS1-QDS_30.35_3060|JGD10-BA0101-C|RACK POWER STEERING|874.00|KGS|50.00|PCS|TSK-PRD3|SB110123/1/24|D400135|||23P0760297</v>
          </cell>
        </row>
        <row r="67">
          <cell r="A67" t="str">
            <v>PD24121121|SB0344|NSC_S45CS1-QDS_26.00_3600|JGC10-003040-40-0|RACK, MS|910.00|KGS|60.00|pcs|TSK-PRD3|SB120145/1/24|D400535|||23P0797256</v>
          </cell>
        </row>
        <row r="68">
          <cell r="A68" t="str">
            <v>PD25010158|SB0478|NSC_S45CS1-V_32.25_3200|JGD10-001260-40-1|RACK, PS|934.00|KGS|45.00|PCS|TSK-PRD3|SB010012/1/25|D400585|||23P0804835</v>
          </cell>
        </row>
        <row r="69">
          <cell r="A69" t="str">
            <v>PD24121136|SB0338|NSC_S45CS1-V_26.0_3480_JAMY|JGC10-M09008-51-0|RACK BAR|880.00|KGS|60.00|PCS|TSK-PRD3|SB120148/6/24|D400565|||23P0797570</v>
          </cell>
        </row>
        <row r="70">
          <cell r="A70" t="str">
            <v>PD25010072|MB0028|S25C Dia 40.00x5500 mm.|ZZ2B7401TX1|FLANGE-13 SLUG|1,955.00|KGS|36.00|PCS|TSK-PRD3|2B2500029|3-62282|JFE-SC|JFE Steel Corporation|23P0802342</v>
          </cell>
        </row>
        <row r="71">
          <cell r="A71" t="str">
            <v>PD25010088|SB0412|NSC_S45CS1-QDS_Dia.27.95_2980|JGD10-001150-40-1|Rack, PS|870.00|KGS|60.00|PCS|TSK-PRD3|SB010003/4/25|D400376|||23P0803440</v>
          </cell>
        </row>
        <row r="72">
          <cell r="A72" t="str">
            <v>PD24121124|SB0237|NSC_S45CS1-QDS_30.25_3050|JGD10S000830-51-0|RACK BAR|870.00|KGS|50.00|PCS|TSK-PRD3|SB120146/1/24|D400612|||23P0797280</v>
          </cell>
        </row>
        <row r="73">
          <cell r="A73" t="str">
            <v>PD25010071|MB0033|S25C Dia 60.00x4000-5500 mm.|141411-60180|Piston Disc Brake Forging|1,952.00|KGS|16.00|PCS|TSK-PRD3|2B2500026|657197|JFE-SC|JFE Steel Corporation|23P0802410</v>
          </cell>
        </row>
        <row r="74">
          <cell r="A74" t="str">
            <v>PD25010146|SB0402|POSCO_SWRCH35K_Dia.19.0_5430|2528S0249C|STG.SHAFT|916.00|KGS|75.00|PCS|TSK-PRD3|SB010010/2/25|SF81132|||23P0804786</v>
          </cell>
        </row>
        <row r="75">
          <cell r="A75" t="str">
            <v>PD25010145|SB0174|POSCO_SWCH35K_18_5650|2550S0593P|SHAFT SPLINE|913.00|KGS|80.00|PCS|TSK-PRD3|SB010013/1/25|SF81132|||23P0804764</v>
          </cell>
        </row>
        <row r="76">
          <cell r="A76" t="str">
            <v>PD25010174|SB0187|NSC_S48C_15.20_4000|TG028993-578A|SHAFT STARTER ARMATURE, 1W|77.00|KGS|13.00|PCS|TSK-PRD3|SB110152/10/24|E482329|||23P0804938</v>
          </cell>
        </row>
        <row r="77">
          <cell r="A77" t="str">
            <v>PD25010173|SB0187|NSC_S48C_15.20_4000|TG028993-533A|SHAFT STARTER ARMATURE, 1W|59.00|KGS|10.00|PCS|TSK-PRD3|SB110152/10/24|E482329|||23P0804929</v>
          </cell>
        </row>
        <row r="78">
          <cell r="A78" t="str">
            <v>PD25010072|MB0028|S25C Dia 40.00x5500 mm.|ZZ2B7401TX1|FLANGE-13 SLUG|1,955.00|KGS|36.00|PCS|TSK-PRD3|2B2500029|3-62282|JFE-SC|JFE Steel Corporation|23P0802342</v>
          </cell>
        </row>
        <row r="79">
          <cell r="A79" t="str">
            <v>PD25010145|SB0174|POSCO_SWCH35K_18_5650|2550S0593P|SHAFT SPLINE|913.00|KGS|80.00|PCS|TSK-PRD3|SB010013/1/25|SF81132|||23P0804764</v>
          </cell>
        </row>
        <row r="80">
          <cell r="A80" t="str">
            <v>PD25010071|MB0033|S25C Dia 60.00x4000-5500 mm.|141411-60180|Piston Disc Brake Forging|1,952.00|KGS|16.00|PCS|TSK-PRD3|2B2500026|657197|JFE-SC|JFE Steel Corporation|23P0802410</v>
          </cell>
        </row>
        <row r="81">
          <cell r="A81" t="str">
            <v>PD24121158|SB0482|JFE_S45CS1-QDS_32.25_3000|JGD10-000751/000761-A|RACK BAR|988.00|KGS|51.00|pcs|TSK-PRD3|SB120152/1/24|657135|JFE-SC|JFE Steel Corporation|23P0799054</v>
          </cell>
        </row>
        <row r="82">
          <cell r="A82" t="str">
            <v>PD24121160|SB0482|JFE_S45CS1-QDS_32.25_3000|JGD10-000751/000761-A|RACK BAR|1,236.00|KGS|64.00|pcs|TSK-PRD3|SB120157/3/24|657135|JFE-SC|JFE Steel Corporation|23P0799067</v>
          </cell>
        </row>
        <row r="83">
          <cell r="A83" t="str">
            <v>PD25010073|MB0028|S25C Dia 40.00x5500 mm.|ZZ2B7401TX1|FLANGE-13 SLUG|1,955.00|KGS|36.00|PCS|TSK-PRD3|2B2500031|3-62282|JFE-SC|JFE Steel Corporation|23P0802350</v>
          </cell>
        </row>
        <row r="84">
          <cell r="A84" t="str">
            <v>PD24120487|SB0219|NSC_SCM435H_15.7_5100|TGY95065-0010|SLUG CONNECTOR FUEL INLET|1,038.00|KGS|133.00|PCS|TSK-PRD3|SB120030/1/24|E482321|||23P0780031</v>
          </cell>
        </row>
        <row r="85">
          <cell r="A85" t="str">
            <v>PD24121121|SB0344|NSC_S45CS1-QDS_26.00_3600|JGC10-003040-40-0|RACK, MS|910.00|KGS|60.00|pcs|TSK-PRD3|SB120145/1/24|D400535|||23P0797256</v>
          </cell>
        </row>
        <row r="86">
          <cell r="A86" t="str">
            <v>PD24121122|SB0344|NSC_S45CS1-QDS_26.00_3600|JGC10-003040-40-0|RACK, MS|910.00|KGS|60.00|pcs|TSK-PRD3|SB120145/3/24|D400535|||23P0797262</v>
          </cell>
        </row>
        <row r="87">
          <cell r="A87" t="str">
            <v>PD24121136|SB0338|NSC_S45CS1-V_26.0_3480_JAMY|JGC10-M09008-51-0|RACK BAR|880.00|KGS|60.00|PCS|TSK-PRD3|SB120148/4/24|D400565|||23P0797567</v>
          </cell>
        </row>
        <row r="88">
          <cell r="A88" t="str">
            <v>PD24121135|SB0338|NSC_S45CS1-V_26.0_3480_JAMY|JGC10-M09008-51-0|RACK BAR|880.00|KGS|60.00|PCS|TSK-PRD3|SB120148/3/24|D400565|||23P0797566</v>
          </cell>
        </row>
        <row r="89">
          <cell r="A89" t="str">
            <v>PD25010146|SB0402|POSCO_SWRCH35K_Dia.19.0_5430|2528S0249C|STG.SHAFT|916.00|KGS|75.00|PCS|TSK-PRD3|SB010010/2/25|SF81132|||23P0804786</v>
          </cell>
        </row>
        <row r="90">
          <cell r="A90" t="str">
            <v>PD25010083|SB0258|NSC_SS400_40.5_5300|C35-12901-0|YOKE PLUG|746.00|KGS|14.00|PCS|TSK-PRD3|SB010004/2/25|E379119|||23P0803259</v>
          </cell>
        </row>
        <row r="91">
          <cell r="A91" t="str">
            <v>PD24121125|SB0237|NSC_S45CS1-QDS_30.25_3050|JGD10S000830-51-0|RACK BAR|870.00|KGS|50.00|PCS|TSK-PRD3|SB120146/4/24|D400612|||23P0797283</v>
          </cell>
        </row>
        <row r="92">
          <cell r="A92" t="str">
            <v>PD25010161|SB0237|NSC_S45CS1-QDS_30.25_3050|JGD10S000830-51-0|RACK BAR|872.00|KGS|50.00|PCS|TSK-PRD3|SB010015/3/25|D400612|||23P0804913</v>
          </cell>
        </row>
        <row r="93">
          <cell r="A93" t="str">
            <v>PD24120487|SB0219|NSC_SCM435H_15.7_5100|TGY95065-0010|SLUG CONNECTOR FUEL INLET|1,038.00|KGS|133.00|PCS|TSK-PRD3|SB120030/1/24|E482321|||23P0780031</v>
          </cell>
        </row>
        <row r="94">
          <cell r="A94" t="str">
            <v>PD25010146|SB0402|POSCO_SWRCH35K_Dia.19.0_5430|2528S0249C|STG.SHAFT|916.00|KGS|75.00|PCS|TSK-PRD3|SB010010/2/25|SF81132|||23P0804786</v>
          </cell>
        </row>
        <row r="95">
          <cell r="A95" t="str">
            <v>PD25010083|SB0258|NSC_SS400_40.5_5300|C35-12901-0|YOKE PLUG|746.00|KGS|14.00|PCS|TSK-PRD3|SB010004/2/25|E379119|||23P0803259</v>
          </cell>
        </row>
        <row r="96">
          <cell r="A96" t="str">
            <v>PD24121135|SB0338|NSC_S45CS1-V_26.0_3480_JAMY|JGC10-M09008-51-0|RACK BAR|880.00|KGS|60.00|PCS|TSK-PRD3|SB120148/3/24|D400565|||23P0797566</v>
          </cell>
        </row>
        <row r="97">
          <cell r="A97" t="str">
            <v>PD24121141|SB0338|NSC_S45CS1-V_26.0_3480_JAMY|JGC10-M09008-51-0|RACK BAR|880.00|KGS|60.00|PCS|TSK-PRD3|SB120153/1/24|D400565|||23P0798514</v>
          </cell>
        </row>
        <row r="98">
          <cell r="A98" t="str">
            <v>PD25010145|SB0174|POSCO_SWCH35K_18_5650|2550S0593P|SHAFT SPLINE|913.00|KGS|80.00|PCS|TSK-PRD3|SB010013/1/25|SF81132|||23P0804764</v>
          </cell>
        </row>
        <row r="99">
          <cell r="A99" t="str">
            <v>PD25010073|MB0028|S25C Dia 40.00x5500 mm.|ZZ2B7401TX1|FLANGE-13 SLUG|1,955.00|KGS|36.00|PCS|TSK-PRD3|2B2500031|3-62282|JFE-SC|JFE Steel Corporation|23P0802350</v>
          </cell>
        </row>
        <row r="100">
          <cell r="A100" t="str">
            <v>PD25010277|SB0209|NSC_S25C_31.5_6000|214341-10510|SHAFT FLUID COUPLING|1,030.00|KGS|28.00|PCS|TSK-PRD3|SB010029/1/25|E482034|||23P0806688</v>
          </cell>
        </row>
        <row r="101">
          <cell r="A101" t="str">
            <v>PD25010268|SB0158|JFE_S25C_43.0_6200|16171-05030|SEAT,WATER PUMP PULLEY|1,000.00|KGS|14.00|PCS|TSK-PRD3|SB010026/5/25|657710|||23P0806602</v>
          </cell>
        </row>
        <row r="102">
          <cell r="A102" t="str">
            <v>PD24120487|SB0219|NSC_SCM435H_15.7_5100|TGY95065-0010|SLUG CONNECTOR FUEL INLET|1,038.00|KGS|133.00|PCS|TSK-PRD3|SB120030/1/24|E482321|||23P0780031</v>
          </cell>
        </row>
        <row r="103">
          <cell r="A103" t="str">
            <v>PD24121160|SB0482|JFE_S45CS1-QDS_32.25_3000|JGD10-000751/000761-A|RACK BAR|1,236.00|KGS|64.00|pcs|TSK-PRD3|SB120157/3/24|657135|JFE-SC|JFE Steel Corporation|23P0799067</v>
          </cell>
        </row>
        <row r="104">
          <cell r="A104" t="str">
            <v>PD24121159|SB0482|JFE_S45CS1-QDS_32.25_3000|JGD10-000751/000761-A|RACK BAR|988.00|KGS|51.00|pcs|TSK-PRD3|SB120152/5/24|657135|JFE-SC|JFE Steel Corporation|23P0799063</v>
          </cell>
        </row>
        <row r="105">
          <cell r="A105" t="str">
            <v>PD24121156|SB0482|JFE_S45CS1-QDS_32.25_3000|JGD10-000751/000761-A|RACK BAR|988.00|KGS|51.00|pcs|TSK-PRD3|SB120150/4/24|657135|JFE-SC|JFE Steel Corporation|23P0799038</v>
          </cell>
        </row>
        <row r="106">
          <cell r="A106" t="str">
            <v>PD25010161|SB0237|NSC_S45CS1-QDS_30.25_3050|JGD10S000830-51-0|RACK BAR|872.00|KGS|50.00|PCS|TSK-PRD3|SB010015/3/25|D400612|||23P0804913</v>
          </cell>
        </row>
        <row r="107">
          <cell r="A107" t="str">
            <v>PD25010160|SB0237|NSC_S45CS1-QDS_30.25_3050|JGD10S000830-51-0|RACK BAR|872.00|KGS|50.00|PCS|TSK-PRD3|SB010015/1/25|D400612|||23P0804905</v>
          </cell>
        </row>
        <row r="108">
          <cell r="A108" t="str">
            <v>PD25010163|SB0237|NSC_S45CS1-QDS_30.25_3050|JGD10S000830-51-0|RACK BAR|872.00|KGS|50.00|PCS|TSK-PRD3|SB010017/6/25|D400612|||23P0804921</v>
          </cell>
        </row>
        <row r="109">
          <cell r="A109" t="str">
            <v>PD24110844|SB0145|NSC_S48CS1H_32.3_3050|510-30133-020|RACK|788.00|KGS|40.00|PCS|TSK-PRD3|SB110113/5/24|4N0128|||23P0758364</v>
          </cell>
        </row>
        <row r="110">
          <cell r="A110" t="str">
            <v>PD24121140|SB0338|NSC_S45CS1-V_26.0_3480_JAMY|JGC10-003620-51-0|RACK BAR|966.00|KGS|66.00|PCS|TSK-PRD3|SB120153/4/24|D400565|||23P0798512</v>
          </cell>
        </row>
        <row r="111">
          <cell r="A111" t="str">
            <v>PD25010278|SB0209|NSC_S25C_31.5_6000|214341-10510|SHAFT FLUID COUPLING|1,030.00|KGS|28.00|PCS|TSK-PRD3|SB010029/5/25|E482034|||23P0806697</v>
          </cell>
        </row>
        <row r="112">
          <cell r="A112" t="str">
            <v>PD25010073|MB0028|S25C Dia 40.00x5500 mm.|ZZ2B7401TX1|FLANGE-13 SLUG|1,955.00|KGS|36.00|PCS|TSK-PRD3|2B2500031|3-62282|JFE-SC|JFE Steel Corporation|23P0802350</v>
          </cell>
        </row>
        <row r="113">
          <cell r="A113" t="str">
            <v>PD25010325|SB0207|NSC_SWCH48K_16.7_5500|TG028211-6190|SHAFT ARMATURE|1,008.00|KGS|106.00|PCS|TSK-PRD3|SB010033/1/25|3G0627|||23P0807197</v>
          </cell>
        </row>
        <row r="114">
          <cell r="A114" t="str">
            <v>PD25010278|SB0209|NSC_S25C_31.5_6000|214341-10510|SHAFT FLUID COUPLING|1,030.00|KGS|28.00|PCS|TSK-PRD3|SB010029/5/25|E482034|||23P0806697</v>
          </cell>
        </row>
        <row r="115">
          <cell r="A115" t="str">
            <v>PD24121156|SB0482|JFE_S45CS1-QDS_32.25_3000|JGD10-000751/000761-A|RACK BAR|988.00|KGS|51.00|pcs|TSK-PRD3|SB120150/4/24|657135|JFE-SC|JFE Steel Corporation|23P0799038</v>
          </cell>
        </row>
        <row r="116">
          <cell r="A116" t="str">
            <v>PD24121155|SB0482|JFE_S45CS1-QDS_32.25_3000|JGD10-000751/000761-A|RACK BAR|988.00|KGS|51.00|pcs|TSK-PRD3|SB120150/2/24|657135|JFE-SC|JFE Steel Corporation|23P0799032</v>
          </cell>
        </row>
        <row r="117">
          <cell r="A117" t="str">
            <v>PD24121157|SB0482|JFE_S45CS1-QDS_32.25_3000|JGD10-000751/000761-A|RACK BAR|950.00|KGS|49.00|pcs|TSK-PRD3|SB120150/6/24|657135|JFE-SC|JFE Steel Corporation|23P0799046</v>
          </cell>
        </row>
        <row r="118">
          <cell r="A118" t="str">
            <v>PD24120487|SB0219|NSC_SCM435H_15.7_5100|TGY95065-0010|SLUG CONNECTOR FUEL INLET|1,038.00|KGS|133.00|PCS|TSK-PRD3|SB120030/2/24|E482321|||23P0780032</v>
          </cell>
        </row>
        <row r="119">
          <cell r="A119" t="str">
            <v>PD24121140|SB0338|NSC_S45CS1-V_26.0_3480_JAMY|JGC10-003620-51-0|RACK BAR|966.00|KGS|66.00|PCS|TSK-PRD3|SB120153/4/24|D400565|||23P0798512</v>
          </cell>
        </row>
        <row r="120">
          <cell r="A120" t="str">
            <v>PD24120849|SB0484|NSC_S45CS1-V_32.25_5540|JGD10-001230-40-0|RACK, PS|890.00|KGS|25.00|PCS|TSK-PRD3|SB120099/1/24|D400369|||23P0789616</v>
          </cell>
        </row>
        <row r="121">
          <cell r="A121" t="str">
            <v>PD24121138|SB0338|NSC_S45CS1-V_26.0_3480_JAMY|JGC10-M09008-51-0|RACK BAR|880.00|KGS|60.00|PCS|TSK-PRD3|SB120149/1/24|D400565|||23P0797704</v>
          </cell>
        </row>
        <row r="122">
          <cell r="A122" t="str">
            <v>PD24121139|SB0338|NSC_S45CS1-V_26.0_3480_JAMY|JGC10-M09008-51-0|RACK BAR|880.00|KGS|60.00|PCS|TSK-PRD3|SB120149/4/24|D400565|||23P0797707</v>
          </cell>
        </row>
        <row r="123">
          <cell r="A123" t="str">
            <v>PD25010163|SB0237|NSC_S45CS1-QDS_30.25_3050|JGD10S000830-51-0|RACK BAR|872.00|KGS|50.00|PCS|TSK-PRD3|SB010017/6/25|D400612|||23P0804921</v>
          </cell>
        </row>
        <row r="124">
          <cell r="A124" t="str">
            <v>PD25010162|SB0237|NSC_S45CS1-QDS_30.25_3050|JGD10S000830-51-0|RACK BAR|872.00|KGS|50.00|PCS|TSK-PRD3|SB010017/3/25|D400612|||23P0804918</v>
          </cell>
        </row>
        <row r="125">
          <cell r="A125" t="str">
            <v>PD25010277|SB0209|NSC_S25C_31.5_6000|214341-10510|SHAFT FLUID COUPLING|1,030.00|KGS|28.00|PCS|TSK-PRD3|SB010029/2/25|E482034|||23P0806689</v>
          </cell>
        </row>
        <row r="126">
          <cell r="A126" t="str">
            <v>PD25010268|SB0158|JFE_S25C_43.0_6200|16171-05030|SEAT,WATER PUMP PULLEY|1,000.00|KGS|14.00|PCS|TSK-PRD3|SB010026/5/25|657710|||23P0806602</v>
          </cell>
        </row>
        <row r="127">
          <cell r="A127" t="str">
            <v>PD25010268|SB0158|JFE_S25C_43.0_6200|16171-05030|SEAT,WATER PUMP PULLEY|1,000.00|KGS|14.00|PCS|TSK-PRD3|SB010026/5/25|657710|||23P0806602</v>
          </cell>
        </row>
        <row r="128">
          <cell r="A128" t="str">
            <v>PD25010277|SB0209|NSC_S25C_31.5_6000|214341-10510|SHAFT FLUID COUPLING|1,030.00|KGS|28.00|PCS|TSK-PRD3|SB010029/1/25|E482034|||23P0806688</v>
          </cell>
        </row>
        <row r="129">
          <cell r="A129" t="str">
            <v>PD24121139|SB0338|NSC_S45CS1-V_26.0_3480_JAMY|JGC10-M09008-51-0|RACK BAR|880.00|KGS|60.00|PCS|TSK-PRD3|SB120149/4/24|D400565|||23P0797707</v>
          </cell>
        </row>
        <row r="130">
          <cell r="A130" t="str">
            <v>PD25010159|SB0478|NSC_S45CS1-V_32.25_3200|JGD10-001260-40-1|RACK, PS|977.00|KGS|47.00|PCS|TSK-PRD3|SB010012/3/25|D400585|||23P0804837</v>
          </cell>
        </row>
        <row r="131">
          <cell r="A131" t="str">
            <v>PD25010278|SB0209|NSC_S25C_31.5_6000|214341-10510|SHAFT FLUID COUPLING|1,030.00|KGS|28.00|PCS|TSK-PRD3|SB010029/5/25|E482034|||23P0806697</v>
          </cell>
        </row>
        <row r="132">
          <cell r="A132" t="str">
            <v>PD25010348|SB0411|NSC_SWCH25K_32.95_5860|2ANY000050-0-RM|YOKE SLEEVE|1,022.00|KGS|26.00|PCS|TSK-PRD3|SB010041/2/25|E483836|||23P0808399</v>
          </cell>
        </row>
        <row r="133">
          <cell r="A133" t="str">
            <v>PD25010325|SB0207|NSC_SWCH48K_16.7_5500|TG028211-6190|SHAFT ARMATURE|1,008.00|KGS|106.00|PCS|TSK-PRD3|SB010033/1/25|3G0627|||23P0807197</v>
          </cell>
        </row>
        <row r="134">
          <cell r="A134" t="str">
            <v>PD24121157|SB0482|JFE_S45CS1-QDS_32.25_3000|JGD10-000751/000761-A|RACK BAR|950.00|KGS|49.00|pcs|TSK-PRD3|SB120150/6/24|657135|JFE-SC|JFE Steel Corporation|23P0799046</v>
          </cell>
        </row>
        <row r="135">
          <cell r="A135" t="str">
            <v>PD24121132|SB0135|NSC_S45CS1-QDS_26.0_3460|C10S028000|RACK BAR|955.00|KGS|66.00|PCS|TSK-PRD3|SB120133/1/24|D400535|||23P0797457</v>
          </cell>
        </row>
        <row r="136">
          <cell r="A136" t="str">
            <v>PD25010162|SB0237|NSC_S45CS1-QDS_30.25_3050|JGD10S000830-51-0|RACK BAR|872.00|KGS|50.00|PCS|TSK-PRD3|SB010017/3/25|D400612|||23P0804918</v>
          </cell>
        </row>
        <row r="137">
          <cell r="A137" t="str">
            <v>PD25010264|SB0237|NSC_S45CS1-QDS_30.25_3050|JGD10S000830-51-0|RACK BAR|872.00|KGS|50.00|PCS|TSK-PRD3|SB010019/1/25|D400612|||23P0806573</v>
          </cell>
        </row>
        <row r="138">
          <cell r="A138" t="str">
            <v>PD25010135|SB0412|NSC_S45CS1-QDS_Dia.27.95_2980|JGD10-001150-40-1|Rack, PS|870.00|KGS|60.00|PCS|TSK-PRD3|SB010002/3/25|D400535|||23P0803968</v>
          </cell>
        </row>
        <row r="139">
          <cell r="A139" t="str">
            <v>PD25010073|MB0028|S25C Dia 40.00x5500 mm.|ZZ2B7401TX1|FLANGE-13 SLUG|1,955.00|KGS|36.00|PCS|TSK-PRD3|2B2500031|3-62282|JFE-SC|JFE Steel Corporation|23P0802350</v>
          </cell>
        </row>
        <row r="140">
          <cell r="A140" t="str">
            <v>PD24120849|SB0484|NSC_S45CS1-V_32.25_5540|JGD10-001230-40-0|RACK, PS|890.00|KGS|25.00|PCS|TSK-PRD3|SB120099/1/24|D400369|||23P0789616</v>
          </cell>
        </row>
        <row r="141">
          <cell r="A141" t="str">
            <v>PD24120850|SB0484|NSC_S45CS1-V_32.25_5540|JGD10-001230-40-0|RACK, PS|890.00|KGS|25.00|PCS|TSK-PRD3|SB120099/4/24|D400369|||23P0789623</v>
          </cell>
        </row>
        <row r="142">
          <cell r="A142" t="str">
            <v>PD24121073|SB0143|NSC_S45CS1-V_26.0_3480|JGC10S002020-B|RACK BAR|760.00|KGS|52.00|PCS|TSK-PRD3|SB120140/6/24|D400533|||23P0794775</v>
          </cell>
        </row>
        <row r="143">
          <cell r="A143" t="str">
            <v>PD25010159|SB0478|NSC_S45CS1-V_32.25_3200|JGD10-001260-40-1|RACK, PS|977.00|KGS|47.00|PCS|TSK-PRD3|SB010012/3/25|D400585|||23P0804837</v>
          </cell>
        </row>
        <row r="144">
          <cell r="A144" t="str">
            <v>PD25010156|SB0478|NSC_S45CS1-V_32.25_3200|JGD10-001260-40-1|RACK, PS|976.00|KGS|47.00|PCS|TSK-PRD3|SB010011/2/25|D400566|||23P0804821</v>
          </cell>
        </row>
        <row r="145">
          <cell r="A145" t="str">
            <v>PD25010157|SB0478|NSC_S45CS1-V_32.25_3200|JGD10-001260-40-1|RACK, PS|976.00|KGS|47.00|PCS|TSK-PRD3|SB010011/4/25|D400566|||23P0804834</v>
          </cell>
        </row>
        <row r="146">
          <cell r="A146" t="str">
            <v>PD24121073|SB0143|NSC_S45CS1-V_26.0_3480|JGC10S002020-B|RACK BAR|760.00|KGS|52.00|PCS|TSK-PRD3|SB120140/6/24|D400533|||23P0794775</v>
          </cell>
        </row>
        <row r="147">
          <cell r="A147" t="str">
            <v>PD25010266|SB0143|NSC_S45CS1-V_26.0_3480|JGC10S002020-B|RACK BAR|880.00|KGS|60.00|PCS|TSK-PRD3|SB010021/4/25|D400586|||23P0806589</v>
          </cell>
        </row>
        <row r="148">
          <cell r="A148" t="str">
            <v>PD25010277|SB0209|NSC_S25C_31.5_6000|214341-10510|SHAFT FLUID COUPLING|1,030.00|KGS|28.00|PCS|TSK-PRD3|SB010029/1/25|E482034|||23P0806688</v>
          </cell>
        </row>
        <row r="149">
          <cell r="A149" t="str">
            <v>PD25010314|SB0391|POSCO_SWRCH35K_18.0_4350|2550S0618P|SHAFT SPLINE|1,000.00|KGS|115.00|pcs|TSK-PRD3|SB010020/1/25|SF82845|||23P0807209</v>
          </cell>
        </row>
        <row r="150">
          <cell r="A150" t="str">
            <v>PD24121132|SB0135|NSC_S45CS1-QDS_26.0_3460|C10S028000|RACK BAR|955.00|KGS|66.00|PCS|TSK-PRD3|SB120133/1/24|D400535|||23P0797457</v>
          </cell>
        </row>
        <row r="151">
          <cell r="A151" t="str">
            <v>PD24121040|SB0136|NSC_S45CS1-QDS_27.95_3420|JGD10-000520-B|RACK, PS|834.00|KGS|50.00|PCS|TSK-PRD3|SB120136/4/24|D400535|||23P0794283</v>
          </cell>
        </row>
        <row r="152">
          <cell r="A152" t="str">
            <v>PD24121039|SB0136|NSC_S45CS1-QDS_27.95_3420|JGD10-000520-B|RACK, PS|834.00|KGS|50.00|PCS|TSK-PRD3|SB120136/2/24|D400535|||23P0794281</v>
          </cell>
        </row>
        <row r="153">
          <cell r="A153" t="str">
            <v>PD25010073|MB0028|S25C Dia 40.00x5500 mm.|ZZ2B7401TX1|FLANGE-13 SLUG|1,955.00|KGS|36.00|PCS|TSK-PRD3|2B2500031|3-62282|JFE-SC|JFE Steel Corporation|23P0802350</v>
          </cell>
        </row>
        <row r="154">
          <cell r="A154" t="str">
            <v>PD25010325|SB0207|NSC_SWCH48K_16.7_5500|TG028211-6190|SHAFT ARMATURE|1,008.00|KGS|106.00|PCS|TSK-PRD3|SB010033/1/25|3G0627|||23P0807197</v>
          </cell>
        </row>
        <row r="155">
          <cell r="A155" t="str">
            <v>PD25010348|SB0411|NSC_SWCH25K_32.95_5860|2ANY000050-0-RM|YOKE SLEEVE|1,060.00|KGS|27.00|PCS|TSK-PRD3|SB010041/1/25|E483836|||23P0808398</v>
          </cell>
        </row>
        <row r="156">
          <cell r="A156" t="str">
            <v>PD25010343|SB0503|POSCO_SWRCH35K_18.27_4660|2550T0749P|SHAFT SPLINE|970.00|KGS|101.00|pcs|TSK-PRD3|SB010024/2/25|SF81132|||23P0808337</v>
          </cell>
        </row>
        <row r="157">
          <cell r="A157" t="str">
            <v>PD24120657|SB0104|KMS_DSS1_15.57_5000|TG028152-5190|Pole Core|986.00|KGS|132.00|PCS|TSK-PRD3|SB120066/1/24|KS004C3913|KMS|KOBELCO Millcon Steel Co.,Ltd|23P0783906</v>
          </cell>
        </row>
        <row r="158">
          <cell r="A158" t="str">
            <v>PD25010135|SB0412|NSC_S45CS1-QDS_Dia.27.95_2980|JGD10-001150-40-1|Rack, PS|870.00|KGS|60.00|PCS|TSK-PRD3|SB010002/3/25|D400535|||23P0803968</v>
          </cell>
        </row>
        <row r="159">
          <cell r="A159" t="str">
            <v>PD25010136|SB0412|NSC_S45CS1-QDS_Dia.27.95_2980|JGD10-001150-40-1|Rack, PS|870.00|KGS|60.00|PCS|TSK-PRD3|SB010002/4/25|D400535|||23P0803969</v>
          </cell>
        </row>
        <row r="160">
          <cell r="A160" t="str">
            <v>PD25010268|SB0158|JFE_S25C_43.0_6200|16171-05030|SEAT,WATER PUMP PULLEY|1,000.00|KGS|14.00|PCS|TSK-PRD3|SB010026/5/25|657710|||23P0806602</v>
          </cell>
        </row>
        <row r="161">
          <cell r="A161" t="str">
            <v>PD25010314|SB0391|POSCO_SWRCH35K_18.0_4350|2550S0618P|SHAFT SPLINE|1,000.00|KGS|115.00|pcs|TSK-PRD3|SB010020/1/25|SF82845|||23P0807209</v>
          </cell>
        </row>
        <row r="162">
          <cell r="A162" t="str">
            <v>PD25010312|SB0209|NSC_S25C_31.5_6000|214341-10510|SHAFT FLUID COUPLING|1,030.00|KGS|28.00|PCS|TSK-PRD3|SB010031/2/25|E482034|||23P0806854</v>
          </cell>
        </row>
        <row r="163">
          <cell r="A163" t="str">
            <v>PD25010267|SB0158|JFE_S25C_43.0_6200|16171-05030|SEAT,WATER PUMP PULLEY|1,000.00|KGS|14.00|PCS|TSK-PRD3|SB010026/2/25|657710|||23P0806597</v>
          </cell>
        </row>
        <row r="164">
          <cell r="A164" t="str">
            <v>PD25010343|SB0503|POSCO_SWRCH35K_18.27_4660|2550T0749P|SHAFT SPLINE|970.00|KGS|101.00|pcs|TSK-PRD3|SB010024/2/25|SF81132|||23P0808337</v>
          </cell>
        </row>
        <row r="165">
          <cell r="A165" t="str">
            <v>PD25010344|SB0503|POSCO_SWRCH35K_18.27_4660|2550T0749P|SHAFT SPLINE|942.00|KGS|98.00|pcs|TSK-PRD3|SB010024/3/25|SF81132|||23P0808344</v>
          </cell>
        </row>
        <row r="166">
          <cell r="A166" t="str">
            <v>PD25010348|SB0411|NSC_SWCH25K_32.95_5860|2ANY000050-0-RM|YOKE SLEEVE|1,060.00|KGS|27.00|PCS|TSK-PRD3|SB010041/1/25|E483836|||23P0808398</v>
          </cell>
        </row>
        <row r="167">
          <cell r="A167" t="str">
            <v>PD25010349|SB0411|NSC_SWCH25K_32.95_5860|2ANY000050-0-RM|YOKE SLEEVE|1,060.00|KGS|27.00|PCS|TSK-PRD3|SB010041/5/25|E483836|||23P0808402</v>
          </cell>
        </row>
        <row r="168">
          <cell r="A168" t="str">
            <v>PD25010325|SB0207|NSC_SWCH48K_16.7_5500|TG028211-6190|SHAFT ARMATURE|1,008.00|KGS|106.00|PCS|TSK-PRD3|SB010033/1/25|3G0627|||23P0807197</v>
          </cell>
        </row>
        <row r="169">
          <cell r="A169" t="str">
            <v>PD25010326|SB0207|NSC_SWCH48K_16.7_5500|TG028211-6190|SHAFT ARMATURE|1,018.00|KGS|107.00|PCS|TSK-PRD3|SB010033/3/25|3G0627|||23P0807203</v>
          </cell>
        </row>
        <row r="170">
          <cell r="A170" t="str">
            <v>PD25010073|MB0028|S25C Dia 40.00x5500 mm.|ZZ2B7401TX1|FLANGE-13 SLUG|1,955.00|KGS|36.00|PCS|TSK-PRD3|2B2500031|3-62282|JFE-SC|JFE Steel Corporation|23P0802350</v>
          </cell>
        </row>
        <row r="171">
          <cell r="A171" t="str">
            <v>PD25010347|SB0002|NSC_SCM415_21_5000|TG028986-0050|Barrel|1,032.00|KGS|75.00|PCS|TSK-PRD3|SB010038/1/25|E482457|||23P0808376</v>
          </cell>
        </row>
        <row r="172">
          <cell r="A172" t="str">
            <v>PD24121039|SB0136|NSC_S45CS1-QDS_27.95_3420|JGD10-000520-B|RACK, PS|834.00|KGS|50.00|PCS|TSK-PRD3|SB120136/2/24|D400535|||23P0794281</v>
          </cell>
        </row>
        <row r="173">
          <cell r="A173" t="str">
            <v>PD25010351|SB0338|NSC_S45CS1-V_26.0_3480_JAMY|JGC10-M09008-51-0|RACK BAR|878.00|KGS|60.00|PCS|TSK-PRD3|SB010040/1/25|D400586|||23P0808441</v>
          </cell>
        </row>
        <row r="174">
          <cell r="A174" t="str">
            <v>PD24120821|SB0187|NSC_S48C_15.20_4000|TG028993-557B|SHAFT STARTER ARMATURE, 1W|204.00|KGS|36.00|PCS|TSK-PRD3|SB110152/8/24|E482329|||23P0788676</v>
          </cell>
        </row>
        <row r="175">
          <cell r="A175" t="str">
            <v>PD25010345|SB0514|KMS_DSS1_15.27_5000|(TG028152-5520)|CORE, POLE, 1W|397.00|KGS|55.00|PCS|TSK-PRD3|SB010035/1/25|KS004C3913|KMS|KOBELCO Millcon Steel Co.,Ltd|23P0808357</v>
          </cell>
        </row>
        <row r="176">
          <cell r="A176" t="str">
            <v>PD25010157|SB0478|NSC_S45CS1-V_32.25_3200|JGD10-001260-40-1|RACK, PS|976.00|KGS|47.00|PCS|TSK-PRD3|SB010011/4/25|D400566|||23P0804834</v>
          </cell>
        </row>
        <row r="177">
          <cell r="A177" t="str">
            <v>PD25010260|SB0338|NSC_S45CS1-V_26.0_3480_JAMY|JGC10-M09008-51-0|RACK BAR|874.00|KGS|60.00|PCS|TSK-PRD3|SB010016/2/25|D400586|||23P0806549</v>
          </cell>
        </row>
        <row r="178">
          <cell r="A178" t="str">
            <v>PD25010352|SB0338|NSC_S45CS1-V_26.0_3480_JAMY|JGC10-M09008-51-0|RACK BAR|878.00|KGS|60.00|PCS|TSK-PRD3|SB010040/6/25|D400586|||23P0808451</v>
          </cell>
        </row>
        <row r="179">
          <cell r="A179" t="str">
            <v>PD25010136|SB0412|NSC_S45CS1-QDS_Dia.27.95_2980|JGD10-001150-40-1|Rack, PS|870.00|KGS|60.00|PCS|TSK-PRD3|SB010002/4/25|D400535|||23P0803969</v>
          </cell>
        </row>
        <row r="180">
          <cell r="A180" t="str">
            <v>PD24121115|SB0144|NSC_S45CS1-V_32.25_3170|JGD10S000800-B|RACK BAR|978.00|KGS|48.00|PCS|TSK-PRD3|SB120142/1/24|D400585|||23P0797165</v>
          </cell>
        </row>
        <row r="181">
          <cell r="A181" t="str">
            <v>PD25010266|SB0143|NSC_S45CS1-V_26.0_3480|JGC10S002020-B|RACK BAR|880.00|KGS|60.00|PCS|TSK-PRD3|SB010021/4/25|D400586|||23P0806589</v>
          </cell>
        </row>
        <row r="182">
          <cell r="A182" t="str">
            <v>PD25010265|SB0143|NSC_S45CS1-V_26.0_3480|JGC10S002020-B|RACK BAR|880.00|KGS|60.00|PCS|TSK-PRD3|SB010021/2/25|D400586|||23P0806587</v>
          </cell>
        </row>
        <row r="183">
          <cell r="A183" t="str">
            <v>PD24121115|SB0144|NSC_S45CS1-V_32.25_3170|JGD10S000800-B|RACK BAR|978.00|KGS|48.00|PCS|TSK-PRD3|SB120142/1/24|D400585|||23P0797165</v>
          </cell>
        </row>
        <row r="184">
          <cell r="A184" t="str">
            <v>PD24121116|SB0144|NSC_S45CS1-V_32.25_3170|JGD10S000800-B|RACK BAR|978.00|KGS|48.00|PCS|TSK-PRD3|SB120142/4/24|D400585|||23P0797168</v>
          </cell>
        </row>
        <row r="185">
          <cell r="A185" t="str">
            <v>PD25010351|SB0338|NSC_S45CS1-V_26.0_3480_JAMY|JGC10-M09008-51-0|RACK BAR|878.00|KGS|60.00|PCS|TSK-PRD3|SB010040/1/25|D400586|||23P0808441</v>
          </cell>
        </row>
        <row r="186">
          <cell r="A186" t="str">
            <v>PD25010261|SB0338|NSC_S45CS1-V_26.0_3480_JAMY|JGC10-M09008-51-0|RACK BAR|874.00|KGS|60.00|PCS|TSK-PRD3|SB010016/3/25|D400586|||23P0806550</v>
          </cell>
        </row>
        <row r="187">
          <cell r="A187" t="str">
            <v>PD25010262|SB0338|NSC_S45CS1-V_26.0_3480_JAMY|JGC10-M09008-51-0|RACK BAR|842.00|KGS|58.00|PCS|TSK-PRD3|SB010016/6/25|D400586|||23P0806556</v>
          </cell>
        </row>
        <row r="188">
          <cell r="A188" t="str">
            <v>PD25010349|SB0411|NSC_SWCH25K_32.95_5860|2ANY000050-0-RM|YOKE SLEEVE|1,022.00|KGS|26.00|PCS|TSK-PRD3|SB010041/4/25|E483836|||23P0808401</v>
          </cell>
        </row>
        <row r="189">
          <cell r="A189" t="str">
            <v>PD25010326|SB0207|NSC_SWCH48K_16.7_5500|TG028211-6190|SHAFT ARMATURE|1,018.00|KGS|107.00|PCS|TSK-PRD3|SB010033/3/25|3G0627|||23P0807203</v>
          </cell>
        </row>
        <row r="190">
          <cell r="A190" t="str">
            <v>PD25010352|SB0338|NSC_S45CS1-V_26.0_3480_JAMY|JGC10-M09008-51-0|RACK BAR|878.00|KGS|60.00|PCS|TSK-PRD3|SB010040/4/25|D400586|||23P0808449</v>
          </cell>
        </row>
        <row r="191">
          <cell r="A191" t="str">
            <v>PD25010391|SB0338|NSC_S45CS1-V_26.0_3480_JAMY|JGC10-M09008-51-0|RACK BAR|878.00|KGS|60.00|PCS|TSK-PRD3|SB010043/1/25|D400586|||23P0809019</v>
          </cell>
        </row>
        <row r="192">
          <cell r="A192" t="str">
            <v>PD25010347|SB0002|NSC_SCM415_21_5000|TG028986-0050|Barrel|1,032.00|KGS|75.00|PCS|TSK-PRD3|SB010038/1/25|E482457|||23P0808376</v>
          </cell>
        </row>
        <row r="193">
          <cell r="A193" t="str">
            <v>PD25010418|SB0137|NSC_S45CS1-QDS_28.0_3560|JGC10-000440-S|RACK, MS|1,412.00|KGS|82.00|PCS|TSK-PRD3|SB010051/1/25|D400587|||23P0810177</v>
          </cell>
        </row>
        <row r="194">
          <cell r="A194" t="str">
            <v>PD25010312|SB0209|NSC_S25C_31.5_6000|214341-10510|SHAFT FLUID COUPLING|994.00|KGS|27.00|PCS|TSK-PRD3|SB010031/1/25|E482034|||23P0806849</v>
          </cell>
        </row>
        <row r="195">
          <cell r="A195" t="str">
            <v>PD24120657|SB0104|KMS_DSS1_15.57_5000|TG028152-5190|Pole Core|986.00|KGS|132.00|PCS|TSK-PRD3|SB120066/1/24|KS004C3913|KMS|KOBELCO Millcon Steel Co.,Ltd|23P0783906</v>
          </cell>
        </row>
        <row r="196">
          <cell r="A196" t="str">
            <v>PD25010395|SB0104|KMS_DSS1_15.57_5000|TG028152-5190|Pole Core|1,025.00|KGS|137.00|PCS|TSK-PRD3|SB010037/4/25|KS004C3913|KMS|KOBELCO Millcon Steel Co.,Ltd|23P0809040</v>
          </cell>
        </row>
        <row r="197">
          <cell r="A197" t="str">
            <v>PD24120968|SB0024|NSC_S45CS1-QDS_30.35_3060|2-30JG-0711|RACK POWER STEERING|880.00|KGS|50.00|PCS|TSK-PRD3|SB120110/1/24|D400455|||23P0792859</v>
          </cell>
        </row>
        <row r="198">
          <cell r="A198" t="str">
            <v>PD24120969|SB0024|NSC_S45CS1-QDS_30.35_3060|2-30JG-0711|RACK POWER STEERING|880.00|KGS|50.00|PCS|TSK-PRD3|SB120110/4/24|D400455|||23P0792869</v>
          </cell>
        </row>
        <row r="199">
          <cell r="A199" t="str">
            <v>PD25010433|SB0300|NSC_S48CS1-H_31.8_3140|510-30149-020|RACK|787.00|KGS|40.00|PCS|TSK-PRD3|SB010052/1/25|4N0128|||23P0810482</v>
          </cell>
        </row>
        <row r="200">
          <cell r="A200" t="str">
            <v>PD25010344|SB0503|POSCO_SWRCH35K_18.27_4660|2550T0749P|SHAFT SPLINE|942.00|KGS|98.00|pcs|TSK-PRD3|SB010024/3/25|SF81132|||23P0808344</v>
          </cell>
        </row>
        <row r="201">
          <cell r="A201" t="str">
            <v>PD25010342|SB0503|POSCO_SWRCH35K_18.27_4660|2550T0749P|SHAFT SPLINE|884.00|KGS|92.00|pcs|TSK-PRD3|SB010022/1/25|SF82845|||23P0808333</v>
          </cell>
        </row>
        <row r="202">
          <cell r="A202" t="str">
            <v>PD25010402|SB0006|NSC_S25C_43.5+0/-0.12_5500|TGY38713-0142|BOSS ROTOR|513.00|KGS|16.00|PCS|TSK-PRD3|SB010049/2/25|E276283|||23P0809864</v>
          </cell>
        </row>
        <row r="203">
          <cell r="A203" t="str">
            <v>PD25010347|SB0002|NSC_SCM415_21_5000|TG028986-0050|Barrel|1,032.00|KGS|75.00|PCS|TSK-PRD3|SB010038/1/25|E482457|||23P0808376</v>
          </cell>
        </row>
        <row r="204">
          <cell r="A204" t="str">
            <v>PD25010326|SB0207|NSC_SWCH48K_16.7_5500|TG028211-6190|SHAFT ARMATURE|1,018.00|KGS|107.00|PCS|TSK-PRD3|SB010033/3/25|3G0627|||23P0807203</v>
          </cell>
        </row>
        <row r="205">
          <cell r="A205" t="str">
            <v>PD25010431|SB0229|AICHI_SCr15_25.8_5700|TGY95601-0010|SLUG PINION POWER STEERING|950.00|KGS|40.00|PCS|TSK-PRD3|SB010047/1/25|43321|||23P0810272</v>
          </cell>
        </row>
        <row r="206">
          <cell r="A206" t="str">
            <v>PD24120821|SB0187|NSC_S48C_15.20_4000|TG028993-557B|SHAFT STARTER ARMATURE, 1W|204.00|KGS|36.00|PCS|TSK-PRD3|SB110152/8/24|E482329|||23P0788676</v>
          </cell>
        </row>
        <row r="207">
          <cell r="A207" t="str">
            <v>PD25010391|SB0338|NSC_S45CS1-V_26.0_3480_JAMY|JGC10-M09008-51-0|RACK BAR|878.00|KGS|60.00|PCS|TSK-PRD3|SB010043/1/25|D400586|||23P0809019</v>
          </cell>
        </row>
        <row r="208">
          <cell r="A208" t="str">
            <v>PD25010392|SB0338|NSC_S45CS1-V_26.0_3480_JAMY|JGC10-M09008-51-0|RACK BAR|878.00|KGS|60.00|PCS|TSK-PRD3|SB010043/4/25|D400586|||23P0809022</v>
          </cell>
        </row>
        <row r="209">
          <cell r="A209" t="str">
            <v>PD25010262|SB0338|NSC_S45CS1-V_26.0_3480_JAMY|JGC10-M09008-51-0|RACK BAR|842.00|KGS|58.00|PCS|TSK-PRD3|SB010016/6/25|D400586|||23P0806556</v>
          </cell>
        </row>
        <row r="210">
          <cell r="A210" t="str">
            <v>PD25010270|SB0482|JFE_S45CS1-QDS_32.25_3000|JGD10-000751/000761-A|RACK BAR|990.00|KGS|51.00|pcs|TSK-PRD3|SB010025/3/25|657136|JFE-SC|JFE Steel Corporation|23P0806651</v>
          </cell>
        </row>
        <row r="211">
          <cell r="A211" t="str">
            <v>PD24120967|SB0024|NSC_S45CS1-QDS_30.35_3060|2-30JG-0711|RACK POWER STEERING|885.00|KGS|50.00|PCS|TSK-PRD3|SB120103/5/24|D400455|||23P0792853</v>
          </cell>
        </row>
        <row r="212">
          <cell r="A212" t="str">
            <v>PD24120966|SB0024|NSC_S45CS1-QDS_30.35_3060|2-30JG-0711|RACK POWER STEERING|885.00|KGS|50.00|PCS|TSK-PRD3|SB120103/3/24|D400455|||23P0792851</v>
          </cell>
        </row>
        <row r="213">
          <cell r="A213" t="str">
            <v>PD24120965|SB0024|NSC_S45CS1-QDS_30.35_3060|2-30JG-0711|RACK POWER STEERING|885.00|KGS|50.00|PCS|TSK-PRD3|SB120103/1/24|D400455|||23P0792847</v>
          </cell>
        </row>
        <row r="214">
          <cell r="A214" t="str">
            <v>PD25010312|SB0209|NSC_S25C_31.5_6000|214341-10510|SHAFT FLUID COUPLING|1,030.00|KGS|28.00|PCS|TSK-PRD3|SB010031/2/25|E482034|||23P0806854</v>
          </cell>
        </row>
        <row r="215">
          <cell r="A215" t="str">
            <v>PD25010340|SB0174|POSCO_SWCH35K_18_5650|2550S0593P|SHAFT SPLINE|936.00|KGS|82.00|PCS|TSK-PRD3|SB010013/4/25|SF81132|||23P0808319</v>
          </cell>
        </row>
        <row r="216">
          <cell r="A216" t="str">
            <v>PD25010434|SB0300|NSC_S48CS1-H_31.8_3140|510-30149-020|RACK|787.00|KGS|40.00|PCS|TSK-PRD3|SB010052/4/25|4N0128|||23P0810485</v>
          </cell>
        </row>
        <row r="217">
          <cell r="A217" t="str">
            <v>PD25010267|SB0158|JFE_S25C_43.0_6200|16171-05030|SEAT,WATER PUMP PULLEY|1,000.00|KGS|14.00|PCS|TSK-PRD3|SB010026/2/25|657710|||23P0806597</v>
          </cell>
        </row>
        <row r="218">
          <cell r="A218" t="str">
            <v>PD25010402|SB0006|NSC_S25C_43.5+0/-0.12_5500|TGY38713-0142|BOSS ROTOR|513.00|KGS|16.00|PCS|TSK-PRD3|SB010049/2/25|E276283|||23P0809864</v>
          </cell>
        </row>
        <row r="219">
          <cell r="A219" t="str">
            <v>PD25010401|SB0006|NSC_S25C_43.5+0/-0.12_5500|TGY38713-3301|BOSS ROTOR 2 W|513.00|KGS|8.00|PCS|TSK-PRD3|SB010049/2/25|E276283|||23P0809858</v>
          </cell>
        </row>
        <row r="220">
          <cell r="A220" t="str">
            <v>PD25010418|SB0137|NSC_S45CS1-QDS_28.0_3560|JGC10-000440-S|RACK, MS|1,412.00|KGS|82.00|PCS|TSK-PRD3|SB010051/1/25|D400587|||23P0810177</v>
          </cell>
        </row>
        <row r="221">
          <cell r="A221" t="str">
            <v>PD24121123|SB0137-SPOT|NSC_S45CS1-QDS_28.0_3800/3100|JGC10-000440-S|RACK, MS|1,100.00|KGS|66.00|PCS|TSK-PRD3|SB120137/1/24|D400587|||23P0797264</v>
          </cell>
        </row>
        <row r="222">
          <cell r="A222" t="str">
            <v>PD25010403|SB0092|NSC_S25C_43.5_5500|141411-57060|Piston Disc Brake, Forging|962.00|KGS|15.00|PCS|TSK-PRD3|SB010048/1/25|E483141|||23P0809878</v>
          </cell>
        </row>
        <row r="223">
          <cell r="A223" t="str">
            <v>PD25010347|SB0002|NSC_SCM415_21_5000|TG028986-0050|Barrel|1,032.00|KGS|75.00|PCS|TSK-PRD3|SB010038/1/25|E482457|||23P0808376</v>
          </cell>
        </row>
        <row r="224">
          <cell r="A224" t="str">
            <v>PD25010350|SB0417|CSC_SWRCH12A_34.0_5000|8A10524|CAP RESERVOIR|966.00|KGS|27.00|pcs|TSK-PRD3|SB010042/1/25|3SA03|||23P0808412</v>
          </cell>
        </row>
        <row r="225">
          <cell r="A225" t="str">
            <v>PD25010431|SB0229|AICHI_SCr15_25.8_5700|TGY95601-0010|SLUG PINION POWER STEERING|950.00|KGS|40.00|PCS|TSK-PRD3|SB010047/1/25|43321|||23P0810272</v>
          </cell>
        </row>
        <row r="226">
          <cell r="A226" t="str">
            <v>PD25010403|SB0092|NSC_S25C_43.5_5500|141411-57060|Piston Disc Brake, Forging|962.00|KGS|15.00|PCS|TSK-PRD3|SB010048/1/25|E483141|||23P0809878</v>
          </cell>
        </row>
        <row r="227">
          <cell r="A227" t="str">
            <v>PD25010270|SB0482|JFE_S45CS1-QDS_32.25_3000|JGD10-000751/000761-A|RACK BAR|990.00|KGS|51.00|pcs|TSK-PRD3|SB010025/3/25|657136|JFE-SC|JFE Steel Corporation|23P0806651</v>
          </cell>
        </row>
        <row r="228">
          <cell r="A228" t="str">
            <v>PD25010271|SB0482|JFE_S45CS1-QDS_32.25_3000|JGD10-000751/000761-A|RACK BAR|990.00|KGS|51.00|pcs|TSK-PRD3|SB010025/4/25|657136|JFE-SC|JFE Steel Corporation|23P0806652</v>
          </cell>
        </row>
        <row r="229">
          <cell r="A229" t="str">
            <v>PD25010273|SB0482|JFE_S45CS1-QDS_32.25_3000|JGD10-000751/000761-A|RACK BAR|990.00|KGS|51.00|pcs|TSK-PRD3|SB010027/6/25|657136|JFE-SC|JFE Steel Corporation|23P0806665</v>
          </cell>
        </row>
        <row r="230">
          <cell r="A230" t="str">
            <v>PD25010267|SB0158|JFE_S25C_43.0_6200|16171-05030|SEAT,WATER PUMP PULLEY|1,000.00|KGS|14.00|PCS|TSK-PRD3|SB010026/2/25|657710|||23P0806597</v>
          </cell>
        </row>
        <row r="231">
          <cell r="A231" t="str">
            <v>PD25010401|SB0006|NSC_S25C_43.5+0/-0.12_5500|TGY38713-3301|BOSS ROTOR 2 W|513.00|KGS|8.00|PCS|TSK-PRD3|SB010049/2/25|E276283|||23P0809858</v>
          </cell>
        </row>
        <row r="232">
          <cell r="A232" t="str">
            <v>PD25010395|SB0104|KMS_DSS1_15.57_5000|TG028152-5190|Pole Core|1,025.00|KGS|137.00|PCS|TSK-PRD3|SB010037/4/25|KS004C3913|KMS|KOBELCO Millcon Steel Co.,Ltd|23P0809040</v>
          </cell>
        </row>
        <row r="233">
          <cell r="A233" t="str">
            <v>PD25010404|SB0232|NSC_S43C_36.80_5100|TGY95613-0020|SLUG VALVE ROTARY|986.00|KGS|23.00|PCS|TSK-PRD3|SB010050/1/25|E483649|||23P0809882</v>
          </cell>
        </row>
        <row r="234">
          <cell r="A234" t="str">
            <v>PD25010392|SB0338|NSC_S45CS1-V_26.0_3480_JAMY|JGC10-M09008-51-0|RACK BAR|878.00|KGS|60.00|PCS|TSK-PRD3|SB010043/4/25|D400586|||23P0809022</v>
          </cell>
        </row>
        <row r="235">
          <cell r="A235" t="str">
            <v>PD25010398|SB0478|NSC_S45CS1-V_32.25_3200|JGD10-001260-40-1|RACK, PS|976.00|KGS|47.00|PCS|TSK-PRD3|SB010046/2/25|D400585|||23P0809828</v>
          </cell>
        </row>
        <row r="236">
          <cell r="A236" t="str">
            <v>PD25010507|SB0187|NSC_S48C_15.20_4000|TG028993-540B|SHAFT STARTER ARMATURE, 1W|205.00|KGS|36.00|PCS|TSK-PRD3|SB120077/4/24|E483253|||23P0811976</v>
          </cell>
        </row>
        <row r="237">
          <cell r="A237" t="str">
            <v>PD25010340|SB0174|POSCO_SWCH35K_18_5650|2550S0593P|SHAFT SPLINE|936.00|KGS|82.00|PCS|TSK-PRD3|SB010013/4/25|SF81132|||23P0808319</v>
          </cell>
        </row>
        <row r="238">
          <cell r="A238" t="str">
            <v>PD24120965|SB0024|NSC_S45CS1-QDS_30.35_3060|2-30JG-0711|RACK POWER STEERING|885.00|KGS|50.00|PCS|TSK-PRD3|SB120103/1/24|D400455|||23P0792847</v>
          </cell>
        </row>
        <row r="239">
          <cell r="A239" t="str">
            <v>PD25010471|SB0413|NSC_S45CS1-QDS_24.00_3250/3810|JGC10-003280-40-0|Rack, MS|880.00|KGS|70.00|pcs|TSK-PRD3|SB010053/1/25|D400534|||23P0811646</v>
          </cell>
        </row>
        <row r="240">
          <cell r="A240" t="str">
            <v>PD25010350|SB0417|CSC_SWRCH12A_34.0_5000|8A10524|CAP RESERVOIR|966.00|KGS|27.00|pcs|TSK-PRD3|SB010042/1/25|3SA03|||23P0808412</v>
          </cell>
        </row>
        <row r="241">
          <cell r="A241" t="str">
            <v>PD25010347|SB0002|NSC_SCM415_21_5000|TG028986-0050|Barrel|1,020.00|KGS|75.00|PCS|TSK-PRD3|SB010038/2/25|E482457|||23P0808377</v>
          </cell>
        </row>
        <row r="242">
          <cell r="A242" t="str">
            <v>PD25010404|SB0232|NSC_S43C_36.80_5100|TGY95613-0020|SLUG VALVE ROTARY|986.00|KGS|23.00|PCS|TSK-PRD3|SB010050/1/25|E483649|||23P0809882</v>
          </cell>
        </row>
        <row r="243">
          <cell r="A243" t="str">
            <v>PD25010403|SB0092|NSC_S25C_43.5_5500|141411-57060|Piston Disc Brake, Forging|962.00|KGS|15.00|PCS|TSK-PRD3|SB010048/1/25|E483141|||23P0809878</v>
          </cell>
        </row>
        <row r="244">
          <cell r="A244" t="str">
            <v>PD25010524|SB0247|NSC_SCR415_23.85_5800|TG028351-5130|TUBE SUB-ASSY|922.00|KGS|45.00|PCS|TSK-PRD3|SB010067/2/25|E379606|||23P0813205</v>
          </cell>
        </row>
        <row r="245">
          <cell r="A245" t="str">
            <v>PD25010398|SB0478|NSC_S45CS1-V_32.25_3200|JGD10-001260-40-1|RACK, PS|976.00|KGS|47.00|PCS|TSK-PRD3|SB010046/2/25|D400585|||23P0809828</v>
          </cell>
        </row>
        <row r="246">
          <cell r="A246" t="str">
            <v>PD25010399|SB0478|NSC_S45CS1-V_32.25_3200|JGD10-001260-40-1|RACK, PS|976.00|KGS|47.00|PCS|TSK-PRD3|SB010046/4/25|D400585|||23P0809832</v>
          </cell>
        </row>
        <row r="247">
          <cell r="A247" t="str">
            <v>PD25010400|SB0478|NSC_S45CS1-V_32.25_3200|JGD10-001260-40-1|RACK, PS|850.00|KGS|41.00|PCS|TSK-PRD3|SB010046/6/25|D400585|||23P0809836</v>
          </cell>
        </row>
        <row r="248">
          <cell r="A248" t="str">
            <v>PD24110951|SB0024|NSC_S45CS1-QDS_30.35_3060|JGD10-BA0101-C|RACK POWER STEERING|874.00|KGS|50.00|PCS|TSK-PRD3|SB110123/4/24|D400135|||23P0760304</v>
          </cell>
        </row>
        <row r="249">
          <cell r="A249" t="str">
            <v>PD25010395|SB0104|KMS_DSS1_15.57_5000|TG028152-5190|Pole Core|1,025.00|KGS|137.00|PCS|TSK-PRD3|SB010037/4/25|KS004C3913|KMS|KOBELCO Millcon Steel Co.,Ltd|23P0809040</v>
          </cell>
        </row>
        <row r="250">
          <cell r="A250" t="str">
            <v>PD25010394</v>
          </cell>
        </row>
        <row r="251">
          <cell r="A251" t="str">
            <v>PD25010273|SB0482|JFE_S45CS1-QDS_32.25_3000|JGD10-000751/000761-A|RACK BAR|990.00|KGS|51.00|pcs|TSK-PRD3|SB010027/6/25|657136|JFE-SC|JFE Steel Corporation|23P0806665</v>
          </cell>
        </row>
        <row r="252">
          <cell r="A252" t="str">
            <v>PD25010272|SB0482|JFE_S45CS1-QDS_32.25_3000|JGD10-000751/000761-A|RACK BAR|990.00|KGS|51.00|pcs|TSK-PRD3|SB010027/3/25|657136|JFE-SC|JFE Steel Corporation|23P0806660</v>
          </cell>
        </row>
        <row r="253">
          <cell r="A253" t="str">
            <v>PD25010471|SB0413|NSC_S45CS1-QDS_24.00_3250/3810|JGC10-003280-40-0|Rack, MS|880.00|KGS|70.00|pcs|TSK-PRD3|SB010053/1/25|D400534|||23P0811646</v>
          </cell>
        </row>
        <row r="254">
          <cell r="A254" t="str">
            <v>PD25010472|SB0413|NSC_S45CS1-QDS_24.00_3250/3810|JGC10-003280-40-0|Rack, MS|880.00|KGS|70.00|pcs|TSK-PRD3|SB010053/3/25|D400534|||23P0811652</v>
          </cell>
        </row>
        <row r="255">
          <cell r="A255" t="str">
            <v>PD25010340|SB0174|POSCO_SWCH35K_18_5650|2550S0593P|SHAFT SPLINE|936.00|KGS|82.00|PCS|TSK-PRD3|SB010013/4/25|SF81132|||23P0808319</v>
          </cell>
        </row>
        <row r="256">
          <cell r="A256" t="str">
            <v>PD25010341|SB0174|POSCO_SWCH35K_18_5650|2550S0593P|SHAFT SPLINE|936.00|KGS|82.00|PCS|TSK-PRD3|SB010013/5/25|SF81132|||23P0808320</v>
          </cell>
        </row>
        <row r="257">
          <cell r="A257" t="str">
            <v>PD25010267|SB0158|JFE_S25C_43.0_6200|16171-05030|SEAT,WATER PUMP PULLEY|1,000.00|KGS|14.00|PCS|TSK-PRD3|SB010026/2/25|657710|||23P0806597</v>
          </cell>
        </row>
        <row r="258">
          <cell r="A258" t="str">
            <v>PD25010480|SB0158|JFE_S25C_43.0_6200|16171-05030|SEAT,WATER PUMP PULLEY|998.00|KGS|14.00|PCS|TSK-PRD3|SB010056/3/25|657710|||23P0811813</v>
          </cell>
        </row>
        <row r="259">
          <cell r="A259" t="str">
            <v>PD25010401|SB0006|NSC_S25C_43.5+0/-0.12_5500|TGY38713-3301|BOSS ROTOR 2 W|513.00|KGS|8.00|PCS|TSK-PRD3|SB010049/2/25|E276283|||23P0809858</v>
          </cell>
        </row>
        <row r="260">
          <cell r="A260" t="str">
            <v>PD25010507|SB0187|NSC_S48C_15.20_4000|TG028993-540B|SHAFT STARTER ARMATURE, 1W|205.00|KGS|36.00|PCS|TSK-PRD3|SB120077/4/24|E483253|||23P0811976</v>
          </cell>
        </row>
        <row r="261">
          <cell r="A261" t="str">
            <v>PD25010341|SB0174|POSCO_SWCH35K_18_5650|2550S0593P|SHAFT SPLINE|936.00|KGS|82.00|PCS|TSK-PRD3|SB010013/5/25|SF81132|||23P0808320</v>
          </cell>
        </row>
        <row r="262">
          <cell r="A262" t="str">
            <v>PD25010313|SB0209|NSC_S25C_31.5_6000|214341-10510|SHAFT FLUID COUPLING|1,030.00|KGS|28.00|PCS|TSK-PRD3|SB010031/5/25|E482034|||23P0806858</v>
          </cell>
        </row>
        <row r="263">
          <cell r="A263" t="str">
            <v>PD25010524|SB0247|NSC_SCR415_23.85_5800|TG028351-5130|TUBE SUB-ASSY|922.00|KGS|45.00|PCS|TSK-PRD3|SB010067/2/25|E379606|||23P0813205</v>
          </cell>
        </row>
        <row r="264">
          <cell r="A264" t="str">
            <v>PD25010404|SB0232|NSC_S43C_36.80_5100|TGY95613-0020|SLUG VALVE ROTARY|986.00|KGS|23.00|PCS|TSK-PRD3|SB010050/1/25|E483649|||23P0809882</v>
          </cell>
        </row>
        <row r="265">
          <cell r="A265" t="str">
            <v>PD25010472|SB0413|NSC_S45CS1-QDS_24.00_3250/3810|JGC10-003280-40-0|Rack, MS|880.00|KGS|70.00|pcs|TSK-PRD3|SB010053/3/25|D400534|||23P0811652</v>
          </cell>
        </row>
        <row r="266">
          <cell r="A266" t="str">
            <v>PD24121019|SB0484|NSC_S45CS1-V_32.25_5540|JGD10-001230-40-0|RACK, PS|1,174.00|KGS|33.00|PCS|TSK-PRD3|SB120131/1/24|D400369|||23P0793297</v>
          </cell>
        </row>
        <row r="267">
          <cell r="A267" t="str">
            <v>PD25010350|SB0417|CSC_SWRCH12A_34.0_5000|8A10524|CAP RESERVOIR|928.00|KGS|26.00|pcs|TSK-PRD3|SB010042/2/25|3SA03|||23P0808414</v>
          </cell>
        </row>
        <row r="268">
          <cell r="A268" t="str">
            <v>PD25010502|SB0188|NSC_S48C_12.2_4000|TG028993-515C|SHAFT STARTER ARMATURE, 1W|210.00|KGS|57.00|PCS|TSK-PRD3|SB110103/10/24|4Q1303|||23P0811936</v>
          </cell>
        </row>
        <row r="269">
          <cell r="A269" t="str">
            <v>PD25010503|SB0188|NSC_S48C_12.2_4000|TG028993-515C|SHAFT STARTER ARMATURE, 1W|210.00|KGS|57.00|PCS|TSK-PRD3|SB110103/8/24|4Q1303|||23P0811938</v>
          </cell>
        </row>
        <row r="270">
          <cell r="A270" t="str">
            <v>PD25010272|SB0482|JFE_S45CS1-QDS_32.25_3000|JGD10-000751/000761-A|RACK BAR|990.00|KGS|51.00|pcs|TSK-PRD3|SB010027/3/25|657136|JFE-SC|JFE Steel Corporation|23P0806660</v>
          </cell>
        </row>
        <row r="271">
          <cell r="A271" t="str">
            <v>PD25010274|SB0482|JFE_S45CS1-QDS_32.25_3000|JGD10-000751/000761-A|RACK BAR|990.00|KGS|51.00|pcs|TSK-PRD3|SB010030/1/25|657136|JFE-SC|JFE Steel Corporation|23P0806669</v>
          </cell>
        </row>
        <row r="272">
          <cell r="A272" t="str">
            <v>PD25010275|SB0482|JFE_S45CS1-QDS_32.25_3000|JGD10-000751/000761-A|RACK BAR|990.00|KGS|51.00|pcs|TSK-PRD3|SB010030/4/25|657136|JFE-SC|JFE Steel Corporation|23P0806679</v>
          </cell>
        </row>
        <row r="273">
          <cell r="A273" t="str">
            <v>PD25010347|SB0002|NSC_SCM415_21_5000|TG028986-0050|Barrel|1,032.00|KGS|75.00|PCS|TSK-PRD3|SB010038/1/25|E482457|||23P0808376</v>
          </cell>
        </row>
        <row r="274">
          <cell r="A274" t="str">
            <v>PD25010525|SB0247|NSC_SCR415_23.85_5800|TG028351-5220|TUBE|780.00|KGS|38.00|PCS|TSK-PRD3|SB010066/1/25|E379606|||23P0813206</v>
          </cell>
        </row>
        <row r="275">
          <cell r="A275" t="str">
            <v>PD25010480|SB0158|JFE_S25C_43.0_6200|16171-05030|SEAT,WATER PUMP PULLEY|998.00|KGS|14.00|PCS|TSK-PRD3|SB010056/1/25|657710|||23P0811811</v>
          </cell>
        </row>
        <row r="276">
          <cell r="A276" t="str">
            <v>PD24110951|SB0024|NSC_S45CS1-QDS_30.35_3060|JGD10-BA0101-C|RACK POWER STEERING|874.00|KGS|50.00|PCS|TSK-PRD3|SB110123/4/24|D400135|||23P0760304</v>
          </cell>
        </row>
        <row r="277">
          <cell r="A277" t="str">
            <v>PD24120918|SB0024|NSC_S45CS1-QDS_30.35_3060|JGD10-BA0101-C|RACK POWER STEERING|875.00|KGS|50.00|PCS|TSK-PRD3|SB120113/2/24|D400454|||23P0791375</v>
          </cell>
        </row>
        <row r="278">
          <cell r="A278" t="str">
            <v>PD25010479|SB0338|NSC_S45CS1-V_26.0_3480_JAMY|JGC10-M09008-51-0|RACK BAR|846.00|KGS|58.00|PCS|TSK-PRD3|SB010045/6/25|D400586|||23P0811805</v>
          </cell>
        </row>
        <row r="279">
          <cell r="A279" t="str">
            <v>PD25010394|SB0104|KMS_DSS1_15.57_5000|TG028152-5190|Pole Core|1,032.00|KGS|138.00|PCS|TSK-PRD3|SB010037/1/25|KS004C3913|KMS|KOBELCO Millcon Steel Co.,Ltd|23P0809037</v>
          </cell>
        </row>
        <row r="280">
          <cell r="A280" t="str">
            <v>PD25010393|SB0104|KMS_DSS1_15.57_5000|TG028152-5190|Pole Core|836.00|KGS|111.00|PCS|TSK-PRD3|SB010036/1/25|KS004C3913|KMS|KOBELCO Millcon Steel Co.,Ltd|23P0809031</v>
          </cell>
        </row>
        <row r="281">
          <cell r="A281" t="str">
            <v>PD25010350|SB0417|CSC_SWRCH12A_34.0_5000|8A10524|CAP RESERVOIR|928.00|KGS|26.00|pcs|TSK-PRD3|SB010042/2/25|3SA03|||23P0808414</v>
          </cell>
        </row>
        <row r="282">
          <cell r="A282" t="str">
            <v>PD25010524|SB0247|NSC_SCR415_23.85_5800|TG028351-5130|TUBE SUB-ASSY|922.00|KGS|45.00|PCS|TSK-PRD3|SB010067/2/25|E379606|||23P0813205</v>
          </cell>
        </row>
        <row r="283">
          <cell r="A283" t="str">
            <v>PD25010525|SB0247|NSC_SCR415_23.85_5800|TG028351-5220|TUBE|780.00|KGS|38.00|PCS|TSK-PRD3|SB010066/1/25|E379606|||23P0813206</v>
          </cell>
        </row>
        <row r="284">
          <cell r="A284" t="str">
            <v>PD25010404|SB0232|NSC_S43C_36.80_5100|TGY95613-0020|SLUG VALVE ROTARY|986.00|KGS|23.00|PCS|TSK-PRD3|SB010050/1/25|E483649|||23P0809882</v>
          </cell>
        </row>
        <row r="285">
          <cell r="A285" t="str">
            <v>PD25010479|SB0338|NSC_S45CS1-V_26.0_3480_JAMY|JGC10-M09008-51-0|RACK BAR|846.00|KGS|58.00|PCS|TSK-PRD3|SB010045/6/25|D400586|||23P0811805</v>
          </cell>
        </row>
        <row r="286">
          <cell r="A286" t="str">
            <v>PD25010478|SB0338|NSC_S45CS1-V_26.0_3480_JAMY|JGC10-M09008-51-0|RACK BAR|878.00|KGS|60.00|PCS|TSK-PRD3|SB010045/4/25|D400586|||23P0811800</v>
          </cell>
        </row>
        <row r="287">
          <cell r="A287" t="str">
            <v>PD25010477|SB0338|NSC_S45CS1-V_26.0_3480_JAMY|JGC10-M09008-51-0|RACK BAR|878.00|KGS|60.00|PCS|TSK-PRD3|SB010045/2/25|D400586|||23P0811798</v>
          </cell>
        </row>
        <row r="288">
          <cell r="A288" t="str">
            <v>PD25010346|SB0066|NSC_SCM415_44.00+/-0.2_5700|TGY28987-0060|Pinion Starter 2 W|1,158.00|KGS|17.00|PCS|TSK-PRD3|SB010039/1/25|E482737|||23P0808368</v>
          </cell>
        </row>
        <row r="289">
          <cell r="A289" t="str">
            <v>PD25010393|SB0104|KMS_DSS1_15.57_5000|TG028152-5190|Pole Core|836.00|KGS|111.00|PCS|TSK-PRD3|SB010036/1/25|KS004C3913|KMS|KOBELCO Millcon Steel Co.,Ltd|23P0809031</v>
          </cell>
        </row>
        <row r="290">
          <cell r="A290" t="str">
            <v>PD25010275|SB0482|JFE_S45CS1-QDS_32.25_3000|JGD10-000751/000761-A|RACK BAR|990.00|KGS|51.00|pcs|TSK-PRD3|SB010030/5/25|657136|JFE-SC|JFE Steel Corporation|23P0806680</v>
          </cell>
        </row>
        <row r="291">
          <cell r="A291" t="str">
            <v>PD25010337|SB0482|JFE_S45CS1-QDS_32.25_3000|JGD10-000751/000761-A|RACK BAR|990.00|KGS|51.00|pcs|TSK-PRD3|SB010032/6/25|657136|JFE-SC|JFE Steel Corporation|23P0808287</v>
          </cell>
        </row>
        <row r="292">
          <cell r="A292" t="str">
            <v>PD24121017|SB0484|NSC_S45CS1-V_32.25_5540|JGD10-001230-40-0|RACK, PS|890.00|KGS|25.00|PCS|TSK-PRD3|SB120128/1/24|D400369|||23P0793290</v>
          </cell>
        </row>
        <row r="293">
          <cell r="A293" t="str">
            <v>PD24121018|SB0484|NSC_S45CS1-V_32.25_5540|JGD10-001230-40-0|RACK, PS|890.00|KGS|25.00|PCS|TSK-PRD3|SB120128/3/24|D400369|||23P0793295</v>
          </cell>
        </row>
        <row r="294">
          <cell r="A294" t="str">
            <v>PD25010475|SB0135|NSC_S45CS1-QDS_26.0_3460|JGC10-003140-40-0|RACK, MS|876.00|KGS|60.00|PCS|TSK-PRD3|SB010058/2/25|D400587|||23P0811787</v>
          </cell>
        </row>
        <row r="295">
          <cell r="A295" t="str">
            <v>PD25010313|SB0209|NSC_S25C_31.5_6000|214341-10510|SHAFT FLUID COUPLING|1,030.00|KGS|28.00|PCS|TSK-PRD3|SB010031/5/25|E482034|||23P0806858</v>
          </cell>
        </row>
        <row r="296">
          <cell r="A296" t="str">
            <v>PD25010480|SB0158|JFE_S25C_43.0_6200|16171-05030|SEAT,WATER PUMP PULLEY|998.00|KGS|14.00|PCS|TSK-PRD3|SB010056/3/25|657710|||23P0811813</v>
          </cell>
        </row>
        <row r="297">
          <cell r="A297" t="str">
            <v>PD25010503|SB0188|NSC_S48C_12.2_4000|TG028993-515C|SHAFT STARTER ARMATURE, 1W|210.00|KGS|57.00|PCS|TSK-PRD3|SB110103/8/24|4Q1303|||23P0811938</v>
          </cell>
        </row>
        <row r="298">
          <cell r="A298" t="str">
            <v>PD25010481|SB0158|JFE_S25C_43.0_6200|16171-05030|SEAT,WATER PUMP PULLEY|998.00|KGS|14.00|PCS|TSK-PRD3|SB010056/4/25|657710|||23P0811820</v>
          </cell>
        </row>
        <row r="299">
          <cell r="A299" t="str">
            <v>PD25010507|SB0187|NSC_S48C_15.20_4000|TG028993-540B|SHAFT STARTER ARMATURE, 1W|205.00|KGS|36.00|PCS|TSK-PRD3|SB120077/4/24|E483253|||23P0811976</v>
          </cell>
        </row>
        <row r="300">
          <cell r="A300" t="str">
            <v>PD25010506|SB0187|NSC_S48C_15.20_4000|TG028993-557B|SHAFT STARTER ARMATURE, 1W|205.00|KGS|36.00|PCS|TSK-PRD3|SB120077/1/24|E483253|||23P0811968</v>
          </cell>
        </row>
        <row r="301">
          <cell r="A301" t="str">
            <v>PD25010393|SB0104|KMS_DSS1_15.57_5000|TG028152-5190|Pole Core|836.00|KGS|111.00|PCS|TSK-PRD3|SB010036/1/25|KS004C3913|KMS|KOBELCO Millcon Steel Co.,Ltd|23P0809031</v>
          </cell>
        </row>
        <row r="302">
          <cell r="A302" t="str">
            <v>PD25010313|SB0209|NSC_S25C_31.5_6000|214341-10510|SHAFT FLUID COUPLING|1,030.00|KGS|28.00|PCS|TSK-PRD3|SB010031/5/25|E482034|||23P0806858</v>
          </cell>
        </row>
        <row r="303">
          <cell r="A303" t="str">
            <v>PD25010643|SB0002|NSC_SCM415_21_5000|TG028986-0050|Barrel|1,032.00|KGS|75.00|PCS|TSK-PRD3|SB010069/2/25|E380477|||23P0815485</v>
          </cell>
        </row>
        <row r="304">
          <cell r="A304" t="str">
            <v>PD25010481|SB0158|JFE_S25C_43.0_6200|16171-05030|SEAT,WATER PUMP PULLEY|998.00|KGS|14.00|PCS|TSK-PRD3|SB010056/4/25|657710|||23P0811820</v>
          </cell>
        </row>
        <row r="305">
          <cell r="A305" t="str">
            <v>PD25010480|SB0158|JFE_S25C_43.0_6200|16171-05030|SEAT,WATER PUMP PULLEY|998.00|KGS|14.00|PCS|TSK-PRD3|SB010056/3/25|657710|||23P0811813</v>
          </cell>
        </row>
        <row r="306">
          <cell r="A306" t="str">
            <v>PD25010604|SB0158|JFE_S25C_43.0_6200|16171-05030|SEAT,WATER PUMP PULLEY|996.00|KGS|14.00|PCS|TSK-PRD3|SB010073/1/25|657710|||23P0815029</v>
          </cell>
        </row>
        <row r="307">
          <cell r="A307" t="str">
            <v>PD25010524|SB0247|NSC_SCR415_23.85_5800|TG028351-5130|TUBE SUB-ASSY|922.00|KGS|45.00|PCS|TSK-PRD3|SB010067/2/25|E379606|||23P0813205</v>
          </cell>
        </row>
        <row r="308">
          <cell r="A308" t="str">
            <v>PD25010603|SB0247|NSC_SCR415_23.85_5800|TG028351-5130|TUBE SUB-ASSY|922.00|KGS|45.00|PCS|TSK-PRD3|SB010067/4/25|E379606|||23P0815025</v>
          </cell>
        </row>
        <row r="309">
          <cell r="A309" t="str">
            <v>PD25010404|SB0232|NSC_S43C_36.80_5100|TGY95613-0020|SLUG VALVE ROTARY|942.00|KGS|22.00|PCS|TSK-PRD3|SB010050/2/25|E483649|||23P0809883</v>
          </cell>
        </row>
        <row r="310">
          <cell r="A310" t="str">
            <v>PD25010405|SB0232|NSC_S43C_36.80_5100|TGY95613-0020|SLUG VALVE ROTARY|942.00|KGS|22.00|PCS|TSK-PRD3|SB010050/4/25|E483649|||23P0809885</v>
          </cell>
        </row>
        <row r="311">
          <cell r="A311" t="str">
            <v>PD25010350|SB0417|CSC_SWRCH12A_34.0_5000|8A10524|CAP RESERVOIR|928.00|KGS|26.00|pcs|TSK-PRD3|SB010042/2/25|3SA03|||23P0808414</v>
          </cell>
        </row>
        <row r="312">
          <cell r="A312" t="str">
            <v>PD25010577|MB0028|S25C Dia 40.00x5500 mm.|ZZ2B7401TX1|FLANGE-13 SLUG|1,955.00|KGS|36.00|PCS|TSK-PRD3|2B2500137|3-62282|JFE-SC|JFE Steel Corporation|23P0813856</v>
          </cell>
        </row>
        <row r="313">
          <cell r="A313" t="str">
            <v>PD25010475|SB0135|NSC_S45CS1-QDS_26.0_3460|JGC10-003140-40-0|RACK, MS|876.00|KGS|60.00|PCS|TSK-PRD3|SB010058/2/25|D400587|||23P0811787</v>
          </cell>
        </row>
        <row r="314">
          <cell r="A314" t="str">
            <v>PD25010608|SB0024|NSC_S45CS1-QDS_30.35_3060|2-30JG-0711|RACK POWER STEERING|880.00|KGS|50.00|PCS|TSK-PRD3|SB010074/3/25|D400455|||23P0815111</v>
          </cell>
        </row>
        <row r="315">
          <cell r="A315" t="str">
            <v>PD25010336|SB0482|JFE_S45CS1-QDS_32.25_3000|JGD10-000751/000761-A|RACK BAR|990.00|KGS|51.00|pcs|TSK-PRD3|SB010032/3/25|657136|JFE-SC|JFE Steel Corporation|23P0808284</v>
          </cell>
        </row>
        <row r="316">
          <cell r="A316" t="str">
            <v>PD25010338|SB0482|JFE_S45CS1-QDS_32.25_3000|JGD10-000751/000761-A|RACK BAR|990.00|KGS|51.00|pcs|TSK-PRD3|SB010034/1/25|657136|JFE-SC|JFE Steel Corporation|23P0808290</v>
          </cell>
        </row>
        <row r="317">
          <cell r="A317" t="str">
            <v>PD25010346|SB0066|NSC_SCM415_44.00+/-0.2_5700|TGY28987-0060|Pinion Starter 2 W|1,158.00|KGS|17.00|PCS|TSK-PRD3|SB010039/1/25|E482737|||23P0808368</v>
          </cell>
        </row>
        <row r="318">
          <cell r="A318" t="str">
            <v>PD25010477|SB0338|NSC_S45CS1-V_26.0_3480_JAMY|JGC10-M09008-51-0|RACK BAR|878.00|KGS|60.00|PCS|TSK-PRD3|SB010045/2/25|D400586|||23P0811798</v>
          </cell>
        </row>
        <row r="319">
          <cell r="A319" t="str">
            <v>PD25010473|SB0144|NSC_S45CS1-V_32.25_3170|JGD10S000800-B|RACK BAR|980.00|KGS|48.00|PCS|TSK-PRD3|SB010054/1/25|D400585|||23P0811763</v>
          </cell>
        </row>
        <row r="320">
          <cell r="A320" t="str">
            <v>PD25010506|SB0187|NSC_S48C_15.20_4000|TG028993-557B|SHAFT STARTER ARMATURE, 1W|205.00|KGS|36.00|PCS|TSK-PRD3|SB120077/1/24|E483253|||23P0811968</v>
          </cell>
        </row>
        <row r="321">
          <cell r="A321" t="str">
            <v>PD25010346|SB0066|NSC_SCM415_44.00+/-0.2_5700|TGY28987-0060|Pinion Starter 2 W|1,158.00|KGS|17.00|PCS|TSK-PRD3|SB010039/1/25|E482737|||23P0808368</v>
          </cell>
        </row>
        <row r="322">
          <cell r="A322" t="str">
            <v>PD25010577|MB0028|S25C Dia 40.00x5500 mm.|ZZ2B7401TX1|FLANGE-13 SLUG|1,955.00|KGS|36.00|PCS|TSK-PRD3|2B2500137|3-62282|JFE-SC|JFE Steel Corporation|23P0813856</v>
          </cell>
        </row>
        <row r="323">
          <cell r="A323" t="str">
            <v>PD25010405|SB0232|NSC_S43C_36.80_5100|TGY95613-0020|SLUG VALVE ROTARY|942.00|KGS|22.00|PCS|TSK-PRD3|SB010050/4/25|E483649|||23P0809885</v>
          </cell>
        </row>
        <row r="324">
          <cell r="A324" t="str">
            <v>PD25010603|SB0247|NSC_SCR415_23.85_5800|TG028351-5130|TUBE SUB-ASSY|922.00|KGS|45.00|PCS|TSK-PRD3|SB010067/4/25|E379606|||23P0815025</v>
          </cell>
        </row>
        <row r="325">
          <cell r="A325" t="str">
            <v>PD25010473|SB0144|NSC_S45CS1-V_32.25_3170|JGD10S000800-B|RACK BAR|980.00|KGS|48.00|PCS|TSK-PRD3|SB010054/1/25|D400585|||23P0811763</v>
          </cell>
        </row>
        <row r="326">
          <cell r="A326" t="str">
            <v>PD25010474|SB0144|NSC_S45CS1-V_32.25_3170|JGD10S000800-B|RACK BAR|980.00|KGS|48.00|PCS|TSK-PRD3|SB010054/4/25|D400585|||23P0811771</v>
          </cell>
        </row>
        <row r="327">
          <cell r="A327" t="str">
            <v>PD25010671|SB0101|KOBE_SUM22_20.7_6700|TG053661-7151|PLUNGER|1,054.00|KGS|60.00|PCS|TSK-PRD3|SB010085/3/25|4A4714|||23P0816933</v>
          </cell>
        </row>
        <row r="328">
          <cell r="A328" t="str">
            <v>PD25010643|SB0002|NSC_SCM415_21_5000|TG028986-0050|Barrel|1,032.00|KGS|75.00|PCS|TSK-PRD3|SB010069/2/25|E380477|||23P0815485</v>
          </cell>
        </row>
        <row r="329">
          <cell r="A329" t="str">
            <v>PD25010604|SB0158|JFE_S25C_43.0_6200|16171-05030|SEAT,WATER PUMP PULLEY|996.00|KGS|14.00|PCS|TSK-PRD3|SB010073/1/25|657710|||23P0815029</v>
          </cell>
        </row>
        <row r="330">
          <cell r="A330" t="str">
            <v>PD25010481|SB0158|JFE_S25C_43.0_6200|16171-05030|SEAT,WATER PUMP PULLEY|998.00|KGS|14.00|PCS|TSK-PRD3|SB010056/4/25|657710|||23P0811820</v>
          </cell>
        </row>
        <row r="331">
          <cell r="A331" t="str">
            <v>PD25010506|SB0187|NSC_S48C_15.20_4000|TG028993-557B|SHAFT STARTER ARMATURE, 1W|205.00|KGS|36.00|PCS|TSK-PRD3|SB120077/1/24|E483253|||23P0811968</v>
          </cell>
        </row>
        <row r="332">
          <cell r="A332" t="str">
            <v>PD25010608|SB0024|NSC_S45CS1-QDS_30.35_3060|2-30JG-0711|RACK POWER STEERING|880.00|KGS|50.00|PCS|TSK-PRD3|SB010074/3/25|D400455|||23P0815111</v>
          </cell>
        </row>
        <row r="333">
          <cell r="A333" t="str">
            <v>PD25010609|SB0024|NSC_S45CS1-QDS_30.35_3060|2-30JG-0711|RACK POWER STEERING|880.00|KGS|50.00|PCS|TSK-PRD3|SB010074/4/25|D400455|||23P0815112</v>
          </cell>
        </row>
        <row r="334">
          <cell r="A334" t="str">
            <v>PD25010615|SB0516|KOBE_S45CS1-RP-QT_32.2_5500|JGF02-002190-31-0|RACK BAR BLANK|1,935.00|KGS|54.00|PCS|TSK-PRD3|SB010064/1/25|4B4381|KOBE|KOBE|23P0816024</v>
          </cell>
        </row>
        <row r="335">
          <cell r="A335" t="str">
            <v>PD25010541|SB0482|JFE_S45CS1-QDS_32.25_3000|JGD10-000751/000761-A|RACK BAR|986.00|KGS|51.00|pcs|TSK-PRD3|SB010063/6/25|657135|JFE-SC|JFE Steel Corporation|23P0813493</v>
          </cell>
        </row>
        <row r="336">
          <cell r="A336" t="str">
            <v>PD25010540|SB0482|JFE_S45CS1-QDS_32.25_3000|JGD10-000751/000761-A|RACK BAR|986.00|KGS|51.00|pcs|TSK-PRD3|SB010063/2/25|657135|JFE-SC|JFE Steel Corporation|23P0813487</v>
          </cell>
        </row>
        <row r="337">
          <cell r="A337" t="str">
            <v>PD25010603|SB0247|NSC_SCR415_23.85_5800|TG028351-5130|TUBE SUB-ASSY|922.00|KGS|45.00|PCS|TSK-PRD3|SB010067/4/25|E379606|||23P0815025</v>
          </cell>
        </row>
        <row r="338">
          <cell r="A338" t="str">
            <v>PD25010671|SB0101|KOBE_SUM22_20.7_6700|TG053661-7151|PLUNGER|1,054.00|KGS|60.00|PCS|TSK-PRD3|SB010085/3/25|4A4714|||23P0816933</v>
          </cell>
        </row>
        <row r="339">
          <cell r="A339" t="str">
            <v>PD25010577|MB0028|S25C Dia 40.00x5500 mm.|ZZ2B7401TX1|FLANGE-13 SLUG|1,955.00|KGS|36.00|PCS|TSK-PRD3|2B2500137|3-62282|JFE-SC|JFE Steel Corporation|23P0813856</v>
          </cell>
        </row>
        <row r="340">
          <cell r="A340" t="str">
            <v>PD25010643|SB0002|NSC_SCM415_21_5000|TG028986-0050|Barrel|1,032.00|KGS|75.00|PCS|TSK-PRD3|SB010069/2/25|E380477|||23P0815485</v>
          </cell>
        </row>
        <row r="341">
          <cell r="A341" t="str">
            <v>PD25010604|SB0158|JFE_S25C_43.0_6200|16171-05030|SEAT,WATER PUMP PULLEY|996.00|KGS|14.00|PCS|TSK-PRD3|SB010073/1/25|657710|||23P0815029</v>
          </cell>
        </row>
        <row r="342">
          <cell r="A342" t="str">
            <v>PD25010506|SB0187|NSC_S48C_15.20_4000|TG028993-557B|SHAFT STARTER ARMATURE, 1W|205.00|KGS|36.00|PCS|TSK-PRD3|SB120077/1/24|E483253|||23P0811968</v>
          </cell>
        </row>
        <row r="343">
          <cell r="A343" t="str">
            <v>PD25010609|SB0024|NSC_S45CS1-QDS_30.35_3060|2-30JG-0711|RACK POWER STEERING|880.00|KGS|50.00|PCS|TSK-PRD3|SB010074/4/25|D400455|||23P0815112</v>
          </cell>
        </row>
        <row r="344">
          <cell r="A344" t="str">
            <v>PD25010669|SB0130|NSC_S45CS1-QDS_24.0_3170|JGC10-001180-S|RACK, MS|906.00|KGS|80.00|PCS|TSK-PRD3|SB010083/4/25|D400567|||23P0816912</v>
          </cell>
        </row>
        <row r="345">
          <cell r="A345" t="str">
            <v>PD25010672|SB0101|KOBE_SUM22_20.7_6700|TG053661-7201|PLUNGER|527.00|KGS|30.00|PCS|TSK-PRD3|SB010085/1/25|4A4714|||23P0816936</v>
          </cell>
        </row>
        <row r="346">
          <cell r="A346" t="str">
            <v>PD25010687|SB0086|NSC_S10C_43.52_5500|51-A5767-57130-00|PISTON|1,090.00|KGS|17.00|PCS|TSK-PRD3|SB010088/1/25|E277422|||23P0817181</v>
          </cell>
        </row>
        <row r="347">
          <cell r="A347" t="str">
            <v>PD25010614|SB0516|KOBE_S45CS1-RP-QT_32.2_5500|JGF02-002060-31-1|RACK BAR BLANK|1,935.00|KGS|54.00|PCS|TSK-PRD3|SB010064/2/25|4B4381|KOBE|KOBE|23P0815994</v>
          </cell>
        </row>
        <row r="348">
          <cell r="A348" t="str">
            <v>PD25010540|SB0482|JFE_S45CS1-QDS_32.25_3000|JGD10-000751/000761-A|RACK BAR|986.00|KGS|51.00|pcs|TSK-PRD3|SB010063/2/25|657135|JFE-SC|JFE Steel Corporation|23P0813487</v>
          </cell>
        </row>
        <row r="349">
          <cell r="A349" t="str">
            <v>PD25010538|SB0482|JFE_S45CS1-QDS_32.25_3000|JGD10-000751/000761-A|RACK BAR|988.00|KGS|51.00|pcs|TSK-PRD3|SB010062/4/25|657136|JFE-SC|JFE Steel Corporation|23P0813448</v>
          </cell>
        </row>
        <row r="350">
          <cell r="A350" t="str">
            <v>PD25010537|SB0482|JFE_S45CS1-QDS_32.25_3000|JGD10-000751/000761-A|RACK BAR|988.00|KGS|51.00|pcs|TSK-PRD3|SB010062/3/25|657136|JFE-SC|JFE Steel Corporation|23P0813446</v>
          </cell>
        </row>
        <row r="351">
          <cell r="A351" t="str">
            <v>PD25010673|SB0011|CNK_S45S1_30.27_5740|4426Q-2A272|RACK POWER STEERING|1,070.00|KGS|32.00|PCS|TSK-PRD3|SB010084/1/25|85281|AICHI|AICHI|23P0816941</v>
          </cell>
        </row>
        <row r="352">
          <cell r="A352" t="str">
            <v>PD25010656|SB0143|NSC_S45CS1-V_26.0_3480|JGC10S002020-B|RACK BAR|1,170.00|KGS|80.00|PCS|TSK-PRD3|SB010081/1/25|D400586|||23P0816037</v>
          </cell>
        </row>
        <row r="353">
          <cell r="A353" t="str">
            <v>PD25010685|SB0300|NSC_S48CS1-H_31.8_3140|510-30149-020|RACK|790.00|KGS|40.00|PCS|TSK-PRD3|SB010086/4/25|4N0128|||23P0817159</v>
          </cell>
        </row>
        <row r="354">
          <cell r="A354" t="str">
            <v>PD25010689|SB0158|JFE_S25C_43.0_6200|16171-05030|SEAT,WATER PUMP PULLEY|1,000.00|KGS|14.00|PCS|TSK-PRD3|SB010089/6/25|657710|||23P0817202</v>
          </cell>
        </row>
        <row r="355">
          <cell r="A355" t="str">
            <v>PD25010604|SB0158|JFE_S25C_43.0_6200|16171-05030|SEAT,WATER PUMP PULLEY|996.00|KGS|14.00|PCS|TSK-PRD3|SB010073/1/25|657710|||23P0815029</v>
          </cell>
        </row>
        <row r="356">
          <cell r="A356" t="str">
            <v>PD25010481|SB0158|JFE_S25C_43.0_6200|16171-05030|SEAT,WATER PUMP PULLEY|998.00|KGS|14.00|PCS|TSK-PRD3|SB010056/4/25|657710|||23P0811820</v>
          </cell>
        </row>
        <row r="357">
          <cell r="A357" t="str">
            <v>PD25010656|SB0143|NSC_S45CS1-V_26.0_3480|JGC10S002020-B|RACK BAR|1,170.00|KGS|80.00|PCS|TSK-PRD3|SB010081/1/25|D400586|||23P0816037</v>
          </cell>
        </row>
        <row r="358">
          <cell r="A358" t="str">
            <v>PD25010610|SB0024|NSC_S45CS1-QDS_30.35_3060|2-30JG-0711|RACK POWER STEERING|880.00|KGS|50.00|PCS|TSK-PRD3|SB010076/3/25|D400455|||23P0815125</v>
          </cell>
        </row>
        <row r="359">
          <cell r="A359" t="str">
            <v>PD25010687|SB0086|NSC_S10C_43.52_5500|51-A5767-57130-00|PISTON|1,090.00|KGS|17.00|PCS|TSK-PRD3|SB010088/1/25|E277422|||23P0817181</v>
          </cell>
        </row>
        <row r="360">
          <cell r="A360" t="str">
            <v>PD25010688|SB0158|JFE_S25C_43.0_6200|16171-05030|SEAT,WATER PUMP PULLEY|1,000.00|KGS|14.00|PCS|TSK-PRD3|SB010089/2/25|657710|||23P0817187</v>
          </cell>
        </row>
        <row r="361">
          <cell r="A361" t="str">
            <v>PD25010643|SB0002|NSC_SCM415_21_5000|TG028986-0050|Barrel|1,032.00|KGS|75.00|PCS|TSK-PRD3|SB010069/2/25|E380477|||23P0815485</v>
          </cell>
        </row>
        <row r="362">
          <cell r="A362" t="str">
            <v>PD25010577|MB0028|S25C Dia 40.00x5500 mm.|ZZ2B7401TX1|FLANGE-13 SLUG|1,955.00|KGS|36.00|PCS|TSK-PRD3|2B2500138|3-62282|JFE-SC|JFE Steel Corporation|23P0813857</v>
          </cell>
        </row>
        <row r="363">
          <cell r="A363" t="str">
            <v>PD25010603|SB0247|NSC_SCR415_23.85_5800|TG028351-5130|TUBE SUB-ASSY|922.00|KGS|45.00|PCS|TSK-PRD3|SB010067/4/25|E379606|||23P0815025</v>
          </cell>
        </row>
        <row r="364">
          <cell r="A364" t="str">
            <v>PD25010603|SB0247|NSC_SCR415_23.85_5800|TG028351-5130|TUBE SUB-ASSY|922.00|KGS|45.00|PCS|TSK-PRD3|SB010067/4/25|E379606|||23P0815025</v>
          </cell>
        </row>
        <row r="365">
          <cell r="A365" t="str">
            <v>PD25010537|SB0482|JFE_S45CS1-QDS_32.25_3000|JGD10-000751/000761-A|RACK BAR|988.00|KGS|51.00|pcs|TSK-PRD3|SB010062/3/25|657136|JFE-SC|JFE Steel Corporation|23P0813446</v>
          </cell>
        </row>
        <row r="366">
          <cell r="A366" t="str">
            <v>PD25010339|SB0482|JFE_S45CS1-QDS_32.25_3000|JGD10-000751/000761-A|RACK BAR|990.00|KGS|51.00|pcs|TSK-PRD3|SB010034/3/25|657136|JFE-SC|JFE Steel Corporation|23P0808292</v>
          </cell>
        </row>
        <row r="367">
          <cell r="A367" t="str">
            <v>PD25010681|SB0130|NSC_S45CS1-QDS_24.0_3170|JGC10-003770-40-0|Rack, MS|904.00|KGS|80.00|PCS|TSK-PRD3|SB010087/3/25|D400567|||23P0817119</v>
          </cell>
        </row>
        <row r="368">
          <cell r="A368" t="str">
            <v>PD25010669|SB0130|NSC_S45CS1-QDS_24.0_3170|JGC10-001180-S|RACK, MS|906.00|KGS|80.00|PCS|TSK-PRD3|SB010083/4/25|D400567|||23P0816912</v>
          </cell>
        </row>
        <row r="369">
          <cell r="A369" t="str">
            <v>PD24121042|SB0139|NSC_S45CS1-QDS_32.25_5540|JGD10S00670-B|RACK, PS|890.00|KGS|25.00|PCS|TSK-PRD3|SB120135/2/24|D400116|||23P0794299</v>
          </cell>
        </row>
        <row r="370">
          <cell r="A370" t="str">
            <v>PD25010704|SB0103|KMS_DSS1_14.47_5000|TG028152-5180|Pole Core|898.00|KGS|139.00|PCS|TSK-PRD3|SB010090/1/25|KS004C9260|KMS|KOBELCO Millcon Steel Co.,Ltd|23P0817368</v>
          </cell>
        </row>
        <row r="371">
          <cell r="A371" t="str">
            <v>PD25010603|SB0247|NSC_SCR415_23.85_5800|TG028351-5130|TUBE SUB-ASSY|922.00|KGS|45.00|PCS|TSK-PRD3|SB010067/4/25|E379606|||23P0815025</v>
          </cell>
        </row>
        <row r="372">
          <cell r="A372" t="str">
            <v>PD25010690|SB0400|JFE_SCM435H_12.2_5200|8306T0036|PIN|958.00|KGS|200.00|PCS|TSK-PRD3|SB010008/2/25|657697|||23P0817209</v>
          </cell>
        </row>
        <row r="373">
          <cell r="A373" t="str">
            <v>PD25010688|SB0158|JFE_S25C_43.0_6200|16171-05030|SEAT,WATER PUMP PULLEY|1,000.00|KGS|14.00|PCS|TSK-PRD3|SB010089/2/25|657710|||23P0817187</v>
          </cell>
        </row>
        <row r="374">
          <cell r="A374" t="str">
            <v>PD25010406|MB0033|S25C Dia 60.00x4000-5500 mm.|141411-60140-20|Piston Disc Brake, Forging|1,952.00|KGS|16.00|PCS|TSK-PRD3|2B2500102|657197|JFE-SC|JFE Steel Corporation|23P0809961</v>
          </cell>
        </row>
        <row r="375">
          <cell r="A375" t="str">
            <v>PD25010577|MB0028|S25C Dia 40.00x5500 mm.|ZZ2B7401TX1|FLANGE-13 SLUG|1,955.00|KGS|36.00|PCS|TSK-PRD3|2B2500136|3-62282|JFE-SC|JFE Steel Corporation|23P0813855</v>
          </cell>
        </row>
        <row r="376">
          <cell r="A376" t="str">
            <v>PD25010671|SB0101|KOBE_SUM22_20.7_6700|TG053661-7151|PLUNGER|1,054.00|KGS|60.00|PCS|TSK-PRD3|SB010085/3/25|4A4714|||23P0816933</v>
          </cell>
        </row>
        <row r="377">
          <cell r="A377" t="str">
            <v>PD25010681|SB0130|NSC_S45CS1-QDS_24.0_3170|JGC10-003770-40-0|Rack, MS|904.00|KGS|80.00|PCS|TSK-PRD3|SB010087/3/25|D400567|||23P0817119</v>
          </cell>
        </row>
        <row r="378">
          <cell r="A378" t="str">
            <v>PD25010682|SB0130|NSC_S45CS1-QDS_24.0_3170|JGC10-003770-40-0|Rack, MS|904.00|KGS|80.00|PCS|TSK-PRD3|SB010087/4/25|D400567|||23P0817120</v>
          </cell>
        </row>
        <row r="379">
          <cell r="A379" t="str">
            <v>PD25010643|SB0002|NSC_SCM415_21_5000|TG028986-0050|Barrel|1,032.00|KGS|75.00|PCS|TSK-PRD3|SB010069/2/25|E380477|||23P0815485</v>
          </cell>
        </row>
        <row r="380">
          <cell r="A380" t="str">
            <v>PD25010481|SB0158|JFE_S25C_43.0_6200|16171-05030|SEAT,WATER PUMP PULLEY|998.00|KGS|14.00|PCS|TSK-PRD3|SB010056/4/25|657710|||23P0811820</v>
          </cell>
        </row>
        <row r="381">
          <cell r="A381" t="str">
            <v>PD25010605|SB0158|JFE_S25C_43.0_6200|16171-05030|SEAT,WATER PUMP PULLEY|996.00|KGS|14.00|PCS|TSK-PRD3|SB010073/4/25|657710|||23P0815038</v>
          </cell>
        </row>
        <row r="382">
          <cell r="A382" t="str">
            <v>PD25010689|SB0158|JFE_S25C_43.0_6200|16171-05030|SEAT,WATER PUMP PULLEY|1,000.00|KGS|14.00|PCS|TSK-PRD3|SB010089/6/25|657710|||23P0817202</v>
          </cell>
        </row>
        <row r="383">
          <cell r="A383" t="str">
            <v>PD25010610|SB0024|NSC_S45CS1-QDS_30.35_3060|2-30JG-0711|RACK POWER STEERING|880.00|KGS|50.00|PCS|TSK-PRD3|SB010076/3/25|D400455|||23P0815125</v>
          </cell>
        </row>
        <row r="384">
          <cell r="A384" t="str">
            <v>PD25010611|SB0024|NSC_S45CS1-QDS_30.35_3060|2-30JG-0711|RACK POWER STEERING|880.00|KGS|50.00|PCS|TSK-PRD3|SB010076/4/25|D400455|||23P0815126</v>
          </cell>
        </row>
        <row r="385">
          <cell r="A385" t="str">
            <v>PD25010612|SB0024|NSC_S45CS1-QDS_30.35_3060|2-30JG-0711|RACK POWER STEERING|878.00|KGS|50.00|PCS|TSK-PRD3|SB010078/2/25|D400455|||23P0815138</v>
          </cell>
        </row>
        <row r="386">
          <cell r="A386" t="str">
            <v>PD24121042|SB0139|NSC_S45CS1-QDS_32.25_5540|JGD10S00670-B|RACK, PS|890.00|KGS|25.00|PCS|TSK-PRD3|SB120135/2/24|D400116|||23P0794299</v>
          </cell>
        </row>
        <row r="387">
          <cell r="A387" t="str">
            <v>PD24121043|SB0139|NSC_S45CS1-QDS_32.25_5540|JGD10S00670-B|RACK, PS|890.00|KGS|25.00|PCS|TSK-PRD3|SB120135/4/24|D400116|||23P0794301</v>
          </cell>
        </row>
        <row r="388">
          <cell r="A388" t="str">
            <v>PD25010606|SB0024|NSC_S45CS1-QDS_30.35_3060|JGD10-BA0101-C|RACK POWER STEERING|875.00|KGS|50.00|PCS|TSK-PRD3|SB010072/1/25|D400455|||23P0815053</v>
          </cell>
        </row>
        <row r="389">
          <cell r="A389" t="str">
            <v>PD25010689|SB0158|JFE_S25C_43.0_6200|16171-05030|SEAT,WATER PUMP PULLEY|1,000.00|KGS|14.00|PCS|TSK-PRD3|SB010089/6/25|657710|||23P0817202</v>
          </cell>
        </row>
        <row r="390">
          <cell r="A390" t="str">
            <v>PD25010605|SB0158|JFE_S25C_43.0_6200|16171-05030|SEAT,WATER PUMP PULLEY|996.00|KGS|14.00|PCS|TSK-PRD3|SB010073/4/25|657710|||23P0815038</v>
          </cell>
        </row>
        <row r="391">
          <cell r="A391" t="str">
            <v>PD25010643|SB0002|NSC_SCM415_21_5000|TG028986-0050|Barrel|1,032.00|KGS|75.00|PCS|TSK-PRD3|SB010069/2/25|E380477|||23P0815485</v>
          </cell>
        </row>
        <row r="392">
          <cell r="A392" t="str">
            <v>PD25010612|SB0024|NSC_S45CS1-QDS_30.35_3060|2-30JG-0711|RACK POWER STEERING|878.00|KGS|50.00|PCS|TSK-PRD3|SB010078/2/25|D400455|||23P0815138</v>
          </cell>
        </row>
        <row r="393">
          <cell r="A393" t="str">
            <v>PD25010613|SB0024|NSC_S45CS1-QDS_30.35_3060|2-30JG-0711|RACK POWER STEERING|878.00|KGS|50.00|PCS|TSK-PRD3|SB010078/4/25|D400455|||23P0815148</v>
          </cell>
        </row>
        <row r="394">
          <cell r="A394" t="str">
            <v>PD25010786|SB0209|NSC_S25C_31.5_6000|214341-10510|SHAFT FLUID COUPLING|1,030.00|KGS|28.00|PCS|TSK-PRD3|SB010097/3/25|E483836|||23P0819051</v>
          </cell>
        </row>
        <row r="395">
          <cell r="A395" t="str">
            <v>PD25010406|MB0033|S25C Dia 60.00x4000-5500 mm.|141411-60140-20|Piston Disc Brake, Forging|1,952.00|KGS|16.00|PCS|TSK-PRD3|2B2500102|657197|JFE-SC|JFE Steel Corporation|23P0809961</v>
          </cell>
        </row>
        <row r="396">
          <cell r="A396" t="str">
            <v>PD25010577|MB0028|S25C Dia 40.00x5500 mm.|ZZ2B7401TX1|FLANGE-13 SLUG|1,955.00|KGS|36.00|PCS|TSK-PRD3|2B2500136|3-62282|JFE-SC|JFE Steel Corporation|23P0813855</v>
          </cell>
        </row>
        <row r="397">
          <cell r="A397" t="str">
            <v>PD25010671|SB0101|KOBE_SUM22_20.7_6700|TG053661-7151|PLUNGER|1,054.00|KGS|60.00|PCS|TSK-PRD3|SB010085/3/25|4A4714|||23P0816933</v>
          </cell>
        </row>
        <row r="398">
          <cell r="A398" t="str">
            <v>PD25010670|SB0101|KOBE_SUM22_20.7_6700|TG053661-7151|PLUNGER|527.00|KGS|30.00|PCS|TSK-PRD3|SB010085/1/25|4A4714|||23P0816920</v>
          </cell>
        </row>
        <row r="399">
          <cell r="A399" t="str">
            <v>PD25010690|SB0400|JFE_SCM435H_12.2_5200|8306T0036|PIN|958.00|KGS|200.00|PCS|TSK-PRD3|SB010008/2/25|657697|||23P0817209</v>
          </cell>
        </row>
        <row r="400">
          <cell r="A400" t="str">
            <v>PD25010682|SB0130|NSC_S45CS1-QDS_24.0_3170|JGC10-003770-40-0|Rack, MS|904.00|KGS|80.00|PCS|TSK-PRD3|SB010087/4/25|D400567|||23P0817120</v>
          </cell>
        </row>
        <row r="401">
          <cell r="A401" t="str">
            <v>PD25010704|SB0103|KMS_DSS1_14.47_5000|TG028152-5180|Pole Core|898.00|KGS|139.00|PCS|TSK-PRD3|SB010090/1/25|KS004C9260|KMS|KOBELCO Millcon Steel Co.,Ltd|23P0817368</v>
          </cell>
        </row>
        <row r="402">
          <cell r="A402" t="str">
            <v>PD25010705|SB0103|KMS_DSS1_14.47_5000|TG028152-5180|Pole Core|1,018.00|KGS|157.00|PCS|TSK-PRD3|SB010090/4/25|KS004C9260|KMS|KOBELCO Millcon Steel Co.,Ltd|23P0817372</v>
          </cell>
        </row>
        <row r="403">
          <cell r="A403" t="str">
            <v>PD25010606|SB0024|NSC_S45CS1-QDS_30.35_3060|JGD10-BA0101-C|RACK POWER STEERING|875.00|KGS|50.00|PCS|TSK-PRD3|SB010072/1/25|D400455|||23P0815053</v>
          </cell>
        </row>
        <row r="404">
          <cell r="A404" t="str">
            <v>PD25010607|SB0024|NSC_S45CS1-QDS_30.35_3060|JGD10-BA0101-C|RACK POWER STEERING|875.00|KGS|50.00|PCS|TSK-PRD3|SB010072/4/25|D400455|||23P0815062</v>
          </cell>
        </row>
        <row r="405">
          <cell r="A405" t="str">
            <v>PD25010670|SB0101|KOBE_SUM22_20.7_6700|TG053661-7151|PLUNGER|527.00|KGS|30.00|PCS|TSK-PRD3|SB010085/1/25|4A4714|||23P0816920</v>
          </cell>
        </row>
        <row r="406">
          <cell r="A406" t="str">
            <v>PD25010577|MB0028|S25C Dia 40.00x5500 mm.|ZZ2B7401TX1|FLANGE-13 SLUG|1,955.00|KGS|36.00|PCS|TSK-PRD3|2B2500137|3-62282|JFE-SC|JFE Steel Corporation|23P0813856</v>
          </cell>
        </row>
        <row r="407">
          <cell r="A407" t="str">
            <v>PD25010855|SB0116|DAIDO_DSCR420H_38.50/34.30_4650|SM294173-0030|RING CAM,OUTER|769.00|KGS|16.00|PCS|TSK-PRD3|SB010001/2/25|8918A|||23P0820874</v>
          </cell>
        </row>
        <row r="408">
          <cell r="A408" t="str">
            <v>PD25010643|SB0002|NSC_SCM415_21_5000|TG028986-0050|Barrel|1,032.00|KGS|75.00|PCS|TSK-PRD3|SB010069/2/25|E380477|||23P0815485</v>
          </cell>
        </row>
        <row r="409">
          <cell r="A409" t="str">
            <v>PD25010690|SB0400|JFE_SCM435H_12.2_5200|8306T0036|PIN|958.00|KGS|200.00|PCS|TSK-PRD3|SB010008/2/25|657697|||23P0817209</v>
          </cell>
        </row>
        <row r="410">
          <cell r="A410" t="str">
            <v>PD25010786|SB0209|NSC_S25C_31.5_6000|214341-10510|SHAFT FLUID COUPLING|1,030.00|KGS|28.00|PCS|TSK-PRD3|SB010097/3/25|E483836|||23P0819051</v>
          </cell>
        </row>
        <row r="411">
          <cell r="A411" t="str">
            <v>PD25010661|SB0482|JFE_S45CS1-QDS_32.25_3000|JGD10-000751/000761-A|RACK BAR|992.00|KGS|51.00|pcs|TSK-PRD3|SB010075/5/25|657135|JFE-SC|JFE Steel Corporation|23P0816063</v>
          </cell>
        </row>
        <row r="412">
          <cell r="A412" t="str">
            <v>PD25010660|SB0482|JFE_S45CS1-QDS_32.25_3000|JGD10-000751/000761-A|RACK BAR|992.00|KGS|51.00|pcs|TSK-PRD3|SB010075/3/25|657135|JFE-SC|JFE Steel Corporation|23P0816061</v>
          </cell>
        </row>
        <row r="413">
          <cell r="A413" t="str">
            <v>PD25010605|SB0158|JFE_S25C_43.0_6200|16171-05030|SEAT,WATER PUMP PULLEY|996.00|KGS|14.00|PCS|TSK-PRD3|SB010073/4/25|657710|||23P0815038</v>
          </cell>
        </row>
        <row r="414">
          <cell r="A414" t="str">
            <v>PD25010406|MB0033|S25C Dia 60.00x4000-5500 mm.|141411-60140-20|Piston Disc Brake, Forging|1,952.00|KGS|16.00|PCS|TSK-PRD3|2B2500102|657197|JFE-SC|JFE Steel Corporation|23P0809961</v>
          </cell>
        </row>
        <row r="415">
          <cell r="A415" t="str">
            <v>PD25010668|SB0130|NSC_S45CS1-QDS_24.0_3170|JGC10-001180-S|RACK, MS|906.00|KGS|80.00|PCS|TSK-PRD3|SB010083/2/25|D400567|||23P0816910</v>
          </cell>
        </row>
        <row r="416">
          <cell r="A416" t="str">
            <v>PD25010689|SB0158|JFE_S25C_43.0_6200|16171-05030|SEAT,WATER PUMP PULLEY|1,000.00|KGS|14.00|PCS|TSK-PRD3|SB010089/6/25|657710|||23P0817202</v>
          </cell>
        </row>
        <row r="417">
          <cell r="A417" t="str">
            <v>PD25010688|SB0158|JFE_S25C_43.0_6200|16171-05030|SEAT,WATER PUMP PULLEY|1,000.00|KGS|14.00|PCS|TSK-PRD3|SB010089/2/25|657710|||23P0817187</v>
          </cell>
        </row>
        <row r="418">
          <cell r="A418" t="str">
            <v>PD25010828|SB0187|NSC_S48C_15.20_4000|TG028993-557B|SHAFT STARTER ARMATURE, 1W|205.00|KGS|36.00|PCS|TSK-PRD3|SB120077/6/24|E483253|||23P0819938</v>
          </cell>
        </row>
        <row r="419">
          <cell r="A419" t="str">
            <v>PD25010605|SB0158|JFE_S25C_43.0_6200|16171-05030|SEAT,WATER PUMP PULLEY|996.00|KGS|14.00|PCS|TSK-PRD3|SB010073/4/25|657710|||23P0815038</v>
          </cell>
        </row>
        <row r="420">
          <cell r="A420" t="str">
            <v>PD25010787|SB0209|NSC_S25C_31.5_6000|214341-10510|SHAFT FLUID COUPLING|1,030.00|KGS|28.00|PCS|TSK-PRD3|SB010097/4/25|E483836|||23P0819052</v>
          </cell>
        </row>
        <row r="421">
          <cell r="A421" t="str">
            <v>PD25010643|SB0002|NSC_SCM415_21_5000|TG028986-0050|Barrel|1,032.00|KGS|75.00|PCS|TSK-PRD3|SB010069/2/25|E380477|||23P0815485</v>
          </cell>
        </row>
        <row r="422">
          <cell r="A422" t="str">
            <v>PD25010737|SB0503|POSCO_SWRCH35K_18.27_4660|2550T0749P|SHAFT SPLINE|962.00|KGS|100.00|pcs|TSK-PRD3|SB010068/4/25|SF82845|||23P0818860</v>
          </cell>
        </row>
        <row r="423">
          <cell r="A423" t="str">
            <v>PD25010690|SB0400|JFE_SCM435H_12.2_5200|8306T0036|PIN|958.00|KGS|200.00|PCS|TSK-PRD3|SB010008/2/25|657697|||23P0817209</v>
          </cell>
        </row>
        <row r="424">
          <cell r="A424" t="str">
            <v>PD25010688|SB0158|JFE_S25C_43.0_6200|16171-05030|SEAT,WATER PUMP PULLEY|1,000.00|KGS|14.00|PCS|TSK-PRD3|SB010089/2/25|657710|||23P0817187</v>
          </cell>
        </row>
        <row r="425">
          <cell r="A425" t="str">
            <v>PD25010840|SB0158|JFE_S25C_43.0_6200|16171-05030|SEAT,WATER PUMP PULLEY|1,000.00|KGS|14.00|PCS|TSK-PRD3|SB010109/2/25|657710|||23P0820786</v>
          </cell>
        </row>
        <row r="426">
          <cell r="A426" t="str">
            <v>PD25010786|SB0209|NSC_S25C_31.5_6000|214341-10510|SHAFT FLUID COUPLING|1,030.00|KGS|28.00|PCS|TSK-PRD3|SB010097/3/25|E483836|||23P0819051</v>
          </cell>
        </row>
        <row r="427">
          <cell r="A427" t="str">
            <v>PD25010789|SB0209|NSC_S25C_31.5_6000|214341-10510|SHAFT FLUID COUPLING|1,030.00|KGS|28.00|PCS|TSK-PRD3|SB010099/1/25|E483836|||23P0819066</v>
          </cell>
        </row>
        <row r="428">
          <cell r="A428" t="str">
            <v>PD25010705|SB0103|KMS_DSS1_14.47_5000|TG028152-5180|Pole Core|1,018.00|KGS|157.00|PCS|TSK-PRD3|SB010090/4/25|KS004C9260|KMS|KOBELCO Millcon Steel Co.,Ltd|23P0817372</v>
          </cell>
        </row>
        <row r="429">
          <cell r="A429" t="str">
            <v>PD25010407|MB0033|S25C Dia 60.00x4000-5500 mm.|141411-60140-20|Piston Disc Brake, Forging|1,952.00|KGS|16.00|PCS|TSK-PRD3|2B2500104|657197|JFE-SC|JFE Steel Corporation|23P0809968</v>
          </cell>
        </row>
        <row r="430">
          <cell r="A430" t="str">
            <v>PD25010855|SB0116|DAIDO_DSCR420H_38.50/34.30_4650|SM294173-0030|RING CAM,OUTER|769.00|KGS|16.00|PCS|TSK-PRD3|SB010001/2/25|8918A|||23P0820874</v>
          </cell>
        </row>
        <row r="431">
          <cell r="A431" t="str">
            <v>PD25010408|MB0033|S25C Dia 60.00x4000-5500 mm.|141411-60180|Piston Disc Brake Forging|1,952.00|KGS|16.00|PCS|TSK-PRD3|2B2500107|657197|JFE-SC|JFE Steel Corporation|23P0809971</v>
          </cell>
        </row>
        <row r="432">
          <cell r="A432" t="str">
            <v>PD25010668|SB0130|NSC_S45CS1-QDS_24.0_3170|JGC10-001180-S|RACK, MS|906.00|KGS|80.00|PCS|TSK-PRD3|SB010083/2/25|D400567|||23P0816910</v>
          </cell>
        </row>
        <row r="433">
          <cell r="A433" t="str">
            <v>PD25010749|SB0136|NSC_S45CS1-QDS_27.95_3420|JGD10-000520-B|RACK, PS|833.00|KGS|50.00|PCS|TSK-PRD3|SB010096/1/25|D400535|||23P0818955</v>
          </cell>
        </row>
        <row r="434">
          <cell r="A434" t="str">
            <v>PD25010660|SB0482|JFE_S45CS1-QDS_32.25_3000|JGD10-000751/000761-A|RACK BAR|992.00|KGS|51.00|pcs|TSK-PRD3|SB010075/3/25|657135|JFE-SC|JFE Steel Corporation|23P0816061</v>
          </cell>
        </row>
        <row r="435">
          <cell r="A435" t="str">
            <v>PD25010666|SB0482|JFE_S45CS1-QDS_32.25_3000|JGD10-000751/000761-A|RACK BAR|980.00|KGS|51.00|pcs|TSK-PRD3|SB010079/3/25|657873|JFE-SC|JFE Steel Corporation|23P0816093</v>
          </cell>
        </row>
        <row r="436">
          <cell r="A436" t="str">
            <v>PD25010665|SB0482|JFE_S45CS1-QDS_32.25_3000|JGD10-000751/000761-A|RACK BAR|980.00|KGS|51.00|pcs|TSK-PRD3|SB010079/1/25|657873|JFE-SC|JFE Steel Corporation|23P0816087</v>
          </cell>
        </row>
        <row r="437">
          <cell r="A437" t="str">
            <v>PD25010407|MB0033|S25C Dia 60.00x4000-5500 mm.|141411-60140-20|Piston Disc Brake, Forging|1,952.00|KGS|16.00|PCS|TSK-PRD3|2B2500103|657197|JFE-SC|JFE Steel Corporation|23P0809967</v>
          </cell>
        </row>
        <row r="438">
          <cell r="A438" t="str">
            <v>PD25010408|MB0033|S25C Dia 60.00x4000-5500 mm.|141411-60180|Piston Disc Brake Forging|1,952.00|KGS|16.00|PCS|TSK-PRD3|2B2500107|657197|JFE-SC|JFE Steel Corporation|23P0809971</v>
          </cell>
        </row>
        <row r="439">
          <cell r="A439" t="str">
            <v>PD25010855|SB0116|DAIDO_DSCR420H_38.50/34.30_4650|SM294173-0030|RING CAM,OUTER|769.00|KGS|16.00|PCS|TSK-PRD3|SB010001/2/25|8918A|||23P0820874</v>
          </cell>
        </row>
        <row r="440">
          <cell r="A440" t="str">
            <v>PD25010789|SB0209|NSC_S25C_31.5_6000|214341-10510|SHAFT FLUID COUPLING|1,030.00|KGS|28.00|PCS|TSK-PRD3|SB010099/1/25|E483836|||23P0819066</v>
          </cell>
        </row>
        <row r="441">
          <cell r="A441" t="str">
            <v>PD25010690|SB0400|JFE_SCM435H_12.2_5200|8306T0036|PIN|958.00|KGS|200.00|PCS|TSK-PRD3|SB010008/2/25|657697|||23P0817209</v>
          </cell>
        </row>
        <row r="442">
          <cell r="A442" t="str">
            <v>PD25010817|SB0501|NSC_DSCR420_16.92_5100|TG028383-0420|SHAFT, 2W|1,058.00|KGS|117.00|PCS|TSK-PRD3|SB010105/2/25|4R1686|||23P0819830</v>
          </cell>
        </row>
        <row r="443">
          <cell r="A443" t="str">
            <v>PD25010665|SB0482|JFE_S45CS1-QDS_32.25_3000|JGD10-000751/000761-A|RACK BAR|980.00|KGS|51.00|pcs|TSK-PRD3|SB010079/1/25|657873|JFE-SC|JFE Steel Corporation|23P0816087</v>
          </cell>
        </row>
        <row r="444">
          <cell r="A444" t="str">
            <v>PD25010664|SB0482|JFE_S45CS1-QDS_32.25_3000|JGD10-000751/000761-A|RACK BAR|980.00|KGS|51.00|pcs|TSK-PRD3|SB010077/5/25|657135|JFE-SC|JFE Steel Corporation|23P0816073</v>
          </cell>
        </row>
        <row r="445">
          <cell r="A445" t="str">
            <v>PD25010663|SB0482|JFE_S45CS1-QDS_32.25_3000|JGD10-000751/000761-A|RACK BAR|980.00|KGS|51.00|pcs|TSK-PRD3|SB010077/2/25|657135|JFE-SC|JFE Steel Corporation|23P0816067</v>
          </cell>
        </row>
        <row r="446">
          <cell r="A446" t="str">
            <v>PD25010749|SB0136|NSC_S45CS1-QDS_27.95_3420|JGD10-000520-B|RACK, PS|833.00|KGS|50.00|PCS|TSK-PRD3|SB010096/1/25|D400535|||23P0818955</v>
          </cell>
        </row>
        <row r="447">
          <cell r="A447" t="str">
            <v>PD25010792|SB0144|NSC_S45CS1-V_32.25_3170|JGD10S000800-B|RACK BAR|1,100.00|KGS|54.00|PCS|TSK-PRD3|SB010098/2/25|D400585|||23P0819118</v>
          </cell>
        </row>
        <row r="448">
          <cell r="A448" t="str">
            <v>PD25010937|SB0143|NSC_S45CS1-V_26.0_3480|JGC10S002020-B|RACK BAR|872.00|KGS|60.00|PCS|TSK-PRD3|SB010125/2/25|E483916|||23P0822938</v>
          </cell>
        </row>
        <row r="449">
          <cell r="A449" t="str">
            <v>PD25010737|SB0503|POSCO_SWRCH35K_18.27_4660|2550T0749P|SHAFT SPLINE|962.00|KGS|100.00|pcs|TSK-PRD3|SB010068/4/25|SF82845|||23P0818860</v>
          </cell>
        </row>
        <row r="450">
          <cell r="A450" t="str">
            <v>PD25010736|SB0503|POSCO_SWRCH35K_18.27_4660|2550T0749P|SHAFT SPLINE|962.00|KGS|100.00|pcs|TSK-PRD3|SB010068/2/25|SF82845|||23P0818858</v>
          </cell>
        </row>
        <row r="451">
          <cell r="A451" t="str">
            <v>PD25010787|SB0209|NSC_S25C_31.5_6000|214341-10510|SHAFT FLUID COUPLING|1,030.00|KGS|28.00|PCS|TSK-PRD3|SB010097/4/25|E483836|||23P0819052</v>
          </cell>
        </row>
        <row r="452">
          <cell r="A452" t="str">
            <v>PD25010840|SB0158|JFE_S25C_43.0_6200|16171-05030|SEAT,WATER PUMP PULLEY|1,000.00|KGS|14.00|PCS|TSK-PRD3|SB010109/2/25|657710|||23P0820786</v>
          </cell>
        </row>
        <row r="453">
          <cell r="A453" t="str">
            <v>PD25010705|SB0103|KMS_DSS1_14.47_5000|TG028152-5180|Pole Core|1,018.00|KGS|157.00|PCS|TSK-PRD3|SB010090/4/25|KS004C9260|KMS|KOBELCO Millcon Steel Co.,Ltd|23P0817372</v>
          </cell>
        </row>
        <row r="454">
          <cell r="A454" t="str">
            <v>PD25010828|SB0187|NSC_S48C_15.20_4000|TG028993-557B|SHAFT STARTER ARMATURE, 1W|205.00|KGS|36.00|PCS|TSK-PRD3|SB120077/6/24|E483253|||23P0819938</v>
          </cell>
        </row>
        <row r="455">
          <cell r="A455" t="str">
            <v>PD25010736|SB0503|POSCO_SWRCH35K_18.27_4660|2550T0749P|SHAFT SPLINE|962.00|KGS|100.00|pcs|TSK-PRD3|SB010068/2/25|SF82845|||23P0818858</v>
          </cell>
        </row>
        <row r="456">
          <cell r="A456" t="str">
            <v>PD25010840|SB0158|JFE_S25C_43.0_6200|16171-05030|SEAT,WATER PUMP PULLEY|1,000.00|KGS|14.00|PCS|TSK-PRD3|SB010109/2/25|657710|||23P0820786</v>
          </cell>
        </row>
        <row r="457">
          <cell r="A457" t="str">
            <v>PD25010789|SB0209|NSC_S25C_31.5_6000|214341-10510|SHAFT FLUID COUPLING|1,030.00|KGS|28.00|PCS|TSK-PRD3|SB010099/1/25|E483836|||23P0819066</v>
          </cell>
        </row>
        <row r="458">
          <cell r="A458" t="str">
            <v>PD25010790|SB0209|NSC_S25C_31.5_6000|214341-10510|SHAFT FLUID COUPLING|1,030.00|KGS|28.00|PCS|TSK-PRD3|SB010099/4/25|E483836|||23P0819076</v>
          </cell>
        </row>
        <row r="459">
          <cell r="A459" t="str">
            <v>PD25010690|SB0400|JFE_SCM435H_12.2_5200|8306T0036|PIN|958.00|KGS|200.00|PCS|TSK-PRD3|SB010008/2/25|657697|||23P0817209</v>
          </cell>
        </row>
        <row r="460">
          <cell r="A460" t="str">
            <v>PD25010937|SB0143|NSC_S45CS1-V_26.0_3480|JGC10S002020-B|RACK BAR|872.00|KGS|60.00|PCS|TSK-PRD3|SB010125/2/25|E483916|||23P0822938</v>
          </cell>
        </row>
        <row r="461">
          <cell r="A461" t="str">
            <v>PD25010940|SB0139|NSC_S45CS1-QDS_32.25_5540|JGD10S00670-B|RACK, PS|894.00|KGS|25.00|PCS|TSK-PRD3|SB010127/5/25|D400116|||23P0823365</v>
          </cell>
        </row>
        <row r="462">
          <cell r="A462" t="str">
            <v>PD25010787|SB0209|NSC_S25C_31.5_6000|214341-10510|SHAFT FLUID COUPLING|1,030.00|KGS|28.00|PCS|TSK-PRD3|SB010097/4/25|E483836|||23P0819052</v>
          </cell>
        </row>
        <row r="463">
          <cell r="A463" t="str">
            <v>PD25010930|SB0209|NSC_S25C_31.5_6000|214341-10510|SHAFT FLUID COUPLING|1,030.00|KGS|28.00|PCS|TSK-PRD3|SB010123/1/25|E483836|||23P0822876</v>
          </cell>
        </row>
        <row r="464">
          <cell r="A464" t="str">
            <v>PD25010407|MB0033|S25C Dia 60.00x4000-5500 mm.|141411-60140-20|Piston Disc Brake, Forging|1,952.00|KGS|16.00|PCS|TSK-PRD3|2B2500103|657197|JFE-SC|JFE Steel Corporation|23P0809967</v>
          </cell>
        </row>
        <row r="465">
          <cell r="A465" t="str">
            <v>PD25010586|MB0033|S25C Dia 60.00x4000-5500 mm.|141411-60140-20|Piston Disc Brake, Forging|1,952.00|KGS|16.00|PCS|TSK-PRD3|2B2500162|659026|JFE-SC|JFE Steel Corporation|23P0813907</v>
          </cell>
        </row>
        <row r="466">
          <cell r="A466" t="str">
            <v>PD25010817|SB0501|NSC_DSCR420_16.92_5100|TG028383-0420|SHAFT, 2W|1,058.00|KGS|117.00|PCS|TSK-PRD3|SB010105/2/25|4R1686|||23P0819830</v>
          </cell>
        </row>
        <row r="467">
          <cell r="A467" t="str">
            <v>PD25010408|MB0033|S25C Dia 60.00x4000-5500 mm.|141411-60180|Piston Disc Brake Forging|1,952.00|KGS|16.00|PCS|TSK-PRD3|2B2500105|657197|JFE-SC|JFE Steel Corporation|23P0809969</v>
          </cell>
        </row>
        <row r="468">
          <cell r="A468" t="str">
            <v>PD25010663|SB0482|JFE_S45CS1-QDS_32.25_3000|JGD10-000751/000761-A|RACK BAR|980.00|KGS|51.00|pcs|TSK-PRD3|SB010077/2/25|657135|JFE-SC|JFE Steel Corporation|23P0816067</v>
          </cell>
        </row>
        <row r="469">
          <cell r="A469" t="str">
            <v>PD25010861|SB0482|JFE_S45CS1-QDS_32.25_3000|JGD10-000751/000761-A|RACK BAR|988.00|KGS|51.00|pcs|TSK-PRD3|SB010112/3/25|657873|JFE-SC|JFE Steel Corporation|23P0820886</v>
          </cell>
        </row>
        <row r="470">
          <cell r="A470" t="str">
            <v>PD25010744|SB0344|NSC_S45CS1-QDS_26.00_3600|JGC10-003040-40-0|RACK, MS|1,065.00|KGS|70.00|pcs|TSK-PRD3|SB010092/1/25|D400535|||23P0818901</v>
          </cell>
        </row>
        <row r="471">
          <cell r="A471" t="str">
            <v>PD25010826|SB0103|KMS_DSS1_14.47_5000|TG028152-5180|Pole Core|1,018.00|KGS|157.00|PCS|TSK-PRD3|SB010106/1/25|KS004C9260|KMS|KOBELCO Millcon Steel Co.,Ltd|23P0819925</v>
          </cell>
        </row>
        <row r="472">
          <cell r="A472" t="str">
            <v>PD25010817|SB0501|NSC_DSCR420_16.92_5100|TG028383-0420|SHAFT, 2W|1,058.00|KGS|117.00|PCS|TSK-PRD3|SB010105/2/25|4R1686|||23P0819830</v>
          </cell>
        </row>
        <row r="473">
          <cell r="A473" t="str">
            <v>PD25010586|MB0033|S25C Dia 60.00x4000-5500 mm.|141411-60140-20|Piston Disc Brake, Forging|1,952.00|KGS|16.00|PCS|TSK-PRD3|2B2500162|659026|JFE-SC|JFE Steel Corporation|23P0813907</v>
          </cell>
        </row>
        <row r="474">
          <cell r="A474" t="str">
            <v>PD25010408|MB0033|S25C Dia 60.00x4000-5500 mm.|141411-60180|Piston Disc Brake Forging|1,952.00|KGS|16.00|PCS|TSK-PRD3|2B2500105|657197|JFE-SC|JFE Steel Corporation|23P0809969</v>
          </cell>
        </row>
        <row r="475">
          <cell r="A475" t="str">
            <v>PD25010790|SB0209|NSC_S25C_31.5_6000|214341-10510|SHAFT FLUID COUPLING|1,030.00|KGS|28.00|PCS|TSK-PRD3|SB010099/4/25|E483836|||23P0819076</v>
          </cell>
        </row>
        <row r="476">
          <cell r="A476" t="str">
            <v>PD25010690|SB0400|JFE_SCM435H_12.2_5200|8306T0036|PIN|958.00|KGS|200.00|PCS|TSK-PRD3|SB010008/2/25|657697|||23P0817209</v>
          </cell>
        </row>
        <row r="477">
          <cell r="A477" t="str">
            <v>PD25010883|SB0188|NSC_S48C_12.2_4000|TG028993-515C|SHAFT STARTER ARMATURE, 1W|200.00|KGS|54.00|PCS|TSK-PRD3|SB010044/1/25|4S0443|||23P0821691</v>
          </cell>
        </row>
        <row r="478">
          <cell r="A478" t="str">
            <v>PD25010744|SB0344|NSC_S45CS1-QDS_26.00_3600|JGC10-003040-40-0|RACK, MS|1,065.00|KGS|70.00|pcs|TSK-PRD3|SB010092/1/25|D400535|||23P0818901</v>
          </cell>
        </row>
        <row r="479">
          <cell r="A479" t="str">
            <v>PD25010667|SB0482|JFE_S45CS1-QDS_32.25_3000|JGD10-000751/000761-A|RACK BAR|988.00|KGS|51.00|pcs|TSK-PRD3|SB010082/1/25|657136|JFE-SC|JFE Steel Corporation|23P0816103</v>
          </cell>
        </row>
        <row r="480">
          <cell r="A480" t="str">
            <v>PD25010940|SB0139|NSC_S45CS1-QDS_32.25_5540|JGD10S00670-B|RACK, PS|894.00|KGS|25.00|PCS|TSK-PRD3|SB010127/5/25|D400116|||23P0823365</v>
          </cell>
        </row>
        <row r="481">
          <cell r="A481" t="str">
            <v>PD25010939|SB0139|NSC_S45CS1-QDS_32.25_5540|JGD10S00670-B|RACK, PS|894.00|KGS|25.00|PCS|TSK-PRD3|SB010127/3/25|D400116|||23P0823363</v>
          </cell>
        </row>
        <row r="482">
          <cell r="A482" t="str">
            <v>PD25010684|SB0300|NSC_S48CS1-H_31.8_3140|510-30149-020|RACK|790.00|KGS|40.00|PCS|TSK-PRD3|SB010086/3/25|4N0128|||23P0817156</v>
          </cell>
        </row>
        <row r="483">
          <cell r="A483" t="str">
            <v>PD25010491|SB0402|POSCO_SWRCH35K_Dia.19.0_5430|2528S0250C|STG.SHAFT|966.00|KGS|79.00|PCS|TSK-PRD3|SB010055/2/25|SF81132|||23P0811832</v>
          </cell>
        </row>
        <row r="484">
          <cell r="A484" t="str">
            <v>PD25010826|SB0103|KMS_DSS1_14.47_5000|TG028152-5180|Pole Core|1,018.00|KGS|157.00|PCS|TSK-PRD3|SB010106/1/25|KS004C9260|KMS|KOBELCO Millcon Steel Co.,Ltd|23P0819925</v>
          </cell>
        </row>
        <row r="485">
          <cell r="A485" t="str">
            <v>PD25010827|SB0103|KMS_DSS1_14.47_5000|TG028152-5180|Pole Core|1,026.00|KGS|159.00|PCS|TSK-PRD3|SB010106/4/25|KS004C9260|KMS|KOBELCO Millcon Steel Co.,Ltd|23P0819931</v>
          </cell>
        </row>
        <row r="486">
          <cell r="A486" t="str">
            <v>PD25010828|SB0187|NSC_S48C_15.20_4000|TG028993-557B|SHAFT STARTER ARMATURE, 1W|205.00|KGS|36.00|PCS|TSK-PRD3|SB120077/6/24|E483253|||23P0819938</v>
          </cell>
        </row>
        <row r="487">
          <cell r="A487" t="str">
            <v>PD25010584|MB0033|S25C Dia 60.00x4000-5500 mm.|141411-60180|Piston Disc Brake Forging|1,952.00|KGS|16.00|PCS|TSK-PRD3|2B2500132|657197|JFE-SC|JFE Steel Corporation|23P0813894</v>
          </cell>
        </row>
        <row r="488">
          <cell r="A488" t="str">
            <v>PD25010930|SB0209|NSC_S25C_31.5_6000|214341-10510|SHAFT FLUID COUPLING|1,030.00|KGS|28.00|PCS|TSK-PRD3|SB010123/1/25|E483836|||23P0822876</v>
          </cell>
        </row>
        <row r="489">
          <cell r="A489" t="str">
            <v>PD25010883|SB0188|NSC_S48C_12.2_4000|TG028993-515C|SHAFT STARTER ARMATURE, 1W|200.00|KGS|54.00|PCS|TSK-PRD3|SB010044/1/25|4S0443|||23P0821691</v>
          </cell>
        </row>
        <row r="490">
          <cell r="A490" t="str">
            <v>PD25010925|SB0158|JFE_S25C_43.0_6200|16171-05030|SEAT,WATER PUMP PULLEY|926.00|KGS|13.00|PCS|TSK-PRD3|SB010121/1/25|657222|||23P0822852</v>
          </cell>
        </row>
        <row r="491">
          <cell r="A491" t="str">
            <v>PD25010491|SB0402|POSCO_SWRCH35K_Dia.19.0_5430|2528S0250C|STG.SHAFT|966.00|KGS|79.00|PCS|TSK-PRD3|SB010055/2/25|SF81132|||23P0811832</v>
          </cell>
        </row>
        <row r="492">
          <cell r="A492" t="str">
            <v>PD25010586|MB0033|S25C Dia 60.00x4000-5500 mm.|141411-60140-20|Piston Disc Brake, Forging|1,952.00|KGS|16.00|PCS|TSK-PRD3|2B2500162|659026|JFE-SC|JFE Steel Corporation|23P0813907</v>
          </cell>
        </row>
        <row r="493">
          <cell r="A493" t="str">
            <v>PD25010880|MB0028|S25C Dia 40.00x5500 mm.|ZZ2B7401TX1|FLANGE-13 SLUG|1,955.00|KGS|36.00|PCS|TSK-PRD3|2B2500203|2-67864|JFE-SC|JFE Steel Corporation|23P0821635</v>
          </cell>
        </row>
        <row r="494">
          <cell r="A494" t="str">
            <v>PD25010817|SB0501|NSC_DSCR420_16.92_5100|TG028383-0420|SHAFT, 2W|1,058.00|KGS|117.00|PCS|TSK-PRD3|SB010105/2/25|4R1686|||23P0819830</v>
          </cell>
        </row>
        <row r="495">
          <cell r="A495" t="str">
            <v>PD25010644|SB0002|NSC_SCM415_21_5000|TG028986-0050|Barrel|1,032.00|KGS|75.00|PCS|TSK-PRD3|SB010069/5/25|E380477|||23P0815490</v>
          </cell>
        </row>
        <row r="496">
          <cell r="A496" t="str">
            <v>PD25010584|MB0033|S25C Dia 60.00x4000-5500 mm.|141411-60180|Piston Disc Brake Forging|1,952.00|KGS|16.00|PCS|TSK-PRD3|2B2500132|657197|JFE-SC|JFE Steel Corporation|23P0813894</v>
          </cell>
        </row>
        <row r="497">
          <cell r="A497" t="str">
            <v>PD25010690|SB0400|JFE_SCM435H_12.2_5200|8306T0036|PIN|958.00|KGS|200.00|PCS|TSK-PRD3|SB010008/2/25|657697|||23P0817209</v>
          </cell>
        </row>
        <row r="498">
          <cell r="A498" t="str">
            <v>PD25010930|SB0209|NSC_S25C_31.5_6000|214341-10510|SHAFT FLUID COUPLING|1,030.00|KGS|28.00|PCS|TSK-PRD3|SB010123/1/25|E483836|||23P0822876</v>
          </cell>
        </row>
        <row r="499">
          <cell r="A499" t="str">
            <v>PD25010790|SB0209|NSC_S25C_31.5_6000|214341-10510|SHAFT FLUID COUPLING|1,030.00|KGS|28.00|PCS|TSK-PRD3|SB010099/4/25|E483836|||23P0819076</v>
          </cell>
        </row>
        <row r="500">
          <cell r="A500" t="str">
            <v>PD25010534|SB0478|NSC_S45CS1-V_32.25_3200|JGD10-001260-40-1|RACK, PS|976.00|KGS|47.00|PCS|TSK-PRD3|SB010065/5/25|D400585|||23P0813389</v>
          </cell>
        </row>
        <row r="501">
          <cell r="A501" t="str">
            <v>PD25010952|SB0139|NSC_S45CS1-QDS_32.25_5540|JGD10S00670-B|RACK, PS|894.00|KGS|25.00|PCS|TSK-PRD3|SB010129/1/25|D400116|||23P0824397</v>
          </cell>
        </row>
        <row r="502">
          <cell r="A502" t="str">
            <v>PD25010954|SB0139|NSC_S45CS1-QDS_32.25_5540|JGD10S00670-B|RACK, PS|894.00|KGS|25.00|PCS|TSK-PRD3|SB010129/4/25|D400116|||23P0824408</v>
          </cell>
        </row>
        <row r="503">
          <cell r="A503" t="str">
            <v>PD25010827|SB0103|KMS_DSS1_14.47_5000|TG028152-5180|Pole Core|1,026.00|KGS|159.00|PCS|TSK-PRD3|SB010106/4/25|KS004C9260|KMS|KOBELCO Millcon Steel Co.,Ltd|23P0819931</v>
          </cell>
        </row>
        <row r="504">
          <cell r="A504" t="str">
            <v>PD25010667|SB0482|JFE_S45CS1-QDS_32.25_3000|JGD10-000751/000761-A|RACK BAR|988.00|KGS|51.00|pcs|TSK-PRD3|SB010082/1/25|657136|JFE-SC|JFE Steel Corporation|23P0816103</v>
          </cell>
        </row>
        <row r="505">
          <cell r="A505" t="str">
            <v>PD25010862|SB0482|JFE_S45CS1-QDS_32.25_3000|JGD10-000751/000761-A|RACK BAR|988.00|KGS|51.00|pcs|TSK-PRD3|SB010112/4/25|657873|JFE-SC|JFE Steel Corporation|23P0820887</v>
          </cell>
        </row>
        <row r="506">
          <cell r="A506" t="str">
            <v>PD25010898|SB0482|JFE_S45CS1-QDS_32.25_3000|JGD10-000751/000761-A|RACK BAR|990.00|KGS|51.00|pcs|TSK-PRD3|SB010113/5/25|657873|JFE-SC|JFE Steel Corporation|23P0821829</v>
          </cell>
        </row>
        <row r="507">
          <cell r="A507" t="str">
            <v>PD25010584|MB0033|S25C Dia 60.00x4000-5500 mm.|141411-60180|Piston Disc Brake Forging|1,952.00|KGS|16.00|PCS|TSK-PRD3|2B2500132|657197|JFE-SC|JFE Steel Corporation|23P0813894</v>
          </cell>
        </row>
        <row r="508">
          <cell r="A508" t="str">
            <v>PD25010534|SB0478|NSC_S45CS1-V_32.25_3200|JGD10-001260-40-1|RACK, PS|976.00|KGS|47.00|PCS|TSK-PRD3|SB010065/5/25|D400585|||23P0813389</v>
          </cell>
        </row>
        <row r="509">
          <cell r="A509" t="str">
            <v>PD25010535|SB0478|NSC_S45CS1-V_32.25_3200|JGD10-001260-40-1|RACK, PS|976.00|KGS|47.00|PCS|TSK-PRD3|SB010070/3/25|D400585|||23P0813401</v>
          </cell>
        </row>
        <row r="510">
          <cell r="A510" t="str">
            <v>PD25010880|MB0028|S25C Dia 40.00x5500 mm.|ZZ2B7401TX1|FLANGE-13 SLUG|1,955.00|KGS|36.00|PCS|TSK-PRD3|2B2500203|2-67864|JFE-SC|JFE Steel Corporation|23P0821635</v>
          </cell>
        </row>
        <row r="511">
          <cell r="A511" t="str">
            <v>PD25010644|SB0002|NSC_SCM415_21_5000|TG028986-0050|Barrel|1,032.00|KGS|75.00|PCS|TSK-PRD3|SB010069/5/25|E380477|||23P0815490</v>
          </cell>
        </row>
        <row r="512">
          <cell r="A512" t="str">
            <v>PD25010690|SB0400|JFE_SCM435H_12.2_5200|8306T0036|PIN|958.00|KGS|200.00|PCS|TSK-PRD3|SB010008/2/25|657697|||23P0817209</v>
          </cell>
        </row>
        <row r="513">
          <cell r="A513" t="str">
            <v>PD25010898|SB0482|JFE_S45CS1-QDS_32.25_3000|JGD10-000751/000761-A|RACK BAR|990.00|KGS|51.00|pcs|TSK-PRD3|SB010113/5/25|657873|JFE-SC|JFE Steel Corporation|23P0821829</v>
          </cell>
        </row>
        <row r="514">
          <cell r="A514" t="str">
            <v>PD25010897|SB0482|JFE_S45CS1-QDS_32.25_3000|JGD10-000751/000761-A|RACK BAR|990.00|KGS|51.00|pcs|TSK-PRD3|SB010113/3/25|657873|JFE-SC|JFE Steel Corporation|23P0821821</v>
          </cell>
        </row>
        <row r="515">
          <cell r="A515" t="str">
            <v>PD25010843|SB0024|NSC_S45CS1-QDS_30.35_3060|2-30JG-0711|RACK POWER STEERING|880.00|KGS|50.00|PCS|TSK-PRD3|SB010104/5/25|D400455|||23P0820842</v>
          </cell>
        </row>
        <row r="516">
          <cell r="A516" t="str">
            <v>PD25010842|SB0024|NSC_S45CS1-QDS_30.35_3060|2-30JG-0711|RACK POWER STEERING|880.00|KGS|50.00|PCS|TSK-PRD3|SB010104/3/25|D400455|||23P0820830</v>
          </cell>
        </row>
        <row r="517">
          <cell r="A517" t="str">
            <v>PD25011018|SB0187|NSC_S48C_15.20_4000|TG028993-557B|SHAFT STARTER ARMATURE, 1W|205.00|KGS|36.00|PCS|TSK-PRD3|SB120077/11/24|E483253|||23P0826049</v>
          </cell>
        </row>
        <row r="518">
          <cell r="A518" t="str">
            <v>PD25010827|SB0103|KMS_DSS1_14.47_5000|TG028152-5180|Pole Core|1,026.00|KGS|159.00|PCS|TSK-PRD3|SB010106/4/25|KS004C9260|KMS|KOBELCO Millcon Steel Co.,Ltd|23P0819931</v>
          </cell>
        </row>
        <row r="519">
          <cell r="A519" t="str">
            <v>PD25010491|SB0402|POSCO_SWRCH35K_Dia.19.0_5430|2528S0250C|STG.SHAFT|966.00|KGS|79.00|PCS|TSK-PRD3|SB010055/2/25|SF81132|||23P0811832</v>
          </cell>
        </row>
        <row r="520">
          <cell r="A520" t="str">
            <v>PD25010492|SB0402|POSCO_SWRCH35K_Dia.19.0_5430|2528S0250C|STG.SHAFT|953.00|KGS|78.00|PCS|TSK-PRD3|SB010057/1/25|SF82845|||23P0811833</v>
          </cell>
        </row>
        <row r="521">
          <cell r="A521" t="str">
            <v>PD25010822|SB0399|JFE_S35C_33.0_5600|7521S0369|KEY-LOCK COLLAR|1,160.00|KGS|30.00|PCS|TSK-PRD3|SB010103/2/25|659413|JFE-SC|JFE Steel Corporation|23P0819839</v>
          </cell>
        </row>
        <row r="522">
          <cell r="A522" t="str">
            <v>PD25010925|SB0158|JFE_S25C_43.0_6200|16171-05030|SEAT,WATER PUMP PULLEY|926.00|KGS|13.00|PCS|TSK-PRD3|SB010121/1/25|657222|||23P0822852</v>
          </cell>
        </row>
        <row r="523">
          <cell r="A523" t="str">
            <v>PD25010880|MB0028|S25C Dia 40.00x5500 mm.|ZZ2B7401TX1|FLANGE-13 SLUG|1,955.00|KGS|36.00|PCS|TSK-PRD3|2B2500203|2-67864|JFE-SC|JFE Steel Corporation|23P0821635</v>
          </cell>
        </row>
        <row r="524">
          <cell r="A524" t="str">
            <v>PD25010644|SB0002|NSC_SCM415_21_5000|TG028986-0050|Barrel|1,032.00|KGS|75.00|PCS|TSK-PRD3|SB010069/5/25|E380477|||23P0815490</v>
          </cell>
        </row>
        <row r="525">
          <cell r="A525" t="str">
            <v>PD25010584|MB0033|S25C Dia 60.00x4000-5500 mm.|141411-60180|Piston Disc Brake Forging|1,952.00|KGS|16.00|PCS|TSK-PRD3|2B2500133|657197|JFE-SC|JFE Steel Corporation|23P0813895</v>
          </cell>
        </row>
        <row r="526">
          <cell r="A526" t="str">
            <v>PD25010690|SB0400|JFE_SCM435H_12.2_5200|8306T0036|PIN|958.00|KGS|200.00|PCS|TSK-PRD3|SB010008/2/25|657697|||23P0817209</v>
          </cell>
        </row>
        <row r="527">
          <cell r="A527" t="str">
            <v>PD25011084|SB0513|NSC_S45C_28.0_5800|A-6860|STEEL BAR FOR PLUG RACK END|1,036.00|KGS|37.00|pcs|TSK-PRD3|SB010134/2/25|E278057|||23P0827670</v>
          </cell>
        </row>
        <row r="528">
          <cell r="A528" t="str">
            <v>PD25010897|SB0482|JFE_S45CS1-QDS_32.25_3000|JGD10-000751/000761-A|RACK BAR|990.00|KGS|51.00|pcs|TSK-PRD3|SB010113/3/25|657873|JFE-SC|JFE Steel Corporation|23P0821821</v>
          </cell>
        </row>
        <row r="529">
          <cell r="A529" t="str">
            <v>PD25010899|SB0482|JFE_S45CS1-QDS_32.25_3000|JGD10-000751/000761-A|RACK BAR|990.00|KGS|51.00|pcs|TSK-PRD3|SB010114/2/25|657873|JFE-SC|JFE Steel Corporation|23P0821834</v>
          </cell>
        </row>
        <row r="530">
          <cell r="A530" t="str">
            <v>PD25011022|SB0413|NSC_S45CS1-QDS_24.00_3250/3810|JGC10-003280-40-0|Rack, MS|878.00|KGS|70.00|pcs|TSK-PRD3|SB010131/2/25|D400567|||23P0826065</v>
          </cell>
        </row>
        <row r="531">
          <cell r="A531" t="str">
            <v>PD25011018|SB0187|NSC_S48C_15.20_4000|TG028993-557B|SHAFT STARTER ARMATURE, 1W|205.00|KGS|36.00|PCS|TSK-PRD3|SB120077/11/24|E483253|||23P0826049</v>
          </cell>
        </row>
        <row r="532">
          <cell r="A532" t="str">
            <v>PD25010585|MB0033|S25C Dia 60.00x4000-5500 mm.|141411-60180|Piston Disc Brake Forging|488.00|KGS|4.00|PCS|TSK-PRD3|2B2500134|657197|JFE-SC|JFE Steel Corporation|23P0813896</v>
          </cell>
        </row>
        <row r="533">
          <cell r="A533" t="str">
            <v>PD25010492|SB0402|POSCO_SWRCH35K_Dia.19.0_5430|2528S0250C|STG.SHAFT|953.00|KGS|78.00|PCS|TSK-PRD3|SB010057/1/25|SF82845|||23P0811833</v>
          </cell>
        </row>
        <row r="534">
          <cell r="A534" t="str">
            <v>PD25011086|SB0393|POSCO_SWRCH35K_18.27_4000|2550S0661P|SHAFT SPLINE|974.00|KGS|118.00|pcs|TSK-PRD3|SB010140/2/25|SF82845|||23P0827790</v>
          </cell>
        </row>
        <row r="535">
          <cell r="A535" t="str">
            <v>PD25010925|SB0158|JFE_S25C_43.0_6200|16171-05030|SEAT,WATER PUMP PULLEY|926.00|KGS|13.00|PCS|TSK-PRD3|SB010121/1/25|657222|||23P0822852</v>
          </cell>
        </row>
        <row r="536">
          <cell r="A536" t="str">
            <v>PD25010841|SB0158|JFE_S25C_43.0_6200|16171-05030|SEAT,WATER PUMP PULLEY|1,000.00|KGS|14.00|PCS|TSK-PRD3|SB010109/4/25|657710|||23P0820796</v>
          </cell>
        </row>
        <row r="537">
          <cell r="A537" t="str">
            <v>PD25010822|SB0399|JFE_S35C_33.0_5600|7521S0369|KEY-LOCK COLLAR|1,160.00|KGS|30.00|PCS|TSK-PRD3|SB010103/2/25|659413|JFE-SC|JFE Steel Corporation|23P0819839</v>
          </cell>
        </row>
        <row r="538">
          <cell r="A538" t="str">
            <v>PD25010842|SB0024|NSC_S45CS1-QDS_30.35_3060|2-30JG-0711|RACK POWER STEERING|880.00|KGS|50.00|PCS|TSK-PRD3|SB010104/3/25|D400455|||23P0820830</v>
          </cell>
        </row>
        <row r="539">
          <cell r="A539" t="str">
            <v>PD25010844|SB0024|NSC_S45CS1-QDS_30.35_3060|2-30JG-0711|RACK POWER STEERING|880.00|KGS|50.00|PCS|TSK-PRD3|SB010108/3/25|D400455|||23P0820846</v>
          </cell>
        </row>
        <row r="540">
          <cell r="A540" t="str">
            <v>PD25010535|SB0478|NSC_S45CS1-V_32.25_3200|JGD10-001260-40-1|RACK, PS|976.00|KGS|47.00|PCS|TSK-PRD3|SB010070/3/25|D400585|||23P0813401</v>
          </cell>
        </row>
        <row r="541">
          <cell r="A541" t="str">
            <v>PD25010536|SB0478|NSC_S45CS1-V_32.25_3200|JGD10-001260-40-1|RACK, PS|976.00|KGS|47.00|PCS|TSK-PRD3|SB010070/4/25|D400585|||23P0813402</v>
          </cell>
        </row>
        <row r="542">
          <cell r="A542" t="str">
            <v>PD25010533|SB0478|NSC_S45CS1-V_32.25_3200|JGD10-001260-40-1|RACK, PS|976.00|KGS|47.00|PCS|TSK-PRD3|SB010065/3/25|D400585|||23P0813385</v>
          </cell>
        </row>
        <row r="543">
          <cell r="A543" t="str">
            <v>PD25010690|SB0400|JFE_SCM435H_12.2_5200|8306T0036|PIN|958.00|KGS|200.00|PCS|TSK-PRD3|SB010008/2/25|657697|||23P0817209</v>
          </cell>
        </row>
        <row r="544">
          <cell r="A544" t="str">
            <v>PD25011022|SB0413|NSC_S45CS1-QDS_24.00_3250/3810|JGC10-003280-40-0|Rack, MS|878.00|KGS|70.00|pcs|TSK-PRD3|SB010131/2/25|D400567|||23P0826065</v>
          </cell>
        </row>
        <row r="545">
          <cell r="A545" t="str">
            <v>PD25011023|SB0413|NSC_S45CS1-QDS_24.00_3250/3810|JGC10-003280-40-0|Rack, MS|878.00|KGS|70.00|pcs|TSK-PRD3|SB010131/4/25|D400567|||23P0826068</v>
          </cell>
        </row>
        <row r="546">
          <cell r="A546" t="str">
            <v>PD25011018|SB0187|NSC_S48C_15.20_4000|TG028993-557B|SHAFT STARTER ARMATURE, 1W|205.00|KGS|36.00|PCS|TSK-PRD3|SB120077/11/24|E483253|||23P0826049</v>
          </cell>
        </row>
        <row r="547">
          <cell r="A547" t="str">
            <v>PD25010644|SB0002|NSC_SCM415_21_5000|TG028986-0050|Barrel|1,032.00|KGS|75.00|PCS|TSK-PRD3|SB010069/5/25|E380477|||23P0815490</v>
          </cell>
        </row>
        <row r="548">
          <cell r="A548" t="str">
            <v>PD25010841|SB0158|JFE_S25C_43.0_6200|16171-05030|SEAT,WATER PUMP PULLEY|1,000.00|KGS|14.00|PCS|TSK-PRD3|SB010109/4/25|657710|||23P0820796</v>
          </cell>
        </row>
        <row r="549">
          <cell r="A549" t="str">
            <v>PD25010585|MB0033|S25C Dia 60.00x4000-5500 mm.|141411-60180|Piston Disc Brake Forging|488.00|KGS|4.00|PCS|TSK-PRD3|2B2500134|657197|JFE-SC|JFE Steel Corporation|23P0813896</v>
          </cell>
        </row>
        <row r="550">
          <cell r="A550" t="str">
            <v>PD25010822|SB0399|JFE_S35C_33.0_5600|7521S0369|KEY-LOCK COLLAR|1,160.00|KGS|30.00|PCS|TSK-PRD3|SB010103/2/25|659413|JFE-SC|JFE Steel Corporation|23P0819839</v>
          </cell>
        </row>
        <row r="551">
          <cell r="A551" t="str">
            <v>PD25010928|SB0209|NSC_S25C_31.5_6000|214341-10510|SHAFT FLUID COUPLING|1,030.00|KGS|28.00|PCS|TSK-PRD3|SB010118/1/25|E483836|||23P0822869</v>
          </cell>
        </row>
        <row r="552">
          <cell r="A552" t="str">
            <v>PD25010984|SB0139|NSC_S45CS1-QDS_32.25_5540|D10S19700|RACK BAR|894.00|KGS|25.00|PCS|TSK-PRD3|SB010129/6/25|D400116|||23P0824561</v>
          </cell>
        </row>
        <row r="553">
          <cell r="A553" t="str">
            <v>PD25011077|SB0130|NSC_S45CS1-QDS_24.0_3170|JGC10-001180-S|RACK, MS|900.00|KGS|80.00|PCS|TSK-PRD3|SB010133/4/25|D400567|||23P0826733</v>
          </cell>
        </row>
        <row r="554">
          <cell r="A554" t="str">
            <v>PD25010533|SB0478|NSC_S45CS1-V_32.25_3200|JGD10-001260-40-1|RACK, PS|976.00|KGS|47.00|PCS|TSK-PRD3|SB010065/3/25|D400585|||23P0813385</v>
          </cell>
        </row>
        <row r="555">
          <cell r="A555" t="str">
            <v>PD25011078|SB0130|NSC_S45CS1-QDS_24.0_3170|C10S05700-0|RACK BAR|788.00|KGS|70.00|PCS|TSK-PRD3|SB010133/1/25|D400567|||23P0826735</v>
          </cell>
        </row>
        <row r="556">
          <cell r="A556" t="str">
            <v>PD25010745|SB0135|NSC_S45CS1-QDS_26.0_3460|C10S028000|RACK BAR|1,344.00|KGS|92.00|PCS|TSK-PRD3|SB010093/2/25|D400587|||23P0818926</v>
          </cell>
        </row>
        <row r="557">
          <cell r="A557" t="str">
            <v>PD25011084|SB0513|NSC_S45C_28.0_5800|A-6860|STEEL BAR FOR PLUG RACK END|1,036.00|KGS|37.00|pcs|TSK-PRD3|SB010134/2/25|E278057|||23P0827670</v>
          </cell>
        </row>
        <row r="558">
          <cell r="A558" t="str">
            <v>PD25010879|MB0028|S25C Dia 40.00x5500 mm.|ZZ2B7401TX1|FLANGE-13 SLUG|1,520.00|KGS|28.00|PCS|TSK-PRD3|2B2500201|3-62282|JFE-SC|JFE Steel Corporation|23P0821633</v>
          </cell>
        </row>
        <row r="559">
          <cell r="A559" t="str">
            <v>PD25010841|SB0158|JFE_S25C_43.0_6200|16171-05030|SEAT,WATER PUMP PULLEY|1,000.00|KGS|14.00|PCS|TSK-PRD3|SB010109/4/25|657710|||23P0820796</v>
          </cell>
        </row>
        <row r="560">
          <cell r="A560" t="str">
            <v>PD25010879|MB0028|S25C Dia 40.00x5500 mm.|ZZ2B7401TX1|FLANGE-13 SLUG|1,520.00|KGS|28.00|PCS|TSK-PRD3|2B2500201|3-62282|JFE-SC|JFE Steel Corporation|23P0821633</v>
          </cell>
        </row>
        <row r="561">
          <cell r="A561" t="str">
            <v>PD25010644|SB0002|NSC_SCM415_21_5000|TG028986-0050|Barrel|1,032.00|KGS|75.00|PCS|TSK-PRD3|SB010069/5/25|E380477|||23P0815490</v>
          </cell>
        </row>
        <row r="562">
          <cell r="A562" t="str">
            <v>PD25010881|MB0033|S25C Dia 60.00x4000-5500 mm.|141411-60180|Piston Disc Brake Forging|1,952.00|KGS|16.00|PCS|TSK-PRD3|2B2500200|659026|JFE-SC|JFE Steel Corporation|23P0821649</v>
          </cell>
        </row>
        <row r="563">
          <cell r="A563" t="str">
            <v>PD25010924|SB0259|NSC_S25C_40.25_6000|PU406222Y|SLEEVE|885.00|KGS|15.00|PCS|TSK-PRD3|SB010119/2/25|E483848|||23P0822850</v>
          </cell>
        </row>
        <row r="564">
          <cell r="A564" t="str">
            <v>PD25010585|MB0033|S25C Dia 60.00x4000-5500 mm.|141411-60180|Piston Disc Brake Forging|488.00|KGS|4.00|PCS|TSK-PRD3|2B2500134|657197|JFE-SC|JFE Steel Corporation|23P0813896</v>
          </cell>
        </row>
        <row r="565">
          <cell r="A565" t="str">
            <v>PD25010690|SB0400|JFE_SCM435H_12.2_5200|8306T0036|PIN|982.00|KGS|205.00|PCS|TSK-PRD3|SB010008/1/25|657697|||23P0817207</v>
          </cell>
        </row>
        <row r="566">
          <cell r="A566" t="str">
            <v>PD24120327|Cutting#1</v>
          </cell>
        </row>
        <row r="567">
          <cell r="A567" t="str">
            <v>PD25010793|SB0144|NSC_S45CS1-V_32.25_3170|JGD10S000800-B|RACK BAR|978.00|KGS|48.00|PCS|TSK-PRD3|SB010100/3/25|D400585|||23P0819122</v>
          </cell>
        </row>
        <row r="568">
          <cell r="A568" t="str">
            <v>PD25010928|SB0209|NSC_S25C_31.5_6000|214341-10510|SHAFT FLUID COUPLING|1,030.00|KGS|28.00|PCS|TSK-PRD3|SB010118/1/25|E483836|||23P0822869</v>
          </cell>
        </row>
        <row r="569">
          <cell r="A569" t="str">
            <v>PD25010929|SB0209|NSC_S25C_31.5_6000|214341-10510|SHAFT FLUID COUPLING|1,030.00|KGS|28.00|PCS|TSK-PRD3|SB010118/4/25|E483836|||23P0822872</v>
          </cell>
        </row>
        <row r="570">
          <cell r="A570" t="str">
            <v>PD24120491|SB0206|JFE_S48C_18.93+0/-0.052_3350|TG028993-6160|SHAFT STARTER ARMATURE, 1W|1,224.00|KGS|166.00|PCS|TSK-PRD3|SB120057/1/24|1-71681|||23P0780067</v>
          </cell>
        </row>
        <row r="571">
          <cell r="A571" t="str">
            <v>PD25011023|SB0413|NSC_S45CS1-QDS_24.00_3250/3810|JGC10-003280-40-0|Rack, MS|878.00|KGS|70.00|pcs|TSK-PRD3|SB010131/4/25|D400567|||23P0826068</v>
          </cell>
        </row>
        <row r="572">
          <cell r="A572" t="str">
            <v>PD25011024|SB0413|NSC_S45CS1-QDS_24.00_3250/3810|JGC10-003280-40-0|Rack, MS|1,229.00|KGS|98.00|pcs|TSK-PRD3|SB010132/2/25|D400567|||23P0826071</v>
          </cell>
        </row>
        <row r="573">
          <cell r="A573" t="str">
            <v>PD25011077|SB0130|NSC_S45CS1-QDS_24.0_3170|JGC10-001180-S|RACK, MS|900.00|KGS|80.00|PCS|TSK-PRD3|SB010133/4/25|D400567|||23P0826733</v>
          </cell>
        </row>
        <row r="574">
          <cell r="A574" t="str">
            <v>PD25011083|SB0344|NSC_S45CS1-QDS_26.00_3600|JGC10-003040-40-0|RACK, MS|916.00|KGS|60.00|pcs|TSK-PRD3|SB010137/3/25|D400587|||23P0827618</v>
          </cell>
        </row>
        <row r="575">
          <cell r="A575" t="str">
            <v>PD25010822|SB0399|JFE_S35C_33.0_5600|7521S0369|KEY-LOCK COLLAR|1,160.00|KGS|30.00|PCS|TSK-PRD3|SB010103/2/25|659413|JFE-SC|JFE Steel Corporation|23P0819839</v>
          </cell>
        </row>
        <row r="576">
          <cell r="A576" t="str">
            <v>PD25010927|SB0158|JFE_S25C_43.0_6200|16171-05030|SEAT,WATER PUMP PULLEY|997.00|KGS|14.00|PCS|TSK-PRD3|SB010122/4/25|657710|||23P0822858</v>
          </cell>
        </row>
        <row r="577">
          <cell r="A577" t="str">
            <v>PD25011156|SB0187|NSC_S48C_15.20_4000|TG028993-540B|SHAFT STARTER ARMATURE, 1W|205.00|KGS|36.00|PCS|TSK-PRD3|SB120077/12/24|E483253|||23P0829329</v>
          </cell>
        </row>
        <row r="578">
          <cell r="A578" t="str">
            <v>PD25011024|SB0413|NSC_S45CS1-QDS_24.00_3250/3810|JGC10-003280-40-0|Rack, MS|1,229.00|KGS|98.00|pcs|TSK-PRD3|SB010132/2/25|D400567|||23P0826071</v>
          </cell>
        </row>
        <row r="579">
          <cell r="A579" t="str">
            <v>PD25011079|SB0484|NSC_S45CS1-V_32.25_5540|JGD10-001230-40-0|RACK, PS|892.00|KGS|25.00|PCS|TSK-PRD3|SB010135/2/25|D400585|||23P0827591</v>
          </cell>
        </row>
        <row r="580">
          <cell r="A580" t="str">
            <v>PD25011080|SB0484|NSC_S45CS1-V_32.25_5540|JGD10-001230-40-0|RACK, PS|892.00|KGS|25.00|PCS|TSK-PRD3|SB010135/4/25|D400585|||23P0827593</v>
          </cell>
        </row>
        <row r="581">
          <cell r="A581" t="str">
            <v>PD25010793|SB0144|NSC_S45CS1-V_32.25_3170|JGD10S000800-B|RACK BAR|978.00|KGS|48.00|PCS|TSK-PRD3|SB010100/3/25|D400585|||23P0819122</v>
          </cell>
        </row>
        <row r="582">
          <cell r="A582" t="str">
            <v>PD25010794|SB0144|NSC_S45CS1-V_32.25_3170|JGD10S000800-B|RACK BAR|978.00|KGS|48.00|PCS|TSK-PRD3|SB010100/4/25|D400585|||23P0819124</v>
          </cell>
        </row>
        <row r="583">
          <cell r="A583" t="str">
            <v>PD25010795|SB0144|NSC_S45CS1-V_32.25_3170|JGD10S000800-B|RACK BAR|978.00|KGS|48.00|PCS|TSK-PRD3|SB010101/2/25|D400585|||23P0819132</v>
          </cell>
        </row>
        <row r="584">
          <cell r="A584" t="str">
            <v>PD24120491|SB0206|JFE_S48C_18.93+0/-0.052_3350|TG028993-6160|SHAFT STARTER ARMATURE, 1W|1,224.00|KGS|166.00|PCS|TSK-PRD3|SB120057/1/24|1-71681|||23P0780067</v>
          </cell>
        </row>
        <row r="585">
          <cell r="A585" t="str">
            <v>PD25011144|SB0394|POSCO_SWRCH35K_21.90_5420|2550S0666P|SHAFT SPLINE|994.00|KGS|62.00|PCS|TSK-PRD3|SB010141/1/25|SF86517|||23P0828508</v>
          </cell>
        </row>
        <row r="586">
          <cell r="A586" t="str">
            <v>PD25010929|SB0209|NSC_S25C_31.5_6000|214341-10510|SHAFT FLUID COUPLING|1,030.00|KGS|28.00|PCS|TSK-PRD3|SB010118/4/25|E483836|||23P0822872</v>
          </cell>
        </row>
        <row r="587">
          <cell r="A587" t="str">
            <v>PD25011083|SB0344|NSC_S45CS1-QDS_26.00_3600|JGC10-003040-40-0|RACK, MS|916.00|KGS|60.00|pcs|TSK-PRD3|SB010137/3/25|D400587|||23P0827618</v>
          </cell>
        </row>
        <row r="588">
          <cell r="A588" t="str">
            <v>PD25011082|SB0344|NSC_S45CS1-QDS_26.00_3600|JGC10-003040-40-0|RACK, MS|1,191.00|KGS|78.00|pcs|TSK-PRD3|SB010137/2/25|D400587|||23P0827617</v>
          </cell>
        </row>
        <row r="589">
          <cell r="A589" t="str">
            <v>PD25011156|SB0187|NSC_S48C_15.20_4000|TG028993-540B|SHAFT STARTER ARMATURE, 1W|205.00|KGS|36.00|PCS|TSK-PRD3|SB120077/12/24|E483253|||23P0829329</v>
          </cell>
        </row>
        <row r="590">
          <cell r="A590" t="str">
            <v>PD25010879|MB0028|S25C Dia 40.00x5500 mm.|ZZ2B7401TX1|FLANGE-13 SLUG|1,520.00|KGS|28.00|PCS|TSK-PRD3|2B2500201|3-62282|JFE-SC|JFE Steel Corporation|23P0821633</v>
          </cell>
        </row>
        <row r="591">
          <cell r="A591" t="str">
            <v>PD25010880|MB0028|S25C Dia 40.00x5500 mm.|ZZ2B7401TX1|FLANGE-13 SLUG|1,955.00|KGS|36.00|PCS|TSK-PRD3|2B2500202|2-67864|JFE-SC|JFE Steel Corporation|23P0821634</v>
          </cell>
        </row>
        <row r="592">
          <cell r="A592" t="str">
            <v>PD25010644|SB0002|NSC_SCM415_21_5000|TG028986-0050|Barrel|1,032.00|KGS|75.00|PCS|TSK-PRD3|SB010069/5/25|E380477|||23P0815490</v>
          </cell>
        </row>
        <row r="593">
          <cell r="A593" t="str">
            <v>PD25010881|MB0033|S25C Dia 60.00x4000-5500 mm.|141411-60180|Piston Disc Brake Forging|1,952.00|KGS|16.00|PCS|TSK-PRD3|2B2500200|659026|JFE-SC|JFE Steel Corporation|23P0821649</v>
          </cell>
        </row>
        <row r="594">
          <cell r="A594" t="str">
            <v>PD25010924|SB0259|NSC_S25C_40.25_6000|PU406222Y|SLEEVE|885.00|KGS|15.00|PCS|TSK-PRD3|SB010119/2/25|E483848|||23P0822850</v>
          </cell>
        </row>
        <row r="595">
          <cell r="A595" t="str">
            <v>PD25010927|SB0158|JFE_S25C_43.0_6200|16171-05030|SEAT,WATER PUMP PULLEY|997.00|KGS|14.00|PCS|TSK-PRD3|SB010122/4/25|657710|||23P0822858</v>
          </cell>
        </row>
        <row r="596">
          <cell r="A596" t="str">
            <v>PD25010924|SB0259|NSC_S25C_40.25_6000|PU406222Y|SLEEVE|885.00|KGS|15.00|PCS|TSK-PRD3|SB010119/2/25|E483848|||23P0822850</v>
          </cell>
        </row>
        <row r="597">
          <cell r="A597" t="str">
            <v>PD25010881|MB0033|S25C Dia 60.00x4000-5500 mm.|141411-60180|Piston Disc Brake Forging|1,952.00|KGS|16.00|PCS|TSK-PRD3|2B2500200|659026|JFE-SC|JFE Steel Corporation|23P0821649</v>
          </cell>
        </row>
        <row r="598">
          <cell r="A598" t="str">
            <v>PD25010644|SB0002|NSC_SCM415_21_5000|TG028986-0050|Barrel|1,032.00|KGS|75.00|PCS|TSK-PRD3|SB010069/6/25|E380477|||23P0815491</v>
          </cell>
        </row>
        <row r="599">
          <cell r="A599" t="str">
            <v>PD25010880|MB0028|S25C Dia 40.00x5500 mm.|ZZ2B7401TX1|FLANGE-13 SLUG|1,955.00|KGS|36.00|PCS|TSK-PRD3|2B2500202|2-67864|JFE-SC|JFE Steel Corporation|23P0821634</v>
          </cell>
        </row>
        <row r="600">
          <cell r="A600" t="str">
            <v>PD25011156|SB0187|NSC_S48C_15.20_4000|TG028993-540B|SHAFT STARTER ARMATURE, 1W|205.00|KGS|36.00|PCS|TSK-PRD3|SB120077/12/24|E483253|||23P0829329</v>
          </cell>
        </row>
        <row r="601">
          <cell r="A601" t="str">
            <v>PD25011157|SB0187|NSC_S48C_15.20_4000|TG028993-503B|SHAFT STARTER ARMATURE, 1W|63.00|KGS|11.00|PCS|TSK-PRD3|SB120077/14/24|E483253|||23P0829377</v>
          </cell>
        </row>
        <row r="602">
          <cell r="A602" t="str">
            <v>PD25011080|SB0484|NSC_S45CS1-V_32.25_5540|JGD10-001230-40-0|RACK, PS|892.00|KGS|25.00|PCS|TSK-PRD3|SB010135/4/25|D400585|||23P0827593</v>
          </cell>
        </row>
        <row r="603">
          <cell r="A603" t="str">
            <v>PD25011081|SB0484|NSC_S45CS1-V_32.25_5540|JGD10-001230-40-0|RACK, PS|1,102.00|KGS|31.00|PCS|TSK-PRD3|SB010136/2/25|D400488|||23P0827607</v>
          </cell>
        </row>
        <row r="604">
          <cell r="A604" t="str">
            <v>PD25011191|SB0128|NSC_S45CS1-V_24.0_3340|JGC10-003660-40-0|Rack, MS|956.00|KGS|80.00|PCS|TSK-PRD3|SB010149/1/25|D400434|||23P0829653</v>
          </cell>
        </row>
        <row r="605">
          <cell r="A605" t="str">
            <v>PD25010795|SB0144|NSC_S45CS1-V_32.25_3170|JGD10S000800-B|RACK BAR|978.00|KGS|48.00|PCS|TSK-PRD3|SB010101/2/25|D400585|||23P0819132</v>
          </cell>
        </row>
        <row r="606">
          <cell r="A606" t="str">
            <v>PD25010529|SB0338|NSC_S45CS1-V_26.0_3480_JAMY|JGC10-M09008-51-0|RACK BAR|1,229.00|KGS|84.00|PCS|TSK-PRD3|SB010060/3/25|D400586|||23P0813327</v>
          </cell>
        </row>
        <row r="607">
          <cell r="A607" t="str">
            <v>PD25010929|SB0209|NSC_S25C_31.5_6000|214341-10510|SHAFT FLUID COUPLING|1,030.00|KGS|28.00|PCS|TSK-PRD3|SB010118/4/25|E483836|||23P0822872</v>
          </cell>
        </row>
        <row r="608">
          <cell r="A608" t="str">
            <v>PD25010931|SB0209|NSC_S25C_31.5_6000|214341-10510|SHAFT FLUID COUPLING|1,030.00|KGS|28.00|PCS|TSK-PRD3|SB010123/4/25|E483836|||23P0822879</v>
          </cell>
        </row>
        <row r="609">
          <cell r="A609" t="str">
            <v>PD25011082|SB0344|NSC_S45CS1-QDS_26.00_3600|JGC10-003040-40-0|RACK, MS|1,191.00|KGS|78.00|pcs|TSK-PRD3|SB010137/2/25|D400587|||23P0827617</v>
          </cell>
        </row>
        <row r="610">
          <cell r="A610" t="str">
            <v>PD25010944|SB0143|NSC_S45CS1-V_26.0_3480|JGC10S002020-B|RACK BAR|1,130.00|KGS|78.00|PCS|TSK-PRD3|SB010125/4/25|E483916|||23P0823434</v>
          </cell>
        </row>
        <row r="611">
          <cell r="A611" t="str">
            <v>PD25011192|SB0145|NSC_S48CS1H_32.3_3050|510-30133-020|RACK|788.00|KGS|40.00|PCS|TSK-PRD3|SB010154/2/25|4N0128|||23P0829840</v>
          </cell>
        </row>
        <row r="612">
          <cell r="A612" t="str">
            <v>PD25010927|SB0158|JFE_S25C_43.0_6200|16171-05030|SEAT,WATER PUMP PULLEY|997.00|KGS|14.00|PCS|TSK-PRD3|SB010122/4/25|657710|||23P0822858</v>
          </cell>
        </row>
        <row r="613">
          <cell r="A613" t="str">
            <v>PD25010926|SB0158|JFE_S25C_43.0_6200|16171-05030|SEAT,WATER PUMP PULLEY|997.00|KGS|14.00|PCS|TSK-PRD3|SB010122/2/25|657710|||23P0822856</v>
          </cell>
        </row>
        <row r="614">
          <cell r="A614" t="str">
            <v>PD25011144|SB0394|POSCO_SWRCH35K_21.90_5420|2550S0666P|SHAFT SPLINE|994.00|KGS|62.00|PCS|TSK-PRD3|SB010141/1/25|SF86517|||23P0828508</v>
          </cell>
        </row>
        <row r="615">
          <cell r="A615" t="str">
            <v>PD25011145|SB0394|POSCO_SWRCH35K_21.90_5420|2550S0666P|SHAFT SPLINE|980.00|KGS|61.00|PCS|TSK-PRD3|SB010141/3/25|SF86517|||23P0828510</v>
          </cell>
        </row>
        <row r="616">
          <cell r="A616" t="str">
            <v>PD25011158|SB0187|NSC_S48C_15.20_4000|TG028993-557B|SHAFT STARTER ARMATURE, 1W|142.00|KGS|25.00|PCS|TSK-PRD3|SB120077/14/24|E483253|||23P0829378</v>
          </cell>
        </row>
        <row r="617">
          <cell r="A617" t="str">
            <v>PD25010529|SB0338|NSC_S45CS1-V_26.0_3480_JAMY|JGC10-M09008-51-0|RACK BAR|1,229.00|KGS|84.00|PCS|TSK-PRD3|SB010060/3/25|D400586|||23P0813327</v>
          </cell>
        </row>
        <row r="618">
          <cell r="A618" t="str">
            <v>PD25010528|SB0338|NSC_S45CS1-V_26.0_3480_JAMY|JGC10-M09008-51-0|RACK BAR|878.00|KGS|60.00|PCS|TSK-PRD3|SB010060/1/25|D400586|||23P0813304</v>
          </cell>
        </row>
        <row r="619">
          <cell r="A619" t="str">
            <v>PD25011212|SB0338|NSC_S45CS1-V_26.0_3480_JAMY|JGC10-M09008-51-0|RACK BAR|730.00|KGS|50.00|PCS|TSK-PRD3|SB010151/6/25|D400586|||23P0830231</v>
          </cell>
        </row>
        <row r="620">
          <cell r="A620" t="str">
            <v>PD25011191|SB0128|NSC_S45CS1-V_24.0_3340|JGC10-003660-40-0|Rack, MS|956.00|KGS|80.00|PCS|TSK-PRD3|SB010149/1/25|D400434|||23P0829653</v>
          </cell>
        </row>
        <row r="621">
          <cell r="A621" t="str">
            <v>PD25010900|SB0482|JFE_S45CS1-QDS_32.25_3000|JGD10-000751/000761-A|RACK BAR|990.00|KGS|51.00|pcs|TSK-PRD3|SB010114/4/25|657873|JFE-SC|JFE Steel Corporation|23P0821836</v>
          </cell>
        </row>
        <row r="622">
          <cell r="A622" t="str">
            <v>PD25010931|SB0209|NSC_S25C_31.5_6000|214341-10510|SHAFT FLUID COUPLING|1,030.00|KGS|28.00|PCS|TSK-PRD3|SB010123/4/25|E483836|||23P0822879</v>
          </cell>
        </row>
        <row r="623">
          <cell r="A623" t="str">
            <v>PD25010926|SB0158|JFE_S25C_43.0_6200|16171-05030|SEAT,WATER PUMP PULLEY|997.00|KGS|14.00|PCS|TSK-PRD3|SB010122/2/25|657710|||23P0822856</v>
          </cell>
        </row>
        <row r="624">
          <cell r="A624" t="str">
            <v>PD25011145|SB0394|POSCO_SWRCH35K_21.90_5420|2550S0666P|SHAFT SPLINE|980.00|KGS|61.00|PCS|TSK-PRD3|SB010141/3/25|SF86517|||23P0828510</v>
          </cell>
        </row>
        <row r="625">
          <cell r="A625" t="str">
            <v>PD25011203|SB0393|POSCO_SWRCH35K_18.27_4000|2550T0749P|SHAFT SPLINE|974.00|KGS|118.00|pcs|TSK-PRD3|SB010140/2/25|SF82845|||23P0829923</v>
          </cell>
        </row>
        <row r="626">
          <cell r="A626" t="str">
            <v>PD25011192|SB0145|NSC_S48CS1H_32.3_3050|510-30133-020|RACK|788.00|KGS|40.00|PCS|TSK-PRD3|SB010154/2/25|4N0128|||23P0829840</v>
          </cell>
        </row>
        <row r="627">
          <cell r="A627" t="str">
            <v>PD25011193|SB0145|NSC_S48CS1H_32.3_3050|510-30133-020|RACK|788.00|KGS|40.00|PCS|TSK-PRD3|SB010154/4/25|4N0128|||23P0829842</v>
          </cell>
        </row>
        <row r="628">
          <cell r="A628" t="str">
            <v>PD25010880|MB0028|S25C Dia 40.00x5500 mm.|ZZ2B7401TX1|FLANGE-13 SLUG|1,955.00|KGS|36.00|PCS|TSK-PRD3|2B2500202|2-67864|JFE-SC|JFE Steel Corporation|23P0821634</v>
          </cell>
        </row>
        <row r="629">
          <cell r="A629" t="str">
            <v>PD25011147|SB0066|NSC_SCM415_44.00+/-0.2_5700|TGY28987-0060|Pinion Starter 2 W|1,158.00|KGS|17.00|PCS|TSK-PRD3|SB010144/1/25|E482737|||23P0828521</v>
          </cell>
        </row>
        <row r="630">
          <cell r="A630" t="str">
            <v>PD25010644|SB0002|NSC_SCM415_21_5000|TG028986-0050|Barrel|1,032.00|KGS|75.00|PCS|TSK-PRD3|SB010069/5/25|E380477|||23P0815490</v>
          </cell>
        </row>
        <row r="631">
          <cell r="A631" t="str">
            <v>PD25010881|MB0033|S25C Dia 60.00x4000-5500 mm.|141411-60180|Piston Disc Brake Forging|1,952.00|KGS|16.00|PCS|TSK-PRD3|2B2500199|659026|JFE-SC|JFE Steel Corporation|23P0821645</v>
          </cell>
        </row>
        <row r="632">
          <cell r="A632" t="str">
            <v>PD25010164|SB0233|DAIDO_S10C_28.0_6000|TGY94259-0012|SLUG YOKE|940.00|KGS|32.00|PCS|TSK-PRD3|SB010014/1/25|8K62A|||23P0804925</v>
          </cell>
        </row>
        <row r="633">
          <cell r="A633" t="str">
            <v>PD25011158|SB0187|NSC_S48C_15.20_4000|TG028993-557B|SHAFT STARTER ARMATURE, 1W|142.00|KGS|25.00|PCS|TSK-PRD3|SB120077/14/24|E483253|||23P0829378</v>
          </cell>
        </row>
        <row r="634">
          <cell r="A634" t="str">
            <v>PD25011212|SB0338|NSC_S45CS1-V_26.0_3480_JAMY|JGC10-M09008-51-0|RACK BAR|730.00|KGS|50.00|PCS|TSK-PRD3|SB010151/6/25|D400586|||23P0830231</v>
          </cell>
        </row>
        <row r="635">
          <cell r="A635" t="str">
            <v>PD25011211|SB0338|NSC_S45CS1-V_26.0_3480_JAMY|JGC10-M09008-51-0|RACK BAR|880.00|KGS|60.00|PCS|TSK-PRD3|SB010151/4/25|D400586|||23P0830229</v>
          </cell>
        </row>
        <row r="636">
          <cell r="A636" t="str">
            <v>PD25010530|SB0338|NSC_S45CS1-V_26.0_3480_JAMY|JGC10-M09008-51-0|RACK BAR|878.00|KGS|60.00|PCS|TSK-PRD3|SB010061/2/25|D400586|||23P0813362</v>
          </cell>
        </row>
        <row r="637">
          <cell r="A637" t="str">
            <v>PD25010900|SB0482|JFE_S45CS1-QDS_32.25_3000|JGD10-000751/000761-A|RACK BAR|990.00|KGS|51.00|pcs|TSK-PRD3|SB010114/4/25|657873|JFE-SC|JFE Steel Corporation|23P0821836</v>
          </cell>
        </row>
        <row r="638">
          <cell r="A638" t="str">
            <v>PD25010919|SB0482|JFE_S45CS1-QDS_32.25_3000|JGD10-000751/000761-A|RACK BAR|738.00|KGS|38.00|pcs|TSK-PRD3|SB010116/4/25|657136|JFE-SC|JFE Steel Corporation|23P0822820</v>
          </cell>
        </row>
        <row r="639">
          <cell r="A639" t="str">
            <v>PD25010918|SB0482|JFE_S45CS1-QDS_32.25_3000|JGD10-000751/000761-A|RACK BAR|990.00|KGS|51.00|pcs|TSK-PRD3|SB010116/2/25|657136|JFE-SC|JFE Steel Corporation|23P0822744</v>
          </cell>
        </row>
        <row r="640">
          <cell r="A640" t="str">
            <v>PD25010920|SB0482|JFE_S45CS1-QDS_32.25_3000|JGD10-000751/000761-A|RACK BAR|1,068.00|KGS|55.00|pcs|TSK-PRD3|SB010117/2/25|657873|JFE-SC|JFE Steel Corporation|23P0822823</v>
          </cell>
        </row>
        <row r="641">
          <cell r="A641" t="str">
            <v>PD25011147|SB0066|NSC_SCM415_44.00+/-0.2_5700|TGY28987-0060|Pinion Starter 2 W|1,158.00|KGS|17.00|PCS|TSK-PRD3|SB010144/1/25|E482737|||23P0828521</v>
          </cell>
        </row>
        <row r="642">
          <cell r="A642" t="str">
            <v>PD25010947|SB0219|NSC_SCM435H_15.7_5100|TGY95065-0010|SLUG CONNECTOR FUEL INLET|1,055.00|KGS|136.00|PCS|TSK-PRD3|SB010028/2/25|E483528|||23P0823464</v>
          </cell>
        </row>
        <row r="643">
          <cell r="A643" t="str">
            <v>PD25010881|MB0033|S25C Dia 60.00x4000-5500 mm.|141411-60180|Piston Disc Brake Forging|1,952.00|KGS|16.00|PCS|TSK-PRD3|2B2500200|659026|JFE-SC|JFE Steel Corporation|23P0821649</v>
          </cell>
        </row>
        <row r="644">
          <cell r="A644" t="str">
            <v>PD25010882|MB0033|S25C Dia 60.00x4000-5500 mm.|141411-60180|Piston Disc Brake Forging|1,952.00|KGS|16.00|PCS|TSK-PRD3|2B2500261|659026|JFE-SC|JFE Steel Corporation|23P0821650</v>
          </cell>
        </row>
        <row r="645">
          <cell r="A645" t="str">
            <v>PD25010164|SB0233|DAIDO_S10C_28.0_6000|TGY94259-0012|SLUG YOKE|940.00|KGS|32.00|PCS|TSK-PRD3|SB010014/1/25|8K62A|||23P0804925</v>
          </cell>
        </row>
        <row r="646">
          <cell r="A646" t="str">
            <v>PD25010494|SB0402|POSCO_SWRCH35K_Dia.19.0_5430|2528S0250C|STG.SHAFT|918.00|KGS|75.00|PCS|TSK-PRD3|SB010057/4/25|SF82845|||23P0811836</v>
          </cell>
        </row>
        <row r="647">
          <cell r="A647" t="str">
            <v>PD25010931|SB0209|NSC_S25C_31.5_6000|214341-10510|SHAFT FLUID COUPLING|1,030.00|KGS|28.00|PCS|TSK-PRD3|SB010123/4/25|E483836|||23P0822879</v>
          </cell>
        </row>
        <row r="648">
          <cell r="A648" t="str">
            <v>PD25010945|SB0209|NSC_S25C_31.5_6000|214341-10510|SHAFT FLUID COUPLING|1,030.00|KGS|28.00|PCS|TSK-PRD3|SB010126/2/25|E483836|||23P0823446</v>
          </cell>
        </row>
        <row r="649">
          <cell r="A649" t="str">
            <v>PD25010926|SB0158|JFE_S25C_43.0_6200|16171-05030|SEAT,WATER PUMP PULLEY|997.00|KGS|14.00|PCS|TSK-PRD3|SB010122/2/25|657710|||23P0822856</v>
          </cell>
        </row>
        <row r="650">
          <cell r="A650" t="str">
            <v>PD25011216|SB0300|NSC_S48CS1-H_31.8_3140|510-30149-020|RACK|790.00|KGS|40.00|PCS|TSK-PRD3|SB010155/5/25|4N0128|||23P0830274</v>
          </cell>
        </row>
        <row r="651">
          <cell r="A651" t="str">
            <v>PD25010476|SB0135|NSC_S45CS1-QDS_26.0_3460|JGC10-003140-40-0|RACK, MS|876.00|KGS|60.00|PCS|TSK-PRD3|SB010058/4/25|D400587|||23P0811789</v>
          </cell>
        </row>
        <row r="652">
          <cell r="A652" t="str">
            <v>PD25010848|SB0024|NSC_S45CS1-QDS_30.35_3060|2-30JG-0711|RACK POWER STEERING|880.00|KGS|50.00|PCS|TSK-PRD3|SB010111/3/25|D400455|||23P0820861</v>
          </cell>
        </row>
        <row r="653">
          <cell r="A653" t="str">
            <v>PD25010920|SB0482|JFE_S45CS1-QDS_32.25_3000|JGD10-000751/000761-A|RACK BAR|1,068.00|KGS|55.00|pcs|TSK-PRD3|SB010117/2/25|657873|JFE-SC|JFE Steel Corporation|23P0822823</v>
          </cell>
        </row>
        <row r="654">
          <cell r="A654" t="str">
            <v>PD25010921|SB0482|JFE_S45CS1-QDS_32.25_3000|JGD10-000751/000761-A|RACK BAR|990.00|KGS|51.00|pcs|TSK-PRD3|SB010117/3/25|657873|JFE-SC|JFE Steel Corporation|23P0822829</v>
          </cell>
        </row>
        <row r="655">
          <cell r="A655" t="str">
            <v>PD25010923|SB0482|JFE_S45CS1-QDS_32.25_3000|JGD10-000751/000761-A|RACK BAR|888.00|KGS|46.00|pcs|TSK-PRD3|SB010124/2/25|657872|JFE-SC|JFE Steel Corporation|23P0822843</v>
          </cell>
        </row>
        <row r="656">
          <cell r="A656" t="str">
            <v>PD25010945|SB0209|NSC_S25C_31.5_6000|214341-10510|SHAFT FLUID COUPLING|1,030.00|KGS|28.00|PCS|TSK-PRD3|SB010126/2/25|E483836|||23P0823446</v>
          </cell>
        </row>
        <row r="657">
          <cell r="A657" t="str">
            <v>PD25011295|SB0288|NSC_S25C_23.0_5600|MAOK-54310|LEVER SHIFT NO.2|1,039.00|KGS|56.00|PCS|TSK-PRD3|SB010165/1/25|E483836|||23P0832862</v>
          </cell>
        </row>
        <row r="658">
          <cell r="A658" t="str">
            <v>PD25011216|SB0300|NSC_S48CS1-H_31.8_3140|510-30149-020|RACK|790.00|KGS|40.00|PCS|TSK-PRD3|SB010155/5/25|4N0128|||23P0830274</v>
          </cell>
        </row>
        <row r="659">
          <cell r="A659" t="str">
            <v>PD25011215|SB0300|NSC_S48CS1-H_31.8_3140|510-30149-020|RACK|790.00|KGS|40.00|PCS|TSK-PRD3|SB010155/3/25|4N0128|||23P0830272</v>
          </cell>
        </row>
        <row r="660">
          <cell r="A660" t="str">
            <v>PD25011294|SB0184|NSC_S48C_14.0 x 4400 mm.|TG028993-0310|SHAFT STARTER AMATURE|1,006.00|KGS|189.00|PCS|TSK-PRD3|SB010163/1/25|E483253|||23P0832860</v>
          </cell>
        </row>
        <row r="661">
          <cell r="A661" t="str">
            <v>PD25010848|SB0024|NSC_S45CS1-QDS_30.35_3060|2-30JG-0711|RACK POWER STEERING|880.00|KGS|50.00|PCS|TSK-PRD3|SB010111/3/25|D400455|||23P0820861</v>
          </cell>
        </row>
        <row r="662">
          <cell r="A662" t="str">
            <v>PD25010849|SB0024|NSC_S45CS1-QDS_30.35_3060|2-30JG-0711|RACK POWER STEERING|880.00|KGS|50.00|PCS|TSK-PRD3|SB010111/4/25|D400455|||23P0820862</v>
          </cell>
        </row>
        <row r="663">
          <cell r="A663" t="str">
            <v>PD25010845|SB0024|NSC_S45CS1-QDS_30.35_3060|2-30JG-0711|RACK POWER STEERING|880.00|KGS|50.00|PCS|TSK-PRD3|SB010108/6/25|D400455|||23P0820852</v>
          </cell>
        </row>
        <row r="664">
          <cell r="A664" t="str">
            <v>PD25010530|SB0338|NSC_S45CS1-V_26.0_3480_JAMY|JGC10-M09008-51-0|RACK BAR|878.00|KGS|60.00|PCS|TSK-PRD3|SB010061/2/25|D400586|||23P0813362</v>
          </cell>
        </row>
        <row r="665">
          <cell r="A665" t="str">
            <v>PD25011304|SB0338|NSC_S45CS1-V_26.0_3480_JAMY|JGC10-M09008-51-0|RACK BAR|880.00|KGS|60.00|PCS|TSK-PRD3|SB010151/1/25|D400586|||23P0833050</v>
          </cell>
        </row>
        <row r="666">
          <cell r="A666" t="str">
            <v>PD25010532|SB0338|NSC_S45CS1-V_26.0_3480_JAMY|JGC10-M09008-51-0|RACK BAR|250.00|KGS|17.00|PCS|TSK-PRD3|SB010061/7/25|D400586|||23P0813367</v>
          </cell>
        </row>
        <row r="667">
          <cell r="A667" t="str">
            <v>PD25011147|SB0066|NSC_SCM415_44.00+/-0.2_5700|TGY28987-0060|Pinion Starter 2 W|1,158.00|KGS|17.00|PCS|TSK-PRD3|SB010144/1/25|E482737|||23P0828521</v>
          </cell>
        </row>
        <row r="668">
          <cell r="A668" t="str">
            <v>PD25010947|SB0219|NSC_SCM435H_15.7_5100|TGY95065-0010|SLUG CONNECTOR FUEL INLET|1,055.00|KGS|136.00|PCS|TSK-PRD3|SB010028/1/25|E483528|||23P0823463</v>
          </cell>
        </row>
        <row r="669">
          <cell r="A669" t="str">
            <v>PD25010882|MB0033|S25C Dia 60.00x4000-5500 mm.|141411-60180|Piston Disc Brake Forging|1,952.00|KGS|16.00|PCS|TSK-PRD3|2B2500261|659026|JFE-SC|JFE Steel Corporation|23P0821650</v>
          </cell>
        </row>
        <row r="670">
          <cell r="A670" t="str">
            <v>PD25010405|SB0232|NSC_S43C_36.80_5100|TGY95613-0020|SLUG VALVE ROTARY|942.00|KGS|22.00|PCS|TSK-PRD3|SB010050/4/25|E483649|||23P0809885</v>
          </cell>
        </row>
        <row r="671">
          <cell r="A671" t="str">
            <v>PD25010164|SB0233|DAIDO_S10C_28.0_6000|TGY94259-0012|SLUG YOKE|910.00|KGS|31.00|PCS|TSK-PRD3|SB010014/2/25|8K62A|||23P0804926</v>
          </cell>
        </row>
        <row r="672">
          <cell r="A672" t="str">
            <v>PD25011308|SB0187|NSC_S48C_15.20_4000|TG028993-546A|SHAFT STARTER ARMATURE, 1W|57.00|KGS|10.00|PCS|TSK-PRD3|SB120077/17/24|E483253|||23P0833591</v>
          </cell>
        </row>
        <row r="673">
          <cell r="A673" t="str">
            <v>PD25011296|SB0104|KMS_DSS1_15.57_5000|TG028152-5190|Pole Core|1,039.00|KGS|139.00|PCS|TSK-PRD3|SB010166/1/25|KS004B4728|KMS|KOBELCO Millcon Steel Co.,Ltd|23P0832869</v>
          </cell>
        </row>
        <row r="674">
          <cell r="A674" t="str">
            <v>PD25011215|SB0300|NSC_S48CS1-H_31.8_3140|510-30149-020|RACK|790.00|KGS|40.00|PCS|TSK-PRD3|SB010155/3/25|4N0128|||23P0830272</v>
          </cell>
        </row>
        <row r="675">
          <cell r="A675" t="str">
            <v>PD25010845|SB0024|NSC_S45CS1-QDS_30.35_3060|2-30JG-0711|RACK POWER STEERING|880.00|KGS|50.00|PCS|TSK-PRD3|SB010108/6/25|D400455|||23P0820852</v>
          </cell>
        </row>
        <row r="676">
          <cell r="A676" t="str">
            <v>PD25010405|SB0232|NSC_S43C_36.80_5100|TGY95613-0020|SLUG VALVE ROTARY|942.00|KGS|22.00|PCS|TSK-PRD3|SB010050/4/25|E483649|||23P0809885</v>
          </cell>
        </row>
        <row r="677">
          <cell r="A677" t="str">
            <v>PD25010947|SB0219|NSC_SCM435H_15.7_5100|TGY95065-0010|SLUG CONNECTOR FUEL INLET|1,055.00|KGS|136.00|PCS|TSK-PRD3|SB010028/2/25|E483528|||23P0823464</v>
          </cell>
        </row>
        <row r="678">
          <cell r="A678" t="str">
            <v>PD25011321|SB0411|NSC_SWCH25K_32.95_5860|2ANY000050-0-RM|YOKE SLEEVE|1,022.00|KGS|26.00|PCS|TSK-PRD3|SB010172/1/25|E484361|||23P0834494</v>
          </cell>
        </row>
        <row r="679">
          <cell r="A679" t="str">
            <v>PD25010923|SB0482|JFE_S45CS1-QDS_32.25_3000|JGD10-000751/000761-A|RACK BAR|888.00|KGS|46.00|pcs|TSK-PRD3|SB010124/2/25|657872|JFE-SC|JFE Steel Corporation|23P0822843</v>
          </cell>
        </row>
        <row r="680">
          <cell r="A680" t="str">
            <v>PD25010922|SB0482|JFE_S45CS1-QDS_32.25_3000|JGD10-000751/000761-A|RACK BAR|698.00|KGS|36.00|pcs|TSK-PRD3|SB010120/3/25|657873|JFE-SC|JFE Steel Corporation|23P0822837</v>
          </cell>
        </row>
        <row r="681">
          <cell r="A681" t="str">
            <v>PD25011295|SB0288|NSC_S25C_23.0_5600|MAOK-54310|LEVER SHIFT NO.2|1,039.00|KGS|56.00|PCS|TSK-PRD3|SB010165/1/25|E483836|||23P0832862</v>
          </cell>
        </row>
        <row r="682">
          <cell r="A682" t="str">
            <v>PD25011294|SB0184|NSC_S48C_14.0 x 4400 mm.|TG028993-0310|SHAFT STARTER AMATURE|1,006.00|KGS|189.00|PCS|TSK-PRD3|SB010163/1/25|E483253|||23P0832860</v>
          </cell>
        </row>
        <row r="683">
          <cell r="A683" t="str">
            <v>PD25010532|SB0338|NSC_S45CS1-V_26.0_3480_JAMY|JGC10-M09008-51-0|RACK BAR|250.00|KGS|17.00|PCS|TSK-PRD3|SB010061/7/25|D400586|||23P0813367</v>
          </cell>
        </row>
        <row r="684">
          <cell r="A684" t="str">
            <v>PD25010531|SB0338|NSC_S45CS1-V_26.0_3480_JAMY|JGC10-M09008-51-0|RACK BAR|878.00|KGS|60.00|PCS|TSK-PRD3|SB010061/3/25|D400586|||23P0813363</v>
          </cell>
        </row>
        <row r="685">
          <cell r="A685" t="str">
            <v>PD25011322|SB0411|NSC_SWCH25K_32.95_5860|2ANY000050-0-RM|YOKE SLEEVE|1,062.00|KGS|27.00|PCS|TSK-PRD3|SB010172/4/25|E484361|||23P0834497</v>
          </cell>
        </row>
        <row r="686">
          <cell r="A686" t="str">
            <v>PD25010922|SB0482|JFE_S45CS1-QDS_32.25_3000|JGD10-000751/000761-A|RACK BAR|698.00|KGS|36.00|pcs|TSK-PRD3|SB010120/3/25|657873|JFE-SC|JFE Steel Corporation|23P0822837</v>
          </cell>
        </row>
        <row r="687">
          <cell r="A687" t="str">
            <v>PD25011292|SB0142|NSC_S45CS1-V_24.0_3200|JGC10-003350-40-1|Rack, MS|1,148.00|KGS|100.00|PCS|TSK-PRD3|SB010162/3/25|E483916|||23P0832831</v>
          </cell>
        </row>
        <row r="688">
          <cell r="A688" t="str">
            <v>PD25011295|SB0288|NSC_S25C_23.0_5600|MAOK-54310|LEVER SHIFT NO.2|1,039.00|KGS|56.00|PCS|TSK-PRD3|SB010165/1/25|E483836|||23P0832862</v>
          </cell>
        </row>
        <row r="689">
          <cell r="A689" t="str">
            <v>PD25011322|SB0411|NSC_SWCH25K_32.95_5860|2ANY000050-0-RM|YOKE SLEEVE|1,062.00|KGS|27.00|PCS|TSK-PRD3|SB010172/4/25|E484361|||23P0834497</v>
          </cell>
        </row>
        <row r="690">
          <cell r="A690" t="str">
            <v>PD25011294|SB0184|NSC_S48C_14.0 x 4400 mm.|TG028993-0310|SHAFT STARTER AMATURE|1,006.00|KGS|189.00|PCS|TSK-PRD3|SB010163/1/25|E483253|||23P0832860</v>
          </cell>
        </row>
        <row r="691">
          <cell r="A691" t="str">
            <v>PD25010531|SB0338|NSC_S45CS1-V_26.0_3480_JAMY|JGC10-M09008-51-0|RACK BAR|878.00|KGS|60.00|PCS|TSK-PRD3|SB010061/3/25|D400586|||23P0813363</v>
          </cell>
        </row>
        <row r="692">
          <cell r="A692" t="str">
            <v>PD25011142|SB0136|NSC_S45CS1-QDS_27.95_3420|JGD10-000520-B|RACK, PS|834.00|KGS|50.00|PCS|TSK-PRD3|SB010139/3/25|D400587|||23P0828502</v>
          </cell>
        </row>
        <row r="693">
          <cell r="A693" t="str">
            <v>PD25010847|SB0024|NSC_S45CS1-QDS_30.35_3060|2-30JG-0711|RACK POWER STEERING|1,126.00|KGS|64.00|PCS|TSK-PRD3|SB010110/4/25|D400455|||23P0820856</v>
          </cell>
        </row>
        <row r="694">
          <cell r="A694" t="str">
            <v>PD25010846|SB0024|NSC_S45CS1-QDS_30.35_3060|2-30JG-0711|RACK POWER STEERING|880.00|KGS|50.00|PCS|TSK-PRD3|SB010110/2/25|D400455|||23P0820854</v>
          </cell>
        </row>
        <row r="695">
          <cell r="A695" t="str">
            <v>PD25010882|MB0033|S25C Dia 60.00x4000-5500 mm.|141411-60180|Piston Disc Brake Forging|1,952.00|KGS|16.00|PCS|TSK-PRD3|2B2500261|659026|JFE-SC|JFE Steel Corporation|23P0821650</v>
          </cell>
        </row>
        <row r="696">
          <cell r="A696" t="str">
            <v>PD25011321|SB0411|NSC_SWCH25K_32.95_5860|2ANY000050-0-RM|YOKE SLEEVE|1,022.00|KGS|26.00|PCS|TSK-PRD3|SB010172/1/25|E484361|||23P0834494</v>
          </cell>
        </row>
        <row r="697">
          <cell r="A697" t="str">
            <v>PD25010405|SB0232|NSC_S43C_36.80_5100|TGY95613-0020|SLUG VALVE ROTARY|942.00|KGS|22.00|PCS|TSK-PRD3|SB010050/6/25|E483649|||23P0809890</v>
          </cell>
        </row>
        <row r="698">
          <cell r="A698" t="str">
            <v>PD25011293|SB0002|NSC_SCM415_21_5000|TG028986-0050|Barrel|1,030.00|KGS|75.00|PCS|TSK-PRD3|SB010164/2/25|E380477|||23P0832858</v>
          </cell>
        </row>
        <row r="699">
          <cell r="A699" t="str">
            <v>PD25011296|SB0104|KMS_DSS1_15.57_5000|TG028152-5190|Pole Core|1,039.00|KGS|139.00|PCS|TSK-PRD3|SB010166/1/25|KS004B4728|KMS|KOBELCO Millcon Steel Co.,Ltd|23P0832869</v>
          </cell>
        </row>
        <row r="700">
          <cell r="A700" t="str">
            <v>PD25011297|SB0104|KMS_DSS1_15.57_5000|TG028152-5190|Pole Core|1,002.00|KGS|134.00|PCS|TSK-PRD3|SB010166/3/25|KS004B4728|KMS|KOBELCO Millcon Steel Co.,Ltd|23P0832871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2" t="str">
            <v>SC12</v>
          </cell>
          <cell r="B2" t="str">
            <v>หน้าตัดลาย</v>
          </cell>
          <cell r="C2" t="str">
            <v>SCREENING</v>
          </cell>
          <cell r="D2">
            <v>4.1666666666666664E-2</v>
          </cell>
          <cell r="E2" t="str">
            <v>A</v>
          </cell>
          <cell r="F2" t="str">
            <v>DAY</v>
          </cell>
        </row>
        <row r="3">
          <cell r="A3" t="str">
            <v>SC13</v>
          </cell>
          <cell r="B3" t="str">
            <v>หน้าตัดเอียง</v>
          </cell>
          <cell r="C3" t="str">
            <v>MEETING,CLEANING</v>
          </cell>
          <cell r="D3">
            <v>6.9444444444444441E-3</v>
          </cell>
          <cell r="E3" t="str">
            <v>B</v>
          </cell>
          <cell r="F3" t="str">
            <v>NIGHT</v>
          </cell>
        </row>
        <row r="4">
          <cell r="A4" t="str">
            <v>SC15</v>
          </cell>
          <cell r="B4" t="str">
            <v>รอยลำตัว</v>
          </cell>
          <cell r="C4" t="str">
            <v>ซ่อมเครื่องจักร</v>
          </cell>
          <cell r="D4">
            <v>1.3888888888888888E-2</v>
          </cell>
        </row>
        <row r="5">
          <cell r="A5" t="str">
            <v>SC17</v>
          </cell>
          <cell r="B5" t="str">
            <v>รอย Chuck</v>
          </cell>
          <cell r="C5" t="str">
            <v>เปลี่ยนใบเลื่อย</v>
          </cell>
          <cell r="D5">
            <v>2.0833333333333332E-2</v>
          </cell>
        </row>
        <row r="6">
          <cell r="A6" t="str">
            <v>SC18</v>
          </cell>
          <cell r="B6" t="str">
            <v>รอย Step</v>
          </cell>
          <cell r="C6" t="str">
            <v>เปลี่ยนinsert</v>
          </cell>
          <cell r="D6">
            <v>2.7777777777777776E-2</v>
          </cell>
        </row>
        <row r="7">
          <cell r="A7" t="str">
            <v>SC19</v>
          </cell>
          <cell r="B7" t="str">
            <v>งานเป็นสนิม</v>
          </cell>
          <cell r="C7" t="str">
            <v>เปลี่ยนอะไหล่</v>
          </cell>
          <cell r="D7">
            <v>3.4722222222222224E-2</v>
          </cell>
        </row>
        <row r="8">
          <cell r="A8" t="str">
            <v>SC20</v>
          </cell>
          <cell r="B8" t="str">
            <v>Chamfer เอียง</v>
          </cell>
          <cell r="C8" t="str">
            <v>NO PLAN PC</v>
          </cell>
          <cell r="D8">
            <v>0</v>
          </cell>
        </row>
        <row r="9">
          <cell r="A9" t="str">
            <v>SC21</v>
          </cell>
          <cell r="B9" t="str">
            <v xml:space="preserve">Chamfer Over Spec </v>
          </cell>
          <cell r="C9" t="str">
            <v>WAIT RAW MATERIAL</v>
          </cell>
        </row>
        <row r="10">
          <cell r="A10" t="str">
            <v>SC22</v>
          </cell>
          <cell r="B10" t="str">
            <v>Chamfer Lower Spec</v>
          </cell>
          <cell r="C10" t="str">
            <v>No Worker</v>
          </cell>
        </row>
        <row r="11">
          <cell r="A11" t="str">
            <v>SC23</v>
          </cell>
          <cell r="B11" t="str">
            <v>Diameter Over</v>
          </cell>
          <cell r="C11" t="str">
            <v>PM เครื่องจักร</v>
          </cell>
        </row>
        <row r="12">
          <cell r="A12" t="str">
            <v>SC24</v>
          </cell>
          <cell r="B12" t="str">
            <v>Diameter Lower</v>
          </cell>
          <cell r="C12" t="str">
            <v>PE Test new Product</v>
          </cell>
        </row>
        <row r="13">
          <cell r="A13" t="str">
            <v>SC25</v>
          </cell>
          <cell r="B13" t="str">
            <v>Senter Dill Over Spec</v>
          </cell>
          <cell r="C13" t="str">
            <v>NO OT</v>
          </cell>
        </row>
        <row r="14">
          <cell r="A14" t="str">
            <v>SC26</v>
          </cell>
          <cell r="B14" t="str">
            <v>Senter Dill Lower Spec</v>
          </cell>
          <cell r="C14" t="str">
            <v>งานมีปัญหา</v>
          </cell>
        </row>
        <row r="15">
          <cell r="A15" t="str">
            <v>SC27</v>
          </cell>
          <cell r="B15" t="str">
            <v>No Chamfer</v>
          </cell>
          <cell r="C15" t="str">
            <v>SETUP(เปลี่ยนงาน)</v>
          </cell>
        </row>
        <row r="16">
          <cell r="A16" t="str">
            <v>SC28</v>
          </cell>
          <cell r="B16" t="str">
            <v>Run -out Over Spec</v>
          </cell>
          <cell r="C16" t="str">
            <v>เปลี่ยน ORDER</v>
          </cell>
        </row>
        <row r="17">
          <cell r="A17" t="str">
            <v>CH2</v>
          </cell>
          <cell r="B17" t="str">
            <v>Raw Material ECT</v>
          </cell>
          <cell r="C17" t="str">
            <v>5.ส</v>
          </cell>
        </row>
        <row r="18">
          <cell r="A18" t="str">
            <v>CH4</v>
          </cell>
          <cell r="B18" t="str">
            <v>Length Over - Cutting</v>
          </cell>
          <cell r="C18" t="str">
            <v>CHECKSTOCK</v>
          </cell>
        </row>
        <row r="19">
          <cell r="A19" t="str">
            <v>CH5</v>
          </cell>
          <cell r="B19" t="str">
            <v>Length Lower - Cutting</v>
          </cell>
          <cell r="C19" t="str">
            <v>NO-MAT</v>
          </cell>
        </row>
        <row r="20">
          <cell r="A20" t="str">
            <v>CH6</v>
          </cell>
          <cell r="B20" t="str">
            <v>Weight Over Spec</v>
          </cell>
          <cell r="C20" t="str">
            <v>NO-MAN</v>
          </cell>
        </row>
        <row r="21">
          <cell r="A21" t="str">
            <v>CH7</v>
          </cell>
          <cell r="B21" t="str">
            <v>Weight Lowerr Spec</v>
          </cell>
          <cell r="C21" t="str">
            <v>เปลี่ยนใบเลื่อย/เปลี่ยนงาน</v>
          </cell>
        </row>
        <row r="22">
          <cell r="A22" t="str">
            <v>CH8</v>
          </cell>
          <cell r="C22" t="str">
            <v>NO-MAT/SETUPเปลี่ยนงาน</v>
          </cell>
        </row>
        <row r="23">
          <cell r="A23" t="str">
            <v>CH10</v>
          </cell>
          <cell r="C23" t="str">
            <v>NO-MAN/SETUPเปลี่ยนงาน</v>
          </cell>
        </row>
        <row r="24">
          <cell r="A24" t="str">
            <v>CH11</v>
          </cell>
          <cell r="C24" t="str">
            <v>ORDERใหม่</v>
          </cell>
        </row>
        <row r="25">
          <cell r="A25" t="str">
            <v>CP2</v>
          </cell>
          <cell r="C25" t="str">
            <v>อบรม</v>
          </cell>
        </row>
        <row r="26">
          <cell r="A26" t="str">
            <v>M069</v>
          </cell>
        </row>
        <row r="27">
          <cell r="A27" t="str">
            <v>RUN-OUT</v>
          </cell>
        </row>
        <row r="28">
          <cell r="A28" t="str">
            <v>SCREENING</v>
          </cell>
        </row>
        <row r="29">
          <cell r="A29" t="str">
            <v>CHAMFER</v>
          </cell>
        </row>
        <row r="30">
          <cell r="A30" t="str">
            <v>BENDING(BDM1)</v>
          </cell>
        </row>
        <row r="31">
          <cell r="A31" t="str">
            <v>Packing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Revise (Mar)"/>
      <sheetName val="Cutting Revise (Stop watch)"/>
      <sheetName val="Cutting Revise (OK#1)"/>
      <sheetName val="Cutting Revise"/>
      <sheetName val="Cutting Revise (3)"/>
      <sheetName val="Cutting Revise (2)"/>
      <sheetName val="Cutting"/>
      <sheetName val="Form"/>
      <sheetName val="C-F"/>
      <sheetName val="M-C"/>
      <sheetName val="List allocation (5)"/>
      <sheetName val="SC Rack"/>
      <sheetName val="New"/>
    </sheetNames>
    <sheetDataSet>
      <sheetData sheetId="0" refreshError="1"/>
      <sheetData sheetId="1">
        <row r="8"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."/>
      <sheetName val="issued record"/>
      <sheetName val="wire-stock"/>
      <sheetName val="COIL"/>
      <sheetName val="wire-wip-coil."/>
      <sheetName val="hire-wip-coil."/>
      <sheetName val="wire-check"/>
      <sheetName val="wire-check-coil."/>
      <sheetName val="nyk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In"/>
      <sheetName val="TLT"/>
      <sheetName val="TLT (2)"/>
      <sheetName val="MARINE"/>
      <sheetName val="HAI"/>
      <sheetName val="DATA REPORT 2023"/>
      <sheetName val="SUMMARY REPORT (NEW)"/>
      <sheetName val="Sum Del 2023"/>
      <sheetName val="Box Rack bar"/>
    </sheetNames>
    <sheetDataSet>
      <sheetData sheetId="0" refreshError="1">
        <row r="2">
          <cell r="A2" t="str">
            <v>T.S.K.FORGING CO.,LTD.</v>
          </cell>
        </row>
        <row r="3">
          <cell r="A3" t="str">
            <v>STOCK RAW MATERIAL-COIL</v>
          </cell>
        </row>
        <row r="4">
          <cell r="A4" t="str">
            <v>JUL 30 ' 2009</v>
          </cell>
        </row>
        <row r="8">
          <cell r="A8" t="str">
            <v>NO.</v>
          </cell>
        </row>
        <row r="19">
          <cell r="A19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8</v>
          </cell>
        </row>
        <row r="27">
          <cell r="A27">
            <v>9</v>
          </cell>
        </row>
        <row r="28">
          <cell r="A28">
            <v>10</v>
          </cell>
        </row>
        <row r="29">
          <cell r="A29">
            <v>11</v>
          </cell>
        </row>
        <row r="30">
          <cell r="A30">
            <v>12</v>
          </cell>
        </row>
        <row r="31">
          <cell r="A31">
            <v>13</v>
          </cell>
        </row>
        <row r="32">
          <cell r="A32">
            <v>14</v>
          </cell>
        </row>
        <row r="33">
          <cell r="A33">
            <v>15</v>
          </cell>
        </row>
        <row r="34">
          <cell r="A34">
            <v>14</v>
          </cell>
        </row>
        <row r="35">
          <cell r="A35">
            <v>15</v>
          </cell>
        </row>
        <row r="36">
          <cell r="A36">
            <v>14</v>
          </cell>
        </row>
        <row r="37">
          <cell r="A37">
            <v>15</v>
          </cell>
        </row>
        <row r="92">
          <cell r="A92">
            <v>16</v>
          </cell>
        </row>
        <row r="93">
          <cell r="A93">
            <v>17</v>
          </cell>
        </row>
        <row r="94">
          <cell r="A94">
            <v>18</v>
          </cell>
        </row>
        <row r="95">
          <cell r="A95">
            <v>19</v>
          </cell>
        </row>
        <row r="96">
          <cell r="A96">
            <v>20</v>
          </cell>
        </row>
        <row r="97">
          <cell r="A97">
            <v>21</v>
          </cell>
        </row>
        <row r="98">
          <cell r="A98">
            <v>22</v>
          </cell>
        </row>
        <row r="99">
          <cell r="A99">
            <v>23</v>
          </cell>
        </row>
        <row r="100">
          <cell r="A100">
            <v>24</v>
          </cell>
        </row>
        <row r="101">
          <cell r="A101">
            <v>25</v>
          </cell>
        </row>
        <row r="102">
          <cell r="A102">
            <v>26</v>
          </cell>
        </row>
        <row r="103">
          <cell r="A103">
            <v>27</v>
          </cell>
        </row>
        <row r="104">
          <cell r="A104">
            <v>28</v>
          </cell>
        </row>
        <row r="105">
          <cell r="A105">
            <v>29</v>
          </cell>
        </row>
        <row r="106">
          <cell r="A106">
            <v>30</v>
          </cell>
        </row>
        <row r="107">
          <cell r="A107">
            <v>28</v>
          </cell>
        </row>
        <row r="108">
          <cell r="A108">
            <v>29</v>
          </cell>
        </row>
        <row r="109">
          <cell r="A109">
            <v>30</v>
          </cell>
        </row>
        <row r="110">
          <cell r="A110">
            <v>23</v>
          </cell>
        </row>
        <row r="111">
          <cell r="A111">
            <v>24</v>
          </cell>
        </row>
        <row r="112">
          <cell r="A112">
            <v>25</v>
          </cell>
        </row>
        <row r="113">
          <cell r="A113">
            <v>26</v>
          </cell>
        </row>
        <row r="114">
          <cell r="A114">
            <v>27</v>
          </cell>
        </row>
        <row r="115">
          <cell r="A115">
            <v>28</v>
          </cell>
        </row>
        <row r="116">
          <cell r="A116">
            <v>29</v>
          </cell>
        </row>
        <row r="117">
          <cell r="A117">
            <v>30</v>
          </cell>
        </row>
        <row r="118">
          <cell r="A118">
            <v>30</v>
          </cell>
        </row>
        <row r="123">
          <cell r="A123">
            <v>31</v>
          </cell>
        </row>
        <row r="124">
          <cell r="A124">
            <v>32</v>
          </cell>
        </row>
        <row r="125">
          <cell r="A125">
            <v>33</v>
          </cell>
        </row>
        <row r="126">
          <cell r="A126">
            <v>33</v>
          </cell>
        </row>
        <row r="127">
          <cell r="A127">
            <v>34</v>
          </cell>
        </row>
        <row r="128">
          <cell r="A128">
            <v>35</v>
          </cell>
        </row>
        <row r="129">
          <cell r="A129">
            <v>36</v>
          </cell>
        </row>
        <row r="130">
          <cell r="A130">
            <v>37</v>
          </cell>
        </row>
        <row r="131">
          <cell r="A131">
            <v>38</v>
          </cell>
        </row>
        <row r="132">
          <cell r="A132">
            <v>39</v>
          </cell>
        </row>
        <row r="133">
          <cell r="A133">
            <v>40</v>
          </cell>
        </row>
        <row r="134">
          <cell r="A134">
            <v>41</v>
          </cell>
        </row>
        <row r="135">
          <cell r="A135">
            <v>41</v>
          </cell>
        </row>
        <row r="137">
          <cell r="A137">
            <v>34</v>
          </cell>
        </row>
        <row r="138">
          <cell r="A138">
            <v>35</v>
          </cell>
        </row>
        <row r="139">
          <cell r="A139">
            <v>36</v>
          </cell>
        </row>
        <row r="140">
          <cell r="A140">
            <v>37</v>
          </cell>
        </row>
        <row r="141">
          <cell r="A141">
            <v>38</v>
          </cell>
        </row>
        <row r="142">
          <cell r="A142">
            <v>39</v>
          </cell>
        </row>
        <row r="143">
          <cell r="A143">
            <v>40</v>
          </cell>
        </row>
        <row r="144">
          <cell r="A144">
            <v>41</v>
          </cell>
        </row>
        <row r="145">
          <cell r="A145">
            <v>37</v>
          </cell>
        </row>
        <row r="146">
          <cell r="A146">
            <v>38</v>
          </cell>
        </row>
        <row r="147">
          <cell r="A147">
            <v>42</v>
          </cell>
        </row>
        <row r="148">
          <cell r="A148">
            <v>43</v>
          </cell>
        </row>
        <row r="149">
          <cell r="A149">
            <v>44</v>
          </cell>
        </row>
        <row r="150">
          <cell r="A150">
            <v>43</v>
          </cell>
        </row>
        <row r="151">
          <cell r="A151">
            <v>44</v>
          </cell>
        </row>
        <row r="152">
          <cell r="A152">
            <v>45</v>
          </cell>
        </row>
        <row r="153">
          <cell r="A153">
            <v>46</v>
          </cell>
        </row>
        <row r="154">
          <cell r="A154">
            <v>45</v>
          </cell>
        </row>
        <row r="155">
          <cell r="A155">
            <v>47</v>
          </cell>
        </row>
        <row r="156">
          <cell r="A156">
            <v>48</v>
          </cell>
        </row>
        <row r="157">
          <cell r="A157">
            <v>49</v>
          </cell>
        </row>
        <row r="158">
          <cell r="A158">
            <v>50</v>
          </cell>
        </row>
        <row r="159">
          <cell r="A159">
            <v>51</v>
          </cell>
        </row>
        <row r="160">
          <cell r="A160">
            <v>52</v>
          </cell>
        </row>
        <row r="161">
          <cell r="A161">
            <v>53</v>
          </cell>
        </row>
        <row r="162">
          <cell r="A162">
            <v>54</v>
          </cell>
        </row>
        <row r="163">
          <cell r="A163">
            <v>55</v>
          </cell>
        </row>
        <row r="164">
          <cell r="A164">
            <v>56</v>
          </cell>
        </row>
        <row r="165">
          <cell r="A165">
            <v>57</v>
          </cell>
        </row>
        <row r="166">
          <cell r="A166">
            <v>58</v>
          </cell>
        </row>
        <row r="167">
          <cell r="A167">
            <v>59</v>
          </cell>
        </row>
        <row r="168">
          <cell r="A168">
            <v>60</v>
          </cell>
        </row>
        <row r="169">
          <cell r="A169">
            <v>61</v>
          </cell>
        </row>
        <row r="170">
          <cell r="A170">
            <v>62</v>
          </cell>
        </row>
        <row r="171">
          <cell r="A171">
            <v>63</v>
          </cell>
        </row>
        <row r="172">
          <cell r="A172">
            <v>64</v>
          </cell>
        </row>
        <row r="173">
          <cell r="A173">
            <v>65</v>
          </cell>
        </row>
        <row r="174">
          <cell r="A174">
            <v>66</v>
          </cell>
        </row>
        <row r="175">
          <cell r="A175">
            <v>67</v>
          </cell>
        </row>
        <row r="176">
          <cell r="A176">
            <v>68</v>
          </cell>
        </row>
        <row r="177">
          <cell r="A177">
            <v>69</v>
          </cell>
        </row>
        <row r="178">
          <cell r="A178">
            <v>70</v>
          </cell>
        </row>
        <row r="179">
          <cell r="A179">
            <v>71</v>
          </cell>
        </row>
        <row r="180">
          <cell r="A180">
            <v>72</v>
          </cell>
        </row>
        <row r="181">
          <cell r="A181">
            <v>73</v>
          </cell>
        </row>
        <row r="182">
          <cell r="A182">
            <v>74</v>
          </cell>
        </row>
        <row r="183">
          <cell r="A183">
            <v>75</v>
          </cell>
        </row>
        <row r="184">
          <cell r="A184">
            <v>76</v>
          </cell>
        </row>
        <row r="185">
          <cell r="A185">
            <v>77</v>
          </cell>
        </row>
        <row r="186">
          <cell r="A186">
            <v>78</v>
          </cell>
        </row>
        <row r="187">
          <cell r="A187">
            <v>79</v>
          </cell>
        </row>
        <row r="188">
          <cell r="A188">
            <v>80</v>
          </cell>
        </row>
        <row r="189">
          <cell r="A189">
            <v>81</v>
          </cell>
        </row>
        <row r="190">
          <cell r="A190">
            <v>82</v>
          </cell>
        </row>
        <row r="191">
          <cell r="A191">
            <v>83</v>
          </cell>
        </row>
        <row r="192">
          <cell r="A192">
            <v>84</v>
          </cell>
        </row>
        <row r="193">
          <cell r="A193">
            <v>85</v>
          </cell>
        </row>
        <row r="194">
          <cell r="A194">
            <v>86</v>
          </cell>
        </row>
        <row r="195">
          <cell r="A195">
            <v>85</v>
          </cell>
        </row>
        <row r="196">
          <cell r="A196">
            <v>86</v>
          </cell>
        </row>
        <row r="197">
          <cell r="A197">
            <v>76</v>
          </cell>
        </row>
        <row r="198">
          <cell r="A198">
            <v>77</v>
          </cell>
        </row>
        <row r="199">
          <cell r="A199">
            <v>78</v>
          </cell>
        </row>
        <row r="200">
          <cell r="A200">
            <v>79</v>
          </cell>
        </row>
        <row r="201">
          <cell r="A201">
            <v>80</v>
          </cell>
        </row>
        <row r="202">
          <cell r="A202">
            <v>87</v>
          </cell>
        </row>
        <row r="203">
          <cell r="A203">
            <v>88</v>
          </cell>
        </row>
        <row r="204">
          <cell r="A204">
            <v>89</v>
          </cell>
        </row>
        <row r="205">
          <cell r="A205">
            <v>90</v>
          </cell>
        </row>
        <row r="206">
          <cell r="A206">
            <v>91</v>
          </cell>
        </row>
        <row r="207">
          <cell r="A207">
            <v>90</v>
          </cell>
        </row>
        <row r="208">
          <cell r="A208">
            <v>91</v>
          </cell>
        </row>
        <row r="209">
          <cell r="A209">
            <v>92</v>
          </cell>
        </row>
        <row r="210">
          <cell r="A210">
            <v>76</v>
          </cell>
        </row>
        <row r="211">
          <cell r="A211">
            <v>85</v>
          </cell>
        </row>
        <row r="212">
          <cell r="A212">
            <v>86</v>
          </cell>
        </row>
        <row r="213">
          <cell r="A213">
            <v>93</v>
          </cell>
        </row>
        <row r="214">
          <cell r="A214">
            <v>94</v>
          </cell>
        </row>
        <row r="215">
          <cell r="A215">
            <v>95</v>
          </cell>
        </row>
        <row r="216">
          <cell r="A216">
            <v>96</v>
          </cell>
        </row>
        <row r="217">
          <cell r="A217">
            <v>97</v>
          </cell>
        </row>
        <row r="218">
          <cell r="A218">
            <v>98</v>
          </cell>
        </row>
        <row r="219">
          <cell r="A219">
            <v>99</v>
          </cell>
        </row>
        <row r="220">
          <cell r="A220">
            <v>100</v>
          </cell>
        </row>
        <row r="221">
          <cell r="A221">
            <v>101</v>
          </cell>
        </row>
        <row r="222">
          <cell r="A222">
            <v>102</v>
          </cell>
        </row>
        <row r="223">
          <cell r="A223">
            <v>103</v>
          </cell>
        </row>
        <row r="224">
          <cell r="A224">
            <v>104</v>
          </cell>
        </row>
        <row r="225">
          <cell r="A225">
            <v>105</v>
          </cell>
        </row>
        <row r="226">
          <cell r="A226">
            <v>106</v>
          </cell>
        </row>
        <row r="227">
          <cell r="A227">
            <v>107</v>
          </cell>
        </row>
        <row r="228">
          <cell r="A228">
            <v>103</v>
          </cell>
        </row>
        <row r="229">
          <cell r="A229">
            <v>104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107</v>
          </cell>
        </row>
        <row r="233">
          <cell r="A233">
            <v>85</v>
          </cell>
        </row>
        <row r="234">
          <cell r="A234">
            <v>86</v>
          </cell>
        </row>
        <row r="235">
          <cell r="A235">
            <v>79</v>
          </cell>
        </row>
        <row r="236">
          <cell r="A236">
            <v>80</v>
          </cell>
        </row>
        <row r="237">
          <cell r="A237">
            <v>81</v>
          </cell>
        </row>
        <row r="238">
          <cell r="A238">
            <v>82</v>
          </cell>
        </row>
        <row r="239">
          <cell r="A239">
            <v>83</v>
          </cell>
        </row>
        <row r="240">
          <cell r="A240">
            <v>84</v>
          </cell>
        </row>
        <row r="241">
          <cell r="A241">
            <v>85</v>
          </cell>
        </row>
        <row r="242">
          <cell r="A242">
            <v>93</v>
          </cell>
        </row>
        <row r="243">
          <cell r="A243">
            <v>108</v>
          </cell>
        </row>
        <row r="244">
          <cell r="A244">
            <v>109</v>
          </cell>
        </row>
        <row r="245">
          <cell r="A245">
            <v>110</v>
          </cell>
        </row>
        <row r="246">
          <cell r="A246">
            <v>111</v>
          </cell>
        </row>
        <row r="247">
          <cell r="A247">
            <v>112</v>
          </cell>
        </row>
        <row r="248">
          <cell r="A248">
            <v>108</v>
          </cell>
        </row>
        <row r="249">
          <cell r="A249">
            <v>100</v>
          </cell>
        </row>
        <row r="250">
          <cell r="A250">
            <v>109</v>
          </cell>
        </row>
        <row r="251">
          <cell r="A251">
            <v>110</v>
          </cell>
        </row>
        <row r="252">
          <cell r="A252">
            <v>113</v>
          </cell>
        </row>
        <row r="253">
          <cell r="A253">
            <v>114</v>
          </cell>
        </row>
        <row r="254">
          <cell r="A254">
            <v>115</v>
          </cell>
        </row>
        <row r="255">
          <cell r="A255">
            <v>116</v>
          </cell>
        </row>
        <row r="256">
          <cell r="A256">
            <v>117</v>
          </cell>
        </row>
        <row r="257">
          <cell r="A257">
            <v>118</v>
          </cell>
        </row>
        <row r="258">
          <cell r="A258">
            <v>119</v>
          </cell>
        </row>
        <row r="259">
          <cell r="A259">
            <v>120</v>
          </cell>
        </row>
        <row r="260">
          <cell r="A260">
            <v>121</v>
          </cell>
        </row>
        <row r="261">
          <cell r="A261">
            <v>122</v>
          </cell>
        </row>
        <row r="262">
          <cell r="A262">
            <v>123</v>
          </cell>
        </row>
        <row r="263">
          <cell r="A263">
            <v>124</v>
          </cell>
        </row>
        <row r="264">
          <cell r="A264">
            <v>125</v>
          </cell>
        </row>
        <row r="265">
          <cell r="A265">
            <v>126</v>
          </cell>
        </row>
        <row r="266">
          <cell r="A266">
            <v>127</v>
          </cell>
        </row>
        <row r="267">
          <cell r="A267">
            <v>128</v>
          </cell>
        </row>
        <row r="268">
          <cell r="A268">
            <v>129</v>
          </cell>
        </row>
        <row r="269">
          <cell r="A269">
            <v>130</v>
          </cell>
        </row>
        <row r="270">
          <cell r="A270">
            <v>131</v>
          </cell>
        </row>
        <row r="271">
          <cell r="A271">
            <v>132</v>
          </cell>
        </row>
        <row r="272">
          <cell r="A272">
            <v>133</v>
          </cell>
        </row>
        <row r="273">
          <cell r="A273">
            <v>118</v>
          </cell>
        </row>
        <row r="274">
          <cell r="A274">
            <v>119</v>
          </cell>
        </row>
        <row r="275">
          <cell r="A275">
            <v>120</v>
          </cell>
        </row>
        <row r="276">
          <cell r="A276">
            <v>121</v>
          </cell>
        </row>
        <row r="277">
          <cell r="A277">
            <v>122</v>
          </cell>
        </row>
        <row r="278">
          <cell r="A278">
            <v>123</v>
          </cell>
        </row>
        <row r="279">
          <cell r="A279">
            <v>124</v>
          </cell>
        </row>
        <row r="280">
          <cell r="A280">
            <v>125</v>
          </cell>
        </row>
        <row r="281">
          <cell r="A281">
            <v>126</v>
          </cell>
        </row>
        <row r="282">
          <cell r="A282">
            <v>127</v>
          </cell>
        </row>
        <row r="283">
          <cell r="A283">
            <v>134</v>
          </cell>
        </row>
        <row r="284">
          <cell r="A284">
            <v>135</v>
          </cell>
        </row>
        <row r="285">
          <cell r="A285">
            <v>130</v>
          </cell>
        </row>
        <row r="286">
          <cell r="A286">
            <v>131</v>
          </cell>
        </row>
        <row r="287">
          <cell r="A287">
            <v>136</v>
          </cell>
        </row>
        <row r="288">
          <cell r="A288">
            <v>137</v>
          </cell>
        </row>
        <row r="289">
          <cell r="A289">
            <v>138</v>
          </cell>
        </row>
        <row r="290">
          <cell r="A290">
            <v>139</v>
          </cell>
        </row>
        <row r="291">
          <cell r="A291">
            <v>140</v>
          </cell>
        </row>
        <row r="292">
          <cell r="A292">
            <v>141</v>
          </cell>
        </row>
        <row r="293">
          <cell r="A293">
            <v>142</v>
          </cell>
        </row>
        <row r="294">
          <cell r="A294">
            <v>143</v>
          </cell>
        </row>
        <row r="295">
          <cell r="A295">
            <v>144</v>
          </cell>
        </row>
        <row r="296">
          <cell r="A296">
            <v>145</v>
          </cell>
        </row>
        <row r="297">
          <cell r="A297">
            <v>146</v>
          </cell>
        </row>
        <row r="298">
          <cell r="A298">
            <v>147</v>
          </cell>
        </row>
        <row r="299">
          <cell r="A299">
            <v>148</v>
          </cell>
        </row>
        <row r="300">
          <cell r="A300">
            <v>149</v>
          </cell>
        </row>
        <row r="301">
          <cell r="A301">
            <v>150</v>
          </cell>
        </row>
        <row r="302">
          <cell r="A302">
            <v>151</v>
          </cell>
        </row>
        <row r="303">
          <cell r="A303">
            <v>152</v>
          </cell>
        </row>
        <row r="304">
          <cell r="A304">
            <v>153</v>
          </cell>
        </row>
        <row r="305">
          <cell r="A305">
            <v>154</v>
          </cell>
        </row>
        <row r="306">
          <cell r="A306">
            <v>155</v>
          </cell>
        </row>
        <row r="307">
          <cell r="A307">
            <v>156</v>
          </cell>
        </row>
        <row r="308">
          <cell r="A308">
            <v>157</v>
          </cell>
        </row>
        <row r="309">
          <cell r="A309">
            <v>158</v>
          </cell>
        </row>
        <row r="310">
          <cell r="A310">
            <v>159</v>
          </cell>
        </row>
        <row r="311">
          <cell r="A311">
            <v>160</v>
          </cell>
        </row>
        <row r="312">
          <cell r="A312">
            <v>161</v>
          </cell>
        </row>
        <row r="313">
          <cell r="A313">
            <v>162</v>
          </cell>
        </row>
        <row r="314">
          <cell r="A314">
            <v>147</v>
          </cell>
        </row>
        <row r="315">
          <cell r="A315">
            <v>148</v>
          </cell>
        </row>
        <row r="316">
          <cell r="A316">
            <v>149</v>
          </cell>
        </row>
        <row r="317">
          <cell r="A317">
            <v>150</v>
          </cell>
        </row>
        <row r="318">
          <cell r="A318">
            <v>151</v>
          </cell>
        </row>
        <row r="319">
          <cell r="A319">
            <v>152</v>
          </cell>
        </row>
        <row r="320">
          <cell r="A320">
            <v>153</v>
          </cell>
        </row>
        <row r="321">
          <cell r="A321">
            <v>154</v>
          </cell>
        </row>
        <row r="322">
          <cell r="A322">
            <v>155</v>
          </cell>
        </row>
        <row r="323">
          <cell r="A323">
            <v>156</v>
          </cell>
        </row>
        <row r="324">
          <cell r="A324">
            <v>157</v>
          </cell>
        </row>
        <row r="325">
          <cell r="A325">
            <v>158</v>
          </cell>
        </row>
        <row r="326">
          <cell r="A326">
            <v>159</v>
          </cell>
        </row>
        <row r="327">
          <cell r="A327">
            <v>160</v>
          </cell>
        </row>
        <row r="328">
          <cell r="A328">
            <v>161</v>
          </cell>
        </row>
        <row r="329">
          <cell r="A329">
            <v>162</v>
          </cell>
        </row>
        <row r="330">
          <cell r="A330">
            <v>124</v>
          </cell>
        </row>
        <row r="331">
          <cell r="A331">
            <v>118</v>
          </cell>
        </row>
        <row r="332">
          <cell r="A332">
            <v>125</v>
          </cell>
        </row>
        <row r="333">
          <cell r="A333">
            <v>126</v>
          </cell>
        </row>
        <row r="334">
          <cell r="A334">
            <v>127</v>
          </cell>
        </row>
        <row r="335">
          <cell r="A335">
            <v>128</v>
          </cell>
        </row>
        <row r="336">
          <cell r="A336">
            <v>129</v>
          </cell>
        </row>
        <row r="337">
          <cell r="A337">
            <v>130</v>
          </cell>
        </row>
        <row r="338">
          <cell r="A338">
            <v>131</v>
          </cell>
        </row>
        <row r="339">
          <cell r="A339">
            <v>132</v>
          </cell>
        </row>
        <row r="340">
          <cell r="A340">
            <v>133</v>
          </cell>
        </row>
        <row r="341">
          <cell r="A341">
            <v>127</v>
          </cell>
        </row>
        <row r="342">
          <cell r="A342">
            <v>128</v>
          </cell>
        </row>
        <row r="343">
          <cell r="A343">
            <v>129</v>
          </cell>
        </row>
        <row r="344">
          <cell r="A344">
            <v>130</v>
          </cell>
        </row>
        <row r="345">
          <cell r="A345">
            <v>131</v>
          </cell>
        </row>
        <row r="346">
          <cell r="A346">
            <v>132</v>
          </cell>
        </row>
        <row r="347">
          <cell r="A347">
            <v>133</v>
          </cell>
        </row>
        <row r="348">
          <cell r="A348">
            <v>112</v>
          </cell>
        </row>
        <row r="349">
          <cell r="A349">
            <v>111</v>
          </cell>
        </row>
        <row r="351">
          <cell r="A351">
            <v>134</v>
          </cell>
        </row>
        <row r="352">
          <cell r="A352">
            <v>135</v>
          </cell>
        </row>
        <row r="355">
          <cell r="A355">
            <v>136</v>
          </cell>
        </row>
        <row r="356">
          <cell r="A356">
            <v>137</v>
          </cell>
        </row>
        <row r="357">
          <cell r="A357">
            <v>138</v>
          </cell>
        </row>
        <row r="358">
          <cell r="A358">
            <v>139</v>
          </cell>
        </row>
        <row r="359">
          <cell r="A359">
            <v>140</v>
          </cell>
        </row>
        <row r="360">
          <cell r="A360">
            <v>141</v>
          </cell>
        </row>
        <row r="361">
          <cell r="A361">
            <v>142</v>
          </cell>
        </row>
        <row r="362">
          <cell r="A362">
            <v>143</v>
          </cell>
        </row>
        <row r="363">
          <cell r="A363">
            <v>144</v>
          </cell>
        </row>
        <row r="364">
          <cell r="A364">
            <v>145</v>
          </cell>
        </row>
        <row r="365">
          <cell r="A365">
            <v>146</v>
          </cell>
        </row>
        <row r="366">
          <cell r="A366">
            <v>147</v>
          </cell>
        </row>
        <row r="367">
          <cell r="A367">
            <v>148</v>
          </cell>
        </row>
        <row r="368">
          <cell r="A368">
            <v>149</v>
          </cell>
        </row>
        <row r="369">
          <cell r="A369">
            <v>150</v>
          </cell>
        </row>
        <row r="370">
          <cell r="A370">
            <v>151</v>
          </cell>
        </row>
        <row r="371">
          <cell r="A371">
            <v>152</v>
          </cell>
        </row>
        <row r="372">
          <cell r="A372">
            <v>153</v>
          </cell>
        </row>
        <row r="373">
          <cell r="A373">
            <v>154</v>
          </cell>
        </row>
        <row r="374">
          <cell r="A374">
            <v>155</v>
          </cell>
        </row>
        <row r="375">
          <cell r="A375">
            <v>156</v>
          </cell>
        </row>
        <row r="376">
          <cell r="A376">
            <v>157</v>
          </cell>
        </row>
        <row r="377">
          <cell r="A377">
            <v>158</v>
          </cell>
        </row>
        <row r="378">
          <cell r="A378">
            <v>159</v>
          </cell>
        </row>
        <row r="379">
          <cell r="A379">
            <v>160</v>
          </cell>
        </row>
        <row r="380">
          <cell r="A380">
            <v>161</v>
          </cell>
        </row>
        <row r="381">
          <cell r="A381">
            <v>162</v>
          </cell>
        </row>
        <row r="382">
          <cell r="A382">
            <v>130</v>
          </cell>
        </row>
        <row r="383">
          <cell r="A383">
            <v>131</v>
          </cell>
        </row>
        <row r="384">
          <cell r="A384">
            <v>132</v>
          </cell>
        </row>
        <row r="385">
          <cell r="A385">
            <v>133</v>
          </cell>
        </row>
        <row r="386">
          <cell r="A386">
            <v>126</v>
          </cell>
        </row>
        <row r="387">
          <cell r="A387">
            <v>127</v>
          </cell>
        </row>
        <row r="388">
          <cell r="A388">
            <v>128</v>
          </cell>
        </row>
        <row r="389">
          <cell r="A389">
            <v>129</v>
          </cell>
        </row>
        <row r="390">
          <cell r="A390">
            <v>130</v>
          </cell>
        </row>
        <row r="391">
          <cell r="A391">
            <v>131</v>
          </cell>
        </row>
        <row r="392">
          <cell r="A392">
            <v>132</v>
          </cell>
        </row>
        <row r="393">
          <cell r="A393">
            <v>133</v>
          </cell>
        </row>
        <row r="394">
          <cell r="A394">
            <v>115</v>
          </cell>
        </row>
        <row r="395">
          <cell r="A395">
            <v>116</v>
          </cell>
        </row>
        <row r="396">
          <cell r="A396">
            <v>134</v>
          </cell>
        </row>
        <row r="397">
          <cell r="A397">
            <v>135</v>
          </cell>
        </row>
        <row r="398">
          <cell r="A398">
            <v>119</v>
          </cell>
        </row>
        <row r="399">
          <cell r="A399">
            <v>120</v>
          </cell>
        </row>
        <row r="400">
          <cell r="A400">
            <v>136</v>
          </cell>
        </row>
        <row r="401">
          <cell r="A401">
            <v>137</v>
          </cell>
        </row>
        <row r="402">
          <cell r="A402">
            <v>138</v>
          </cell>
        </row>
        <row r="403">
          <cell r="A403">
            <v>139</v>
          </cell>
        </row>
        <row r="404">
          <cell r="A404">
            <v>134</v>
          </cell>
        </row>
        <row r="405">
          <cell r="A405">
            <v>135</v>
          </cell>
        </row>
        <row r="406">
          <cell r="A406">
            <v>126</v>
          </cell>
        </row>
        <row r="407">
          <cell r="A407">
            <v>127</v>
          </cell>
        </row>
        <row r="408">
          <cell r="A408">
            <v>140</v>
          </cell>
        </row>
        <row r="409">
          <cell r="A409">
            <v>141</v>
          </cell>
        </row>
        <row r="410">
          <cell r="A410">
            <v>142</v>
          </cell>
        </row>
        <row r="411">
          <cell r="A411">
            <v>143</v>
          </cell>
        </row>
        <row r="412">
          <cell r="A412">
            <v>144</v>
          </cell>
        </row>
        <row r="413">
          <cell r="A413">
            <v>145</v>
          </cell>
        </row>
        <row r="414">
          <cell r="A414">
            <v>146</v>
          </cell>
        </row>
        <row r="415">
          <cell r="A415">
            <v>147</v>
          </cell>
        </row>
        <row r="416">
          <cell r="A416">
            <v>148</v>
          </cell>
        </row>
        <row r="417">
          <cell r="A417">
            <v>149</v>
          </cell>
        </row>
        <row r="418">
          <cell r="A418">
            <v>150</v>
          </cell>
        </row>
        <row r="419">
          <cell r="A419">
            <v>151</v>
          </cell>
        </row>
        <row r="420">
          <cell r="A420">
            <v>152</v>
          </cell>
        </row>
        <row r="421">
          <cell r="A421">
            <v>153</v>
          </cell>
        </row>
        <row r="422">
          <cell r="A422">
            <v>146</v>
          </cell>
        </row>
        <row r="423">
          <cell r="A423">
            <v>147</v>
          </cell>
        </row>
        <row r="424">
          <cell r="A424">
            <v>148</v>
          </cell>
        </row>
        <row r="425">
          <cell r="A425">
            <v>149</v>
          </cell>
        </row>
        <row r="426">
          <cell r="A426">
            <v>150</v>
          </cell>
        </row>
        <row r="427">
          <cell r="A427">
            <v>151</v>
          </cell>
        </row>
        <row r="428">
          <cell r="A428">
            <v>154</v>
          </cell>
        </row>
        <row r="429">
          <cell r="A429">
            <v>155</v>
          </cell>
        </row>
        <row r="430">
          <cell r="A430">
            <v>156</v>
          </cell>
        </row>
        <row r="431">
          <cell r="A431">
            <v>157</v>
          </cell>
        </row>
        <row r="432">
          <cell r="A432">
            <v>158</v>
          </cell>
        </row>
        <row r="433">
          <cell r="A433">
            <v>159</v>
          </cell>
        </row>
        <row r="434">
          <cell r="A434">
            <v>160</v>
          </cell>
        </row>
        <row r="435">
          <cell r="A435">
            <v>161</v>
          </cell>
        </row>
        <row r="436">
          <cell r="A436">
            <v>162</v>
          </cell>
        </row>
        <row r="437">
          <cell r="A437">
            <v>155</v>
          </cell>
        </row>
        <row r="438">
          <cell r="A438">
            <v>156</v>
          </cell>
        </row>
        <row r="439">
          <cell r="A439">
            <v>157</v>
          </cell>
        </row>
        <row r="440">
          <cell r="A440">
            <v>158</v>
          </cell>
        </row>
        <row r="441">
          <cell r="A441">
            <v>159</v>
          </cell>
        </row>
        <row r="442">
          <cell r="A442">
            <v>160</v>
          </cell>
        </row>
        <row r="443">
          <cell r="A443">
            <v>161</v>
          </cell>
        </row>
        <row r="444">
          <cell r="A444">
            <v>162</v>
          </cell>
        </row>
        <row r="445">
          <cell r="A445">
            <v>149</v>
          </cell>
        </row>
        <row r="446">
          <cell r="A446">
            <v>150</v>
          </cell>
        </row>
        <row r="447">
          <cell r="A447">
            <v>151</v>
          </cell>
        </row>
        <row r="448">
          <cell r="A448">
            <v>152</v>
          </cell>
        </row>
        <row r="449">
          <cell r="A449">
            <v>153</v>
          </cell>
        </row>
        <row r="456">
          <cell r="A456">
            <v>154</v>
          </cell>
        </row>
        <row r="457">
          <cell r="A457">
            <v>155</v>
          </cell>
        </row>
        <row r="458">
          <cell r="A458">
            <v>156</v>
          </cell>
        </row>
        <row r="459">
          <cell r="A459">
            <v>157</v>
          </cell>
        </row>
        <row r="460">
          <cell r="A460">
            <v>158</v>
          </cell>
        </row>
        <row r="461">
          <cell r="A461">
            <v>159</v>
          </cell>
        </row>
        <row r="462">
          <cell r="A462">
            <v>160</v>
          </cell>
        </row>
        <row r="463">
          <cell r="A463">
            <v>161</v>
          </cell>
        </row>
        <row r="464">
          <cell r="A464">
            <v>162</v>
          </cell>
        </row>
        <row r="472">
          <cell r="A472">
            <v>113</v>
          </cell>
        </row>
        <row r="473">
          <cell r="A473">
            <v>114</v>
          </cell>
        </row>
        <row r="476">
          <cell r="A476">
            <v>115</v>
          </cell>
        </row>
        <row r="477">
          <cell r="A477">
            <v>116</v>
          </cell>
        </row>
        <row r="478">
          <cell r="A478">
            <v>117</v>
          </cell>
        </row>
        <row r="479">
          <cell r="A479">
            <v>118</v>
          </cell>
        </row>
        <row r="480">
          <cell r="A480">
            <v>119</v>
          </cell>
        </row>
        <row r="481">
          <cell r="A481">
            <v>120</v>
          </cell>
        </row>
        <row r="482">
          <cell r="A482">
            <v>121</v>
          </cell>
        </row>
        <row r="483">
          <cell r="A483">
            <v>122</v>
          </cell>
        </row>
        <row r="484">
          <cell r="A484">
            <v>123</v>
          </cell>
        </row>
        <row r="485">
          <cell r="A485">
            <v>124</v>
          </cell>
        </row>
        <row r="487">
          <cell r="A487">
            <v>125</v>
          </cell>
        </row>
        <row r="488">
          <cell r="A488">
            <v>126</v>
          </cell>
        </row>
        <row r="489">
          <cell r="A489">
            <v>127</v>
          </cell>
        </row>
        <row r="490">
          <cell r="A490">
            <v>128</v>
          </cell>
        </row>
        <row r="491">
          <cell r="A491">
            <v>129</v>
          </cell>
        </row>
        <row r="492">
          <cell r="A492">
            <v>130</v>
          </cell>
        </row>
        <row r="493">
          <cell r="A493">
            <v>131</v>
          </cell>
        </row>
        <row r="494">
          <cell r="A494">
            <v>132</v>
          </cell>
        </row>
        <row r="499">
          <cell r="A499">
            <v>133</v>
          </cell>
        </row>
        <row r="528">
          <cell r="A528">
            <v>134</v>
          </cell>
        </row>
        <row r="529">
          <cell r="A529">
            <v>135</v>
          </cell>
        </row>
        <row r="538">
          <cell r="A538">
            <v>136</v>
          </cell>
        </row>
        <row r="539">
          <cell r="A539">
            <v>137</v>
          </cell>
        </row>
        <row r="540">
          <cell r="A540">
            <v>138</v>
          </cell>
        </row>
        <row r="541">
          <cell r="A541">
            <v>139</v>
          </cell>
        </row>
        <row r="546">
          <cell r="A546">
            <v>140</v>
          </cell>
        </row>
        <row r="547">
          <cell r="A547">
            <v>141</v>
          </cell>
        </row>
        <row r="548">
          <cell r="A548">
            <v>142</v>
          </cell>
        </row>
        <row r="549">
          <cell r="A549">
            <v>143</v>
          </cell>
        </row>
        <row r="550">
          <cell r="A550">
            <v>144</v>
          </cell>
        </row>
        <row r="551">
          <cell r="A551">
            <v>145</v>
          </cell>
        </row>
        <row r="552">
          <cell r="A552">
            <v>146</v>
          </cell>
        </row>
        <row r="553">
          <cell r="A553">
            <v>147</v>
          </cell>
        </row>
        <row r="554">
          <cell r="A554">
            <v>148</v>
          </cell>
        </row>
        <row r="555">
          <cell r="A555">
            <v>149</v>
          </cell>
        </row>
        <row r="556">
          <cell r="A556">
            <v>150</v>
          </cell>
        </row>
        <row r="557">
          <cell r="A557">
            <v>151</v>
          </cell>
        </row>
        <row r="558">
          <cell r="A558">
            <v>152</v>
          </cell>
        </row>
        <row r="559">
          <cell r="A559">
            <v>153</v>
          </cell>
        </row>
        <row r="572">
          <cell r="A572">
            <v>154</v>
          </cell>
        </row>
        <row r="573">
          <cell r="A573">
            <v>155</v>
          </cell>
        </row>
        <row r="574">
          <cell r="A574">
            <v>156</v>
          </cell>
        </row>
        <row r="575">
          <cell r="A575">
            <v>157</v>
          </cell>
        </row>
        <row r="576">
          <cell r="A576">
            <v>158</v>
          </cell>
        </row>
        <row r="577">
          <cell r="A577">
            <v>159</v>
          </cell>
        </row>
        <row r="578">
          <cell r="A578">
            <v>160</v>
          </cell>
        </row>
        <row r="579">
          <cell r="A579">
            <v>161</v>
          </cell>
        </row>
        <row r="580">
          <cell r="A580">
            <v>162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M (3)"/>
    </sheetNames>
    <sheetDataSet>
      <sheetData sheetId="0">
        <row r="4">
          <cell r="E4" t="str">
            <v>28251-KEV-9000-00</v>
          </cell>
          <cell r="F4" t="str">
            <v>ATSUMITEC</v>
          </cell>
        </row>
        <row r="5">
          <cell r="E5" t="str">
            <v>26211-23F00</v>
          </cell>
          <cell r="F5" t="str">
            <v>ATSUMITEC</v>
          </cell>
        </row>
        <row r="6">
          <cell r="E6" t="str">
            <v>26211-16H00</v>
          </cell>
          <cell r="F6" t="str">
            <v>ATSUMITEC</v>
          </cell>
        </row>
        <row r="7">
          <cell r="E7" t="str">
            <v>13066-0015A</v>
          </cell>
          <cell r="F7" t="str">
            <v>ATSUMITEC</v>
          </cell>
        </row>
        <row r="8">
          <cell r="E8" t="str">
            <v>5YP-E5661-00</v>
          </cell>
          <cell r="F8" t="str">
            <v>ATSUMITEC</v>
          </cell>
        </row>
        <row r="9">
          <cell r="E9" t="str">
            <v>28251-KWB-6000</v>
          </cell>
          <cell r="F9" t="str">
            <v>ATSUMITEC</v>
          </cell>
        </row>
        <row r="10">
          <cell r="E10" t="str">
            <v>28251-KPH-9000</v>
          </cell>
          <cell r="F10" t="str">
            <v>ATSUMITEC</v>
          </cell>
        </row>
        <row r="11">
          <cell r="E11" t="str">
            <v>28251-K1M-T000</v>
          </cell>
          <cell r="F11" t="str">
            <v>ATSUMITEC</v>
          </cell>
        </row>
        <row r="12">
          <cell r="E12" t="str">
            <v>TG028993-515C</v>
          </cell>
          <cell r="F12" t="str">
            <v>DNTH</v>
          </cell>
        </row>
        <row r="13">
          <cell r="E13" t="str">
            <v>TG028993-510C</v>
          </cell>
          <cell r="F13" t="str">
            <v>DNTH</v>
          </cell>
        </row>
        <row r="14">
          <cell r="E14" t="str">
            <v>TG028993-506A</v>
          </cell>
          <cell r="F14" t="str">
            <v>DNTH</v>
          </cell>
        </row>
        <row r="15">
          <cell r="E15" t="str">
            <v>TG028993-503B</v>
          </cell>
          <cell r="F15" t="str">
            <v>DNTH</v>
          </cell>
        </row>
        <row r="16">
          <cell r="E16" t="str">
            <v>TG028993-521B</v>
          </cell>
          <cell r="F16" t="str">
            <v>DNTH</v>
          </cell>
        </row>
        <row r="17">
          <cell r="E17" t="str">
            <v>TG028993-557B</v>
          </cell>
          <cell r="F17" t="str">
            <v>DNTH</v>
          </cell>
        </row>
        <row r="18">
          <cell r="E18" t="str">
            <v>TG028993-540B</v>
          </cell>
          <cell r="F18" t="str">
            <v>DNTH</v>
          </cell>
        </row>
        <row r="19">
          <cell r="E19" t="str">
            <v>TG028993-6640</v>
          </cell>
          <cell r="F19" t="str">
            <v>DNTH</v>
          </cell>
        </row>
        <row r="20">
          <cell r="E20" t="str">
            <v>TG028993-501A</v>
          </cell>
          <cell r="F20" t="str">
            <v>DNTH</v>
          </cell>
        </row>
        <row r="21">
          <cell r="E21" t="str">
            <v>TG028993-520A</v>
          </cell>
          <cell r="F21" t="str">
            <v>DNTH</v>
          </cell>
        </row>
        <row r="22">
          <cell r="E22" t="str">
            <v>TG028993-525A</v>
          </cell>
          <cell r="F22" t="str">
            <v>DNTH</v>
          </cell>
        </row>
        <row r="23">
          <cell r="E23" t="str">
            <v>TG028993-533A</v>
          </cell>
          <cell r="F23" t="str">
            <v>DNTH</v>
          </cell>
        </row>
        <row r="24">
          <cell r="E24" t="str">
            <v>TG028993-553A</v>
          </cell>
          <cell r="F24" t="str">
            <v>DNTH</v>
          </cell>
        </row>
        <row r="25">
          <cell r="E25" t="str">
            <v>TG028993-546A</v>
          </cell>
          <cell r="F25" t="str">
            <v>DNTH</v>
          </cell>
        </row>
        <row r="26">
          <cell r="E26" t="str">
            <v>TG028993-548A</v>
          </cell>
          <cell r="F26" t="str">
            <v>DNTH</v>
          </cell>
        </row>
        <row r="27">
          <cell r="E27" t="str">
            <v>TG028993-578A</v>
          </cell>
          <cell r="F27" t="str">
            <v>DNTH</v>
          </cell>
        </row>
        <row r="28">
          <cell r="E28" t="str">
            <v>TG028993-585A</v>
          </cell>
          <cell r="F28" t="str">
            <v>DNTH</v>
          </cell>
        </row>
        <row r="29">
          <cell r="E29" t="str">
            <v>TG028993-590A</v>
          </cell>
          <cell r="F29" t="str">
            <v>DNTH</v>
          </cell>
        </row>
        <row r="30">
          <cell r="E30" t="str">
            <v>TG028382-502C</v>
          </cell>
          <cell r="F30" t="str">
            <v>DNTH</v>
          </cell>
        </row>
        <row r="31">
          <cell r="E31" t="str">
            <v>TG028382-503C</v>
          </cell>
          <cell r="F31" t="str">
            <v>DNTH</v>
          </cell>
        </row>
        <row r="32">
          <cell r="E32" t="str">
            <v>TG028993-524C</v>
          </cell>
          <cell r="F32" t="str">
            <v>DNTH</v>
          </cell>
        </row>
        <row r="33">
          <cell r="E33" t="str">
            <v>TG028993-581C</v>
          </cell>
          <cell r="F33" t="str">
            <v>DNTH</v>
          </cell>
        </row>
        <row r="34">
          <cell r="E34" t="str">
            <v>TG028993-583C</v>
          </cell>
          <cell r="F34" t="str">
            <v>DNTH</v>
          </cell>
        </row>
        <row r="35">
          <cell r="E35" t="str">
            <v>TG028993-594C</v>
          </cell>
          <cell r="F35" t="str">
            <v>DNTH</v>
          </cell>
        </row>
        <row r="36">
          <cell r="E36" t="str">
            <v>TG028993-587C</v>
          </cell>
          <cell r="F36" t="str">
            <v>DNTH</v>
          </cell>
        </row>
        <row r="37">
          <cell r="E37" t="str">
            <v>TG028993-608C</v>
          </cell>
          <cell r="F37" t="str">
            <v>DNTH</v>
          </cell>
        </row>
        <row r="38">
          <cell r="E38" t="str">
            <v>TG028993-576C</v>
          </cell>
          <cell r="F38" t="str">
            <v>DNTH</v>
          </cell>
        </row>
        <row r="39">
          <cell r="E39" t="str">
            <v>TG028993-6630</v>
          </cell>
          <cell r="F39" t="str">
            <v>DNTH</v>
          </cell>
        </row>
        <row r="40">
          <cell r="E40" t="str">
            <v>TG028993-6160</v>
          </cell>
          <cell r="F40" t="str">
            <v>DNTH</v>
          </cell>
        </row>
        <row r="41">
          <cell r="E41" t="str">
            <v>TG028993-0310</v>
          </cell>
          <cell r="F41" t="str">
            <v>DNTH</v>
          </cell>
        </row>
        <row r="42">
          <cell r="E42" t="str">
            <v>TGY28987-0120</v>
          </cell>
          <cell r="F42" t="str">
            <v>DNTH</v>
          </cell>
        </row>
        <row r="43">
          <cell r="E43" t="str">
            <v>TGY28987-0070</v>
          </cell>
          <cell r="F43" t="str">
            <v>DNTH</v>
          </cell>
        </row>
        <row r="44">
          <cell r="E44" t="str">
            <v>TGY28987-0030</v>
          </cell>
          <cell r="F44" t="str">
            <v>DNTH</v>
          </cell>
        </row>
        <row r="45">
          <cell r="E45" t="str">
            <v>TGY28987-0060</v>
          </cell>
          <cell r="F45" t="str">
            <v>DNTH</v>
          </cell>
        </row>
        <row r="46">
          <cell r="E46" t="str">
            <v>TG028987-7870</v>
          </cell>
          <cell r="F46" t="str">
            <v>DNTH</v>
          </cell>
        </row>
        <row r="47">
          <cell r="E47" t="str">
            <v>TG028383-0090</v>
          </cell>
          <cell r="F47" t="str">
            <v>DNTH</v>
          </cell>
        </row>
        <row r="48">
          <cell r="E48" t="str">
            <v>TG028383-0040</v>
          </cell>
          <cell r="F48" t="str">
            <v>DNTH</v>
          </cell>
        </row>
        <row r="49">
          <cell r="E49" t="str">
            <v>TGY28383-0020</v>
          </cell>
          <cell r="F49" t="str">
            <v>DNTH</v>
          </cell>
        </row>
        <row r="50">
          <cell r="E50" t="str">
            <v>TG028383-0420</v>
          </cell>
          <cell r="F50" t="str">
            <v>DNTH</v>
          </cell>
        </row>
        <row r="51">
          <cell r="E51" t="str">
            <v>510-30116-20</v>
          </cell>
          <cell r="F51" t="str">
            <v>Astemo (Thailand)</v>
          </cell>
        </row>
        <row r="52">
          <cell r="E52" t="str">
            <v>510-30133-020</v>
          </cell>
          <cell r="F52" t="str">
            <v>Astemo (Thailand)</v>
          </cell>
        </row>
        <row r="53">
          <cell r="E53" t="str">
            <v>RACK (510-30149-020)</v>
          </cell>
          <cell r="F53" t="str">
            <v>Astemo (Thailand)</v>
          </cell>
        </row>
        <row r="54">
          <cell r="E54" t="str">
            <v>JGD10-000751/000761-A</v>
          </cell>
          <cell r="F54" t="str">
            <v>JCTTH</v>
          </cell>
        </row>
        <row r="55">
          <cell r="E55" t="str">
            <v>JGD10-B5031</v>
          </cell>
          <cell r="F55" t="str">
            <v>JCTTH</v>
          </cell>
        </row>
        <row r="56">
          <cell r="E56" t="str">
            <v>2-30JG-0711</v>
          </cell>
          <cell r="F56" t="str">
            <v>JCTTH</v>
          </cell>
        </row>
        <row r="57">
          <cell r="E57" t="str">
            <v>4426Q-2A272</v>
          </cell>
          <cell r="F57" t="str">
            <v>JCTTH</v>
          </cell>
        </row>
        <row r="58">
          <cell r="E58" t="str">
            <v>4426Q - 0A272</v>
          </cell>
          <cell r="F58" t="str">
            <v>JCTTH</v>
          </cell>
        </row>
        <row r="59">
          <cell r="E59" t="str">
            <v>JGD10-BA0101-C</v>
          </cell>
          <cell r="F59" t="str">
            <v>JCTTH</v>
          </cell>
        </row>
        <row r="60">
          <cell r="E60" t="str">
            <v>JGC10-000060-B</v>
          </cell>
          <cell r="F60" t="str">
            <v>JTCS</v>
          </cell>
        </row>
        <row r="61">
          <cell r="E61" t="str">
            <v>JGC10-003230-40-0</v>
          </cell>
          <cell r="F61" t="str">
            <v>JTCS</v>
          </cell>
        </row>
        <row r="62">
          <cell r="E62" t="str">
            <v>C10S07900</v>
          </cell>
          <cell r="F62" t="str">
            <v>JTCS</v>
          </cell>
        </row>
        <row r="63">
          <cell r="E63" t="str">
            <v>JGC10S001910-A</v>
          </cell>
          <cell r="F63" t="str">
            <v>JTCS</v>
          </cell>
        </row>
        <row r="64">
          <cell r="E64" t="str">
            <v>C10S05000-0</v>
          </cell>
          <cell r="F64" t="str">
            <v>JTCS</v>
          </cell>
        </row>
        <row r="65">
          <cell r="E65" t="str">
            <v>JGC10-000660-A</v>
          </cell>
          <cell r="F65" t="str">
            <v>JTCS</v>
          </cell>
        </row>
        <row r="66">
          <cell r="E66" t="str">
            <v>JGC10-003350-40-1</v>
          </cell>
          <cell r="F66" t="str">
            <v>JTCS</v>
          </cell>
        </row>
        <row r="67">
          <cell r="E67" t="str">
            <v>JGC10-003660-40-0</v>
          </cell>
          <cell r="F67" t="str">
            <v>JTCS</v>
          </cell>
        </row>
        <row r="68">
          <cell r="E68" t="str">
            <v>JGC10S002020-B</v>
          </cell>
          <cell r="F68" t="str">
            <v>JTCS</v>
          </cell>
        </row>
        <row r="69">
          <cell r="E69" t="str">
            <v>C10S02500</v>
          </cell>
          <cell r="F69" t="str">
            <v>JTCS</v>
          </cell>
        </row>
        <row r="70">
          <cell r="E70" t="str">
            <v>JGD10S000800-B</v>
          </cell>
          <cell r="F70" t="str">
            <v>JTCS</v>
          </cell>
        </row>
        <row r="71">
          <cell r="E71" t="str">
            <v>JGD10-001260-40-1</v>
          </cell>
          <cell r="F71" t="str">
            <v>JTCS</v>
          </cell>
        </row>
        <row r="72">
          <cell r="E72" t="str">
            <v>JGD10-001230-40-0</v>
          </cell>
          <cell r="F72" t="str">
            <v>JTCS</v>
          </cell>
        </row>
        <row r="73">
          <cell r="E73" t="str">
            <v>JGD10SRS00H-A</v>
          </cell>
          <cell r="F73" t="str">
            <v>JTCS</v>
          </cell>
        </row>
        <row r="74">
          <cell r="E74" t="str">
            <v>JGC10S002190A</v>
          </cell>
          <cell r="F74" t="str">
            <v>JTCS</v>
          </cell>
        </row>
        <row r="75">
          <cell r="E75" t="str">
            <v>C10-05800-0</v>
          </cell>
          <cell r="F75" t="str">
            <v>JTCS</v>
          </cell>
        </row>
        <row r="76">
          <cell r="E76" t="str">
            <v>JGC10S001620</v>
          </cell>
          <cell r="F76" t="str">
            <v>JTCS</v>
          </cell>
        </row>
        <row r="77">
          <cell r="E77" t="str">
            <v>C10-05700-0</v>
          </cell>
          <cell r="F77" t="str">
            <v>JTCS</v>
          </cell>
        </row>
        <row r="78">
          <cell r="E78" t="str">
            <v>JGC10-001180-S</v>
          </cell>
          <cell r="F78" t="str">
            <v>JTCS</v>
          </cell>
        </row>
        <row r="79">
          <cell r="E79" t="str">
            <v>JGC10-0011-90-S</v>
          </cell>
          <cell r="F79" t="str">
            <v>JTCS</v>
          </cell>
        </row>
        <row r="80">
          <cell r="E80" t="str">
            <v>JGC10-003280-40-0</v>
          </cell>
          <cell r="F80" t="str">
            <v>JTCS</v>
          </cell>
        </row>
        <row r="81">
          <cell r="E81" t="str">
            <v>JGC10-003770-40-0</v>
          </cell>
          <cell r="F81" t="str">
            <v>JTCS</v>
          </cell>
        </row>
        <row r="82">
          <cell r="E82" t="str">
            <v>JGC10S001970-A</v>
          </cell>
          <cell r="F82" t="str">
            <v>JTCS</v>
          </cell>
        </row>
        <row r="83">
          <cell r="E83" t="str">
            <v>JGC10-003140-40-0</v>
          </cell>
          <cell r="F83" t="str">
            <v>JTCS</v>
          </cell>
        </row>
        <row r="84">
          <cell r="E84" t="str">
            <v>C10S028000</v>
          </cell>
          <cell r="F84" t="str">
            <v>JTCS</v>
          </cell>
        </row>
        <row r="85">
          <cell r="E85" t="str">
            <v>JGC10-003040-40-0</v>
          </cell>
          <cell r="F85" t="str">
            <v>JTCS</v>
          </cell>
        </row>
        <row r="86">
          <cell r="E86" t="str">
            <v>JGC10-003050-40-0</v>
          </cell>
          <cell r="F86" t="str">
            <v>JTCS</v>
          </cell>
        </row>
        <row r="87">
          <cell r="E87" t="str">
            <v>JGD10-000520-B</v>
          </cell>
          <cell r="F87" t="str">
            <v>JTCS</v>
          </cell>
        </row>
        <row r="88">
          <cell r="E88" t="str">
            <v>JGD10-001150-40-1</v>
          </cell>
          <cell r="F88" t="str">
            <v>JTCS</v>
          </cell>
        </row>
        <row r="89">
          <cell r="E89" t="str">
            <v>JGD10-RS00LR-A</v>
          </cell>
          <cell r="F89" t="str">
            <v>JTCS</v>
          </cell>
        </row>
        <row r="90">
          <cell r="E90" t="str">
            <v>JGC10-000440-S</v>
          </cell>
          <cell r="F90" t="str">
            <v>JTCS</v>
          </cell>
        </row>
        <row r="91">
          <cell r="E91" t="str">
            <v>D10S19700-0</v>
          </cell>
          <cell r="F91" t="str">
            <v>JTCS</v>
          </cell>
        </row>
        <row r="92">
          <cell r="E92" t="str">
            <v>JGD10S00670-B</v>
          </cell>
          <cell r="F92" t="str">
            <v>JTCS</v>
          </cell>
        </row>
        <row r="93">
          <cell r="E93" t="str">
            <v>JGC30S002270-A</v>
          </cell>
          <cell r="F93" t="str">
            <v>JTCS</v>
          </cell>
        </row>
        <row r="94">
          <cell r="E94" t="str">
            <v>JGC30-001160-S</v>
          </cell>
          <cell r="F94" t="str">
            <v>JTCS</v>
          </cell>
        </row>
        <row r="95">
          <cell r="E95" t="str">
            <v>JGC30S001141-A</v>
          </cell>
          <cell r="F95" t="str">
            <v>JTCS</v>
          </cell>
        </row>
        <row r="96">
          <cell r="E96" t="str">
            <v>JGC30S001130-S</v>
          </cell>
          <cell r="F96" t="str">
            <v>JTCS</v>
          </cell>
        </row>
        <row r="97">
          <cell r="E97" t="str">
            <v>JGC30S001850</v>
          </cell>
          <cell r="F97" t="str">
            <v>JTCS</v>
          </cell>
        </row>
        <row r="98">
          <cell r="F98" t="str">
            <v>JTCS</v>
          </cell>
        </row>
        <row r="99">
          <cell r="E99" t="str">
            <v>JGD10S000830-51-0</v>
          </cell>
          <cell r="F99" t="str">
            <v>JAMY</v>
          </cell>
        </row>
        <row r="100">
          <cell r="E100" t="str">
            <v>JGC10-M09008-51-0</v>
          </cell>
          <cell r="F100" t="str">
            <v>JAMY</v>
          </cell>
        </row>
        <row r="101">
          <cell r="E101" t="str">
            <v>JGC10-003620-51-0</v>
          </cell>
          <cell r="F101" t="str">
            <v>JAMY</v>
          </cell>
        </row>
        <row r="102">
          <cell r="E102" t="str">
            <v>JGF02-002190-31-2</v>
          </cell>
          <cell r="F102" t="str">
            <v>JATH</v>
          </cell>
        </row>
        <row r="103">
          <cell r="E103" t="str">
            <v>JGF02-002060-31-3</v>
          </cell>
          <cell r="F103" t="str">
            <v>JATH</v>
          </cell>
        </row>
        <row r="104">
          <cell r="E104" t="str">
            <v>JGF02-002060-32-0</v>
          </cell>
          <cell r="F104" t="str">
            <v>JATH (งานแก้ไข)</v>
          </cell>
        </row>
        <row r="105">
          <cell r="E105" t="str">
            <v>JGF02-002190-32-0</v>
          </cell>
          <cell r="F105" t="str">
            <v>JATH (งานแก้ไข)</v>
          </cell>
        </row>
        <row r="106">
          <cell r="E106" t="str">
            <v>48711-OK020P</v>
          </cell>
          <cell r="F106" t="str">
            <v>YOROZU</v>
          </cell>
        </row>
        <row r="107">
          <cell r="E107" t="str">
            <v>90-6500-4345-001</v>
          </cell>
          <cell r="F107" t="str">
            <v>AKEBONO</v>
          </cell>
        </row>
        <row r="108">
          <cell r="E108" t="str">
            <v>S51-S5106-57130-02</v>
          </cell>
          <cell r="F108" t="str">
            <v>AKEBONO</v>
          </cell>
        </row>
        <row r="109">
          <cell r="E109" t="str">
            <v>51-A5767-57130-00</v>
          </cell>
          <cell r="F109" t="str">
            <v>AKEBONO</v>
          </cell>
        </row>
        <row r="110">
          <cell r="E110" t="str">
            <v>16171-05030</v>
          </cell>
          <cell r="F110" t="str">
            <v>ATAC</v>
          </cell>
        </row>
        <row r="111">
          <cell r="E111" t="str">
            <v>213161-17170</v>
          </cell>
          <cell r="F111" t="str">
            <v>ATAC</v>
          </cell>
        </row>
        <row r="112">
          <cell r="E112" t="str">
            <v>13426-KGHA-9000-H1</v>
          </cell>
          <cell r="F112" t="str">
            <v>ATSUMITEC</v>
          </cell>
        </row>
        <row r="113">
          <cell r="E113" t="str">
            <v>TG053661-7151</v>
          </cell>
          <cell r="F113" t="str">
            <v>DNTH</v>
          </cell>
        </row>
        <row r="114">
          <cell r="E114" t="str">
            <v>TG053661-7201</v>
          </cell>
          <cell r="F114" t="str">
            <v>DNTH</v>
          </cell>
        </row>
        <row r="115">
          <cell r="E115" t="str">
            <v>TG 028353 - 5450</v>
          </cell>
          <cell r="F115" t="str">
            <v>DNTH</v>
          </cell>
        </row>
        <row r="116">
          <cell r="E116" t="str">
            <v>TG028993-513B</v>
          </cell>
          <cell r="F116" t="str">
            <v>DNTH</v>
          </cell>
        </row>
        <row r="117">
          <cell r="E117" t="str">
            <v>TG 028351 - 5220</v>
          </cell>
          <cell r="F117" t="str">
            <v>DNTH</v>
          </cell>
        </row>
        <row r="118">
          <cell r="E118" t="str">
            <v>TGY38713-0041</v>
          </cell>
          <cell r="F118" t="str">
            <v>DNTH</v>
          </cell>
        </row>
        <row r="119">
          <cell r="E119" t="str">
            <v xml:space="preserve">TGY38713-0062 </v>
          </cell>
          <cell r="F119" t="str">
            <v>DNTH</v>
          </cell>
        </row>
        <row r="120">
          <cell r="E120" t="str">
            <v xml:space="preserve">TGY38713-0101 </v>
          </cell>
          <cell r="F120" t="str">
            <v>DNTH</v>
          </cell>
        </row>
        <row r="121">
          <cell r="E121" t="str">
            <v>TG028986-0121</v>
          </cell>
          <cell r="F121" t="str">
            <v>DNTH</v>
          </cell>
        </row>
        <row r="122">
          <cell r="E122" t="str">
            <v xml:space="preserve">TGY38713-0071 </v>
          </cell>
          <cell r="F122" t="str">
            <v>DNTH</v>
          </cell>
        </row>
        <row r="123">
          <cell r="E123" t="str">
            <v>TGY38713-3250</v>
          </cell>
          <cell r="F123" t="str">
            <v>DNTH</v>
          </cell>
        </row>
        <row r="124">
          <cell r="E124" t="str">
            <v xml:space="preserve">TGY38713-0142 </v>
          </cell>
          <cell r="F124" t="str">
            <v>DNTH</v>
          </cell>
        </row>
        <row r="125">
          <cell r="E125" t="str">
            <v xml:space="preserve">TGY38713-3211 </v>
          </cell>
          <cell r="F125" t="str">
            <v>DNTH</v>
          </cell>
        </row>
        <row r="126">
          <cell r="E126" t="str">
            <v>TGY38713-3301</v>
          </cell>
          <cell r="F126" t="str">
            <v>DNTH</v>
          </cell>
        </row>
        <row r="127">
          <cell r="E127" t="str">
            <v>TGY38713-0161</v>
          </cell>
          <cell r="F127" t="str">
            <v>DNTH</v>
          </cell>
        </row>
        <row r="128">
          <cell r="E128" t="str">
            <v>TGY38713-3311</v>
          </cell>
          <cell r="F128" t="str">
            <v>DNTH</v>
          </cell>
        </row>
        <row r="129">
          <cell r="E129" t="str">
            <v>TG995507-0011</v>
          </cell>
          <cell r="F129" t="str">
            <v>DNTH</v>
          </cell>
        </row>
        <row r="130">
          <cell r="E130" t="str">
            <v>TG028986-0060</v>
          </cell>
          <cell r="F130" t="str">
            <v xml:space="preserve">DNTH </v>
          </cell>
        </row>
        <row r="131">
          <cell r="E131" t="str">
            <v>TG028986-0030</v>
          </cell>
          <cell r="F131" t="str">
            <v xml:space="preserve">DNTH </v>
          </cell>
        </row>
        <row r="132">
          <cell r="E132" t="str">
            <v>TG028986-0050</v>
          </cell>
          <cell r="F132" t="str">
            <v>DNTH</v>
          </cell>
        </row>
        <row r="133">
          <cell r="E133" t="str">
            <v>TG028986-0080</v>
          </cell>
          <cell r="F133" t="str">
            <v>DNTH</v>
          </cell>
        </row>
        <row r="134">
          <cell r="E134" t="str">
            <v>TG028986-0130</v>
          </cell>
          <cell r="F134" t="str">
            <v>DNTH</v>
          </cell>
        </row>
        <row r="135">
          <cell r="E135" t="str">
            <v>TGY95065-0010</v>
          </cell>
          <cell r="F135" t="str">
            <v>DNTH</v>
          </cell>
        </row>
        <row r="136">
          <cell r="E136" t="str">
            <v>TG028211-6190</v>
          </cell>
          <cell r="F136" t="str">
            <v>DNTH</v>
          </cell>
        </row>
        <row r="137">
          <cell r="E137" t="str">
            <v>TG028993-0300</v>
          </cell>
          <cell r="F137" t="str">
            <v>DNTH</v>
          </cell>
        </row>
        <row r="138">
          <cell r="E138" t="str">
            <v>TGY95086-0010</v>
          </cell>
          <cell r="F138" t="str">
            <v>DNTH</v>
          </cell>
        </row>
        <row r="139">
          <cell r="E139" t="str">
            <v>TGY95086-0020</v>
          </cell>
          <cell r="F139" t="str">
            <v>DNTH</v>
          </cell>
        </row>
        <row r="140">
          <cell r="E140" t="str">
            <v>TGY95601-0010</v>
          </cell>
          <cell r="F140" t="str">
            <v>DNTH</v>
          </cell>
        </row>
        <row r="141">
          <cell r="E141" t="str">
            <v>TGY95613-0020</v>
          </cell>
          <cell r="F141" t="str">
            <v>DNTH</v>
          </cell>
        </row>
        <row r="142">
          <cell r="E142" t="str">
            <v>TGY95613-0011</v>
          </cell>
          <cell r="F142" t="str">
            <v>DNTH</v>
          </cell>
        </row>
        <row r="143">
          <cell r="E143" t="str">
            <v>TGY95621-0010</v>
          </cell>
          <cell r="F143" t="str">
            <v>DNTH</v>
          </cell>
        </row>
        <row r="144">
          <cell r="E144" t="str">
            <v>TGY94159-0010</v>
          </cell>
          <cell r="F144" t="str">
            <v>DNTH</v>
          </cell>
        </row>
        <row r="145">
          <cell r="E145" t="str">
            <v>TGY94259-0012</v>
          </cell>
          <cell r="F145" t="str">
            <v>DNTH</v>
          </cell>
        </row>
        <row r="146">
          <cell r="E146" t="str">
            <v>TGY94265-0010</v>
          </cell>
          <cell r="F146" t="str">
            <v>DNTH</v>
          </cell>
        </row>
        <row r="147">
          <cell r="E147" t="str">
            <v>TG028152-5180</v>
          </cell>
          <cell r="F147" t="str">
            <v>DNTH</v>
          </cell>
        </row>
        <row r="148">
          <cell r="E148" t="str">
            <v>TG028152-5190</v>
          </cell>
          <cell r="F148" t="str">
            <v>DNTH</v>
          </cell>
        </row>
        <row r="149">
          <cell r="E149" t="str">
            <v>TG028152-5520</v>
          </cell>
          <cell r="F149" t="str">
            <v>DNTH</v>
          </cell>
        </row>
        <row r="150">
          <cell r="E150" t="str">
            <v>TG028152-5230</v>
          </cell>
          <cell r="F150" t="str">
            <v>DNTH</v>
          </cell>
        </row>
        <row r="151">
          <cell r="E151" t="str">
            <v>TG028152-5240</v>
          </cell>
          <cell r="F151" t="str">
            <v>DNTH</v>
          </cell>
        </row>
        <row r="152">
          <cell r="E152" t="str">
            <v>TG028152-5250</v>
          </cell>
          <cell r="F152" t="str">
            <v>DNTH</v>
          </cell>
        </row>
        <row r="153">
          <cell r="E153" t="str">
            <v>TG028152-5330</v>
          </cell>
          <cell r="F153" t="str">
            <v>DNTH</v>
          </cell>
        </row>
        <row r="154">
          <cell r="E154" t="str">
            <v>-</v>
          </cell>
          <cell r="F154" t="str">
            <v>FORTUNE</v>
          </cell>
        </row>
        <row r="155">
          <cell r="E155" t="str">
            <v>26211-45H00</v>
          </cell>
          <cell r="F155" t="str">
            <v>IHARA</v>
          </cell>
        </row>
        <row r="156">
          <cell r="E156" t="str">
            <v>PU406222Y</v>
          </cell>
          <cell r="F156" t="str">
            <v>101 Supply(JTC Bearing)</v>
          </cell>
        </row>
        <row r="157">
          <cell r="E157" t="str">
            <v>PU406222Y</v>
          </cell>
          <cell r="F157" t="str">
            <v>JTC (BEARING)</v>
          </cell>
        </row>
        <row r="158">
          <cell r="E158" t="str">
            <v>36MMSPACER</v>
          </cell>
          <cell r="F158" t="str">
            <v>JTC (BEARING)</v>
          </cell>
        </row>
        <row r="159">
          <cell r="E159" t="str">
            <v>C35-12901-0</v>
          </cell>
          <cell r="F159" t="str">
            <v>KONSEI</v>
          </cell>
        </row>
        <row r="160">
          <cell r="E160" t="str">
            <v>141411-54050</v>
          </cell>
          <cell r="F160" t="str">
            <v>KONSEI</v>
          </cell>
        </row>
        <row r="161">
          <cell r="E161" t="str">
            <v>141411-57060</v>
          </cell>
          <cell r="F161" t="str">
            <v>KONSEI</v>
          </cell>
        </row>
        <row r="162">
          <cell r="E162" t="str">
            <v>141411-63050-A</v>
          </cell>
          <cell r="F162" t="str">
            <v>KONSEI</v>
          </cell>
        </row>
        <row r="163">
          <cell r="E163" t="str">
            <v>141411-60070</v>
          </cell>
          <cell r="F163" t="str">
            <v>KONSEI</v>
          </cell>
        </row>
        <row r="164">
          <cell r="E164" t="str">
            <v>141411-38060-B</v>
          </cell>
          <cell r="F164" t="str">
            <v>KONSEI</v>
          </cell>
        </row>
        <row r="165">
          <cell r="E165" t="str">
            <v>214341-10510</v>
          </cell>
          <cell r="F165" t="str">
            <v>KONSEI</v>
          </cell>
        </row>
        <row r="166">
          <cell r="E166" t="str">
            <v>214341-10480</v>
          </cell>
          <cell r="F166" t="str">
            <v>KONSEI</v>
          </cell>
        </row>
        <row r="167">
          <cell r="E167" t="str">
            <v>214341-10210</v>
          </cell>
          <cell r="F167" t="str">
            <v>KONSEI</v>
          </cell>
        </row>
        <row r="168">
          <cell r="E168" t="str">
            <v>141411-60140-20</v>
          </cell>
          <cell r="F168" t="str">
            <v>KONSEI</v>
          </cell>
        </row>
        <row r="169">
          <cell r="E169" t="str">
            <v>141411-60180</v>
          </cell>
          <cell r="F169" t="str">
            <v>KONSEI</v>
          </cell>
        </row>
        <row r="170">
          <cell r="F170" t="str">
            <v xml:space="preserve">KONSEI </v>
          </cell>
        </row>
        <row r="171">
          <cell r="E171" t="str">
            <v>JGC60-000320-C</v>
          </cell>
          <cell r="F171" t="str">
            <v>KONSEI (JTC Steering)</v>
          </cell>
        </row>
        <row r="172">
          <cell r="E172" t="str">
            <v>323141-56030</v>
          </cell>
          <cell r="F172" t="str">
            <v>KONSIE(AISIN)</v>
          </cell>
        </row>
        <row r="173">
          <cell r="E173" t="str">
            <v>HIS18-ZZ-014CCF</v>
          </cell>
          <cell r="F173" t="str">
            <v>KYOWA GMB</v>
          </cell>
        </row>
        <row r="174">
          <cell r="E174" t="str">
            <v>K38114226</v>
          </cell>
          <cell r="F174" t="str">
            <v>KYOWA GMB</v>
          </cell>
        </row>
        <row r="175">
          <cell r="E175" t="str">
            <v>A-6465</v>
          </cell>
          <cell r="F175" t="str">
            <v>THAI GMB</v>
          </cell>
        </row>
        <row r="176">
          <cell r="E176" t="str">
            <v>A-1289</v>
          </cell>
          <cell r="F176" t="str">
            <v>THAI GMB</v>
          </cell>
        </row>
        <row r="177">
          <cell r="E177" t="str">
            <v>A-6860X</v>
          </cell>
          <cell r="F177" t="str">
            <v>THAI GMB</v>
          </cell>
        </row>
        <row r="178">
          <cell r="E178" t="str">
            <v>SM294173-0020</v>
          </cell>
          <cell r="F178" t="str">
            <v>SDM</v>
          </cell>
        </row>
        <row r="179">
          <cell r="E179" t="str">
            <v>SM294173-0030</v>
          </cell>
          <cell r="F179" t="str">
            <v>SDM</v>
          </cell>
        </row>
        <row r="180">
          <cell r="E180" t="str">
            <v xml:space="preserve">HX4431181L </v>
          </cell>
          <cell r="F180" t="str">
            <v>(Astemo)AS-TC</v>
          </cell>
        </row>
        <row r="181">
          <cell r="E181" t="str">
            <v xml:space="preserve">HX4431681L </v>
          </cell>
          <cell r="F181" t="str">
            <v>(Astemo)AS-TC</v>
          </cell>
        </row>
        <row r="182">
          <cell r="E182" t="str">
            <v>HX4431652L</v>
          </cell>
          <cell r="F182" t="str">
            <v>(Astemo)AS-TC</v>
          </cell>
        </row>
        <row r="183">
          <cell r="E183" t="str">
            <v>8A10524</v>
          </cell>
          <cell r="F183" t="str">
            <v>(Astemo)AS-TK</v>
          </cell>
        </row>
        <row r="184">
          <cell r="E184" t="str">
            <v>MAOK-54310</v>
          </cell>
          <cell r="F184" t="str">
            <v>M&amp;T</v>
          </cell>
        </row>
        <row r="185">
          <cell r="E185" t="str">
            <v>MAOK-54187</v>
          </cell>
          <cell r="F185" t="str">
            <v>M&amp;T</v>
          </cell>
        </row>
        <row r="186">
          <cell r="E186" t="str">
            <v>2550S0647P</v>
          </cell>
          <cell r="F186" t="str">
            <v>SIAM NSK</v>
          </cell>
        </row>
        <row r="187">
          <cell r="E187" t="str">
            <v>2550S0572P</v>
          </cell>
          <cell r="F187" t="str">
            <v>SIAM NSK</v>
          </cell>
        </row>
        <row r="188">
          <cell r="E188" t="str">
            <v>2550S0666P</v>
          </cell>
          <cell r="F188" t="str">
            <v>SIAM NSK</v>
          </cell>
        </row>
        <row r="189">
          <cell r="E189" t="str">
            <v>2550S0666P</v>
          </cell>
          <cell r="F189" t="str">
            <v>SIAM NSK</v>
          </cell>
        </row>
        <row r="190">
          <cell r="E190" t="str">
            <v>2550S0553P</v>
          </cell>
          <cell r="F190" t="str">
            <v>SIAM NSK</v>
          </cell>
        </row>
        <row r="191">
          <cell r="E191" t="str">
            <v>2550S0593P</v>
          </cell>
          <cell r="F191" t="str">
            <v>SIAM NSK</v>
          </cell>
        </row>
        <row r="192">
          <cell r="E192" t="str">
            <v>2550S0618P</v>
          </cell>
          <cell r="F192" t="str">
            <v>SIAM NSK</v>
          </cell>
        </row>
        <row r="193">
          <cell r="E193" t="str">
            <v>2550S0661P</v>
          </cell>
          <cell r="F193" t="str">
            <v>SIAM NSK</v>
          </cell>
        </row>
        <row r="194">
          <cell r="E194" t="str">
            <v>2550T0749P</v>
          </cell>
          <cell r="F194" t="str">
            <v>SIAM NSK</v>
          </cell>
        </row>
        <row r="195">
          <cell r="E195" t="str">
            <v>2530S0610P</v>
          </cell>
          <cell r="F195" t="str">
            <v>SIAM NSK</v>
          </cell>
        </row>
        <row r="196">
          <cell r="E196" t="str">
            <v>2528S0251P</v>
          </cell>
          <cell r="F196" t="str">
            <v>SIAM NSK</v>
          </cell>
        </row>
        <row r="197">
          <cell r="E197" t="str">
            <v>2528S0236P</v>
          </cell>
          <cell r="F197" t="str">
            <v>SIAM NSK</v>
          </cell>
        </row>
        <row r="198">
          <cell r="E198" t="str">
            <v>2530-0569P</v>
          </cell>
          <cell r="F198" t="str">
            <v>SIAM NSK</v>
          </cell>
        </row>
        <row r="199">
          <cell r="E199" t="str">
            <v>2528S0565P</v>
          </cell>
          <cell r="F199" t="str">
            <v>SIAM NSK</v>
          </cell>
        </row>
        <row r="200">
          <cell r="E200" t="str">
            <v>2550S0516P</v>
          </cell>
          <cell r="F200" t="str">
            <v>SIAM NSK</v>
          </cell>
        </row>
        <row r="201">
          <cell r="E201" t="str">
            <v>2590S0328P</v>
          </cell>
          <cell r="F201" t="str">
            <v>SIAM NSK</v>
          </cell>
        </row>
        <row r="202">
          <cell r="E202" t="str">
            <v>2528S0249C</v>
          </cell>
          <cell r="F202" t="str">
            <v>SIAM NSK</v>
          </cell>
        </row>
        <row r="203">
          <cell r="E203" t="str">
            <v>2528S0250C</v>
          </cell>
          <cell r="F203" t="str">
            <v>SIAM NSK</v>
          </cell>
        </row>
        <row r="204">
          <cell r="E204" t="str">
            <v>7521S0377</v>
          </cell>
          <cell r="F204" t="str">
            <v xml:space="preserve">SIAM NSK </v>
          </cell>
        </row>
        <row r="205">
          <cell r="E205" t="str">
            <v>7521T0376</v>
          </cell>
          <cell r="F205" t="str">
            <v>SIAM NSK</v>
          </cell>
        </row>
        <row r="206">
          <cell r="E206" t="str">
            <v>7521S0352</v>
          </cell>
          <cell r="F206" t="str">
            <v>SIAM NSK</v>
          </cell>
        </row>
        <row r="207">
          <cell r="E207" t="str">
            <v>7521S0297</v>
          </cell>
          <cell r="F207" t="str">
            <v>SIAM NSK</v>
          </cell>
        </row>
        <row r="208">
          <cell r="E208" t="str">
            <v>7521S0369</v>
          </cell>
          <cell r="F208" t="str">
            <v>SIAM NSK</v>
          </cell>
        </row>
        <row r="209">
          <cell r="E209" t="str">
            <v>7326S0240N</v>
          </cell>
          <cell r="F209" t="str">
            <v>SIAM NSK</v>
          </cell>
        </row>
        <row r="210">
          <cell r="E210" t="str">
            <v>8306T0036</v>
          </cell>
          <cell r="F210" t="str">
            <v>KYOWA NT</v>
          </cell>
        </row>
        <row r="211">
          <cell r="E211" t="str">
            <v>2ANY000050-0-RM</v>
          </cell>
          <cell r="F211" t="str">
            <v>NEW SOMTHAI</v>
          </cell>
        </row>
        <row r="212">
          <cell r="E212" t="str">
            <v>2AN350020-3M0</v>
          </cell>
          <cell r="F212" t="str">
            <v>NEW SOMTHAI</v>
          </cell>
        </row>
        <row r="213">
          <cell r="E213" t="str">
            <v>HF-000010-5</v>
          </cell>
          <cell r="F213" t="str">
            <v>IHARA</v>
          </cell>
        </row>
        <row r="214">
          <cell r="E214" t="str">
            <v>PC0020TX1</v>
          </cell>
          <cell r="F214" t="str">
            <v>TOSHIMA</v>
          </cell>
        </row>
        <row r="215">
          <cell r="E215" t="str">
            <v>32247-CD70A</v>
          </cell>
          <cell r="F215" t="str">
            <v>YS TECH</v>
          </cell>
        </row>
        <row r="216">
          <cell r="E216" t="str">
            <v>32253-CD70A</v>
          </cell>
          <cell r="F216" t="str">
            <v>YS TECH</v>
          </cell>
        </row>
        <row r="217">
          <cell r="E217" t="str">
            <v>32262-CD70A</v>
          </cell>
          <cell r="F217" t="str">
            <v>YS TECH</v>
          </cell>
        </row>
        <row r="218">
          <cell r="E218" t="str">
            <v>23911-RTX-0000</v>
          </cell>
          <cell r="F218" t="str">
            <v>YS TECH</v>
          </cell>
        </row>
        <row r="219">
          <cell r="E219" t="str">
            <v>23912-RPF-0000</v>
          </cell>
          <cell r="F219" t="str">
            <v>YS TECH</v>
          </cell>
        </row>
        <row r="220">
          <cell r="E220" t="str">
            <v xml:space="preserve">(45211-0K010-01) </v>
          </cell>
          <cell r="F220" t="str">
            <v>YSP</v>
          </cell>
        </row>
        <row r="221">
          <cell r="E221" t="str">
            <v>SHAFT STARTER ARMATURE, 1W</v>
          </cell>
          <cell r="F221" t="str">
            <v>DNTH</v>
          </cell>
        </row>
        <row r="222">
          <cell r="E222" t="str">
            <v>SLUG CONNECTOR FUEL INLET (TGY95065-0010)</v>
          </cell>
          <cell r="F222" t="str">
            <v>DNTH</v>
          </cell>
        </row>
        <row r="223">
          <cell r="E223" t="str">
            <v>RACK BAR BLANK (JGF02-002060-31-3) 58*D</v>
          </cell>
          <cell r="F223" t="str">
            <v>JATH</v>
          </cell>
        </row>
        <row r="224">
          <cell r="E224" t="str">
            <v>RACK BAR BLANK (JGF02-002190-31-2) 5K45</v>
          </cell>
          <cell r="F224" t="str">
            <v>JATH</v>
          </cell>
        </row>
        <row r="225">
          <cell r="E225" t="str">
            <v>2528S0235C</v>
          </cell>
          <cell r="F225" t="str">
            <v>SIAM NSK</v>
          </cell>
        </row>
        <row r="226">
          <cell r="E226"/>
          <cell r="F226"/>
        </row>
        <row r="227">
          <cell r="E227"/>
          <cell r="F227"/>
        </row>
        <row r="228">
          <cell r="E228"/>
          <cell r="F228"/>
        </row>
        <row r="229">
          <cell r="E229"/>
          <cell r="F229"/>
        </row>
        <row r="230">
          <cell r="E230"/>
          <cell r="F23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DC5B-9C57-4AB4-B59E-90109506C77E}">
  <sheetPr>
    <tabColor indexed="46"/>
  </sheetPr>
  <dimension ref="A1:AX1786"/>
  <sheetViews>
    <sheetView tabSelected="1" zoomScale="96" zoomScaleNormal="96" workbookViewId="0">
      <pane ySplit="4" topLeftCell="A30" activePane="bottomLeft" state="frozen"/>
      <selection pane="bottomLeft" activeCell="J31" sqref="J31"/>
    </sheetView>
  </sheetViews>
  <sheetFormatPr defaultColWidth="9.33203125" defaultRowHeight="21" customHeight="1"/>
  <cols>
    <col min="1" max="1" width="14.44140625" style="123" customWidth="1"/>
    <col min="2" max="2" width="9.33203125" style="124" customWidth="1"/>
    <col min="3" max="5" width="11.33203125" style="62" customWidth="1"/>
    <col min="6" max="6" width="10.77734375" style="90" customWidth="1"/>
    <col min="7" max="7" width="9.33203125" style="105"/>
    <col min="8" max="8" width="19.77734375" style="125" customWidth="1"/>
    <col min="9" max="9" width="39.6640625" style="106" customWidth="1"/>
    <col min="10" max="10" width="39.6640625" style="107" customWidth="1"/>
    <col min="11" max="12" width="16" style="108" customWidth="1"/>
    <col min="13" max="13" width="19.109375" style="108" customWidth="1"/>
    <col min="14" max="14" width="16" style="108" customWidth="1"/>
    <col min="15" max="16" width="13.109375" style="109" customWidth="1"/>
    <col min="17" max="19" width="11.33203125" style="73" customWidth="1"/>
    <col min="20" max="20" width="26.33203125" style="73" customWidth="1"/>
    <col min="21" max="22" width="5.44140625" style="65" customWidth="1"/>
    <col min="23" max="23" width="6.77734375" style="111" customWidth="1"/>
    <col min="24" max="24" width="14" style="112" customWidth="1"/>
    <col min="25" max="25" width="9" style="113" customWidth="1"/>
    <col min="26" max="26" width="9" style="63" customWidth="1"/>
    <col min="27" max="27" width="12.33203125" style="56" customWidth="1"/>
    <col min="28" max="28" width="9" style="64" customWidth="1"/>
    <col min="29" max="29" width="11.33203125" style="56" customWidth="1"/>
    <col min="30" max="30" width="8.44140625" style="64" customWidth="1"/>
    <col min="31" max="31" width="9" style="56" customWidth="1"/>
    <col min="32" max="32" width="9" style="64" customWidth="1"/>
    <col min="33" max="33" width="9" style="56" customWidth="1"/>
    <col min="34" max="34" width="9" style="119" customWidth="1"/>
    <col min="35" max="35" width="9" style="64" customWidth="1"/>
    <col min="36" max="36" width="9" style="67" customWidth="1"/>
    <col min="37" max="38" width="9" style="56" customWidth="1"/>
    <col min="39" max="39" width="9" style="64" customWidth="1"/>
    <col min="40" max="40" width="9" style="67" customWidth="1"/>
    <col min="41" max="42" width="9" style="56" customWidth="1"/>
    <col min="43" max="43" width="9" style="64" customWidth="1"/>
    <col min="44" max="44" width="9" style="56" customWidth="1"/>
    <col min="45" max="45" width="9" style="64" customWidth="1"/>
    <col min="46" max="46" width="9" style="56" customWidth="1"/>
    <col min="47" max="47" width="9" style="103" customWidth="1"/>
    <col min="48" max="48" width="10.6640625" style="114" customWidth="1"/>
    <col min="49" max="49" width="9.6640625" style="113" customWidth="1"/>
    <col min="50" max="50" width="15.77734375" style="15" customWidth="1"/>
    <col min="51" max="16384" width="9.33203125" style="16"/>
  </cols>
  <sheetData>
    <row r="1" spans="1:50" ht="21" customHeight="1">
      <c r="AB1" s="56"/>
      <c r="AD1" s="56"/>
      <c r="AF1" s="56"/>
      <c r="AI1" s="56"/>
      <c r="AJ1" s="56"/>
      <c r="AM1" s="56"/>
      <c r="AN1" s="56"/>
      <c r="AU1" s="64"/>
      <c r="AV1" s="126"/>
    </row>
    <row r="2" spans="1:50" ht="21" customHeight="1">
      <c r="AB2" s="56"/>
      <c r="AD2" s="56"/>
      <c r="AF2" s="56"/>
      <c r="AI2" s="56"/>
      <c r="AJ2" s="56"/>
      <c r="AM2" s="56"/>
      <c r="AN2" s="56"/>
      <c r="AU2" s="64"/>
      <c r="AV2" s="126"/>
    </row>
    <row r="3" spans="1:50" ht="29">
      <c r="A3" s="1"/>
      <c r="B3" s="2"/>
      <c r="C3" s="127" t="s">
        <v>0</v>
      </c>
      <c r="D3" s="128"/>
      <c r="E3" s="128"/>
      <c r="F3" s="128"/>
      <c r="G3" s="129"/>
      <c r="H3" s="3"/>
      <c r="I3" s="4"/>
      <c r="J3" s="5"/>
      <c r="K3" s="6"/>
      <c r="L3" s="6"/>
      <c r="M3" s="6"/>
      <c r="N3" s="6"/>
      <c r="O3" s="7"/>
      <c r="P3" s="7"/>
      <c r="Q3" s="8"/>
      <c r="R3" s="8"/>
      <c r="S3" s="9"/>
      <c r="T3" s="9"/>
      <c r="U3" s="10"/>
      <c r="V3" s="10"/>
      <c r="W3" s="11"/>
      <c r="X3" s="12"/>
      <c r="Y3" s="13"/>
      <c r="Z3" s="130" t="s">
        <v>1</v>
      </c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2"/>
      <c r="AQ3" s="17"/>
      <c r="AR3" s="18"/>
      <c r="AS3" s="17"/>
      <c r="AT3" s="18"/>
      <c r="AU3" s="17"/>
      <c r="AV3" s="19"/>
      <c r="AW3" s="14"/>
    </row>
    <row r="4" spans="1:50" ht="87">
      <c r="A4" s="1" t="s">
        <v>2</v>
      </c>
      <c r="B4" s="2" t="s">
        <v>3</v>
      </c>
      <c r="C4" s="20" t="s">
        <v>4</v>
      </c>
      <c r="D4" s="20" t="s">
        <v>5</v>
      </c>
      <c r="E4" s="20" t="s">
        <v>6</v>
      </c>
      <c r="F4" s="21" t="s">
        <v>7</v>
      </c>
      <c r="G4" s="22" t="s">
        <v>8</v>
      </c>
      <c r="H4" s="23" t="s">
        <v>9</v>
      </c>
      <c r="I4" s="4" t="s">
        <v>10</v>
      </c>
      <c r="J4" s="5" t="s">
        <v>11</v>
      </c>
      <c r="K4" s="24" t="s">
        <v>12</v>
      </c>
      <c r="L4" s="24" t="s">
        <v>13</v>
      </c>
      <c r="M4" s="25" t="s">
        <v>14</v>
      </c>
      <c r="N4" s="24" t="s">
        <v>15</v>
      </c>
      <c r="O4" s="7" t="s">
        <v>16</v>
      </c>
      <c r="P4" s="7" t="s">
        <v>17</v>
      </c>
      <c r="Q4" s="8" t="s">
        <v>18</v>
      </c>
      <c r="R4" s="8" t="s">
        <v>19</v>
      </c>
      <c r="S4" s="26" t="s">
        <v>20</v>
      </c>
      <c r="T4" s="26" t="s">
        <v>21</v>
      </c>
      <c r="U4" s="10" t="s">
        <v>22</v>
      </c>
      <c r="V4" s="10" t="s">
        <v>23</v>
      </c>
      <c r="W4" s="11" t="s">
        <v>24</v>
      </c>
      <c r="X4" s="12" t="s">
        <v>25</v>
      </c>
      <c r="Y4" s="13" t="s">
        <v>26</v>
      </c>
      <c r="Z4" s="27">
        <v>1</v>
      </c>
      <c r="AA4" s="28" t="s">
        <v>27</v>
      </c>
      <c r="AB4" s="29">
        <v>2</v>
      </c>
      <c r="AC4" s="28" t="s">
        <v>27</v>
      </c>
      <c r="AD4" s="29">
        <v>3</v>
      </c>
      <c r="AE4" s="28" t="s">
        <v>27</v>
      </c>
      <c r="AF4" s="29">
        <v>4</v>
      </c>
      <c r="AG4" s="30" t="s">
        <v>27</v>
      </c>
      <c r="AH4" s="31" t="s">
        <v>28</v>
      </c>
      <c r="AI4" s="29">
        <v>5</v>
      </c>
      <c r="AJ4" s="32" t="s">
        <v>27</v>
      </c>
      <c r="AK4" s="33">
        <v>6</v>
      </c>
      <c r="AL4" s="28" t="s">
        <v>27</v>
      </c>
      <c r="AM4" s="29">
        <v>7</v>
      </c>
      <c r="AN4" s="32" t="s">
        <v>27</v>
      </c>
      <c r="AO4" s="34">
        <v>8</v>
      </c>
      <c r="AP4" s="28" t="s">
        <v>27</v>
      </c>
      <c r="AQ4" s="35">
        <v>9</v>
      </c>
      <c r="AR4" s="28" t="s">
        <v>27</v>
      </c>
      <c r="AS4" s="35">
        <v>10</v>
      </c>
      <c r="AT4" s="28" t="s">
        <v>27</v>
      </c>
      <c r="AU4" s="35">
        <v>11</v>
      </c>
      <c r="AV4" s="36" t="s">
        <v>27</v>
      </c>
      <c r="AW4" s="14" t="s">
        <v>29</v>
      </c>
      <c r="AX4" s="37" t="s">
        <v>30</v>
      </c>
    </row>
    <row r="5" spans="1:50" ht="26.25" customHeight="1">
      <c r="A5" s="38" t="s">
        <v>31</v>
      </c>
      <c r="B5" s="39">
        <f>IF(A5="","",0+1)</f>
        <v>1</v>
      </c>
      <c r="C5" s="40">
        <v>46027</v>
      </c>
      <c r="D5" s="40" t="s">
        <v>32</v>
      </c>
      <c r="E5" s="40" t="s">
        <v>33</v>
      </c>
      <c r="F5" s="41">
        <v>23.4</v>
      </c>
      <c r="G5" s="42" t="s">
        <v>34</v>
      </c>
      <c r="H5" s="43" t="str">
        <f>IFERROR(VLOOKUP($J5,'[9]FROM (3)'!$E$4:$F$230,2,FALSE),"")</f>
        <v/>
      </c>
      <c r="I5" s="44" t="str">
        <f>IFERROR(MID(A5,FIND("~",SUBSTITUTE(A5,"|","~",4))+1,FIND("~",SUBSTITUTE(A5,"|","~",5))-FIND("~",SUBSTITUTE(A5,"|","~",4))-1),"")</f>
        <v>FLANGE-13 SLUG</v>
      </c>
      <c r="J5" s="44" t="str">
        <f>IFERROR(MID(A5,FIND("~",SUBSTITUTE(A5,"|","~",3))+1,FIND("~",SUBSTITUTE(A5,"|","~",4))-FIND("~",SUBSTITUTE(A5,"|","~",3))-1),"")</f>
        <v>ZZ2B7401TX1</v>
      </c>
      <c r="K5" s="45" t="str">
        <f>IFERROR(LEFT(A5,SEARCH("|",A5)-1),"")</f>
        <v>PD25121000</v>
      </c>
      <c r="L5" s="46" t="str" cm="1">
        <f t="array" ref="L5">IFERROR(_xlfn.IFS(
    LEN($A5)-LEN(SUBSTITUTE($A5,"|",""))=12, RIGHT(A5, LEN(A5)-FIND("~", SUBSTITUTE(A5,"|","~", LEN(A5)-LEN(SUBSTITUTE(A5,"|",""))))),
    LEN($A5)-LEN(SUBSTITUTE($A5,"|",""))=13, MID($A5, FIND("~", SUBSTITUTE($A5,"|","~", 11))+1, FIND("~", SUBSTITUTE($A5,"|","~", 12))-FIND("~", SUBSTITUTE($A5,"|","~", 11))-1),
    LEN($A5)-LEN(SUBSTITUTE($A5,"|",""))=14, MID($A5, FIND("~", SUBSTITUTE($A5,"|","~", 11))+1, FIND("~", SUBSTITUTE($A5,"|","~", 12))-FIND("~", SUBSTITUTE($A5,"|","~", 11))-1)
), "")</f>
        <v>2-73052</v>
      </c>
      <c r="M5" s="47" t="str">
        <f t="shared" ref="M5:M68" si="0">IFERROR(MID(A5,FIND("~",SUBSTITUTE(A5,"|","~",10))+1,FIND("~",SUBSTITUTE(A5,"|","~",11))-FIND("~",SUBSTITUTE(A5,"|","~",10))-1),"")</f>
        <v>2B2503454</v>
      </c>
      <c r="N5" s="46" t="str">
        <f>IFERROR(IF(LEN($A5)-LEN(SUBSTITUTE($A5,"|",""))=12,MID($A5,FIND("~",SUBSTITUTE($A5,"|","~",11))+1,FIND("~",SUBSTITUTE($A5,"|","~",12))-FIND("~",SUBSTITUTE($A5,"|","~",11))-1),IF(LEN($A5)-LEN(SUBSTITUTE($A5,"|",""))=13,MID($A5,FIND("~",SUBSTITUTE($A5,"|","~",10))+1,FIND("~",SUBSTITUTE($A5,"|","~",11))-FIND("~",SUBSTITUTE($A5,"|","~",10))-1), "")),"")</f>
        <v/>
      </c>
      <c r="O5" s="48" t="s">
        <v>35</v>
      </c>
      <c r="P5" s="48" t="s">
        <v>35</v>
      </c>
      <c r="Q5" s="48">
        <v>1805</v>
      </c>
      <c r="R5" s="48">
        <v>416</v>
      </c>
      <c r="S5" s="48"/>
      <c r="T5" s="48"/>
      <c r="U5" s="49"/>
      <c r="V5" s="49"/>
      <c r="W5" s="50">
        <f t="shared" ref="W5:W68" si="1">SUM(U5:V5)</f>
        <v>0</v>
      </c>
      <c r="X5" s="51">
        <f>IF(A5="", "", IF(COUNTIFS(C$3:C4, C5, D$3:D4, D5, G$3:G4, G5) &gt; 0, "", "11:00"-AW5))</f>
        <v>0.29166666666666663</v>
      </c>
      <c r="Y5" s="52" t="str">
        <f>IF(X5="", "", IF(AND(A5&lt;&gt;"", AR6&lt;&gt;"NO OT"), "1:40", IF(AND(A5&lt;&gt;"", AR6="NO OT"), "1:0", "")))</f>
        <v>1:0</v>
      </c>
      <c r="Z5" s="53">
        <v>4.1666666666666664E-2</v>
      </c>
      <c r="AA5" s="54" t="s">
        <v>36</v>
      </c>
      <c r="AB5" s="53"/>
      <c r="AC5" s="54"/>
      <c r="AD5" s="53"/>
      <c r="AE5" s="54"/>
      <c r="AF5" s="53"/>
      <c r="AG5" s="54"/>
      <c r="AH5" s="55">
        <v>4.1666666666666664E-2</v>
      </c>
      <c r="AI5" s="53"/>
      <c r="AJ5" s="54"/>
      <c r="AK5" s="53"/>
      <c r="AL5" s="54"/>
      <c r="AM5" s="53"/>
      <c r="AN5" s="54"/>
      <c r="AO5" s="53"/>
      <c r="AP5" s="54"/>
      <c r="AQ5" s="53">
        <v>4.1666666666666664E-2</v>
      </c>
      <c r="AR5" s="56" t="s">
        <v>37</v>
      </c>
      <c r="AS5" s="53">
        <v>4.1666666666666664E-2</v>
      </c>
      <c r="AT5" s="54" t="s">
        <v>37</v>
      </c>
      <c r="AU5" s="53">
        <v>4.1666666666666664E-2</v>
      </c>
      <c r="AV5" s="54" t="s">
        <v>37</v>
      </c>
      <c r="AW5" s="57">
        <f>SUM(Z5,AB5,AD5,AF5,AI5,AK5,AM5,AO5,AQ5,AS5,AU5)</f>
        <v>0.16666666666666666</v>
      </c>
      <c r="AX5" s="58" t="s">
        <v>38</v>
      </c>
    </row>
    <row r="6" spans="1:50" ht="26.25" customHeight="1">
      <c r="A6" s="38" t="s">
        <v>39</v>
      </c>
      <c r="B6" s="39">
        <f>IF(A6="","",B5+1)</f>
        <v>2</v>
      </c>
      <c r="C6" s="40">
        <v>46027</v>
      </c>
      <c r="D6" s="40" t="s">
        <v>32</v>
      </c>
      <c r="E6" s="40" t="s">
        <v>33</v>
      </c>
      <c r="F6" s="41">
        <v>23.4</v>
      </c>
      <c r="G6" s="42" t="s">
        <v>34</v>
      </c>
      <c r="H6" s="43" t="str">
        <f>IFERROR(VLOOKUP($J6,'[9]FROM (3)'!$E$4:$F$230,2,FALSE),"")</f>
        <v/>
      </c>
      <c r="I6" s="44" t="str">
        <f>IFERROR(MID(A6,FIND("~",SUBSTITUTE(A6,"|","~",4))+1,FIND("~",SUBSTITUTE(A6,"|","~",5))-FIND("~",SUBSTITUTE(A6,"|","~",4))-1),"")</f>
        <v>FLANGE-13 SLUG</v>
      </c>
      <c r="J6" s="44" t="str">
        <f>IFERROR(MID(A6,FIND("~",SUBSTITUTE(A6,"|","~",3))+1,FIND("~",SUBSTITUTE(A6,"|","~",4))-FIND("~",SUBSTITUTE(A6,"|","~",3))-1),"")</f>
        <v>ZZ2B7401TX1</v>
      </c>
      <c r="K6" s="59" t="str">
        <f t="shared" ref="K6:K69" si="2">IFERROR(LEFT(A6,SEARCH("|",A6)-1),"")</f>
        <v>PD25121000</v>
      </c>
      <c r="L6" s="46" t="str" cm="1">
        <f t="array" ref="L6">IFERROR(_xlfn.IFS(
    LEN($A6)-LEN(SUBSTITUTE($A6,"|",""))=12, RIGHT(A6, LEN(A6)-FIND("~", SUBSTITUTE(A6,"|","~", LEN(A6)-LEN(SUBSTITUTE(A6,"|",""))))),
    LEN($A6)-LEN(SUBSTITUTE($A6,"|",""))=13, MID($A6, FIND("~", SUBSTITUTE($A6,"|","~", 11))+1, FIND("~", SUBSTITUTE($A6,"|","~", 12))-FIND("~", SUBSTITUTE($A6,"|","~", 11))-1),
    LEN($A6)-LEN(SUBSTITUTE($A6,"|",""))=14, MID($A6, FIND("~", SUBSTITUTE($A6,"|","~", 11))+1, FIND("~", SUBSTITUTE($A6,"|","~", 12))-FIND("~", SUBSTITUTE($A6,"|","~", 11))-1)
), "")</f>
        <v>2-73052</v>
      </c>
      <c r="M6" s="47" t="str">
        <f t="shared" si="0"/>
        <v>2B2503453</v>
      </c>
      <c r="N6" s="46" t="str">
        <f t="shared" ref="N6:N69" si="3">IFERROR(IF(LEN($A6)-LEN(SUBSTITUTE($A6,"|",""))=12,MID($A6,FIND("~",SUBSTITUTE($A6,"|","~",11))+1,FIND("~",SUBSTITUTE($A6,"|","~",12))-FIND("~",SUBSTITUTE($A6,"|","~",11))-1),IF(LEN($A6)-LEN(SUBSTITUTE($A6,"|",""))=13,MID($A6,FIND("~",SUBSTITUTE($A6,"|","~",10))+1,FIND("~",SUBSTITUTE($A6,"|","~",11))-FIND("~",SUBSTITUTE($A6,"|","~",10))-1), "")),"")</f>
        <v/>
      </c>
      <c r="O6" s="48">
        <v>36</v>
      </c>
      <c r="P6" s="48">
        <v>1955</v>
      </c>
      <c r="Q6" s="48">
        <v>828</v>
      </c>
      <c r="R6" s="48">
        <v>191</v>
      </c>
      <c r="S6" s="48"/>
      <c r="T6" s="48"/>
      <c r="U6" s="49"/>
      <c r="V6" s="49"/>
      <c r="W6" s="50">
        <f t="shared" si="1"/>
        <v>0</v>
      </c>
      <c r="X6" s="51" t="str">
        <f>IF(A6="", "", IF(COUNTIFS(C$3:C5, C6, D$3:D5, D6, G$3:G5, G6) &gt; 0, "", "11:00"-AW6))</f>
        <v/>
      </c>
      <c r="Y6" s="52" t="str">
        <f>IF(X6="", "", IF(AND(A6&lt;&gt;"", AR7&lt;&gt;"NO OT"), "1:40", IF(AND(A6&lt;&gt;"", AR7="NO OT"), "1:0", "")))</f>
        <v/>
      </c>
      <c r="Z6" s="53"/>
      <c r="AA6" s="54"/>
      <c r="AB6" s="53"/>
      <c r="AC6" s="54"/>
      <c r="AD6" s="53"/>
      <c r="AE6" s="54"/>
      <c r="AF6" s="53"/>
      <c r="AG6" s="54"/>
      <c r="AH6" s="55">
        <v>4.1666666666666664E-2</v>
      </c>
      <c r="AI6" s="53"/>
      <c r="AJ6" s="54"/>
      <c r="AK6" s="53"/>
      <c r="AL6" s="54"/>
      <c r="AM6" s="53"/>
      <c r="AN6" s="54"/>
      <c r="AO6" s="53"/>
      <c r="AP6" s="54"/>
      <c r="AQ6" s="53">
        <v>4.1666666666666664E-2</v>
      </c>
      <c r="AR6" s="54" t="s">
        <v>37</v>
      </c>
      <c r="AS6" s="53">
        <v>4.1666666666666664E-2</v>
      </c>
      <c r="AT6" s="54" t="s">
        <v>37</v>
      </c>
      <c r="AU6" s="53">
        <v>4.1666666666666664E-2</v>
      </c>
      <c r="AV6" s="54" t="s">
        <v>37</v>
      </c>
      <c r="AW6" s="57">
        <f t="shared" ref="AW6:AW69" si="4">SUM(Z6,AB6,AD6,AF6,AI6,AK6,AM6,AO6,AQ6,AS6,AU6)</f>
        <v>0.125</v>
      </c>
      <c r="AX6" s="58" t="s">
        <v>38</v>
      </c>
    </row>
    <row r="7" spans="1:50" ht="26.25" customHeight="1">
      <c r="A7" s="38" t="s">
        <v>40</v>
      </c>
      <c r="B7" s="39">
        <f t="shared" ref="B7:B8" si="5">IF(A7="","",B6+1)</f>
        <v>3</v>
      </c>
      <c r="C7" s="40">
        <v>46027</v>
      </c>
      <c r="D7" s="40" t="s">
        <v>32</v>
      </c>
      <c r="E7" s="40" t="s">
        <v>33</v>
      </c>
      <c r="F7" s="41">
        <v>133.80000000000001</v>
      </c>
      <c r="G7" s="42" t="s">
        <v>41</v>
      </c>
      <c r="H7" s="43" t="str">
        <f>IFERROR(VLOOKUP($J7,'[9]FROM (3)'!$E$4:$F$230,2,FALSE),"")</f>
        <v xml:space="preserve">DNTH </v>
      </c>
      <c r="I7" s="44" t="str">
        <f t="shared" ref="I7:I70" si="6">IFERROR(MID(A7,FIND("~",SUBSTITUTE(A7,"|","~",4))+1,FIND("~",SUBSTITUTE(A7,"|","~",5))-FIND("~",SUBSTITUTE(A7,"|","~",4))-1),"")</f>
        <v>Barrel</v>
      </c>
      <c r="J7" s="44" t="str">
        <f t="shared" ref="J7:J70" si="7">IFERROR(MID(A7,FIND("~",SUBSTITUTE(A7,"|","~",3))+1,FIND("~",SUBSTITUTE(A7,"|","~",4))-FIND("~",SUBSTITUTE(A7,"|","~",3))-1),"")</f>
        <v>TG028986-0030</v>
      </c>
      <c r="K7" s="59" t="str">
        <f t="shared" si="2"/>
        <v>PD25121289</v>
      </c>
      <c r="L7" s="46" t="str" cm="1">
        <f t="array" ref="L7">IFERROR(_xlfn.IFS(
    LEN($A7)-LEN(SUBSTITUTE($A7,"|",""))=12, RIGHT(A7, LEN(A7)-FIND("~", SUBSTITUTE(A7,"|","~", LEN(A7)-LEN(SUBSTITUTE(A7,"|",""))))),
    LEN($A7)-LEN(SUBSTITUTE($A7,"|",""))=13, MID($A7, FIND("~", SUBSTITUTE($A7,"|","~", 11))+1, FIND("~", SUBSTITUTE($A7,"|","~", 12))-FIND("~", SUBSTITUTE($A7,"|","~", 11))-1),
    LEN($A7)-LEN(SUBSTITUTE($A7,"|",""))=14, MID($A7, FIND("~", SUBSTITUTE($A7,"|","~", 11))+1, FIND("~", SUBSTITUTE($A7,"|","~", 12))-FIND("~", SUBSTITUTE($A7,"|","~", 11))-1)
), "")</f>
        <v>E586056</v>
      </c>
      <c r="M7" s="47" t="str">
        <f t="shared" si="0"/>
        <v>SB120087/2/25</v>
      </c>
      <c r="N7" s="46" t="str">
        <f t="shared" si="3"/>
        <v/>
      </c>
      <c r="O7" s="48" t="s">
        <v>35</v>
      </c>
      <c r="P7" s="48" t="s">
        <v>35</v>
      </c>
      <c r="Q7" s="48">
        <v>1945</v>
      </c>
      <c r="R7" s="48">
        <v>260</v>
      </c>
      <c r="S7" s="48"/>
      <c r="T7" s="48"/>
      <c r="U7" s="49"/>
      <c r="V7" s="49"/>
      <c r="W7" s="50">
        <f t="shared" si="1"/>
        <v>0</v>
      </c>
      <c r="X7" s="51">
        <f>IF(A7="", "", IF(COUNTIFS(C$3:C6, C7, D$3:D6, D7, G$3:G6, G7) &gt; 0, "", "11:00"-AW7))</f>
        <v>0.41666666666666663</v>
      </c>
      <c r="Y7" s="52" t="str">
        <f t="shared" ref="Y7:Y70" si="8">IF(X7="", "", IF(AND(A7&lt;&gt;"", AR7&lt;&gt;"NO OT"), "1:40", IF(AND(A7&lt;&gt;"", AR7="NO OT"), "1:0", "")))</f>
        <v>1:40</v>
      </c>
      <c r="Z7" s="53"/>
      <c r="AA7" s="54"/>
      <c r="AB7" s="53"/>
      <c r="AC7" s="54"/>
      <c r="AD7" s="53"/>
      <c r="AE7" s="54"/>
      <c r="AF7" s="53"/>
      <c r="AG7" s="54"/>
      <c r="AH7" s="55">
        <v>4.1666666666666699E-2</v>
      </c>
      <c r="AI7" s="53"/>
      <c r="AJ7" s="54"/>
      <c r="AK7" s="53"/>
      <c r="AL7" s="54"/>
      <c r="AM7" s="53"/>
      <c r="AN7" s="54"/>
      <c r="AO7" s="53"/>
      <c r="AP7" s="54"/>
      <c r="AQ7" s="53"/>
      <c r="AR7" s="54"/>
      <c r="AS7" s="53"/>
      <c r="AT7" s="54"/>
      <c r="AU7" s="53">
        <v>4.1666666666666664E-2</v>
      </c>
      <c r="AV7" s="54" t="s">
        <v>37</v>
      </c>
      <c r="AW7" s="57">
        <f t="shared" si="4"/>
        <v>4.1666666666666664E-2</v>
      </c>
      <c r="AX7" s="58"/>
    </row>
    <row r="8" spans="1:50" ht="26.25" customHeight="1">
      <c r="A8" s="38" t="s">
        <v>42</v>
      </c>
      <c r="B8" s="39">
        <f t="shared" si="5"/>
        <v>4</v>
      </c>
      <c r="C8" s="40">
        <v>46027</v>
      </c>
      <c r="D8" s="40" t="s">
        <v>32</v>
      </c>
      <c r="E8" s="40" t="s">
        <v>33</v>
      </c>
      <c r="F8" s="41">
        <v>133.80000000000001</v>
      </c>
      <c r="G8" s="42" t="s">
        <v>41</v>
      </c>
      <c r="H8" s="43" t="str">
        <f>IFERROR(VLOOKUP($J8,'[9]FROM (3)'!$E$4:$F$230,2,FALSE),"")</f>
        <v xml:space="preserve">DNTH </v>
      </c>
      <c r="I8" s="44" t="str">
        <f t="shared" si="6"/>
        <v>Barrel</v>
      </c>
      <c r="J8" s="44" t="str">
        <f t="shared" si="7"/>
        <v>TG028986-0030</v>
      </c>
      <c r="K8" s="59" t="str">
        <f t="shared" si="2"/>
        <v>PD25121289</v>
      </c>
      <c r="L8" s="46" t="str" cm="1">
        <f t="array" ref="L8">IFERROR(_xlfn.IFS(
    LEN($A8)-LEN(SUBSTITUTE($A8,"|",""))=12, RIGHT(A8, LEN(A8)-FIND("~", SUBSTITUTE(A8,"|","~", LEN(A8)-LEN(SUBSTITUTE(A8,"|",""))))),
    LEN($A8)-LEN(SUBSTITUTE($A8,"|",""))=13, MID($A8, FIND("~", SUBSTITUTE($A8,"|","~", 11))+1, FIND("~", SUBSTITUTE($A8,"|","~", 12))-FIND("~", SUBSTITUTE($A8,"|","~", 11))-1),
    LEN($A8)-LEN(SUBSTITUTE($A8,"|",""))=14, MID($A8, FIND("~", SUBSTITUTE($A8,"|","~", 11))+1, FIND("~", SUBSTITUTE($A8,"|","~", 12))-FIND("~", SUBSTITUTE($A8,"|","~", 11))-1)
), "")</f>
        <v>E586056</v>
      </c>
      <c r="M8" s="47" t="str">
        <f t="shared" si="0"/>
        <v>SB120087/1/25</v>
      </c>
      <c r="N8" s="46" t="str">
        <f t="shared" si="3"/>
        <v/>
      </c>
      <c r="O8" s="48">
        <v>53</v>
      </c>
      <c r="P8" s="48">
        <v>1034</v>
      </c>
      <c r="Q8" s="48">
        <v>742</v>
      </c>
      <c r="R8" s="48">
        <v>99</v>
      </c>
      <c r="S8" s="48"/>
      <c r="T8" s="48"/>
      <c r="U8" s="49"/>
      <c r="V8" s="49"/>
      <c r="W8" s="50">
        <f t="shared" si="1"/>
        <v>0</v>
      </c>
      <c r="X8" s="51" t="str">
        <f>IF(A8="", "", IF(COUNTIFS(C$3:C7, C8, D$3:D7, D8, G$3:G7, G8) &gt; 0, "", "11:00"-AW8))</f>
        <v/>
      </c>
      <c r="Y8" s="52" t="str">
        <f t="shared" si="8"/>
        <v/>
      </c>
      <c r="Z8" s="53"/>
      <c r="AA8" s="54"/>
      <c r="AB8" s="53"/>
      <c r="AC8" s="54"/>
      <c r="AD8" s="53"/>
      <c r="AE8" s="54"/>
      <c r="AF8" s="53"/>
      <c r="AG8" s="54"/>
      <c r="AH8" s="55">
        <v>4.1666666666666699E-2</v>
      </c>
      <c r="AI8" s="53"/>
      <c r="AJ8" s="54"/>
      <c r="AK8" s="53"/>
      <c r="AL8" s="54"/>
      <c r="AM8" s="53"/>
      <c r="AN8" s="54"/>
      <c r="AO8" s="53"/>
      <c r="AP8" s="54"/>
      <c r="AQ8" s="53"/>
      <c r="AR8" s="54"/>
      <c r="AS8" s="53"/>
      <c r="AT8" s="54"/>
      <c r="AU8" s="53">
        <v>4.1666666666666699E-2</v>
      </c>
      <c r="AV8" s="54" t="s">
        <v>37</v>
      </c>
      <c r="AW8" s="57">
        <f t="shared" si="4"/>
        <v>4.1666666666666699E-2</v>
      </c>
      <c r="AX8" s="58"/>
    </row>
    <row r="9" spans="1:50" ht="26.25" customHeight="1">
      <c r="A9" s="38" t="s">
        <v>43</v>
      </c>
      <c r="B9" s="39">
        <f>IF(A9="","",B8+1)</f>
        <v>5</v>
      </c>
      <c r="C9" s="40">
        <v>46027</v>
      </c>
      <c r="D9" s="40" t="s">
        <v>32</v>
      </c>
      <c r="E9" s="40" t="s">
        <v>33</v>
      </c>
      <c r="F9" s="41">
        <v>25.35</v>
      </c>
      <c r="G9" s="42" t="s">
        <v>44</v>
      </c>
      <c r="H9" s="43" t="str">
        <f>IFERROR(VLOOKUP($J9,'[9]FROM (3)'!$E$4:$F$230,2,FALSE),"")</f>
        <v>KYOWA NT</v>
      </c>
      <c r="I9" s="44" t="str">
        <f t="shared" si="6"/>
        <v>PIN</v>
      </c>
      <c r="J9" s="44" t="str">
        <f t="shared" si="7"/>
        <v>8306T0036</v>
      </c>
      <c r="K9" s="59" t="str">
        <f t="shared" si="2"/>
        <v>PD25121321</v>
      </c>
      <c r="L9" s="46" t="str" cm="1">
        <f t="array" ref="L9">IFERROR(_xlfn.IFS(
    LEN($A9)-LEN(SUBSTITUTE($A9,"|",""))=12, RIGHT(A9, LEN(A9)-FIND("~", SUBSTITUTE(A9,"|","~", LEN(A9)-LEN(SUBSTITUTE(A9,"|",""))))),
    LEN($A9)-LEN(SUBSTITUTE($A9,"|",""))=13, MID($A9, FIND("~", SUBSTITUTE($A9,"|","~", 11))+1, FIND("~", SUBSTITUTE($A9,"|","~", 12))-FIND("~", SUBSTITUTE($A9,"|","~", 11))-1),
    LEN($A9)-LEN(SUBSTITUTE($A9,"|",""))=14, MID($A9, FIND("~", SUBSTITUTE($A9,"|","~", 11))+1, FIND("~", SUBSTITUTE($A9,"|","~", 12))-FIND("~", SUBSTITUTE($A9,"|","~", 11))-1)
), "")</f>
        <v>665573</v>
      </c>
      <c r="M9" s="47" t="str">
        <f t="shared" si="0"/>
        <v>SB120110/1/25</v>
      </c>
      <c r="N9" s="46" t="str">
        <f t="shared" si="3"/>
        <v/>
      </c>
      <c r="O9" s="60">
        <v>223</v>
      </c>
      <c r="P9" s="60">
        <v>10368</v>
      </c>
      <c r="Q9" s="48">
        <v>5052</v>
      </c>
      <c r="R9" s="48">
        <v>128</v>
      </c>
      <c r="S9" s="48"/>
      <c r="T9" s="48"/>
      <c r="U9" s="49"/>
      <c r="V9" s="49"/>
      <c r="W9" s="50">
        <f t="shared" si="1"/>
        <v>0</v>
      </c>
      <c r="X9" s="51">
        <f>IF(A9="", "", IF(COUNTIFS(C$3:C8, C9, D$3:D8, D9, G$3:G8, G9) &gt; 0, "", "11:00"-AW9))</f>
        <v>0.41666666666666663</v>
      </c>
      <c r="Y9" s="52" t="str">
        <f t="shared" si="8"/>
        <v>1:40</v>
      </c>
      <c r="Z9" s="53"/>
      <c r="AA9" s="54"/>
      <c r="AB9" s="53"/>
      <c r="AC9" s="54"/>
      <c r="AD9" s="53"/>
      <c r="AE9" s="54"/>
      <c r="AF9" s="53"/>
      <c r="AG9" s="54"/>
      <c r="AH9" s="55">
        <v>4.1666666666666699E-2</v>
      </c>
      <c r="AI9" s="53"/>
      <c r="AJ9" s="54"/>
      <c r="AK9" s="53"/>
      <c r="AL9" s="54"/>
      <c r="AM9" s="53"/>
      <c r="AN9" s="54"/>
      <c r="AO9" s="53"/>
      <c r="AP9" s="54"/>
      <c r="AQ9" s="53"/>
      <c r="AR9" s="54"/>
      <c r="AS9" s="53"/>
      <c r="AT9" s="54"/>
      <c r="AU9" s="53">
        <v>4.1666666666666699E-2</v>
      </c>
      <c r="AV9" s="54" t="s">
        <v>37</v>
      </c>
      <c r="AW9" s="57">
        <f t="shared" si="4"/>
        <v>4.1666666666666699E-2</v>
      </c>
      <c r="AX9" s="58"/>
    </row>
    <row r="10" spans="1:50" ht="26.25" customHeight="1">
      <c r="A10" s="38" t="s">
        <v>45</v>
      </c>
      <c r="B10" s="39">
        <f t="shared" ref="B10:B73" si="9">IF(A10="","",B9+1)</f>
        <v>6</v>
      </c>
      <c r="C10" s="40">
        <v>46027</v>
      </c>
      <c r="D10" s="40" t="s">
        <v>32</v>
      </c>
      <c r="E10" s="40" t="s">
        <v>33</v>
      </c>
      <c r="F10" s="41">
        <v>756.4</v>
      </c>
      <c r="G10" s="42" t="s">
        <v>46</v>
      </c>
      <c r="H10" s="43" t="str">
        <f>IFERROR(VLOOKUP($J10,'[9]FROM (3)'!$E$4:$F$230,2,FALSE),"")</f>
        <v>JATH</v>
      </c>
      <c r="I10" s="44" t="str">
        <f t="shared" si="6"/>
        <v>RACK BAR BLANK</v>
      </c>
      <c r="J10" s="44" t="str">
        <f t="shared" si="7"/>
        <v>JGF02-002190-31-2</v>
      </c>
      <c r="K10" s="59" t="str">
        <f t="shared" si="2"/>
        <v>PD25121244</v>
      </c>
      <c r="L10" s="46" t="str" cm="1">
        <f t="array" ref="L10">IFERROR(_xlfn.IFS(
    LEN($A10)-LEN(SUBSTITUTE($A10,"|",""))=12, RIGHT(A10, LEN(A10)-FIND("~", SUBSTITUTE(A10,"|","~", LEN(A10)-LEN(SUBSTITUTE(A10,"|",""))))),
    LEN($A10)-LEN(SUBSTITUTE($A10,"|",""))=13, MID($A10, FIND("~", SUBSTITUTE($A10,"|","~", 11))+1, FIND("~", SUBSTITUTE($A10,"|","~", 12))-FIND("~", SUBSTITUTE($A10,"|","~", 11))-1),
    LEN($A10)-LEN(SUBSTITUTE($A10,"|",""))=14, MID($A10, FIND("~", SUBSTITUTE($A10,"|","~", 11))+1, FIND("~", SUBSTITUTE($A10,"|","~", 12))-FIND("~", SUBSTITUTE($A10,"|","~", 11))-1)
), "")</f>
        <v>5A5658</v>
      </c>
      <c r="M10" s="47" t="str">
        <f t="shared" si="0"/>
        <v>SB120173/5/25</v>
      </c>
      <c r="N10" s="46" t="str">
        <f t="shared" si="3"/>
        <v/>
      </c>
      <c r="O10" s="60" t="s">
        <v>35</v>
      </c>
      <c r="P10" s="60" t="s">
        <v>35</v>
      </c>
      <c r="Q10" s="48">
        <v>31</v>
      </c>
      <c r="R10" s="48">
        <v>150</v>
      </c>
      <c r="S10" s="48"/>
      <c r="T10" s="48"/>
      <c r="U10" s="49">
        <v>201</v>
      </c>
      <c r="V10" s="49">
        <v>17</v>
      </c>
      <c r="W10" s="50">
        <f t="shared" si="1"/>
        <v>218</v>
      </c>
      <c r="X10" s="51">
        <f>IF(A10="", "", IF(COUNTIFS(C$3:C9, C10, D$3:D9, D10, G$3:G9, G10) &gt; 0, "", "11:00"-AW10))</f>
        <v>0.31249999999999994</v>
      </c>
      <c r="Y10" s="52" t="str">
        <f t="shared" si="8"/>
        <v>1:0</v>
      </c>
      <c r="Z10" s="53">
        <v>2.0833333333333332E-2</v>
      </c>
      <c r="AA10" s="54" t="s">
        <v>47</v>
      </c>
      <c r="AB10" s="53"/>
      <c r="AC10" s="54"/>
      <c r="AD10" s="53"/>
      <c r="AE10" s="54"/>
      <c r="AF10" s="53"/>
      <c r="AG10" s="54"/>
      <c r="AH10" s="55">
        <v>4.1666666666666699E-2</v>
      </c>
      <c r="AI10" s="53"/>
      <c r="AJ10" s="54"/>
      <c r="AK10" s="53"/>
      <c r="AL10" s="54"/>
      <c r="AM10" s="53"/>
      <c r="AN10" s="54"/>
      <c r="AO10" s="53"/>
      <c r="AP10" s="54"/>
      <c r="AQ10" s="53">
        <v>4.1666666666666664E-2</v>
      </c>
      <c r="AR10" s="54" t="s">
        <v>37</v>
      </c>
      <c r="AS10" s="53">
        <v>4.1666666666666664E-2</v>
      </c>
      <c r="AT10" s="54" t="s">
        <v>37</v>
      </c>
      <c r="AU10" s="53">
        <v>4.1666666666666699E-2</v>
      </c>
      <c r="AV10" s="54" t="s">
        <v>37</v>
      </c>
      <c r="AW10" s="57">
        <f t="shared" si="4"/>
        <v>0.14583333333333337</v>
      </c>
      <c r="AX10" s="58" t="s">
        <v>48</v>
      </c>
    </row>
    <row r="11" spans="1:50" ht="26.25" customHeight="1">
      <c r="A11" s="38" t="s">
        <v>49</v>
      </c>
      <c r="B11" s="39">
        <f t="shared" si="9"/>
        <v>7</v>
      </c>
      <c r="C11" s="40">
        <v>46027</v>
      </c>
      <c r="D11" s="40" t="s">
        <v>32</v>
      </c>
      <c r="E11" s="40" t="s">
        <v>33</v>
      </c>
      <c r="F11" s="41">
        <v>756.4</v>
      </c>
      <c r="G11" s="42" t="s">
        <v>46</v>
      </c>
      <c r="H11" s="43" t="str">
        <f>IFERROR(VLOOKUP($J11,'[9]FROM (3)'!$E$4:$F$230,2,FALSE),"")</f>
        <v>JATH</v>
      </c>
      <c r="I11" s="44" t="str">
        <f t="shared" si="6"/>
        <v>RACK BAR BLANK</v>
      </c>
      <c r="J11" s="44" t="str">
        <f t="shared" si="7"/>
        <v>JGF02-002190-31-2</v>
      </c>
      <c r="K11" s="59" t="str">
        <f t="shared" si="2"/>
        <v>PD25121244</v>
      </c>
      <c r="L11" s="46" t="str" cm="1">
        <f t="array" ref="L11">IFERROR(_xlfn.IFS(
    LEN($A11)-LEN(SUBSTITUTE($A11,"|",""))=12, RIGHT(A11, LEN(A11)-FIND("~", SUBSTITUTE(A11,"|","~", LEN(A11)-LEN(SUBSTITUTE(A11,"|",""))))),
    LEN($A11)-LEN(SUBSTITUTE($A11,"|",""))=13, MID($A11, FIND("~", SUBSTITUTE($A11,"|","~", 11))+1, FIND("~", SUBSTITUTE($A11,"|","~", 12))-FIND("~", SUBSTITUTE($A11,"|","~", 11))-1),
    LEN($A11)-LEN(SUBSTITUTE($A11,"|",""))=14, MID($A11, FIND("~", SUBSTITUTE($A11,"|","~", 11))+1, FIND("~", SUBSTITUTE($A11,"|","~", 12))-FIND("~", SUBSTITUTE($A11,"|","~", 11))-1)
), "")</f>
        <v>5A5658</v>
      </c>
      <c r="M11" s="47" t="str">
        <f t="shared" si="0"/>
        <v>SB120173/6/25</v>
      </c>
      <c r="N11" s="46" t="str">
        <f t="shared" si="3"/>
        <v/>
      </c>
      <c r="O11" s="60">
        <v>27</v>
      </c>
      <c r="P11" s="60">
        <v>963</v>
      </c>
      <c r="Q11" s="48">
        <v>189</v>
      </c>
      <c r="R11" s="48">
        <v>912</v>
      </c>
      <c r="S11" s="48"/>
      <c r="T11" s="48"/>
      <c r="U11" s="49"/>
      <c r="V11" s="49"/>
      <c r="W11" s="50">
        <f t="shared" si="1"/>
        <v>0</v>
      </c>
      <c r="X11" s="51" t="str">
        <f>IF(A11="", "", IF(COUNTIFS(C$3:C10, C11, D$3:D10, D11, G$3:G10, G11) &gt; 0, "", "11:00"-AW11))</f>
        <v/>
      </c>
      <c r="Y11" s="52" t="str">
        <f t="shared" si="8"/>
        <v/>
      </c>
      <c r="Z11" s="53"/>
      <c r="AA11" s="54"/>
      <c r="AB11" s="53"/>
      <c r="AC11" s="54"/>
      <c r="AD11" s="53"/>
      <c r="AE11" s="54"/>
      <c r="AF11" s="53"/>
      <c r="AG11" s="54"/>
      <c r="AH11" s="55">
        <v>4.1666666666666699E-2</v>
      </c>
      <c r="AI11" s="53"/>
      <c r="AJ11" s="54"/>
      <c r="AK11" s="53"/>
      <c r="AL11" s="54"/>
      <c r="AM11" s="53"/>
      <c r="AN11" s="54"/>
      <c r="AO11" s="53"/>
      <c r="AP11" s="54"/>
      <c r="AQ11" s="53">
        <v>4.1666666666666664E-2</v>
      </c>
      <c r="AR11" s="54" t="s">
        <v>37</v>
      </c>
      <c r="AS11" s="53">
        <v>4.1666666666666664E-2</v>
      </c>
      <c r="AT11" s="54" t="s">
        <v>37</v>
      </c>
      <c r="AU11" s="53">
        <v>4.1666666666666699E-2</v>
      </c>
      <c r="AV11" s="54" t="s">
        <v>37</v>
      </c>
      <c r="AW11" s="57">
        <f t="shared" si="4"/>
        <v>0.12500000000000003</v>
      </c>
      <c r="AX11" s="58" t="s">
        <v>48</v>
      </c>
    </row>
    <row r="12" spans="1:50" ht="26.25" customHeight="1">
      <c r="A12" s="38" t="s">
        <v>50</v>
      </c>
      <c r="B12" s="39">
        <f t="shared" si="9"/>
        <v>8</v>
      </c>
      <c r="C12" s="40">
        <v>46027</v>
      </c>
      <c r="D12" s="40" t="s">
        <v>32</v>
      </c>
      <c r="E12" s="40" t="s">
        <v>33</v>
      </c>
      <c r="F12" s="41">
        <v>756.4</v>
      </c>
      <c r="G12" s="42" t="s">
        <v>46</v>
      </c>
      <c r="H12" s="43" t="str">
        <f>IFERROR(VLOOKUP($J12,'[9]FROM (3)'!$E$4:$F$230,2,FALSE),"")</f>
        <v>JATH</v>
      </c>
      <c r="I12" s="44" t="str">
        <f t="shared" si="6"/>
        <v>RACK BAR BLANK</v>
      </c>
      <c r="J12" s="44" t="str">
        <f t="shared" si="7"/>
        <v>JGF02-002190-31-2</v>
      </c>
      <c r="K12" s="59" t="str">
        <f t="shared" si="2"/>
        <v>PD25121245</v>
      </c>
      <c r="L12" s="46" t="str" cm="1">
        <f t="array" ref="L12">IFERROR(_xlfn.IFS(
    LEN($A12)-LEN(SUBSTITUTE($A12,"|",""))=12, RIGHT(A12, LEN(A12)-FIND("~", SUBSTITUTE(A12,"|","~", LEN(A12)-LEN(SUBSTITUTE(A12,"|",""))))),
    LEN($A12)-LEN(SUBSTITUTE($A12,"|",""))=13, MID($A12, FIND("~", SUBSTITUTE($A12,"|","~", 11))+1, FIND("~", SUBSTITUTE($A12,"|","~", 12))-FIND("~", SUBSTITUTE($A12,"|","~", 11))-1),
    LEN($A12)-LEN(SUBSTITUTE($A12,"|",""))=14, MID($A12, FIND("~", SUBSTITUTE($A12,"|","~", 11))+1, FIND("~", SUBSTITUTE($A12,"|","~", 12))-FIND("~", SUBSTITUTE($A12,"|","~", 11))-1)
), "")</f>
        <v>5A5913</v>
      </c>
      <c r="M12" s="47" t="str">
        <f t="shared" si="0"/>
        <v>SB120174/1/25</v>
      </c>
      <c r="N12" s="46" t="str">
        <f t="shared" si="3"/>
        <v/>
      </c>
      <c r="O12" s="60">
        <v>27</v>
      </c>
      <c r="P12" s="60">
        <v>963</v>
      </c>
      <c r="Q12" s="48">
        <v>189</v>
      </c>
      <c r="R12" s="48">
        <v>912</v>
      </c>
      <c r="S12" s="48"/>
      <c r="T12" s="48"/>
      <c r="U12" s="49"/>
      <c r="V12" s="49"/>
      <c r="W12" s="50">
        <f t="shared" si="1"/>
        <v>0</v>
      </c>
      <c r="X12" s="51" t="str">
        <f>IF(A12="", "", IF(COUNTIFS(C$3:C11, C12, D$3:D11, D12, G$3:G11, G12) &gt; 0, "", "11:00"-AW12))</f>
        <v/>
      </c>
      <c r="Y12" s="52" t="str">
        <f t="shared" si="8"/>
        <v/>
      </c>
      <c r="Z12" s="53"/>
      <c r="AA12" s="54"/>
      <c r="AB12" s="53"/>
      <c r="AC12" s="54"/>
      <c r="AD12" s="53"/>
      <c r="AE12" s="54"/>
      <c r="AF12" s="53"/>
      <c r="AG12" s="54"/>
      <c r="AH12" s="55">
        <v>4.1666666666666699E-2</v>
      </c>
      <c r="AI12" s="53"/>
      <c r="AJ12" s="54"/>
      <c r="AK12" s="53"/>
      <c r="AL12" s="54"/>
      <c r="AM12" s="53"/>
      <c r="AN12" s="54"/>
      <c r="AO12" s="53"/>
      <c r="AP12" s="54"/>
      <c r="AQ12" s="53">
        <v>4.1666666666666664E-2</v>
      </c>
      <c r="AR12" s="54" t="s">
        <v>37</v>
      </c>
      <c r="AS12" s="53">
        <v>4.1666666666666664E-2</v>
      </c>
      <c r="AT12" s="54" t="s">
        <v>37</v>
      </c>
      <c r="AU12" s="53">
        <v>4.1666666666666699E-2</v>
      </c>
      <c r="AV12" s="54" t="s">
        <v>37</v>
      </c>
      <c r="AW12" s="57">
        <f t="shared" si="4"/>
        <v>0.12500000000000003</v>
      </c>
      <c r="AX12" s="58" t="s">
        <v>48</v>
      </c>
    </row>
    <row r="13" spans="1:50" ht="26.25" customHeight="1">
      <c r="A13" s="38" t="s">
        <v>51</v>
      </c>
      <c r="B13" s="39">
        <f t="shared" si="9"/>
        <v>9</v>
      </c>
      <c r="C13" s="40">
        <v>46027</v>
      </c>
      <c r="D13" s="40" t="s">
        <v>32</v>
      </c>
      <c r="E13" s="40" t="s">
        <v>33</v>
      </c>
      <c r="F13" s="41">
        <v>756.4</v>
      </c>
      <c r="G13" s="42" t="s">
        <v>46</v>
      </c>
      <c r="H13" s="43" t="str">
        <f>IFERROR(VLOOKUP($J13,'[9]FROM (3)'!$E$4:$F$230,2,FALSE),"")</f>
        <v>JATH</v>
      </c>
      <c r="I13" s="44" t="str">
        <f t="shared" si="6"/>
        <v>RACK BAR BLANK</v>
      </c>
      <c r="J13" s="44" t="str">
        <f t="shared" si="7"/>
        <v>JGF02-002190-31-2</v>
      </c>
      <c r="K13" s="59" t="str">
        <f t="shared" si="2"/>
        <v>PD25121245</v>
      </c>
      <c r="L13" s="46" t="str" cm="1">
        <f t="array" ref="L13">IFERROR(_xlfn.IFS(
    LEN($A13)-LEN(SUBSTITUTE($A13,"|",""))=12, RIGHT(A13, LEN(A13)-FIND("~", SUBSTITUTE(A13,"|","~", LEN(A13)-LEN(SUBSTITUTE(A13,"|",""))))),
    LEN($A13)-LEN(SUBSTITUTE($A13,"|",""))=13, MID($A13, FIND("~", SUBSTITUTE($A13,"|","~", 11))+1, FIND("~", SUBSTITUTE($A13,"|","~", 12))-FIND("~", SUBSTITUTE($A13,"|","~", 11))-1),
    LEN($A13)-LEN(SUBSTITUTE($A13,"|",""))=14, MID($A13, FIND("~", SUBSTITUTE($A13,"|","~", 11))+1, FIND("~", SUBSTITUTE($A13,"|","~", 12))-FIND("~", SUBSTITUTE($A13,"|","~", 11))-1)
), "")</f>
        <v>5A5913</v>
      </c>
      <c r="M13" s="47" t="str">
        <f t="shared" si="0"/>
        <v>SB120174/2/25</v>
      </c>
      <c r="N13" s="46" t="str">
        <f t="shared" si="3"/>
        <v/>
      </c>
      <c r="O13" s="60">
        <v>27</v>
      </c>
      <c r="P13" s="60">
        <v>963</v>
      </c>
      <c r="Q13" s="48">
        <v>189</v>
      </c>
      <c r="R13" s="48">
        <v>912</v>
      </c>
      <c r="S13" s="48"/>
      <c r="T13" s="48"/>
      <c r="U13" s="49"/>
      <c r="V13" s="49"/>
      <c r="W13" s="50">
        <f t="shared" si="1"/>
        <v>0</v>
      </c>
      <c r="X13" s="51" t="str">
        <f>IF(A13="", "", IF(COUNTIFS(C$3:C12, C13, D$3:D12, D13, G$3:G12, G13) &gt; 0, "", "11:00"-AW13))</f>
        <v/>
      </c>
      <c r="Y13" s="52" t="str">
        <f t="shared" si="8"/>
        <v/>
      </c>
      <c r="Z13" s="53"/>
      <c r="AA13" s="54"/>
      <c r="AB13" s="53"/>
      <c r="AC13" s="54"/>
      <c r="AD13" s="53"/>
      <c r="AE13" s="54"/>
      <c r="AF13" s="53"/>
      <c r="AG13" s="54"/>
      <c r="AH13" s="55">
        <v>4.1666666666666699E-2</v>
      </c>
      <c r="AI13" s="53"/>
      <c r="AJ13" s="54"/>
      <c r="AK13" s="53"/>
      <c r="AL13" s="54"/>
      <c r="AM13" s="53"/>
      <c r="AN13" s="54"/>
      <c r="AO13" s="53"/>
      <c r="AP13" s="54"/>
      <c r="AQ13" s="53">
        <v>4.1666666666666664E-2</v>
      </c>
      <c r="AR13" s="54" t="s">
        <v>37</v>
      </c>
      <c r="AS13" s="53">
        <v>4.1666666666666664E-2</v>
      </c>
      <c r="AT13" s="54" t="s">
        <v>37</v>
      </c>
      <c r="AU13" s="53">
        <v>4.1666666666666699E-2</v>
      </c>
      <c r="AV13" s="54" t="s">
        <v>37</v>
      </c>
      <c r="AW13" s="57">
        <f t="shared" si="4"/>
        <v>0.12500000000000003</v>
      </c>
      <c r="AX13" s="58" t="s">
        <v>48</v>
      </c>
    </row>
    <row r="14" spans="1:50" ht="26.25" customHeight="1">
      <c r="A14" s="38" t="s">
        <v>52</v>
      </c>
      <c r="B14" s="39">
        <f t="shared" si="9"/>
        <v>10</v>
      </c>
      <c r="C14" s="40">
        <v>46027</v>
      </c>
      <c r="D14" s="40" t="s">
        <v>32</v>
      </c>
      <c r="E14" s="40" t="s">
        <v>33</v>
      </c>
      <c r="F14" s="41">
        <v>756.4</v>
      </c>
      <c r="G14" s="42" t="s">
        <v>46</v>
      </c>
      <c r="H14" s="43" t="str">
        <f>IFERROR(VLOOKUP($J14,'[9]FROM (3)'!$E$4:$F$230,2,FALSE),"")</f>
        <v>JATH</v>
      </c>
      <c r="I14" s="44" t="str">
        <f t="shared" si="6"/>
        <v>RACK BAR BLANK</v>
      </c>
      <c r="J14" s="44" t="str">
        <f t="shared" si="7"/>
        <v>JGF02-002190-31-2</v>
      </c>
      <c r="K14" s="59" t="str">
        <f t="shared" si="2"/>
        <v>PD25121245</v>
      </c>
      <c r="L14" s="46" t="str" cm="1">
        <f t="array" ref="L14">IFERROR(_xlfn.IFS(
    LEN($A14)-LEN(SUBSTITUTE($A14,"|",""))=12, RIGHT(A14, LEN(A14)-FIND("~", SUBSTITUTE(A14,"|","~", LEN(A14)-LEN(SUBSTITUTE(A14,"|",""))))),
    LEN($A14)-LEN(SUBSTITUTE($A14,"|",""))=13, MID($A14, FIND("~", SUBSTITUTE($A14,"|","~", 11))+1, FIND("~", SUBSTITUTE($A14,"|","~", 12))-FIND("~", SUBSTITUTE($A14,"|","~", 11))-1),
    LEN($A14)-LEN(SUBSTITUTE($A14,"|",""))=14, MID($A14, FIND("~", SUBSTITUTE($A14,"|","~", 11))+1, FIND("~", SUBSTITUTE($A14,"|","~", 12))-FIND("~", SUBSTITUTE($A14,"|","~", 11))-1)
), "")</f>
        <v>5A5913</v>
      </c>
      <c r="M14" s="47" t="str">
        <f t="shared" si="0"/>
        <v>SB120174/3/25</v>
      </c>
      <c r="N14" s="46" t="str">
        <f t="shared" si="3"/>
        <v/>
      </c>
      <c r="O14" s="60">
        <v>27</v>
      </c>
      <c r="P14" s="60">
        <v>963</v>
      </c>
      <c r="Q14" s="48">
        <v>54</v>
      </c>
      <c r="R14" s="48">
        <v>261</v>
      </c>
      <c r="S14" s="48"/>
      <c r="T14" s="48"/>
      <c r="U14" s="49"/>
      <c r="V14" s="49"/>
      <c r="W14" s="50">
        <f t="shared" si="1"/>
        <v>0</v>
      </c>
      <c r="X14" s="51" t="str">
        <f>IF(A14="", "", IF(COUNTIFS(C$3:C13, C14, D$3:D13, D14, G$3:G13, G14) &gt; 0, "", "11:00"-AW14))</f>
        <v/>
      </c>
      <c r="Y14" s="52" t="str">
        <f t="shared" si="8"/>
        <v/>
      </c>
      <c r="Z14" s="53"/>
      <c r="AA14" s="54"/>
      <c r="AB14" s="53"/>
      <c r="AC14" s="54"/>
      <c r="AD14" s="53"/>
      <c r="AE14" s="54"/>
      <c r="AF14" s="53"/>
      <c r="AG14" s="54"/>
      <c r="AH14" s="55">
        <v>4.1666666666666699E-2</v>
      </c>
      <c r="AI14" s="53"/>
      <c r="AJ14" s="54"/>
      <c r="AK14" s="53"/>
      <c r="AL14" s="54"/>
      <c r="AM14" s="53"/>
      <c r="AN14" s="54"/>
      <c r="AO14" s="53"/>
      <c r="AP14" s="54"/>
      <c r="AQ14" s="53">
        <v>4.1666666666666664E-2</v>
      </c>
      <c r="AR14" s="54" t="s">
        <v>37</v>
      </c>
      <c r="AS14" s="53">
        <v>4.1666666666666664E-2</v>
      </c>
      <c r="AT14" s="54" t="s">
        <v>37</v>
      </c>
      <c r="AU14" s="53">
        <v>4.1666666666666699E-2</v>
      </c>
      <c r="AV14" s="54" t="s">
        <v>37</v>
      </c>
      <c r="AW14" s="57">
        <f t="shared" si="4"/>
        <v>0.12500000000000003</v>
      </c>
      <c r="AX14" s="58" t="s">
        <v>48</v>
      </c>
    </row>
    <row r="15" spans="1:50" ht="26.25" customHeight="1">
      <c r="A15" s="38" t="s">
        <v>53</v>
      </c>
      <c r="B15" s="39">
        <f t="shared" si="9"/>
        <v>11</v>
      </c>
      <c r="C15" s="40">
        <v>46027</v>
      </c>
      <c r="D15" s="40" t="s">
        <v>32</v>
      </c>
      <c r="E15" s="40" t="s">
        <v>33</v>
      </c>
      <c r="F15" s="41">
        <v>698.5</v>
      </c>
      <c r="G15" s="42" t="s">
        <v>54</v>
      </c>
      <c r="H15" s="43" t="str">
        <f>IFERROR(VLOOKUP($J15,'[9]FROM (3)'!$E$4:$F$230,2,FALSE),"")</f>
        <v>JCTTH</v>
      </c>
      <c r="I15" s="44" t="str">
        <f t="shared" si="6"/>
        <v>RACK BAR</v>
      </c>
      <c r="J15" s="44" t="str">
        <f t="shared" si="7"/>
        <v>JGD10-000751/000761-A</v>
      </c>
      <c r="K15" s="59" t="str">
        <f t="shared" si="2"/>
        <v>PD25121271</v>
      </c>
      <c r="L15" s="46" t="str" cm="1">
        <f t="array" ref="L15">IFERROR(_xlfn.IFS(
    LEN($A15)-LEN(SUBSTITUTE($A15,"|",""))=12, RIGHT(A15, LEN(A15)-FIND("~", SUBSTITUTE(A15,"|","~", LEN(A15)-LEN(SUBSTITUTE(A15,"|",""))))),
    LEN($A15)-LEN(SUBSTITUTE($A15,"|",""))=13, MID($A15, FIND("~", SUBSTITUTE($A15,"|","~", 11))+1, FIND("~", SUBSTITUTE($A15,"|","~", 12))-FIND("~", SUBSTITUTE($A15,"|","~", 11))-1),
    LEN($A15)-LEN(SUBSTITUTE($A15,"|",""))=14, MID($A15, FIND("~", SUBSTITUTE($A15,"|","~", 11))+1, FIND("~", SUBSTITUTE($A15,"|","~", 12))-FIND("~", SUBSTITUTE($A15,"|","~", 11))-1)
), "")</f>
        <v>665077</v>
      </c>
      <c r="M15" s="47" t="str">
        <f t="shared" si="0"/>
        <v>SB120180/3/25</v>
      </c>
      <c r="N15" s="46" t="str">
        <f t="shared" si="3"/>
        <v/>
      </c>
      <c r="O15" s="60"/>
      <c r="P15" s="60"/>
      <c r="Q15" s="48">
        <v>5</v>
      </c>
      <c r="R15" s="48">
        <v>22</v>
      </c>
      <c r="S15" s="48"/>
      <c r="T15" s="48"/>
      <c r="U15" s="49"/>
      <c r="V15" s="49"/>
      <c r="W15" s="50">
        <f t="shared" si="1"/>
        <v>0</v>
      </c>
      <c r="X15" s="51">
        <f>IF(A15="", "", IF(COUNTIFS(C$3:C14, C15, D$3:D14, D15, G$3:G14, G15) &gt; 0, "", "11:00"-AW15))</f>
        <v>0.31249999999999994</v>
      </c>
      <c r="Y15" s="52" t="str">
        <f t="shared" si="8"/>
        <v>1:0</v>
      </c>
      <c r="Z15" s="53">
        <v>2.0833333333333332E-2</v>
      </c>
      <c r="AA15" s="54" t="s">
        <v>55</v>
      </c>
      <c r="AB15" s="53"/>
      <c r="AC15" s="54"/>
      <c r="AD15" s="53"/>
      <c r="AE15" s="54"/>
      <c r="AF15" s="53"/>
      <c r="AG15" s="54"/>
      <c r="AH15" s="55">
        <v>4.1666666666666699E-2</v>
      </c>
      <c r="AI15" s="53"/>
      <c r="AJ15" s="54"/>
      <c r="AK15" s="53"/>
      <c r="AL15" s="54"/>
      <c r="AM15" s="53"/>
      <c r="AN15" s="54"/>
      <c r="AO15" s="53"/>
      <c r="AP15" s="54"/>
      <c r="AQ15" s="53">
        <v>4.1666666666666664E-2</v>
      </c>
      <c r="AR15" s="54" t="s">
        <v>37</v>
      </c>
      <c r="AS15" s="53">
        <v>4.1666666666666664E-2</v>
      </c>
      <c r="AT15" s="54" t="s">
        <v>37</v>
      </c>
      <c r="AU15" s="53">
        <v>4.1666666666666699E-2</v>
      </c>
      <c r="AV15" s="54" t="s">
        <v>37</v>
      </c>
      <c r="AW15" s="57">
        <f t="shared" si="4"/>
        <v>0.14583333333333337</v>
      </c>
      <c r="AX15" s="58" t="s">
        <v>56</v>
      </c>
    </row>
    <row r="16" spans="1:50" ht="26.25" customHeight="1">
      <c r="A16" s="38" t="s">
        <v>57</v>
      </c>
      <c r="B16" s="39">
        <f t="shared" si="9"/>
        <v>12</v>
      </c>
      <c r="C16" s="40">
        <v>46027</v>
      </c>
      <c r="D16" s="40" t="s">
        <v>32</v>
      </c>
      <c r="E16" s="40" t="s">
        <v>33</v>
      </c>
      <c r="F16" s="41">
        <v>698.5</v>
      </c>
      <c r="G16" s="42" t="s">
        <v>54</v>
      </c>
      <c r="H16" s="43" t="str">
        <f>IFERROR(VLOOKUP($J16,'[9]FROM (3)'!$E$4:$F$230,2,FALSE),"")</f>
        <v>JCTTH</v>
      </c>
      <c r="I16" s="44" t="str">
        <f t="shared" si="6"/>
        <v>RACK BAR</v>
      </c>
      <c r="J16" s="44" t="str">
        <f t="shared" si="7"/>
        <v>JGD10-000751/000761-A</v>
      </c>
      <c r="K16" s="59" t="str">
        <f t="shared" si="2"/>
        <v>PD25121271</v>
      </c>
      <c r="L16" s="46" t="str" cm="1">
        <f t="array" ref="L16">IFERROR(_xlfn.IFS(
    LEN($A16)-LEN(SUBSTITUTE($A16,"|",""))=12, RIGHT(A16, LEN(A16)-FIND("~", SUBSTITUTE(A16,"|","~", LEN(A16)-LEN(SUBSTITUTE(A16,"|",""))))),
    LEN($A16)-LEN(SUBSTITUTE($A16,"|",""))=13, MID($A16, FIND("~", SUBSTITUTE($A16,"|","~", 11))+1, FIND("~", SUBSTITUTE($A16,"|","~", 12))-FIND("~", SUBSTITUTE($A16,"|","~", 11))-1),
    LEN($A16)-LEN(SUBSTITUTE($A16,"|",""))=14, MID($A16, FIND("~", SUBSTITUTE($A16,"|","~", 11))+1, FIND("~", SUBSTITUTE($A16,"|","~", 12))-FIND("~", SUBSTITUTE($A16,"|","~", 11))-1)
), "")</f>
        <v>665077</v>
      </c>
      <c r="M16" s="47" t="str">
        <f t="shared" si="0"/>
        <v>SB120180/2/25</v>
      </c>
      <c r="N16" s="46" t="str">
        <f t="shared" si="3"/>
        <v/>
      </c>
      <c r="O16" s="60">
        <v>51</v>
      </c>
      <c r="P16" s="60">
        <v>986</v>
      </c>
      <c r="Q16" s="48">
        <v>204</v>
      </c>
      <c r="R16" s="48">
        <v>913</v>
      </c>
      <c r="S16" s="48"/>
      <c r="T16" s="48"/>
      <c r="U16" s="49"/>
      <c r="V16" s="49"/>
      <c r="W16" s="50">
        <f t="shared" si="1"/>
        <v>0</v>
      </c>
      <c r="X16" s="51" t="str">
        <f>IF(A16="", "", IF(COUNTIFS(C$3:C15, C16, D$3:D15, D16, G$3:G15, G16) &gt; 0, "", "11:00"-AW16))</f>
        <v/>
      </c>
      <c r="Y16" s="52" t="str">
        <f t="shared" si="8"/>
        <v/>
      </c>
      <c r="Z16" s="53"/>
      <c r="AA16" s="54"/>
      <c r="AB16" s="53"/>
      <c r="AC16" s="54"/>
      <c r="AD16" s="53"/>
      <c r="AE16" s="54"/>
      <c r="AF16" s="53"/>
      <c r="AG16" s="54"/>
      <c r="AH16" s="55">
        <v>4.1666666666666699E-2</v>
      </c>
      <c r="AI16" s="53"/>
      <c r="AJ16" s="54"/>
      <c r="AK16" s="53"/>
      <c r="AL16" s="54"/>
      <c r="AM16" s="53"/>
      <c r="AN16" s="54"/>
      <c r="AO16" s="53"/>
      <c r="AP16" s="54"/>
      <c r="AQ16" s="53"/>
      <c r="AR16" s="54"/>
      <c r="AS16" s="53"/>
      <c r="AT16" s="54"/>
      <c r="AU16" s="53">
        <v>4.1666666666666699E-2</v>
      </c>
      <c r="AV16" s="54" t="s">
        <v>37</v>
      </c>
      <c r="AW16" s="57">
        <f t="shared" si="4"/>
        <v>4.1666666666666699E-2</v>
      </c>
      <c r="AX16" s="58" t="s">
        <v>56</v>
      </c>
    </row>
    <row r="17" spans="1:50" ht="26.25" customHeight="1">
      <c r="A17" s="38" t="s">
        <v>58</v>
      </c>
      <c r="B17" s="39">
        <f t="shared" si="9"/>
        <v>13</v>
      </c>
      <c r="C17" s="40">
        <v>46027</v>
      </c>
      <c r="D17" s="40" t="s">
        <v>32</v>
      </c>
      <c r="E17" s="40" t="s">
        <v>33</v>
      </c>
      <c r="F17" s="41">
        <v>698.5</v>
      </c>
      <c r="G17" s="42" t="s">
        <v>54</v>
      </c>
      <c r="H17" s="43" t="str">
        <f>IFERROR(VLOOKUP($J17,'[9]FROM (3)'!$E$4:$F$230,2,FALSE),"")</f>
        <v>JCTTH</v>
      </c>
      <c r="I17" s="44" t="str">
        <f t="shared" si="6"/>
        <v>RACK BAR</v>
      </c>
      <c r="J17" s="44" t="str">
        <f t="shared" si="7"/>
        <v>JGD10-000751/000761-A</v>
      </c>
      <c r="K17" s="59" t="str">
        <f t="shared" si="2"/>
        <v>PD25121271</v>
      </c>
      <c r="L17" s="46" t="str" cm="1">
        <f t="array" ref="L17">IFERROR(_xlfn.IFS(
    LEN($A17)-LEN(SUBSTITUTE($A17,"|",""))=12, RIGHT(A17, LEN(A17)-FIND("~", SUBSTITUTE(A17,"|","~", LEN(A17)-LEN(SUBSTITUTE(A17,"|",""))))),
    LEN($A17)-LEN(SUBSTITUTE($A17,"|",""))=13, MID($A17, FIND("~", SUBSTITUTE($A17,"|","~", 11))+1, FIND("~", SUBSTITUTE($A17,"|","~", 12))-FIND("~", SUBSTITUTE($A17,"|","~", 11))-1),
    LEN($A17)-LEN(SUBSTITUTE($A17,"|",""))=14, MID($A17, FIND("~", SUBSTITUTE($A17,"|","~", 11))+1, FIND("~", SUBSTITUTE($A17,"|","~", 12))-FIND("~", SUBSTITUTE($A17,"|","~", 11))-1)
), "")</f>
        <v>665077</v>
      </c>
      <c r="M17" s="47" t="str">
        <f t="shared" si="0"/>
        <v>SB120180/1/25</v>
      </c>
      <c r="N17" s="46" t="str">
        <f t="shared" si="3"/>
        <v/>
      </c>
      <c r="O17" s="60">
        <v>51</v>
      </c>
      <c r="P17" s="60">
        <v>986</v>
      </c>
      <c r="Q17" s="48">
        <v>204</v>
      </c>
      <c r="R17" s="48">
        <v>913</v>
      </c>
      <c r="S17" s="48"/>
      <c r="T17" s="48"/>
      <c r="U17" s="49">
        <v>195</v>
      </c>
      <c r="V17" s="49">
        <v>10</v>
      </c>
      <c r="W17" s="50">
        <f t="shared" si="1"/>
        <v>205</v>
      </c>
      <c r="X17" s="51" t="str">
        <f>IF(A17="", "", IF(COUNTIFS(C$3:C16, C17, D$3:D16, D17, G$3:G16, G17) &gt; 0, "", "11:00"-AW17))</f>
        <v/>
      </c>
      <c r="Y17" s="52" t="str">
        <f t="shared" si="8"/>
        <v/>
      </c>
      <c r="Z17" s="53"/>
      <c r="AA17" s="54"/>
      <c r="AB17" s="53"/>
      <c r="AC17" s="54"/>
      <c r="AD17" s="53"/>
      <c r="AE17" s="54"/>
      <c r="AF17" s="53"/>
      <c r="AG17" s="54"/>
      <c r="AH17" s="55">
        <v>4.1666666666666699E-2</v>
      </c>
      <c r="AI17" s="53"/>
      <c r="AJ17" s="54"/>
      <c r="AK17" s="53"/>
      <c r="AL17" s="54"/>
      <c r="AM17" s="53"/>
      <c r="AN17" s="54"/>
      <c r="AO17" s="53"/>
      <c r="AP17" s="54"/>
      <c r="AQ17" s="53"/>
      <c r="AR17" s="54"/>
      <c r="AS17" s="53"/>
      <c r="AT17" s="54"/>
      <c r="AU17" s="53">
        <v>4.1666666666666699E-2</v>
      </c>
      <c r="AV17" s="54" t="s">
        <v>37</v>
      </c>
      <c r="AW17" s="57">
        <f t="shared" si="4"/>
        <v>4.1666666666666699E-2</v>
      </c>
      <c r="AX17" s="58" t="s">
        <v>56</v>
      </c>
    </row>
    <row r="18" spans="1:50" ht="26.25" customHeight="1">
      <c r="A18" s="38" t="s">
        <v>59</v>
      </c>
      <c r="B18" s="39">
        <f t="shared" si="9"/>
        <v>14</v>
      </c>
      <c r="C18" s="40">
        <v>46027</v>
      </c>
      <c r="D18" s="40" t="s">
        <v>32</v>
      </c>
      <c r="E18" s="40" t="s">
        <v>33</v>
      </c>
      <c r="F18" s="41">
        <v>698.5</v>
      </c>
      <c r="G18" s="42" t="s">
        <v>54</v>
      </c>
      <c r="H18" s="43" t="str">
        <f>IFERROR(VLOOKUP($J18,'[9]FROM (3)'!$E$4:$F$230,2,FALSE),"")</f>
        <v>JCTTH</v>
      </c>
      <c r="I18" s="44" t="str">
        <f t="shared" si="6"/>
        <v>RACK BAR</v>
      </c>
      <c r="J18" s="44" t="str">
        <f t="shared" si="7"/>
        <v>JGD10-000751/000761-A</v>
      </c>
      <c r="K18" s="59" t="str">
        <f t="shared" si="2"/>
        <v>PD25121274</v>
      </c>
      <c r="L18" s="46" t="str" cm="1">
        <f t="array" ref="L18">IFERROR(_xlfn.IFS(
    LEN($A18)-LEN(SUBSTITUTE($A18,"|",""))=12, RIGHT(A18, LEN(A18)-FIND("~", SUBSTITUTE(A18,"|","~", LEN(A18)-LEN(SUBSTITUTE(A18,"|",""))))),
    LEN($A18)-LEN(SUBSTITUTE($A18,"|",""))=13, MID($A18, FIND("~", SUBSTITUTE($A18,"|","~", 11))+1, FIND("~", SUBSTITUTE($A18,"|","~", 12))-FIND("~", SUBSTITUTE($A18,"|","~", 11))-1),
    LEN($A18)-LEN(SUBSTITUTE($A18,"|",""))=14, MID($A18, FIND("~", SUBSTITUTE($A18,"|","~", 11))+1, FIND("~", SUBSTITUTE($A18,"|","~", 12))-FIND("~", SUBSTITUTE($A18,"|","~", 11))-1)
), "")</f>
        <v>665077</v>
      </c>
      <c r="M18" s="47" t="str">
        <f t="shared" si="0"/>
        <v>SB120183/4/25</v>
      </c>
      <c r="N18" s="46" t="str">
        <f t="shared" si="3"/>
        <v/>
      </c>
      <c r="O18" s="60">
        <v>51</v>
      </c>
      <c r="P18" s="60">
        <v>990</v>
      </c>
      <c r="Q18" s="48">
        <v>204</v>
      </c>
      <c r="R18" s="48">
        <v>913</v>
      </c>
      <c r="S18" s="48"/>
      <c r="T18" s="48"/>
      <c r="U18" s="49"/>
      <c r="V18" s="49"/>
      <c r="W18" s="50">
        <f t="shared" si="1"/>
        <v>0</v>
      </c>
      <c r="X18" s="51" t="str">
        <f>IF(A18="", "", IF(COUNTIFS(C$3:C17, C18, D$3:D17, D18, G$3:G17, G18) &gt; 0, "", "11:00"-AW18))</f>
        <v/>
      </c>
      <c r="Y18" s="52" t="str">
        <f t="shared" si="8"/>
        <v/>
      </c>
      <c r="Z18" s="53"/>
      <c r="AA18" s="54"/>
      <c r="AB18" s="53"/>
      <c r="AC18" s="54"/>
      <c r="AD18" s="53"/>
      <c r="AE18" s="54"/>
      <c r="AF18" s="53"/>
      <c r="AG18" s="54"/>
      <c r="AH18" s="55">
        <v>4.1666666666666699E-2</v>
      </c>
      <c r="AI18" s="53"/>
      <c r="AJ18" s="54"/>
      <c r="AK18" s="53"/>
      <c r="AL18" s="54"/>
      <c r="AM18" s="53"/>
      <c r="AN18" s="54"/>
      <c r="AO18" s="53"/>
      <c r="AP18" s="54"/>
      <c r="AQ18" s="53"/>
      <c r="AR18" s="54"/>
      <c r="AS18" s="53"/>
      <c r="AT18" s="54"/>
      <c r="AU18" s="53">
        <v>4.1666666666666699E-2</v>
      </c>
      <c r="AV18" s="54" t="s">
        <v>37</v>
      </c>
      <c r="AW18" s="57">
        <f t="shared" si="4"/>
        <v>4.1666666666666699E-2</v>
      </c>
      <c r="AX18" s="58" t="s">
        <v>56</v>
      </c>
    </row>
    <row r="19" spans="1:50" ht="26.25" customHeight="1">
      <c r="A19" s="38" t="s">
        <v>60</v>
      </c>
      <c r="B19" s="39">
        <f t="shared" si="9"/>
        <v>15</v>
      </c>
      <c r="C19" s="40">
        <v>46027</v>
      </c>
      <c r="D19" s="40" t="s">
        <v>32</v>
      </c>
      <c r="E19" s="40" t="s">
        <v>33</v>
      </c>
      <c r="F19" s="41">
        <v>698.5</v>
      </c>
      <c r="G19" s="42" t="s">
        <v>54</v>
      </c>
      <c r="H19" s="43" t="str">
        <f>IFERROR(VLOOKUP($J19,'[9]FROM (3)'!$E$4:$F$230,2,FALSE),"")</f>
        <v>JCTTH</v>
      </c>
      <c r="I19" s="44" t="str">
        <f t="shared" si="6"/>
        <v>RACK BAR</v>
      </c>
      <c r="J19" s="44" t="str">
        <f t="shared" si="7"/>
        <v>JGD10-000751/000761-A</v>
      </c>
      <c r="K19" s="59" t="str">
        <f t="shared" si="2"/>
        <v>PD25121274</v>
      </c>
      <c r="L19" s="46" t="str" cm="1">
        <f t="array" ref="L19">IFERROR(_xlfn.IFS(
    LEN($A19)-LEN(SUBSTITUTE($A19,"|",""))=12, RIGHT(A19, LEN(A19)-FIND("~", SUBSTITUTE(A19,"|","~", LEN(A19)-LEN(SUBSTITUTE(A19,"|",""))))),
    LEN($A19)-LEN(SUBSTITUTE($A19,"|",""))=13, MID($A19, FIND("~", SUBSTITUTE($A19,"|","~", 11))+1, FIND("~", SUBSTITUTE($A19,"|","~", 12))-FIND("~", SUBSTITUTE($A19,"|","~", 11))-1),
    LEN($A19)-LEN(SUBSTITUTE($A19,"|",""))=14, MID($A19, FIND("~", SUBSTITUTE($A19,"|","~", 11))+1, FIND("~", SUBSTITUTE($A19,"|","~", 12))-FIND("~", SUBSTITUTE($A19,"|","~", 11))-1)
), "")</f>
        <v>665077</v>
      </c>
      <c r="M19" s="47" t="str">
        <f t="shared" si="0"/>
        <v>SB120183/3/25</v>
      </c>
      <c r="N19" s="46" t="str">
        <f t="shared" si="3"/>
        <v/>
      </c>
      <c r="O19" s="60">
        <v>51</v>
      </c>
      <c r="P19" s="60">
        <v>990</v>
      </c>
      <c r="Q19" s="48">
        <v>203</v>
      </c>
      <c r="R19" s="48">
        <v>908</v>
      </c>
      <c r="S19" s="48"/>
      <c r="T19" s="48"/>
      <c r="U19" s="49">
        <v>131</v>
      </c>
      <c r="V19" s="49">
        <v>7</v>
      </c>
      <c r="W19" s="50">
        <f t="shared" si="1"/>
        <v>138</v>
      </c>
      <c r="X19" s="51" t="str">
        <f>IF(A19="", "", IF(COUNTIFS(C$3:C18, C19, D$3:D18, D19, G$3:G18, G19) &gt; 0, "", "11:00"-AW19))</f>
        <v/>
      </c>
      <c r="Y19" s="52" t="str">
        <f t="shared" si="8"/>
        <v/>
      </c>
      <c r="Z19" s="53"/>
      <c r="AA19" s="54"/>
      <c r="AB19" s="53"/>
      <c r="AC19" s="54"/>
      <c r="AD19" s="53"/>
      <c r="AE19" s="54"/>
      <c r="AF19" s="53"/>
      <c r="AG19" s="54"/>
      <c r="AH19" s="55">
        <v>4.1666666666666699E-2</v>
      </c>
      <c r="AI19" s="53"/>
      <c r="AJ19" s="54"/>
      <c r="AK19" s="53"/>
      <c r="AL19" s="54"/>
      <c r="AM19" s="53"/>
      <c r="AN19" s="54"/>
      <c r="AO19" s="53"/>
      <c r="AP19" s="54"/>
      <c r="AQ19" s="53"/>
      <c r="AR19" s="54"/>
      <c r="AS19" s="53"/>
      <c r="AT19" s="54"/>
      <c r="AU19" s="53">
        <v>4.1666666666666699E-2</v>
      </c>
      <c r="AV19" s="54" t="s">
        <v>37</v>
      </c>
      <c r="AW19" s="57">
        <f t="shared" si="4"/>
        <v>4.1666666666666699E-2</v>
      </c>
      <c r="AX19" s="58" t="s">
        <v>56</v>
      </c>
    </row>
    <row r="20" spans="1:50" ht="26.25" customHeight="1">
      <c r="A20" s="38" t="s">
        <v>61</v>
      </c>
      <c r="B20" s="39">
        <f t="shared" si="9"/>
        <v>16</v>
      </c>
      <c r="C20" s="40">
        <v>46027</v>
      </c>
      <c r="D20" s="40" t="s">
        <v>32</v>
      </c>
      <c r="E20" s="40" t="s">
        <v>33</v>
      </c>
      <c r="F20" s="41">
        <v>167.7</v>
      </c>
      <c r="G20" s="42" t="s">
        <v>62</v>
      </c>
      <c r="H20" s="43" t="str">
        <f>IFERROR(VLOOKUP($J20,'[9]FROM (3)'!$E$4:$F$230,2,FALSE),"")</f>
        <v>DNTH</v>
      </c>
      <c r="I20" s="44" t="str">
        <f t="shared" si="6"/>
        <v>SHAFT STARTER ARMATURE, 1W</v>
      </c>
      <c r="J20" s="44" t="str">
        <f t="shared" si="7"/>
        <v>TG028993-557B</v>
      </c>
      <c r="K20" s="59" t="str">
        <f t="shared" si="2"/>
        <v>PD25121165</v>
      </c>
      <c r="L20" s="46" t="str" cm="1">
        <f t="array" ref="L20">IFERROR(_xlfn.IFS(
    LEN($A20)-LEN(SUBSTITUTE($A20,"|",""))=12, RIGHT(A20, LEN(A20)-FIND("~", SUBSTITUTE(A20,"|","~", LEN(A20)-LEN(SUBSTITUTE(A20,"|",""))))),
    LEN($A20)-LEN(SUBSTITUTE($A20,"|",""))=13, MID($A20, FIND("~", SUBSTITUTE($A20,"|","~", 11))+1, FIND("~", SUBSTITUTE($A20,"|","~", 12))-FIND("~", SUBSTITUTE($A20,"|","~", 11))-1),
    LEN($A20)-LEN(SUBSTITUTE($A20,"|",""))=14, MID($A20, FIND("~", SUBSTITUTE($A20,"|","~", 11))+1, FIND("~", SUBSTITUTE($A20,"|","~", 12))-FIND("~", SUBSTITUTE($A20,"|","~", 11))-1)
), "")</f>
        <v>E586473</v>
      </c>
      <c r="M20" s="47" t="str">
        <f t="shared" si="0"/>
        <v>SB110189/8/25</v>
      </c>
      <c r="N20" s="46" t="str">
        <f t="shared" si="3"/>
        <v/>
      </c>
      <c r="O20" s="60">
        <v>35</v>
      </c>
      <c r="P20" s="60">
        <v>205</v>
      </c>
      <c r="Q20" s="48">
        <v>773</v>
      </c>
      <c r="R20" s="48">
        <v>185</v>
      </c>
      <c r="S20" s="48"/>
      <c r="T20" s="48"/>
      <c r="U20" s="49">
        <v>41</v>
      </c>
      <c r="V20" s="49">
        <v>7</v>
      </c>
      <c r="W20" s="50">
        <f t="shared" si="1"/>
        <v>48</v>
      </c>
      <c r="X20" s="51">
        <f>IF(A20="", "", IF(COUNTIFS(C$3:C19, C20, D$3:D19, D20, G$3:G19, G20) &gt; 0, "", "11:00"-AW20))</f>
        <v>0.29166666666666663</v>
      </c>
      <c r="Y20" s="52" t="str">
        <f t="shared" si="8"/>
        <v>1:0</v>
      </c>
      <c r="Z20" s="53">
        <v>4.1666666666666664E-2</v>
      </c>
      <c r="AA20" s="54" t="s">
        <v>63</v>
      </c>
      <c r="AB20" s="53"/>
      <c r="AC20" s="54"/>
      <c r="AD20" s="53"/>
      <c r="AE20" s="54"/>
      <c r="AF20" s="53"/>
      <c r="AG20" s="54"/>
      <c r="AH20" s="55">
        <v>4.1666666666666699E-2</v>
      </c>
      <c r="AI20" s="53"/>
      <c r="AJ20" s="54"/>
      <c r="AK20" s="53"/>
      <c r="AL20" s="54"/>
      <c r="AM20" s="53"/>
      <c r="AN20" s="54"/>
      <c r="AO20" s="53"/>
      <c r="AP20" s="54"/>
      <c r="AQ20" s="53">
        <v>4.1666666666666664E-2</v>
      </c>
      <c r="AR20" s="54" t="s">
        <v>37</v>
      </c>
      <c r="AS20" s="53">
        <v>4.1666666666666664E-2</v>
      </c>
      <c r="AT20" s="54" t="s">
        <v>37</v>
      </c>
      <c r="AU20" s="53">
        <v>4.1666666666666699E-2</v>
      </c>
      <c r="AV20" s="54" t="s">
        <v>37</v>
      </c>
      <c r="AW20" s="57">
        <f t="shared" si="4"/>
        <v>0.16666666666666669</v>
      </c>
      <c r="AX20" s="58" t="s">
        <v>64</v>
      </c>
    </row>
    <row r="21" spans="1:50" ht="26.25" customHeight="1">
      <c r="A21" s="38" t="s">
        <v>65</v>
      </c>
      <c r="B21" s="39">
        <f t="shared" si="9"/>
        <v>17</v>
      </c>
      <c r="C21" s="40">
        <v>46027</v>
      </c>
      <c r="D21" s="40" t="s">
        <v>32</v>
      </c>
      <c r="E21" s="40" t="s">
        <v>33</v>
      </c>
      <c r="F21" s="41">
        <v>765.7</v>
      </c>
      <c r="G21" s="42" t="s">
        <v>66</v>
      </c>
      <c r="H21" s="43" t="str">
        <f>IFERROR(VLOOKUP($J21,'[9]FROM (3)'!$E$4:$F$230,2,FALSE),"")</f>
        <v>JTCS</v>
      </c>
      <c r="I21" s="44" t="str">
        <f t="shared" si="6"/>
        <v>RACK, PS</v>
      </c>
      <c r="J21" s="44" t="str">
        <f t="shared" si="7"/>
        <v>JGD10S00670-B</v>
      </c>
      <c r="K21" s="59" t="str">
        <f t="shared" si="2"/>
        <v>PD25121170</v>
      </c>
      <c r="L21" s="46" t="str" cm="1">
        <f t="array" ref="L21">IFERROR(_xlfn.IFS(
    LEN($A21)-LEN(SUBSTITUTE($A21,"|",""))=12, RIGHT(A21, LEN(A21)-FIND("~", SUBSTITUTE(A21,"|","~", LEN(A21)-LEN(SUBSTITUTE(A21,"|",""))))),
    LEN($A21)-LEN(SUBSTITUTE($A21,"|",""))=13, MID($A21, FIND("~", SUBSTITUTE($A21,"|","~", 11))+1, FIND("~", SUBSTITUTE($A21,"|","~", 12))-FIND("~", SUBSTITUTE($A21,"|","~", 11))-1),
    LEN($A21)-LEN(SUBSTITUTE($A21,"|",""))=14, MID($A21, FIND("~", SUBSTITUTE($A21,"|","~", 11))+1, FIND("~", SUBSTITUTE($A21,"|","~", 12))-FIND("~", SUBSTITUTE($A21,"|","~", 11))-1)
), "")</f>
        <v>E586446</v>
      </c>
      <c r="M21" s="47" t="str">
        <f t="shared" si="0"/>
        <v>SB120167/1/25</v>
      </c>
      <c r="N21" s="46" t="str">
        <f t="shared" si="3"/>
        <v/>
      </c>
      <c r="O21" s="60">
        <v>4</v>
      </c>
      <c r="P21" s="60">
        <v>142</v>
      </c>
      <c r="Q21" s="48">
        <v>26</v>
      </c>
      <c r="R21" s="48">
        <v>128</v>
      </c>
      <c r="S21" s="48"/>
      <c r="T21" s="48"/>
      <c r="U21" s="49"/>
      <c r="V21" s="49"/>
      <c r="W21" s="50">
        <f t="shared" si="1"/>
        <v>0</v>
      </c>
      <c r="X21" s="51">
        <f>IF(A21="", "", IF(COUNTIFS(C$3:C20, C21, D$3:D20, D21, G$3:G20, G21) &gt; 0, "", "11:00"-AW21))</f>
        <v>0.35416666666666663</v>
      </c>
      <c r="Y21" s="52" t="str">
        <f t="shared" si="8"/>
        <v>1:40</v>
      </c>
      <c r="Z21" s="53">
        <v>2.0833333333333332E-2</v>
      </c>
      <c r="AA21" s="54" t="s">
        <v>55</v>
      </c>
      <c r="AB21" s="53">
        <v>4.1666666666666664E-2</v>
      </c>
      <c r="AC21" s="54" t="s">
        <v>67</v>
      </c>
      <c r="AD21" s="53"/>
      <c r="AE21" s="54"/>
      <c r="AF21" s="53"/>
      <c r="AG21" s="54"/>
      <c r="AH21" s="55">
        <v>4.1666666666666699E-2</v>
      </c>
      <c r="AI21" s="53"/>
      <c r="AJ21" s="54"/>
      <c r="AK21" s="53"/>
      <c r="AL21" s="54"/>
      <c r="AM21" s="53"/>
      <c r="AN21" s="54"/>
      <c r="AO21" s="53"/>
      <c r="AP21" s="54"/>
      <c r="AQ21" s="53"/>
      <c r="AR21" s="54"/>
      <c r="AS21" s="53"/>
      <c r="AT21" s="54"/>
      <c r="AU21" s="53">
        <v>4.1666666666666699E-2</v>
      </c>
      <c r="AV21" s="54" t="s">
        <v>37</v>
      </c>
      <c r="AW21" s="57">
        <f t="shared" si="4"/>
        <v>0.1041666666666667</v>
      </c>
      <c r="AX21" s="58" t="s">
        <v>68</v>
      </c>
    </row>
    <row r="22" spans="1:50" ht="26.25" customHeight="1">
      <c r="A22" s="61" t="s">
        <v>69</v>
      </c>
      <c r="B22" s="39">
        <f t="shared" si="9"/>
        <v>18</v>
      </c>
      <c r="C22" s="40">
        <v>46027</v>
      </c>
      <c r="D22" s="40" t="s">
        <v>32</v>
      </c>
      <c r="E22" s="40" t="s">
        <v>33</v>
      </c>
      <c r="F22" s="41">
        <v>765.7</v>
      </c>
      <c r="G22" s="42" t="s">
        <v>66</v>
      </c>
      <c r="H22" s="43" t="str">
        <f>IFERROR(VLOOKUP($J22,'[9]FROM (3)'!$E$4:$F$230,2,FALSE),"")</f>
        <v>JTCS</v>
      </c>
      <c r="I22" s="44" t="str">
        <f t="shared" si="6"/>
        <v>RACK, PS</v>
      </c>
      <c r="J22" s="44" t="str">
        <f t="shared" si="7"/>
        <v>JGD10S00670-B</v>
      </c>
      <c r="K22" s="59" t="str">
        <f t="shared" si="2"/>
        <v>PD25121170</v>
      </c>
      <c r="L22" s="46" t="str" cm="1">
        <f t="array" ref="L22">IFERROR(_xlfn.IFS(
    LEN($A22)-LEN(SUBSTITUTE($A22,"|",""))=12, RIGHT(A22, LEN(A22)-FIND("~", SUBSTITUTE(A22,"|","~", LEN(A22)-LEN(SUBSTITUTE(A22,"|",""))))),
    LEN($A22)-LEN(SUBSTITUTE($A22,"|",""))=13, MID($A22, FIND("~", SUBSTITUTE($A22,"|","~", 11))+1, FIND("~", SUBSTITUTE($A22,"|","~", 12))-FIND("~", SUBSTITUTE($A22,"|","~", 11))-1),
    LEN($A22)-LEN(SUBSTITUTE($A22,"|",""))=14, MID($A22, FIND("~", SUBSTITUTE($A22,"|","~", 11))+1, FIND("~", SUBSTITUTE($A22,"|","~", 12))-FIND("~", SUBSTITUTE($A22,"|","~", 11))-1)
), "")</f>
        <v>E586446</v>
      </c>
      <c r="M22" s="47" t="str">
        <f t="shared" si="0"/>
        <v>SB120167/2/25</v>
      </c>
      <c r="N22" s="46" t="str">
        <f t="shared" si="3"/>
        <v/>
      </c>
      <c r="O22" s="60">
        <v>25</v>
      </c>
      <c r="P22" s="60">
        <v>890</v>
      </c>
      <c r="Q22" s="48">
        <v>175</v>
      </c>
      <c r="R22" s="48">
        <v>859</v>
      </c>
      <c r="S22" s="48"/>
      <c r="T22" s="48"/>
      <c r="U22" s="49">
        <v>62</v>
      </c>
      <c r="V22" s="49">
        <v>6</v>
      </c>
      <c r="W22" s="50">
        <f t="shared" si="1"/>
        <v>68</v>
      </c>
      <c r="X22" s="51" t="str">
        <f>IF(A22="", "", IF(COUNTIFS(C$3:C21, C22, D$3:D21, D22, G$3:G21, G22) &gt; 0, "", "11:00"-AW22))</f>
        <v/>
      </c>
      <c r="Y22" s="52" t="str">
        <f t="shared" si="8"/>
        <v/>
      </c>
      <c r="Z22" s="53"/>
      <c r="AA22" s="54"/>
      <c r="AB22" s="53"/>
      <c r="AC22" s="54"/>
      <c r="AD22" s="53"/>
      <c r="AE22" s="54"/>
      <c r="AF22" s="53"/>
      <c r="AG22" s="54"/>
      <c r="AH22" s="55">
        <v>4.1666666666666699E-2</v>
      </c>
      <c r="AI22" s="53"/>
      <c r="AJ22" s="54"/>
      <c r="AK22" s="53"/>
      <c r="AL22" s="54"/>
      <c r="AM22" s="53"/>
      <c r="AN22" s="54"/>
      <c r="AO22" s="53"/>
      <c r="AP22" s="54"/>
      <c r="AQ22" s="53"/>
      <c r="AR22" s="54"/>
      <c r="AS22" s="53"/>
      <c r="AT22" s="54"/>
      <c r="AU22" s="53">
        <v>4.1666666666666699E-2</v>
      </c>
      <c r="AV22" s="54" t="s">
        <v>37</v>
      </c>
      <c r="AW22" s="57">
        <f t="shared" si="4"/>
        <v>4.1666666666666699E-2</v>
      </c>
      <c r="AX22" s="58" t="s">
        <v>68</v>
      </c>
    </row>
    <row r="23" spans="1:50" ht="26.25" customHeight="1">
      <c r="A23" s="38" t="s">
        <v>70</v>
      </c>
      <c r="B23" s="39">
        <f t="shared" si="9"/>
        <v>19</v>
      </c>
      <c r="C23" s="40">
        <v>46027</v>
      </c>
      <c r="D23" s="40" t="s">
        <v>32</v>
      </c>
      <c r="E23" s="40" t="s">
        <v>33</v>
      </c>
      <c r="F23" s="41">
        <v>765.7</v>
      </c>
      <c r="G23" s="42" t="s">
        <v>66</v>
      </c>
      <c r="H23" s="43" t="str">
        <f>IFERROR(VLOOKUP($J23,'[9]FROM (3)'!$E$4:$F$230,2,FALSE),"")</f>
        <v>JTCS</v>
      </c>
      <c r="I23" s="44" t="str">
        <f t="shared" si="6"/>
        <v>RACK, PS</v>
      </c>
      <c r="J23" s="44" t="str">
        <f t="shared" si="7"/>
        <v>JGD10S00670-B</v>
      </c>
      <c r="K23" s="59" t="str">
        <f t="shared" si="2"/>
        <v>PD25121171</v>
      </c>
      <c r="L23" s="46" t="str" cm="1">
        <f t="array" ref="L23">IFERROR(_xlfn.IFS(
    LEN($A23)-LEN(SUBSTITUTE($A23,"|",""))=12, RIGHT(A23, LEN(A23)-FIND("~", SUBSTITUTE(A23,"|","~", LEN(A23)-LEN(SUBSTITUTE(A23,"|",""))))),
    LEN($A23)-LEN(SUBSTITUTE($A23,"|",""))=13, MID($A23, FIND("~", SUBSTITUTE($A23,"|","~", 11))+1, FIND("~", SUBSTITUTE($A23,"|","~", 12))-FIND("~", SUBSTITUTE($A23,"|","~", 11))-1),
    LEN($A23)-LEN(SUBSTITUTE($A23,"|",""))=14, MID($A23, FIND("~", SUBSTITUTE($A23,"|","~", 11))+1, FIND("~", SUBSTITUTE($A23,"|","~", 12))-FIND("~", SUBSTITUTE($A23,"|","~", 11))-1)
), "")</f>
        <v>E586446</v>
      </c>
      <c r="M23" s="47" t="str">
        <f t="shared" si="0"/>
        <v>SB120167/4/25</v>
      </c>
      <c r="N23" s="46" t="str">
        <f t="shared" si="3"/>
        <v/>
      </c>
      <c r="O23" s="60">
        <v>25</v>
      </c>
      <c r="P23" s="60">
        <v>890</v>
      </c>
      <c r="Q23" s="48">
        <v>175</v>
      </c>
      <c r="R23" s="48">
        <v>859</v>
      </c>
      <c r="S23" s="48"/>
      <c r="T23" s="48"/>
      <c r="U23" s="49"/>
      <c r="V23" s="49"/>
      <c r="W23" s="50">
        <f t="shared" si="1"/>
        <v>0</v>
      </c>
      <c r="X23" s="51" t="str">
        <f>IF(A23="", "", IF(COUNTIFS(C$3:C22, C23, D$3:D22, D23, G$3:G22, G23) &gt; 0, "", "11:00"-AW23))</f>
        <v/>
      </c>
      <c r="Y23" s="52" t="str">
        <f t="shared" si="8"/>
        <v/>
      </c>
      <c r="Z23" s="53"/>
      <c r="AA23" s="54"/>
      <c r="AB23" s="53"/>
      <c r="AC23" s="54"/>
      <c r="AD23" s="53"/>
      <c r="AE23" s="54"/>
      <c r="AF23" s="53"/>
      <c r="AG23" s="54"/>
      <c r="AH23" s="55">
        <v>4.1666666666666699E-2</v>
      </c>
      <c r="AI23" s="53"/>
      <c r="AJ23" s="54"/>
      <c r="AK23" s="53"/>
      <c r="AL23" s="54"/>
      <c r="AM23" s="53"/>
      <c r="AN23" s="54"/>
      <c r="AO23" s="53"/>
      <c r="AP23" s="54"/>
      <c r="AQ23" s="53"/>
      <c r="AR23" s="54"/>
      <c r="AS23" s="53"/>
      <c r="AT23" s="54"/>
      <c r="AU23" s="53">
        <v>4.1666666666666699E-2</v>
      </c>
      <c r="AV23" s="54" t="s">
        <v>37</v>
      </c>
      <c r="AW23" s="57">
        <f t="shared" si="4"/>
        <v>4.1666666666666699E-2</v>
      </c>
      <c r="AX23" s="58" t="s">
        <v>68</v>
      </c>
    </row>
    <row r="24" spans="1:50" ht="28.5">
      <c r="A24" s="38" t="s">
        <v>71</v>
      </c>
      <c r="B24" s="39">
        <f t="shared" si="9"/>
        <v>20</v>
      </c>
      <c r="C24" s="40">
        <v>46027</v>
      </c>
      <c r="D24" s="40" t="s">
        <v>32</v>
      </c>
      <c r="E24" s="40" t="s">
        <v>33</v>
      </c>
      <c r="F24" s="41">
        <v>765.7</v>
      </c>
      <c r="G24" s="42" t="s">
        <v>66</v>
      </c>
      <c r="H24" s="43" t="str">
        <f>IFERROR(VLOOKUP($J24,'[9]FROM (3)'!$E$4:$F$230,2,FALSE),"")</f>
        <v>JTCS</v>
      </c>
      <c r="I24" s="44" t="str">
        <f t="shared" si="6"/>
        <v>RACK, PS</v>
      </c>
      <c r="J24" s="44" t="str">
        <f t="shared" si="7"/>
        <v>JGD10S00670-B</v>
      </c>
      <c r="K24" s="59" t="str">
        <f t="shared" si="2"/>
        <v>PD25121171</v>
      </c>
      <c r="L24" s="46" t="str" cm="1">
        <f t="array" ref="L24">IFERROR(_xlfn.IFS(
    LEN($A24)-LEN(SUBSTITUTE($A24,"|",""))=12, RIGHT(A24, LEN(A24)-FIND("~", SUBSTITUTE(A24,"|","~", LEN(A24)-LEN(SUBSTITUTE(A24,"|",""))))),
    LEN($A24)-LEN(SUBSTITUTE($A24,"|",""))=13, MID($A24, FIND("~", SUBSTITUTE($A24,"|","~", 11))+1, FIND("~", SUBSTITUTE($A24,"|","~", 12))-FIND("~", SUBSTITUTE($A24,"|","~", 11))-1),
    LEN($A24)-LEN(SUBSTITUTE($A24,"|",""))=14, MID($A24, FIND("~", SUBSTITUTE($A24,"|","~", 11))+1, FIND("~", SUBSTITUTE($A24,"|","~", 12))-FIND("~", SUBSTITUTE($A24,"|","~", 11))-1)
), "")</f>
        <v>E586446</v>
      </c>
      <c r="M24" s="47" t="str">
        <f t="shared" si="0"/>
        <v>SB120167/3/25</v>
      </c>
      <c r="N24" s="46" t="str">
        <f t="shared" si="3"/>
        <v/>
      </c>
      <c r="O24" s="60">
        <v>25</v>
      </c>
      <c r="P24" s="60">
        <v>890</v>
      </c>
      <c r="Q24" s="48">
        <v>175</v>
      </c>
      <c r="R24" s="48">
        <v>859</v>
      </c>
      <c r="S24" s="48"/>
      <c r="T24" s="48"/>
      <c r="U24" s="49"/>
      <c r="V24" s="49"/>
      <c r="W24" s="50">
        <f t="shared" si="1"/>
        <v>0</v>
      </c>
      <c r="X24" s="51" t="str">
        <f>IF(A24="", "", IF(COUNTIFS(C$3:C23, C24, D$3:D23, D24, G$3:G23, G24) &gt; 0, "", "11:00"-AW24))</f>
        <v/>
      </c>
      <c r="Y24" s="52" t="str">
        <f t="shared" si="8"/>
        <v/>
      </c>
      <c r="Z24" s="53"/>
      <c r="AA24" s="54"/>
      <c r="AB24" s="53"/>
      <c r="AC24" s="54"/>
      <c r="AD24" s="53"/>
      <c r="AE24" s="54"/>
      <c r="AF24" s="53"/>
      <c r="AG24" s="54"/>
      <c r="AH24" s="55">
        <v>4.1666666666666699E-2</v>
      </c>
      <c r="AI24" s="53"/>
      <c r="AJ24" s="54"/>
      <c r="AK24" s="53"/>
      <c r="AL24" s="54"/>
      <c r="AM24" s="53"/>
      <c r="AN24" s="54"/>
      <c r="AO24" s="53"/>
      <c r="AP24" s="54"/>
      <c r="AQ24" s="53"/>
      <c r="AR24" s="54"/>
      <c r="AS24" s="53"/>
      <c r="AT24" s="54"/>
      <c r="AU24" s="53">
        <v>4.1666666666666699E-2</v>
      </c>
      <c r="AV24" s="54" t="s">
        <v>37</v>
      </c>
      <c r="AW24" s="57">
        <f t="shared" si="4"/>
        <v>4.1666666666666699E-2</v>
      </c>
      <c r="AX24" s="58" t="s">
        <v>68</v>
      </c>
    </row>
    <row r="25" spans="1:50" ht="28.5">
      <c r="A25" s="38" t="s">
        <v>72</v>
      </c>
      <c r="B25" s="39">
        <f t="shared" si="9"/>
        <v>21</v>
      </c>
      <c r="C25" s="40">
        <v>46027</v>
      </c>
      <c r="D25" s="40" t="s">
        <v>32</v>
      </c>
      <c r="E25" s="40" t="s">
        <v>33</v>
      </c>
      <c r="F25" s="41">
        <v>765.7</v>
      </c>
      <c r="G25" s="42" t="s">
        <v>66</v>
      </c>
      <c r="H25" s="43" t="str">
        <f>IFERROR(VLOOKUP($J25,'[9]FROM (3)'!$E$4:$F$230,2,FALSE),"")</f>
        <v>JTCS</v>
      </c>
      <c r="I25" s="44" t="str">
        <f t="shared" si="6"/>
        <v>RACK, PS</v>
      </c>
      <c r="J25" s="44" t="str">
        <f t="shared" si="7"/>
        <v>JGD10S00670-B</v>
      </c>
      <c r="K25" s="59" t="str">
        <f t="shared" si="2"/>
        <v>PD25121171</v>
      </c>
      <c r="L25" s="46" t="str" cm="1">
        <f t="array" ref="L25">IFERROR(_xlfn.IFS(
    LEN($A25)-LEN(SUBSTITUTE($A25,"|",""))=12, RIGHT(A25, LEN(A25)-FIND("~", SUBSTITUTE(A25,"|","~", LEN(A25)-LEN(SUBSTITUTE(A25,"|",""))))),
    LEN($A25)-LEN(SUBSTITUTE($A25,"|",""))=13, MID($A25, FIND("~", SUBSTITUTE($A25,"|","~", 11))+1, FIND("~", SUBSTITUTE($A25,"|","~", 12))-FIND("~", SUBSTITUTE($A25,"|","~", 11))-1),
    LEN($A25)-LEN(SUBSTITUTE($A25,"|",""))=14, MID($A25, FIND("~", SUBSTITUTE($A25,"|","~", 11))+1, FIND("~", SUBSTITUTE($A25,"|","~", 12))-FIND("~", SUBSTITUTE($A25,"|","~", 11))-1)
), "")</f>
        <v>E586446</v>
      </c>
      <c r="M25" s="47" t="str">
        <f t="shared" si="0"/>
        <v>SB120167/5/25</v>
      </c>
      <c r="N25" s="46" t="str">
        <f t="shared" si="3"/>
        <v/>
      </c>
      <c r="O25" s="60">
        <v>25</v>
      </c>
      <c r="P25" s="60">
        <v>890</v>
      </c>
      <c r="Q25" s="48">
        <v>175</v>
      </c>
      <c r="R25" s="48">
        <v>859</v>
      </c>
      <c r="S25" s="48"/>
      <c r="T25" s="48"/>
      <c r="U25" s="49">
        <v>80</v>
      </c>
      <c r="V25" s="49">
        <v>8</v>
      </c>
      <c r="W25" s="50">
        <f t="shared" si="1"/>
        <v>88</v>
      </c>
      <c r="X25" s="51" t="str">
        <f>IF(A25="", "", IF(COUNTIFS(C$3:C24, C25, D$3:D24, D25, G$3:G24, G25) &gt; 0, "", "11:00"-AW25))</f>
        <v/>
      </c>
      <c r="Y25" s="52" t="str">
        <f t="shared" si="8"/>
        <v/>
      </c>
      <c r="Z25" s="53"/>
      <c r="AA25" s="54"/>
      <c r="AB25" s="53"/>
      <c r="AC25" s="54"/>
      <c r="AD25" s="53"/>
      <c r="AE25" s="54"/>
      <c r="AF25" s="53"/>
      <c r="AG25" s="54"/>
      <c r="AH25" s="55">
        <v>4.1666666666666699E-2</v>
      </c>
      <c r="AI25" s="53"/>
      <c r="AJ25" s="54"/>
      <c r="AK25" s="53"/>
      <c r="AL25" s="54"/>
      <c r="AM25" s="53"/>
      <c r="AN25" s="54"/>
      <c r="AO25" s="53"/>
      <c r="AP25" s="54"/>
      <c r="AQ25" s="53"/>
      <c r="AR25" s="54"/>
      <c r="AS25" s="53"/>
      <c r="AT25" s="54"/>
      <c r="AU25" s="53">
        <v>4.1666666666666699E-2</v>
      </c>
      <c r="AV25" s="54" t="s">
        <v>37</v>
      </c>
      <c r="AW25" s="57">
        <f t="shared" si="4"/>
        <v>4.1666666666666699E-2</v>
      </c>
      <c r="AX25" s="58" t="s">
        <v>68</v>
      </c>
    </row>
    <row r="26" spans="1:50" ht="28.5">
      <c r="A26" s="38" t="s">
        <v>73</v>
      </c>
      <c r="B26" s="39">
        <f t="shared" si="9"/>
        <v>22</v>
      </c>
      <c r="C26" s="40">
        <v>46027</v>
      </c>
      <c r="D26" s="40" t="s">
        <v>32</v>
      </c>
      <c r="E26" s="40" t="s">
        <v>33</v>
      </c>
      <c r="F26" s="41">
        <v>630.4</v>
      </c>
      <c r="G26" s="42" t="s">
        <v>66</v>
      </c>
      <c r="H26" s="43" t="str">
        <f>IFERROR(VLOOKUP($J26,'[9]FROM (3)'!$E$4:$F$230,2,FALSE),"")</f>
        <v>JTCS</v>
      </c>
      <c r="I26" s="44" t="str">
        <f t="shared" si="6"/>
        <v>RACK, MS</v>
      </c>
      <c r="J26" s="44" t="str">
        <f t="shared" si="7"/>
        <v>JGC10-003140-40-0</v>
      </c>
      <c r="K26" s="59" t="str">
        <f t="shared" si="2"/>
        <v>PD25121129</v>
      </c>
      <c r="L26" s="46" t="str" cm="1">
        <f t="array" ref="L26">IFERROR(_xlfn.IFS(
    LEN($A26)-LEN(SUBSTITUTE($A26,"|",""))=12, RIGHT(A26, LEN(A26)-FIND("~", SUBSTITUTE(A26,"|","~", LEN(A26)-LEN(SUBSTITUTE(A26,"|",""))))),
    LEN($A26)-LEN(SUBSTITUTE($A26,"|",""))=13, MID($A26, FIND("~", SUBSTITUTE($A26,"|","~", 11))+1, FIND("~", SUBSTITUTE($A26,"|","~", 12))-FIND("~", SUBSTITUTE($A26,"|","~", 11))-1),
    LEN($A26)-LEN(SUBSTITUTE($A26,"|",""))=14, MID($A26, FIND("~", SUBSTITUTE($A26,"|","~", 11))+1, FIND("~", SUBSTITUTE($A26,"|","~", 12))-FIND("~", SUBSTITUTE($A26,"|","~", 11))-1)
), "")</f>
        <v>E586613</v>
      </c>
      <c r="M26" s="47" t="str">
        <f t="shared" si="0"/>
        <v>SB120156/4/25</v>
      </c>
      <c r="N26" s="46" t="str">
        <f t="shared" si="3"/>
        <v/>
      </c>
      <c r="O26" s="60">
        <v>33</v>
      </c>
      <c r="P26" s="60">
        <v>478</v>
      </c>
      <c r="Q26" s="48">
        <v>165</v>
      </c>
      <c r="R26" s="48">
        <v>433</v>
      </c>
      <c r="S26" s="48"/>
      <c r="T26" s="48"/>
      <c r="U26" s="49"/>
      <c r="V26" s="49"/>
      <c r="W26" s="50">
        <f t="shared" si="1"/>
        <v>0</v>
      </c>
      <c r="X26" s="51" t="str">
        <f>IF(A26="", "", IF(COUNTIFS(C$3:C25, C26, D$3:D25, D26, G$3:G25, G26) &gt; 0, "", "11:00"-AW26))</f>
        <v/>
      </c>
      <c r="Y26" s="52" t="str">
        <f t="shared" si="8"/>
        <v/>
      </c>
      <c r="Z26" s="53"/>
      <c r="AA26" s="54"/>
      <c r="AB26" s="53"/>
      <c r="AC26" s="54"/>
      <c r="AD26" s="53"/>
      <c r="AE26" s="54"/>
      <c r="AF26" s="53"/>
      <c r="AG26" s="54"/>
      <c r="AH26" s="55">
        <v>4.1666666666666699E-2</v>
      </c>
      <c r="AI26" s="53"/>
      <c r="AJ26" s="54"/>
      <c r="AK26" s="53"/>
      <c r="AL26" s="54"/>
      <c r="AM26" s="53"/>
      <c r="AN26" s="54"/>
      <c r="AO26" s="53"/>
      <c r="AP26" s="54"/>
      <c r="AQ26" s="53"/>
      <c r="AR26" s="54"/>
      <c r="AS26" s="53"/>
      <c r="AT26" s="54"/>
      <c r="AU26" s="53">
        <v>4.1666666666666699E-2</v>
      </c>
      <c r="AV26" s="54" t="s">
        <v>37</v>
      </c>
      <c r="AW26" s="57">
        <f t="shared" si="4"/>
        <v>4.1666666666666699E-2</v>
      </c>
      <c r="AX26" s="58" t="s">
        <v>68</v>
      </c>
    </row>
    <row r="27" spans="1:50" ht="28.5">
      <c r="A27" s="38" t="s">
        <v>74</v>
      </c>
      <c r="B27" s="39">
        <f t="shared" si="9"/>
        <v>23</v>
      </c>
      <c r="C27" s="40">
        <v>46027</v>
      </c>
      <c r="D27" s="40" t="s">
        <v>32</v>
      </c>
      <c r="E27" s="40" t="s">
        <v>33</v>
      </c>
      <c r="F27" s="41">
        <v>598.79999999999995</v>
      </c>
      <c r="G27" s="42" t="s">
        <v>75</v>
      </c>
      <c r="H27" s="43" t="str">
        <f>IFERROR(VLOOKUP($J27,'[9]FROM (3)'!$E$4:$F$230,2,FALSE),"")</f>
        <v>JTCS</v>
      </c>
      <c r="I27" s="44" t="str">
        <f t="shared" si="6"/>
        <v>RACK, MS</v>
      </c>
      <c r="J27" s="44" t="str">
        <f t="shared" si="7"/>
        <v>JGC10-001180-S</v>
      </c>
      <c r="K27" s="59" t="str">
        <f t="shared" si="2"/>
        <v>PD25121127</v>
      </c>
      <c r="L27" s="46" t="str" cm="1">
        <f t="array" ref="L27">IFERROR(_xlfn.IFS(
    LEN($A27)-LEN(SUBSTITUTE($A27,"|",""))=12, RIGHT(A27, LEN(A27)-FIND("~", SUBSTITUTE(A27,"|","~", LEN(A27)-LEN(SUBSTITUTE(A27,"|",""))))),
    LEN($A27)-LEN(SUBSTITUTE($A27,"|",""))=13, MID($A27, FIND("~", SUBSTITUTE($A27,"|","~", 11))+1, FIND("~", SUBSTITUTE($A27,"|","~", 12))-FIND("~", SUBSTITUTE($A27,"|","~", 11))-1),
    LEN($A27)-LEN(SUBSTITUTE($A27,"|",""))=14, MID($A27, FIND("~", SUBSTITUTE($A27,"|","~", 11))+1, FIND("~", SUBSTITUTE($A27,"|","~", 12))-FIND("~", SUBSTITUTE($A27,"|","~", 11))-1)
), "")</f>
        <v>E585970</v>
      </c>
      <c r="M27" s="47" t="str">
        <f t="shared" si="0"/>
        <v>SB120146/4/25</v>
      </c>
      <c r="N27" s="46" t="str">
        <f t="shared" si="3"/>
        <v/>
      </c>
      <c r="O27" s="60">
        <v>80</v>
      </c>
      <c r="P27" s="60">
        <v>902</v>
      </c>
      <c r="Q27" s="48">
        <v>400</v>
      </c>
      <c r="R27" s="48">
        <v>850</v>
      </c>
      <c r="S27" s="48"/>
      <c r="T27" s="48"/>
      <c r="U27" s="49"/>
      <c r="V27" s="49"/>
      <c r="W27" s="50">
        <f t="shared" si="1"/>
        <v>0</v>
      </c>
      <c r="X27" s="51">
        <f>IF(A27="", "", IF(COUNTIFS(C$3:C26, C27, D$3:D26, D27, G$3:G26, G27) &gt; 0, "", "11:00"-AW27))</f>
        <v>0.38888888888888884</v>
      </c>
      <c r="Y27" s="52" t="str">
        <f t="shared" si="8"/>
        <v>1:40</v>
      </c>
      <c r="Z27" s="53">
        <v>2.7777777777777776E-2</v>
      </c>
      <c r="AA27" s="54" t="s">
        <v>76</v>
      </c>
      <c r="AB27" s="53"/>
      <c r="AC27" s="54"/>
      <c r="AD27" s="53"/>
      <c r="AE27" s="54"/>
      <c r="AF27" s="53"/>
      <c r="AG27" s="54"/>
      <c r="AH27" s="55">
        <v>4.1666666666666699E-2</v>
      </c>
      <c r="AI27" s="53"/>
      <c r="AJ27" s="54"/>
      <c r="AK27" s="53"/>
      <c r="AL27" s="54"/>
      <c r="AM27" s="53"/>
      <c r="AN27" s="54"/>
      <c r="AO27" s="53"/>
      <c r="AP27" s="54"/>
      <c r="AQ27" s="53"/>
      <c r="AR27" s="54"/>
      <c r="AS27" s="53"/>
      <c r="AT27" s="54"/>
      <c r="AU27" s="53">
        <v>4.1666666666666699E-2</v>
      </c>
      <c r="AV27" s="54" t="s">
        <v>37</v>
      </c>
      <c r="AW27" s="57">
        <f t="shared" si="4"/>
        <v>6.9444444444444475E-2</v>
      </c>
      <c r="AX27" s="58" t="s">
        <v>77</v>
      </c>
    </row>
    <row r="28" spans="1:50" ht="28.5">
      <c r="A28" s="38" t="s">
        <v>78</v>
      </c>
      <c r="B28" s="39">
        <f t="shared" si="9"/>
        <v>24</v>
      </c>
      <c r="C28" s="40">
        <v>46027</v>
      </c>
      <c r="D28" s="40" t="s">
        <v>32</v>
      </c>
      <c r="E28" s="40" t="s">
        <v>33</v>
      </c>
      <c r="F28" s="41">
        <v>598.79999999999995</v>
      </c>
      <c r="G28" s="42" t="s">
        <v>75</v>
      </c>
      <c r="H28" s="43" t="str">
        <f>IFERROR(VLOOKUP($J28,'[9]FROM (3)'!$E$4:$F$230,2,FALSE),"")</f>
        <v>JTCS</v>
      </c>
      <c r="I28" s="44" t="str">
        <f t="shared" si="6"/>
        <v>RACK, MS</v>
      </c>
      <c r="J28" s="44" t="str">
        <f t="shared" si="7"/>
        <v>JGC10-001180-S</v>
      </c>
      <c r="K28" s="59" t="str">
        <f t="shared" si="2"/>
        <v>PD25121127</v>
      </c>
      <c r="L28" s="46" t="str" cm="1">
        <f t="array" ref="L28">IFERROR(_xlfn.IFS(
    LEN($A28)-LEN(SUBSTITUTE($A28,"|",""))=12, RIGHT(A28, LEN(A28)-FIND("~", SUBSTITUTE(A28,"|","~", LEN(A28)-LEN(SUBSTITUTE(A28,"|",""))))),
    LEN($A28)-LEN(SUBSTITUTE($A28,"|",""))=13, MID($A28, FIND("~", SUBSTITUTE($A28,"|","~", 11))+1, FIND("~", SUBSTITUTE($A28,"|","~", 12))-FIND("~", SUBSTITUTE($A28,"|","~", 11))-1),
    LEN($A28)-LEN(SUBSTITUTE($A28,"|",""))=14, MID($A28, FIND("~", SUBSTITUTE($A28,"|","~", 11))+1, FIND("~", SUBSTITUTE($A28,"|","~", 12))-FIND("~", SUBSTITUTE($A28,"|","~", 11))-1)
), "")</f>
        <v>E585970</v>
      </c>
      <c r="M28" s="47" t="str">
        <f t="shared" si="0"/>
        <v>SB120146/5/25</v>
      </c>
      <c r="N28" s="46" t="str">
        <f t="shared" si="3"/>
        <v/>
      </c>
      <c r="O28" s="60">
        <v>80</v>
      </c>
      <c r="P28" s="60">
        <v>902</v>
      </c>
      <c r="Q28" s="48">
        <v>400</v>
      </c>
      <c r="R28" s="48">
        <v>850</v>
      </c>
      <c r="S28" s="48"/>
      <c r="T28" s="48"/>
      <c r="U28" s="49"/>
      <c r="V28" s="49"/>
      <c r="W28" s="50">
        <f t="shared" si="1"/>
        <v>0</v>
      </c>
      <c r="X28" s="51" t="str">
        <f>IF(A28="", "", IF(COUNTIFS(C$3:C27, C28, D$3:D27, D28, G$3:G27, G28) &gt; 0, "", "11:00"-AW28))</f>
        <v/>
      </c>
      <c r="Y28" s="52" t="str">
        <f t="shared" si="8"/>
        <v/>
      </c>
      <c r="Z28" s="53"/>
      <c r="AA28" s="54"/>
      <c r="AB28" s="53"/>
      <c r="AC28" s="54"/>
      <c r="AD28" s="53"/>
      <c r="AE28" s="54"/>
      <c r="AF28" s="53"/>
      <c r="AG28" s="54"/>
      <c r="AH28" s="55">
        <v>4.1666666666666699E-2</v>
      </c>
      <c r="AI28" s="53"/>
      <c r="AJ28" s="54"/>
      <c r="AK28" s="53"/>
      <c r="AL28" s="54"/>
      <c r="AM28" s="53"/>
      <c r="AN28" s="54"/>
      <c r="AO28" s="53"/>
      <c r="AP28" s="54"/>
      <c r="AQ28" s="53"/>
      <c r="AR28" s="54"/>
      <c r="AS28" s="53"/>
      <c r="AT28" s="54"/>
      <c r="AU28" s="53">
        <v>4.1666666666666699E-2</v>
      </c>
      <c r="AV28" s="54" t="s">
        <v>37</v>
      </c>
      <c r="AW28" s="57">
        <f t="shared" si="4"/>
        <v>4.1666666666666699E-2</v>
      </c>
      <c r="AX28" s="58" t="s">
        <v>77</v>
      </c>
    </row>
    <row r="29" spans="1:50" ht="28.5">
      <c r="A29" s="38" t="s">
        <v>79</v>
      </c>
      <c r="B29" s="39">
        <f t="shared" si="9"/>
        <v>25</v>
      </c>
      <c r="C29" s="40">
        <v>46027</v>
      </c>
      <c r="D29" s="40" t="s">
        <v>32</v>
      </c>
      <c r="E29" s="40" t="s">
        <v>33</v>
      </c>
      <c r="F29" s="41">
        <v>598.79999999999995</v>
      </c>
      <c r="G29" s="42" t="s">
        <v>75</v>
      </c>
      <c r="H29" s="43" t="str">
        <f>IFERROR(VLOOKUP($J29,'[9]FROM (3)'!$E$4:$F$230,2,FALSE),"")</f>
        <v>JTCS</v>
      </c>
      <c r="I29" s="44" t="str">
        <f t="shared" si="6"/>
        <v>RACK, MS</v>
      </c>
      <c r="J29" s="44" t="str">
        <f t="shared" si="7"/>
        <v>JGC10-001180-S</v>
      </c>
      <c r="K29" s="59" t="str">
        <f t="shared" si="2"/>
        <v>PD25121127</v>
      </c>
      <c r="L29" s="46" t="str" cm="1">
        <f t="array" ref="L29">IFERROR(_xlfn.IFS(
    LEN($A29)-LEN(SUBSTITUTE($A29,"|",""))=12, RIGHT(A29, LEN(A29)-FIND("~", SUBSTITUTE(A29,"|","~", LEN(A29)-LEN(SUBSTITUTE(A29,"|",""))))),
    LEN($A29)-LEN(SUBSTITUTE($A29,"|",""))=13, MID($A29, FIND("~", SUBSTITUTE($A29,"|","~", 11))+1, FIND("~", SUBSTITUTE($A29,"|","~", 12))-FIND("~", SUBSTITUTE($A29,"|","~", 11))-1),
    LEN($A29)-LEN(SUBSTITUTE($A29,"|",""))=14, MID($A29, FIND("~", SUBSTITUTE($A29,"|","~", 11))+1, FIND("~", SUBSTITUTE($A29,"|","~", 12))-FIND("~", SUBSTITUTE($A29,"|","~", 11))-1)
), "")</f>
        <v>E585970</v>
      </c>
      <c r="M29" s="47" t="str">
        <f t="shared" si="0"/>
        <v>SB120146/6/25</v>
      </c>
      <c r="N29" s="46" t="str">
        <f t="shared" si="3"/>
        <v/>
      </c>
      <c r="O29" s="60">
        <v>80</v>
      </c>
      <c r="P29" s="60">
        <v>902</v>
      </c>
      <c r="Q29" s="48">
        <v>258</v>
      </c>
      <c r="R29" s="48">
        <v>548</v>
      </c>
      <c r="S29" s="48"/>
      <c r="T29" s="48"/>
      <c r="U29" s="49"/>
      <c r="V29" s="49"/>
      <c r="W29" s="50">
        <f t="shared" si="1"/>
        <v>0</v>
      </c>
      <c r="X29" s="51" t="str">
        <f>IF(A29="", "", IF(COUNTIFS(C$3:C28, C29, D$3:D28, D29, G$3:G28, G29) &gt; 0, "", "11:00"-AW29))</f>
        <v/>
      </c>
      <c r="Y29" s="52" t="str">
        <f t="shared" si="8"/>
        <v/>
      </c>
      <c r="Z29" s="53"/>
      <c r="AA29" s="54"/>
      <c r="AB29" s="53"/>
      <c r="AC29" s="54"/>
      <c r="AD29" s="53"/>
      <c r="AE29" s="54"/>
      <c r="AF29" s="53"/>
      <c r="AG29" s="54"/>
      <c r="AH29" s="55">
        <v>4.1666666666666699E-2</v>
      </c>
      <c r="AI29" s="53"/>
      <c r="AJ29" s="54"/>
      <c r="AK29" s="53"/>
      <c r="AL29" s="54"/>
      <c r="AM29" s="53"/>
      <c r="AN29" s="54"/>
      <c r="AO29" s="53"/>
      <c r="AP29" s="54"/>
      <c r="AQ29" s="53"/>
      <c r="AR29" s="54"/>
      <c r="AS29" s="53"/>
      <c r="AT29" s="54"/>
      <c r="AU29" s="53">
        <v>4.1666666666666699E-2</v>
      </c>
      <c r="AV29" s="54" t="s">
        <v>37</v>
      </c>
      <c r="AW29" s="57">
        <f t="shared" si="4"/>
        <v>4.1666666666666699E-2</v>
      </c>
      <c r="AX29" s="58" t="s">
        <v>77</v>
      </c>
    </row>
    <row r="30" spans="1:50" ht="28.5">
      <c r="A30" s="38" t="s">
        <v>39</v>
      </c>
      <c r="B30" s="39">
        <f t="shared" si="9"/>
        <v>26</v>
      </c>
      <c r="C30" s="40">
        <v>46027</v>
      </c>
      <c r="D30" s="40" t="s">
        <v>80</v>
      </c>
      <c r="E30" s="40" t="s">
        <v>81</v>
      </c>
      <c r="F30" s="41">
        <v>23.4</v>
      </c>
      <c r="G30" s="42" t="s">
        <v>34</v>
      </c>
      <c r="H30" s="43" t="str">
        <f>IFERROR(VLOOKUP($J30,'[9]FROM (3)'!$E$4:$F$230,2,FALSE),"")</f>
        <v/>
      </c>
      <c r="I30" s="44" t="str">
        <f t="shared" si="6"/>
        <v>FLANGE-13 SLUG</v>
      </c>
      <c r="J30" s="44" t="str">
        <f t="shared" si="7"/>
        <v>ZZ2B7401TX1</v>
      </c>
      <c r="K30" s="59" t="str">
        <f t="shared" si="2"/>
        <v>PD25121000</v>
      </c>
      <c r="L30" s="46" t="str" cm="1">
        <f t="array" ref="L30">IFERROR(_xlfn.IFS(
    LEN($A30)-LEN(SUBSTITUTE($A30,"|",""))=12, RIGHT(A30, LEN(A30)-FIND("~", SUBSTITUTE(A30,"|","~", LEN(A30)-LEN(SUBSTITUTE(A30,"|",""))))),
    LEN($A30)-LEN(SUBSTITUTE($A30,"|",""))=13, MID($A30, FIND("~", SUBSTITUTE($A30,"|","~", 11))+1, FIND("~", SUBSTITUTE($A30,"|","~", 12))-FIND("~", SUBSTITUTE($A30,"|","~", 11))-1),
    LEN($A30)-LEN(SUBSTITUTE($A30,"|",""))=14, MID($A30, FIND("~", SUBSTITUTE($A30,"|","~", 11))+1, FIND("~", SUBSTITUTE($A30,"|","~", 12))-FIND("~", SUBSTITUTE($A30,"|","~", 11))-1)
), "")</f>
        <v>2-73052</v>
      </c>
      <c r="M30" s="47" t="str">
        <f t="shared" si="0"/>
        <v>2B2503453</v>
      </c>
      <c r="N30" s="46" t="str">
        <f t="shared" si="3"/>
        <v/>
      </c>
      <c r="O30" s="60"/>
      <c r="P30" s="60"/>
      <c r="Q30" s="48">
        <v>2833</v>
      </c>
      <c r="R30" s="48">
        <v>653</v>
      </c>
      <c r="S30" s="48"/>
      <c r="T30" s="48"/>
      <c r="U30" s="49"/>
      <c r="V30" s="49"/>
      <c r="W30" s="50">
        <f t="shared" si="1"/>
        <v>0</v>
      </c>
      <c r="X30" s="51">
        <f>IF(A30="", "", IF(COUNTIFS(C$3:C29, C30, D$3:D29, D30, G$3:G29, G30) &gt; 0, "", "11:00"-AW30))</f>
        <v>0.31249999999999994</v>
      </c>
      <c r="Y30" s="52" t="str">
        <f t="shared" si="8"/>
        <v>1:0</v>
      </c>
      <c r="Z30" s="53"/>
      <c r="AA30" s="54"/>
      <c r="AB30" s="53">
        <v>2.0833333333333332E-2</v>
      </c>
      <c r="AC30" s="54" t="s">
        <v>82</v>
      </c>
      <c r="AD30" s="53"/>
      <c r="AE30" s="54"/>
      <c r="AF30" s="53"/>
      <c r="AG30" s="54"/>
      <c r="AH30" s="55">
        <v>4.1666666666666699E-2</v>
      </c>
      <c r="AI30" s="53"/>
      <c r="AJ30" s="54"/>
      <c r="AK30" s="53"/>
      <c r="AL30" s="54"/>
      <c r="AM30" s="53"/>
      <c r="AN30" s="54"/>
      <c r="AO30" s="53"/>
      <c r="AP30" s="54"/>
      <c r="AQ30" s="53">
        <v>4.1666666666666664E-2</v>
      </c>
      <c r="AR30" s="54" t="s">
        <v>37</v>
      </c>
      <c r="AS30" s="53">
        <v>4.1666666666666664E-2</v>
      </c>
      <c r="AT30" s="54" t="s">
        <v>37</v>
      </c>
      <c r="AU30" s="53">
        <v>4.1666666666666699E-2</v>
      </c>
      <c r="AV30" s="54" t="s">
        <v>37</v>
      </c>
      <c r="AW30" s="57">
        <f t="shared" si="4"/>
        <v>0.14583333333333337</v>
      </c>
      <c r="AX30" s="58" t="s">
        <v>83</v>
      </c>
    </row>
    <row r="31" spans="1:50" ht="28.5">
      <c r="A31" s="38" t="s">
        <v>42</v>
      </c>
      <c r="B31" s="39">
        <f t="shared" si="9"/>
        <v>27</v>
      </c>
      <c r="C31" s="40">
        <v>46027</v>
      </c>
      <c r="D31" s="40" t="s">
        <v>80</v>
      </c>
      <c r="E31" s="40" t="s">
        <v>81</v>
      </c>
      <c r="F31" s="41">
        <v>133.80000000000001</v>
      </c>
      <c r="G31" s="42" t="s">
        <v>41</v>
      </c>
      <c r="H31" s="43" t="str">
        <f>IFERROR(VLOOKUP($J31,'[9]FROM (3)'!$E$4:$F$230,2,FALSE),"")</f>
        <v xml:space="preserve">DNTH </v>
      </c>
      <c r="I31" s="44" t="str">
        <f t="shared" si="6"/>
        <v>Barrel</v>
      </c>
      <c r="J31" s="44" t="str">
        <f t="shared" si="7"/>
        <v>TG028986-0030</v>
      </c>
      <c r="K31" s="59" t="str">
        <f t="shared" si="2"/>
        <v>PD25121289</v>
      </c>
      <c r="L31" s="46" t="str" cm="1">
        <f t="array" ref="L31">IFERROR(_xlfn.IFS(
    LEN($A31)-LEN(SUBSTITUTE($A31,"|",""))=12, RIGHT(A31, LEN(A31)-FIND("~", SUBSTITUTE(A31,"|","~", LEN(A31)-LEN(SUBSTITUTE(A31,"|",""))))),
    LEN($A31)-LEN(SUBSTITUTE($A31,"|",""))=13, MID($A31, FIND("~", SUBSTITUTE($A31,"|","~", 11))+1, FIND("~", SUBSTITUTE($A31,"|","~", 12))-FIND("~", SUBSTITUTE($A31,"|","~", 11))-1),
    LEN($A31)-LEN(SUBSTITUTE($A31,"|",""))=14, MID($A31, FIND("~", SUBSTITUTE($A31,"|","~", 11))+1, FIND("~", SUBSTITUTE($A31,"|","~", 12))-FIND("~", SUBSTITUTE($A31,"|","~", 11))-1)
), "")</f>
        <v>E586056</v>
      </c>
      <c r="M31" s="47" t="str">
        <f t="shared" si="0"/>
        <v>SB120087/1/25</v>
      </c>
      <c r="N31" s="46" t="str">
        <f t="shared" si="3"/>
        <v/>
      </c>
      <c r="O31" s="60"/>
      <c r="P31" s="60"/>
      <c r="Q31" s="48">
        <v>3018</v>
      </c>
      <c r="R31" s="48">
        <v>404</v>
      </c>
      <c r="S31" s="48"/>
      <c r="T31" s="48"/>
      <c r="U31" s="49"/>
      <c r="V31" s="49"/>
      <c r="W31" s="50">
        <f t="shared" si="1"/>
        <v>0</v>
      </c>
      <c r="X31" s="51">
        <f>IF(A31="", "", IF(COUNTIFS(C$3:C30, C31, D$3:D30, D31, G$3:G30, G31) &gt; 0, "", "11:00"-AW31))</f>
        <v>0.31249999999999994</v>
      </c>
      <c r="Y31" s="52" t="str">
        <f t="shared" si="8"/>
        <v>1:0</v>
      </c>
      <c r="Z31" s="53">
        <v>2.0833333333333332E-2</v>
      </c>
      <c r="AA31" s="54" t="s">
        <v>82</v>
      </c>
      <c r="AB31" s="53"/>
      <c r="AC31" s="54"/>
      <c r="AD31" s="53"/>
      <c r="AE31" s="54"/>
      <c r="AF31" s="53"/>
      <c r="AG31" s="54"/>
      <c r="AH31" s="55">
        <v>4.1666666666666699E-2</v>
      </c>
      <c r="AI31" s="53"/>
      <c r="AJ31" s="54"/>
      <c r="AK31" s="53"/>
      <c r="AL31" s="54"/>
      <c r="AM31" s="53"/>
      <c r="AN31" s="54"/>
      <c r="AO31" s="53"/>
      <c r="AP31" s="54"/>
      <c r="AQ31" s="53">
        <v>4.1666666666666664E-2</v>
      </c>
      <c r="AR31" s="54" t="s">
        <v>37</v>
      </c>
      <c r="AS31" s="53">
        <v>4.1666666666666664E-2</v>
      </c>
      <c r="AT31" s="54" t="s">
        <v>37</v>
      </c>
      <c r="AU31" s="53">
        <v>4.1666666666666699E-2</v>
      </c>
      <c r="AV31" s="54" t="s">
        <v>37</v>
      </c>
      <c r="AW31" s="57">
        <f t="shared" si="4"/>
        <v>0.14583333333333337</v>
      </c>
      <c r="AX31" s="58" t="s">
        <v>83</v>
      </c>
    </row>
    <row r="32" spans="1:50" ht="28.5">
      <c r="A32" s="38" t="s">
        <v>43</v>
      </c>
      <c r="B32" s="39">
        <f t="shared" si="9"/>
        <v>28</v>
      </c>
      <c r="C32" s="40">
        <v>46027</v>
      </c>
      <c r="D32" s="40" t="s">
        <v>80</v>
      </c>
      <c r="E32" s="40" t="s">
        <v>81</v>
      </c>
      <c r="F32" s="41">
        <v>25.35</v>
      </c>
      <c r="G32" s="42" t="s">
        <v>44</v>
      </c>
      <c r="H32" s="43" t="str">
        <f>IFERROR(VLOOKUP($J32,'[9]FROM (3)'!$E$4:$F$230,2,FALSE),"")</f>
        <v>KYOWA NT</v>
      </c>
      <c r="I32" s="44" t="str">
        <f t="shared" si="6"/>
        <v>PIN</v>
      </c>
      <c r="J32" s="44" t="str">
        <f t="shared" si="7"/>
        <v>8306T0036</v>
      </c>
      <c r="K32" s="59" t="str">
        <f t="shared" si="2"/>
        <v>PD25121321</v>
      </c>
      <c r="L32" s="46" t="str" cm="1">
        <f t="array" ref="L32">IFERROR(_xlfn.IFS(
    LEN($A32)-LEN(SUBSTITUTE($A32,"|",""))=12, RIGHT(A32, LEN(A32)-FIND("~", SUBSTITUTE(A32,"|","~", LEN(A32)-LEN(SUBSTITUTE(A32,"|",""))))),
    LEN($A32)-LEN(SUBSTITUTE($A32,"|",""))=13, MID($A32, FIND("~", SUBSTITUTE($A32,"|","~", 11))+1, FIND("~", SUBSTITUTE($A32,"|","~", 12))-FIND("~", SUBSTITUTE($A32,"|","~", 11))-1),
    LEN($A32)-LEN(SUBSTITUTE($A32,"|",""))=14, MID($A32, FIND("~", SUBSTITUTE($A32,"|","~", 11))+1, FIND("~", SUBSTITUTE($A32,"|","~", 12))-FIND("~", SUBSTITUTE($A32,"|","~", 11))-1)
), "")</f>
        <v>665573</v>
      </c>
      <c r="M32" s="47" t="str">
        <f t="shared" si="0"/>
        <v>SB120110/1/25</v>
      </c>
      <c r="N32" s="46" t="str">
        <f t="shared" si="3"/>
        <v/>
      </c>
      <c r="O32" s="60"/>
      <c r="P32" s="60"/>
      <c r="Q32" s="48">
        <v>5811</v>
      </c>
      <c r="R32" s="48">
        <v>203</v>
      </c>
      <c r="S32" s="48"/>
      <c r="T32" s="48"/>
      <c r="U32" s="49"/>
      <c r="V32" s="49"/>
      <c r="W32" s="50">
        <f t="shared" si="1"/>
        <v>0</v>
      </c>
      <c r="X32" s="51">
        <f>IF(A32="", "", IF(COUNTIFS(C$3:C31, C32, D$3:D31, D32, G$3:G31, G32) &gt; 0, "", "11:00"-AW32))</f>
        <v>0.33333333333333326</v>
      </c>
      <c r="Y32" s="52" t="str">
        <f t="shared" si="8"/>
        <v>1:0</v>
      </c>
      <c r="Z32" s="53"/>
      <c r="AA32" s="54"/>
      <c r="AB32" s="53"/>
      <c r="AC32" s="54"/>
      <c r="AD32" s="53"/>
      <c r="AE32" s="54"/>
      <c r="AF32" s="53"/>
      <c r="AG32" s="54"/>
      <c r="AH32" s="55">
        <v>4.1666666666666699E-2</v>
      </c>
      <c r="AI32" s="53"/>
      <c r="AJ32" s="54"/>
      <c r="AK32" s="53"/>
      <c r="AL32" s="54"/>
      <c r="AM32" s="53"/>
      <c r="AN32" s="54"/>
      <c r="AO32" s="53"/>
      <c r="AP32" s="54"/>
      <c r="AQ32" s="53">
        <v>4.1666666666666664E-2</v>
      </c>
      <c r="AR32" s="54" t="s">
        <v>37</v>
      </c>
      <c r="AS32" s="53">
        <v>4.1666666666666664E-2</v>
      </c>
      <c r="AT32" s="54" t="s">
        <v>37</v>
      </c>
      <c r="AU32" s="53">
        <v>4.1666666666666699E-2</v>
      </c>
      <c r="AV32" s="54" t="s">
        <v>37</v>
      </c>
      <c r="AW32" s="57">
        <f t="shared" si="4"/>
        <v>0.12500000000000003</v>
      </c>
      <c r="AX32" s="58" t="s">
        <v>83</v>
      </c>
    </row>
    <row r="33" spans="1:50" ht="28.5">
      <c r="A33" s="38" t="s">
        <v>84</v>
      </c>
      <c r="B33" s="39">
        <f t="shared" si="9"/>
        <v>29</v>
      </c>
      <c r="C33" s="40">
        <v>46027</v>
      </c>
      <c r="D33" s="40" t="s">
        <v>80</v>
      </c>
      <c r="E33" s="40" t="s">
        <v>81</v>
      </c>
      <c r="F33" s="41">
        <v>597.4</v>
      </c>
      <c r="G33" s="42" t="s">
        <v>85</v>
      </c>
      <c r="H33" s="43" t="str">
        <f>IFERROR(VLOOKUP($J33,'[9]FROM (3)'!$E$4:$F$230,2,FALSE),"")</f>
        <v>JTCS</v>
      </c>
      <c r="I33" s="44" t="str">
        <f t="shared" si="6"/>
        <v>Rack, MS</v>
      </c>
      <c r="J33" s="44" t="str">
        <f t="shared" si="7"/>
        <v>JGC10-003770-40-0</v>
      </c>
      <c r="K33" s="59" t="str">
        <f t="shared" si="2"/>
        <v>PD25121304</v>
      </c>
      <c r="L33" s="46" t="str" cm="1">
        <f t="array" ref="L33">IFERROR(_xlfn.IFS(
    LEN($A33)-LEN(SUBSTITUTE($A33,"|",""))=12, RIGHT(A33, LEN(A33)-FIND("~", SUBSTITUTE(A33,"|","~", LEN(A33)-LEN(SUBSTITUTE(A33,"|",""))))),
    LEN($A33)-LEN(SUBSTITUTE($A33,"|",""))=13, MID($A33, FIND("~", SUBSTITUTE($A33,"|","~", 11))+1, FIND("~", SUBSTITUTE($A33,"|","~", 12))-FIND("~", SUBSTITUTE($A33,"|","~", 11))-1),
    LEN($A33)-LEN(SUBSTITUTE($A33,"|",""))=14, MID($A33, FIND("~", SUBSTITUTE($A33,"|","~", 11))+1, FIND("~", SUBSTITUTE($A33,"|","~", 12))-FIND("~", SUBSTITUTE($A33,"|","~", 11))-1)
), "")</f>
        <v>E585970</v>
      </c>
      <c r="M33" s="47" t="str">
        <f t="shared" si="0"/>
        <v>SB120187/4/25</v>
      </c>
      <c r="N33" s="46" t="str">
        <f t="shared" si="3"/>
        <v/>
      </c>
      <c r="O33" s="60">
        <v>80</v>
      </c>
      <c r="P33" s="60">
        <v>902</v>
      </c>
      <c r="Q33" s="48">
        <v>400</v>
      </c>
      <c r="R33" s="48">
        <v>848</v>
      </c>
      <c r="S33" s="48" t="s">
        <v>35</v>
      </c>
      <c r="T33" s="48"/>
      <c r="U33" s="49"/>
      <c r="V33" s="49"/>
      <c r="W33" s="50">
        <f t="shared" si="1"/>
        <v>0</v>
      </c>
      <c r="X33" s="51">
        <f>IF(A33="", "", IF(COUNTIFS(C$3:C32, C33, D$3:D32, D33, G$3:G32, G33) &gt; 0, "", "11:00"-AW33))</f>
        <v>0.39583333333333326</v>
      </c>
      <c r="Y33" s="52" t="str">
        <f t="shared" si="8"/>
        <v>1:40</v>
      </c>
      <c r="Z33" s="53"/>
      <c r="AA33" s="54"/>
      <c r="AB33" s="53"/>
      <c r="AC33" s="54"/>
      <c r="AD33" s="53">
        <v>2.0833333333333332E-2</v>
      </c>
      <c r="AE33" s="54" t="s">
        <v>82</v>
      </c>
      <c r="AF33" s="53"/>
      <c r="AG33" s="54"/>
      <c r="AH33" s="55">
        <v>4.1666666666666699E-2</v>
      </c>
      <c r="AI33" s="53"/>
      <c r="AJ33" s="54"/>
      <c r="AK33" s="53"/>
      <c r="AL33" s="54"/>
      <c r="AM33" s="53"/>
      <c r="AN33" s="54"/>
      <c r="AO33" s="53"/>
      <c r="AP33" s="54"/>
      <c r="AQ33" s="53"/>
      <c r="AR33" s="54"/>
      <c r="AS33" s="53"/>
      <c r="AT33" s="54"/>
      <c r="AU33" s="53">
        <v>4.1666666666666699E-2</v>
      </c>
      <c r="AV33" s="54" t="s">
        <v>37</v>
      </c>
      <c r="AW33" s="57">
        <f t="shared" si="4"/>
        <v>6.2500000000000028E-2</v>
      </c>
      <c r="AX33" s="58" t="s">
        <v>86</v>
      </c>
    </row>
    <row r="34" spans="1:50" ht="28.5">
      <c r="A34" s="38" t="s">
        <v>87</v>
      </c>
      <c r="B34" s="39">
        <f t="shared" si="9"/>
        <v>30</v>
      </c>
      <c r="C34" s="40">
        <v>46027</v>
      </c>
      <c r="D34" s="40" t="s">
        <v>80</v>
      </c>
      <c r="E34" s="40" t="s">
        <v>81</v>
      </c>
      <c r="F34" s="41">
        <v>597.4</v>
      </c>
      <c r="G34" s="42" t="s">
        <v>85</v>
      </c>
      <c r="H34" s="43" t="str">
        <f>IFERROR(VLOOKUP($J34,'[9]FROM (3)'!$E$4:$F$230,2,FALSE),"")</f>
        <v>JTCS</v>
      </c>
      <c r="I34" s="44" t="str">
        <f t="shared" si="6"/>
        <v>Rack, MS</v>
      </c>
      <c r="J34" s="44" t="str">
        <f t="shared" si="7"/>
        <v>JGC10-003770-40-0</v>
      </c>
      <c r="K34" s="59" t="str">
        <f t="shared" si="2"/>
        <v>PD25121304</v>
      </c>
      <c r="L34" s="46" t="str" cm="1">
        <f t="array" ref="L34">IFERROR(_xlfn.IFS(
    LEN($A34)-LEN(SUBSTITUTE($A34,"|",""))=12, RIGHT(A34, LEN(A34)-FIND("~", SUBSTITUTE(A34,"|","~", LEN(A34)-LEN(SUBSTITUTE(A34,"|",""))))),
    LEN($A34)-LEN(SUBSTITUTE($A34,"|",""))=13, MID($A34, FIND("~", SUBSTITUTE($A34,"|","~", 11))+1, FIND("~", SUBSTITUTE($A34,"|","~", 12))-FIND("~", SUBSTITUTE($A34,"|","~", 11))-1),
    LEN($A34)-LEN(SUBSTITUTE($A34,"|",""))=14, MID($A34, FIND("~", SUBSTITUTE($A34,"|","~", 11))+1, FIND("~", SUBSTITUTE($A34,"|","~", 12))-FIND("~", SUBSTITUTE($A34,"|","~", 11))-1)
), "")</f>
        <v>E585970</v>
      </c>
      <c r="M34" s="47" t="str">
        <f t="shared" si="0"/>
        <v>SB120187/5/25</v>
      </c>
      <c r="N34" s="46" t="str">
        <f t="shared" si="3"/>
        <v/>
      </c>
      <c r="O34" s="60">
        <v>80</v>
      </c>
      <c r="P34" s="60">
        <v>902</v>
      </c>
      <c r="Q34" s="48">
        <v>400</v>
      </c>
      <c r="R34" s="48">
        <v>848</v>
      </c>
      <c r="S34" s="48" t="s">
        <v>35</v>
      </c>
      <c r="T34" s="48"/>
      <c r="U34" s="49"/>
      <c r="V34" s="49"/>
      <c r="W34" s="50">
        <f t="shared" si="1"/>
        <v>0</v>
      </c>
      <c r="X34" s="51" t="str">
        <f>IF(A34="", "", IF(COUNTIFS(C$3:C33, C34, D$3:D33, D34, G$3:G33, G34) &gt; 0, "", "11:00"-AW34))</f>
        <v/>
      </c>
      <c r="Y34" s="52" t="str">
        <f t="shared" si="8"/>
        <v/>
      </c>
      <c r="Z34" s="53"/>
      <c r="AA34" s="54"/>
      <c r="AB34" s="53"/>
      <c r="AC34" s="54"/>
      <c r="AD34" s="53"/>
      <c r="AE34" s="54"/>
      <c r="AF34" s="53"/>
      <c r="AG34" s="54"/>
      <c r="AH34" s="55">
        <v>4.1666666666666699E-2</v>
      </c>
      <c r="AI34" s="53"/>
      <c r="AJ34" s="54"/>
      <c r="AK34" s="53"/>
      <c r="AL34" s="54"/>
      <c r="AM34" s="53"/>
      <c r="AN34" s="54"/>
      <c r="AO34" s="53"/>
      <c r="AP34" s="54"/>
      <c r="AQ34" s="53"/>
      <c r="AR34" s="54"/>
      <c r="AS34" s="53"/>
      <c r="AT34" s="54"/>
      <c r="AU34" s="53">
        <v>4.1666666666666699E-2</v>
      </c>
      <c r="AV34" s="54" t="s">
        <v>37</v>
      </c>
      <c r="AW34" s="57">
        <f t="shared" si="4"/>
        <v>4.1666666666666699E-2</v>
      </c>
      <c r="AX34" s="58" t="s">
        <v>86</v>
      </c>
    </row>
    <row r="35" spans="1:50" ht="28.5">
      <c r="A35" s="38" t="s">
        <v>88</v>
      </c>
      <c r="B35" s="39">
        <f t="shared" si="9"/>
        <v>31</v>
      </c>
      <c r="C35" s="40">
        <v>46027</v>
      </c>
      <c r="D35" s="40" t="s">
        <v>80</v>
      </c>
      <c r="E35" s="40" t="s">
        <v>81</v>
      </c>
      <c r="F35" s="41">
        <v>597.4</v>
      </c>
      <c r="G35" s="42" t="s">
        <v>85</v>
      </c>
      <c r="H35" s="43" t="str">
        <f>IFERROR(VLOOKUP($J35,'[9]FROM (3)'!$E$4:$F$230,2,FALSE),"")</f>
        <v>JTCS</v>
      </c>
      <c r="I35" s="44" t="str">
        <f t="shared" si="6"/>
        <v>Rack, MS</v>
      </c>
      <c r="J35" s="44" t="str">
        <f t="shared" si="7"/>
        <v>JGC10-003770-40-0</v>
      </c>
      <c r="K35" s="59" t="str">
        <f t="shared" si="2"/>
        <v>PD25121304</v>
      </c>
      <c r="L35" s="46" t="str" cm="1">
        <f t="array" ref="L35">IFERROR(_xlfn.IFS(
    LEN($A35)-LEN(SUBSTITUTE($A35,"|",""))=12, RIGHT(A35, LEN(A35)-FIND("~", SUBSTITUTE(A35,"|","~", LEN(A35)-LEN(SUBSTITUTE(A35,"|",""))))),
    LEN($A35)-LEN(SUBSTITUTE($A35,"|",""))=13, MID($A35, FIND("~", SUBSTITUTE($A35,"|","~", 11))+1, FIND("~", SUBSTITUTE($A35,"|","~", 12))-FIND("~", SUBSTITUTE($A35,"|","~", 11))-1),
    LEN($A35)-LEN(SUBSTITUTE($A35,"|",""))=14, MID($A35, FIND("~", SUBSTITUTE($A35,"|","~", 11))+1, FIND("~", SUBSTITUTE($A35,"|","~", 12))-FIND("~", SUBSTITUTE($A35,"|","~", 11))-1)
), "")</f>
        <v>E585970</v>
      </c>
      <c r="M35" s="47" t="str">
        <f t="shared" si="0"/>
        <v>SB120187/6/25</v>
      </c>
      <c r="N35" s="46" t="str">
        <f t="shared" si="3"/>
        <v/>
      </c>
      <c r="O35" s="60">
        <v>80</v>
      </c>
      <c r="P35" s="60">
        <v>902</v>
      </c>
      <c r="Q35" s="48">
        <v>322</v>
      </c>
      <c r="R35" s="48">
        <v>683</v>
      </c>
      <c r="S35" s="48" t="s">
        <v>35</v>
      </c>
      <c r="T35" s="48"/>
      <c r="U35" s="49"/>
      <c r="V35" s="49"/>
      <c r="W35" s="50">
        <f t="shared" si="1"/>
        <v>0</v>
      </c>
      <c r="X35" s="51" t="str">
        <f>IF(A35="", "", IF(COUNTIFS(C$3:C34, C35, D$3:D34, D35, G$3:G34, G35) &gt; 0, "", "11:00"-AW35))</f>
        <v/>
      </c>
      <c r="Y35" s="52" t="str">
        <f t="shared" si="8"/>
        <v/>
      </c>
      <c r="Z35" s="53"/>
      <c r="AA35" s="54"/>
      <c r="AB35" s="53"/>
      <c r="AC35" s="54"/>
      <c r="AD35" s="53"/>
      <c r="AE35" s="54"/>
      <c r="AF35" s="53"/>
      <c r="AG35" s="54"/>
      <c r="AH35" s="55">
        <v>4.1666666666666699E-2</v>
      </c>
      <c r="AI35" s="53"/>
      <c r="AJ35" s="54"/>
      <c r="AK35" s="53"/>
      <c r="AL35" s="54"/>
      <c r="AM35" s="53"/>
      <c r="AN35" s="54"/>
      <c r="AO35" s="53"/>
      <c r="AP35" s="54"/>
      <c r="AQ35" s="53"/>
      <c r="AR35" s="54"/>
      <c r="AS35" s="53"/>
      <c r="AT35" s="54"/>
      <c r="AU35" s="53">
        <v>4.1666666666666699E-2</v>
      </c>
      <c r="AV35" s="54" t="s">
        <v>37</v>
      </c>
      <c r="AW35" s="57">
        <f t="shared" si="4"/>
        <v>4.1666666666666699E-2</v>
      </c>
      <c r="AX35" s="58" t="s">
        <v>86</v>
      </c>
    </row>
    <row r="36" spans="1:50" ht="28.5">
      <c r="A36" s="38" t="s">
        <v>89</v>
      </c>
      <c r="B36" s="39">
        <f t="shared" si="9"/>
        <v>32</v>
      </c>
      <c r="C36" s="40">
        <v>46027</v>
      </c>
      <c r="D36" s="40" t="s">
        <v>80</v>
      </c>
      <c r="E36" s="40" t="s">
        <v>81</v>
      </c>
      <c r="F36" s="41">
        <v>698.5</v>
      </c>
      <c r="G36" s="42" t="s">
        <v>54</v>
      </c>
      <c r="H36" s="43" t="str">
        <f>IFERROR(VLOOKUP($J36,'[9]FROM (3)'!$E$4:$F$230,2,FALSE),"")</f>
        <v>JCTTH</v>
      </c>
      <c r="I36" s="44" t="str">
        <f t="shared" si="6"/>
        <v>RACK BAR</v>
      </c>
      <c r="J36" s="44" t="str">
        <f t="shared" si="7"/>
        <v>JGD10-000751/000761-A</v>
      </c>
      <c r="K36" s="59" t="str">
        <f t="shared" si="2"/>
        <v>PD25121276</v>
      </c>
      <c r="L36" s="46" t="str" cm="1">
        <f t="array" ref="L36">IFERROR(_xlfn.IFS(
    LEN($A36)-LEN(SUBSTITUTE($A36,"|",""))=12, RIGHT(A36, LEN(A36)-FIND("~", SUBSTITUTE(A36,"|","~", LEN(A36)-LEN(SUBSTITUTE(A36,"|",""))))),
    LEN($A36)-LEN(SUBSTITUTE($A36,"|",""))=13, MID($A36, FIND("~", SUBSTITUTE($A36,"|","~", 11))+1, FIND("~", SUBSTITUTE($A36,"|","~", 12))-FIND("~", SUBSTITUTE($A36,"|","~", 11))-1),
    LEN($A36)-LEN(SUBSTITUTE($A36,"|",""))=14, MID($A36, FIND("~", SUBSTITUTE($A36,"|","~", 11))+1, FIND("~", SUBSTITUTE($A36,"|","~", 12))-FIND("~", SUBSTITUTE($A36,"|","~", 11))-1)
), "")</f>
        <v>665077</v>
      </c>
      <c r="M36" s="47" t="str">
        <f t="shared" si="0"/>
        <v>SB120175/3/25</v>
      </c>
      <c r="N36" s="46" t="str">
        <f t="shared" si="3"/>
        <v/>
      </c>
      <c r="O36" s="60">
        <v>51</v>
      </c>
      <c r="P36" s="60">
        <v>986</v>
      </c>
      <c r="Q36" s="48">
        <v>204</v>
      </c>
      <c r="R36" s="48">
        <v>913</v>
      </c>
      <c r="S36" s="48"/>
      <c r="T36" s="48"/>
      <c r="U36" s="49"/>
      <c r="V36" s="49"/>
      <c r="W36" s="50">
        <f t="shared" si="1"/>
        <v>0</v>
      </c>
      <c r="X36" s="51">
        <f>IF(A36="", "", IF(COUNTIFS(C$3:C35, C36, D$3:D35, D36, G$3:G35, G36) &gt; 0, "", "11:00"-AW36))</f>
        <v>0.40972222222222215</v>
      </c>
      <c r="Y36" s="52" t="str">
        <f t="shared" si="8"/>
        <v>1:40</v>
      </c>
      <c r="Z36" s="53">
        <v>6.9444444444444441E-3</v>
      </c>
      <c r="AA36" s="54" t="s">
        <v>90</v>
      </c>
      <c r="AB36" s="53"/>
      <c r="AC36" s="54"/>
      <c r="AD36" s="53"/>
      <c r="AE36" s="54"/>
      <c r="AF36" s="53"/>
      <c r="AG36" s="54"/>
      <c r="AH36" s="55">
        <v>4.1666666666666699E-2</v>
      </c>
      <c r="AI36" s="53"/>
      <c r="AJ36" s="54"/>
      <c r="AK36" s="53"/>
      <c r="AL36" s="54"/>
      <c r="AM36" s="53"/>
      <c r="AN36" s="54"/>
      <c r="AO36" s="53"/>
      <c r="AP36" s="54"/>
      <c r="AQ36" s="53"/>
      <c r="AR36" s="54"/>
      <c r="AS36" s="53"/>
      <c r="AT36" s="54"/>
      <c r="AU36" s="53">
        <v>4.1666666666666699E-2</v>
      </c>
      <c r="AV36" s="54" t="s">
        <v>37</v>
      </c>
      <c r="AW36" s="57">
        <f t="shared" si="4"/>
        <v>4.8611111111111147E-2</v>
      </c>
      <c r="AX36" s="58" t="s">
        <v>91</v>
      </c>
    </row>
    <row r="37" spans="1:50" ht="28.5">
      <c r="A37" s="38" t="s">
        <v>92</v>
      </c>
      <c r="B37" s="39">
        <f t="shared" si="9"/>
        <v>33</v>
      </c>
      <c r="C37" s="40">
        <v>46027</v>
      </c>
      <c r="D37" s="40" t="s">
        <v>80</v>
      </c>
      <c r="E37" s="40" t="s">
        <v>81</v>
      </c>
      <c r="F37" s="41">
        <v>698.5</v>
      </c>
      <c r="G37" s="42" t="s">
        <v>54</v>
      </c>
      <c r="H37" s="43" t="str">
        <f>IFERROR(VLOOKUP($J37,'[9]FROM (3)'!$E$4:$F$230,2,FALSE),"")</f>
        <v>JCTTH</v>
      </c>
      <c r="I37" s="44" t="str">
        <f t="shared" si="6"/>
        <v>RACK BAR</v>
      </c>
      <c r="J37" s="44" t="str">
        <f t="shared" si="7"/>
        <v>JGD10-000751/000761-A</v>
      </c>
      <c r="K37" s="59" t="str">
        <f t="shared" si="2"/>
        <v>PD25121276</v>
      </c>
      <c r="L37" s="46" t="str" cm="1">
        <f t="array" ref="L37">IFERROR(_xlfn.IFS(
    LEN($A37)-LEN(SUBSTITUTE($A37,"|",""))=12, RIGHT(A37, LEN(A37)-FIND("~", SUBSTITUTE(A37,"|","~", LEN(A37)-LEN(SUBSTITUTE(A37,"|",""))))),
    LEN($A37)-LEN(SUBSTITUTE($A37,"|",""))=13, MID($A37, FIND("~", SUBSTITUTE($A37,"|","~", 11))+1, FIND("~", SUBSTITUTE($A37,"|","~", 12))-FIND("~", SUBSTITUTE($A37,"|","~", 11))-1),
    LEN($A37)-LEN(SUBSTITUTE($A37,"|",""))=14, MID($A37, FIND("~", SUBSTITUTE($A37,"|","~", 11))+1, FIND("~", SUBSTITUTE($A37,"|","~", 12))-FIND("~", SUBSTITUTE($A37,"|","~", 11))-1)
), "")</f>
        <v>665077</v>
      </c>
      <c r="M37" s="47" t="str">
        <f t="shared" si="0"/>
        <v>SB120175/2/25</v>
      </c>
      <c r="N37" s="46" t="str">
        <f t="shared" si="3"/>
        <v/>
      </c>
      <c r="O37" s="60">
        <v>51</v>
      </c>
      <c r="P37" s="60">
        <v>986</v>
      </c>
      <c r="Q37" s="48">
        <v>204</v>
      </c>
      <c r="R37" s="48">
        <v>913</v>
      </c>
      <c r="S37" s="48"/>
      <c r="T37" s="48"/>
      <c r="U37" s="49"/>
      <c r="V37" s="49"/>
      <c r="W37" s="50">
        <f t="shared" si="1"/>
        <v>0</v>
      </c>
      <c r="X37" s="51" t="str">
        <f>IF(A37="", "", IF(COUNTIFS(C$3:C36, C37, D$3:D36, D37, G$3:G36, G37) &gt; 0, "", "11:00"-AW37))</f>
        <v/>
      </c>
      <c r="Y37" s="52" t="str">
        <f t="shared" si="8"/>
        <v/>
      </c>
      <c r="Z37" s="53"/>
      <c r="AA37" s="54"/>
      <c r="AB37" s="53"/>
      <c r="AC37" s="54"/>
      <c r="AD37" s="53"/>
      <c r="AE37" s="54"/>
      <c r="AF37" s="53"/>
      <c r="AG37" s="54"/>
      <c r="AH37" s="55">
        <v>4.1666666666666699E-2</v>
      </c>
      <c r="AI37" s="53"/>
      <c r="AJ37" s="54"/>
      <c r="AK37" s="53"/>
      <c r="AL37" s="54"/>
      <c r="AM37" s="53"/>
      <c r="AN37" s="54"/>
      <c r="AO37" s="53"/>
      <c r="AP37" s="54"/>
      <c r="AQ37" s="53"/>
      <c r="AR37" s="54"/>
      <c r="AS37" s="53"/>
      <c r="AT37" s="54"/>
      <c r="AU37" s="53">
        <v>4.1666666666666699E-2</v>
      </c>
      <c r="AV37" s="54" t="s">
        <v>37</v>
      </c>
      <c r="AW37" s="57">
        <f t="shared" si="4"/>
        <v>4.1666666666666699E-2</v>
      </c>
      <c r="AX37" s="58" t="s">
        <v>91</v>
      </c>
    </row>
    <row r="38" spans="1:50" ht="28.5">
      <c r="A38" s="38" t="s">
        <v>93</v>
      </c>
      <c r="B38" s="39">
        <f t="shared" si="9"/>
        <v>34</v>
      </c>
      <c r="C38" s="40">
        <v>46027</v>
      </c>
      <c r="D38" s="40" t="s">
        <v>80</v>
      </c>
      <c r="E38" s="40" t="s">
        <v>81</v>
      </c>
      <c r="F38" s="41">
        <v>698.5</v>
      </c>
      <c r="G38" s="42" t="s">
        <v>54</v>
      </c>
      <c r="H38" s="43" t="str">
        <f>IFERROR(VLOOKUP($J38,'[9]FROM (3)'!$E$4:$F$230,2,FALSE),"")</f>
        <v>JCTTH</v>
      </c>
      <c r="I38" s="44" t="str">
        <f t="shared" si="6"/>
        <v>RACK BAR</v>
      </c>
      <c r="J38" s="44" t="str">
        <f t="shared" si="7"/>
        <v>JGD10-000751/000761-A</v>
      </c>
      <c r="K38" s="59" t="str">
        <f t="shared" si="2"/>
        <v>PD25121276</v>
      </c>
      <c r="L38" s="46" t="str" cm="1">
        <f t="array" ref="L38">IFERROR(_xlfn.IFS(
    LEN($A38)-LEN(SUBSTITUTE($A38,"|",""))=12, RIGHT(A38, LEN(A38)-FIND("~", SUBSTITUTE(A38,"|","~", LEN(A38)-LEN(SUBSTITUTE(A38,"|",""))))),
    LEN($A38)-LEN(SUBSTITUTE($A38,"|",""))=13, MID($A38, FIND("~", SUBSTITUTE($A38,"|","~", 11))+1, FIND("~", SUBSTITUTE($A38,"|","~", 12))-FIND("~", SUBSTITUTE($A38,"|","~", 11))-1),
    LEN($A38)-LEN(SUBSTITUTE($A38,"|",""))=14, MID($A38, FIND("~", SUBSTITUTE($A38,"|","~", 11))+1, FIND("~", SUBSTITUTE($A38,"|","~", 12))-FIND("~", SUBSTITUTE($A38,"|","~", 11))-1)
), "")</f>
        <v>665077</v>
      </c>
      <c r="M38" s="47" t="str">
        <f t="shared" si="0"/>
        <v>SB120175/1/25</v>
      </c>
      <c r="N38" s="46" t="str">
        <f t="shared" si="3"/>
        <v/>
      </c>
      <c r="O38" s="60">
        <v>51</v>
      </c>
      <c r="P38" s="60">
        <v>986</v>
      </c>
      <c r="Q38" s="48">
        <v>204</v>
      </c>
      <c r="R38" s="48">
        <v>913</v>
      </c>
      <c r="S38" s="48"/>
      <c r="T38" s="48"/>
      <c r="U38" s="49">
        <v>195</v>
      </c>
      <c r="V38" s="49">
        <v>10</v>
      </c>
      <c r="W38" s="50">
        <f t="shared" si="1"/>
        <v>205</v>
      </c>
      <c r="X38" s="51" t="str">
        <f>IF(A38="", "", IF(COUNTIFS(C$3:C37, C38, D$3:D37, D38, G$3:G37, G38) &gt; 0, "", "11:00"-AW38))</f>
        <v/>
      </c>
      <c r="Y38" s="52" t="str">
        <f t="shared" si="8"/>
        <v/>
      </c>
      <c r="Z38" s="53"/>
      <c r="AA38" s="54"/>
      <c r="AB38" s="53"/>
      <c r="AC38" s="54"/>
      <c r="AD38" s="53"/>
      <c r="AE38" s="54"/>
      <c r="AF38" s="53"/>
      <c r="AG38" s="54"/>
      <c r="AH38" s="55">
        <v>4.1666666666666699E-2</v>
      </c>
      <c r="AI38" s="53"/>
      <c r="AJ38" s="54"/>
      <c r="AK38" s="53"/>
      <c r="AL38" s="54"/>
      <c r="AM38" s="53"/>
      <c r="AN38" s="54"/>
      <c r="AO38" s="53"/>
      <c r="AP38" s="54"/>
      <c r="AQ38" s="53"/>
      <c r="AR38" s="54"/>
      <c r="AS38" s="53"/>
      <c r="AT38" s="54"/>
      <c r="AU38" s="53">
        <v>4.1666666666666699E-2</v>
      </c>
      <c r="AV38" s="54" t="s">
        <v>37</v>
      </c>
      <c r="AW38" s="57">
        <f t="shared" si="4"/>
        <v>4.1666666666666699E-2</v>
      </c>
      <c r="AX38" s="58" t="s">
        <v>91</v>
      </c>
    </row>
    <row r="39" spans="1:50" ht="23.25" customHeight="1">
      <c r="A39" s="38" t="s">
        <v>94</v>
      </c>
      <c r="B39" s="39">
        <f t="shared" si="9"/>
        <v>35</v>
      </c>
      <c r="C39" s="40">
        <v>46027</v>
      </c>
      <c r="D39" s="40" t="s">
        <v>80</v>
      </c>
      <c r="E39" s="40" t="s">
        <v>81</v>
      </c>
      <c r="F39" s="41">
        <v>698.5</v>
      </c>
      <c r="G39" s="42" t="s">
        <v>54</v>
      </c>
      <c r="H39" s="43" t="str">
        <f>IFERROR(VLOOKUP($J39,'[9]FROM (3)'!$E$4:$F$230,2,FALSE),"")</f>
        <v>JCTTH</v>
      </c>
      <c r="I39" s="44" t="str">
        <f t="shared" si="6"/>
        <v>RACK BAR</v>
      </c>
      <c r="J39" s="44" t="str">
        <f t="shared" si="7"/>
        <v>JGD10-000751/000761-A</v>
      </c>
      <c r="K39" s="59" t="str">
        <f t="shared" si="2"/>
        <v>PD25121273</v>
      </c>
      <c r="L39" s="46" t="str" cm="1">
        <f t="array" ref="L39">IFERROR(_xlfn.IFS(
    LEN($A39)-LEN(SUBSTITUTE($A39,"|",""))=12, RIGHT(A39, LEN(A39)-FIND("~", SUBSTITUTE(A39,"|","~", LEN(A39)-LEN(SUBSTITUTE(A39,"|",""))))),
    LEN($A39)-LEN(SUBSTITUTE($A39,"|",""))=13, MID($A39, FIND("~", SUBSTITUTE($A39,"|","~", 11))+1, FIND("~", SUBSTITUTE($A39,"|","~", 12))-FIND("~", SUBSTITUTE($A39,"|","~", 11))-1),
    LEN($A39)-LEN(SUBSTITUTE($A39,"|",""))=14, MID($A39, FIND("~", SUBSTITUTE($A39,"|","~", 11))+1, FIND("~", SUBSTITUTE($A39,"|","~", 12))-FIND("~", SUBSTITUTE($A39,"|","~", 11))-1)
), "")</f>
        <v>665077</v>
      </c>
      <c r="M39" s="47" t="str">
        <f t="shared" si="0"/>
        <v>SB120183/2/25</v>
      </c>
      <c r="N39" s="46" t="str">
        <f t="shared" si="3"/>
        <v/>
      </c>
      <c r="O39" s="60">
        <v>51</v>
      </c>
      <c r="P39" s="60">
        <v>990</v>
      </c>
      <c r="Q39" s="48">
        <v>204</v>
      </c>
      <c r="R39" s="48">
        <v>913</v>
      </c>
      <c r="S39" s="48"/>
      <c r="T39" s="48"/>
      <c r="U39" s="49"/>
      <c r="V39" s="49"/>
      <c r="W39" s="50">
        <f t="shared" si="1"/>
        <v>0</v>
      </c>
      <c r="X39" s="51" t="str">
        <f>IF(A39="", "", IF(COUNTIFS(C$3:C38, C39, D$3:D38, D39, G$3:G38, G39) &gt; 0, "", "11:00"-AW39))</f>
        <v/>
      </c>
      <c r="Y39" s="52" t="str">
        <f t="shared" si="8"/>
        <v/>
      </c>
      <c r="Z39" s="53"/>
      <c r="AA39" s="54"/>
      <c r="AB39" s="53"/>
      <c r="AC39" s="54"/>
      <c r="AD39" s="53"/>
      <c r="AE39" s="54"/>
      <c r="AF39" s="53"/>
      <c r="AG39" s="54"/>
      <c r="AH39" s="55">
        <v>4.1666666666666699E-2</v>
      </c>
      <c r="AI39" s="53"/>
      <c r="AJ39" s="54"/>
      <c r="AK39" s="53"/>
      <c r="AL39" s="54"/>
      <c r="AM39" s="53"/>
      <c r="AN39" s="54"/>
      <c r="AO39" s="53"/>
      <c r="AP39" s="54"/>
      <c r="AQ39" s="53"/>
      <c r="AR39" s="54"/>
      <c r="AS39" s="53"/>
      <c r="AT39" s="54"/>
      <c r="AU39" s="53">
        <v>4.1666666666666699E-2</v>
      </c>
      <c r="AV39" s="54" t="s">
        <v>37</v>
      </c>
      <c r="AW39" s="57">
        <f t="shared" si="4"/>
        <v>4.1666666666666699E-2</v>
      </c>
      <c r="AX39" s="58" t="s">
        <v>91</v>
      </c>
    </row>
    <row r="40" spans="1:50" ht="28.5">
      <c r="A40" s="38" t="s">
        <v>95</v>
      </c>
      <c r="B40" s="39">
        <f t="shared" si="9"/>
        <v>36</v>
      </c>
      <c r="C40" s="40">
        <v>46027</v>
      </c>
      <c r="D40" s="40" t="s">
        <v>80</v>
      </c>
      <c r="E40" s="40" t="s">
        <v>81</v>
      </c>
      <c r="F40" s="41">
        <v>698.5</v>
      </c>
      <c r="G40" s="42" t="s">
        <v>54</v>
      </c>
      <c r="H40" s="43" t="str">
        <f>IFERROR(VLOOKUP($J40,'[9]FROM (3)'!$E$4:$F$230,2,FALSE),"")</f>
        <v>JCTTH</v>
      </c>
      <c r="I40" s="44" t="str">
        <f t="shared" si="6"/>
        <v>RACK BAR</v>
      </c>
      <c r="J40" s="44" t="str">
        <f t="shared" si="7"/>
        <v>JGD10-000751/000761-A</v>
      </c>
      <c r="K40" s="59" t="str">
        <f t="shared" si="2"/>
        <v>PD25121273</v>
      </c>
      <c r="L40" s="46" t="str" cm="1">
        <f t="array" ref="L40">IFERROR(_xlfn.IFS(
    LEN($A40)-LEN(SUBSTITUTE($A40,"|",""))=12, RIGHT(A40, LEN(A40)-FIND("~", SUBSTITUTE(A40,"|","~", LEN(A40)-LEN(SUBSTITUTE(A40,"|",""))))),
    LEN($A40)-LEN(SUBSTITUTE($A40,"|",""))=13, MID($A40, FIND("~", SUBSTITUTE($A40,"|","~", 11))+1, FIND("~", SUBSTITUTE($A40,"|","~", 12))-FIND("~", SUBSTITUTE($A40,"|","~", 11))-1),
    LEN($A40)-LEN(SUBSTITUTE($A40,"|",""))=14, MID($A40, FIND("~", SUBSTITUTE($A40,"|","~", 11))+1, FIND("~", SUBSTITUTE($A40,"|","~", 12))-FIND("~", SUBSTITUTE($A40,"|","~", 11))-1)
), "")</f>
        <v>665077</v>
      </c>
      <c r="M40" s="47" t="str">
        <f t="shared" si="0"/>
        <v>SB120183/1/25</v>
      </c>
      <c r="N40" s="46" t="str">
        <f t="shared" si="3"/>
        <v/>
      </c>
      <c r="O40" s="60">
        <v>51</v>
      </c>
      <c r="P40" s="60">
        <v>990</v>
      </c>
      <c r="Q40" s="48">
        <v>204</v>
      </c>
      <c r="R40" s="48">
        <v>913</v>
      </c>
      <c r="S40" s="48"/>
      <c r="T40" s="48"/>
      <c r="U40" s="49">
        <v>131</v>
      </c>
      <c r="V40" s="49">
        <v>7</v>
      </c>
      <c r="W40" s="50">
        <f t="shared" si="1"/>
        <v>138</v>
      </c>
      <c r="X40" s="51" t="str">
        <f>IF(A40="", "", IF(COUNTIFS(C$3:C39, C40, D$3:D39, D40, G$3:G39, G40) &gt; 0, "", "11:00"-AW40))</f>
        <v/>
      </c>
      <c r="Y40" s="52" t="str">
        <f t="shared" si="8"/>
        <v/>
      </c>
      <c r="Z40" s="53"/>
      <c r="AA40" s="54"/>
      <c r="AB40" s="53"/>
      <c r="AC40" s="54"/>
      <c r="AD40" s="53"/>
      <c r="AE40" s="54"/>
      <c r="AF40" s="53"/>
      <c r="AG40" s="54"/>
      <c r="AH40" s="55">
        <v>4.1666666666666699E-2</v>
      </c>
      <c r="AI40" s="53"/>
      <c r="AJ40" s="54"/>
      <c r="AK40" s="53"/>
      <c r="AL40" s="54"/>
      <c r="AM40" s="53"/>
      <c r="AN40" s="54"/>
      <c r="AO40" s="53"/>
      <c r="AP40" s="54"/>
      <c r="AQ40" s="53"/>
      <c r="AR40" s="54"/>
      <c r="AS40" s="53"/>
      <c r="AT40" s="54"/>
      <c r="AU40" s="53">
        <v>4.1666666666666699E-2</v>
      </c>
      <c r="AV40" s="54" t="s">
        <v>37</v>
      </c>
      <c r="AW40" s="57">
        <f t="shared" si="4"/>
        <v>4.1666666666666699E-2</v>
      </c>
      <c r="AX40" s="58" t="s">
        <v>91</v>
      </c>
    </row>
    <row r="41" spans="1:50" ht="28.5">
      <c r="A41" s="38" t="s">
        <v>73</v>
      </c>
      <c r="B41" s="39">
        <f t="shared" si="9"/>
        <v>37</v>
      </c>
      <c r="C41" s="40">
        <v>46027</v>
      </c>
      <c r="D41" s="40" t="s">
        <v>80</v>
      </c>
      <c r="E41" s="40" t="s">
        <v>81</v>
      </c>
      <c r="F41" s="41">
        <v>630.4</v>
      </c>
      <c r="G41" s="42" t="s">
        <v>66</v>
      </c>
      <c r="H41" s="43" t="str">
        <f>IFERROR(VLOOKUP($J41,'[9]FROM (3)'!$E$4:$F$230,2,FALSE),"")</f>
        <v>JTCS</v>
      </c>
      <c r="I41" s="44" t="str">
        <f t="shared" si="6"/>
        <v>RACK, MS</v>
      </c>
      <c r="J41" s="44" t="str">
        <f t="shared" si="7"/>
        <v>JGC10-003140-40-0</v>
      </c>
      <c r="K41" s="59" t="str">
        <f t="shared" si="2"/>
        <v>PD25121129</v>
      </c>
      <c r="L41" s="46" t="str" cm="1">
        <f t="array" ref="L41">IFERROR(_xlfn.IFS(
    LEN($A41)-LEN(SUBSTITUTE($A41,"|",""))=12, RIGHT(A41, LEN(A41)-FIND("~", SUBSTITUTE(A41,"|","~", LEN(A41)-LEN(SUBSTITUTE(A41,"|",""))))),
    LEN($A41)-LEN(SUBSTITUTE($A41,"|",""))=13, MID($A41, FIND("~", SUBSTITUTE($A41,"|","~", 11))+1, FIND("~", SUBSTITUTE($A41,"|","~", 12))-FIND("~", SUBSTITUTE($A41,"|","~", 11))-1),
    LEN($A41)-LEN(SUBSTITUTE($A41,"|",""))=14, MID($A41, FIND("~", SUBSTITUTE($A41,"|","~", 11))+1, FIND("~", SUBSTITUTE($A41,"|","~", 12))-FIND("~", SUBSTITUTE($A41,"|","~", 11))-1)
), "")</f>
        <v>E586613</v>
      </c>
      <c r="M41" s="47" t="str">
        <f t="shared" si="0"/>
        <v>SB120156/4/25</v>
      </c>
      <c r="N41" s="46" t="str">
        <f t="shared" si="3"/>
        <v/>
      </c>
      <c r="O41" s="60" t="s">
        <v>35</v>
      </c>
      <c r="P41" s="60" t="s">
        <v>35</v>
      </c>
      <c r="Q41" s="48">
        <v>80</v>
      </c>
      <c r="R41" s="48">
        <v>210</v>
      </c>
      <c r="S41" s="48"/>
      <c r="T41" s="48"/>
      <c r="U41" s="49"/>
      <c r="V41" s="49"/>
      <c r="W41" s="50">
        <f t="shared" si="1"/>
        <v>0</v>
      </c>
      <c r="X41" s="51">
        <f>IF(A41="", "", IF(COUNTIFS(C$3:C40, C41, D$3:D40, D41, G$3:G40, G41) &gt; 0, "", "11:00"-AW41))</f>
        <v>0.37499999999999994</v>
      </c>
      <c r="Y41" s="52" t="str">
        <f t="shared" si="8"/>
        <v>1:40</v>
      </c>
      <c r="Z41" s="53"/>
      <c r="AA41" s="54"/>
      <c r="AB41" s="53"/>
      <c r="AC41" s="54"/>
      <c r="AD41" s="53"/>
      <c r="AE41" s="54"/>
      <c r="AF41" s="53"/>
      <c r="AG41" s="54"/>
      <c r="AH41" s="55">
        <v>4.1666666666666699E-2</v>
      </c>
      <c r="AI41" s="53"/>
      <c r="AJ41" s="54"/>
      <c r="AK41" s="53"/>
      <c r="AL41" s="54"/>
      <c r="AM41" s="53"/>
      <c r="AN41" s="54"/>
      <c r="AO41" s="53"/>
      <c r="AP41" s="54"/>
      <c r="AQ41" s="53">
        <v>4.1666666666666664E-2</v>
      </c>
      <c r="AR41" s="54" t="s">
        <v>67</v>
      </c>
      <c r="AS41" s="53"/>
      <c r="AT41" s="54"/>
      <c r="AU41" s="53">
        <v>4.1666666666666699E-2</v>
      </c>
      <c r="AV41" s="54" t="s">
        <v>37</v>
      </c>
      <c r="AW41" s="57">
        <f t="shared" si="4"/>
        <v>8.333333333333337E-2</v>
      </c>
      <c r="AX41" s="58" t="s">
        <v>96</v>
      </c>
    </row>
    <row r="42" spans="1:50" ht="28.5">
      <c r="A42" s="38" t="s">
        <v>97</v>
      </c>
      <c r="B42" s="39">
        <f t="shared" si="9"/>
        <v>38</v>
      </c>
      <c r="C42" s="40">
        <v>46027</v>
      </c>
      <c r="D42" s="40" t="s">
        <v>80</v>
      </c>
      <c r="E42" s="40" t="s">
        <v>81</v>
      </c>
      <c r="F42" s="41">
        <v>630.4</v>
      </c>
      <c r="G42" s="42" t="s">
        <v>66</v>
      </c>
      <c r="H42" s="43" t="str">
        <f>IFERROR(VLOOKUP($J42,'[9]FROM (3)'!$E$4:$F$230,2,FALSE),"")</f>
        <v>JTCS</v>
      </c>
      <c r="I42" s="44" t="str">
        <f t="shared" si="6"/>
        <v>RACK, MS</v>
      </c>
      <c r="J42" s="44" t="str">
        <f t="shared" si="7"/>
        <v>JGC10-003140-40-0</v>
      </c>
      <c r="K42" s="59" t="str">
        <f t="shared" si="2"/>
        <v>PD25121129</v>
      </c>
      <c r="L42" s="46" t="str" cm="1">
        <f t="array" ref="L42">IFERROR(_xlfn.IFS(
    LEN($A42)-LEN(SUBSTITUTE($A42,"|",""))=12, RIGHT(A42, LEN(A42)-FIND("~", SUBSTITUTE(A42,"|","~", LEN(A42)-LEN(SUBSTITUTE(A42,"|",""))))),
    LEN($A42)-LEN(SUBSTITUTE($A42,"|",""))=13, MID($A42, FIND("~", SUBSTITUTE($A42,"|","~", 11))+1, FIND("~", SUBSTITUTE($A42,"|","~", 12))-FIND("~", SUBSTITUTE($A42,"|","~", 11))-1),
    LEN($A42)-LEN(SUBSTITUTE($A42,"|",""))=14, MID($A42, FIND("~", SUBSTITUTE($A42,"|","~", 11))+1, FIND("~", SUBSTITUTE($A42,"|","~", 12))-FIND("~", SUBSTITUTE($A42,"|","~", 11))-1)
), "")</f>
        <v>E586613</v>
      </c>
      <c r="M42" s="47" t="str">
        <f t="shared" si="0"/>
        <v>SB120156/3/25</v>
      </c>
      <c r="N42" s="46" t="str">
        <f t="shared" si="3"/>
        <v/>
      </c>
      <c r="O42" s="60">
        <v>49</v>
      </c>
      <c r="P42" s="60">
        <v>710</v>
      </c>
      <c r="Q42" s="48">
        <v>245</v>
      </c>
      <c r="R42" s="48">
        <v>643</v>
      </c>
      <c r="S42" s="48"/>
      <c r="T42" s="48"/>
      <c r="U42" s="49">
        <v>122</v>
      </c>
      <c r="V42" s="49">
        <v>5</v>
      </c>
      <c r="W42" s="50">
        <f t="shared" si="1"/>
        <v>127</v>
      </c>
      <c r="X42" s="51" t="str">
        <f>IF(A42="", "", IF(COUNTIFS(C$3:C41, C42, D$3:D41, D42, G$3:G41, G42) &gt; 0, "", "11:00"-AW42))</f>
        <v/>
      </c>
      <c r="Y42" s="52" t="str">
        <f t="shared" si="8"/>
        <v/>
      </c>
      <c r="Z42" s="53"/>
      <c r="AA42" s="54"/>
      <c r="AB42" s="53"/>
      <c r="AC42" s="54"/>
      <c r="AD42" s="53"/>
      <c r="AE42" s="54"/>
      <c r="AF42" s="53"/>
      <c r="AG42" s="54"/>
      <c r="AH42" s="55">
        <v>4.1666666666666699E-2</v>
      </c>
      <c r="AI42" s="53"/>
      <c r="AJ42" s="54"/>
      <c r="AK42" s="53"/>
      <c r="AL42" s="54"/>
      <c r="AM42" s="53"/>
      <c r="AN42" s="54"/>
      <c r="AO42" s="53"/>
      <c r="AP42" s="54"/>
      <c r="AQ42" s="53"/>
      <c r="AR42" s="54"/>
      <c r="AS42" s="53"/>
      <c r="AT42" s="54"/>
      <c r="AU42" s="53">
        <v>4.1666666666666699E-2</v>
      </c>
      <c r="AV42" s="54" t="s">
        <v>37</v>
      </c>
      <c r="AW42" s="57">
        <f t="shared" si="4"/>
        <v>4.1666666666666699E-2</v>
      </c>
      <c r="AX42" s="58" t="s">
        <v>96</v>
      </c>
    </row>
    <row r="43" spans="1:50" ht="28.5">
      <c r="A43" s="38" t="s">
        <v>98</v>
      </c>
      <c r="B43" s="39">
        <f t="shared" si="9"/>
        <v>39</v>
      </c>
      <c r="C43" s="40">
        <v>46027</v>
      </c>
      <c r="D43" s="40" t="s">
        <v>80</v>
      </c>
      <c r="E43" s="40" t="s">
        <v>81</v>
      </c>
      <c r="F43" s="41">
        <v>630.4</v>
      </c>
      <c r="G43" s="42" t="s">
        <v>66</v>
      </c>
      <c r="H43" s="43" t="str">
        <f>IFERROR(VLOOKUP($J43,'[9]FROM (3)'!$E$4:$F$230,2,FALSE),"")</f>
        <v>JTCS</v>
      </c>
      <c r="I43" s="44" t="str">
        <f t="shared" si="6"/>
        <v>RACK, MS</v>
      </c>
      <c r="J43" s="44" t="str">
        <f t="shared" si="7"/>
        <v>JGC10-003140-40-0</v>
      </c>
      <c r="K43" s="59" t="str">
        <f t="shared" si="2"/>
        <v>PD25121128</v>
      </c>
      <c r="L43" s="46" t="str" cm="1">
        <f t="array" ref="L43">IFERROR(_xlfn.IFS(
    LEN($A43)-LEN(SUBSTITUTE($A43,"|",""))=12, RIGHT(A43, LEN(A43)-FIND("~", SUBSTITUTE(A43,"|","~", LEN(A43)-LEN(SUBSTITUTE(A43,"|",""))))),
    LEN($A43)-LEN(SUBSTITUTE($A43,"|",""))=13, MID($A43, FIND("~", SUBSTITUTE($A43,"|","~", 11))+1, FIND("~", SUBSTITUTE($A43,"|","~", 12))-FIND("~", SUBSTITUTE($A43,"|","~", 11))-1),
    LEN($A43)-LEN(SUBSTITUTE($A43,"|",""))=14, MID($A43, FIND("~", SUBSTITUTE($A43,"|","~", 11))+1, FIND("~", SUBSTITUTE($A43,"|","~", 12))-FIND("~", SUBSTITUTE($A43,"|","~", 11))-1)
), "")</f>
        <v>E586613</v>
      </c>
      <c r="M43" s="47" t="str">
        <f t="shared" si="0"/>
        <v>SB120156/1/25</v>
      </c>
      <c r="N43" s="46" t="str">
        <f t="shared" si="3"/>
        <v/>
      </c>
      <c r="O43" s="60">
        <v>60</v>
      </c>
      <c r="P43" s="60">
        <v>868</v>
      </c>
      <c r="Q43" s="48">
        <v>300</v>
      </c>
      <c r="R43" s="48">
        <v>788</v>
      </c>
      <c r="S43" s="48"/>
      <c r="T43" s="48"/>
      <c r="U43" s="49">
        <v>150</v>
      </c>
      <c r="V43" s="49">
        <v>6</v>
      </c>
      <c r="W43" s="50">
        <f t="shared" si="1"/>
        <v>156</v>
      </c>
      <c r="X43" s="51" t="str">
        <f>IF(A43="", "", IF(COUNTIFS(C$3:C42, C43, D$3:D42, D43, G$3:G42, G43) &gt; 0, "", "11:00"-AW43))</f>
        <v/>
      </c>
      <c r="Y43" s="52" t="str">
        <f t="shared" si="8"/>
        <v/>
      </c>
      <c r="Z43" s="53"/>
      <c r="AA43" s="54"/>
      <c r="AB43" s="53"/>
      <c r="AC43" s="54"/>
      <c r="AD43" s="53"/>
      <c r="AE43" s="54"/>
      <c r="AF43" s="53"/>
      <c r="AG43" s="54"/>
      <c r="AH43" s="55">
        <v>4.1666666666666699E-2</v>
      </c>
      <c r="AI43" s="53"/>
      <c r="AJ43" s="54"/>
      <c r="AK43" s="53"/>
      <c r="AL43" s="54"/>
      <c r="AM43" s="53"/>
      <c r="AN43" s="54"/>
      <c r="AO43" s="53"/>
      <c r="AP43" s="54"/>
      <c r="AQ43" s="53"/>
      <c r="AR43" s="54"/>
      <c r="AS43" s="53"/>
      <c r="AT43" s="54"/>
      <c r="AU43" s="53">
        <v>4.1666666666666699E-2</v>
      </c>
      <c r="AV43" s="54" t="s">
        <v>37</v>
      </c>
      <c r="AW43" s="57">
        <f t="shared" si="4"/>
        <v>4.1666666666666699E-2</v>
      </c>
      <c r="AX43" s="58" t="s">
        <v>96</v>
      </c>
    </row>
    <row r="44" spans="1:50" ht="28.5">
      <c r="A44" s="38" t="s">
        <v>99</v>
      </c>
      <c r="B44" s="39">
        <f t="shared" si="9"/>
        <v>40</v>
      </c>
      <c r="C44" s="40">
        <v>46027</v>
      </c>
      <c r="D44" s="40" t="s">
        <v>80</v>
      </c>
      <c r="E44" s="40" t="s">
        <v>81</v>
      </c>
      <c r="F44" s="41">
        <v>630.4</v>
      </c>
      <c r="G44" s="42" t="s">
        <v>66</v>
      </c>
      <c r="H44" s="43" t="str">
        <f>IFERROR(VLOOKUP($J44,'[9]FROM (3)'!$E$4:$F$230,2,FALSE),"")</f>
        <v>JTCS</v>
      </c>
      <c r="I44" s="44" t="str">
        <f t="shared" si="6"/>
        <v>RACK, MS</v>
      </c>
      <c r="J44" s="44" t="str">
        <f t="shared" si="7"/>
        <v>JGC10-003140-40-0</v>
      </c>
      <c r="K44" s="59" t="str">
        <f t="shared" si="2"/>
        <v>PD25121128</v>
      </c>
      <c r="L44" s="46" t="str" cm="1">
        <f t="array" ref="L44">IFERROR(_xlfn.IFS(
    LEN($A44)-LEN(SUBSTITUTE($A44,"|",""))=12, RIGHT(A44, LEN(A44)-FIND("~", SUBSTITUTE(A44,"|","~", LEN(A44)-LEN(SUBSTITUTE(A44,"|",""))))),
    LEN($A44)-LEN(SUBSTITUTE($A44,"|",""))=13, MID($A44, FIND("~", SUBSTITUTE($A44,"|","~", 11))+1, FIND("~", SUBSTITUTE($A44,"|","~", 12))-FIND("~", SUBSTITUTE($A44,"|","~", 11))-1),
    LEN($A44)-LEN(SUBSTITUTE($A44,"|",""))=14, MID($A44, FIND("~", SUBSTITUTE($A44,"|","~", 11))+1, FIND("~", SUBSTITUTE($A44,"|","~", 12))-FIND("~", SUBSTITUTE($A44,"|","~", 11))-1)
), "")</f>
        <v>E586613</v>
      </c>
      <c r="M44" s="47" t="str">
        <f t="shared" si="0"/>
        <v>SB120156/2/25</v>
      </c>
      <c r="N44" s="46" t="str">
        <f t="shared" si="3"/>
        <v/>
      </c>
      <c r="O44" s="60">
        <v>60</v>
      </c>
      <c r="P44" s="60">
        <v>868</v>
      </c>
      <c r="Q44" s="48">
        <v>300</v>
      </c>
      <c r="R44" s="48">
        <v>788</v>
      </c>
      <c r="S44" s="48"/>
      <c r="T44" s="48"/>
      <c r="U44" s="49"/>
      <c r="V44" s="49"/>
      <c r="W44" s="50">
        <f t="shared" si="1"/>
        <v>0</v>
      </c>
      <c r="X44" s="51" t="str">
        <f>IF(A44="", "", IF(COUNTIFS(C$3:C43, C44, D$3:D43, D44, G$3:G43, G44) &gt; 0, "", "11:00"-AW44))</f>
        <v/>
      </c>
      <c r="Y44" s="52" t="str">
        <f t="shared" si="8"/>
        <v/>
      </c>
      <c r="Z44" s="53"/>
      <c r="AA44" s="54"/>
      <c r="AB44" s="53"/>
      <c r="AC44" s="54"/>
      <c r="AD44" s="53"/>
      <c r="AE44" s="54"/>
      <c r="AF44" s="53"/>
      <c r="AG44" s="54"/>
      <c r="AH44" s="55">
        <v>4.1666666666666699E-2</v>
      </c>
      <c r="AI44" s="53"/>
      <c r="AJ44" s="54"/>
      <c r="AK44" s="53"/>
      <c r="AL44" s="54"/>
      <c r="AM44" s="53"/>
      <c r="AN44" s="54"/>
      <c r="AO44" s="53"/>
      <c r="AP44" s="54"/>
      <c r="AQ44" s="53"/>
      <c r="AR44" s="54"/>
      <c r="AS44" s="53"/>
      <c r="AT44" s="54"/>
      <c r="AU44" s="53">
        <v>4.1666666666666699E-2</v>
      </c>
      <c r="AV44" s="54" t="s">
        <v>37</v>
      </c>
      <c r="AW44" s="57">
        <f t="shared" si="4"/>
        <v>4.1666666666666699E-2</v>
      </c>
      <c r="AX44" s="58" t="s">
        <v>96</v>
      </c>
    </row>
    <row r="45" spans="1:50" ht="28.5">
      <c r="A45" s="38" t="s">
        <v>100</v>
      </c>
      <c r="B45" s="39">
        <f t="shared" si="9"/>
        <v>41</v>
      </c>
      <c r="C45" s="40">
        <v>46027</v>
      </c>
      <c r="D45" s="40" t="s">
        <v>80</v>
      </c>
      <c r="E45" s="40" t="s">
        <v>81</v>
      </c>
      <c r="F45" s="41">
        <v>719.6</v>
      </c>
      <c r="G45" s="42" t="s">
        <v>66</v>
      </c>
      <c r="H45" s="43" t="str">
        <f>IFERROR(VLOOKUP($J45,'[9]FROM (3)'!$E$4:$F$230,2,FALSE),"")</f>
        <v>JAMY</v>
      </c>
      <c r="I45" s="44" t="str">
        <f t="shared" si="6"/>
        <v>RACK BAR</v>
      </c>
      <c r="J45" s="44" t="str">
        <f t="shared" si="7"/>
        <v>JGD10S000830-51-0</v>
      </c>
      <c r="K45" s="59" t="str">
        <f t="shared" si="2"/>
        <v>PD25121174</v>
      </c>
      <c r="L45" s="46" t="str" cm="1">
        <f t="array" ref="L45">IFERROR(_xlfn.IFS(
    LEN($A45)-LEN(SUBSTITUTE($A45,"|",""))=12, RIGHT(A45, LEN(A45)-FIND("~", SUBSTITUTE(A45,"|","~", LEN(A45)-LEN(SUBSTITUTE(A45,"|",""))))),
    LEN($A45)-LEN(SUBSTITUTE($A45,"|",""))=13, MID($A45, FIND("~", SUBSTITUTE($A45,"|","~", 11))+1, FIND("~", SUBSTITUTE($A45,"|","~", 12))-FIND("~", SUBSTITUTE($A45,"|","~", 11))-1),
    LEN($A45)-LEN(SUBSTITUTE($A45,"|",""))=14, MID($A45, FIND("~", SUBSTITUTE($A45,"|","~", 11))+1, FIND("~", SUBSTITUTE($A45,"|","~", 12))-FIND("~", SUBSTITUTE($A45,"|","~", 11))-1)
), "")</f>
        <v>E586446</v>
      </c>
      <c r="M45" s="47" t="str">
        <f t="shared" si="0"/>
        <v>SB120164/2/25</v>
      </c>
      <c r="N45" s="46" t="str">
        <f t="shared" si="3"/>
        <v/>
      </c>
      <c r="O45" s="60">
        <v>50</v>
      </c>
      <c r="P45" s="60">
        <v>866</v>
      </c>
      <c r="Q45" s="48">
        <v>88</v>
      </c>
      <c r="R45" s="48">
        <v>357</v>
      </c>
      <c r="S45" s="48"/>
      <c r="T45" s="48"/>
      <c r="U45" s="49"/>
      <c r="V45" s="49"/>
      <c r="W45" s="50">
        <f t="shared" si="1"/>
        <v>0</v>
      </c>
      <c r="X45" s="51" t="str">
        <f>IF(A45="", "", IF(COUNTIFS(C$3:C44, C45, D$3:D44, D45, G$3:G44, G45) &gt; 0, "", "11:00"-AW45))</f>
        <v/>
      </c>
      <c r="Y45" s="52" t="str">
        <f t="shared" si="8"/>
        <v/>
      </c>
      <c r="Z45" s="53"/>
      <c r="AA45" s="54"/>
      <c r="AB45" s="53"/>
      <c r="AC45" s="54"/>
      <c r="AD45" s="53"/>
      <c r="AE45" s="54"/>
      <c r="AF45" s="53"/>
      <c r="AG45" s="54"/>
      <c r="AH45" s="55">
        <v>4.1666666666666699E-2</v>
      </c>
      <c r="AI45" s="53"/>
      <c r="AJ45" s="54"/>
      <c r="AK45" s="53"/>
      <c r="AL45" s="54"/>
      <c r="AM45" s="53"/>
      <c r="AN45" s="54"/>
      <c r="AO45" s="53"/>
      <c r="AP45" s="54"/>
      <c r="AQ45" s="53"/>
      <c r="AR45" s="54"/>
      <c r="AS45" s="53"/>
      <c r="AT45" s="54"/>
      <c r="AU45" s="53">
        <v>4.1666666666666699E-2</v>
      </c>
      <c r="AV45" s="54" t="s">
        <v>37</v>
      </c>
      <c r="AW45" s="57">
        <f t="shared" si="4"/>
        <v>4.1666666666666699E-2</v>
      </c>
      <c r="AX45" s="58" t="s">
        <v>96</v>
      </c>
    </row>
    <row r="46" spans="1:50" ht="20.25" customHeight="1">
      <c r="A46" s="38" t="s">
        <v>79</v>
      </c>
      <c r="B46" s="39">
        <f t="shared" si="9"/>
        <v>42</v>
      </c>
      <c r="C46" s="40">
        <v>46027</v>
      </c>
      <c r="D46" s="40" t="s">
        <v>80</v>
      </c>
      <c r="E46" s="40" t="s">
        <v>81</v>
      </c>
      <c r="F46" s="41">
        <v>598.79999999999995</v>
      </c>
      <c r="G46" s="42" t="s">
        <v>75</v>
      </c>
      <c r="H46" s="43" t="str">
        <f>IFERROR(VLOOKUP($J46,'[9]FROM (3)'!$E$4:$F$230,2,FALSE),"")</f>
        <v>JTCS</v>
      </c>
      <c r="I46" s="44" t="str">
        <f t="shared" si="6"/>
        <v>RACK, MS</v>
      </c>
      <c r="J46" s="44" t="str">
        <f t="shared" si="7"/>
        <v>JGC10-001180-S</v>
      </c>
      <c r="K46" s="59" t="str">
        <f t="shared" si="2"/>
        <v>PD25121127</v>
      </c>
      <c r="L46" s="46" t="str" cm="1">
        <f t="array" ref="L46">IFERROR(_xlfn.IFS(
    LEN($A46)-LEN(SUBSTITUTE($A46,"|",""))=12, RIGHT(A46, LEN(A46)-FIND("~", SUBSTITUTE(A46,"|","~", LEN(A46)-LEN(SUBSTITUTE(A46,"|",""))))),
    LEN($A46)-LEN(SUBSTITUTE($A46,"|",""))=13, MID($A46, FIND("~", SUBSTITUTE($A46,"|","~", 11))+1, FIND("~", SUBSTITUTE($A46,"|","~", 12))-FIND("~", SUBSTITUTE($A46,"|","~", 11))-1),
    LEN($A46)-LEN(SUBSTITUTE($A46,"|",""))=14, MID($A46, FIND("~", SUBSTITUTE($A46,"|","~", 11))+1, FIND("~", SUBSTITUTE($A46,"|","~", 12))-FIND("~", SUBSTITUTE($A46,"|","~", 11))-1)
), "")</f>
        <v>E585970</v>
      </c>
      <c r="M46" s="47" t="str">
        <f t="shared" si="0"/>
        <v>SB120146/6/25</v>
      </c>
      <c r="N46" s="46" t="str">
        <f t="shared" si="3"/>
        <v/>
      </c>
      <c r="O46" s="60"/>
      <c r="P46" s="60"/>
      <c r="Q46" s="48">
        <v>142</v>
      </c>
      <c r="R46" s="48">
        <v>302</v>
      </c>
      <c r="S46" s="48"/>
      <c r="T46" s="48"/>
      <c r="U46" s="49">
        <v>142</v>
      </c>
      <c r="V46" s="49">
        <v>10</v>
      </c>
      <c r="W46" s="50">
        <f t="shared" si="1"/>
        <v>152</v>
      </c>
      <c r="X46" s="51">
        <f>IF(A46="", "", IF(COUNTIFS(C$3:C45, C46, D$3:D45, D46, G$3:G45, G46) &gt; 0, "", "11:00"-AW46))</f>
        <v>0.37499999999999994</v>
      </c>
      <c r="Y46" s="52" t="str">
        <f t="shared" si="8"/>
        <v>1:40</v>
      </c>
      <c r="Z46" s="53"/>
      <c r="AA46" s="54"/>
      <c r="AB46" s="53">
        <v>4.1666666666666664E-2</v>
      </c>
      <c r="AC46" s="54" t="s">
        <v>67</v>
      </c>
      <c r="AD46" s="53"/>
      <c r="AE46" s="54"/>
      <c r="AF46" s="53"/>
      <c r="AG46" s="54"/>
      <c r="AH46" s="55">
        <v>4.1666666666666699E-2</v>
      </c>
      <c r="AI46" s="53"/>
      <c r="AJ46" s="54"/>
      <c r="AK46" s="53"/>
      <c r="AL46" s="54"/>
      <c r="AM46" s="53"/>
      <c r="AN46" s="54"/>
      <c r="AO46" s="53"/>
      <c r="AP46" s="54"/>
      <c r="AQ46" s="53"/>
      <c r="AR46" s="54"/>
      <c r="AS46" s="53"/>
      <c r="AT46" s="54"/>
      <c r="AU46" s="53">
        <v>4.1666666666666699E-2</v>
      </c>
      <c r="AV46" s="54" t="s">
        <v>37</v>
      </c>
      <c r="AW46" s="57">
        <f t="shared" si="4"/>
        <v>8.333333333333337E-2</v>
      </c>
      <c r="AX46" s="58" t="s">
        <v>101</v>
      </c>
    </row>
    <row r="47" spans="1:50" ht="28.5">
      <c r="A47" s="38" t="s">
        <v>102</v>
      </c>
      <c r="B47" s="39">
        <f t="shared" si="9"/>
        <v>43</v>
      </c>
      <c r="C47" s="40">
        <v>46027</v>
      </c>
      <c r="D47" s="40" t="s">
        <v>80</v>
      </c>
      <c r="E47" s="40" t="s">
        <v>81</v>
      </c>
      <c r="F47" s="41">
        <v>755.4</v>
      </c>
      <c r="G47" s="42" t="s">
        <v>75</v>
      </c>
      <c r="H47" s="43" t="str">
        <f>IFERROR(VLOOKUP($J47,'[9]FROM (3)'!$E$4:$F$230,2,FALSE),"")</f>
        <v>JTCS</v>
      </c>
      <c r="I47" s="44" t="str">
        <f t="shared" si="6"/>
        <v>RACK, PS</v>
      </c>
      <c r="J47" s="44" t="str">
        <f t="shared" si="7"/>
        <v>JGD10-001260-40-1</v>
      </c>
      <c r="K47" s="59" t="str">
        <f t="shared" si="2"/>
        <v>PD25121074</v>
      </c>
      <c r="L47" s="46" t="str" cm="1">
        <f t="array" ref="L47">IFERROR(_xlfn.IFS(
    LEN($A47)-LEN(SUBSTITUTE($A47,"|",""))=12, RIGHT(A47, LEN(A47)-FIND("~", SUBSTITUTE(A47,"|","~", LEN(A47)-LEN(SUBSTITUTE(A47,"|",""))))),
    LEN($A47)-LEN(SUBSTITUTE($A47,"|",""))=13, MID($A47, FIND("~", SUBSTITUTE($A47,"|","~", 11))+1, FIND("~", SUBSTITUTE($A47,"|","~", 12))-FIND("~", SUBSTITUTE($A47,"|","~", 11))-1),
    LEN($A47)-LEN(SUBSTITUTE($A47,"|",""))=14, MID($A47, FIND("~", SUBSTITUTE($A47,"|","~", 11))+1, FIND("~", SUBSTITUTE($A47,"|","~", 12))-FIND("~", SUBSTITUTE($A47,"|","~", 11))-1)
), "")</f>
        <v>E586967</v>
      </c>
      <c r="M47" s="47" t="str">
        <f t="shared" si="0"/>
        <v>SB120141/6/25</v>
      </c>
      <c r="N47" s="46" t="str">
        <f t="shared" si="3"/>
        <v/>
      </c>
      <c r="O47" s="60">
        <v>47</v>
      </c>
      <c r="P47" s="60">
        <v>973</v>
      </c>
      <c r="Q47" s="48">
        <v>188</v>
      </c>
      <c r="R47" s="48">
        <v>910</v>
      </c>
      <c r="S47" s="48"/>
      <c r="T47" s="48"/>
      <c r="U47" s="49"/>
      <c r="V47" s="49"/>
      <c r="W47" s="50">
        <f t="shared" si="1"/>
        <v>0</v>
      </c>
      <c r="X47" s="51" t="str">
        <f>IF(A47="", "", IF(COUNTIFS(C$3:C46, C47, D$3:D46, D47, G$3:G46, G47) &gt; 0, "", "11:00"-AW47))</f>
        <v/>
      </c>
      <c r="Y47" s="52" t="str">
        <f t="shared" si="8"/>
        <v/>
      </c>
      <c r="Z47" s="53"/>
      <c r="AA47" s="54"/>
      <c r="AB47" s="53"/>
      <c r="AC47" s="54"/>
      <c r="AD47" s="53"/>
      <c r="AE47" s="54"/>
      <c r="AF47" s="53"/>
      <c r="AG47" s="54"/>
      <c r="AH47" s="55">
        <v>4.1666666666666699E-2</v>
      </c>
      <c r="AI47" s="53"/>
      <c r="AJ47" s="54"/>
      <c r="AK47" s="53"/>
      <c r="AL47" s="54"/>
      <c r="AM47" s="53"/>
      <c r="AN47" s="54"/>
      <c r="AO47" s="53"/>
      <c r="AP47" s="54"/>
      <c r="AQ47" s="53"/>
      <c r="AR47" s="54"/>
      <c r="AS47" s="53"/>
      <c r="AT47" s="54"/>
      <c r="AU47" s="53">
        <v>4.1666666666666699E-2</v>
      </c>
      <c r="AV47" s="54" t="s">
        <v>37</v>
      </c>
      <c r="AW47" s="57">
        <f t="shared" si="4"/>
        <v>4.1666666666666699E-2</v>
      </c>
      <c r="AX47" s="58" t="s">
        <v>101</v>
      </c>
    </row>
    <row r="48" spans="1:50" ht="24.75" customHeight="1">
      <c r="A48" s="38" t="s">
        <v>103</v>
      </c>
      <c r="B48" s="39">
        <f t="shared" si="9"/>
        <v>44</v>
      </c>
      <c r="C48" s="40">
        <v>46027</v>
      </c>
      <c r="D48" s="40" t="s">
        <v>80</v>
      </c>
      <c r="E48" s="40" t="s">
        <v>81</v>
      </c>
      <c r="F48" s="41">
        <v>755.4</v>
      </c>
      <c r="G48" s="42" t="s">
        <v>75</v>
      </c>
      <c r="H48" s="43" t="str">
        <f>IFERROR(VLOOKUP($J48,'[9]FROM (3)'!$E$4:$F$230,2,FALSE),"")</f>
        <v>JTCS</v>
      </c>
      <c r="I48" s="44" t="str">
        <f t="shared" si="6"/>
        <v>RACK, PS</v>
      </c>
      <c r="J48" s="44" t="str">
        <f t="shared" si="7"/>
        <v>JGD10-001260-40-1</v>
      </c>
      <c r="K48" s="59" t="str">
        <f t="shared" si="2"/>
        <v>PD25121074</v>
      </c>
      <c r="L48" s="46" t="str" cm="1">
        <f t="array" ref="L48">IFERROR(_xlfn.IFS(
    LEN($A48)-LEN(SUBSTITUTE($A48,"|",""))=12, RIGHT(A48, LEN(A48)-FIND("~", SUBSTITUTE(A48,"|","~", LEN(A48)-LEN(SUBSTITUTE(A48,"|",""))))),
    LEN($A48)-LEN(SUBSTITUTE($A48,"|",""))=13, MID($A48, FIND("~", SUBSTITUTE($A48,"|","~", 11))+1, FIND("~", SUBSTITUTE($A48,"|","~", 12))-FIND("~", SUBSTITUTE($A48,"|","~", 11))-1),
    LEN($A48)-LEN(SUBSTITUTE($A48,"|",""))=14, MID($A48, FIND("~", SUBSTITUTE($A48,"|","~", 11))+1, FIND("~", SUBSTITUTE($A48,"|","~", 12))-FIND("~", SUBSTITUTE($A48,"|","~", 11))-1)
), "")</f>
        <v>E586967</v>
      </c>
      <c r="M48" s="47" t="str">
        <f t="shared" si="0"/>
        <v>SB120141/5/25</v>
      </c>
      <c r="N48" s="46" t="str">
        <f t="shared" si="3"/>
        <v/>
      </c>
      <c r="O48" s="60">
        <v>47</v>
      </c>
      <c r="P48" s="60">
        <v>973</v>
      </c>
      <c r="Q48" s="48">
        <v>188</v>
      </c>
      <c r="R48" s="48">
        <v>910</v>
      </c>
      <c r="S48" s="48"/>
      <c r="T48" s="48"/>
      <c r="U48" s="49"/>
      <c r="V48" s="49"/>
      <c r="W48" s="50">
        <f t="shared" si="1"/>
        <v>0</v>
      </c>
      <c r="X48" s="51" t="str">
        <f>IF(A48="", "", IF(COUNTIFS(C$3:C47, C48, D$3:D47, D48, G$3:G47, G48) &gt; 0, "", "11:00"-AW48))</f>
        <v/>
      </c>
      <c r="Y48" s="52" t="str">
        <f t="shared" si="8"/>
        <v/>
      </c>
      <c r="Z48" s="53"/>
      <c r="AA48" s="54"/>
      <c r="AB48" s="53"/>
      <c r="AC48" s="54"/>
      <c r="AD48" s="53"/>
      <c r="AE48" s="54"/>
      <c r="AF48" s="53"/>
      <c r="AG48" s="54"/>
      <c r="AH48" s="55">
        <v>4.1666666666666699E-2</v>
      </c>
      <c r="AI48" s="53"/>
      <c r="AJ48" s="54"/>
      <c r="AK48" s="53"/>
      <c r="AL48" s="54"/>
      <c r="AM48" s="53"/>
      <c r="AN48" s="54"/>
      <c r="AO48" s="53"/>
      <c r="AP48" s="54"/>
      <c r="AQ48" s="53"/>
      <c r="AR48" s="54"/>
      <c r="AS48" s="53"/>
      <c r="AT48" s="54"/>
      <c r="AU48" s="53">
        <v>4.1666666666666699E-2</v>
      </c>
      <c r="AV48" s="54" t="s">
        <v>37</v>
      </c>
      <c r="AW48" s="57">
        <f t="shared" si="4"/>
        <v>4.1666666666666699E-2</v>
      </c>
      <c r="AX48" s="58" t="s">
        <v>101</v>
      </c>
    </row>
    <row r="49" spans="1:50" ht="28.5">
      <c r="A49" s="38" t="s">
        <v>104</v>
      </c>
      <c r="B49" s="39">
        <f t="shared" si="9"/>
        <v>45</v>
      </c>
      <c r="C49" s="40">
        <v>46027</v>
      </c>
      <c r="D49" s="40" t="s">
        <v>80</v>
      </c>
      <c r="E49" s="40" t="s">
        <v>81</v>
      </c>
      <c r="F49" s="41">
        <v>755.4</v>
      </c>
      <c r="G49" s="42" t="s">
        <v>75</v>
      </c>
      <c r="H49" s="43" t="str">
        <f>IFERROR(VLOOKUP($J49,'[9]FROM (3)'!$E$4:$F$230,2,FALSE),"")</f>
        <v>JTCS</v>
      </c>
      <c r="I49" s="44" t="str">
        <f t="shared" si="6"/>
        <v>RACK, PS</v>
      </c>
      <c r="J49" s="44" t="str">
        <f t="shared" si="7"/>
        <v>JGD10-001260-40-1</v>
      </c>
      <c r="K49" s="59" t="str">
        <f t="shared" si="2"/>
        <v>PD25121074</v>
      </c>
      <c r="L49" s="46" t="str" cm="1">
        <f t="array" ref="L49">IFERROR(_xlfn.IFS(
    LEN($A49)-LEN(SUBSTITUTE($A49,"|",""))=12, RIGHT(A49, LEN(A49)-FIND("~", SUBSTITUTE(A49,"|","~", LEN(A49)-LEN(SUBSTITUTE(A49,"|",""))))),
    LEN($A49)-LEN(SUBSTITUTE($A49,"|",""))=13, MID($A49, FIND("~", SUBSTITUTE($A49,"|","~", 11))+1, FIND("~", SUBSTITUTE($A49,"|","~", 12))-FIND("~", SUBSTITUTE($A49,"|","~", 11))-1),
    LEN($A49)-LEN(SUBSTITUTE($A49,"|",""))=14, MID($A49, FIND("~", SUBSTITUTE($A49,"|","~", 11))+1, FIND("~", SUBSTITUTE($A49,"|","~", 12))-FIND("~", SUBSTITUTE($A49,"|","~", 11))-1)
), "")</f>
        <v>E586967</v>
      </c>
      <c r="M49" s="47" t="str">
        <f t="shared" si="0"/>
        <v>SB120141/4/25</v>
      </c>
      <c r="N49" s="46" t="str">
        <f t="shared" si="3"/>
        <v/>
      </c>
      <c r="O49" s="60">
        <v>47</v>
      </c>
      <c r="P49" s="60">
        <v>973</v>
      </c>
      <c r="Q49" s="48">
        <v>188</v>
      </c>
      <c r="R49" s="48">
        <v>910</v>
      </c>
      <c r="S49" s="48"/>
      <c r="T49" s="48"/>
      <c r="U49" s="49">
        <v>155</v>
      </c>
      <c r="V49" s="49">
        <v>9</v>
      </c>
      <c r="W49" s="50">
        <f t="shared" si="1"/>
        <v>164</v>
      </c>
      <c r="X49" s="51" t="str">
        <f>IF(A49="", "", IF(COUNTIFS(C$3:C48, C49, D$3:D48, D49, G$3:G48, G49) &gt; 0, "", "11:00"-AW49))</f>
        <v/>
      </c>
      <c r="Y49" s="52" t="str">
        <f t="shared" si="8"/>
        <v/>
      </c>
      <c r="Z49" s="53"/>
      <c r="AA49" s="54"/>
      <c r="AB49" s="53"/>
      <c r="AC49" s="54"/>
      <c r="AD49" s="53"/>
      <c r="AE49" s="54"/>
      <c r="AF49" s="53"/>
      <c r="AG49" s="54"/>
      <c r="AH49" s="55">
        <v>4.1666666666666699E-2</v>
      </c>
      <c r="AI49" s="53"/>
      <c r="AJ49" s="54"/>
      <c r="AK49" s="53"/>
      <c r="AL49" s="54"/>
      <c r="AM49" s="53"/>
      <c r="AN49" s="54"/>
      <c r="AO49" s="53"/>
      <c r="AP49" s="54"/>
      <c r="AQ49" s="53"/>
      <c r="AR49" s="54"/>
      <c r="AS49" s="53"/>
      <c r="AT49" s="54"/>
      <c r="AU49" s="53">
        <v>4.1666666666666699E-2</v>
      </c>
      <c r="AV49" s="54" t="s">
        <v>37</v>
      </c>
      <c r="AW49" s="57">
        <f t="shared" si="4"/>
        <v>4.1666666666666699E-2</v>
      </c>
      <c r="AX49" s="58" t="s">
        <v>101</v>
      </c>
    </row>
    <row r="50" spans="1:50" ht="28.5">
      <c r="A50" s="38" t="s">
        <v>105</v>
      </c>
      <c r="B50" s="39">
        <f t="shared" si="9"/>
        <v>46</v>
      </c>
      <c r="C50" s="40">
        <v>46027</v>
      </c>
      <c r="D50" s="40" t="s">
        <v>80</v>
      </c>
      <c r="E50" s="40" t="s">
        <v>81</v>
      </c>
      <c r="F50" s="41">
        <v>755.4</v>
      </c>
      <c r="G50" s="42" t="s">
        <v>75</v>
      </c>
      <c r="H50" s="43" t="str">
        <f>IFERROR(VLOOKUP($J50,'[9]FROM (3)'!$E$4:$F$230,2,FALSE),"")</f>
        <v>JTCS</v>
      </c>
      <c r="I50" s="44" t="str">
        <f t="shared" si="6"/>
        <v>RACK, PS</v>
      </c>
      <c r="J50" s="44" t="str">
        <f t="shared" si="7"/>
        <v>JGD10-001260-40-1</v>
      </c>
      <c r="K50" s="59" t="str">
        <f t="shared" si="2"/>
        <v>PD25121073</v>
      </c>
      <c r="L50" s="46" t="str" cm="1">
        <f t="array" ref="L50">IFERROR(_xlfn.IFS(
    LEN($A50)-LEN(SUBSTITUTE($A50,"|",""))=12, RIGHT(A50, LEN(A50)-FIND("~", SUBSTITUTE(A50,"|","~", LEN(A50)-LEN(SUBSTITUTE(A50,"|",""))))),
    LEN($A50)-LEN(SUBSTITUTE($A50,"|",""))=13, MID($A50, FIND("~", SUBSTITUTE($A50,"|","~", 11))+1, FIND("~", SUBSTITUTE($A50,"|","~", 12))-FIND("~", SUBSTITUTE($A50,"|","~", 11))-1),
    LEN($A50)-LEN(SUBSTITUTE($A50,"|",""))=14, MID($A50, FIND("~", SUBSTITUTE($A50,"|","~", 11))+1, FIND("~", SUBSTITUTE($A50,"|","~", 12))-FIND("~", SUBSTITUTE($A50,"|","~", 11))-1)
), "")</f>
        <v>E586967</v>
      </c>
      <c r="M50" s="47" t="str">
        <f t="shared" si="0"/>
        <v>SB120141/3/25</v>
      </c>
      <c r="N50" s="46" t="str">
        <f t="shared" si="3"/>
        <v/>
      </c>
      <c r="O50" s="60">
        <v>47</v>
      </c>
      <c r="P50" s="60">
        <v>973</v>
      </c>
      <c r="Q50" s="48">
        <v>188</v>
      </c>
      <c r="R50" s="48">
        <v>910</v>
      </c>
      <c r="S50" s="48"/>
      <c r="T50" s="48"/>
      <c r="U50" s="49"/>
      <c r="V50" s="49"/>
      <c r="W50" s="50">
        <f t="shared" si="1"/>
        <v>0</v>
      </c>
      <c r="X50" s="51" t="str">
        <f>IF(A50="", "", IF(COUNTIFS(C$3:C49, C50, D$3:D49, D50, G$3:G49, G50) &gt; 0, "", "11:00"-AW50))</f>
        <v/>
      </c>
      <c r="Y50" s="52" t="str">
        <f t="shared" si="8"/>
        <v/>
      </c>
      <c r="Z50" s="53"/>
      <c r="AA50" s="54"/>
      <c r="AB50" s="53"/>
      <c r="AC50" s="54"/>
      <c r="AD50" s="53"/>
      <c r="AE50" s="54"/>
      <c r="AF50" s="53"/>
      <c r="AG50" s="54"/>
      <c r="AH50" s="55">
        <v>4.1666666666666699E-2</v>
      </c>
      <c r="AI50" s="53"/>
      <c r="AJ50" s="54"/>
      <c r="AK50" s="53"/>
      <c r="AL50" s="54"/>
      <c r="AM50" s="53"/>
      <c r="AN50" s="54"/>
      <c r="AO50" s="53"/>
      <c r="AP50" s="54"/>
      <c r="AQ50" s="53"/>
      <c r="AR50" s="54"/>
      <c r="AS50" s="53"/>
      <c r="AT50" s="54"/>
      <c r="AU50" s="53">
        <v>4.1666666666666699E-2</v>
      </c>
      <c r="AV50" s="54" t="s">
        <v>37</v>
      </c>
      <c r="AW50" s="57">
        <f t="shared" si="4"/>
        <v>4.1666666666666699E-2</v>
      </c>
      <c r="AX50" s="58" t="s">
        <v>101</v>
      </c>
    </row>
    <row r="51" spans="1:50" ht="28.5">
      <c r="A51" s="38" t="s">
        <v>106</v>
      </c>
      <c r="B51" s="39">
        <f t="shared" si="9"/>
        <v>47</v>
      </c>
      <c r="C51" s="40">
        <v>46027</v>
      </c>
      <c r="D51" s="40" t="s">
        <v>80</v>
      </c>
      <c r="E51" s="40" t="s">
        <v>81</v>
      </c>
      <c r="F51" s="41">
        <v>755.4</v>
      </c>
      <c r="G51" s="42" t="s">
        <v>75</v>
      </c>
      <c r="H51" s="43" t="str">
        <f>IFERROR(VLOOKUP($J51,'[9]FROM (3)'!$E$4:$F$230,2,FALSE),"")</f>
        <v>JTCS</v>
      </c>
      <c r="I51" s="44" t="str">
        <f t="shared" si="6"/>
        <v>RACK, PS</v>
      </c>
      <c r="J51" s="44" t="str">
        <f t="shared" si="7"/>
        <v>JGD10-001260-40-1</v>
      </c>
      <c r="K51" s="59" t="str">
        <f t="shared" si="2"/>
        <v>PD25121073</v>
      </c>
      <c r="L51" s="46" t="str" cm="1">
        <f t="array" ref="L51">IFERROR(_xlfn.IFS(
    LEN($A51)-LEN(SUBSTITUTE($A51,"|",""))=12, RIGHT(A51, LEN(A51)-FIND("~", SUBSTITUTE(A51,"|","~", LEN(A51)-LEN(SUBSTITUTE(A51,"|",""))))),
    LEN($A51)-LEN(SUBSTITUTE($A51,"|",""))=13, MID($A51, FIND("~", SUBSTITUTE($A51,"|","~", 11))+1, FIND("~", SUBSTITUTE($A51,"|","~", 12))-FIND("~", SUBSTITUTE($A51,"|","~", 11))-1),
    LEN($A51)-LEN(SUBSTITUTE($A51,"|",""))=14, MID($A51, FIND("~", SUBSTITUTE($A51,"|","~", 11))+1, FIND("~", SUBSTITUTE($A51,"|","~", 12))-FIND("~", SUBSTITUTE($A51,"|","~", 11))-1)
), "")</f>
        <v>E586967</v>
      </c>
      <c r="M51" s="47" t="str">
        <f t="shared" si="0"/>
        <v>SB120141/2/25</v>
      </c>
      <c r="N51" s="46" t="str">
        <f t="shared" si="3"/>
        <v/>
      </c>
      <c r="O51" s="60">
        <v>47</v>
      </c>
      <c r="P51" s="60">
        <v>973</v>
      </c>
      <c r="Q51" s="48">
        <v>49</v>
      </c>
      <c r="R51" s="48">
        <v>237</v>
      </c>
      <c r="S51" s="48"/>
      <c r="T51" s="48"/>
      <c r="U51" s="49"/>
      <c r="V51" s="49"/>
      <c r="W51" s="50">
        <f t="shared" si="1"/>
        <v>0</v>
      </c>
      <c r="X51" s="51" t="str">
        <f>IF(A51="", "", IF(COUNTIFS(C$3:C50, C51, D$3:D50, D51, G$3:G50, G51) &gt; 0, "", "11:00"-AW51))</f>
        <v/>
      </c>
      <c r="Y51" s="52" t="str">
        <f t="shared" si="8"/>
        <v/>
      </c>
      <c r="Z51" s="53"/>
      <c r="AA51" s="54"/>
      <c r="AB51" s="53"/>
      <c r="AC51" s="54"/>
      <c r="AD51" s="53"/>
      <c r="AE51" s="54"/>
      <c r="AF51" s="53"/>
      <c r="AG51" s="54"/>
      <c r="AH51" s="55">
        <v>4.1666666666666699E-2</v>
      </c>
      <c r="AI51" s="53"/>
      <c r="AJ51" s="54"/>
      <c r="AK51" s="53"/>
      <c r="AL51" s="54"/>
      <c r="AM51" s="53"/>
      <c r="AN51" s="54"/>
      <c r="AO51" s="53"/>
      <c r="AP51" s="54"/>
      <c r="AQ51" s="53"/>
      <c r="AR51" s="54"/>
      <c r="AS51" s="53"/>
      <c r="AT51" s="54"/>
      <c r="AU51" s="53">
        <v>4.1666666666666699E-2</v>
      </c>
      <c r="AV51" s="54" t="s">
        <v>37</v>
      </c>
      <c r="AW51" s="57">
        <f t="shared" si="4"/>
        <v>4.1666666666666699E-2</v>
      </c>
      <c r="AX51" s="58" t="s">
        <v>101</v>
      </c>
    </row>
    <row r="52" spans="1:50" ht="28.5">
      <c r="A52" s="38" t="s">
        <v>107</v>
      </c>
      <c r="B52" s="39">
        <f t="shared" si="9"/>
        <v>48</v>
      </c>
      <c r="C52" s="40">
        <v>46027</v>
      </c>
      <c r="D52" s="40" t="s">
        <v>80</v>
      </c>
      <c r="E52" s="40" t="s">
        <v>81</v>
      </c>
      <c r="F52" s="41">
        <v>191</v>
      </c>
      <c r="G52" s="42" t="s">
        <v>108</v>
      </c>
      <c r="H52" s="43" t="str">
        <f>IFERROR(VLOOKUP($J52,'[9]FROM (3)'!$E$4:$F$230,2,FALSE),"")</f>
        <v>SIAM NSK</v>
      </c>
      <c r="I52" s="44" t="str">
        <f t="shared" si="6"/>
        <v>STG.SHAFT</v>
      </c>
      <c r="J52" s="44" t="str">
        <f t="shared" si="7"/>
        <v>2528S0250C</v>
      </c>
      <c r="K52" s="59" t="str">
        <f t="shared" si="2"/>
        <v>PD25121052</v>
      </c>
      <c r="L52" s="46" t="str" cm="1">
        <f t="array" ref="L52">IFERROR(_xlfn.IFS(
    LEN($A52)-LEN(SUBSTITUTE($A52,"|",""))=12, RIGHT(A52, LEN(A52)-FIND("~", SUBSTITUTE(A52,"|","~", LEN(A52)-LEN(SUBSTITUTE(A52,"|",""))))),
    LEN($A52)-LEN(SUBSTITUTE($A52,"|",""))=13, MID($A52, FIND("~", SUBSTITUTE($A52,"|","~", 11))+1, FIND("~", SUBSTITUTE($A52,"|","~", 12))-FIND("~", SUBSTITUTE($A52,"|","~", 11))-1),
    LEN($A52)-LEN(SUBSTITUTE($A52,"|",""))=14, MID($A52, FIND("~", SUBSTITUTE($A52,"|","~", 11))+1, FIND("~", SUBSTITUTE($A52,"|","~", 12))-FIND("~", SUBSTITUTE($A52,"|","~", 11))-1)
), "")</f>
        <v>SF92937</v>
      </c>
      <c r="M52" s="47" t="str">
        <f t="shared" si="0"/>
        <v>SB120070/2/25</v>
      </c>
      <c r="N52" s="46" t="str">
        <f t="shared" si="3"/>
        <v/>
      </c>
      <c r="O52" s="60">
        <v>41</v>
      </c>
      <c r="P52" s="60">
        <v>501</v>
      </c>
      <c r="Q52" s="48">
        <v>1100</v>
      </c>
      <c r="R52" s="48">
        <v>468</v>
      </c>
      <c r="S52" s="48" t="s">
        <v>35</v>
      </c>
      <c r="T52" s="48"/>
      <c r="U52" s="49">
        <v>20</v>
      </c>
      <c r="V52" s="49">
        <v>5</v>
      </c>
      <c r="W52" s="50">
        <f t="shared" si="1"/>
        <v>25</v>
      </c>
      <c r="X52" s="51">
        <f>IF(A52="", "", IF(COUNTIFS(C$3:C51, C52, D$3:D51, D52, G$3:G51, G52) &gt; 0, "", "11:00"-AW52))</f>
        <v>0.24999999999999994</v>
      </c>
      <c r="Y52" s="52" t="str">
        <f t="shared" si="8"/>
        <v>1:0</v>
      </c>
      <c r="Z52" s="53">
        <v>4.1666666666666664E-2</v>
      </c>
      <c r="AA52" s="54" t="s">
        <v>67</v>
      </c>
      <c r="AB52" s="53"/>
      <c r="AC52" s="54"/>
      <c r="AD52" s="53"/>
      <c r="AE52" s="54"/>
      <c r="AF52" s="53"/>
      <c r="AG52" s="54"/>
      <c r="AH52" s="55">
        <v>4.1666666666666699E-2</v>
      </c>
      <c r="AI52" s="53">
        <v>4.1666666666666664E-2</v>
      </c>
      <c r="AJ52" s="54" t="s">
        <v>67</v>
      </c>
      <c r="AK52" s="53"/>
      <c r="AL52" s="54"/>
      <c r="AM52" s="53"/>
      <c r="AN52" s="54"/>
      <c r="AO52" s="53"/>
      <c r="AP52" s="54"/>
      <c r="AQ52" s="53">
        <v>4.1666666666666664E-2</v>
      </c>
      <c r="AR52" s="54" t="s">
        <v>37</v>
      </c>
      <c r="AS52" s="53">
        <v>4.1666666666666664E-2</v>
      </c>
      <c r="AT52" s="54" t="s">
        <v>37</v>
      </c>
      <c r="AU52" s="53">
        <v>4.1666666666666699E-2</v>
      </c>
      <c r="AV52" s="54" t="s">
        <v>37</v>
      </c>
      <c r="AW52" s="57">
        <f t="shared" si="4"/>
        <v>0.20833333333333337</v>
      </c>
      <c r="AX52" s="58" t="s">
        <v>109</v>
      </c>
    </row>
    <row r="53" spans="1:50" ht="28.5">
      <c r="A53" s="38" t="s">
        <v>110</v>
      </c>
      <c r="B53" s="39">
        <f t="shared" si="9"/>
        <v>49</v>
      </c>
      <c r="C53" s="40">
        <v>46027</v>
      </c>
      <c r="D53" s="40" t="s">
        <v>80</v>
      </c>
      <c r="E53" s="40" t="s">
        <v>81</v>
      </c>
      <c r="F53" s="41">
        <v>180</v>
      </c>
      <c r="G53" s="42" t="s">
        <v>108</v>
      </c>
      <c r="H53" s="43" t="str">
        <f>IFERROR(VLOOKUP($J53,'[9]FROM (3)'!$E$4:$F$230,2,FALSE),"")</f>
        <v>SIAM NSK</v>
      </c>
      <c r="I53" s="44" t="str">
        <f t="shared" si="6"/>
        <v>STG.SHAFT</v>
      </c>
      <c r="J53" s="44" t="str">
        <f t="shared" si="7"/>
        <v>2528S0249C</v>
      </c>
      <c r="K53" s="59" t="str">
        <f t="shared" si="2"/>
        <v>PD25120516</v>
      </c>
      <c r="L53" s="46" t="str" cm="1">
        <f t="array" ref="L53">IFERROR(_xlfn.IFS(
    LEN($A53)-LEN(SUBSTITUTE($A53,"|",""))=12, RIGHT(A53, LEN(A53)-FIND("~", SUBSTITUTE(A53,"|","~", LEN(A53)-LEN(SUBSTITUTE(A53,"|",""))))),
    LEN($A53)-LEN(SUBSTITUTE($A53,"|",""))=13, MID($A53, FIND("~", SUBSTITUTE($A53,"|","~", 11))+1, FIND("~", SUBSTITUTE($A53,"|","~", 12))-FIND("~", SUBSTITUTE($A53,"|","~", 11))-1),
    LEN($A53)-LEN(SUBSTITUTE($A53,"|",""))=14, MID($A53, FIND("~", SUBSTITUTE($A53,"|","~", 11))+1, FIND("~", SUBSTITUTE($A53,"|","~", 12))-FIND("~", SUBSTITUTE($A53,"|","~", 11))-1)
), "")</f>
        <v>SF92937</v>
      </c>
      <c r="M53" s="47" t="str">
        <f t="shared" si="0"/>
        <v>SB120070/2/25</v>
      </c>
      <c r="N53" s="46" t="str">
        <f t="shared" si="3"/>
        <v/>
      </c>
      <c r="O53" s="60">
        <v>40</v>
      </c>
      <c r="P53" s="60">
        <v>489</v>
      </c>
      <c r="Q53" s="48">
        <v>1160</v>
      </c>
      <c r="R53" s="48">
        <v>464</v>
      </c>
      <c r="S53" s="48" t="s">
        <v>35</v>
      </c>
      <c r="T53" s="48"/>
      <c r="U53" s="49"/>
      <c r="V53" s="49"/>
      <c r="W53" s="50">
        <f t="shared" si="1"/>
        <v>0</v>
      </c>
      <c r="X53" s="51" t="str">
        <f>IF(A53="", "", IF(COUNTIFS(C$3:C52, C53, D$3:D52, D53, G$3:G52, G53) &gt; 0, "", "11:00"-AW53))</f>
        <v/>
      </c>
      <c r="Y53" s="52" t="str">
        <f t="shared" si="8"/>
        <v/>
      </c>
      <c r="Z53" s="53"/>
      <c r="AA53" s="54"/>
      <c r="AB53" s="53"/>
      <c r="AC53" s="54"/>
      <c r="AD53" s="53"/>
      <c r="AE53" s="54"/>
      <c r="AF53" s="53"/>
      <c r="AG53" s="54"/>
      <c r="AH53" s="55">
        <v>4.1666666666666699E-2</v>
      </c>
      <c r="AI53" s="53"/>
      <c r="AJ53" s="54"/>
      <c r="AK53" s="53"/>
      <c r="AL53" s="54"/>
      <c r="AM53" s="53"/>
      <c r="AN53" s="54"/>
      <c r="AO53" s="53"/>
      <c r="AP53" s="54"/>
      <c r="AQ53" s="53"/>
      <c r="AR53" s="54"/>
      <c r="AS53" s="53"/>
      <c r="AT53" s="54"/>
      <c r="AU53" s="53">
        <v>4.1666666666666699E-2</v>
      </c>
      <c r="AV53" s="54" t="s">
        <v>37</v>
      </c>
      <c r="AW53" s="57">
        <f t="shared" si="4"/>
        <v>4.1666666666666699E-2</v>
      </c>
      <c r="AX53" s="58" t="s">
        <v>109</v>
      </c>
    </row>
    <row r="54" spans="1:50" ht="28.5">
      <c r="A54" s="38" t="s">
        <v>111</v>
      </c>
      <c r="B54" s="39">
        <f t="shared" si="9"/>
        <v>50</v>
      </c>
      <c r="C54" s="40">
        <v>46027</v>
      </c>
      <c r="D54" s="40" t="s">
        <v>80</v>
      </c>
      <c r="E54" s="40" t="s">
        <v>81</v>
      </c>
      <c r="F54" s="41">
        <v>180</v>
      </c>
      <c r="G54" s="42" t="s">
        <v>108</v>
      </c>
      <c r="H54" s="43" t="str">
        <f>IFERROR(VLOOKUP($J54,'[9]FROM (3)'!$E$4:$F$230,2,FALSE),"")</f>
        <v>SIAM NSK</v>
      </c>
      <c r="I54" s="44" t="str">
        <f t="shared" si="6"/>
        <v>STG.SHAFT</v>
      </c>
      <c r="J54" s="44" t="str">
        <f t="shared" si="7"/>
        <v>2528S0249C</v>
      </c>
      <c r="K54" s="59" t="str">
        <f t="shared" si="2"/>
        <v>PD25120516</v>
      </c>
      <c r="L54" s="46" t="str" cm="1">
        <f t="array" ref="L54">IFERROR(_xlfn.IFS(
    LEN($A54)-LEN(SUBSTITUTE($A54,"|",""))=12, RIGHT(A54, LEN(A54)-FIND("~", SUBSTITUTE(A54,"|","~", LEN(A54)-LEN(SUBSTITUTE(A54,"|",""))))),
    LEN($A54)-LEN(SUBSTITUTE($A54,"|",""))=13, MID($A54, FIND("~", SUBSTITUTE($A54,"|","~", 11))+1, FIND("~", SUBSTITUTE($A54,"|","~", 12))-FIND("~", SUBSTITUTE($A54,"|","~", 11))-1),
    LEN($A54)-LEN(SUBSTITUTE($A54,"|",""))=14, MID($A54, FIND("~", SUBSTITUTE($A54,"|","~", 11))+1, FIND("~", SUBSTITUTE($A54,"|","~", 12))-FIND("~", SUBSTITUTE($A54,"|","~", 11))-1)
), "")</f>
        <v>SF92937</v>
      </c>
      <c r="M54" s="47" t="str">
        <f t="shared" si="0"/>
        <v>SB120070/1/25</v>
      </c>
      <c r="N54" s="46" t="str">
        <f t="shared" si="3"/>
        <v/>
      </c>
      <c r="O54" s="60">
        <v>80</v>
      </c>
      <c r="P54" s="60">
        <v>978</v>
      </c>
      <c r="Q54" s="48">
        <v>21</v>
      </c>
      <c r="R54" s="48">
        <v>8</v>
      </c>
      <c r="S54" s="48" t="s">
        <v>35</v>
      </c>
      <c r="T54" s="48"/>
      <c r="U54" s="49"/>
      <c r="V54" s="49"/>
      <c r="W54" s="50">
        <f t="shared" si="1"/>
        <v>0</v>
      </c>
      <c r="X54" s="51" t="str">
        <f>IF(A54="", "", IF(COUNTIFS(C$3:C53, C54, D$3:D53, D54, G$3:G53, G54) &gt; 0, "", "11:00"-AW54))</f>
        <v/>
      </c>
      <c r="Y54" s="52" t="str">
        <f t="shared" si="8"/>
        <v/>
      </c>
      <c r="Z54" s="53"/>
      <c r="AA54" s="54"/>
      <c r="AB54" s="53"/>
      <c r="AC54" s="54"/>
      <c r="AD54" s="53"/>
      <c r="AE54" s="54"/>
      <c r="AF54" s="53"/>
      <c r="AG54" s="54"/>
      <c r="AH54" s="55">
        <v>4.1666666666666699E-2</v>
      </c>
      <c r="AI54" s="53"/>
      <c r="AJ54" s="54"/>
      <c r="AK54" s="53"/>
      <c r="AL54" s="54"/>
      <c r="AM54" s="53"/>
      <c r="AN54" s="54"/>
      <c r="AO54" s="53"/>
      <c r="AP54" s="54"/>
      <c r="AQ54" s="53"/>
      <c r="AR54" s="54"/>
      <c r="AS54" s="53"/>
      <c r="AT54" s="54"/>
      <c r="AU54" s="53">
        <v>4.1666666666666699E-2</v>
      </c>
      <c r="AV54" s="54" t="s">
        <v>37</v>
      </c>
      <c r="AW54" s="57">
        <f t="shared" si="4"/>
        <v>4.1666666666666699E-2</v>
      </c>
      <c r="AX54" s="58" t="s">
        <v>109</v>
      </c>
    </row>
    <row r="55" spans="1:50" ht="28.5">
      <c r="A55" s="38" t="s">
        <v>112</v>
      </c>
      <c r="B55" s="39">
        <f t="shared" si="9"/>
        <v>51</v>
      </c>
      <c r="C55" s="40">
        <v>46027</v>
      </c>
      <c r="D55" s="40" t="s">
        <v>80</v>
      </c>
      <c r="E55" s="40" t="s">
        <v>81</v>
      </c>
      <c r="F55" s="41">
        <v>143.4</v>
      </c>
      <c r="G55" s="42" t="s">
        <v>62</v>
      </c>
      <c r="H55" s="43" t="str">
        <f>IFERROR(VLOOKUP($J55,'[9]FROM (3)'!$E$4:$F$230,2,FALSE),"")</f>
        <v>DNTH</v>
      </c>
      <c r="I55" s="44" t="str">
        <f t="shared" si="6"/>
        <v>SHAFT STARTER ARMATURE, 1W</v>
      </c>
      <c r="J55" s="44" t="str">
        <f t="shared" si="7"/>
        <v>TG028993-540B</v>
      </c>
      <c r="K55" s="59" t="str">
        <f t="shared" si="2"/>
        <v>PD25121166</v>
      </c>
      <c r="L55" s="46" t="str" cm="1">
        <f t="array" ref="L55">IFERROR(_xlfn.IFS(
    LEN($A55)-LEN(SUBSTITUTE($A55,"|",""))=12, RIGHT(A55, LEN(A55)-FIND("~", SUBSTITUTE(A55,"|","~", LEN(A55)-LEN(SUBSTITUTE(A55,"|",""))))),
    LEN($A55)-LEN(SUBSTITUTE($A55,"|",""))=13, MID($A55, FIND("~", SUBSTITUTE($A55,"|","~", 11))+1, FIND("~", SUBSTITUTE($A55,"|","~", 12))-FIND("~", SUBSTITUTE($A55,"|","~", 11))-1),
    LEN($A55)-LEN(SUBSTITUTE($A55,"|",""))=14, MID($A55, FIND("~", SUBSTITUTE($A55,"|","~", 11))+1, FIND("~", SUBSTITUTE($A55,"|","~", 12))-FIND("~", SUBSTITUTE($A55,"|","~", 11))-1)
), "")</f>
        <v>E586473</v>
      </c>
      <c r="M55" s="47" t="str">
        <f t="shared" si="0"/>
        <v>SB110189/10/25</v>
      </c>
      <c r="N55" s="46" t="str">
        <f t="shared" si="3"/>
        <v/>
      </c>
      <c r="O55" s="60">
        <v>40</v>
      </c>
      <c r="P55" s="60">
        <v>233</v>
      </c>
      <c r="Q55" s="48">
        <v>920</v>
      </c>
      <c r="R55" s="48">
        <v>188</v>
      </c>
      <c r="S55" s="48"/>
      <c r="T55" s="48"/>
      <c r="U55" s="49"/>
      <c r="V55" s="49"/>
      <c r="W55" s="50">
        <f t="shared" si="1"/>
        <v>0</v>
      </c>
      <c r="X55" s="51">
        <f>IF(A55="", "", IF(COUNTIFS(C$3:C54, C55, D$3:D54, D55, G$3:G54, G55) &gt; 0, "", "11:00"-AW55))</f>
        <v>0.37499999999999994</v>
      </c>
      <c r="Y55" s="52" t="str">
        <f t="shared" si="8"/>
        <v>1:40</v>
      </c>
      <c r="Z55" s="53">
        <v>2.0833333333333332E-2</v>
      </c>
      <c r="AA55" s="54" t="s">
        <v>63</v>
      </c>
      <c r="AB55" s="53">
        <v>2.0833333333333332E-2</v>
      </c>
      <c r="AC55" s="54" t="s">
        <v>63</v>
      </c>
      <c r="AD55" s="53"/>
      <c r="AE55" s="54"/>
      <c r="AF55" s="53"/>
      <c r="AG55" s="54"/>
      <c r="AH55" s="55">
        <v>4.1666666666666699E-2</v>
      </c>
      <c r="AI55" s="53"/>
      <c r="AJ55" s="54"/>
      <c r="AK55" s="53"/>
      <c r="AL55" s="54"/>
      <c r="AM55" s="53"/>
      <c r="AN55" s="54"/>
      <c r="AO55" s="53"/>
      <c r="AP55" s="54"/>
      <c r="AQ55" s="53"/>
      <c r="AR55" s="54"/>
      <c r="AS55" s="53"/>
      <c r="AT55" s="54"/>
      <c r="AU55" s="53">
        <v>4.1666666666666699E-2</v>
      </c>
      <c r="AV55" s="54" t="s">
        <v>37</v>
      </c>
      <c r="AW55" s="57">
        <f t="shared" si="4"/>
        <v>8.333333333333337E-2</v>
      </c>
      <c r="AX55" s="58" t="s">
        <v>113</v>
      </c>
    </row>
    <row r="56" spans="1:50" ht="28.5">
      <c r="A56" s="38" t="s">
        <v>114</v>
      </c>
      <c r="B56" s="39">
        <f t="shared" si="9"/>
        <v>52</v>
      </c>
      <c r="C56" s="40">
        <v>46027</v>
      </c>
      <c r="D56" s="40" t="s">
        <v>80</v>
      </c>
      <c r="E56" s="40" t="s">
        <v>81</v>
      </c>
      <c r="F56" s="41">
        <v>129.4</v>
      </c>
      <c r="G56" s="42" t="s">
        <v>115</v>
      </c>
      <c r="H56" s="43" t="str">
        <f>IFERROR(VLOOKUP($J56,'[9]FROM (3)'!$E$4:$F$230,2,FALSE),"")</f>
        <v>DNTH</v>
      </c>
      <c r="I56" s="44" t="str">
        <f t="shared" si="6"/>
        <v>SHAFT, 2W</v>
      </c>
      <c r="J56" s="44" t="str">
        <f t="shared" si="7"/>
        <v>TG028383-0090</v>
      </c>
      <c r="K56" s="59" t="str">
        <f t="shared" si="2"/>
        <v>PD25110675</v>
      </c>
      <c r="L56" s="46" t="str" cm="1">
        <f t="array" ref="L56">IFERROR(_xlfn.IFS(
    LEN($A56)-LEN(SUBSTITUTE($A56,"|",""))=12, RIGHT(A56, LEN(A56)-FIND("~", SUBSTITUTE(A56,"|","~", LEN(A56)-LEN(SUBSTITUTE(A56,"|",""))))),
    LEN($A56)-LEN(SUBSTITUTE($A56,"|",""))=13, MID($A56, FIND("~", SUBSTITUTE($A56,"|","~", 11))+1, FIND("~", SUBSTITUTE($A56,"|","~", 12))-FIND("~", SUBSTITUTE($A56,"|","~", 11))-1),
    LEN($A56)-LEN(SUBSTITUTE($A56,"|",""))=14, MID($A56, FIND("~", SUBSTITUTE($A56,"|","~", 11))+1, FIND("~", SUBSTITUTE($A56,"|","~", 12))-FIND("~", SUBSTITUTE($A56,"|","~", 11))-1)
), "")</f>
        <v>E483074</v>
      </c>
      <c r="M56" s="47" t="str">
        <f t="shared" si="0"/>
        <v>FP120305/3/25</v>
      </c>
      <c r="N56" s="46" t="str">
        <f t="shared" si="3"/>
        <v>FP120305/3/25</v>
      </c>
      <c r="O56" s="60">
        <v>1500</v>
      </c>
      <c r="P56" s="60">
        <v>513</v>
      </c>
      <c r="Q56" s="48">
        <v>1500</v>
      </c>
      <c r="R56" s="48">
        <v>513</v>
      </c>
      <c r="S56" s="48"/>
      <c r="T56" s="48"/>
      <c r="U56" s="49"/>
      <c r="V56" s="49"/>
      <c r="W56" s="50">
        <f t="shared" si="1"/>
        <v>0</v>
      </c>
      <c r="X56" s="51">
        <f>IF(A56="", "", IF(COUNTIFS(C$3:C55, C56, D$3:D55, D56, G$3:G55, G56) &gt; 0, "", "11:00"-AW56))</f>
        <v>0.41666666666666663</v>
      </c>
      <c r="Y56" s="52" t="str">
        <f t="shared" si="8"/>
        <v>1:40</v>
      </c>
      <c r="Z56" s="53"/>
      <c r="AA56" s="54"/>
      <c r="AB56" s="53"/>
      <c r="AC56" s="54"/>
      <c r="AD56" s="53"/>
      <c r="AE56" s="54"/>
      <c r="AF56" s="53"/>
      <c r="AG56" s="54"/>
      <c r="AH56" s="55">
        <v>4.1666666666666699E-2</v>
      </c>
      <c r="AI56" s="53"/>
      <c r="AJ56" s="54"/>
      <c r="AK56" s="53"/>
      <c r="AL56" s="54"/>
      <c r="AM56" s="53"/>
      <c r="AN56" s="54"/>
      <c r="AO56" s="53"/>
      <c r="AP56" s="54"/>
      <c r="AQ56" s="53"/>
      <c r="AR56" s="54"/>
      <c r="AS56" s="53"/>
      <c r="AT56" s="54"/>
      <c r="AU56" s="53">
        <v>4.1666666666666699E-2</v>
      </c>
      <c r="AV56" s="54" t="s">
        <v>37</v>
      </c>
      <c r="AW56" s="57">
        <f t="shared" si="4"/>
        <v>4.1666666666666699E-2</v>
      </c>
      <c r="AX56" s="58" t="s">
        <v>109</v>
      </c>
    </row>
    <row r="57" spans="1:50" ht="28.5">
      <c r="A57" s="38" t="s">
        <v>116</v>
      </c>
      <c r="B57" s="39">
        <f t="shared" si="9"/>
        <v>53</v>
      </c>
      <c r="C57" s="40">
        <v>46027</v>
      </c>
      <c r="D57" s="40" t="s">
        <v>80</v>
      </c>
      <c r="E57" s="40" t="s">
        <v>81</v>
      </c>
      <c r="F57" s="41">
        <v>129.4</v>
      </c>
      <c r="G57" s="42" t="s">
        <v>115</v>
      </c>
      <c r="H57" s="43" t="str">
        <f>IFERROR(VLOOKUP($J57,'[9]FROM (3)'!$E$4:$F$230,2,FALSE),"")</f>
        <v>DNTH</v>
      </c>
      <c r="I57" s="44" t="str">
        <f t="shared" si="6"/>
        <v>SHAFT, 2W</v>
      </c>
      <c r="J57" s="44" t="str">
        <f t="shared" si="7"/>
        <v>TG028383-0090</v>
      </c>
      <c r="K57" s="59" t="str">
        <f t="shared" si="2"/>
        <v>PD25110675</v>
      </c>
      <c r="L57" s="46" t="str" cm="1">
        <f t="array" ref="L57">IFERROR(_xlfn.IFS(
    LEN($A57)-LEN(SUBSTITUTE($A57,"|",""))=12, RIGHT(A57, LEN(A57)-FIND("~", SUBSTITUTE(A57,"|","~", LEN(A57)-LEN(SUBSTITUTE(A57,"|",""))))),
    LEN($A57)-LEN(SUBSTITUTE($A57,"|",""))=13, MID($A57, FIND("~", SUBSTITUTE($A57,"|","~", 11))+1, FIND("~", SUBSTITUTE($A57,"|","~", 12))-FIND("~", SUBSTITUTE($A57,"|","~", 11))-1),
    LEN($A57)-LEN(SUBSTITUTE($A57,"|",""))=14, MID($A57, FIND("~", SUBSTITUTE($A57,"|","~", 11))+1, FIND("~", SUBSTITUTE($A57,"|","~", 12))-FIND("~", SUBSTITUTE($A57,"|","~", 11))-1)
), "")</f>
        <v>E483074</v>
      </c>
      <c r="M57" s="47" t="str">
        <f t="shared" si="0"/>
        <v>FP120305/5/25</v>
      </c>
      <c r="N57" s="46" t="str">
        <f t="shared" si="3"/>
        <v>FP120305/5/25</v>
      </c>
      <c r="O57" s="60">
        <v>1500</v>
      </c>
      <c r="P57" s="60">
        <v>513</v>
      </c>
      <c r="Q57" s="48">
        <v>1500</v>
      </c>
      <c r="R57" s="48">
        <v>513</v>
      </c>
      <c r="S57" s="48"/>
      <c r="T57" s="48"/>
      <c r="U57" s="49"/>
      <c r="V57" s="49"/>
      <c r="W57" s="50">
        <f t="shared" si="1"/>
        <v>0</v>
      </c>
      <c r="X57" s="51" t="str">
        <f>IF(A57="", "", IF(COUNTIFS(C$3:C56, C57, D$3:D56, D57, G$3:G56, G57) &gt; 0, "", "11:00"-AW57))</f>
        <v/>
      </c>
      <c r="Y57" s="52" t="str">
        <f t="shared" si="8"/>
        <v/>
      </c>
      <c r="Z57" s="53"/>
      <c r="AA57" s="54"/>
      <c r="AB57" s="53"/>
      <c r="AC57" s="54"/>
      <c r="AD57" s="53"/>
      <c r="AE57" s="54"/>
      <c r="AF57" s="53"/>
      <c r="AG57" s="54"/>
      <c r="AH57" s="55">
        <v>4.1666666666666699E-2</v>
      </c>
      <c r="AI57" s="53"/>
      <c r="AJ57" s="54"/>
      <c r="AK57" s="53"/>
      <c r="AL57" s="54"/>
      <c r="AM57" s="53"/>
      <c r="AN57" s="54"/>
      <c r="AO57" s="53"/>
      <c r="AP57" s="54"/>
      <c r="AQ57" s="53"/>
      <c r="AR57" s="54"/>
      <c r="AS57" s="53"/>
      <c r="AT57" s="54"/>
      <c r="AU57" s="53">
        <v>4.1666666666666699E-2</v>
      </c>
      <c r="AV57" s="54" t="s">
        <v>37</v>
      </c>
      <c r="AW57" s="57">
        <f t="shared" si="4"/>
        <v>4.1666666666666699E-2</v>
      </c>
      <c r="AX57" s="58" t="s">
        <v>109</v>
      </c>
    </row>
    <row r="58" spans="1:50" ht="24.75" customHeight="1">
      <c r="A58" s="38" t="s">
        <v>88</v>
      </c>
      <c r="B58" s="39">
        <f t="shared" si="9"/>
        <v>54</v>
      </c>
      <c r="C58" s="40">
        <v>46028</v>
      </c>
      <c r="D58" s="40" t="s">
        <v>32</v>
      </c>
      <c r="E58" s="40" t="s">
        <v>33</v>
      </c>
      <c r="F58" s="41">
        <v>597.4</v>
      </c>
      <c r="G58" s="42" t="s">
        <v>85</v>
      </c>
      <c r="H58" s="43" t="str">
        <f>IFERROR(VLOOKUP($J58,'[9]FROM (3)'!$E$4:$F$230,2,FALSE),"")</f>
        <v>JTCS</v>
      </c>
      <c r="I58" s="44" t="str">
        <f t="shared" si="6"/>
        <v>Rack, MS</v>
      </c>
      <c r="J58" s="44" t="str">
        <f t="shared" si="7"/>
        <v>JGC10-003770-40-0</v>
      </c>
      <c r="K58" s="59" t="str">
        <f t="shared" si="2"/>
        <v>PD25121304</v>
      </c>
      <c r="L58" s="46" t="str" cm="1">
        <f t="array" ref="L58">IFERROR(_xlfn.IFS(
    LEN($A58)-LEN(SUBSTITUTE($A58,"|",""))=12, RIGHT(A58, LEN(A58)-FIND("~", SUBSTITUTE(A58,"|","~", LEN(A58)-LEN(SUBSTITUTE(A58,"|",""))))),
    LEN($A58)-LEN(SUBSTITUTE($A58,"|",""))=13, MID($A58, FIND("~", SUBSTITUTE($A58,"|","~", 11))+1, FIND("~", SUBSTITUTE($A58,"|","~", 12))-FIND("~", SUBSTITUTE($A58,"|","~", 11))-1),
    LEN($A58)-LEN(SUBSTITUTE($A58,"|",""))=14, MID($A58, FIND("~", SUBSTITUTE($A58,"|","~", 11))+1, FIND("~", SUBSTITUTE($A58,"|","~", 12))-FIND("~", SUBSTITUTE($A58,"|","~", 11))-1)
), "")</f>
        <v>E585970</v>
      </c>
      <c r="M58" s="47" t="str">
        <f t="shared" si="0"/>
        <v>SB120187/6/25</v>
      </c>
      <c r="N58" s="46" t="str">
        <f t="shared" si="3"/>
        <v/>
      </c>
      <c r="O58" s="60"/>
      <c r="P58" s="60"/>
      <c r="Q58" s="48">
        <v>78</v>
      </c>
      <c r="R58" s="48">
        <v>165</v>
      </c>
      <c r="S58" s="48"/>
      <c r="T58" s="48"/>
      <c r="U58" s="49">
        <v>148</v>
      </c>
      <c r="V58" s="49">
        <v>10</v>
      </c>
      <c r="W58" s="50">
        <f t="shared" si="1"/>
        <v>158</v>
      </c>
      <c r="X58" s="51">
        <f>IF(A58="", "", IF(COUNTIFS(C$3:C57, C58, D$3:D57, D58, G$3:G57, G58) &gt; 0, "", "11:00"-AW58))</f>
        <v>0.41666666666666663</v>
      </c>
      <c r="Y58" s="52" t="str">
        <f t="shared" si="8"/>
        <v>1:40</v>
      </c>
      <c r="Z58" s="53"/>
      <c r="AA58" s="54"/>
      <c r="AB58" s="53"/>
      <c r="AC58" s="54"/>
      <c r="AD58" s="53"/>
      <c r="AE58" s="54"/>
      <c r="AF58" s="53"/>
      <c r="AG58" s="54"/>
      <c r="AH58" s="55">
        <v>4.1666666666666699E-2</v>
      </c>
      <c r="AI58" s="53"/>
      <c r="AJ58" s="54"/>
      <c r="AK58" s="53"/>
      <c r="AL58" s="54"/>
      <c r="AM58" s="53"/>
      <c r="AN58" s="54"/>
      <c r="AO58" s="53"/>
      <c r="AP58" s="54"/>
      <c r="AQ58" s="53"/>
      <c r="AR58" s="54"/>
      <c r="AS58" s="53"/>
      <c r="AT58" s="54"/>
      <c r="AU58" s="53">
        <v>4.1666666666666699E-2</v>
      </c>
      <c r="AV58" s="54" t="s">
        <v>37</v>
      </c>
      <c r="AW58" s="57">
        <f t="shared" si="4"/>
        <v>4.1666666666666699E-2</v>
      </c>
      <c r="AX58" s="58" t="s">
        <v>117</v>
      </c>
    </row>
    <row r="59" spans="1:50" ht="28.5">
      <c r="A59" s="38" t="s">
        <v>118</v>
      </c>
      <c r="B59" s="39">
        <f t="shared" si="9"/>
        <v>55</v>
      </c>
      <c r="C59" s="40">
        <v>46028</v>
      </c>
      <c r="D59" s="40" t="s">
        <v>32</v>
      </c>
      <c r="E59" s="40" t="s">
        <v>33</v>
      </c>
      <c r="F59" s="41">
        <v>597.4</v>
      </c>
      <c r="G59" s="42" t="s">
        <v>85</v>
      </c>
      <c r="H59" s="43" t="str">
        <f>IFERROR(VLOOKUP($J59,'[9]FROM (3)'!$E$4:$F$230,2,FALSE),"")</f>
        <v>JTCS</v>
      </c>
      <c r="I59" s="44" t="str">
        <f t="shared" si="6"/>
        <v>Rack, MS</v>
      </c>
      <c r="J59" s="44" t="str">
        <f t="shared" si="7"/>
        <v>JGC10-003770-40-0</v>
      </c>
      <c r="K59" s="59" t="str">
        <f t="shared" si="2"/>
        <v>PD25121303</v>
      </c>
      <c r="L59" s="46" t="str" cm="1">
        <f t="array" ref="L59">IFERROR(_xlfn.IFS(
    LEN($A59)-LEN(SUBSTITUTE($A59,"|",""))=12, RIGHT(A59, LEN(A59)-FIND("~", SUBSTITUTE(A59,"|","~", LEN(A59)-LEN(SUBSTITUTE(A59,"|",""))))),
    LEN($A59)-LEN(SUBSTITUTE($A59,"|",""))=13, MID($A59, FIND("~", SUBSTITUTE($A59,"|","~", 11))+1, FIND("~", SUBSTITUTE($A59,"|","~", 12))-FIND("~", SUBSTITUTE($A59,"|","~", 11))-1),
    LEN($A59)-LEN(SUBSTITUTE($A59,"|",""))=14, MID($A59, FIND("~", SUBSTITUTE($A59,"|","~", 11))+1, FIND("~", SUBSTITUTE($A59,"|","~", 12))-FIND("~", SUBSTITUTE($A59,"|","~", 11))-1)
), "")</f>
        <v>E585970</v>
      </c>
      <c r="M59" s="47" t="str">
        <f t="shared" si="0"/>
        <v>SB120187/3/25</v>
      </c>
      <c r="N59" s="46" t="str">
        <f t="shared" si="3"/>
        <v/>
      </c>
      <c r="O59" s="60">
        <v>80</v>
      </c>
      <c r="P59" s="60">
        <v>902</v>
      </c>
      <c r="Q59" s="48">
        <v>400</v>
      </c>
      <c r="R59" s="48">
        <v>848</v>
      </c>
      <c r="S59" s="48"/>
      <c r="T59" s="48"/>
      <c r="U59" s="49"/>
      <c r="V59" s="49"/>
      <c r="W59" s="50">
        <f t="shared" si="1"/>
        <v>0</v>
      </c>
      <c r="X59" s="51" t="str">
        <f>IF(A59="", "", IF(COUNTIFS(C$3:C58, C59, D$3:D58, D59, G$3:G58, G59) &gt; 0, "", "11:00"-AW59))</f>
        <v/>
      </c>
      <c r="Y59" s="52" t="str">
        <f t="shared" si="8"/>
        <v/>
      </c>
      <c r="Z59" s="53"/>
      <c r="AA59" s="54"/>
      <c r="AB59" s="53"/>
      <c r="AC59" s="54"/>
      <c r="AD59" s="53"/>
      <c r="AE59" s="54"/>
      <c r="AF59" s="53"/>
      <c r="AG59" s="54"/>
      <c r="AH59" s="55">
        <v>4.1666666666666699E-2</v>
      </c>
      <c r="AI59" s="53"/>
      <c r="AJ59" s="54"/>
      <c r="AK59" s="53"/>
      <c r="AL59" s="54"/>
      <c r="AM59" s="53"/>
      <c r="AN59" s="54"/>
      <c r="AO59" s="53"/>
      <c r="AP59" s="54"/>
      <c r="AQ59" s="53"/>
      <c r="AR59" s="54"/>
      <c r="AS59" s="53"/>
      <c r="AT59" s="54"/>
      <c r="AU59" s="53">
        <v>4.1666666666666699E-2</v>
      </c>
      <c r="AV59" s="54" t="s">
        <v>37</v>
      </c>
      <c r="AW59" s="57">
        <f t="shared" si="4"/>
        <v>4.1666666666666699E-2</v>
      </c>
      <c r="AX59" s="58" t="s">
        <v>117</v>
      </c>
    </row>
    <row r="60" spans="1:50" ht="28.5">
      <c r="A60" s="38" t="s">
        <v>119</v>
      </c>
      <c r="B60" s="39">
        <f t="shared" si="9"/>
        <v>56</v>
      </c>
      <c r="C60" s="40">
        <v>46028</v>
      </c>
      <c r="D60" s="40" t="s">
        <v>32</v>
      </c>
      <c r="E60" s="40" t="s">
        <v>33</v>
      </c>
      <c r="F60" s="41">
        <v>597.4</v>
      </c>
      <c r="G60" s="42" t="s">
        <v>85</v>
      </c>
      <c r="H60" s="43" t="str">
        <f>IFERROR(VLOOKUP($J60,'[9]FROM (3)'!$E$4:$F$230,2,FALSE),"")</f>
        <v>JTCS</v>
      </c>
      <c r="I60" s="44" t="str">
        <f t="shared" si="6"/>
        <v>Rack, MS</v>
      </c>
      <c r="J60" s="44" t="str">
        <f t="shared" si="7"/>
        <v>JGC10-003770-40-0</v>
      </c>
      <c r="K60" s="59" t="str">
        <f t="shared" si="2"/>
        <v>PD25121303</v>
      </c>
      <c r="L60" s="46" t="str" cm="1">
        <f t="array" ref="L60">IFERROR(_xlfn.IFS(
    LEN($A60)-LEN(SUBSTITUTE($A60,"|",""))=12, RIGHT(A60, LEN(A60)-FIND("~", SUBSTITUTE(A60,"|","~", LEN(A60)-LEN(SUBSTITUTE(A60,"|",""))))),
    LEN($A60)-LEN(SUBSTITUTE($A60,"|",""))=13, MID($A60, FIND("~", SUBSTITUTE($A60,"|","~", 11))+1, FIND("~", SUBSTITUTE($A60,"|","~", 12))-FIND("~", SUBSTITUTE($A60,"|","~", 11))-1),
    LEN($A60)-LEN(SUBSTITUTE($A60,"|",""))=14, MID($A60, FIND("~", SUBSTITUTE($A60,"|","~", 11))+1, FIND("~", SUBSTITUTE($A60,"|","~", 12))-FIND("~", SUBSTITUTE($A60,"|","~", 11))-1)
), "")</f>
        <v>E585970</v>
      </c>
      <c r="M60" s="47" t="str">
        <f t="shared" si="0"/>
        <v>SB120187/2/25</v>
      </c>
      <c r="N60" s="46" t="str">
        <f t="shared" si="3"/>
        <v/>
      </c>
      <c r="O60" s="60">
        <v>80</v>
      </c>
      <c r="P60" s="60">
        <v>902</v>
      </c>
      <c r="Q60" s="48">
        <v>400</v>
      </c>
      <c r="R60" s="48">
        <v>848</v>
      </c>
      <c r="S60" s="48"/>
      <c r="T60" s="48"/>
      <c r="U60" s="49"/>
      <c r="V60" s="49"/>
      <c r="W60" s="50">
        <f t="shared" si="1"/>
        <v>0</v>
      </c>
      <c r="X60" s="51" t="str">
        <f>IF(A60="", "", IF(COUNTIFS(C$3:C59, C60, D$3:D59, D60, G$3:G59, G60) &gt; 0, "", "11:00"-AW60))</f>
        <v/>
      </c>
      <c r="Y60" s="52" t="str">
        <f t="shared" si="8"/>
        <v/>
      </c>
      <c r="Z60" s="53"/>
      <c r="AA60" s="54"/>
      <c r="AB60" s="53"/>
      <c r="AC60" s="54"/>
      <c r="AD60" s="53"/>
      <c r="AE60" s="54"/>
      <c r="AF60" s="53"/>
      <c r="AG60" s="54"/>
      <c r="AH60" s="55">
        <v>4.1666666666666699E-2</v>
      </c>
      <c r="AI60" s="53"/>
      <c r="AJ60" s="54"/>
      <c r="AK60" s="53"/>
      <c r="AL60" s="54"/>
      <c r="AM60" s="53"/>
      <c r="AN60" s="54"/>
      <c r="AO60" s="53"/>
      <c r="AP60" s="54"/>
      <c r="AQ60" s="53"/>
      <c r="AR60" s="54"/>
      <c r="AS60" s="53"/>
      <c r="AT60" s="54"/>
      <c r="AU60" s="53">
        <v>4.1666666666666699E-2</v>
      </c>
      <c r="AV60" s="54" t="s">
        <v>37</v>
      </c>
      <c r="AW60" s="57">
        <f t="shared" si="4"/>
        <v>4.1666666666666699E-2</v>
      </c>
      <c r="AX60" s="58" t="s">
        <v>117</v>
      </c>
    </row>
    <row r="61" spans="1:50" ht="28.5">
      <c r="A61" s="38" t="s">
        <v>120</v>
      </c>
      <c r="B61" s="39">
        <f t="shared" si="9"/>
        <v>57</v>
      </c>
      <c r="C61" s="40">
        <v>46028</v>
      </c>
      <c r="D61" s="40" t="s">
        <v>32</v>
      </c>
      <c r="E61" s="40" t="s">
        <v>33</v>
      </c>
      <c r="F61" s="41">
        <v>597.4</v>
      </c>
      <c r="G61" s="42" t="s">
        <v>85</v>
      </c>
      <c r="H61" s="43" t="str">
        <f>IFERROR(VLOOKUP($J61,'[9]FROM (3)'!$E$4:$F$230,2,FALSE),"")</f>
        <v>JTCS</v>
      </c>
      <c r="I61" s="44" t="str">
        <f t="shared" si="6"/>
        <v>Rack, MS</v>
      </c>
      <c r="J61" s="44" t="str">
        <f t="shared" si="7"/>
        <v>JGC10-003770-40-0</v>
      </c>
      <c r="K61" s="59" t="str">
        <f t="shared" si="2"/>
        <v>PD25121303</v>
      </c>
      <c r="L61" s="46" t="str" cm="1">
        <f t="array" ref="L61">IFERROR(_xlfn.IFS(
    LEN($A61)-LEN(SUBSTITUTE($A61,"|",""))=12, RIGHT(A61, LEN(A61)-FIND("~", SUBSTITUTE(A61,"|","~", LEN(A61)-LEN(SUBSTITUTE(A61,"|",""))))),
    LEN($A61)-LEN(SUBSTITUTE($A61,"|",""))=13, MID($A61, FIND("~", SUBSTITUTE($A61,"|","~", 11))+1, FIND("~", SUBSTITUTE($A61,"|","~", 12))-FIND("~", SUBSTITUTE($A61,"|","~", 11))-1),
    LEN($A61)-LEN(SUBSTITUTE($A61,"|",""))=14, MID($A61, FIND("~", SUBSTITUTE($A61,"|","~", 11))+1, FIND("~", SUBSTITUTE($A61,"|","~", 12))-FIND("~", SUBSTITUTE($A61,"|","~", 11))-1)
), "")</f>
        <v>E585970</v>
      </c>
      <c r="M61" s="47" t="str">
        <f t="shared" si="0"/>
        <v>SB120187/1/25</v>
      </c>
      <c r="N61" s="46" t="str">
        <f t="shared" si="3"/>
        <v/>
      </c>
      <c r="O61" s="60">
        <v>80</v>
      </c>
      <c r="P61" s="60">
        <v>902</v>
      </c>
      <c r="Q61" s="48">
        <v>305</v>
      </c>
      <c r="R61" s="48">
        <v>647</v>
      </c>
      <c r="S61" s="48"/>
      <c r="T61" s="48"/>
      <c r="U61" s="49"/>
      <c r="V61" s="49"/>
      <c r="W61" s="50">
        <f t="shared" si="1"/>
        <v>0</v>
      </c>
      <c r="X61" s="51" t="str">
        <f>IF(A61="", "", IF(COUNTIFS(C$3:C60, C61, D$3:D60, D61, G$3:G60, G61) &gt; 0, "", "11:00"-AW61))</f>
        <v/>
      </c>
      <c r="Y61" s="52" t="str">
        <f t="shared" si="8"/>
        <v/>
      </c>
      <c r="Z61" s="53"/>
      <c r="AA61" s="54"/>
      <c r="AB61" s="53"/>
      <c r="AC61" s="54"/>
      <c r="AD61" s="53"/>
      <c r="AE61" s="54"/>
      <c r="AF61" s="53"/>
      <c r="AG61" s="54"/>
      <c r="AH61" s="55">
        <v>4.1666666666666699E-2</v>
      </c>
      <c r="AI61" s="53"/>
      <c r="AJ61" s="54"/>
      <c r="AK61" s="53"/>
      <c r="AL61" s="54"/>
      <c r="AM61" s="53"/>
      <c r="AN61" s="54"/>
      <c r="AO61" s="53"/>
      <c r="AP61" s="54"/>
      <c r="AQ61" s="53"/>
      <c r="AR61" s="54"/>
      <c r="AS61" s="53"/>
      <c r="AT61" s="54"/>
      <c r="AU61" s="53">
        <v>4.1666666666666699E-2</v>
      </c>
      <c r="AV61" s="54" t="s">
        <v>37</v>
      </c>
      <c r="AW61" s="57">
        <f t="shared" si="4"/>
        <v>4.1666666666666699E-2</v>
      </c>
      <c r="AX61" s="58" t="s">
        <v>117</v>
      </c>
    </row>
    <row r="62" spans="1:50" ht="28.5">
      <c r="A62" s="38" t="s">
        <v>121</v>
      </c>
      <c r="B62" s="39">
        <f t="shared" si="9"/>
        <v>58</v>
      </c>
      <c r="C62" s="40">
        <v>46028</v>
      </c>
      <c r="D62" s="40" t="s">
        <v>32</v>
      </c>
      <c r="E62" s="40" t="s">
        <v>33</v>
      </c>
      <c r="F62" s="41">
        <v>698.5</v>
      </c>
      <c r="G62" s="42" t="s">
        <v>54</v>
      </c>
      <c r="H62" s="43" t="str">
        <f>IFERROR(VLOOKUP($J62,'[9]FROM (3)'!$E$4:$F$230,2,FALSE),"")</f>
        <v>JCTTH</v>
      </c>
      <c r="I62" s="44" t="str">
        <f t="shared" si="6"/>
        <v>RACK BAR</v>
      </c>
      <c r="J62" s="44" t="str">
        <f t="shared" si="7"/>
        <v>JGD10-000751/000761-A</v>
      </c>
      <c r="K62" s="59" t="str">
        <f t="shared" si="2"/>
        <v>PD25121275</v>
      </c>
      <c r="L62" s="46" t="str" cm="1">
        <f t="array" ref="L62">IFERROR(_xlfn.IFS(
    LEN($A62)-LEN(SUBSTITUTE($A62,"|",""))=12, RIGHT(A62, LEN(A62)-FIND("~", SUBSTITUTE(A62,"|","~", LEN(A62)-LEN(SUBSTITUTE(A62,"|",""))))),
    LEN($A62)-LEN(SUBSTITUTE($A62,"|",""))=13, MID($A62, FIND("~", SUBSTITUTE($A62,"|","~", 11))+1, FIND("~", SUBSTITUTE($A62,"|","~", 12))-FIND("~", SUBSTITUTE($A62,"|","~", 11))-1),
    LEN($A62)-LEN(SUBSTITUTE($A62,"|",""))=14, MID($A62, FIND("~", SUBSTITUTE($A62,"|","~", 11))+1, FIND("~", SUBSTITUTE($A62,"|","~", 12))-FIND("~", SUBSTITUTE($A62,"|","~", 11))-1)
), "")</f>
        <v>665077</v>
      </c>
      <c r="M62" s="47" t="str">
        <f t="shared" si="0"/>
        <v>SB120186/3/25</v>
      </c>
      <c r="N62" s="46" t="str">
        <f t="shared" si="3"/>
        <v/>
      </c>
      <c r="O62" s="60">
        <v>51</v>
      </c>
      <c r="P62" s="60">
        <v>990</v>
      </c>
      <c r="Q62" s="48">
        <v>204</v>
      </c>
      <c r="R62" s="48">
        <v>913</v>
      </c>
      <c r="S62" s="48"/>
      <c r="T62" s="48"/>
      <c r="U62" s="49"/>
      <c r="V62" s="49"/>
      <c r="W62" s="50">
        <f t="shared" si="1"/>
        <v>0</v>
      </c>
      <c r="X62" s="51">
        <f>IF(A62="", "", IF(COUNTIFS(C$3:C61, C62, D$3:D61, D62, G$3:G61, G62) &gt; 0, "", "11:00"-AW62))</f>
        <v>0.31249999999999994</v>
      </c>
      <c r="Y62" s="52" t="str">
        <f t="shared" si="8"/>
        <v>1:0</v>
      </c>
      <c r="Z62" s="53"/>
      <c r="AA62" s="54" t="s">
        <v>122</v>
      </c>
      <c r="AB62" s="53"/>
      <c r="AC62" s="54"/>
      <c r="AD62" s="53"/>
      <c r="AE62" s="54"/>
      <c r="AF62" s="53"/>
      <c r="AG62" s="54"/>
      <c r="AH62" s="55">
        <v>4.1666666666666699E-2</v>
      </c>
      <c r="AI62" s="53"/>
      <c r="AJ62" s="54" t="s">
        <v>122</v>
      </c>
      <c r="AK62" s="53">
        <v>2.0833333333333332E-2</v>
      </c>
      <c r="AL62" s="54" t="s">
        <v>76</v>
      </c>
      <c r="AM62" s="53"/>
      <c r="AN62" s="54"/>
      <c r="AO62" s="53"/>
      <c r="AP62" s="54"/>
      <c r="AQ62" s="53">
        <v>4.1666666666666664E-2</v>
      </c>
      <c r="AR62" s="54" t="s">
        <v>37</v>
      </c>
      <c r="AS62" s="53">
        <v>4.1666666666666664E-2</v>
      </c>
      <c r="AT62" s="54" t="s">
        <v>37</v>
      </c>
      <c r="AU62" s="53">
        <v>4.1666666666666699E-2</v>
      </c>
      <c r="AV62" s="54" t="s">
        <v>37</v>
      </c>
      <c r="AW62" s="57">
        <f t="shared" si="4"/>
        <v>0.14583333333333337</v>
      </c>
      <c r="AX62" s="58" t="s">
        <v>56</v>
      </c>
    </row>
    <row r="63" spans="1:50" ht="28.5">
      <c r="A63" s="38" t="s">
        <v>123</v>
      </c>
      <c r="B63" s="39">
        <f t="shared" si="9"/>
        <v>59</v>
      </c>
      <c r="C63" s="40">
        <v>46028</v>
      </c>
      <c r="D63" s="40" t="s">
        <v>32</v>
      </c>
      <c r="E63" s="40" t="s">
        <v>33</v>
      </c>
      <c r="F63" s="41">
        <v>698.5</v>
      </c>
      <c r="G63" s="42" t="s">
        <v>54</v>
      </c>
      <c r="H63" s="43" t="str">
        <f>IFERROR(VLOOKUP($J63,'[9]FROM (3)'!$E$4:$F$230,2,FALSE),"")</f>
        <v>JCTTH</v>
      </c>
      <c r="I63" s="44" t="str">
        <f t="shared" si="6"/>
        <v>RACK BAR</v>
      </c>
      <c r="J63" s="44" t="str">
        <f t="shared" si="7"/>
        <v>JGD10-000751/000761-A</v>
      </c>
      <c r="K63" s="59" t="str">
        <f t="shared" si="2"/>
        <v>PD25121275</v>
      </c>
      <c r="L63" s="46" t="str" cm="1">
        <f t="array" ref="L63">IFERROR(_xlfn.IFS(
    LEN($A63)-LEN(SUBSTITUTE($A63,"|",""))=12, RIGHT(A63, LEN(A63)-FIND("~", SUBSTITUTE(A63,"|","~", LEN(A63)-LEN(SUBSTITUTE(A63,"|",""))))),
    LEN($A63)-LEN(SUBSTITUTE($A63,"|",""))=13, MID($A63, FIND("~", SUBSTITUTE($A63,"|","~", 11))+1, FIND("~", SUBSTITUTE($A63,"|","~", 12))-FIND("~", SUBSTITUTE($A63,"|","~", 11))-1),
    LEN($A63)-LEN(SUBSTITUTE($A63,"|",""))=14, MID($A63, FIND("~", SUBSTITUTE($A63,"|","~", 11))+1, FIND("~", SUBSTITUTE($A63,"|","~", 12))-FIND("~", SUBSTITUTE($A63,"|","~", 11))-1)
), "")</f>
        <v>665077</v>
      </c>
      <c r="M63" s="47" t="str">
        <f t="shared" si="0"/>
        <v>SB120186/2/25</v>
      </c>
      <c r="N63" s="46" t="str">
        <f t="shared" si="3"/>
        <v/>
      </c>
      <c r="O63" s="60">
        <v>51</v>
      </c>
      <c r="P63" s="60">
        <v>990</v>
      </c>
      <c r="Q63" s="48">
        <v>204</v>
      </c>
      <c r="R63" s="48">
        <v>913</v>
      </c>
      <c r="S63" s="48"/>
      <c r="T63" s="48"/>
      <c r="U63" s="49"/>
      <c r="V63" s="49"/>
      <c r="W63" s="50">
        <f t="shared" si="1"/>
        <v>0</v>
      </c>
      <c r="X63" s="51" t="str">
        <f>IF(A63="", "", IF(COUNTIFS(C$3:C62, C63, D$3:D62, D63, G$3:G62, G63) &gt; 0, "", "11:00"-AW63))</f>
        <v/>
      </c>
      <c r="Y63" s="52" t="str">
        <f t="shared" si="8"/>
        <v/>
      </c>
      <c r="Z63" s="53"/>
      <c r="AA63" s="54"/>
      <c r="AB63" s="53"/>
      <c r="AC63" s="54"/>
      <c r="AD63" s="53"/>
      <c r="AE63" s="54"/>
      <c r="AF63" s="53"/>
      <c r="AG63" s="54"/>
      <c r="AH63" s="55">
        <v>4.1666666666666699E-2</v>
      </c>
      <c r="AI63" s="53"/>
      <c r="AJ63" s="54"/>
      <c r="AK63" s="53"/>
      <c r="AL63" s="54"/>
      <c r="AM63" s="53"/>
      <c r="AN63" s="54"/>
      <c r="AO63" s="53"/>
      <c r="AP63" s="54"/>
      <c r="AQ63" s="53"/>
      <c r="AR63" s="54"/>
      <c r="AS63" s="53"/>
      <c r="AT63" s="54"/>
      <c r="AU63" s="53">
        <v>4.1666666666666699E-2</v>
      </c>
      <c r="AV63" s="54" t="s">
        <v>37</v>
      </c>
      <c r="AW63" s="57">
        <f t="shared" si="4"/>
        <v>4.1666666666666699E-2</v>
      </c>
      <c r="AX63" s="58" t="s">
        <v>56</v>
      </c>
    </row>
    <row r="64" spans="1:50" ht="28.5">
      <c r="A64" s="38" t="s">
        <v>124</v>
      </c>
      <c r="B64" s="39">
        <f t="shared" si="9"/>
        <v>60</v>
      </c>
      <c r="C64" s="40">
        <v>46028</v>
      </c>
      <c r="D64" s="40" t="s">
        <v>32</v>
      </c>
      <c r="E64" s="40" t="s">
        <v>33</v>
      </c>
      <c r="F64" s="41">
        <v>698.5</v>
      </c>
      <c r="G64" s="42" t="s">
        <v>54</v>
      </c>
      <c r="H64" s="43" t="str">
        <f>IFERROR(VLOOKUP($J64,'[9]FROM (3)'!$E$4:$F$230,2,FALSE),"")</f>
        <v>JCTTH</v>
      </c>
      <c r="I64" s="44" t="str">
        <f t="shared" si="6"/>
        <v>RACK BAR</v>
      </c>
      <c r="J64" s="44" t="str">
        <f t="shared" si="7"/>
        <v>JGD10-000751/000761-A</v>
      </c>
      <c r="K64" s="59" t="str">
        <f t="shared" si="2"/>
        <v>PD25121275</v>
      </c>
      <c r="L64" s="46" t="str" cm="1">
        <f t="array" ref="L64">IFERROR(_xlfn.IFS(
    LEN($A64)-LEN(SUBSTITUTE($A64,"|",""))=12, RIGHT(A64, LEN(A64)-FIND("~", SUBSTITUTE(A64,"|","~", LEN(A64)-LEN(SUBSTITUTE(A64,"|",""))))),
    LEN($A64)-LEN(SUBSTITUTE($A64,"|",""))=13, MID($A64, FIND("~", SUBSTITUTE($A64,"|","~", 11))+1, FIND("~", SUBSTITUTE($A64,"|","~", 12))-FIND("~", SUBSTITUTE($A64,"|","~", 11))-1),
    LEN($A64)-LEN(SUBSTITUTE($A64,"|",""))=14, MID($A64, FIND("~", SUBSTITUTE($A64,"|","~", 11))+1, FIND("~", SUBSTITUTE($A64,"|","~", 12))-FIND("~", SUBSTITUTE($A64,"|","~", 11))-1)
), "")</f>
        <v>665077</v>
      </c>
      <c r="M64" s="47" t="str">
        <f t="shared" si="0"/>
        <v>SB120186/1/25</v>
      </c>
      <c r="N64" s="46" t="str">
        <f t="shared" si="3"/>
        <v/>
      </c>
      <c r="O64" s="60">
        <v>42</v>
      </c>
      <c r="P64" s="60">
        <v>810</v>
      </c>
      <c r="Q64" s="48">
        <v>166</v>
      </c>
      <c r="R64" s="48">
        <v>743</v>
      </c>
      <c r="S64" s="48"/>
      <c r="T64" s="48"/>
      <c r="U64" s="49">
        <v>184</v>
      </c>
      <c r="V64" s="49">
        <v>9</v>
      </c>
      <c r="W64" s="50">
        <f t="shared" si="1"/>
        <v>193</v>
      </c>
      <c r="X64" s="51" t="str">
        <f>IF(A64="", "", IF(COUNTIFS(C$3:C63, C64, D$3:D63, D64, G$3:G63, G64) &gt; 0, "", "11:00"-AW64))</f>
        <v/>
      </c>
      <c r="Y64" s="52" t="str">
        <f t="shared" si="8"/>
        <v/>
      </c>
      <c r="Z64" s="53"/>
      <c r="AA64" s="54"/>
      <c r="AB64" s="53"/>
      <c r="AC64" s="54"/>
      <c r="AD64" s="53"/>
      <c r="AE64" s="54"/>
      <c r="AF64" s="53"/>
      <c r="AG64" s="54"/>
      <c r="AH64" s="55">
        <v>4.1666666666666699E-2</v>
      </c>
      <c r="AI64" s="53"/>
      <c r="AJ64" s="54"/>
      <c r="AK64" s="53"/>
      <c r="AL64" s="54"/>
      <c r="AM64" s="53"/>
      <c r="AN64" s="54"/>
      <c r="AO64" s="53"/>
      <c r="AP64" s="54"/>
      <c r="AQ64" s="53"/>
      <c r="AR64" s="54"/>
      <c r="AS64" s="53"/>
      <c r="AT64" s="54"/>
      <c r="AU64" s="53">
        <v>4.1666666666666699E-2</v>
      </c>
      <c r="AV64" s="54" t="s">
        <v>37</v>
      </c>
      <c r="AW64" s="57">
        <f t="shared" si="4"/>
        <v>4.1666666666666699E-2</v>
      </c>
      <c r="AX64" s="58" t="s">
        <v>56</v>
      </c>
    </row>
    <row r="65" spans="1:50" ht="28.5">
      <c r="A65" s="38" t="s">
        <v>125</v>
      </c>
      <c r="B65" s="39">
        <f t="shared" si="9"/>
        <v>61</v>
      </c>
      <c r="C65" s="40">
        <v>46028</v>
      </c>
      <c r="D65" s="40" t="s">
        <v>32</v>
      </c>
      <c r="E65" s="40" t="s">
        <v>33</v>
      </c>
      <c r="F65" s="41">
        <v>698.5</v>
      </c>
      <c r="G65" s="42" t="s">
        <v>54</v>
      </c>
      <c r="H65" s="43" t="str">
        <f>IFERROR(VLOOKUP($J65,'[9]FROM (3)'!$E$4:$F$230,2,FALSE),"")</f>
        <v>JCTTH</v>
      </c>
      <c r="I65" s="44" t="str">
        <f t="shared" si="6"/>
        <v>RACK BAR</v>
      </c>
      <c r="J65" s="44" t="str">
        <f t="shared" si="7"/>
        <v>JGD10-000751/000761-A</v>
      </c>
      <c r="K65" s="59" t="str">
        <f t="shared" si="2"/>
        <v>PD25121277</v>
      </c>
      <c r="L65" s="46" t="str" cm="1">
        <f t="array" ref="L65">IFERROR(_xlfn.IFS(
    LEN($A65)-LEN(SUBSTITUTE($A65,"|",""))=12, RIGHT(A65, LEN(A65)-FIND("~", SUBSTITUTE(A65,"|","~", LEN(A65)-LEN(SUBSTITUTE(A65,"|",""))))),
    LEN($A65)-LEN(SUBSTITUTE($A65,"|",""))=13, MID($A65, FIND("~", SUBSTITUTE($A65,"|","~", 11))+1, FIND("~", SUBSTITUTE($A65,"|","~", 12))-FIND("~", SUBSTITUTE($A65,"|","~", 11))-1),
    LEN($A65)-LEN(SUBSTITUTE($A65,"|",""))=14, MID($A65, FIND("~", SUBSTITUTE($A65,"|","~", 11))+1, FIND("~", SUBSTITUTE($A65,"|","~", 12))-FIND("~", SUBSTITUTE($A65,"|","~", 11))-1)
), "")</f>
        <v>665077</v>
      </c>
      <c r="M65" s="47" t="str">
        <f t="shared" si="0"/>
        <v>SB120175/4/25</v>
      </c>
      <c r="N65" s="46" t="str">
        <f t="shared" si="3"/>
        <v/>
      </c>
      <c r="O65" s="60">
        <v>51</v>
      </c>
      <c r="P65" s="60">
        <v>986</v>
      </c>
      <c r="Q65" s="48">
        <v>204</v>
      </c>
      <c r="R65" s="48">
        <v>913</v>
      </c>
      <c r="S65" s="48"/>
      <c r="T65" s="48"/>
      <c r="U65" s="49"/>
      <c r="V65" s="49"/>
      <c r="W65" s="50">
        <f t="shared" si="1"/>
        <v>0</v>
      </c>
      <c r="X65" s="51" t="str">
        <f>IF(A65="", "", IF(COUNTIFS(C$3:C64, C65, D$3:D64, D65, G$3:G64, G65) &gt; 0, "", "11:00"-AW65))</f>
        <v/>
      </c>
      <c r="Y65" s="52" t="str">
        <f t="shared" si="8"/>
        <v/>
      </c>
      <c r="Z65" s="53"/>
      <c r="AA65" s="54"/>
      <c r="AB65" s="53"/>
      <c r="AC65" s="54"/>
      <c r="AD65" s="53"/>
      <c r="AE65" s="54"/>
      <c r="AF65" s="53"/>
      <c r="AG65" s="54"/>
      <c r="AH65" s="55">
        <v>4.1666666666666699E-2</v>
      </c>
      <c r="AI65" s="53"/>
      <c r="AJ65" s="54"/>
      <c r="AK65" s="53"/>
      <c r="AL65" s="54"/>
      <c r="AM65" s="53"/>
      <c r="AN65" s="54"/>
      <c r="AO65" s="53"/>
      <c r="AP65" s="54"/>
      <c r="AQ65" s="53"/>
      <c r="AR65" s="54"/>
      <c r="AS65" s="53"/>
      <c r="AT65" s="54"/>
      <c r="AU65" s="53">
        <v>4.1666666666666699E-2</v>
      </c>
      <c r="AV65" s="54" t="s">
        <v>37</v>
      </c>
      <c r="AW65" s="57">
        <f t="shared" si="4"/>
        <v>4.1666666666666699E-2</v>
      </c>
      <c r="AX65" s="58" t="s">
        <v>56</v>
      </c>
    </row>
    <row r="66" spans="1:50" ht="28.5">
      <c r="A66" s="38" t="s">
        <v>126</v>
      </c>
      <c r="B66" s="39">
        <f t="shared" si="9"/>
        <v>62</v>
      </c>
      <c r="C66" s="40">
        <v>46028</v>
      </c>
      <c r="D66" s="40" t="s">
        <v>32</v>
      </c>
      <c r="E66" s="40" t="s">
        <v>33</v>
      </c>
      <c r="F66" s="41">
        <v>698.5</v>
      </c>
      <c r="G66" s="42" t="s">
        <v>54</v>
      </c>
      <c r="H66" s="43" t="str">
        <f>IFERROR(VLOOKUP($J66,'[9]FROM (3)'!$E$4:$F$230,2,FALSE),"")</f>
        <v>JCTTH</v>
      </c>
      <c r="I66" s="44" t="str">
        <f t="shared" si="6"/>
        <v>RACK BAR</v>
      </c>
      <c r="J66" s="44" t="str">
        <f t="shared" si="7"/>
        <v>JGD10-000751/000761-A</v>
      </c>
      <c r="K66" s="59" t="str">
        <f t="shared" si="2"/>
        <v>PD25121277</v>
      </c>
      <c r="L66" s="46" t="str" cm="1">
        <f t="array" ref="L66">IFERROR(_xlfn.IFS(
    LEN($A66)-LEN(SUBSTITUTE($A66,"|",""))=12, RIGHT(A66, LEN(A66)-FIND("~", SUBSTITUTE(A66,"|","~", LEN(A66)-LEN(SUBSTITUTE(A66,"|",""))))),
    LEN($A66)-LEN(SUBSTITUTE($A66,"|",""))=13, MID($A66, FIND("~", SUBSTITUTE($A66,"|","~", 11))+1, FIND("~", SUBSTITUTE($A66,"|","~", 12))-FIND("~", SUBSTITUTE($A66,"|","~", 11))-1),
    LEN($A66)-LEN(SUBSTITUTE($A66,"|",""))=14, MID($A66, FIND("~", SUBSTITUTE($A66,"|","~", 11))+1, FIND("~", SUBSTITUTE($A66,"|","~", 12))-FIND("~", SUBSTITUTE($A66,"|","~", 11))-1)
), "")</f>
        <v>665077</v>
      </c>
      <c r="M66" s="47" t="str">
        <f t="shared" si="0"/>
        <v>SB120175/6/25</v>
      </c>
      <c r="N66" s="46" t="str">
        <f t="shared" si="3"/>
        <v/>
      </c>
      <c r="O66" s="60">
        <v>51</v>
      </c>
      <c r="P66" s="60">
        <v>986</v>
      </c>
      <c r="Q66" s="48">
        <v>24</v>
      </c>
      <c r="R66" s="48">
        <v>107</v>
      </c>
      <c r="S66" s="48"/>
      <c r="T66" s="48"/>
      <c r="U66" s="49"/>
      <c r="V66" s="49"/>
      <c r="W66" s="50">
        <f t="shared" si="1"/>
        <v>0</v>
      </c>
      <c r="X66" s="51" t="str">
        <f>IF(A66="", "", IF(COUNTIFS(C$3:C65, C66, D$3:D65, D66, G$3:G65, G66) &gt; 0, "", "11:00"-AW66))</f>
        <v/>
      </c>
      <c r="Y66" s="52" t="str">
        <f t="shared" si="8"/>
        <v/>
      </c>
      <c r="Z66" s="53"/>
      <c r="AA66" s="54"/>
      <c r="AB66" s="53"/>
      <c r="AC66" s="54"/>
      <c r="AD66" s="53"/>
      <c r="AE66" s="54"/>
      <c r="AF66" s="53"/>
      <c r="AG66" s="54"/>
      <c r="AH66" s="55">
        <v>4.1666666666666699E-2</v>
      </c>
      <c r="AI66" s="53"/>
      <c r="AJ66" s="54"/>
      <c r="AK66" s="53"/>
      <c r="AL66" s="54"/>
      <c r="AM66" s="53"/>
      <c r="AN66" s="54"/>
      <c r="AO66" s="53"/>
      <c r="AP66" s="54"/>
      <c r="AQ66" s="53"/>
      <c r="AR66" s="54"/>
      <c r="AS66" s="53"/>
      <c r="AT66" s="54"/>
      <c r="AU66" s="53">
        <v>4.1666666666666699E-2</v>
      </c>
      <c r="AV66" s="54" t="s">
        <v>37</v>
      </c>
      <c r="AW66" s="57">
        <f t="shared" si="4"/>
        <v>4.1666666666666699E-2</v>
      </c>
      <c r="AX66" s="58" t="s">
        <v>56</v>
      </c>
    </row>
    <row r="67" spans="1:50" ht="28.5">
      <c r="A67" s="38" t="s">
        <v>39</v>
      </c>
      <c r="B67" s="39">
        <f t="shared" si="9"/>
        <v>63</v>
      </c>
      <c r="C67" s="40">
        <v>46028</v>
      </c>
      <c r="D67" s="40" t="s">
        <v>32</v>
      </c>
      <c r="E67" s="40" t="s">
        <v>33</v>
      </c>
      <c r="F67" s="41">
        <v>23.4</v>
      </c>
      <c r="G67" s="42" t="s">
        <v>34</v>
      </c>
      <c r="H67" s="43" t="str">
        <f>IFERROR(VLOOKUP($J67,'[9]FROM (3)'!$E$4:$F$230,2,FALSE),"")</f>
        <v/>
      </c>
      <c r="I67" s="44" t="str">
        <f t="shared" si="6"/>
        <v>FLANGE-13 SLUG</v>
      </c>
      <c r="J67" s="44" t="str">
        <f t="shared" si="7"/>
        <v>ZZ2B7401TX1</v>
      </c>
      <c r="K67" s="59" t="str">
        <f t="shared" si="2"/>
        <v>PD25121000</v>
      </c>
      <c r="L67" s="46" t="str" cm="1">
        <f t="array" ref="L67">IFERROR(_xlfn.IFS(
    LEN($A67)-LEN(SUBSTITUTE($A67,"|",""))=12, RIGHT(A67, LEN(A67)-FIND("~", SUBSTITUTE(A67,"|","~", LEN(A67)-LEN(SUBSTITUTE(A67,"|",""))))),
    LEN($A67)-LEN(SUBSTITUTE($A67,"|",""))=13, MID($A67, FIND("~", SUBSTITUTE($A67,"|","~", 11))+1, FIND("~", SUBSTITUTE($A67,"|","~", 12))-FIND("~", SUBSTITUTE($A67,"|","~", 11))-1),
    LEN($A67)-LEN(SUBSTITUTE($A67,"|",""))=14, MID($A67, FIND("~", SUBSTITUTE($A67,"|","~", 11))+1, FIND("~", SUBSTITUTE($A67,"|","~", 12))-FIND("~", SUBSTITUTE($A67,"|","~", 11))-1)
), "")</f>
        <v>2-73052</v>
      </c>
      <c r="M67" s="47" t="str">
        <f t="shared" si="0"/>
        <v>2B2503453</v>
      </c>
      <c r="N67" s="46" t="str">
        <f t="shared" si="3"/>
        <v/>
      </c>
      <c r="O67" s="60" t="s">
        <v>35</v>
      </c>
      <c r="P67" s="60" t="s">
        <v>35</v>
      </c>
      <c r="Q67" s="48">
        <v>3806</v>
      </c>
      <c r="R67" s="48">
        <v>878</v>
      </c>
      <c r="S67" s="48"/>
      <c r="T67" s="48"/>
      <c r="U67" s="49"/>
      <c r="V67" s="49"/>
      <c r="W67" s="50">
        <f t="shared" si="1"/>
        <v>0</v>
      </c>
      <c r="X67" s="51">
        <f>IF(A67="", "", IF(COUNTIFS(C$3:C66, C67, D$3:D66, D67, G$3:G66, G67) &gt; 0, "", "11:00"-AW67))</f>
        <v>0.41666666666666663</v>
      </c>
      <c r="Y67" s="52" t="str">
        <f t="shared" si="8"/>
        <v>1:40</v>
      </c>
      <c r="Z67" s="53"/>
      <c r="AA67" s="54"/>
      <c r="AB67" s="53"/>
      <c r="AC67" s="54"/>
      <c r="AD67" s="53"/>
      <c r="AE67" s="54"/>
      <c r="AF67" s="53"/>
      <c r="AG67" s="54"/>
      <c r="AH67" s="55">
        <v>4.1666666666666699E-2</v>
      </c>
      <c r="AI67" s="53"/>
      <c r="AJ67" s="54"/>
      <c r="AK67" s="53"/>
      <c r="AL67" s="54"/>
      <c r="AM67" s="53"/>
      <c r="AN67" s="54"/>
      <c r="AO67" s="53"/>
      <c r="AP67" s="54"/>
      <c r="AQ67" s="53"/>
      <c r="AR67" s="54"/>
      <c r="AS67" s="53"/>
      <c r="AT67" s="54"/>
      <c r="AU67" s="53">
        <v>4.1666666666666699E-2</v>
      </c>
      <c r="AV67" s="54" t="s">
        <v>37</v>
      </c>
      <c r="AW67" s="57">
        <f t="shared" si="4"/>
        <v>4.1666666666666699E-2</v>
      </c>
      <c r="AX67" s="58" t="s">
        <v>38</v>
      </c>
    </row>
    <row r="68" spans="1:50" ht="28.5">
      <c r="A68" s="38" t="s">
        <v>127</v>
      </c>
      <c r="B68" s="39">
        <f t="shared" si="9"/>
        <v>64</v>
      </c>
      <c r="C68" s="40">
        <v>46028</v>
      </c>
      <c r="D68" s="40" t="s">
        <v>32</v>
      </c>
      <c r="E68" s="40" t="s">
        <v>33</v>
      </c>
      <c r="F68" s="41">
        <v>23.4</v>
      </c>
      <c r="G68" s="42" t="s">
        <v>34</v>
      </c>
      <c r="H68" s="43" t="str">
        <f>IFERROR(VLOOKUP($J68,'[9]FROM (3)'!$E$4:$F$230,2,FALSE),"")</f>
        <v/>
      </c>
      <c r="I68" s="44" t="str">
        <f t="shared" si="6"/>
        <v>FLANGE-13 SLUG</v>
      </c>
      <c r="J68" s="44" t="str">
        <f t="shared" si="7"/>
        <v>ZZ2B7401TX1</v>
      </c>
      <c r="K68" s="59" t="str">
        <f t="shared" si="2"/>
        <v>PD25121000</v>
      </c>
      <c r="L68" s="46" t="str" cm="1">
        <f t="array" ref="L68">IFERROR(_xlfn.IFS(
    LEN($A68)-LEN(SUBSTITUTE($A68,"|",""))=12, RIGHT(A68, LEN(A68)-FIND("~", SUBSTITUTE(A68,"|","~", LEN(A68)-LEN(SUBSTITUTE(A68,"|",""))))),
    LEN($A68)-LEN(SUBSTITUTE($A68,"|",""))=13, MID($A68, FIND("~", SUBSTITUTE($A68,"|","~", 11))+1, FIND("~", SUBSTITUTE($A68,"|","~", 12))-FIND("~", SUBSTITUTE($A68,"|","~", 11))-1),
    LEN($A68)-LEN(SUBSTITUTE($A68,"|",""))=14, MID($A68, FIND("~", SUBSTITUTE($A68,"|","~", 11))+1, FIND("~", SUBSTITUTE($A68,"|","~", 12))-FIND("~", SUBSTITUTE($A68,"|","~", 11))-1)
), "")</f>
        <v>2-73052</v>
      </c>
      <c r="M68" s="47" t="str">
        <f t="shared" si="0"/>
        <v>2B2503452</v>
      </c>
      <c r="N68" s="46" t="str">
        <f t="shared" si="3"/>
        <v/>
      </c>
      <c r="O68" s="60">
        <v>36</v>
      </c>
      <c r="P68" s="60">
        <v>1955</v>
      </c>
      <c r="Q68" s="48">
        <v>14</v>
      </c>
      <c r="R68" s="48">
        <v>3</v>
      </c>
      <c r="S68" s="48"/>
      <c r="T68" s="48"/>
      <c r="U68" s="49"/>
      <c r="V68" s="49"/>
      <c r="W68" s="50">
        <f t="shared" si="1"/>
        <v>0</v>
      </c>
      <c r="X68" s="51" t="str">
        <f>IF(A68="", "", IF(COUNTIFS(C$3:C67, C68, D$3:D67, D68, G$3:G67, G68) &gt; 0, "", "11:00"-AW68))</f>
        <v/>
      </c>
      <c r="Y68" s="52" t="str">
        <f t="shared" si="8"/>
        <v/>
      </c>
      <c r="Z68" s="53"/>
      <c r="AA68" s="54"/>
      <c r="AB68" s="53"/>
      <c r="AC68" s="54"/>
      <c r="AD68" s="53"/>
      <c r="AE68" s="54"/>
      <c r="AF68" s="53"/>
      <c r="AG68" s="54"/>
      <c r="AH68" s="55">
        <v>4.1666666666666699E-2</v>
      </c>
      <c r="AI68" s="53"/>
      <c r="AJ68" s="54"/>
      <c r="AK68" s="53"/>
      <c r="AL68" s="54"/>
      <c r="AM68" s="53"/>
      <c r="AN68" s="54"/>
      <c r="AO68" s="53"/>
      <c r="AP68" s="54"/>
      <c r="AQ68" s="53"/>
      <c r="AR68" s="54"/>
      <c r="AS68" s="53"/>
      <c r="AT68" s="54"/>
      <c r="AU68" s="53">
        <v>4.1666666666666699E-2</v>
      </c>
      <c r="AV68" s="54" t="s">
        <v>37</v>
      </c>
      <c r="AW68" s="57">
        <f t="shared" si="4"/>
        <v>4.1666666666666699E-2</v>
      </c>
      <c r="AX68" s="58" t="s">
        <v>38</v>
      </c>
    </row>
    <row r="69" spans="1:50" ht="28.5">
      <c r="A69" s="38" t="s">
        <v>42</v>
      </c>
      <c r="B69" s="39">
        <f t="shared" si="9"/>
        <v>65</v>
      </c>
      <c r="C69" s="40">
        <v>46028</v>
      </c>
      <c r="D69" s="40" t="s">
        <v>32</v>
      </c>
      <c r="E69" s="40" t="s">
        <v>33</v>
      </c>
      <c r="F69" s="41">
        <v>133.80000000000001</v>
      </c>
      <c r="G69" s="42" t="s">
        <v>41</v>
      </c>
      <c r="H69" s="43" t="str">
        <f>IFERROR(VLOOKUP($J69,'[9]FROM (3)'!$E$4:$F$230,2,FALSE),"")</f>
        <v xml:space="preserve">DNTH </v>
      </c>
      <c r="I69" s="44" t="str">
        <f t="shared" si="6"/>
        <v>Barrel</v>
      </c>
      <c r="J69" s="44" t="str">
        <f t="shared" si="7"/>
        <v>TG028986-0030</v>
      </c>
      <c r="K69" s="59" t="str">
        <f t="shared" si="2"/>
        <v>PD25121289</v>
      </c>
      <c r="L69" s="46" t="str" cm="1">
        <f t="array" ref="L69">IFERROR(_xlfn.IFS(
    LEN($A69)-LEN(SUBSTITUTE($A69,"|",""))=12, RIGHT(A69, LEN(A69)-FIND("~", SUBSTITUTE(A69,"|","~", LEN(A69)-LEN(SUBSTITUTE(A69,"|",""))))),
    LEN($A69)-LEN(SUBSTITUTE($A69,"|",""))=13, MID($A69, FIND("~", SUBSTITUTE($A69,"|","~", 11))+1, FIND("~", SUBSTITUTE($A69,"|","~", 12))-FIND("~", SUBSTITUTE($A69,"|","~", 11))-1),
    LEN($A69)-LEN(SUBSTITUTE($A69,"|",""))=14, MID($A69, FIND("~", SUBSTITUTE($A69,"|","~", 11))+1, FIND("~", SUBSTITUTE($A69,"|","~", 12))-FIND("~", SUBSTITUTE($A69,"|","~", 11))-1)
), "")</f>
        <v>E586056</v>
      </c>
      <c r="M69" s="47" t="str">
        <f t="shared" ref="M69:M132" si="10">IFERROR(MID(A69,FIND("~",SUBSTITUTE(A69,"|","~",10))+1,FIND("~",SUBSTITUTE(A69,"|","~",11))-FIND("~",SUBSTITUTE(A69,"|","~",10))-1),"")</f>
        <v>SB120087/1/25</v>
      </c>
      <c r="N69" s="46" t="str">
        <f t="shared" si="3"/>
        <v/>
      </c>
      <c r="O69" s="60" t="s">
        <v>35</v>
      </c>
      <c r="P69" s="60" t="s">
        <v>35</v>
      </c>
      <c r="Q69" s="48">
        <v>3493</v>
      </c>
      <c r="R69" s="48">
        <v>467</v>
      </c>
      <c r="S69" s="48"/>
      <c r="T69" s="48"/>
      <c r="U69" s="49">
        <v>25</v>
      </c>
      <c r="V69" s="49">
        <v>91</v>
      </c>
      <c r="W69" s="50">
        <f t="shared" ref="W69:W132" si="11">SUM(U69:V69)</f>
        <v>116</v>
      </c>
      <c r="X69" s="51">
        <f>IF(A69="", "", IF(COUNTIFS(C$3:C68, C69, D$3:D68, D69, G$3:G68, G69) &gt; 0, "", "11:00"-AW69))</f>
        <v>0.39583333333333326</v>
      </c>
      <c r="Y69" s="52" t="str">
        <f t="shared" si="8"/>
        <v>1:40</v>
      </c>
      <c r="Z69" s="53"/>
      <c r="AA69" s="54"/>
      <c r="AB69" s="53"/>
      <c r="AC69" s="54"/>
      <c r="AD69" s="53"/>
      <c r="AE69" s="54"/>
      <c r="AF69" s="53"/>
      <c r="AG69" s="54"/>
      <c r="AH69" s="55">
        <v>4.1666666666666699E-2</v>
      </c>
      <c r="AI69" s="53"/>
      <c r="AJ69" s="54"/>
      <c r="AK69" s="53"/>
      <c r="AL69" s="54"/>
      <c r="AM69" s="53"/>
      <c r="AN69" s="54"/>
      <c r="AO69" s="53"/>
      <c r="AP69" s="54"/>
      <c r="AQ69" s="53"/>
      <c r="AR69" s="54"/>
      <c r="AS69" s="53">
        <v>2.0833333333333332E-2</v>
      </c>
      <c r="AT69" s="54" t="s">
        <v>67</v>
      </c>
      <c r="AU69" s="53">
        <v>4.1666666666666699E-2</v>
      </c>
      <c r="AV69" s="54" t="s">
        <v>37</v>
      </c>
      <c r="AW69" s="57">
        <f t="shared" si="4"/>
        <v>6.2500000000000028E-2</v>
      </c>
      <c r="AX69" s="58" t="s">
        <v>38</v>
      </c>
    </row>
    <row r="70" spans="1:50" ht="28.5">
      <c r="A70" s="38" t="s">
        <v>128</v>
      </c>
      <c r="B70" s="39">
        <f t="shared" si="9"/>
        <v>66</v>
      </c>
      <c r="C70" s="40">
        <v>46028</v>
      </c>
      <c r="D70" s="40" t="s">
        <v>32</v>
      </c>
      <c r="E70" s="40" t="s">
        <v>33</v>
      </c>
      <c r="F70" s="41">
        <v>191.5</v>
      </c>
      <c r="G70" s="42" t="s">
        <v>41</v>
      </c>
      <c r="H70" s="43" t="str">
        <f>IFERROR(VLOOKUP($J70,'[9]FROM (3)'!$E$4:$F$230,2,FALSE),"")</f>
        <v>SDM</v>
      </c>
      <c r="I70" s="44" t="str">
        <f t="shared" si="6"/>
        <v>RING CAM,OUTER</v>
      </c>
      <c r="J70" s="44" t="str">
        <f t="shared" si="7"/>
        <v>SM294173-0020</v>
      </c>
      <c r="K70" s="59" t="str">
        <f t="shared" ref="K70:K133" si="12">IFERROR(LEFT(A70,SEARCH("|",A70)-1),"")</f>
        <v>PD26010106</v>
      </c>
      <c r="L70" s="46" t="str" cm="1">
        <f t="array" ref="L70">IFERROR(_xlfn.IFS(
    LEN($A70)-LEN(SUBSTITUTE($A70,"|",""))=12, RIGHT(A70, LEN(A70)-FIND("~", SUBSTITUTE(A70,"|","~", LEN(A70)-LEN(SUBSTITUTE(A70,"|",""))))),
    LEN($A70)-LEN(SUBSTITUTE($A70,"|",""))=13, MID($A70, FIND("~", SUBSTITUTE($A70,"|","~", 11))+1, FIND("~", SUBSTITUTE($A70,"|","~", 12))-FIND("~", SUBSTITUTE($A70,"|","~", 11))-1),
    LEN($A70)-LEN(SUBSTITUTE($A70,"|",""))=14, MID($A70, FIND("~", SUBSTITUTE($A70,"|","~", 11))+1, FIND("~", SUBSTITUTE($A70,"|","~", 12))-FIND("~", SUBSTITUTE($A70,"|","~", 11))-1)
), "")</f>
        <v>X231A</v>
      </c>
      <c r="M70" s="47" t="str">
        <f t="shared" si="10"/>
        <v>SB120117/1/25</v>
      </c>
      <c r="N70" s="46" t="str">
        <f t="shared" ref="N70:N133" si="13">IFERROR(IF(LEN($A70)-LEN(SUBSTITUTE($A70,"|",""))=12,MID($A70,FIND("~",SUBSTITUTE($A70,"|","~",11))+1,FIND("~",SUBSTITUTE($A70,"|","~",12))-FIND("~",SUBSTITUTE($A70,"|","~",11))-1),IF(LEN($A70)-LEN(SUBSTITUTE($A70,"|",""))=13,MID($A70,FIND("~",SUBSTITUTE($A70,"|","~",10))+1,FIND("~",SUBSTITUTE($A70,"|","~",11))-FIND("~",SUBSTITUTE($A70,"|","~",10))-1), "")),"")</f>
        <v/>
      </c>
      <c r="O70" s="60">
        <v>21</v>
      </c>
      <c r="P70" s="60">
        <v>1020</v>
      </c>
      <c r="Q70" s="48">
        <v>333</v>
      </c>
      <c r="R70" s="48">
        <v>64</v>
      </c>
      <c r="S70" s="48"/>
      <c r="T70" s="48"/>
      <c r="U70" s="49"/>
      <c r="V70" s="49"/>
      <c r="W70" s="50">
        <f t="shared" si="11"/>
        <v>0</v>
      </c>
      <c r="X70" s="51" t="str">
        <f>IF(A70="", "", IF(COUNTIFS(C$3:C69, C70, D$3:D69, D70, G$3:G69, G70) &gt; 0, "", "11:00"-AW70))</f>
        <v/>
      </c>
      <c r="Y70" s="52" t="str">
        <f t="shared" si="8"/>
        <v/>
      </c>
      <c r="Z70" s="53"/>
      <c r="AA70" s="54"/>
      <c r="AB70" s="53"/>
      <c r="AC70" s="54"/>
      <c r="AD70" s="53"/>
      <c r="AE70" s="54"/>
      <c r="AF70" s="53"/>
      <c r="AG70" s="54"/>
      <c r="AH70" s="55">
        <v>4.1666666666666699E-2</v>
      </c>
      <c r="AI70" s="53"/>
      <c r="AJ70" s="54"/>
      <c r="AK70" s="53"/>
      <c r="AL70" s="54"/>
      <c r="AM70" s="53"/>
      <c r="AN70" s="54"/>
      <c r="AO70" s="53"/>
      <c r="AP70" s="54"/>
      <c r="AQ70" s="53"/>
      <c r="AR70" s="54"/>
      <c r="AS70" s="53"/>
      <c r="AT70" s="54"/>
      <c r="AU70" s="53">
        <v>4.1666666666666699E-2</v>
      </c>
      <c r="AV70" s="54" t="s">
        <v>37</v>
      </c>
      <c r="AW70" s="57">
        <f t="shared" ref="AW70:AW133" si="14">SUM(Z70,AB70,AD70,AF70,AI70,AK70,AM70,AO70,AQ70,AS70,AU70)</f>
        <v>4.1666666666666699E-2</v>
      </c>
      <c r="AX70" s="58" t="s">
        <v>38</v>
      </c>
    </row>
    <row r="71" spans="1:50" ht="28.5">
      <c r="A71" s="38" t="s">
        <v>43</v>
      </c>
      <c r="B71" s="39">
        <f t="shared" si="9"/>
        <v>67</v>
      </c>
      <c r="C71" s="40">
        <v>46028</v>
      </c>
      <c r="D71" s="40" t="s">
        <v>32</v>
      </c>
      <c r="E71" s="40" t="s">
        <v>33</v>
      </c>
      <c r="F71" s="41">
        <v>25.35</v>
      </c>
      <c r="G71" s="42" t="s">
        <v>44</v>
      </c>
      <c r="H71" s="43" t="str">
        <f>IFERROR(VLOOKUP($J71,'[9]FROM (3)'!$E$4:$F$230,2,FALSE),"")</f>
        <v>KYOWA NT</v>
      </c>
      <c r="I71" s="44" t="str">
        <f t="shared" ref="I71:I134" si="15">IFERROR(MID(A71,FIND("~",SUBSTITUTE(A71,"|","~",4))+1,FIND("~",SUBSTITUTE(A71,"|","~",5))-FIND("~",SUBSTITUTE(A71,"|","~",4))-1),"")</f>
        <v>PIN</v>
      </c>
      <c r="J71" s="44" t="str">
        <f t="shared" ref="J71:J134" si="16">IFERROR(MID(A71,FIND("~",SUBSTITUTE(A71,"|","~",3))+1,FIND("~",SUBSTITUTE(A71,"|","~",4))-FIND("~",SUBSTITUTE(A71,"|","~",3))-1),"")</f>
        <v>8306T0036</v>
      </c>
      <c r="K71" s="59" t="str">
        <f t="shared" si="12"/>
        <v>PD25121321</v>
      </c>
      <c r="L71" s="46" t="str" cm="1">
        <f t="array" ref="L71">IFERROR(_xlfn.IFS(
    LEN($A71)-LEN(SUBSTITUTE($A71,"|",""))=12, RIGHT(A71, LEN(A71)-FIND("~", SUBSTITUTE(A71,"|","~", LEN(A71)-LEN(SUBSTITUTE(A71,"|",""))))),
    LEN($A71)-LEN(SUBSTITUTE($A71,"|",""))=13, MID($A71, FIND("~", SUBSTITUTE($A71,"|","~", 11))+1, FIND("~", SUBSTITUTE($A71,"|","~", 12))-FIND("~", SUBSTITUTE($A71,"|","~", 11))-1),
    LEN($A71)-LEN(SUBSTITUTE($A71,"|",""))=14, MID($A71, FIND("~", SUBSTITUTE($A71,"|","~", 11))+1, FIND("~", SUBSTITUTE($A71,"|","~", 12))-FIND("~", SUBSTITUTE($A71,"|","~", 11))-1)
), "")</f>
        <v>665573</v>
      </c>
      <c r="M71" s="47" t="str">
        <f t="shared" si="10"/>
        <v>SB120110/1/25</v>
      </c>
      <c r="N71" s="46" t="str">
        <f t="shared" si="13"/>
        <v/>
      </c>
      <c r="O71" s="60" t="s">
        <v>35</v>
      </c>
      <c r="P71" s="60" t="s">
        <v>35</v>
      </c>
      <c r="Q71" s="48">
        <v>7327</v>
      </c>
      <c r="R71" s="48">
        <v>186</v>
      </c>
      <c r="S71" s="48"/>
      <c r="T71" s="48"/>
      <c r="U71" s="49"/>
      <c r="V71" s="49"/>
      <c r="W71" s="50">
        <f t="shared" si="11"/>
        <v>0</v>
      </c>
      <c r="X71" s="51">
        <f>IF(A71="", "", IF(COUNTIFS(C$3:C70, C71, D$3:D70, D71, G$3:G70, G71) &gt; 0, "", "11:00"-AW71))</f>
        <v>0.41666666666666663</v>
      </c>
      <c r="Y71" s="52" t="str">
        <f t="shared" ref="Y71:Y134" si="17">IF(X71="", "", IF(AND(A71&lt;&gt;"", AR71&lt;&gt;"NO OT"), "1:40", IF(AND(A71&lt;&gt;"", AR71="NO OT"), "1:0", "")))</f>
        <v>1:40</v>
      </c>
      <c r="Z71" s="53"/>
      <c r="AA71" s="54"/>
      <c r="AB71" s="53"/>
      <c r="AC71" s="54"/>
      <c r="AD71" s="53"/>
      <c r="AE71" s="54"/>
      <c r="AF71" s="53"/>
      <c r="AG71" s="54"/>
      <c r="AH71" s="55">
        <v>4.1666666666666699E-2</v>
      </c>
      <c r="AI71" s="53"/>
      <c r="AJ71" s="54"/>
      <c r="AK71" s="53"/>
      <c r="AL71" s="54"/>
      <c r="AM71" s="53"/>
      <c r="AN71" s="54"/>
      <c r="AO71" s="53"/>
      <c r="AP71" s="54"/>
      <c r="AQ71" s="53"/>
      <c r="AR71" s="54"/>
      <c r="AS71" s="53"/>
      <c r="AT71" s="54"/>
      <c r="AU71" s="53">
        <v>4.1666666666666699E-2</v>
      </c>
      <c r="AV71" s="54" t="s">
        <v>37</v>
      </c>
      <c r="AW71" s="57">
        <f t="shared" si="14"/>
        <v>4.1666666666666699E-2</v>
      </c>
      <c r="AX71" s="58" t="s">
        <v>38</v>
      </c>
    </row>
    <row r="72" spans="1:50" ht="28.5">
      <c r="A72" s="38" t="s">
        <v>52</v>
      </c>
      <c r="B72" s="39">
        <f t="shared" si="9"/>
        <v>68</v>
      </c>
      <c r="C72" s="40">
        <v>46028</v>
      </c>
      <c r="D72" s="40" t="s">
        <v>32</v>
      </c>
      <c r="E72" s="40" t="s">
        <v>33</v>
      </c>
      <c r="F72" s="41">
        <v>756.4</v>
      </c>
      <c r="G72" s="42" t="s">
        <v>46</v>
      </c>
      <c r="H72" s="43" t="str">
        <f>IFERROR(VLOOKUP($J72,'[9]FROM (3)'!$E$4:$F$230,2,FALSE),"")</f>
        <v>JATH</v>
      </c>
      <c r="I72" s="44" t="str">
        <f t="shared" si="15"/>
        <v>RACK BAR BLANK</v>
      </c>
      <c r="J72" s="44" t="str">
        <f t="shared" si="16"/>
        <v>JGF02-002190-31-2</v>
      </c>
      <c r="K72" s="59" t="str">
        <f t="shared" si="12"/>
        <v>PD25121245</v>
      </c>
      <c r="L72" s="46" t="str" cm="1">
        <f t="array" ref="L72">IFERROR(_xlfn.IFS(
    LEN($A72)-LEN(SUBSTITUTE($A72,"|",""))=12, RIGHT(A72, LEN(A72)-FIND("~", SUBSTITUTE(A72,"|","~", LEN(A72)-LEN(SUBSTITUTE(A72,"|",""))))),
    LEN($A72)-LEN(SUBSTITUTE($A72,"|",""))=13, MID($A72, FIND("~", SUBSTITUTE($A72,"|","~", 11))+1, FIND("~", SUBSTITUTE($A72,"|","~", 12))-FIND("~", SUBSTITUTE($A72,"|","~", 11))-1),
    LEN($A72)-LEN(SUBSTITUTE($A72,"|",""))=14, MID($A72, FIND("~", SUBSTITUTE($A72,"|","~", 11))+1, FIND("~", SUBSTITUTE($A72,"|","~", 12))-FIND("~", SUBSTITUTE($A72,"|","~", 11))-1)
), "")</f>
        <v>5A5913</v>
      </c>
      <c r="M72" s="47" t="str">
        <f t="shared" si="10"/>
        <v>SB120174/3/25</v>
      </c>
      <c r="N72" s="46" t="str">
        <f t="shared" si="13"/>
        <v/>
      </c>
      <c r="O72" s="60" t="s">
        <v>35</v>
      </c>
      <c r="P72" s="60" t="s">
        <v>35</v>
      </c>
      <c r="Q72" s="48">
        <v>135</v>
      </c>
      <c r="R72" s="48">
        <v>651</v>
      </c>
      <c r="S72" s="48"/>
      <c r="T72" s="48"/>
      <c r="U72" s="49">
        <v>196</v>
      </c>
      <c r="V72" s="49">
        <v>16</v>
      </c>
      <c r="W72" s="50">
        <f t="shared" si="11"/>
        <v>212</v>
      </c>
      <c r="X72" s="51">
        <f>IF(A72="", "", IF(COUNTIFS(C$3:C71, C72, D$3:D71, D72, G$3:G71, G72) &gt; 0, "", "11:00"-AW72))</f>
        <v>0.38194444444444442</v>
      </c>
      <c r="Y72" s="52" t="str">
        <f t="shared" si="17"/>
        <v>1:40</v>
      </c>
      <c r="Z72" s="53"/>
      <c r="AA72" s="54"/>
      <c r="AB72" s="53"/>
      <c r="AC72" s="54"/>
      <c r="AD72" s="53"/>
      <c r="AE72" s="54"/>
      <c r="AF72" s="53"/>
      <c r="AG72" s="54"/>
      <c r="AH72" s="55">
        <v>4.1666666666666699E-2</v>
      </c>
      <c r="AI72" s="53"/>
      <c r="AJ72" s="54"/>
      <c r="AK72" s="53"/>
      <c r="AL72" s="54"/>
      <c r="AM72" s="53"/>
      <c r="AN72" s="54"/>
      <c r="AO72" s="53"/>
      <c r="AP72" s="54"/>
      <c r="AQ72" s="53"/>
      <c r="AR72" s="54"/>
      <c r="AS72" s="53">
        <v>3.4722222222222224E-2</v>
      </c>
      <c r="AT72" s="54" t="s">
        <v>129</v>
      </c>
      <c r="AU72" s="53">
        <v>4.1666666666666699E-2</v>
      </c>
      <c r="AV72" s="54" t="s">
        <v>37</v>
      </c>
      <c r="AW72" s="57">
        <f t="shared" si="14"/>
        <v>7.6388888888888923E-2</v>
      </c>
      <c r="AX72" s="58" t="s">
        <v>48</v>
      </c>
    </row>
    <row r="73" spans="1:50" ht="28.5">
      <c r="A73" s="38" t="s">
        <v>130</v>
      </c>
      <c r="B73" s="39">
        <f t="shared" si="9"/>
        <v>69</v>
      </c>
      <c r="C73" s="40">
        <v>46028</v>
      </c>
      <c r="D73" s="40" t="s">
        <v>32</v>
      </c>
      <c r="E73" s="40" t="s">
        <v>33</v>
      </c>
      <c r="F73" s="41">
        <v>756.4</v>
      </c>
      <c r="G73" s="42" t="s">
        <v>46</v>
      </c>
      <c r="H73" s="43" t="str">
        <f>IFERROR(VLOOKUP($J73,'[9]FROM (3)'!$E$4:$F$230,2,FALSE),"")</f>
        <v>JATH</v>
      </c>
      <c r="I73" s="44" t="str">
        <f t="shared" si="15"/>
        <v>RACK BAR BLANK</v>
      </c>
      <c r="J73" s="44" t="str">
        <f t="shared" si="16"/>
        <v>JGF02-002190-31-2</v>
      </c>
      <c r="K73" s="59" t="str">
        <f t="shared" si="12"/>
        <v>PD25121245</v>
      </c>
      <c r="L73" s="46" t="str" cm="1">
        <f t="array" ref="L73">IFERROR(_xlfn.IFS(
    LEN($A73)-LEN(SUBSTITUTE($A73,"|",""))=12, RIGHT(A73, LEN(A73)-FIND("~", SUBSTITUTE(A73,"|","~", LEN(A73)-LEN(SUBSTITUTE(A73,"|",""))))),
    LEN($A73)-LEN(SUBSTITUTE($A73,"|",""))=13, MID($A73, FIND("~", SUBSTITUTE($A73,"|","~", 11))+1, FIND("~", SUBSTITUTE($A73,"|","~", 12))-FIND("~", SUBSTITUTE($A73,"|","~", 11))-1),
    LEN($A73)-LEN(SUBSTITUTE($A73,"|",""))=14, MID($A73, FIND("~", SUBSTITUTE($A73,"|","~", 11))+1, FIND("~", SUBSTITUTE($A73,"|","~", 12))-FIND("~", SUBSTITUTE($A73,"|","~", 11))-1)
), "")</f>
        <v>5A5913</v>
      </c>
      <c r="M73" s="47" t="str">
        <f t="shared" si="10"/>
        <v>SB120174/4/25</v>
      </c>
      <c r="N73" s="46" t="str">
        <f t="shared" si="13"/>
        <v/>
      </c>
      <c r="O73" s="60">
        <v>27</v>
      </c>
      <c r="P73" s="60">
        <v>963</v>
      </c>
      <c r="Q73" s="48">
        <v>189</v>
      </c>
      <c r="R73" s="48">
        <v>912</v>
      </c>
      <c r="S73" s="48"/>
      <c r="T73" s="48"/>
      <c r="U73" s="49"/>
      <c r="V73" s="49"/>
      <c r="W73" s="50">
        <f t="shared" si="11"/>
        <v>0</v>
      </c>
      <c r="X73" s="51" t="str">
        <f>IF(A73="", "", IF(COUNTIFS(C$3:C72, C73, D$3:D72, D73, G$3:G72, G73) &gt; 0, "", "11:00"-AW73))</f>
        <v/>
      </c>
      <c r="Y73" s="52" t="str">
        <f t="shared" si="17"/>
        <v/>
      </c>
      <c r="Z73" s="53"/>
      <c r="AA73" s="54"/>
      <c r="AB73" s="53"/>
      <c r="AC73" s="54"/>
      <c r="AD73" s="53"/>
      <c r="AE73" s="54"/>
      <c r="AF73" s="53"/>
      <c r="AG73" s="54"/>
      <c r="AH73" s="55">
        <v>4.1666666666666699E-2</v>
      </c>
      <c r="AI73" s="53"/>
      <c r="AJ73" s="54"/>
      <c r="AK73" s="53"/>
      <c r="AL73" s="54"/>
      <c r="AM73" s="53"/>
      <c r="AN73" s="54"/>
      <c r="AO73" s="53"/>
      <c r="AP73" s="54"/>
      <c r="AQ73" s="53"/>
      <c r="AR73" s="54"/>
      <c r="AS73" s="53"/>
      <c r="AT73" s="54"/>
      <c r="AU73" s="53">
        <v>4.1666666666666699E-2</v>
      </c>
      <c r="AV73" s="54" t="s">
        <v>37</v>
      </c>
      <c r="AW73" s="57">
        <f t="shared" si="14"/>
        <v>4.1666666666666699E-2</v>
      </c>
      <c r="AX73" s="58" t="s">
        <v>48</v>
      </c>
    </row>
    <row r="74" spans="1:50" ht="28.5">
      <c r="A74" s="38" t="s">
        <v>131</v>
      </c>
      <c r="B74" s="39">
        <f t="shared" ref="B74:B137" si="18">IF(A74="","",B73+1)</f>
        <v>70</v>
      </c>
      <c r="C74" s="40">
        <v>46028</v>
      </c>
      <c r="D74" s="40" t="s">
        <v>32</v>
      </c>
      <c r="E74" s="40" t="s">
        <v>33</v>
      </c>
      <c r="F74" s="41">
        <v>756.4</v>
      </c>
      <c r="G74" s="42" t="s">
        <v>46</v>
      </c>
      <c r="H74" s="43" t="str">
        <f>IFERROR(VLOOKUP($J74,'[9]FROM (3)'!$E$4:$F$230,2,FALSE),"")</f>
        <v>JATH</v>
      </c>
      <c r="I74" s="44" t="str">
        <f t="shared" si="15"/>
        <v>RACK BAR BLANK</v>
      </c>
      <c r="J74" s="44" t="str">
        <f t="shared" si="16"/>
        <v>JGF02-002190-31-2</v>
      </c>
      <c r="K74" s="59" t="str">
        <f t="shared" si="12"/>
        <v>PD25121245</v>
      </c>
      <c r="L74" s="46" t="str" cm="1">
        <f t="array" ref="L74">IFERROR(_xlfn.IFS(
    LEN($A74)-LEN(SUBSTITUTE($A74,"|",""))=12, RIGHT(A74, LEN(A74)-FIND("~", SUBSTITUTE(A74,"|","~", LEN(A74)-LEN(SUBSTITUTE(A74,"|",""))))),
    LEN($A74)-LEN(SUBSTITUTE($A74,"|",""))=13, MID($A74, FIND("~", SUBSTITUTE($A74,"|","~", 11))+1, FIND("~", SUBSTITUTE($A74,"|","~", 12))-FIND("~", SUBSTITUTE($A74,"|","~", 11))-1),
    LEN($A74)-LEN(SUBSTITUTE($A74,"|",""))=14, MID($A74, FIND("~", SUBSTITUTE($A74,"|","~", 11))+1, FIND("~", SUBSTITUTE($A74,"|","~", 12))-FIND("~", SUBSTITUTE($A74,"|","~", 11))-1)
), "")</f>
        <v>5A5913</v>
      </c>
      <c r="M74" s="47" t="str">
        <f t="shared" si="10"/>
        <v>SB120174/5/25</v>
      </c>
      <c r="N74" s="46" t="str">
        <f t="shared" si="13"/>
        <v/>
      </c>
      <c r="O74" s="60">
        <v>27</v>
      </c>
      <c r="P74" s="60">
        <v>963</v>
      </c>
      <c r="Q74" s="48">
        <v>189</v>
      </c>
      <c r="R74" s="48">
        <v>912</v>
      </c>
      <c r="S74" s="48"/>
      <c r="T74" s="48"/>
      <c r="U74" s="49"/>
      <c r="V74" s="49"/>
      <c r="W74" s="50">
        <f t="shared" si="11"/>
        <v>0</v>
      </c>
      <c r="X74" s="51" t="str">
        <f>IF(A74="", "", IF(COUNTIFS(C$3:C73, C74, D$3:D73, D74, G$3:G73, G74) &gt; 0, "", "11:00"-AW74))</f>
        <v/>
      </c>
      <c r="Y74" s="52" t="str">
        <f t="shared" si="17"/>
        <v/>
      </c>
      <c r="Z74" s="53"/>
      <c r="AA74" s="54"/>
      <c r="AB74" s="53"/>
      <c r="AC74" s="54"/>
      <c r="AD74" s="53"/>
      <c r="AE74" s="54"/>
      <c r="AF74" s="53"/>
      <c r="AG74" s="54"/>
      <c r="AH74" s="55">
        <v>4.1666666666666699E-2</v>
      </c>
      <c r="AI74" s="53"/>
      <c r="AJ74" s="54"/>
      <c r="AK74" s="53"/>
      <c r="AL74" s="54"/>
      <c r="AM74" s="53"/>
      <c r="AN74" s="54"/>
      <c r="AO74" s="53"/>
      <c r="AP74" s="54"/>
      <c r="AQ74" s="53"/>
      <c r="AR74" s="54"/>
      <c r="AS74" s="53"/>
      <c r="AT74" s="54"/>
      <c r="AU74" s="53">
        <v>4.1666666666666699E-2</v>
      </c>
      <c r="AV74" s="54" t="s">
        <v>37</v>
      </c>
      <c r="AW74" s="57">
        <f t="shared" si="14"/>
        <v>4.1666666666666699E-2</v>
      </c>
      <c r="AX74" s="58" t="s">
        <v>48</v>
      </c>
    </row>
    <row r="75" spans="1:50" ht="28.5">
      <c r="A75" s="38" t="s">
        <v>132</v>
      </c>
      <c r="B75" s="39">
        <f t="shared" si="18"/>
        <v>71</v>
      </c>
      <c r="C75" s="40">
        <v>46028</v>
      </c>
      <c r="D75" s="40" t="s">
        <v>32</v>
      </c>
      <c r="E75" s="40" t="s">
        <v>33</v>
      </c>
      <c r="F75" s="41">
        <v>756.4</v>
      </c>
      <c r="G75" s="42" t="s">
        <v>46</v>
      </c>
      <c r="H75" s="43" t="str">
        <f>IFERROR(VLOOKUP($J75,'[9]FROM (3)'!$E$4:$F$230,2,FALSE),"")</f>
        <v>JATH</v>
      </c>
      <c r="I75" s="44" t="str">
        <f t="shared" si="15"/>
        <v>RACK BAR BLANK</v>
      </c>
      <c r="J75" s="44" t="str">
        <f t="shared" si="16"/>
        <v>JGF02-002190-31-2</v>
      </c>
      <c r="K75" s="59" t="str">
        <f t="shared" si="12"/>
        <v>PD25121245</v>
      </c>
      <c r="L75" s="46" t="str" cm="1">
        <f t="array" ref="L75">IFERROR(_xlfn.IFS(
    LEN($A75)-LEN(SUBSTITUTE($A75,"|",""))=12, RIGHT(A75, LEN(A75)-FIND("~", SUBSTITUTE(A75,"|","~", LEN(A75)-LEN(SUBSTITUTE(A75,"|",""))))),
    LEN($A75)-LEN(SUBSTITUTE($A75,"|",""))=13, MID($A75, FIND("~", SUBSTITUTE($A75,"|","~", 11))+1, FIND("~", SUBSTITUTE($A75,"|","~", 12))-FIND("~", SUBSTITUTE($A75,"|","~", 11))-1),
    LEN($A75)-LEN(SUBSTITUTE($A75,"|",""))=14, MID($A75, FIND("~", SUBSTITUTE($A75,"|","~", 11))+1, FIND("~", SUBSTITUTE($A75,"|","~", 12))-FIND("~", SUBSTITUTE($A75,"|","~", 11))-1)
), "")</f>
        <v>5A5913</v>
      </c>
      <c r="M75" s="47" t="str">
        <f t="shared" si="10"/>
        <v>SB120174/6/25</v>
      </c>
      <c r="N75" s="46" t="str">
        <f t="shared" si="13"/>
        <v/>
      </c>
      <c r="O75" s="60">
        <v>23</v>
      </c>
      <c r="P75" s="60">
        <v>823</v>
      </c>
      <c r="Q75" s="48">
        <v>160</v>
      </c>
      <c r="R75" s="48">
        <v>772</v>
      </c>
      <c r="S75" s="48"/>
      <c r="T75" s="48"/>
      <c r="U75" s="49"/>
      <c r="V75" s="49"/>
      <c r="W75" s="50">
        <f t="shared" si="11"/>
        <v>0</v>
      </c>
      <c r="X75" s="51" t="str">
        <f>IF(A75="", "", IF(COUNTIFS(C$3:C74, C75, D$3:D74, D75, G$3:G74, G75) &gt; 0, "", "11:00"-AW75))</f>
        <v/>
      </c>
      <c r="Y75" s="52" t="str">
        <f t="shared" si="17"/>
        <v/>
      </c>
      <c r="Z75" s="53"/>
      <c r="AA75" s="54"/>
      <c r="AB75" s="53"/>
      <c r="AC75" s="54"/>
      <c r="AD75" s="53"/>
      <c r="AE75" s="54"/>
      <c r="AF75" s="53"/>
      <c r="AG75" s="54"/>
      <c r="AH75" s="55">
        <v>4.1666666666666699E-2</v>
      </c>
      <c r="AI75" s="53"/>
      <c r="AJ75" s="54"/>
      <c r="AK75" s="53"/>
      <c r="AL75" s="54"/>
      <c r="AM75" s="53"/>
      <c r="AN75" s="54"/>
      <c r="AO75" s="53"/>
      <c r="AP75" s="54"/>
      <c r="AQ75" s="53"/>
      <c r="AR75" s="54"/>
      <c r="AS75" s="53"/>
      <c r="AT75" s="54"/>
      <c r="AU75" s="53">
        <v>4.1666666666666699E-2</v>
      </c>
      <c r="AV75" s="54" t="s">
        <v>37</v>
      </c>
      <c r="AW75" s="57">
        <f t="shared" si="14"/>
        <v>4.1666666666666699E-2</v>
      </c>
      <c r="AX75" s="58" t="s">
        <v>48</v>
      </c>
    </row>
    <row r="76" spans="1:50" ht="28.5">
      <c r="A76" s="38" t="s">
        <v>133</v>
      </c>
      <c r="B76" s="39">
        <f t="shared" si="18"/>
        <v>72</v>
      </c>
      <c r="C76" s="40">
        <v>46028</v>
      </c>
      <c r="D76" s="40" t="s">
        <v>32</v>
      </c>
      <c r="E76" s="40" t="s">
        <v>33</v>
      </c>
      <c r="F76" s="41">
        <v>756.4</v>
      </c>
      <c r="G76" s="42" t="s">
        <v>46</v>
      </c>
      <c r="H76" s="43" t="str">
        <f>IFERROR(VLOOKUP($J76,'[9]FROM (3)'!$E$4:$F$230,2,FALSE),"")</f>
        <v>JATH</v>
      </c>
      <c r="I76" s="44" t="str">
        <f t="shared" si="15"/>
        <v>RACK BAR BLANK</v>
      </c>
      <c r="J76" s="44" t="str">
        <f t="shared" si="16"/>
        <v>JGF02-002190-31-2</v>
      </c>
      <c r="K76" s="59" t="str">
        <f t="shared" si="12"/>
        <v>PD25121246</v>
      </c>
      <c r="L76" s="46" t="str" cm="1">
        <f t="array" ref="L76">IFERROR(_xlfn.IFS(
    LEN($A76)-LEN(SUBSTITUTE($A76,"|",""))=12, RIGHT(A76, LEN(A76)-FIND("~", SUBSTITUTE(A76,"|","~", LEN(A76)-LEN(SUBSTITUTE(A76,"|",""))))),
    LEN($A76)-LEN(SUBSTITUTE($A76,"|",""))=13, MID($A76, FIND("~", SUBSTITUTE($A76,"|","~", 11))+1, FIND("~", SUBSTITUTE($A76,"|","~", 12))-FIND("~", SUBSTITUTE($A76,"|","~", 11))-1),
    LEN($A76)-LEN(SUBSTITUTE($A76,"|",""))=14, MID($A76, FIND("~", SUBSTITUTE($A76,"|","~", 11))+1, FIND("~", SUBSTITUTE($A76,"|","~", 12))-FIND("~", SUBSTITUTE($A76,"|","~", 11))-1)
), "")</f>
        <v>5A5913</v>
      </c>
      <c r="M76" s="47" t="str">
        <f t="shared" si="10"/>
        <v>SB120176/1/25</v>
      </c>
      <c r="N76" s="46" t="str">
        <f t="shared" si="13"/>
        <v/>
      </c>
      <c r="O76" s="60">
        <v>27</v>
      </c>
      <c r="P76" s="60">
        <v>963</v>
      </c>
      <c r="Q76" s="48">
        <v>127</v>
      </c>
      <c r="R76" s="48">
        <v>613</v>
      </c>
      <c r="S76" s="48"/>
      <c r="T76" s="48"/>
      <c r="U76" s="49"/>
      <c r="V76" s="49"/>
      <c r="W76" s="50">
        <f t="shared" si="11"/>
        <v>0</v>
      </c>
      <c r="X76" s="51" t="str">
        <f>IF(A76="", "", IF(COUNTIFS(C$3:C75, C76, D$3:D75, D76, G$3:G75, G76) &gt; 0, "", "11:00"-AW76))</f>
        <v/>
      </c>
      <c r="Y76" s="52" t="str">
        <f t="shared" si="17"/>
        <v/>
      </c>
      <c r="Z76" s="53"/>
      <c r="AA76" s="54"/>
      <c r="AB76" s="53"/>
      <c r="AC76" s="54"/>
      <c r="AD76" s="53"/>
      <c r="AE76" s="54"/>
      <c r="AF76" s="53"/>
      <c r="AG76" s="54"/>
      <c r="AH76" s="55">
        <v>4.1666666666666699E-2</v>
      </c>
      <c r="AI76" s="53"/>
      <c r="AJ76" s="54"/>
      <c r="AK76" s="53"/>
      <c r="AL76" s="54"/>
      <c r="AM76" s="53"/>
      <c r="AN76" s="54"/>
      <c r="AO76" s="53"/>
      <c r="AP76" s="54"/>
      <c r="AQ76" s="53"/>
      <c r="AR76" s="54"/>
      <c r="AS76" s="53"/>
      <c r="AT76" s="54"/>
      <c r="AU76" s="53">
        <v>4.1666666666666699E-2</v>
      </c>
      <c r="AV76" s="54" t="s">
        <v>37</v>
      </c>
      <c r="AW76" s="57">
        <f t="shared" si="14"/>
        <v>4.1666666666666699E-2</v>
      </c>
      <c r="AX76" s="58" t="s">
        <v>48</v>
      </c>
    </row>
    <row r="77" spans="1:50" ht="28.5">
      <c r="A77" s="38" t="s">
        <v>134</v>
      </c>
      <c r="B77" s="39">
        <f t="shared" si="18"/>
        <v>73</v>
      </c>
      <c r="C77" s="40">
        <v>46028</v>
      </c>
      <c r="D77" s="40" t="s">
        <v>32</v>
      </c>
      <c r="E77" s="40" t="s">
        <v>33</v>
      </c>
      <c r="F77" s="41">
        <v>69.5</v>
      </c>
      <c r="G77" s="42" t="s">
        <v>135</v>
      </c>
      <c r="H77" s="43" t="str">
        <f>IFERROR(VLOOKUP($J77,'[9]FROM (3)'!$E$4:$F$230,2,FALSE),"")</f>
        <v>DNTH</v>
      </c>
      <c r="I77" s="44" t="str">
        <f t="shared" si="15"/>
        <v>Pole Core</v>
      </c>
      <c r="J77" s="44" t="str">
        <f t="shared" si="16"/>
        <v>TG028152-5180</v>
      </c>
      <c r="K77" s="59" t="str">
        <f t="shared" si="12"/>
        <v>PD25120422</v>
      </c>
      <c r="L77" s="46" t="str" cm="1">
        <f t="array" ref="L77">IFERROR(_xlfn.IFS(
    LEN($A77)-LEN(SUBSTITUTE($A77,"|",""))=12, RIGHT(A77, LEN(A77)-FIND("~", SUBSTITUTE(A77,"|","~", LEN(A77)-LEN(SUBSTITUTE(A77,"|",""))))),
    LEN($A77)-LEN(SUBSTITUTE($A77,"|",""))=13, MID($A77, FIND("~", SUBSTITUTE($A77,"|","~", 11))+1, FIND("~", SUBSTITUTE($A77,"|","~", 12))-FIND("~", SUBSTITUTE($A77,"|","~", 11))-1),
    LEN($A77)-LEN(SUBSTITUTE($A77,"|",""))=14, MID($A77, FIND("~", SUBSTITUTE($A77,"|","~", 11))+1, FIND("~", SUBSTITUTE($A77,"|","~", 12))-FIND("~", SUBSTITUTE($A77,"|","~", 11))-1)
), "")</f>
        <v>KS005C9016</v>
      </c>
      <c r="M77" s="47" t="str">
        <f t="shared" si="10"/>
        <v>SB120058/2/25</v>
      </c>
      <c r="N77" s="46" t="str">
        <f t="shared" si="13"/>
        <v/>
      </c>
      <c r="O77" s="60">
        <v>129</v>
      </c>
      <c r="P77" s="60">
        <v>1000</v>
      </c>
      <c r="Q77" s="48">
        <v>7040</v>
      </c>
      <c r="R77" s="48">
        <v>489</v>
      </c>
      <c r="S77" s="48"/>
      <c r="T77" s="48"/>
      <c r="U77" s="49"/>
      <c r="V77" s="49"/>
      <c r="W77" s="50">
        <f t="shared" si="11"/>
        <v>0</v>
      </c>
      <c r="X77" s="51">
        <f>IF(A77="", "", IF(COUNTIFS(C$3:C76, C77, D$3:D76, D77, G$3:G76, G77) &gt; 0, "", "11:00"-AW77))</f>
        <v>0.16666666666666663</v>
      </c>
      <c r="Y77" s="52" t="str">
        <f t="shared" si="17"/>
        <v>1:40</v>
      </c>
      <c r="Z77" s="53">
        <v>4.1666666666666664E-2</v>
      </c>
      <c r="AA77" s="54" t="s">
        <v>90</v>
      </c>
      <c r="AB77" s="53">
        <v>4.1666666666666664E-2</v>
      </c>
      <c r="AC77" s="54" t="s">
        <v>90</v>
      </c>
      <c r="AD77" s="53">
        <v>4.1666666666666664E-2</v>
      </c>
      <c r="AE77" s="54" t="s">
        <v>90</v>
      </c>
      <c r="AF77" s="53">
        <v>4.1666666666666664E-2</v>
      </c>
      <c r="AG77" s="54" t="s">
        <v>90</v>
      </c>
      <c r="AH77" s="55">
        <v>4.1666666666666699E-2</v>
      </c>
      <c r="AI77" s="53">
        <v>4.1666666666666664E-2</v>
      </c>
      <c r="AJ77" s="54" t="s">
        <v>67</v>
      </c>
      <c r="AK77" s="53">
        <v>4.1666666666666664E-2</v>
      </c>
      <c r="AL77" s="54" t="s">
        <v>136</v>
      </c>
      <c r="AM77" s="53"/>
      <c r="AN77" s="54"/>
      <c r="AO77" s="53"/>
      <c r="AP77" s="54"/>
      <c r="AQ77" s="53"/>
      <c r="AR77" s="54"/>
      <c r="AS77" s="53"/>
      <c r="AT77" s="54"/>
      <c r="AU77" s="53">
        <v>4.1666666666666699E-2</v>
      </c>
      <c r="AV77" s="54" t="s">
        <v>37</v>
      </c>
      <c r="AW77" s="57">
        <f t="shared" si="14"/>
        <v>0.29166666666666669</v>
      </c>
      <c r="AX77" s="58" t="s">
        <v>137</v>
      </c>
    </row>
    <row r="78" spans="1:50" ht="28.5">
      <c r="A78" s="38" t="s">
        <v>112</v>
      </c>
      <c r="B78" s="39">
        <f t="shared" si="18"/>
        <v>74</v>
      </c>
      <c r="C78" s="40">
        <v>46028</v>
      </c>
      <c r="D78" s="40" t="s">
        <v>32</v>
      </c>
      <c r="E78" s="40" t="s">
        <v>33</v>
      </c>
      <c r="F78" s="41">
        <v>143.4</v>
      </c>
      <c r="G78" s="42" t="s">
        <v>62</v>
      </c>
      <c r="H78" s="43" t="str">
        <f>IFERROR(VLOOKUP($J78,'[9]FROM (3)'!$E$4:$F$230,2,FALSE),"")</f>
        <v>DNTH</v>
      </c>
      <c r="I78" s="44" t="str">
        <f t="shared" si="15"/>
        <v>SHAFT STARTER ARMATURE, 1W</v>
      </c>
      <c r="J78" s="44" t="str">
        <f t="shared" si="16"/>
        <v>TG028993-540B</v>
      </c>
      <c r="K78" s="59" t="str">
        <f t="shared" si="12"/>
        <v>PD25121166</v>
      </c>
      <c r="L78" s="46" t="str" cm="1">
        <f t="array" ref="L78">IFERROR(_xlfn.IFS(
    LEN($A78)-LEN(SUBSTITUTE($A78,"|",""))=12, RIGHT(A78, LEN(A78)-FIND("~", SUBSTITUTE(A78,"|","~", LEN(A78)-LEN(SUBSTITUTE(A78,"|",""))))),
    LEN($A78)-LEN(SUBSTITUTE($A78,"|",""))=13, MID($A78, FIND("~", SUBSTITUTE($A78,"|","~", 11))+1, FIND("~", SUBSTITUTE($A78,"|","~", 12))-FIND("~", SUBSTITUTE($A78,"|","~", 11))-1),
    LEN($A78)-LEN(SUBSTITUTE($A78,"|",""))=14, MID($A78, FIND("~", SUBSTITUTE($A78,"|","~", 11))+1, FIND("~", SUBSTITUTE($A78,"|","~", 12))-FIND("~", SUBSTITUTE($A78,"|","~", 11))-1)
), "")</f>
        <v>E586473</v>
      </c>
      <c r="M78" s="47" t="str">
        <f t="shared" si="10"/>
        <v>SB110189/10/25</v>
      </c>
      <c r="N78" s="46" t="str">
        <f t="shared" si="13"/>
        <v/>
      </c>
      <c r="O78" s="60" t="s">
        <v>35</v>
      </c>
      <c r="P78" s="60" t="s">
        <v>35</v>
      </c>
      <c r="Q78" s="48">
        <v>60</v>
      </c>
      <c r="R78" s="48">
        <v>12</v>
      </c>
      <c r="S78" s="48"/>
      <c r="T78" s="48"/>
      <c r="U78" s="49"/>
      <c r="V78" s="49"/>
      <c r="W78" s="50">
        <f t="shared" si="11"/>
        <v>0</v>
      </c>
      <c r="X78" s="51">
        <f>IF(A78="", "", IF(COUNTIFS(C$3:C77, C78, D$3:D77, D78, G$3:G77, G78) &gt; 0, "", "11:00"-AW78))</f>
        <v>0.39583333333333326</v>
      </c>
      <c r="Y78" s="52" t="str">
        <f t="shared" si="17"/>
        <v>1:40</v>
      </c>
      <c r="Z78" s="53">
        <v>2.0833333333333332E-2</v>
      </c>
      <c r="AA78" s="54" t="s">
        <v>63</v>
      </c>
      <c r="AB78" s="53"/>
      <c r="AC78" s="54"/>
      <c r="AD78" s="53"/>
      <c r="AE78" s="54"/>
      <c r="AF78" s="53"/>
      <c r="AG78" s="54"/>
      <c r="AH78" s="55">
        <v>4.1666666666666699E-2</v>
      </c>
      <c r="AI78" s="53"/>
      <c r="AJ78" s="54"/>
      <c r="AK78" s="53"/>
      <c r="AL78" s="54"/>
      <c r="AM78" s="53"/>
      <c r="AN78" s="54"/>
      <c r="AO78" s="53"/>
      <c r="AP78" s="54"/>
      <c r="AQ78" s="53"/>
      <c r="AR78" s="54"/>
      <c r="AS78" s="53"/>
      <c r="AT78" s="54"/>
      <c r="AU78" s="53">
        <v>4.1666666666666699E-2</v>
      </c>
      <c r="AV78" s="54" t="s">
        <v>37</v>
      </c>
      <c r="AW78" s="57">
        <f t="shared" si="14"/>
        <v>6.2500000000000028E-2</v>
      </c>
      <c r="AX78" s="58" t="s">
        <v>64</v>
      </c>
    </row>
    <row r="79" spans="1:50" ht="28.5">
      <c r="A79" s="38" t="s">
        <v>138</v>
      </c>
      <c r="B79" s="39">
        <f t="shared" si="18"/>
        <v>75</v>
      </c>
      <c r="C79" s="40">
        <v>46028</v>
      </c>
      <c r="D79" s="40" t="s">
        <v>32</v>
      </c>
      <c r="E79" s="40" t="s">
        <v>33</v>
      </c>
      <c r="F79" s="41">
        <v>143.4</v>
      </c>
      <c r="G79" s="42" t="s">
        <v>62</v>
      </c>
      <c r="H79" s="43" t="str">
        <f>IFERROR(VLOOKUP($J79,'[9]FROM (3)'!$E$4:$F$230,2,FALSE),"")</f>
        <v>DNTH</v>
      </c>
      <c r="I79" s="44" t="str">
        <f t="shared" si="15"/>
        <v>SHAFT STARTER ARMATURE, 1W</v>
      </c>
      <c r="J79" s="44" t="str">
        <f t="shared" si="16"/>
        <v>TG028993-540B</v>
      </c>
      <c r="K79" s="59" t="str">
        <f t="shared" si="12"/>
        <v>PD25121166</v>
      </c>
      <c r="L79" s="46" t="str" cm="1">
        <f t="array" ref="L79">IFERROR(_xlfn.IFS(
    LEN($A79)-LEN(SUBSTITUTE($A79,"|",""))=12, RIGHT(A79, LEN(A79)-FIND("~", SUBSTITUTE(A79,"|","~", LEN(A79)-LEN(SUBSTITUTE(A79,"|",""))))),
    LEN($A79)-LEN(SUBSTITUTE($A79,"|",""))=13, MID($A79, FIND("~", SUBSTITUTE($A79,"|","~", 11))+1, FIND("~", SUBSTITUTE($A79,"|","~", 12))-FIND("~", SUBSTITUTE($A79,"|","~", 11))-1),
    LEN($A79)-LEN(SUBSTITUTE($A79,"|",""))=14, MID($A79, FIND("~", SUBSTITUTE($A79,"|","~", 11))+1, FIND("~", SUBSTITUTE($A79,"|","~", 12))-FIND("~", SUBSTITUTE($A79,"|","~", 11))-1)
), "")</f>
        <v>E586473</v>
      </c>
      <c r="M79" s="47" t="str">
        <f t="shared" si="10"/>
        <v>SB110189/9/25</v>
      </c>
      <c r="N79" s="46" t="str">
        <f t="shared" si="13"/>
        <v/>
      </c>
      <c r="O79" s="60">
        <v>35</v>
      </c>
      <c r="P79" s="60">
        <v>205</v>
      </c>
      <c r="Q79" s="48">
        <v>900</v>
      </c>
      <c r="R79" s="48">
        <v>184</v>
      </c>
      <c r="S79" s="48"/>
      <c r="T79" s="48"/>
      <c r="U79" s="49"/>
      <c r="V79" s="49"/>
      <c r="W79" s="50">
        <f t="shared" si="11"/>
        <v>0</v>
      </c>
      <c r="X79" s="51" t="str">
        <f>IF(A79="", "", IF(COUNTIFS(C$3:C78, C79, D$3:D78, D79, G$3:G78, G79) &gt; 0, "", "11:00"-AW79))</f>
        <v/>
      </c>
      <c r="Y79" s="52" t="str">
        <f t="shared" si="17"/>
        <v/>
      </c>
      <c r="Z79" s="53"/>
      <c r="AA79" s="54"/>
      <c r="AB79" s="53"/>
      <c r="AC79" s="54"/>
      <c r="AD79" s="53"/>
      <c r="AE79" s="54"/>
      <c r="AF79" s="53"/>
      <c r="AG79" s="54"/>
      <c r="AH79" s="55">
        <v>4.1666666666666699E-2</v>
      </c>
      <c r="AI79" s="53"/>
      <c r="AJ79" s="54"/>
      <c r="AK79" s="53"/>
      <c r="AL79" s="54"/>
      <c r="AM79" s="53"/>
      <c r="AN79" s="54"/>
      <c r="AO79" s="53"/>
      <c r="AP79" s="54"/>
      <c r="AQ79" s="53"/>
      <c r="AR79" s="54"/>
      <c r="AS79" s="53"/>
      <c r="AT79" s="54"/>
      <c r="AU79" s="53">
        <v>4.1666666666666699E-2</v>
      </c>
      <c r="AV79" s="54" t="s">
        <v>37</v>
      </c>
      <c r="AW79" s="57">
        <f t="shared" si="14"/>
        <v>4.1666666666666699E-2</v>
      </c>
      <c r="AX79" s="58" t="s">
        <v>64</v>
      </c>
    </row>
    <row r="80" spans="1:50" ht="28.5">
      <c r="A80" s="38" t="s">
        <v>139</v>
      </c>
      <c r="B80" s="39">
        <f t="shared" si="18"/>
        <v>76</v>
      </c>
      <c r="C80" s="40">
        <v>46028</v>
      </c>
      <c r="D80" s="40" t="s">
        <v>32</v>
      </c>
      <c r="E80" s="40" t="s">
        <v>33</v>
      </c>
      <c r="F80" s="41">
        <v>143.4</v>
      </c>
      <c r="G80" s="42" t="s">
        <v>62</v>
      </c>
      <c r="H80" s="43" t="str">
        <f>IFERROR(VLOOKUP($J80,'[9]FROM (3)'!$E$4:$F$230,2,FALSE),"")</f>
        <v>DNTH</v>
      </c>
      <c r="I80" s="44" t="str">
        <f t="shared" si="15"/>
        <v>SHAFT STARTER ARMATURE, 1W</v>
      </c>
      <c r="J80" s="44" t="str">
        <f t="shared" si="16"/>
        <v>TG028993-540B</v>
      </c>
      <c r="K80" s="59" t="str">
        <f t="shared" si="12"/>
        <v>PD25121166</v>
      </c>
      <c r="L80" s="46" t="str" cm="1">
        <f t="array" ref="L80">IFERROR(_xlfn.IFS(
    LEN($A80)-LEN(SUBSTITUTE($A80,"|",""))=12, RIGHT(A80, LEN(A80)-FIND("~", SUBSTITUTE(A80,"|","~", LEN(A80)-LEN(SUBSTITUTE(A80,"|",""))))),
    LEN($A80)-LEN(SUBSTITUTE($A80,"|",""))=13, MID($A80, FIND("~", SUBSTITUTE($A80,"|","~", 11))+1, FIND("~", SUBSTITUTE($A80,"|","~", 12))-FIND("~", SUBSTITUTE($A80,"|","~", 11))-1),
    LEN($A80)-LEN(SUBSTITUTE($A80,"|",""))=14, MID($A80, FIND("~", SUBSTITUTE($A80,"|","~", 11))+1, FIND("~", SUBSTITUTE($A80,"|","~", 12))-FIND("~", SUBSTITUTE($A80,"|","~", 11))-1)
), "")</f>
        <v>E586473</v>
      </c>
      <c r="M80" s="47" t="str">
        <f t="shared" si="10"/>
        <v>SB120140/1/25</v>
      </c>
      <c r="N80" s="46" t="str">
        <f t="shared" si="13"/>
        <v/>
      </c>
      <c r="O80" s="60">
        <v>35</v>
      </c>
      <c r="P80" s="60">
        <v>205</v>
      </c>
      <c r="Q80" s="48">
        <v>158</v>
      </c>
      <c r="R80" s="48">
        <v>32</v>
      </c>
      <c r="S80" s="48"/>
      <c r="T80" s="48"/>
      <c r="U80" s="49"/>
      <c r="V80" s="49"/>
      <c r="W80" s="50">
        <f t="shared" si="11"/>
        <v>0</v>
      </c>
      <c r="X80" s="51" t="str">
        <f>IF(A80="", "", IF(COUNTIFS(C$3:C79, C80, D$3:D79, D80, G$3:G79, G80) &gt; 0, "", "11:00"-AW80))</f>
        <v/>
      </c>
      <c r="Y80" s="52" t="str">
        <f t="shared" si="17"/>
        <v/>
      </c>
      <c r="Z80" s="53"/>
      <c r="AA80" s="54"/>
      <c r="AB80" s="53"/>
      <c r="AC80" s="54"/>
      <c r="AD80" s="53"/>
      <c r="AE80" s="54"/>
      <c r="AF80" s="53"/>
      <c r="AG80" s="54"/>
      <c r="AH80" s="55">
        <v>4.1666666666666699E-2</v>
      </c>
      <c r="AI80" s="53"/>
      <c r="AJ80" s="54"/>
      <c r="AK80" s="53"/>
      <c r="AL80" s="54"/>
      <c r="AM80" s="53"/>
      <c r="AN80" s="54"/>
      <c r="AO80" s="53"/>
      <c r="AP80" s="54"/>
      <c r="AQ80" s="53"/>
      <c r="AR80" s="54"/>
      <c r="AS80" s="53"/>
      <c r="AT80" s="54"/>
      <c r="AU80" s="53">
        <v>4.1666666666666699E-2</v>
      </c>
      <c r="AV80" s="54" t="s">
        <v>37</v>
      </c>
      <c r="AW80" s="57">
        <f t="shared" si="14"/>
        <v>4.1666666666666699E-2</v>
      </c>
      <c r="AX80" s="58" t="s">
        <v>64</v>
      </c>
    </row>
    <row r="81" spans="1:50" ht="28.5">
      <c r="A81" s="38" t="s">
        <v>100</v>
      </c>
      <c r="B81" s="39">
        <f t="shared" si="18"/>
        <v>77</v>
      </c>
      <c r="C81" s="40">
        <v>46028</v>
      </c>
      <c r="D81" s="40" t="s">
        <v>32</v>
      </c>
      <c r="E81" s="40" t="s">
        <v>33</v>
      </c>
      <c r="F81" s="41">
        <v>719.6</v>
      </c>
      <c r="G81" s="42" t="s">
        <v>66</v>
      </c>
      <c r="H81" s="43" t="str">
        <f>IFERROR(VLOOKUP($J81,'[9]FROM (3)'!$E$4:$F$230,2,FALSE),"")</f>
        <v>JAMY</v>
      </c>
      <c r="I81" s="44" t="str">
        <f t="shared" si="15"/>
        <v>RACK BAR</v>
      </c>
      <c r="J81" s="44" t="str">
        <f t="shared" si="16"/>
        <v>JGD10S000830-51-0</v>
      </c>
      <c r="K81" s="59" t="str">
        <f t="shared" si="12"/>
        <v>PD25121174</v>
      </c>
      <c r="L81" s="46" t="str" cm="1">
        <f t="array" ref="L81">IFERROR(_xlfn.IFS(
    LEN($A81)-LEN(SUBSTITUTE($A81,"|",""))=12, RIGHT(A81, LEN(A81)-FIND("~", SUBSTITUTE(A81,"|","~", LEN(A81)-LEN(SUBSTITUTE(A81,"|",""))))),
    LEN($A81)-LEN(SUBSTITUTE($A81,"|",""))=13, MID($A81, FIND("~", SUBSTITUTE($A81,"|","~", 11))+1, FIND("~", SUBSTITUTE($A81,"|","~", 12))-FIND("~", SUBSTITUTE($A81,"|","~", 11))-1),
    LEN($A81)-LEN(SUBSTITUTE($A81,"|",""))=14, MID($A81, FIND("~", SUBSTITUTE($A81,"|","~", 11))+1, FIND("~", SUBSTITUTE($A81,"|","~", 12))-FIND("~", SUBSTITUTE($A81,"|","~", 11))-1)
), "")</f>
        <v>E586446</v>
      </c>
      <c r="M81" s="47" t="str">
        <f t="shared" si="10"/>
        <v>SB120164/2/25</v>
      </c>
      <c r="N81" s="46" t="str">
        <f t="shared" si="13"/>
        <v/>
      </c>
      <c r="O81" s="60">
        <v>28</v>
      </c>
      <c r="P81" s="60">
        <v>485</v>
      </c>
      <c r="Q81" s="48">
        <v>112</v>
      </c>
      <c r="R81" s="48">
        <v>455</v>
      </c>
      <c r="S81" s="48"/>
      <c r="T81" s="48"/>
      <c r="U81" s="49"/>
      <c r="V81" s="49"/>
      <c r="W81" s="50">
        <f t="shared" si="11"/>
        <v>0</v>
      </c>
      <c r="X81" s="51">
        <f>IF(A81="", "", IF(COUNTIFS(C$3:C80, C81, D$3:D80, D81, G$3:G80, G81) &gt; 0, "", "11:00"-AW81))</f>
        <v>0.24999999999999994</v>
      </c>
      <c r="Y81" s="52" t="str">
        <f t="shared" si="17"/>
        <v>1:40</v>
      </c>
      <c r="Z81" s="53">
        <v>4.1666666666666664E-2</v>
      </c>
      <c r="AA81" s="54" t="s">
        <v>129</v>
      </c>
      <c r="AB81" s="53">
        <v>4.1666666666666664E-2</v>
      </c>
      <c r="AC81" s="54" t="s">
        <v>129</v>
      </c>
      <c r="AD81" s="53">
        <v>4.1666666666666664E-2</v>
      </c>
      <c r="AE81" s="54" t="s">
        <v>129</v>
      </c>
      <c r="AF81" s="53">
        <v>4.1666666666666664E-2</v>
      </c>
      <c r="AG81" s="54" t="s">
        <v>129</v>
      </c>
      <c r="AH81" s="55">
        <v>4.1666666666666699E-2</v>
      </c>
      <c r="AI81" s="53"/>
      <c r="AJ81" s="54"/>
      <c r="AK81" s="53"/>
      <c r="AL81" s="54"/>
      <c r="AM81" s="53"/>
      <c r="AN81" s="54"/>
      <c r="AO81" s="53"/>
      <c r="AP81" s="54"/>
      <c r="AQ81" s="53"/>
      <c r="AR81" s="54"/>
      <c r="AS81" s="53"/>
      <c r="AT81" s="54"/>
      <c r="AU81" s="53">
        <v>4.1666666666666699E-2</v>
      </c>
      <c r="AV81" s="54" t="s">
        <v>37</v>
      </c>
      <c r="AW81" s="57">
        <f t="shared" si="14"/>
        <v>0.20833333333333337</v>
      </c>
      <c r="AX81" s="58" t="s">
        <v>68</v>
      </c>
    </row>
    <row r="82" spans="1:50" ht="28.5">
      <c r="A82" s="38" t="s">
        <v>140</v>
      </c>
      <c r="B82" s="39">
        <f t="shared" si="18"/>
        <v>78</v>
      </c>
      <c r="C82" s="40">
        <v>46028</v>
      </c>
      <c r="D82" s="40" t="s">
        <v>32</v>
      </c>
      <c r="E82" s="40" t="s">
        <v>33</v>
      </c>
      <c r="F82" s="41">
        <v>719.6</v>
      </c>
      <c r="G82" s="42" t="s">
        <v>66</v>
      </c>
      <c r="H82" s="43" t="str">
        <f>IFERROR(VLOOKUP($J82,'[9]FROM (3)'!$E$4:$F$230,2,FALSE),"")</f>
        <v>JAMY</v>
      </c>
      <c r="I82" s="44" t="str">
        <f t="shared" si="15"/>
        <v>RACK BAR</v>
      </c>
      <c r="J82" s="44" t="str">
        <f t="shared" si="16"/>
        <v>JGD10S000830-51-0</v>
      </c>
      <c r="K82" s="59" t="str">
        <f t="shared" si="12"/>
        <v>PD25121174</v>
      </c>
      <c r="L82" s="46" t="str" cm="1">
        <f t="array" ref="L82">IFERROR(_xlfn.IFS(
    LEN($A82)-LEN(SUBSTITUTE($A82,"|",""))=12, RIGHT(A82, LEN(A82)-FIND("~", SUBSTITUTE(A82,"|","~", LEN(A82)-LEN(SUBSTITUTE(A82,"|",""))))),
    LEN($A82)-LEN(SUBSTITUTE($A82,"|",""))=13, MID($A82, FIND("~", SUBSTITUTE($A82,"|","~", 11))+1, FIND("~", SUBSTITUTE($A82,"|","~", 12))-FIND("~", SUBSTITUTE($A82,"|","~", 11))-1),
    LEN($A82)-LEN(SUBSTITUTE($A82,"|",""))=14, MID($A82, FIND("~", SUBSTITUTE($A82,"|","~", 11))+1, FIND("~", SUBSTITUTE($A82,"|","~", 12))-FIND("~", SUBSTITUTE($A82,"|","~", 11))-1)
), "")</f>
        <v>E586446</v>
      </c>
      <c r="M82" s="47" t="str">
        <f t="shared" si="10"/>
        <v>SB120164/1/25</v>
      </c>
      <c r="N82" s="46" t="str">
        <f t="shared" si="13"/>
        <v/>
      </c>
      <c r="O82" s="60">
        <v>58</v>
      </c>
      <c r="P82" s="60">
        <v>1004</v>
      </c>
      <c r="Q82" s="48">
        <v>232</v>
      </c>
      <c r="R82" s="48">
        <v>942</v>
      </c>
      <c r="S82" s="48"/>
      <c r="T82" s="48"/>
      <c r="U82" s="49"/>
      <c r="V82" s="49"/>
      <c r="W82" s="50">
        <f t="shared" si="11"/>
        <v>0</v>
      </c>
      <c r="X82" s="51" t="str">
        <f>IF(A82="", "", IF(COUNTIFS(C$3:C81, C82, D$3:D81, D82, G$3:G81, G82) &gt; 0, "", "11:00"-AW82))</f>
        <v/>
      </c>
      <c r="Y82" s="52" t="str">
        <f t="shared" si="17"/>
        <v/>
      </c>
      <c r="Z82" s="53"/>
      <c r="AA82" s="54"/>
      <c r="AB82" s="53"/>
      <c r="AC82" s="54"/>
      <c r="AD82" s="53"/>
      <c r="AE82" s="54"/>
      <c r="AF82" s="53"/>
      <c r="AG82" s="54"/>
      <c r="AH82" s="55">
        <v>4.1666666666666699E-2</v>
      </c>
      <c r="AI82" s="53"/>
      <c r="AJ82" s="54"/>
      <c r="AK82" s="53"/>
      <c r="AL82" s="54"/>
      <c r="AM82" s="53"/>
      <c r="AN82" s="54"/>
      <c r="AO82" s="53"/>
      <c r="AP82" s="54"/>
      <c r="AQ82" s="53"/>
      <c r="AR82" s="54"/>
      <c r="AS82" s="53"/>
      <c r="AT82" s="54"/>
      <c r="AU82" s="53">
        <v>4.1666666666666699E-2</v>
      </c>
      <c r="AV82" s="54" t="s">
        <v>37</v>
      </c>
      <c r="AW82" s="57">
        <f t="shared" si="14"/>
        <v>4.1666666666666699E-2</v>
      </c>
      <c r="AX82" s="58" t="s">
        <v>68</v>
      </c>
    </row>
    <row r="83" spans="1:50" ht="28.5">
      <c r="A83" s="38" t="s">
        <v>141</v>
      </c>
      <c r="B83" s="39">
        <f t="shared" si="18"/>
        <v>79</v>
      </c>
      <c r="C83" s="40">
        <v>46028</v>
      </c>
      <c r="D83" s="40" t="s">
        <v>32</v>
      </c>
      <c r="E83" s="40" t="s">
        <v>33</v>
      </c>
      <c r="F83" s="41">
        <v>719.6</v>
      </c>
      <c r="G83" s="42" t="s">
        <v>66</v>
      </c>
      <c r="H83" s="43" t="str">
        <f>IFERROR(VLOOKUP($J83,'[9]FROM (3)'!$E$4:$F$230,2,FALSE),"")</f>
        <v>JAMY</v>
      </c>
      <c r="I83" s="44" t="str">
        <f t="shared" si="15"/>
        <v>RACK BAR</v>
      </c>
      <c r="J83" s="44" t="str">
        <f t="shared" si="16"/>
        <v>JGD10S000830-51-0</v>
      </c>
      <c r="K83" s="59" t="str">
        <f t="shared" si="12"/>
        <v>PD25121174</v>
      </c>
      <c r="L83" s="46" t="str" cm="1">
        <f t="array" ref="L83">IFERROR(_xlfn.IFS(
    LEN($A83)-LEN(SUBSTITUTE($A83,"|",""))=12, RIGHT(A83, LEN(A83)-FIND("~", SUBSTITUTE(A83,"|","~", LEN(A83)-LEN(SUBSTITUTE(A83,"|",""))))),
    LEN($A83)-LEN(SUBSTITUTE($A83,"|",""))=13, MID($A83, FIND("~", SUBSTITUTE($A83,"|","~", 11))+1, FIND("~", SUBSTITUTE($A83,"|","~", 12))-FIND("~", SUBSTITUTE($A83,"|","~", 11))-1),
    LEN($A83)-LEN(SUBSTITUTE($A83,"|",""))=14, MID($A83, FIND("~", SUBSTITUTE($A83,"|","~", 11))+1, FIND("~", SUBSTITUTE($A83,"|","~", 12))-FIND("~", SUBSTITUTE($A83,"|","~", 11))-1)
), "")</f>
        <v>E586446</v>
      </c>
      <c r="M83" s="47" t="str">
        <f t="shared" si="10"/>
        <v>SB120164/3/25</v>
      </c>
      <c r="N83" s="46" t="str">
        <f t="shared" si="13"/>
        <v/>
      </c>
      <c r="O83" s="60">
        <v>50</v>
      </c>
      <c r="P83" s="60">
        <v>866</v>
      </c>
      <c r="Q83" s="48">
        <v>200</v>
      </c>
      <c r="R83" s="48">
        <v>812</v>
      </c>
      <c r="S83" s="48"/>
      <c r="T83" s="48"/>
      <c r="U83" s="49">
        <v>93</v>
      </c>
      <c r="V83" s="49">
        <v>6</v>
      </c>
      <c r="W83" s="50">
        <f t="shared" si="11"/>
        <v>99</v>
      </c>
      <c r="X83" s="51" t="str">
        <f>IF(A83="", "", IF(COUNTIFS(C$3:C82, C83, D$3:D82, D83, G$3:G82, G83) &gt; 0, "", "11:00"-AW83))</f>
        <v/>
      </c>
      <c r="Y83" s="52" t="str">
        <f t="shared" si="17"/>
        <v/>
      </c>
      <c r="Z83" s="53"/>
      <c r="AA83" s="54"/>
      <c r="AB83" s="53"/>
      <c r="AC83" s="54"/>
      <c r="AD83" s="53"/>
      <c r="AE83" s="54"/>
      <c r="AF83" s="53"/>
      <c r="AG83" s="54"/>
      <c r="AH83" s="55">
        <v>4.1666666666666699E-2</v>
      </c>
      <c r="AI83" s="53"/>
      <c r="AJ83" s="54"/>
      <c r="AK83" s="53"/>
      <c r="AL83" s="54"/>
      <c r="AM83" s="53"/>
      <c r="AN83" s="54"/>
      <c r="AO83" s="53"/>
      <c r="AP83" s="54"/>
      <c r="AQ83" s="53"/>
      <c r="AR83" s="54"/>
      <c r="AS83" s="53"/>
      <c r="AT83" s="54"/>
      <c r="AU83" s="53">
        <v>4.1666666666666699E-2</v>
      </c>
      <c r="AV83" s="54" t="s">
        <v>37</v>
      </c>
      <c r="AW83" s="57">
        <f t="shared" si="14"/>
        <v>4.1666666666666699E-2</v>
      </c>
      <c r="AX83" s="58" t="s">
        <v>68</v>
      </c>
    </row>
    <row r="84" spans="1:50" ht="28.5">
      <c r="A84" s="38" t="s">
        <v>142</v>
      </c>
      <c r="B84" s="39">
        <f t="shared" si="18"/>
        <v>80</v>
      </c>
      <c r="C84" s="40">
        <v>46028</v>
      </c>
      <c r="D84" s="40" t="s">
        <v>32</v>
      </c>
      <c r="E84" s="40" t="s">
        <v>33</v>
      </c>
      <c r="F84" s="41">
        <v>719.6</v>
      </c>
      <c r="G84" s="42" t="s">
        <v>66</v>
      </c>
      <c r="H84" s="43" t="str">
        <f>IFERROR(VLOOKUP($J84,'[9]FROM (3)'!$E$4:$F$230,2,FALSE),"")</f>
        <v>JAMY</v>
      </c>
      <c r="I84" s="44" t="str">
        <f t="shared" si="15"/>
        <v>RACK BAR</v>
      </c>
      <c r="J84" s="44" t="str">
        <f t="shared" si="16"/>
        <v>JGD10S000830-51-0</v>
      </c>
      <c r="K84" s="59" t="str">
        <f t="shared" si="12"/>
        <v>5</v>
      </c>
      <c r="L84" s="46" t="str" cm="1">
        <f t="array" ref="L84">IFERROR(_xlfn.IFS(
    LEN($A84)-LEN(SUBSTITUTE($A84,"|",""))=12, RIGHT(A84, LEN(A84)-FIND("~", SUBSTITUTE(A84,"|","~", LEN(A84)-LEN(SUBSTITUTE(A84,"|",""))))),
    LEN($A84)-LEN(SUBSTITUTE($A84,"|",""))=13, MID($A84, FIND("~", SUBSTITUTE($A84,"|","~", 11))+1, FIND("~", SUBSTITUTE($A84,"|","~", 12))-FIND("~", SUBSTITUTE($A84,"|","~", 11))-1),
    LEN($A84)-LEN(SUBSTITUTE($A84,"|",""))=14, MID($A84, FIND("~", SUBSTITUTE($A84,"|","~", 11))+1, FIND("~", SUBSTITUTE($A84,"|","~", 12))-FIND("~", SUBSTITUTE($A84,"|","~", 11))-1)
), "")</f>
        <v>E586446</v>
      </c>
      <c r="M84" s="47" t="str">
        <f t="shared" si="10"/>
        <v>SB120166/2/25</v>
      </c>
      <c r="N84" s="46" t="str">
        <f t="shared" si="13"/>
        <v/>
      </c>
      <c r="O84" s="60">
        <v>18</v>
      </c>
      <c r="P84" s="60">
        <v>312</v>
      </c>
      <c r="Q84" s="48">
        <v>72</v>
      </c>
      <c r="R84" s="48">
        <v>292</v>
      </c>
      <c r="S84" s="48">
        <v>1</v>
      </c>
      <c r="T84" s="48" t="s">
        <v>143</v>
      </c>
      <c r="U84" s="49"/>
      <c r="V84" s="49"/>
      <c r="W84" s="50">
        <f t="shared" si="11"/>
        <v>0</v>
      </c>
      <c r="X84" s="51" t="str">
        <f>IF(A84="", "", IF(COUNTIFS(C$3:C83, C84, D$3:D83, D84, G$3:G83, G84) &gt; 0, "", "11:00"-AW84))</f>
        <v/>
      </c>
      <c r="Y84" s="52" t="str">
        <f t="shared" si="17"/>
        <v/>
      </c>
      <c r="Z84" s="53"/>
      <c r="AA84" s="54"/>
      <c r="AB84" s="53"/>
      <c r="AC84" s="54"/>
      <c r="AD84" s="53"/>
      <c r="AE84" s="54"/>
      <c r="AF84" s="53"/>
      <c r="AG84" s="54"/>
      <c r="AH84" s="55">
        <v>4.1666666666666699E-2</v>
      </c>
      <c r="AI84" s="53"/>
      <c r="AJ84" s="54"/>
      <c r="AK84" s="53"/>
      <c r="AL84" s="54"/>
      <c r="AM84" s="53"/>
      <c r="AN84" s="54"/>
      <c r="AO84" s="53"/>
      <c r="AP84" s="54"/>
      <c r="AQ84" s="53"/>
      <c r="AR84" s="54"/>
      <c r="AS84" s="53"/>
      <c r="AT84" s="54"/>
      <c r="AU84" s="53">
        <v>4.1666666666666699E-2</v>
      </c>
      <c r="AV84" s="54" t="s">
        <v>37</v>
      </c>
      <c r="AW84" s="57">
        <f t="shared" si="14"/>
        <v>4.1666666666666699E-2</v>
      </c>
      <c r="AX84" s="58" t="s">
        <v>68</v>
      </c>
    </row>
    <row r="85" spans="1:50" ht="28.5">
      <c r="A85" s="38" t="s">
        <v>106</v>
      </c>
      <c r="B85" s="39">
        <f t="shared" si="18"/>
        <v>81</v>
      </c>
      <c r="C85" s="40">
        <v>46028</v>
      </c>
      <c r="D85" s="40" t="s">
        <v>32</v>
      </c>
      <c r="E85" s="40" t="s">
        <v>33</v>
      </c>
      <c r="F85" s="41">
        <v>755.4</v>
      </c>
      <c r="G85" s="42" t="s">
        <v>75</v>
      </c>
      <c r="H85" s="43" t="str">
        <f>IFERROR(VLOOKUP($J85,'[9]FROM (3)'!$E$4:$F$230,2,FALSE),"")</f>
        <v>JTCS</v>
      </c>
      <c r="I85" s="44" t="str">
        <f t="shared" si="15"/>
        <v>RACK, PS</v>
      </c>
      <c r="J85" s="44" t="str">
        <f t="shared" si="16"/>
        <v>JGD10-001260-40-1</v>
      </c>
      <c r="K85" s="59" t="str">
        <f t="shared" si="12"/>
        <v>PD25121073</v>
      </c>
      <c r="L85" s="46" t="str" cm="1">
        <f t="array" ref="L85">IFERROR(_xlfn.IFS(
    LEN($A85)-LEN(SUBSTITUTE($A85,"|",""))=12, RIGHT(A85, LEN(A85)-FIND("~", SUBSTITUTE(A85,"|","~", LEN(A85)-LEN(SUBSTITUTE(A85,"|",""))))),
    LEN($A85)-LEN(SUBSTITUTE($A85,"|",""))=13, MID($A85, FIND("~", SUBSTITUTE($A85,"|","~", 11))+1, FIND("~", SUBSTITUTE($A85,"|","~", 12))-FIND("~", SUBSTITUTE($A85,"|","~", 11))-1),
    LEN($A85)-LEN(SUBSTITUTE($A85,"|",""))=14, MID($A85, FIND("~", SUBSTITUTE($A85,"|","~", 11))+1, FIND("~", SUBSTITUTE($A85,"|","~", 12))-FIND("~", SUBSTITUTE($A85,"|","~", 11))-1)
), "")</f>
        <v>E586967</v>
      </c>
      <c r="M85" s="47" t="str">
        <f t="shared" si="10"/>
        <v>SB120141/2/25</v>
      </c>
      <c r="N85" s="46" t="str">
        <f t="shared" si="13"/>
        <v/>
      </c>
      <c r="O85" s="60">
        <v>0</v>
      </c>
      <c r="P85" s="60">
        <v>0</v>
      </c>
      <c r="Q85" s="48">
        <v>139</v>
      </c>
      <c r="R85" s="48">
        <v>673</v>
      </c>
      <c r="S85" s="48"/>
      <c r="T85" s="48"/>
      <c r="U85" s="49"/>
      <c r="V85" s="49"/>
      <c r="W85" s="50">
        <f t="shared" si="11"/>
        <v>0</v>
      </c>
      <c r="X85" s="51">
        <f>IF(A85="", "", IF(COUNTIFS(C$3:C84, C85, D$3:D84, D85, G$3:G84, G85) &gt; 0, "", "11:00"-AW85))</f>
        <v>0.37499999999999994</v>
      </c>
      <c r="Y85" s="52" t="str">
        <f t="shared" si="17"/>
        <v>1:40</v>
      </c>
      <c r="Z85" s="53"/>
      <c r="AA85" s="54"/>
      <c r="AB85" s="53"/>
      <c r="AC85" s="54"/>
      <c r="AD85" s="53"/>
      <c r="AE85" s="54"/>
      <c r="AF85" s="53">
        <v>4.1666666666666664E-2</v>
      </c>
      <c r="AG85" s="54" t="s">
        <v>67</v>
      </c>
      <c r="AH85" s="55">
        <v>4.1666666666666699E-2</v>
      </c>
      <c r="AI85" s="53"/>
      <c r="AJ85" s="54"/>
      <c r="AK85" s="53"/>
      <c r="AL85" s="54"/>
      <c r="AM85" s="53"/>
      <c r="AN85" s="54"/>
      <c r="AO85" s="53"/>
      <c r="AP85" s="54"/>
      <c r="AQ85" s="53"/>
      <c r="AR85" s="54"/>
      <c r="AS85" s="53"/>
      <c r="AT85" s="54"/>
      <c r="AU85" s="53">
        <v>4.1666666666666699E-2</v>
      </c>
      <c r="AV85" s="54" t="s">
        <v>37</v>
      </c>
      <c r="AW85" s="57">
        <f t="shared" si="14"/>
        <v>8.333333333333337E-2</v>
      </c>
      <c r="AX85" s="58" t="s">
        <v>77</v>
      </c>
    </row>
    <row r="86" spans="1:50" ht="28.5">
      <c r="A86" s="38" t="s">
        <v>144</v>
      </c>
      <c r="B86" s="39">
        <f t="shared" si="18"/>
        <v>82</v>
      </c>
      <c r="C86" s="40">
        <v>46028</v>
      </c>
      <c r="D86" s="40" t="s">
        <v>32</v>
      </c>
      <c r="E86" s="40" t="s">
        <v>33</v>
      </c>
      <c r="F86" s="41">
        <v>755.4</v>
      </c>
      <c r="G86" s="42" t="s">
        <v>75</v>
      </c>
      <c r="H86" s="43" t="str">
        <f>IFERROR(VLOOKUP($J86,'[9]FROM (3)'!$E$4:$F$230,2,FALSE),"")</f>
        <v>JTCS</v>
      </c>
      <c r="I86" s="44" t="str">
        <f t="shared" si="15"/>
        <v>RACK, PS</v>
      </c>
      <c r="J86" s="44" t="str">
        <f t="shared" si="16"/>
        <v>JGD10-001260-40-1</v>
      </c>
      <c r="K86" s="59" t="str">
        <f t="shared" si="12"/>
        <v>PD25121073</v>
      </c>
      <c r="L86" s="46" t="str" cm="1">
        <f t="array" ref="L86">IFERROR(_xlfn.IFS(
    LEN($A86)-LEN(SUBSTITUTE($A86,"|",""))=12, RIGHT(A86, LEN(A86)-FIND("~", SUBSTITUTE(A86,"|","~", LEN(A86)-LEN(SUBSTITUTE(A86,"|",""))))),
    LEN($A86)-LEN(SUBSTITUTE($A86,"|",""))=13, MID($A86, FIND("~", SUBSTITUTE($A86,"|","~", 11))+1, FIND("~", SUBSTITUTE($A86,"|","~", 12))-FIND("~", SUBSTITUTE($A86,"|","~", 11))-1),
    LEN($A86)-LEN(SUBSTITUTE($A86,"|",""))=14, MID($A86, FIND("~", SUBSTITUTE($A86,"|","~", 11))+1, FIND("~", SUBSTITUTE($A86,"|","~", 12))-FIND("~", SUBSTITUTE($A86,"|","~", 11))-1)
), "")</f>
        <v>E586967</v>
      </c>
      <c r="M86" s="47" t="str">
        <f t="shared" si="10"/>
        <v>SB120141/1/25</v>
      </c>
      <c r="N86" s="46" t="str">
        <f t="shared" si="13"/>
        <v/>
      </c>
      <c r="O86" s="60">
        <v>47</v>
      </c>
      <c r="P86" s="60">
        <v>973</v>
      </c>
      <c r="Q86" s="48">
        <v>185</v>
      </c>
      <c r="R86" s="48">
        <v>895</v>
      </c>
      <c r="S86" s="48"/>
      <c r="T86" s="48"/>
      <c r="U86" s="49">
        <v>155</v>
      </c>
      <c r="V86" s="49">
        <v>9</v>
      </c>
      <c r="W86" s="50">
        <f t="shared" si="11"/>
        <v>164</v>
      </c>
      <c r="X86" s="51" t="str">
        <f>IF(A86="", "", IF(COUNTIFS(C$3:C85, C86, D$3:D85, D86, G$3:G85, G86) &gt; 0, "", "11:00"-AW86))</f>
        <v/>
      </c>
      <c r="Y86" s="52" t="str">
        <f t="shared" si="17"/>
        <v/>
      </c>
      <c r="Z86" s="53"/>
      <c r="AA86" s="54"/>
      <c r="AB86" s="53"/>
      <c r="AC86" s="54"/>
      <c r="AD86" s="53"/>
      <c r="AE86" s="54"/>
      <c r="AF86" s="53"/>
      <c r="AG86" s="54"/>
      <c r="AH86" s="55">
        <v>4.1666666666666699E-2</v>
      </c>
      <c r="AI86" s="53"/>
      <c r="AJ86" s="54"/>
      <c r="AK86" s="53"/>
      <c r="AL86" s="54"/>
      <c r="AM86" s="53"/>
      <c r="AN86" s="54"/>
      <c r="AO86" s="53"/>
      <c r="AP86" s="54"/>
      <c r="AQ86" s="53"/>
      <c r="AR86" s="54"/>
      <c r="AS86" s="53"/>
      <c r="AT86" s="54"/>
      <c r="AU86" s="53">
        <v>4.1666666666666699E-2</v>
      </c>
      <c r="AV86" s="54" t="s">
        <v>37</v>
      </c>
      <c r="AW86" s="57">
        <f t="shared" si="14"/>
        <v>4.1666666666666699E-2</v>
      </c>
      <c r="AX86" s="58" t="s">
        <v>77</v>
      </c>
    </row>
    <row r="87" spans="1:50" ht="28.5">
      <c r="A87" s="38" t="s">
        <v>145</v>
      </c>
      <c r="B87" s="39">
        <f t="shared" si="18"/>
        <v>83</v>
      </c>
      <c r="C87" s="40">
        <v>46028</v>
      </c>
      <c r="D87" s="40" t="s">
        <v>32</v>
      </c>
      <c r="E87" s="40" t="s">
        <v>33</v>
      </c>
      <c r="F87" s="41">
        <v>648.29999999999995</v>
      </c>
      <c r="G87" s="42" t="s">
        <v>75</v>
      </c>
      <c r="H87" s="43" t="str">
        <f>IFERROR(VLOOKUP($J87,'[9]FROM (3)'!$E$4:$F$230,2,FALSE),"")</f>
        <v>JTCS</v>
      </c>
      <c r="I87" s="44" t="str">
        <f t="shared" si="15"/>
        <v>RACK, PS</v>
      </c>
      <c r="J87" s="44" t="str">
        <f t="shared" si="16"/>
        <v>JGD10-000520-B</v>
      </c>
      <c r="K87" s="59" t="str">
        <f t="shared" si="12"/>
        <v>PD25120965</v>
      </c>
      <c r="L87" s="46" t="str" cm="1">
        <f t="array" ref="L87">IFERROR(_xlfn.IFS(
    LEN($A87)-LEN(SUBSTITUTE($A87,"|",""))=12, RIGHT(A87, LEN(A87)-FIND("~", SUBSTITUTE(A87,"|","~", LEN(A87)-LEN(SUBSTITUTE(A87,"|",""))))),
    LEN($A87)-LEN(SUBSTITUTE($A87,"|",""))=13, MID($A87, FIND("~", SUBSTITUTE($A87,"|","~", 11))+1, FIND("~", SUBSTITUTE($A87,"|","~", 12))-FIND("~", SUBSTITUTE($A87,"|","~", 11))-1),
    LEN($A87)-LEN(SUBSTITUTE($A87,"|",""))=14, MID($A87, FIND("~", SUBSTITUTE($A87,"|","~", 11))+1, FIND("~", SUBSTITUTE($A87,"|","~", 12))-FIND("~", SUBSTITUTE($A87,"|","~", 11))-1)
), "")</f>
        <v>E585615</v>
      </c>
      <c r="M87" s="47" t="str">
        <f t="shared" si="10"/>
        <v>SB120115/1/25</v>
      </c>
      <c r="N87" s="46" t="str">
        <f t="shared" si="13"/>
        <v/>
      </c>
      <c r="O87" s="60">
        <v>74</v>
      </c>
      <c r="P87" s="60">
        <v>1226</v>
      </c>
      <c r="Q87" s="48">
        <v>370</v>
      </c>
      <c r="R87" s="48">
        <v>1154</v>
      </c>
      <c r="S87" s="48"/>
      <c r="T87" s="48"/>
      <c r="U87" s="49"/>
      <c r="V87" s="49"/>
      <c r="W87" s="50">
        <f t="shared" si="11"/>
        <v>0</v>
      </c>
      <c r="X87" s="51" t="str">
        <f>IF(A87="", "", IF(COUNTIFS(C$3:C86, C87, D$3:D86, D87, G$3:G86, G87) &gt; 0, "", "11:00"-AW87))</f>
        <v/>
      </c>
      <c r="Y87" s="52" t="str">
        <f t="shared" si="17"/>
        <v/>
      </c>
      <c r="Z87" s="53"/>
      <c r="AA87" s="54"/>
      <c r="AB87" s="53"/>
      <c r="AC87" s="54"/>
      <c r="AD87" s="53"/>
      <c r="AE87" s="54"/>
      <c r="AF87" s="53"/>
      <c r="AG87" s="54"/>
      <c r="AH87" s="55">
        <v>4.1666666666666699E-2</v>
      </c>
      <c r="AI87" s="53"/>
      <c r="AJ87" s="54"/>
      <c r="AK87" s="53"/>
      <c r="AL87" s="54"/>
      <c r="AM87" s="53"/>
      <c r="AN87" s="54"/>
      <c r="AO87" s="53"/>
      <c r="AP87" s="54"/>
      <c r="AQ87" s="53"/>
      <c r="AR87" s="54"/>
      <c r="AS87" s="53"/>
      <c r="AT87" s="54"/>
      <c r="AU87" s="53">
        <v>4.1666666666666699E-2</v>
      </c>
      <c r="AV87" s="54" t="s">
        <v>37</v>
      </c>
      <c r="AW87" s="57">
        <f t="shared" si="14"/>
        <v>4.1666666666666699E-2</v>
      </c>
      <c r="AX87" s="58" t="s">
        <v>77</v>
      </c>
    </row>
    <row r="88" spans="1:50" ht="28.5">
      <c r="A88" s="38" t="s">
        <v>146</v>
      </c>
      <c r="B88" s="39">
        <f t="shared" si="18"/>
        <v>84</v>
      </c>
      <c r="C88" s="40">
        <v>46028</v>
      </c>
      <c r="D88" s="40" t="s">
        <v>32</v>
      </c>
      <c r="E88" s="40" t="s">
        <v>33</v>
      </c>
      <c r="F88" s="41">
        <v>648.29999999999995</v>
      </c>
      <c r="G88" s="42" t="s">
        <v>75</v>
      </c>
      <c r="H88" s="43" t="str">
        <f>IFERROR(VLOOKUP($J88,'[9]FROM (3)'!$E$4:$F$230,2,FALSE),"")</f>
        <v>JTCS</v>
      </c>
      <c r="I88" s="44" t="str">
        <f t="shared" si="15"/>
        <v>RACK, PS</v>
      </c>
      <c r="J88" s="44" t="str">
        <f t="shared" si="16"/>
        <v>JGD10-000520-B</v>
      </c>
      <c r="K88" s="59" t="str">
        <f t="shared" si="12"/>
        <v>PD25120965</v>
      </c>
      <c r="L88" s="46" t="str" cm="1">
        <f t="array" ref="L88">IFERROR(_xlfn.IFS(
    LEN($A88)-LEN(SUBSTITUTE($A88,"|",""))=12, RIGHT(A88, LEN(A88)-FIND("~", SUBSTITUTE(A88,"|","~", LEN(A88)-LEN(SUBSTITUTE(A88,"|",""))))),
    LEN($A88)-LEN(SUBSTITUTE($A88,"|",""))=13, MID($A88, FIND("~", SUBSTITUTE($A88,"|","~", 11))+1, FIND("~", SUBSTITUTE($A88,"|","~", 12))-FIND("~", SUBSTITUTE($A88,"|","~", 11))-1),
    LEN($A88)-LEN(SUBSTITUTE($A88,"|",""))=14, MID($A88, FIND("~", SUBSTITUTE($A88,"|","~", 11))+1, FIND("~", SUBSTITUTE($A88,"|","~", 12))-FIND("~", SUBSTITUTE($A88,"|","~", 11))-1)
), "")</f>
        <v>E585615</v>
      </c>
      <c r="M88" s="47" t="str">
        <f t="shared" si="10"/>
        <v>SB120115/2/25</v>
      </c>
      <c r="N88" s="46" t="str">
        <f t="shared" si="13"/>
        <v/>
      </c>
      <c r="O88" s="60">
        <v>67</v>
      </c>
      <c r="P88" s="60">
        <v>1109</v>
      </c>
      <c r="Q88" s="48">
        <v>246</v>
      </c>
      <c r="R88" s="48">
        <v>768</v>
      </c>
      <c r="S88" s="48"/>
      <c r="T88" s="48"/>
      <c r="U88" s="49"/>
      <c r="V88" s="49"/>
      <c r="W88" s="50">
        <f t="shared" si="11"/>
        <v>0</v>
      </c>
      <c r="X88" s="51" t="str">
        <f>IF(A88="", "", IF(COUNTIFS(C$3:C87, C88, D$3:D87, D88, G$3:G87, G88) &gt; 0, "", "11:00"-AW88))</f>
        <v/>
      </c>
      <c r="Y88" s="52" t="str">
        <f t="shared" si="17"/>
        <v/>
      </c>
      <c r="Z88" s="53"/>
      <c r="AA88" s="54"/>
      <c r="AB88" s="53"/>
      <c r="AC88" s="54"/>
      <c r="AD88" s="53"/>
      <c r="AE88" s="54"/>
      <c r="AF88" s="53"/>
      <c r="AG88" s="54"/>
      <c r="AH88" s="55">
        <v>4.1666666666666699E-2</v>
      </c>
      <c r="AI88" s="53"/>
      <c r="AJ88" s="54"/>
      <c r="AK88" s="53"/>
      <c r="AL88" s="54"/>
      <c r="AM88" s="53"/>
      <c r="AN88" s="54"/>
      <c r="AO88" s="53"/>
      <c r="AP88" s="54"/>
      <c r="AQ88" s="53"/>
      <c r="AR88" s="54"/>
      <c r="AS88" s="53"/>
      <c r="AT88" s="54"/>
      <c r="AU88" s="53">
        <v>4.1666666666666699E-2</v>
      </c>
      <c r="AV88" s="54" t="s">
        <v>37</v>
      </c>
      <c r="AW88" s="57">
        <f t="shared" si="14"/>
        <v>4.1666666666666699E-2</v>
      </c>
      <c r="AX88" s="58" t="s">
        <v>77</v>
      </c>
    </row>
    <row r="89" spans="1:50" ht="28.5">
      <c r="A89" s="38" t="s">
        <v>127</v>
      </c>
      <c r="B89" s="39">
        <f t="shared" si="18"/>
        <v>85</v>
      </c>
      <c r="C89" s="40">
        <v>46028</v>
      </c>
      <c r="D89" s="40" t="s">
        <v>80</v>
      </c>
      <c r="E89" s="40" t="s">
        <v>81</v>
      </c>
      <c r="F89" s="41">
        <v>23.4</v>
      </c>
      <c r="G89" s="42" t="s">
        <v>34</v>
      </c>
      <c r="H89" s="43" t="str">
        <f>IFERROR(VLOOKUP($J89,'[9]FROM (3)'!$E$4:$F$230,2,FALSE),"")</f>
        <v/>
      </c>
      <c r="I89" s="44" t="str">
        <f t="shared" si="15"/>
        <v>FLANGE-13 SLUG</v>
      </c>
      <c r="J89" s="44" t="str">
        <f t="shared" si="16"/>
        <v>ZZ2B7401TX1</v>
      </c>
      <c r="K89" s="59" t="str">
        <f t="shared" si="12"/>
        <v>PD25121000</v>
      </c>
      <c r="L89" s="46" t="str" cm="1">
        <f t="array" ref="L89">IFERROR(_xlfn.IFS(
    LEN($A89)-LEN(SUBSTITUTE($A89,"|",""))=12, RIGHT(A89, LEN(A89)-FIND("~", SUBSTITUTE(A89,"|","~", LEN(A89)-LEN(SUBSTITUTE(A89,"|",""))))),
    LEN($A89)-LEN(SUBSTITUTE($A89,"|",""))=13, MID($A89, FIND("~", SUBSTITUTE($A89,"|","~", 11))+1, FIND("~", SUBSTITUTE($A89,"|","~", 12))-FIND("~", SUBSTITUTE($A89,"|","~", 11))-1),
    LEN($A89)-LEN(SUBSTITUTE($A89,"|",""))=14, MID($A89, FIND("~", SUBSTITUTE($A89,"|","~", 11))+1, FIND("~", SUBSTITUTE($A89,"|","~", 12))-FIND("~", SUBSTITUTE($A89,"|","~", 11))-1)
), "")</f>
        <v>2-73052</v>
      </c>
      <c r="M89" s="47" t="str">
        <f t="shared" si="10"/>
        <v>2B2503452</v>
      </c>
      <c r="N89" s="46" t="str">
        <f t="shared" si="13"/>
        <v/>
      </c>
      <c r="O89" s="60"/>
      <c r="P89" s="60"/>
      <c r="Q89" s="48">
        <v>3425</v>
      </c>
      <c r="R89" s="48">
        <v>790</v>
      </c>
      <c r="S89" s="48"/>
      <c r="T89" s="48"/>
      <c r="U89" s="49"/>
      <c r="V89" s="49"/>
      <c r="W89" s="50">
        <f t="shared" si="11"/>
        <v>0</v>
      </c>
      <c r="X89" s="51">
        <f>IF(A89="", "", IF(COUNTIFS(C$3:C88, C89, D$3:D88, D89, G$3:G88, G89) &gt; 0, "", "11:00"-AW89))</f>
        <v>0.37499999999999994</v>
      </c>
      <c r="Y89" s="52" t="str">
        <f t="shared" si="17"/>
        <v>1:40</v>
      </c>
      <c r="Z89" s="53"/>
      <c r="AA89" s="54"/>
      <c r="AB89" s="53"/>
      <c r="AC89" s="54"/>
      <c r="AD89" s="53"/>
      <c r="AE89" s="54"/>
      <c r="AF89" s="53"/>
      <c r="AG89" s="54"/>
      <c r="AH89" s="55">
        <v>4.1666666666666699E-2</v>
      </c>
      <c r="AI89" s="53"/>
      <c r="AJ89" s="54"/>
      <c r="AK89" s="53"/>
      <c r="AL89" s="54"/>
      <c r="AM89" s="53"/>
      <c r="AN89" s="54"/>
      <c r="AO89" s="53"/>
      <c r="AP89" s="54"/>
      <c r="AQ89" s="53"/>
      <c r="AR89" s="54"/>
      <c r="AS89" s="53">
        <v>4.1666666666666664E-2</v>
      </c>
      <c r="AT89" s="54" t="s">
        <v>147</v>
      </c>
      <c r="AU89" s="53">
        <v>4.1666666666666699E-2</v>
      </c>
      <c r="AV89" s="54" t="s">
        <v>37</v>
      </c>
      <c r="AW89" s="57">
        <f t="shared" si="14"/>
        <v>8.333333333333337E-2</v>
      </c>
      <c r="AX89" s="58" t="s">
        <v>83</v>
      </c>
    </row>
    <row r="90" spans="1:50" ht="28.5">
      <c r="A90" s="38" t="s">
        <v>128</v>
      </c>
      <c r="B90" s="39">
        <f t="shared" si="18"/>
        <v>86</v>
      </c>
      <c r="C90" s="40">
        <v>46028</v>
      </c>
      <c r="D90" s="40" t="s">
        <v>80</v>
      </c>
      <c r="E90" s="40" t="s">
        <v>81</v>
      </c>
      <c r="F90" s="41">
        <v>191.5</v>
      </c>
      <c r="G90" s="42" t="s">
        <v>41</v>
      </c>
      <c r="H90" s="43" t="str">
        <f>IFERROR(VLOOKUP($J90,'[9]FROM (3)'!$E$4:$F$230,2,FALSE),"")</f>
        <v>SDM</v>
      </c>
      <c r="I90" s="44" t="str">
        <f t="shared" si="15"/>
        <v>RING CAM,OUTER</v>
      </c>
      <c r="J90" s="44" t="str">
        <f t="shared" si="16"/>
        <v>SM294173-0020</v>
      </c>
      <c r="K90" s="59" t="str">
        <f t="shared" si="12"/>
        <v>PD26010106</v>
      </c>
      <c r="L90" s="46" t="str" cm="1">
        <f t="array" ref="L90">IFERROR(_xlfn.IFS(
    LEN($A90)-LEN(SUBSTITUTE($A90,"|",""))=12, RIGHT(A90, LEN(A90)-FIND("~", SUBSTITUTE(A90,"|","~", LEN(A90)-LEN(SUBSTITUTE(A90,"|",""))))),
    LEN($A90)-LEN(SUBSTITUTE($A90,"|",""))=13, MID($A90, FIND("~", SUBSTITUTE($A90,"|","~", 11))+1, FIND("~", SUBSTITUTE($A90,"|","~", 12))-FIND("~", SUBSTITUTE($A90,"|","~", 11))-1),
    LEN($A90)-LEN(SUBSTITUTE($A90,"|",""))=14, MID($A90, FIND("~", SUBSTITUTE($A90,"|","~", 11))+1, FIND("~", SUBSTITUTE($A90,"|","~", 12))-FIND("~", SUBSTITUTE($A90,"|","~", 11))-1)
), "")</f>
        <v>X231A</v>
      </c>
      <c r="M90" s="47" t="str">
        <f t="shared" si="10"/>
        <v>SB120117/1/25</v>
      </c>
      <c r="N90" s="46" t="str">
        <f t="shared" si="13"/>
        <v/>
      </c>
      <c r="O90" s="60"/>
      <c r="P90" s="60"/>
      <c r="Q90" s="48">
        <v>3167</v>
      </c>
      <c r="R90" s="48">
        <v>606</v>
      </c>
      <c r="S90" s="48"/>
      <c r="T90" s="48"/>
      <c r="U90" s="49"/>
      <c r="V90" s="49"/>
      <c r="W90" s="50">
        <f t="shared" si="11"/>
        <v>0</v>
      </c>
      <c r="X90" s="51">
        <f>IF(A90="", "", IF(COUNTIFS(C$3:C89, C90, D$3:D89, D90, G$3:G89, G90) &gt; 0, "", "11:00"-AW90))</f>
        <v>0.37499999999999994</v>
      </c>
      <c r="Y90" s="52" t="str">
        <f t="shared" si="17"/>
        <v>1:40</v>
      </c>
      <c r="Z90" s="53"/>
      <c r="AA90" s="54"/>
      <c r="AB90" s="53"/>
      <c r="AC90" s="54"/>
      <c r="AD90" s="53"/>
      <c r="AE90" s="54"/>
      <c r="AF90" s="53"/>
      <c r="AG90" s="54"/>
      <c r="AH90" s="55">
        <v>4.1666666666666699E-2</v>
      </c>
      <c r="AI90" s="53"/>
      <c r="AJ90" s="54"/>
      <c r="AK90" s="53"/>
      <c r="AL90" s="54"/>
      <c r="AM90" s="53"/>
      <c r="AN90" s="54"/>
      <c r="AO90" s="53"/>
      <c r="AP90" s="54"/>
      <c r="AQ90" s="53"/>
      <c r="AR90" s="54"/>
      <c r="AS90" s="53">
        <v>4.1666666666666664E-2</v>
      </c>
      <c r="AT90" s="54" t="s">
        <v>147</v>
      </c>
      <c r="AU90" s="53">
        <v>4.1666666666666699E-2</v>
      </c>
      <c r="AV90" s="54" t="s">
        <v>37</v>
      </c>
      <c r="AW90" s="57">
        <f t="shared" si="14"/>
        <v>8.333333333333337E-2</v>
      </c>
      <c r="AX90" s="58" t="s">
        <v>83</v>
      </c>
    </row>
    <row r="91" spans="1:50" ht="28.5">
      <c r="A91" s="38" t="s">
        <v>43</v>
      </c>
      <c r="B91" s="39">
        <f t="shared" si="18"/>
        <v>87</v>
      </c>
      <c r="C91" s="40">
        <v>46028</v>
      </c>
      <c r="D91" s="40" t="s">
        <v>80</v>
      </c>
      <c r="E91" s="40" t="s">
        <v>81</v>
      </c>
      <c r="F91" s="41">
        <v>25.35</v>
      </c>
      <c r="G91" s="42" t="s">
        <v>44</v>
      </c>
      <c r="H91" s="43" t="str">
        <f>IFERROR(VLOOKUP($J91,'[9]FROM (3)'!$E$4:$F$230,2,FALSE),"")</f>
        <v>KYOWA NT</v>
      </c>
      <c r="I91" s="44" t="str">
        <f t="shared" si="15"/>
        <v>PIN</v>
      </c>
      <c r="J91" s="44" t="str">
        <f t="shared" si="16"/>
        <v>8306T0036</v>
      </c>
      <c r="K91" s="59" t="str">
        <f t="shared" si="12"/>
        <v>PD25121321</v>
      </c>
      <c r="L91" s="46" t="str" cm="1">
        <f t="array" ref="L91">IFERROR(_xlfn.IFS(
    LEN($A91)-LEN(SUBSTITUTE($A91,"|",""))=12, RIGHT(A91, LEN(A91)-FIND("~", SUBSTITUTE(A91,"|","~", LEN(A91)-LEN(SUBSTITUTE(A91,"|",""))))),
    LEN($A91)-LEN(SUBSTITUTE($A91,"|",""))=13, MID($A91, FIND("~", SUBSTITUTE($A91,"|","~", 11))+1, FIND("~", SUBSTITUTE($A91,"|","~", 12))-FIND("~", SUBSTITUTE($A91,"|","~", 11))-1),
    LEN($A91)-LEN(SUBSTITUTE($A91,"|",""))=14, MID($A91, FIND("~", SUBSTITUTE($A91,"|","~", 11))+1, FIND("~", SUBSTITUTE($A91,"|","~", 12))-FIND("~", SUBSTITUTE($A91,"|","~", 11))-1)
), "")</f>
        <v>665573</v>
      </c>
      <c r="M91" s="47" t="str">
        <f t="shared" si="10"/>
        <v>SB120110/1/25</v>
      </c>
      <c r="N91" s="46" t="str">
        <f t="shared" si="13"/>
        <v/>
      </c>
      <c r="O91" s="60"/>
      <c r="P91" s="60"/>
      <c r="Q91" s="48">
        <v>6569</v>
      </c>
      <c r="R91" s="48">
        <v>167</v>
      </c>
      <c r="S91" s="48"/>
      <c r="T91" s="48"/>
      <c r="U91" s="49"/>
      <c r="V91" s="49"/>
      <c r="W91" s="50">
        <f t="shared" si="11"/>
        <v>0</v>
      </c>
      <c r="X91" s="51">
        <f>IF(A91="", "", IF(COUNTIFS(C$3:C90, C91, D$3:D90, D91, G$3:G90, G91) &gt; 0, "", "11:00"-AW91))</f>
        <v>0.37499999999999994</v>
      </c>
      <c r="Y91" s="52" t="str">
        <f t="shared" si="17"/>
        <v>1:40</v>
      </c>
      <c r="Z91" s="53"/>
      <c r="AA91" s="54"/>
      <c r="AB91" s="53"/>
      <c r="AC91" s="54"/>
      <c r="AD91" s="53"/>
      <c r="AE91" s="54"/>
      <c r="AF91" s="53"/>
      <c r="AG91" s="54"/>
      <c r="AH91" s="55">
        <v>4.1666666666666699E-2</v>
      </c>
      <c r="AI91" s="53"/>
      <c r="AJ91" s="54"/>
      <c r="AK91" s="53"/>
      <c r="AL91" s="54"/>
      <c r="AM91" s="53"/>
      <c r="AN91" s="54"/>
      <c r="AO91" s="53"/>
      <c r="AP91" s="54"/>
      <c r="AQ91" s="53"/>
      <c r="AR91" s="54"/>
      <c r="AS91" s="53">
        <v>4.1666666666666664E-2</v>
      </c>
      <c r="AT91" s="54" t="s">
        <v>147</v>
      </c>
      <c r="AU91" s="53">
        <v>4.1666666666666699E-2</v>
      </c>
      <c r="AV91" s="54" t="s">
        <v>37</v>
      </c>
      <c r="AW91" s="57">
        <f t="shared" si="14"/>
        <v>8.333333333333337E-2</v>
      </c>
      <c r="AX91" s="58" t="s">
        <v>83</v>
      </c>
    </row>
    <row r="92" spans="1:50" ht="28.5">
      <c r="A92" s="38" t="s">
        <v>126</v>
      </c>
      <c r="B92" s="39">
        <f t="shared" si="18"/>
        <v>88</v>
      </c>
      <c r="C92" s="40">
        <v>46028</v>
      </c>
      <c r="D92" s="40" t="s">
        <v>80</v>
      </c>
      <c r="E92" s="40" t="s">
        <v>81</v>
      </c>
      <c r="F92" s="41">
        <v>698.5</v>
      </c>
      <c r="G92" s="42" t="s">
        <v>54</v>
      </c>
      <c r="H92" s="43" t="str">
        <f>IFERROR(VLOOKUP($J92,'[9]FROM (3)'!$E$4:$F$230,2,FALSE),"")</f>
        <v>JCTTH</v>
      </c>
      <c r="I92" s="44" t="str">
        <f t="shared" si="15"/>
        <v>RACK BAR</v>
      </c>
      <c r="J92" s="44" t="str">
        <f t="shared" si="16"/>
        <v>JGD10-000751/000761-A</v>
      </c>
      <c r="K92" s="59" t="str">
        <f t="shared" si="12"/>
        <v>PD25121277</v>
      </c>
      <c r="L92" s="46" t="str" cm="1">
        <f t="array" ref="L92">IFERROR(_xlfn.IFS(
    LEN($A92)-LEN(SUBSTITUTE($A92,"|",""))=12, RIGHT(A92, LEN(A92)-FIND("~", SUBSTITUTE(A92,"|","~", LEN(A92)-LEN(SUBSTITUTE(A92,"|",""))))),
    LEN($A92)-LEN(SUBSTITUTE($A92,"|",""))=13, MID($A92, FIND("~", SUBSTITUTE($A92,"|","~", 11))+1, FIND("~", SUBSTITUTE($A92,"|","~", 12))-FIND("~", SUBSTITUTE($A92,"|","~", 11))-1),
    LEN($A92)-LEN(SUBSTITUTE($A92,"|",""))=14, MID($A92, FIND("~", SUBSTITUTE($A92,"|","~", 11))+1, FIND("~", SUBSTITUTE($A92,"|","~", 12))-FIND("~", SUBSTITUTE($A92,"|","~", 11))-1)
), "")</f>
        <v>665077</v>
      </c>
      <c r="M92" s="47" t="str">
        <f t="shared" si="10"/>
        <v>SB120175/6/25</v>
      </c>
      <c r="N92" s="46" t="str">
        <f t="shared" si="13"/>
        <v/>
      </c>
      <c r="O92" s="60" t="s">
        <v>35</v>
      </c>
      <c r="P92" s="60" t="s">
        <v>35</v>
      </c>
      <c r="Q92" s="48">
        <v>180</v>
      </c>
      <c r="R92" s="48">
        <v>806</v>
      </c>
      <c r="S92" s="48"/>
      <c r="T92" s="48"/>
      <c r="U92" s="49"/>
      <c r="V92" s="49"/>
      <c r="W92" s="50">
        <f t="shared" si="11"/>
        <v>0</v>
      </c>
      <c r="X92" s="51">
        <f>IF(A92="", "", IF(COUNTIFS(C$3:C91, C92, D$3:D91, D92, G$3:G91, G92) &gt; 0, "", "11:00"-AW92))</f>
        <v>0.37499999999999994</v>
      </c>
      <c r="Y92" s="52" t="str">
        <f t="shared" si="17"/>
        <v>1:40</v>
      </c>
      <c r="Z92" s="53"/>
      <c r="AA92" s="54"/>
      <c r="AB92" s="53"/>
      <c r="AC92" s="54"/>
      <c r="AD92" s="53"/>
      <c r="AE92" s="54"/>
      <c r="AF92" s="53"/>
      <c r="AG92" s="54"/>
      <c r="AH92" s="55">
        <v>4.1666666666666699E-2</v>
      </c>
      <c r="AI92" s="53"/>
      <c r="AJ92" s="54"/>
      <c r="AK92" s="53"/>
      <c r="AL92" s="54"/>
      <c r="AM92" s="53"/>
      <c r="AN92" s="54"/>
      <c r="AO92" s="53"/>
      <c r="AP92" s="54"/>
      <c r="AQ92" s="53"/>
      <c r="AR92" s="54"/>
      <c r="AS92" s="53">
        <v>4.1666666666666664E-2</v>
      </c>
      <c r="AT92" s="54" t="s">
        <v>147</v>
      </c>
      <c r="AU92" s="53">
        <v>4.1666666666666699E-2</v>
      </c>
      <c r="AV92" s="54" t="s">
        <v>37</v>
      </c>
      <c r="AW92" s="57">
        <f t="shared" si="14"/>
        <v>8.333333333333337E-2</v>
      </c>
      <c r="AX92" s="58" t="s">
        <v>91</v>
      </c>
    </row>
    <row r="93" spans="1:50" ht="28.5">
      <c r="A93" s="38" t="s">
        <v>148</v>
      </c>
      <c r="B93" s="39">
        <f t="shared" si="18"/>
        <v>89</v>
      </c>
      <c r="C93" s="40">
        <v>46028</v>
      </c>
      <c r="D93" s="40" t="s">
        <v>80</v>
      </c>
      <c r="E93" s="40" t="s">
        <v>81</v>
      </c>
      <c r="F93" s="41">
        <v>698.5</v>
      </c>
      <c r="G93" s="42" t="s">
        <v>54</v>
      </c>
      <c r="H93" s="43" t="str">
        <f>IFERROR(VLOOKUP($J93,'[9]FROM (3)'!$E$4:$F$230,2,FALSE),"")</f>
        <v>JCTTH</v>
      </c>
      <c r="I93" s="44" t="str">
        <f t="shared" si="15"/>
        <v>RACK BAR</v>
      </c>
      <c r="J93" s="44" t="str">
        <f t="shared" si="16"/>
        <v>JGD10-000751/000761-A</v>
      </c>
      <c r="K93" s="59" t="str">
        <f t="shared" si="12"/>
        <v>PD25121277</v>
      </c>
      <c r="L93" s="46" t="str" cm="1">
        <f t="array" ref="L93">IFERROR(_xlfn.IFS(
    LEN($A93)-LEN(SUBSTITUTE($A93,"|",""))=12, RIGHT(A93, LEN(A93)-FIND("~", SUBSTITUTE(A93,"|","~", LEN(A93)-LEN(SUBSTITUTE(A93,"|",""))))),
    LEN($A93)-LEN(SUBSTITUTE($A93,"|",""))=13, MID($A93, FIND("~", SUBSTITUTE($A93,"|","~", 11))+1, FIND("~", SUBSTITUTE($A93,"|","~", 12))-FIND("~", SUBSTITUTE($A93,"|","~", 11))-1),
    LEN($A93)-LEN(SUBSTITUTE($A93,"|",""))=14, MID($A93, FIND("~", SUBSTITUTE($A93,"|","~", 11))+1, FIND("~", SUBSTITUTE($A93,"|","~", 12))-FIND("~", SUBSTITUTE($A93,"|","~", 11))-1)
), "")</f>
        <v>665077</v>
      </c>
      <c r="M93" s="47" t="str">
        <f t="shared" si="10"/>
        <v>SB120175/5/25</v>
      </c>
      <c r="N93" s="46" t="str">
        <f t="shared" si="13"/>
        <v/>
      </c>
      <c r="O93" s="60">
        <v>51</v>
      </c>
      <c r="P93" s="60">
        <v>986</v>
      </c>
      <c r="Q93" s="48">
        <v>204</v>
      </c>
      <c r="R93" s="48">
        <v>913</v>
      </c>
      <c r="S93" s="48"/>
      <c r="T93" s="48"/>
      <c r="U93" s="49">
        <v>195</v>
      </c>
      <c r="V93" s="49">
        <v>10</v>
      </c>
      <c r="W93" s="50">
        <f t="shared" si="11"/>
        <v>205</v>
      </c>
      <c r="X93" s="51" t="str">
        <f>IF(A93="", "", IF(COUNTIFS(C$3:C92, C93, D$3:D92, D93, G$3:G92, G93) &gt; 0, "", "11:00"-AW93))</f>
        <v/>
      </c>
      <c r="Y93" s="52" t="str">
        <f t="shared" si="17"/>
        <v/>
      </c>
      <c r="Z93" s="53"/>
      <c r="AA93" s="54"/>
      <c r="AB93" s="53"/>
      <c r="AC93" s="54"/>
      <c r="AD93" s="53"/>
      <c r="AE93" s="54"/>
      <c r="AF93" s="53"/>
      <c r="AG93" s="54"/>
      <c r="AH93" s="55">
        <v>4.1666666666666699E-2</v>
      </c>
      <c r="AI93" s="53"/>
      <c r="AJ93" s="54"/>
      <c r="AK93" s="53"/>
      <c r="AL93" s="54"/>
      <c r="AM93" s="53"/>
      <c r="AN93" s="54"/>
      <c r="AO93" s="53"/>
      <c r="AP93" s="54"/>
      <c r="AQ93" s="53"/>
      <c r="AR93" s="54"/>
      <c r="AS93" s="53"/>
      <c r="AT93" s="54"/>
      <c r="AU93" s="53">
        <v>4.1666666666666699E-2</v>
      </c>
      <c r="AV93" s="54" t="s">
        <v>37</v>
      </c>
      <c r="AW93" s="57">
        <f t="shared" si="14"/>
        <v>4.1666666666666699E-2</v>
      </c>
      <c r="AX93" s="58" t="s">
        <v>91</v>
      </c>
    </row>
    <row r="94" spans="1:50" ht="28.5">
      <c r="A94" s="38" t="s">
        <v>149</v>
      </c>
      <c r="B94" s="39">
        <f t="shared" si="18"/>
        <v>90</v>
      </c>
      <c r="C94" s="40">
        <v>46028</v>
      </c>
      <c r="D94" s="40" t="s">
        <v>80</v>
      </c>
      <c r="E94" s="40" t="s">
        <v>81</v>
      </c>
      <c r="F94" s="41">
        <v>698.5</v>
      </c>
      <c r="G94" s="42" t="s">
        <v>54</v>
      </c>
      <c r="H94" s="43" t="str">
        <f>IFERROR(VLOOKUP($J94,'[9]FROM (3)'!$E$4:$F$230,2,FALSE),"")</f>
        <v>JCTTH</v>
      </c>
      <c r="I94" s="44" t="str">
        <f t="shared" si="15"/>
        <v>RACK BAR</v>
      </c>
      <c r="J94" s="44" t="str">
        <f t="shared" si="16"/>
        <v>JGD10-000751/000761-A</v>
      </c>
      <c r="K94" s="59" t="str">
        <f t="shared" si="12"/>
        <v>PD25121280</v>
      </c>
      <c r="L94" s="46" t="str" cm="1">
        <f t="array" ref="L94">IFERROR(_xlfn.IFS(
    LEN($A94)-LEN(SUBSTITUTE($A94,"|",""))=12, RIGHT(A94, LEN(A94)-FIND("~", SUBSTITUTE(A94,"|","~", LEN(A94)-LEN(SUBSTITUTE(A94,"|",""))))),
    LEN($A94)-LEN(SUBSTITUTE($A94,"|",""))=13, MID($A94, FIND("~", SUBSTITUTE($A94,"|","~", 11))+1, FIND("~", SUBSTITUTE($A94,"|","~", 12))-FIND("~", SUBSTITUTE($A94,"|","~", 11))-1),
    LEN($A94)-LEN(SUBSTITUTE($A94,"|",""))=14, MID($A94, FIND("~", SUBSTITUTE($A94,"|","~", 11))+1, FIND("~", SUBSTITUTE($A94,"|","~", 12))-FIND("~", SUBSTITUTE($A94,"|","~", 11))-1)
), "")</f>
        <v>665077</v>
      </c>
      <c r="M94" s="47" t="str">
        <f t="shared" si="10"/>
        <v>SB120184/2/25</v>
      </c>
      <c r="N94" s="46" t="str">
        <f t="shared" si="13"/>
        <v/>
      </c>
      <c r="O94" s="60">
        <v>51</v>
      </c>
      <c r="P94" s="60">
        <v>986</v>
      </c>
      <c r="Q94" s="48">
        <v>204</v>
      </c>
      <c r="R94" s="48">
        <v>913</v>
      </c>
      <c r="S94" s="48"/>
      <c r="T94" s="48"/>
      <c r="U94" s="49"/>
      <c r="V94" s="49"/>
      <c r="W94" s="50">
        <f t="shared" si="11"/>
        <v>0</v>
      </c>
      <c r="X94" s="51" t="str">
        <f>IF(A94="", "", IF(COUNTIFS(C$3:C93, C94, D$3:D93, D94, G$3:G93, G94) &gt; 0, "", "11:00"-AW94))</f>
        <v/>
      </c>
      <c r="Y94" s="52" t="str">
        <f t="shared" si="17"/>
        <v/>
      </c>
      <c r="Z94" s="53"/>
      <c r="AA94" s="54"/>
      <c r="AB94" s="53"/>
      <c r="AC94" s="54"/>
      <c r="AD94" s="53"/>
      <c r="AE94" s="54"/>
      <c r="AF94" s="53"/>
      <c r="AG94" s="54"/>
      <c r="AH94" s="55">
        <v>4.1666666666666699E-2</v>
      </c>
      <c r="AI94" s="53"/>
      <c r="AJ94" s="54"/>
      <c r="AK94" s="53"/>
      <c r="AL94" s="54"/>
      <c r="AM94" s="53"/>
      <c r="AN94" s="54"/>
      <c r="AO94" s="53"/>
      <c r="AP94" s="54"/>
      <c r="AQ94" s="53"/>
      <c r="AR94" s="54"/>
      <c r="AS94" s="53"/>
      <c r="AT94" s="54"/>
      <c r="AU94" s="53">
        <v>4.1666666666666699E-2</v>
      </c>
      <c r="AV94" s="54" t="s">
        <v>37</v>
      </c>
      <c r="AW94" s="57">
        <f t="shared" si="14"/>
        <v>4.1666666666666699E-2</v>
      </c>
      <c r="AX94" s="58" t="s">
        <v>91</v>
      </c>
    </row>
    <row r="95" spans="1:50" ht="28.5">
      <c r="A95" s="38" t="s">
        <v>150</v>
      </c>
      <c r="B95" s="39">
        <f t="shared" si="18"/>
        <v>91</v>
      </c>
      <c r="C95" s="40">
        <v>46028</v>
      </c>
      <c r="D95" s="40" t="s">
        <v>80</v>
      </c>
      <c r="E95" s="40" t="s">
        <v>81</v>
      </c>
      <c r="F95" s="41">
        <v>698.5</v>
      </c>
      <c r="G95" s="42" t="s">
        <v>54</v>
      </c>
      <c r="H95" s="43" t="str">
        <f>IFERROR(VLOOKUP($J95,'[9]FROM (3)'!$E$4:$F$230,2,FALSE),"")</f>
        <v>JCTTH</v>
      </c>
      <c r="I95" s="44" t="str">
        <f t="shared" si="15"/>
        <v>RACK BAR</v>
      </c>
      <c r="J95" s="44" t="str">
        <f t="shared" si="16"/>
        <v>JGD10-000751/000761-A</v>
      </c>
      <c r="K95" s="59" t="str">
        <f t="shared" si="12"/>
        <v>PD25121280</v>
      </c>
      <c r="L95" s="46" t="str" cm="1">
        <f t="array" ref="L95">IFERROR(_xlfn.IFS(
    LEN($A95)-LEN(SUBSTITUTE($A95,"|",""))=12, RIGHT(A95, LEN(A95)-FIND("~", SUBSTITUTE(A95,"|","~", LEN(A95)-LEN(SUBSTITUTE(A95,"|",""))))),
    LEN($A95)-LEN(SUBSTITUTE($A95,"|",""))=13, MID($A95, FIND("~", SUBSTITUTE($A95,"|","~", 11))+1, FIND("~", SUBSTITUTE($A95,"|","~", 12))-FIND("~", SUBSTITUTE($A95,"|","~", 11))-1),
    LEN($A95)-LEN(SUBSTITUTE($A95,"|",""))=14, MID($A95, FIND("~", SUBSTITUTE($A95,"|","~", 11))+1, FIND("~", SUBSTITUTE($A95,"|","~", 12))-FIND("~", SUBSTITUTE($A95,"|","~", 11))-1)
), "")</f>
        <v>665077</v>
      </c>
      <c r="M95" s="47" t="str">
        <f t="shared" si="10"/>
        <v>SB120184/3/25</v>
      </c>
      <c r="N95" s="46" t="str">
        <f t="shared" si="13"/>
        <v/>
      </c>
      <c r="O95" s="60">
        <v>51</v>
      </c>
      <c r="P95" s="60">
        <v>986</v>
      </c>
      <c r="Q95" s="48">
        <v>204</v>
      </c>
      <c r="R95" s="48">
        <v>913</v>
      </c>
      <c r="S95" s="48"/>
      <c r="T95" s="48"/>
      <c r="U95" s="49"/>
      <c r="V95" s="49"/>
      <c r="W95" s="50">
        <f t="shared" si="11"/>
        <v>0</v>
      </c>
      <c r="X95" s="51" t="str">
        <f>IF(A95="", "", IF(COUNTIFS(C$3:C94, C95, D$3:D94, D95, G$3:G94, G95) &gt; 0, "", "11:00"-AW95))</f>
        <v/>
      </c>
      <c r="Y95" s="52" t="str">
        <f t="shared" si="17"/>
        <v/>
      </c>
      <c r="Z95" s="53"/>
      <c r="AA95" s="54"/>
      <c r="AB95" s="53"/>
      <c r="AC95" s="54"/>
      <c r="AD95" s="53"/>
      <c r="AE95" s="54"/>
      <c r="AF95" s="53"/>
      <c r="AG95" s="54"/>
      <c r="AH95" s="55">
        <v>4.1666666666666699E-2</v>
      </c>
      <c r="AI95" s="53"/>
      <c r="AJ95" s="54"/>
      <c r="AK95" s="53"/>
      <c r="AL95" s="54"/>
      <c r="AM95" s="53"/>
      <c r="AN95" s="54"/>
      <c r="AO95" s="53"/>
      <c r="AP95" s="54"/>
      <c r="AQ95" s="53"/>
      <c r="AR95" s="54"/>
      <c r="AS95" s="53"/>
      <c r="AT95" s="54"/>
      <c r="AU95" s="53">
        <v>4.1666666666666699E-2</v>
      </c>
      <c r="AV95" s="54" t="s">
        <v>37</v>
      </c>
      <c r="AW95" s="57">
        <f t="shared" si="14"/>
        <v>4.1666666666666699E-2</v>
      </c>
      <c r="AX95" s="58" t="s">
        <v>91</v>
      </c>
    </row>
    <row r="96" spans="1:50" ht="28.5">
      <c r="A96" s="38" t="s">
        <v>151</v>
      </c>
      <c r="B96" s="39">
        <f t="shared" si="18"/>
        <v>92</v>
      </c>
      <c r="C96" s="40">
        <v>46028</v>
      </c>
      <c r="D96" s="40" t="s">
        <v>80</v>
      </c>
      <c r="E96" s="40" t="s">
        <v>81</v>
      </c>
      <c r="F96" s="41">
        <v>698.5</v>
      </c>
      <c r="G96" s="42" t="s">
        <v>54</v>
      </c>
      <c r="H96" s="43" t="str">
        <f>IFERROR(VLOOKUP($J96,'[9]FROM (3)'!$E$4:$F$230,2,FALSE),"")</f>
        <v>JCTTH</v>
      </c>
      <c r="I96" s="44" t="str">
        <f t="shared" si="15"/>
        <v>RACK BAR</v>
      </c>
      <c r="J96" s="44" t="str">
        <f t="shared" si="16"/>
        <v>JGD10-000751/000761-A</v>
      </c>
      <c r="K96" s="59" t="str">
        <f t="shared" si="12"/>
        <v>PD25121280</v>
      </c>
      <c r="L96" s="46" t="str" cm="1">
        <f t="array" ref="L96">IFERROR(_xlfn.IFS(
    LEN($A96)-LEN(SUBSTITUTE($A96,"|",""))=12, RIGHT(A96, LEN(A96)-FIND("~", SUBSTITUTE(A96,"|","~", LEN(A96)-LEN(SUBSTITUTE(A96,"|",""))))),
    LEN($A96)-LEN(SUBSTITUTE($A96,"|",""))=13, MID($A96, FIND("~", SUBSTITUTE($A96,"|","~", 11))+1, FIND("~", SUBSTITUTE($A96,"|","~", 12))-FIND("~", SUBSTITUTE($A96,"|","~", 11))-1),
    LEN($A96)-LEN(SUBSTITUTE($A96,"|",""))=14, MID($A96, FIND("~", SUBSTITUTE($A96,"|","~", 11))+1, FIND("~", SUBSTITUTE($A96,"|","~", 12))-FIND("~", SUBSTITUTE($A96,"|","~", 11))-1)
), "")</f>
        <v>665077</v>
      </c>
      <c r="M96" s="47" t="str">
        <f t="shared" si="10"/>
        <v>SB120184/1/25</v>
      </c>
      <c r="N96" s="46" t="str">
        <f t="shared" si="13"/>
        <v/>
      </c>
      <c r="O96" s="60">
        <v>51</v>
      </c>
      <c r="P96" s="60">
        <v>986</v>
      </c>
      <c r="Q96" s="48">
        <v>203</v>
      </c>
      <c r="R96" s="48">
        <v>908</v>
      </c>
      <c r="S96" s="48"/>
      <c r="T96" s="48"/>
      <c r="U96" s="49">
        <v>195</v>
      </c>
      <c r="V96" s="49">
        <v>10</v>
      </c>
      <c r="W96" s="50">
        <f t="shared" si="11"/>
        <v>205</v>
      </c>
      <c r="X96" s="51" t="str">
        <f>IF(A96="", "", IF(COUNTIFS(C$3:C95, C96, D$3:D95, D96, G$3:G95, G96) &gt; 0, "", "11:00"-AW96))</f>
        <v/>
      </c>
      <c r="Y96" s="52" t="str">
        <f t="shared" si="17"/>
        <v/>
      </c>
      <c r="Z96" s="53"/>
      <c r="AA96" s="54"/>
      <c r="AB96" s="53"/>
      <c r="AC96" s="54"/>
      <c r="AD96" s="53"/>
      <c r="AE96" s="54"/>
      <c r="AF96" s="53"/>
      <c r="AG96" s="54"/>
      <c r="AH96" s="55">
        <v>4.1666666666666699E-2</v>
      </c>
      <c r="AI96" s="53"/>
      <c r="AJ96" s="54"/>
      <c r="AK96" s="53"/>
      <c r="AL96" s="54"/>
      <c r="AM96" s="53"/>
      <c r="AN96" s="54"/>
      <c r="AO96" s="53"/>
      <c r="AP96" s="54"/>
      <c r="AQ96" s="53"/>
      <c r="AR96" s="54"/>
      <c r="AS96" s="53"/>
      <c r="AT96" s="54"/>
      <c r="AU96" s="53">
        <v>4.1666666666666699E-2</v>
      </c>
      <c r="AV96" s="54" t="s">
        <v>37</v>
      </c>
      <c r="AW96" s="57">
        <f t="shared" si="14"/>
        <v>4.1666666666666699E-2</v>
      </c>
      <c r="AX96" s="58" t="s">
        <v>91</v>
      </c>
    </row>
    <row r="97" spans="1:50" ht="28.5">
      <c r="A97" s="38" t="s">
        <v>152</v>
      </c>
      <c r="B97" s="39">
        <f t="shared" si="18"/>
        <v>93</v>
      </c>
      <c r="C97" s="40">
        <v>46028</v>
      </c>
      <c r="D97" s="40" t="s">
        <v>80</v>
      </c>
      <c r="E97" s="40" t="s">
        <v>81</v>
      </c>
      <c r="F97" s="41">
        <v>719.6</v>
      </c>
      <c r="G97" s="42" t="s">
        <v>66</v>
      </c>
      <c r="H97" s="43" t="str">
        <f>IFERROR(VLOOKUP($J97,'[9]FROM (3)'!$E$4:$F$230,2,FALSE),"")</f>
        <v>JAMY</v>
      </c>
      <c r="I97" s="44" t="str">
        <f t="shared" si="15"/>
        <v>RACK BAR</v>
      </c>
      <c r="J97" s="44" t="str">
        <f t="shared" si="16"/>
        <v>JGD10S000830-51-0</v>
      </c>
      <c r="K97" s="59" t="str">
        <f t="shared" si="12"/>
        <v>PD25121175</v>
      </c>
      <c r="L97" s="46" t="str" cm="1">
        <f t="array" ref="L97">IFERROR(_xlfn.IFS(
    LEN($A97)-LEN(SUBSTITUTE($A97,"|",""))=12, RIGHT(A97, LEN(A97)-FIND("~", SUBSTITUTE(A97,"|","~", LEN(A97)-LEN(SUBSTITUTE(A97,"|",""))))),
    LEN($A97)-LEN(SUBSTITUTE($A97,"|",""))=13, MID($A97, FIND("~", SUBSTITUTE($A97,"|","~", 11))+1, FIND("~", SUBSTITUTE($A97,"|","~", 12))-FIND("~", SUBSTITUTE($A97,"|","~", 11))-1),
    LEN($A97)-LEN(SUBSTITUTE($A97,"|",""))=14, MID($A97, FIND("~", SUBSTITUTE($A97,"|","~", 11))+1, FIND("~", SUBSTITUTE($A97,"|","~", 12))-FIND("~", SUBSTITUTE($A97,"|","~", 11))-1)
), "")</f>
        <v>E586446</v>
      </c>
      <c r="M97" s="47" t="str">
        <f t="shared" si="10"/>
        <v>SB120166/2/25</v>
      </c>
      <c r="N97" s="46" t="str">
        <f t="shared" si="13"/>
        <v/>
      </c>
      <c r="O97" s="60" t="s">
        <v>35</v>
      </c>
      <c r="P97" s="60" t="s">
        <v>35</v>
      </c>
      <c r="Q97" s="48">
        <v>128</v>
      </c>
      <c r="R97" s="48">
        <v>520</v>
      </c>
      <c r="S97" s="48"/>
      <c r="T97" s="48"/>
      <c r="U97" s="49">
        <v>93</v>
      </c>
      <c r="V97" s="49">
        <v>6</v>
      </c>
      <c r="W97" s="50">
        <f t="shared" si="11"/>
        <v>99</v>
      </c>
      <c r="X97" s="51">
        <f>IF(A97="", "", IF(COUNTIFS(C$3:C96, C97, D$3:D96, D97, G$3:G96, G97) &gt; 0, "", "11:00"-AW97))</f>
        <v>0.33333333333333326</v>
      </c>
      <c r="Y97" s="52" t="str">
        <f t="shared" si="17"/>
        <v>1:40</v>
      </c>
      <c r="Z97" s="53"/>
      <c r="AA97" s="54"/>
      <c r="AB97" s="53"/>
      <c r="AC97" s="54"/>
      <c r="AD97" s="53"/>
      <c r="AE97" s="54"/>
      <c r="AF97" s="53"/>
      <c r="AG97" s="54"/>
      <c r="AH97" s="55">
        <v>4.1666666666666699E-2</v>
      </c>
      <c r="AI97" s="53"/>
      <c r="AJ97" s="54"/>
      <c r="AK97" s="53"/>
      <c r="AL97" s="54"/>
      <c r="AM97" s="53"/>
      <c r="AN97" s="54"/>
      <c r="AO97" s="53">
        <v>4.1666666666666664E-2</v>
      </c>
      <c r="AP97" s="54" t="s">
        <v>67</v>
      </c>
      <c r="AQ97" s="53"/>
      <c r="AR97" s="54"/>
      <c r="AS97" s="53">
        <v>4.1666666666666664E-2</v>
      </c>
      <c r="AT97" s="54" t="s">
        <v>147</v>
      </c>
      <c r="AU97" s="53">
        <v>4.1666666666666699E-2</v>
      </c>
      <c r="AV97" s="54" t="s">
        <v>37</v>
      </c>
      <c r="AW97" s="57">
        <f t="shared" si="14"/>
        <v>0.12500000000000003</v>
      </c>
      <c r="AX97" s="58" t="s">
        <v>96</v>
      </c>
    </row>
    <row r="98" spans="1:50" ht="21.75" customHeight="1">
      <c r="A98" s="38" t="s">
        <v>153</v>
      </c>
      <c r="B98" s="39">
        <f t="shared" si="18"/>
        <v>94</v>
      </c>
      <c r="C98" s="40">
        <v>46028</v>
      </c>
      <c r="D98" s="40" t="s">
        <v>80</v>
      </c>
      <c r="E98" s="40" t="s">
        <v>81</v>
      </c>
      <c r="F98" s="41">
        <v>719.6</v>
      </c>
      <c r="G98" s="42" t="s">
        <v>66</v>
      </c>
      <c r="H98" s="43" t="str">
        <f>IFERROR(VLOOKUP($J98,'[9]FROM (3)'!$E$4:$F$230,2,FALSE),"")</f>
        <v>JAMY</v>
      </c>
      <c r="I98" s="44" t="str">
        <f t="shared" si="15"/>
        <v>RACK BAR</v>
      </c>
      <c r="J98" s="44" t="str">
        <f t="shared" si="16"/>
        <v>JGD10S000830-51-0</v>
      </c>
      <c r="K98" s="59" t="str">
        <f t="shared" si="12"/>
        <v>PD25121175</v>
      </c>
      <c r="L98" s="46" t="str" cm="1">
        <f t="array" ref="L98">IFERROR(_xlfn.IFS(
    LEN($A98)-LEN(SUBSTITUTE($A98,"|",""))=12, RIGHT(A98, LEN(A98)-FIND("~", SUBSTITUTE(A98,"|","~", LEN(A98)-LEN(SUBSTITUTE(A98,"|",""))))),
    LEN($A98)-LEN(SUBSTITUTE($A98,"|",""))=13, MID($A98, FIND("~", SUBSTITUTE($A98,"|","~", 11))+1, FIND("~", SUBSTITUTE($A98,"|","~", 12))-FIND("~", SUBSTITUTE($A98,"|","~", 11))-1),
    LEN($A98)-LEN(SUBSTITUTE($A98,"|",""))=14, MID($A98, FIND("~", SUBSTITUTE($A98,"|","~", 11))+1, FIND("~", SUBSTITUTE($A98,"|","~", 12))-FIND("~", SUBSTITUTE($A98,"|","~", 11))-1)
), "")</f>
        <v>E586446</v>
      </c>
      <c r="M98" s="47" t="str">
        <f t="shared" si="10"/>
        <v>SB120166/1/25</v>
      </c>
      <c r="N98" s="46" t="str">
        <f t="shared" si="13"/>
        <v/>
      </c>
      <c r="O98" s="60">
        <v>50</v>
      </c>
      <c r="P98" s="60">
        <v>868</v>
      </c>
      <c r="Q98" s="48">
        <v>199</v>
      </c>
      <c r="R98" s="48">
        <v>808</v>
      </c>
      <c r="S98" s="48"/>
      <c r="T98" s="48"/>
      <c r="U98" s="49"/>
      <c r="V98" s="49"/>
      <c r="W98" s="50">
        <f t="shared" si="11"/>
        <v>0</v>
      </c>
      <c r="X98" s="51" t="str">
        <f>IF(A98="", "", IF(COUNTIFS(C$3:C97, C98, D$3:D97, D98, G$3:G97, G98) &gt; 0, "", "11:00"-AW98))</f>
        <v/>
      </c>
      <c r="Y98" s="52" t="str">
        <f t="shared" si="17"/>
        <v/>
      </c>
      <c r="Z98" s="53"/>
      <c r="AA98" s="54"/>
      <c r="AB98" s="53"/>
      <c r="AC98" s="54"/>
      <c r="AD98" s="53"/>
      <c r="AE98" s="54"/>
      <c r="AF98" s="53"/>
      <c r="AG98" s="54"/>
      <c r="AH98" s="55">
        <v>4.1666666666666699E-2</v>
      </c>
      <c r="AI98" s="53"/>
      <c r="AJ98" s="54"/>
      <c r="AK98" s="53"/>
      <c r="AL98" s="54"/>
      <c r="AM98" s="53"/>
      <c r="AN98" s="54"/>
      <c r="AO98" s="53"/>
      <c r="AP98" s="54"/>
      <c r="AQ98" s="53"/>
      <c r="AR98" s="54"/>
      <c r="AS98" s="53"/>
      <c r="AT98" s="54"/>
      <c r="AU98" s="53">
        <v>4.1666666666666699E-2</v>
      </c>
      <c r="AV98" s="54" t="s">
        <v>37</v>
      </c>
      <c r="AW98" s="57">
        <f t="shared" si="14"/>
        <v>4.1666666666666699E-2</v>
      </c>
      <c r="AX98" s="58" t="s">
        <v>96</v>
      </c>
    </row>
    <row r="99" spans="1:50" ht="28.5">
      <c r="A99" s="38" t="s">
        <v>154</v>
      </c>
      <c r="B99" s="39">
        <f t="shared" si="18"/>
        <v>95</v>
      </c>
      <c r="C99" s="40">
        <v>46028</v>
      </c>
      <c r="D99" s="40" t="s">
        <v>80</v>
      </c>
      <c r="E99" s="40" t="s">
        <v>81</v>
      </c>
      <c r="F99" s="41">
        <v>719.6</v>
      </c>
      <c r="G99" s="42" t="s">
        <v>66</v>
      </c>
      <c r="H99" s="43" t="str">
        <f>IFERROR(VLOOKUP($J99,'[9]FROM (3)'!$E$4:$F$230,2,FALSE),"")</f>
        <v>JAMY</v>
      </c>
      <c r="I99" s="44" t="str">
        <f t="shared" si="15"/>
        <v>RACK BAR</v>
      </c>
      <c r="J99" s="44" t="str">
        <f t="shared" si="16"/>
        <v>JGD10S000830-51-0</v>
      </c>
      <c r="K99" s="59" t="str">
        <f t="shared" si="12"/>
        <v>PD25121176</v>
      </c>
      <c r="L99" s="46" t="str" cm="1">
        <f t="array" ref="L99">IFERROR(_xlfn.IFS(
    LEN($A99)-LEN(SUBSTITUTE($A99,"|",""))=12, RIGHT(A99, LEN(A99)-FIND("~", SUBSTITUTE(A99,"|","~", LEN(A99)-LEN(SUBSTITUTE(A99,"|",""))))),
    LEN($A99)-LEN(SUBSTITUTE($A99,"|",""))=13, MID($A99, FIND("~", SUBSTITUTE($A99,"|","~", 11))+1, FIND("~", SUBSTITUTE($A99,"|","~", 12))-FIND("~", SUBSTITUTE($A99,"|","~", 11))-1),
    LEN($A99)-LEN(SUBSTITUTE($A99,"|",""))=14, MID($A99, FIND("~", SUBSTITUTE($A99,"|","~", 11))+1, FIND("~", SUBSTITUTE($A99,"|","~", 12))-FIND("~", SUBSTITUTE($A99,"|","~", 11))-1)
), "")</f>
        <v>E586446</v>
      </c>
      <c r="M99" s="47" t="str">
        <f t="shared" si="10"/>
        <v>SB120166/4/25</v>
      </c>
      <c r="N99" s="46" t="str">
        <f t="shared" si="13"/>
        <v/>
      </c>
      <c r="O99" s="60">
        <v>50</v>
      </c>
      <c r="P99" s="60">
        <v>868</v>
      </c>
      <c r="Q99" s="48">
        <v>200</v>
      </c>
      <c r="R99" s="48">
        <v>812</v>
      </c>
      <c r="S99" s="48"/>
      <c r="T99" s="48"/>
      <c r="U99" s="49">
        <v>93</v>
      </c>
      <c r="V99" s="49">
        <v>6</v>
      </c>
      <c r="W99" s="50">
        <f t="shared" si="11"/>
        <v>99</v>
      </c>
      <c r="X99" s="51" t="str">
        <f>IF(A99="", "", IF(COUNTIFS(C$3:C98, C99, D$3:D98, D99, G$3:G98, G99) &gt; 0, "", "11:00"-AW99))</f>
        <v/>
      </c>
      <c r="Y99" s="52" t="str">
        <f t="shared" si="17"/>
        <v/>
      </c>
      <c r="Z99" s="53"/>
      <c r="AA99" s="54"/>
      <c r="AB99" s="53"/>
      <c r="AC99" s="54"/>
      <c r="AD99" s="53"/>
      <c r="AE99" s="54"/>
      <c r="AF99" s="53"/>
      <c r="AG99" s="54"/>
      <c r="AH99" s="55">
        <v>4.1666666666666699E-2</v>
      </c>
      <c r="AI99" s="53"/>
      <c r="AJ99" s="54"/>
      <c r="AK99" s="53"/>
      <c r="AL99" s="54"/>
      <c r="AM99" s="53"/>
      <c r="AN99" s="54"/>
      <c r="AO99" s="53"/>
      <c r="AP99" s="54"/>
      <c r="AQ99" s="53"/>
      <c r="AR99" s="54"/>
      <c r="AS99" s="53"/>
      <c r="AT99" s="54"/>
      <c r="AU99" s="53">
        <v>4.1666666666666699E-2</v>
      </c>
      <c r="AV99" s="54" t="s">
        <v>37</v>
      </c>
      <c r="AW99" s="57">
        <f t="shared" si="14"/>
        <v>4.1666666666666699E-2</v>
      </c>
      <c r="AX99" s="58" t="s">
        <v>96</v>
      </c>
    </row>
    <row r="100" spans="1:50" ht="28.5">
      <c r="A100" s="38" t="s">
        <v>155</v>
      </c>
      <c r="B100" s="39">
        <f t="shared" si="18"/>
        <v>96</v>
      </c>
      <c r="C100" s="40">
        <v>46028</v>
      </c>
      <c r="D100" s="40" t="s">
        <v>80</v>
      </c>
      <c r="E100" s="40" t="s">
        <v>81</v>
      </c>
      <c r="F100" s="41">
        <v>719.6</v>
      </c>
      <c r="G100" s="42" t="s">
        <v>66</v>
      </c>
      <c r="H100" s="43" t="str">
        <f>IFERROR(VLOOKUP($J100,'[9]FROM (3)'!$E$4:$F$230,2,FALSE),"")</f>
        <v>JAMY</v>
      </c>
      <c r="I100" s="44" t="str">
        <f t="shared" si="15"/>
        <v>RACK BAR</v>
      </c>
      <c r="J100" s="44" t="str">
        <f t="shared" si="16"/>
        <v>JGD10S000830-51-0</v>
      </c>
      <c r="K100" s="59" t="str">
        <f t="shared" si="12"/>
        <v>PD25121176</v>
      </c>
      <c r="L100" s="46" t="str" cm="1">
        <f t="array" ref="L100">IFERROR(_xlfn.IFS(
    LEN($A100)-LEN(SUBSTITUTE($A100,"|",""))=12, RIGHT(A100, LEN(A100)-FIND("~", SUBSTITUTE(A100,"|","~", LEN(A100)-LEN(SUBSTITUTE(A100,"|",""))))),
    LEN($A100)-LEN(SUBSTITUTE($A100,"|",""))=13, MID($A100, FIND("~", SUBSTITUTE($A100,"|","~", 11))+1, FIND("~", SUBSTITUTE($A100,"|","~", 12))-FIND("~", SUBSTITUTE($A100,"|","~", 11))-1),
    LEN($A100)-LEN(SUBSTITUTE($A100,"|",""))=14, MID($A100, FIND("~", SUBSTITUTE($A100,"|","~", 11))+1, FIND("~", SUBSTITUTE($A100,"|","~", 12))-FIND("~", SUBSTITUTE($A100,"|","~", 11))-1)
), "")</f>
        <v>E586446</v>
      </c>
      <c r="M100" s="47" t="str">
        <f t="shared" si="10"/>
        <v>SB120166/3/25</v>
      </c>
      <c r="N100" s="46" t="str">
        <f t="shared" si="13"/>
        <v/>
      </c>
      <c r="O100" s="60">
        <v>50</v>
      </c>
      <c r="P100" s="60">
        <v>868</v>
      </c>
      <c r="Q100" s="48">
        <v>200</v>
      </c>
      <c r="R100" s="48">
        <v>812</v>
      </c>
      <c r="S100" s="48"/>
      <c r="T100" s="48"/>
      <c r="U100" s="49"/>
      <c r="V100" s="49"/>
      <c r="W100" s="50">
        <f t="shared" si="11"/>
        <v>0</v>
      </c>
      <c r="X100" s="51" t="str">
        <f>IF(A100="", "", IF(COUNTIFS(C$3:C99, C100, D$3:D99, D100, G$3:G99, G100) &gt; 0, "", "11:00"-AW100))</f>
        <v/>
      </c>
      <c r="Y100" s="52" t="str">
        <f t="shared" si="17"/>
        <v/>
      </c>
      <c r="Z100" s="53"/>
      <c r="AA100" s="54"/>
      <c r="AB100" s="53"/>
      <c r="AC100" s="54"/>
      <c r="AD100" s="53"/>
      <c r="AE100" s="54"/>
      <c r="AF100" s="53"/>
      <c r="AG100" s="54"/>
      <c r="AH100" s="55">
        <v>4.1666666666666699E-2</v>
      </c>
      <c r="AI100" s="53"/>
      <c r="AJ100" s="54"/>
      <c r="AK100" s="53"/>
      <c r="AL100" s="54"/>
      <c r="AM100" s="53"/>
      <c r="AN100" s="54"/>
      <c r="AO100" s="53"/>
      <c r="AP100" s="54"/>
      <c r="AQ100" s="53"/>
      <c r="AR100" s="54"/>
      <c r="AS100" s="53"/>
      <c r="AT100" s="54"/>
      <c r="AU100" s="53">
        <v>4.1666666666666699E-2</v>
      </c>
      <c r="AV100" s="54" t="s">
        <v>37</v>
      </c>
      <c r="AW100" s="57">
        <f t="shared" si="14"/>
        <v>4.1666666666666699E-2</v>
      </c>
      <c r="AX100" s="58" t="s">
        <v>96</v>
      </c>
    </row>
    <row r="101" spans="1:50" ht="28.5">
      <c r="A101" s="38" t="s">
        <v>156</v>
      </c>
      <c r="B101" s="39">
        <f t="shared" si="18"/>
        <v>97</v>
      </c>
      <c r="C101" s="40">
        <v>46028</v>
      </c>
      <c r="D101" s="40" t="s">
        <v>80</v>
      </c>
      <c r="E101" s="40" t="s">
        <v>81</v>
      </c>
      <c r="F101" s="41">
        <v>565.20000000000005</v>
      </c>
      <c r="G101" s="42" t="s">
        <v>66</v>
      </c>
      <c r="H101" s="43" t="str">
        <f>IFERROR(VLOOKUP($J101,'[9]FROM (3)'!$E$4:$F$230,2,FALSE),"")</f>
        <v>JTCS</v>
      </c>
      <c r="I101" s="44" t="str">
        <f t="shared" si="15"/>
        <v>RACK, MS</v>
      </c>
      <c r="J101" s="44" t="str">
        <f t="shared" si="16"/>
        <v>JGC10-003040-40-0</v>
      </c>
      <c r="K101" s="59" t="str">
        <f t="shared" si="12"/>
        <v>PD25121305</v>
      </c>
      <c r="L101" s="46" t="str" cm="1">
        <f t="array" ref="L101">IFERROR(_xlfn.IFS(
    LEN($A101)-LEN(SUBSTITUTE($A101,"|",""))=12, RIGHT(A101, LEN(A101)-FIND("~", SUBSTITUTE(A101,"|","~", LEN(A101)-LEN(SUBSTITUTE(A101,"|",""))))),
    LEN($A101)-LEN(SUBSTITUTE($A101,"|",""))=13, MID($A101, FIND("~", SUBSTITUTE($A101,"|","~", 11))+1, FIND("~", SUBSTITUTE($A101,"|","~", 12))-FIND("~", SUBSTITUTE($A101,"|","~", 11))-1),
    LEN($A101)-LEN(SUBSTITUTE($A101,"|",""))=14, MID($A101, FIND("~", SUBSTITUTE($A101,"|","~", 11))+1, FIND("~", SUBSTITUTE($A101,"|","~", 12))-FIND("~", SUBSTITUTE($A101,"|","~", 11))-1)
), "")</f>
        <v>E585970</v>
      </c>
      <c r="M101" s="47" t="str">
        <f t="shared" si="10"/>
        <v>SB120192/1/25</v>
      </c>
      <c r="N101" s="46" t="str">
        <f t="shared" si="13"/>
        <v/>
      </c>
      <c r="O101" s="60">
        <v>66</v>
      </c>
      <c r="P101" s="60">
        <v>1000</v>
      </c>
      <c r="Q101" s="48">
        <v>104</v>
      </c>
      <c r="R101" s="48">
        <v>245</v>
      </c>
      <c r="S101" s="48"/>
      <c r="T101" s="48"/>
      <c r="U101" s="49"/>
      <c r="V101" s="49"/>
      <c r="W101" s="50">
        <f t="shared" si="11"/>
        <v>0</v>
      </c>
      <c r="X101" s="51" t="str">
        <f>IF(A101="", "", IF(COUNTIFS(C$3:C100, C101, D$3:D100, D101, G$3:G100, G101) &gt; 0, "", "11:00"-AW101))</f>
        <v/>
      </c>
      <c r="Y101" s="52" t="str">
        <f t="shared" si="17"/>
        <v/>
      </c>
      <c r="Z101" s="53"/>
      <c r="AA101" s="54"/>
      <c r="AB101" s="53"/>
      <c r="AC101" s="54"/>
      <c r="AD101" s="53"/>
      <c r="AE101" s="54"/>
      <c r="AF101" s="53"/>
      <c r="AG101" s="54"/>
      <c r="AH101" s="55">
        <v>4.1666666666666699E-2</v>
      </c>
      <c r="AI101" s="53"/>
      <c r="AJ101" s="54"/>
      <c r="AK101" s="53"/>
      <c r="AL101" s="54"/>
      <c r="AM101" s="53"/>
      <c r="AN101" s="54"/>
      <c r="AO101" s="53"/>
      <c r="AP101" s="54"/>
      <c r="AQ101" s="53"/>
      <c r="AR101" s="54"/>
      <c r="AS101" s="53"/>
      <c r="AT101" s="54"/>
      <c r="AU101" s="53">
        <v>4.1666666666666699E-2</v>
      </c>
      <c r="AV101" s="54" t="s">
        <v>37</v>
      </c>
      <c r="AW101" s="57">
        <f t="shared" si="14"/>
        <v>4.1666666666666699E-2</v>
      </c>
      <c r="AX101" s="58" t="s">
        <v>96</v>
      </c>
    </row>
    <row r="102" spans="1:50" ht="28.5">
      <c r="A102" s="38" t="s">
        <v>146</v>
      </c>
      <c r="B102" s="39">
        <f t="shared" si="18"/>
        <v>98</v>
      </c>
      <c r="C102" s="40">
        <v>46028</v>
      </c>
      <c r="D102" s="40" t="s">
        <v>80</v>
      </c>
      <c r="E102" s="40" t="s">
        <v>81</v>
      </c>
      <c r="F102" s="41">
        <v>648.29999999999995</v>
      </c>
      <c r="G102" s="42" t="s">
        <v>75</v>
      </c>
      <c r="H102" s="43" t="str">
        <f>IFERROR(VLOOKUP($J102,'[9]FROM (3)'!$E$4:$F$230,2,FALSE),"")</f>
        <v>JTCS</v>
      </c>
      <c r="I102" s="44" t="str">
        <f t="shared" si="15"/>
        <v>RACK, PS</v>
      </c>
      <c r="J102" s="44" t="str">
        <f t="shared" si="16"/>
        <v>JGD10-000520-B</v>
      </c>
      <c r="K102" s="59" t="str">
        <f t="shared" si="12"/>
        <v>PD25120965</v>
      </c>
      <c r="L102" s="46" t="str" cm="1">
        <f t="array" ref="L102">IFERROR(_xlfn.IFS(
    LEN($A102)-LEN(SUBSTITUTE($A102,"|",""))=12, RIGHT(A102, LEN(A102)-FIND("~", SUBSTITUTE(A102,"|","~", LEN(A102)-LEN(SUBSTITUTE(A102,"|",""))))),
    LEN($A102)-LEN(SUBSTITUTE($A102,"|",""))=13, MID($A102, FIND("~", SUBSTITUTE($A102,"|","~", 11))+1, FIND("~", SUBSTITUTE($A102,"|","~", 12))-FIND("~", SUBSTITUTE($A102,"|","~", 11))-1),
    LEN($A102)-LEN(SUBSTITUTE($A102,"|",""))=14, MID($A102, FIND("~", SUBSTITUTE($A102,"|","~", 11))+1, FIND("~", SUBSTITUTE($A102,"|","~", 12))-FIND("~", SUBSTITUTE($A102,"|","~", 11))-1)
), "")</f>
        <v>E585615</v>
      </c>
      <c r="M102" s="47" t="str">
        <f t="shared" si="10"/>
        <v>SB120115/2/25</v>
      </c>
      <c r="N102" s="46" t="str">
        <f t="shared" si="13"/>
        <v/>
      </c>
      <c r="O102" s="60"/>
      <c r="P102" s="60"/>
      <c r="Q102" s="48">
        <v>80</v>
      </c>
      <c r="R102" s="48">
        <v>250</v>
      </c>
      <c r="S102" s="48"/>
      <c r="T102" s="48"/>
      <c r="U102" s="49">
        <v>11</v>
      </c>
      <c r="V102" s="49">
        <v>8</v>
      </c>
      <c r="W102" s="50">
        <f t="shared" si="11"/>
        <v>19</v>
      </c>
      <c r="X102" s="51">
        <f>IF(A102="", "", IF(COUNTIFS(C$3:C101, C102, D$3:D101, D102, G$3:G101, G102) &gt; 0, "", "11:00"-AW102))</f>
        <v>0.33333333333333326</v>
      </c>
      <c r="Y102" s="52" t="str">
        <f t="shared" si="17"/>
        <v>1:40</v>
      </c>
      <c r="Z102" s="53"/>
      <c r="AA102" s="54"/>
      <c r="AB102" s="53">
        <v>4.1666666666666664E-2</v>
      </c>
      <c r="AC102" s="54" t="s">
        <v>67</v>
      </c>
      <c r="AD102" s="53"/>
      <c r="AE102" s="54"/>
      <c r="AF102" s="53"/>
      <c r="AG102" s="54"/>
      <c r="AH102" s="55">
        <v>4.1666666666666699E-2</v>
      </c>
      <c r="AI102" s="53"/>
      <c r="AJ102" s="54"/>
      <c r="AK102" s="53"/>
      <c r="AL102" s="54"/>
      <c r="AM102" s="53"/>
      <c r="AN102" s="54"/>
      <c r="AO102" s="53"/>
      <c r="AP102" s="54"/>
      <c r="AQ102" s="53"/>
      <c r="AR102" s="54"/>
      <c r="AS102" s="53">
        <v>4.1666666666666664E-2</v>
      </c>
      <c r="AT102" s="54" t="s">
        <v>147</v>
      </c>
      <c r="AU102" s="53">
        <v>4.1666666666666699E-2</v>
      </c>
      <c r="AV102" s="54" t="s">
        <v>37</v>
      </c>
      <c r="AW102" s="57">
        <f t="shared" si="14"/>
        <v>0.12500000000000003</v>
      </c>
      <c r="AX102" s="58" t="s">
        <v>101</v>
      </c>
    </row>
    <row r="103" spans="1:50" ht="28.5">
      <c r="A103" s="38" t="s">
        <v>157</v>
      </c>
      <c r="B103" s="39">
        <f t="shared" si="18"/>
        <v>99</v>
      </c>
      <c r="C103" s="40">
        <v>46028</v>
      </c>
      <c r="D103" s="40" t="s">
        <v>80</v>
      </c>
      <c r="E103" s="40" t="s">
        <v>81</v>
      </c>
      <c r="F103" s="41">
        <v>732.5</v>
      </c>
      <c r="G103" s="42" t="s">
        <v>75</v>
      </c>
      <c r="H103" s="43" t="str">
        <f>IFERROR(VLOOKUP($J103,'[9]FROM (3)'!$E$4:$F$230,2,FALSE),"")</f>
        <v>JCTTH</v>
      </c>
      <c r="I103" s="44" t="str">
        <f t="shared" si="15"/>
        <v>RACK POWER STEERING</v>
      </c>
      <c r="J103" s="44" t="str">
        <f t="shared" si="16"/>
        <v>JGD10-BA0101-C</v>
      </c>
      <c r="K103" s="59" t="str">
        <f t="shared" si="12"/>
        <v>PD25121082</v>
      </c>
      <c r="L103" s="46" t="str" cm="1">
        <f t="array" ref="L103">IFERROR(_xlfn.IFS(
    LEN($A103)-LEN(SUBSTITUTE($A103,"|",""))=12, RIGHT(A103, LEN(A103)-FIND("~", SUBSTITUTE(A103,"|","~", LEN(A103)-LEN(SUBSTITUTE(A103,"|",""))))),
    LEN($A103)-LEN(SUBSTITUTE($A103,"|",""))=13, MID($A103, FIND("~", SUBSTITUTE($A103,"|","~", 11))+1, FIND("~", SUBSTITUTE($A103,"|","~", 12))-FIND("~", SUBSTITUTE($A103,"|","~", 11))-1),
    LEN($A103)-LEN(SUBSTITUTE($A103,"|",""))=14, MID($A103, FIND("~", SUBSTITUTE($A103,"|","~", 11))+1, FIND("~", SUBSTITUTE($A103,"|","~", 12))-FIND("~", SUBSTITUTE($A103,"|","~", 11))-1)
), "")</f>
        <v>E586100</v>
      </c>
      <c r="M103" s="47" t="str">
        <f t="shared" si="10"/>
        <v>SB120137/5/25</v>
      </c>
      <c r="N103" s="46" t="str">
        <f t="shared" si="13"/>
        <v/>
      </c>
      <c r="O103" s="60">
        <v>50</v>
      </c>
      <c r="P103" s="60">
        <v>878</v>
      </c>
      <c r="Q103" s="48">
        <v>200</v>
      </c>
      <c r="R103" s="48">
        <v>832</v>
      </c>
      <c r="S103" s="48"/>
      <c r="T103" s="48"/>
      <c r="U103" s="49"/>
      <c r="V103" s="49"/>
      <c r="W103" s="50">
        <f t="shared" si="11"/>
        <v>0</v>
      </c>
      <c r="X103" s="51" t="str">
        <f>IF(A103="", "", IF(COUNTIFS(C$3:C102, C103, D$3:D102, D103, G$3:G102, G103) &gt; 0, "", "11:00"-AW103))</f>
        <v/>
      </c>
      <c r="Y103" s="52" t="str">
        <f t="shared" si="17"/>
        <v/>
      </c>
      <c r="Z103" s="53"/>
      <c r="AA103" s="54"/>
      <c r="AB103" s="53"/>
      <c r="AC103" s="54"/>
      <c r="AD103" s="53"/>
      <c r="AE103" s="54"/>
      <c r="AF103" s="53"/>
      <c r="AG103" s="54"/>
      <c r="AH103" s="55">
        <v>4.1666666666666699E-2</v>
      </c>
      <c r="AI103" s="53"/>
      <c r="AJ103" s="54"/>
      <c r="AK103" s="53"/>
      <c r="AL103" s="54"/>
      <c r="AM103" s="53"/>
      <c r="AN103" s="54"/>
      <c r="AO103" s="53"/>
      <c r="AP103" s="54"/>
      <c r="AQ103" s="53"/>
      <c r="AR103" s="54"/>
      <c r="AS103" s="53"/>
      <c r="AT103" s="54"/>
      <c r="AU103" s="53">
        <v>4.1666666666666699E-2</v>
      </c>
      <c r="AV103" s="54" t="s">
        <v>37</v>
      </c>
      <c r="AW103" s="57">
        <f t="shared" si="14"/>
        <v>4.1666666666666699E-2</v>
      </c>
      <c r="AX103" s="58" t="s">
        <v>101</v>
      </c>
    </row>
    <row r="104" spans="1:50" ht="28.5">
      <c r="A104" s="38" t="s">
        <v>158</v>
      </c>
      <c r="B104" s="39">
        <f t="shared" si="18"/>
        <v>100</v>
      </c>
      <c r="C104" s="40">
        <v>46028</v>
      </c>
      <c r="D104" s="40" t="s">
        <v>80</v>
      </c>
      <c r="E104" s="40" t="s">
        <v>81</v>
      </c>
      <c r="F104" s="41">
        <v>732.5</v>
      </c>
      <c r="G104" s="42" t="s">
        <v>75</v>
      </c>
      <c r="H104" s="43" t="str">
        <f>IFERROR(VLOOKUP($J104,'[9]FROM (3)'!$E$4:$F$230,2,FALSE),"")</f>
        <v>JCTTH</v>
      </c>
      <c r="I104" s="44" t="str">
        <f t="shared" si="15"/>
        <v>RACK POWER STEERING</v>
      </c>
      <c r="J104" s="44" t="str">
        <f t="shared" si="16"/>
        <v>JGD10-BA0101-C</v>
      </c>
      <c r="K104" s="59" t="str">
        <f t="shared" si="12"/>
        <v>PD25121082</v>
      </c>
      <c r="L104" s="46" t="str" cm="1">
        <f t="array" ref="L104">IFERROR(_xlfn.IFS(
    LEN($A104)-LEN(SUBSTITUTE($A104,"|",""))=12, RIGHT(A104, LEN(A104)-FIND("~", SUBSTITUTE(A104,"|","~", LEN(A104)-LEN(SUBSTITUTE(A104,"|",""))))),
    LEN($A104)-LEN(SUBSTITUTE($A104,"|",""))=13, MID($A104, FIND("~", SUBSTITUTE($A104,"|","~", 11))+1, FIND("~", SUBSTITUTE($A104,"|","~", 12))-FIND("~", SUBSTITUTE($A104,"|","~", 11))-1),
    LEN($A104)-LEN(SUBSTITUTE($A104,"|",""))=14, MID($A104, FIND("~", SUBSTITUTE($A104,"|","~", 11))+1, FIND("~", SUBSTITUTE($A104,"|","~", 12))-FIND("~", SUBSTITUTE($A104,"|","~", 11))-1)
), "")</f>
        <v>E586100</v>
      </c>
      <c r="M104" s="47" t="str">
        <f t="shared" si="10"/>
        <v>SB120137/7/25</v>
      </c>
      <c r="N104" s="46" t="str">
        <f t="shared" si="13"/>
        <v/>
      </c>
      <c r="O104" s="60">
        <v>2</v>
      </c>
      <c r="P104" s="60">
        <v>38</v>
      </c>
      <c r="Q104" s="48">
        <v>5</v>
      </c>
      <c r="R104" s="48">
        <v>21</v>
      </c>
      <c r="S104" s="48">
        <v>3</v>
      </c>
      <c r="T104" s="48"/>
      <c r="U104" s="49"/>
      <c r="V104" s="49"/>
      <c r="W104" s="50">
        <f t="shared" si="11"/>
        <v>0</v>
      </c>
      <c r="X104" s="51" t="str">
        <f>IF(A104="", "", IF(COUNTIFS(C$3:C103, C104, D$3:D103, D104, G$3:G103, G104) &gt; 0, "", "11:00"-AW104))</f>
        <v/>
      </c>
      <c r="Y104" s="52" t="str">
        <f t="shared" si="17"/>
        <v/>
      </c>
      <c r="Z104" s="53"/>
      <c r="AA104" s="54"/>
      <c r="AB104" s="53"/>
      <c r="AC104" s="54"/>
      <c r="AD104" s="53"/>
      <c r="AE104" s="54"/>
      <c r="AF104" s="53"/>
      <c r="AG104" s="54"/>
      <c r="AH104" s="55">
        <v>4.1666666666666699E-2</v>
      </c>
      <c r="AI104" s="53"/>
      <c r="AJ104" s="54"/>
      <c r="AK104" s="53"/>
      <c r="AL104" s="54"/>
      <c r="AM104" s="53"/>
      <c r="AN104" s="54"/>
      <c r="AO104" s="53"/>
      <c r="AP104" s="54"/>
      <c r="AQ104" s="53"/>
      <c r="AR104" s="54"/>
      <c r="AS104" s="53"/>
      <c r="AT104" s="54"/>
      <c r="AU104" s="53">
        <v>4.1666666666666699E-2</v>
      </c>
      <c r="AV104" s="54" t="s">
        <v>37</v>
      </c>
      <c r="AW104" s="57">
        <f t="shared" si="14"/>
        <v>4.1666666666666699E-2</v>
      </c>
      <c r="AX104" s="58" t="s">
        <v>101</v>
      </c>
    </row>
    <row r="105" spans="1:50" ht="28.5">
      <c r="A105" s="38" t="s">
        <v>159</v>
      </c>
      <c r="B105" s="39">
        <f t="shared" si="18"/>
        <v>101</v>
      </c>
      <c r="C105" s="40">
        <v>46028</v>
      </c>
      <c r="D105" s="40" t="s">
        <v>80</v>
      </c>
      <c r="E105" s="40" t="s">
        <v>81</v>
      </c>
      <c r="F105" s="41">
        <v>732.5</v>
      </c>
      <c r="G105" s="42" t="s">
        <v>75</v>
      </c>
      <c r="H105" s="43" t="str">
        <f>IFERROR(VLOOKUP($J105,'[9]FROM (3)'!$E$4:$F$230,2,FALSE),"")</f>
        <v>JCTTH</v>
      </c>
      <c r="I105" s="44" t="str">
        <f t="shared" si="15"/>
        <v>RACK POWER STEERING</v>
      </c>
      <c r="J105" s="44" t="str">
        <f t="shared" si="16"/>
        <v>JGD10-BA0101-C</v>
      </c>
      <c r="K105" s="59" t="str">
        <f t="shared" si="12"/>
        <v>PD25121082</v>
      </c>
      <c r="L105" s="46" t="str" cm="1">
        <f t="array" ref="L105">IFERROR(_xlfn.IFS(
    LEN($A105)-LEN(SUBSTITUTE($A105,"|",""))=12, RIGHT(A105, LEN(A105)-FIND("~", SUBSTITUTE(A105,"|","~", LEN(A105)-LEN(SUBSTITUTE(A105,"|",""))))),
    LEN($A105)-LEN(SUBSTITUTE($A105,"|",""))=13, MID($A105, FIND("~", SUBSTITUTE($A105,"|","~", 11))+1, FIND("~", SUBSTITUTE($A105,"|","~", 12))-FIND("~", SUBSTITUTE($A105,"|","~", 11))-1),
    LEN($A105)-LEN(SUBSTITUTE($A105,"|",""))=14, MID($A105, FIND("~", SUBSTITUTE($A105,"|","~", 11))+1, FIND("~", SUBSTITUTE($A105,"|","~", 12))-FIND("~", SUBSTITUTE($A105,"|","~", 11))-1)
), "")</f>
        <v>E586100</v>
      </c>
      <c r="M105" s="47" t="str">
        <f t="shared" si="10"/>
        <v>SB120137/6/25</v>
      </c>
      <c r="N105" s="46" t="str">
        <f t="shared" si="13"/>
        <v/>
      </c>
      <c r="O105" s="60">
        <v>48</v>
      </c>
      <c r="P105" s="60">
        <v>840</v>
      </c>
      <c r="Q105" s="48">
        <v>192</v>
      </c>
      <c r="R105" s="48">
        <v>799</v>
      </c>
      <c r="S105" s="48"/>
      <c r="T105" s="48"/>
      <c r="U105" s="49">
        <v>70</v>
      </c>
      <c r="V105" s="49">
        <v>6</v>
      </c>
      <c r="W105" s="50">
        <f t="shared" si="11"/>
        <v>76</v>
      </c>
      <c r="X105" s="51" t="str">
        <f>IF(A105="", "", IF(COUNTIFS(C$3:C104, C105, D$3:D104, D105, G$3:G104, G105) &gt; 0, "", "11:00"-AW105))</f>
        <v/>
      </c>
      <c r="Y105" s="52" t="str">
        <f t="shared" si="17"/>
        <v/>
      </c>
      <c r="Z105" s="53"/>
      <c r="AA105" s="54"/>
      <c r="AB105" s="53"/>
      <c r="AC105" s="54"/>
      <c r="AD105" s="53"/>
      <c r="AE105" s="54"/>
      <c r="AF105" s="53"/>
      <c r="AG105" s="54"/>
      <c r="AH105" s="55">
        <v>4.1666666666666699E-2</v>
      </c>
      <c r="AI105" s="53"/>
      <c r="AJ105" s="54"/>
      <c r="AK105" s="53"/>
      <c r="AL105" s="54"/>
      <c r="AM105" s="53"/>
      <c r="AN105" s="54"/>
      <c r="AO105" s="53"/>
      <c r="AP105" s="54"/>
      <c r="AQ105" s="53"/>
      <c r="AR105" s="54"/>
      <c r="AS105" s="53"/>
      <c r="AT105" s="54"/>
      <c r="AU105" s="53">
        <v>4.1666666666666699E-2</v>
      </c>
      <c r="AV105" s="54" t="s">
        <v>37</v>
      </c>
      <c r="AW105" s="57">
        <f t="shared" si="14"/>
        <v>4.1666666666666699E-2</v>
      </c>
      <c r="AX105" s="58" t="s">
        <v>101</v>
      </c>
    </row>
    <row r="106" spans="1:50" ht="28.5">
      <c r="A106" s="38" t="s">
        <v>160</v>
      </c>
      <c r="B106" s="39">
        <f t="shared" si="18"/>
        <v>102</v>
      </c>
      <c r="C106" s="40">
        <v>46028</v>
      </c>
      <c r="D106" s="40" t="s">
        <v>80</v>
      </c>
      <c r="E106" s="40" t="s">
        <v>81</v>
      </c>
      <c r="F106" s="41">
        <v>732.5</v>
      </c>
      <c r="G106" s="42" t="s">
        <v>75</v>
      </c>
      <c r="H106" s="43" t="str">
        <f>IFERROR(VLOOKUP($J106,'[9]FROM (3)'!$E$4:$F$230,2,FALSE),"")</f>
        <v>JCTTH</v>
      </c>
      <c r="I106" s="44" t="str">
        <f t="shared" si="15"/>
        <v>RACK POWER STEERING</v>
      </c>
      <c r="J106" s="44" t="str">
        <f t="shared" si="16"/>
        <v>JGD10-BA0101-C</v>
      </c>
      <c r="K106" s="59" t="str">
        <f t="shared" si="12"/>
        <v>PD25121080</v>
      </c>
      <c r="L106" s="46" t="str" cm="1">
        <f t="array" ref="L106">IFERROR(_xlfn.IFS(
    LEN($A106)-LEN(SUBSTITUTE($A106,"|",""))=12, RIGHT(A106, LEN(A106)-FIND("~", SUBSTITUTE(A106,"|","~", LEN(A106)-LEN(SUBSTITUTE(A106,"|",""))))),
    LEN($A106)-LEN(SUBSTITUTE($A106,"|",""))=13, MID($A106, FIND("~", SUBSTITUTE($A106,"|","~", 11))+1, FIND("~", SUBSTITUTE($A106,"|","~", 12))-FIND("~", SUBSTITUTE($A106,"|","~", 11))-1),
    LEN($A106)-LEN(SUBSTITUTE($A106,"|",""))=14, MID($A106, FIND("~", SUBSTITUTE($A106,"|","~", 11))+1, FIND("~", SUBSTITUTE($A106,"|","~", 12))-FIND("~", SUBSTITUTE($A106,"|","~", 11))-1)
), "")</f>
        <v>E586100</v>
      </c>
      <c r="M106" s="47" t="str">
        <f t="shared" si="10"/>
        <v>SB120137/1/25</v>
      </c>
      <c r="N106" s="46" t="str">
        <f t="shared" si="13"/>
        <v/>
      </c>
      <c r="O106" s="60">
        <v>50</v>
      </c>
      <c r="P106" s="60">
        <v>878</v>
      </c>
      <c r="Q106" s="48">
        <v>200</v>
      </c>
      <c r="R106" s="48">
        <v>832</v>
      </c>
      <c r="S106" s="48"/>
      <c r="T106" s="48"/>
      <c r="U106" s="49"/>
      <c r="V106" s="49"/>
      <c r="W106" s="50">
        <f t="shared" si="11"/>
        <v>0</v>
      </c>
      <c r="X106" s="51" t="str">
        <f>IF(A106="", "", IF(COUNTIFS(C$3:C105, C106, D$3:D105, D106, G$3:G105, G106) &gt; 0, "", "11:00"-AW106))</f>
        <v/>
      </c>
      <c r="Y106" s="52" t="str">
        <f t="shared" si="17"/>
        <v/>
      </c>
      <c r="Z106" s="53"/>
      <c r="AA106" s="54"/>
      <c r="AB106" s="53"/>
      <c r="AC106" s="54"/>
      <c r="AD106" s="53"/>
      <c r="AE106" s="54"/>
      <c r="AF106" s="53"/>
      <c r="AG106" s="54"/>
      <c r="AH106" s="55">
        <v>4.1666666666666699E-2</v>
      </c>
      <c r="AI106" s="53"/>
      <c r="AJ106" s="54"/>
      <c r="AK106" s="53"/>
      <c r="AL106" s="54"/>
      <c r="AM106" s="53"/>
      <c r="AN106" s="54"/>
      <c r="AO106" s="53"/>
      <c r="AP106" s="54"/>
      <c r="AQ106" s="53"/>
      <c r="AR106" s="54"/>
      <c r="AS106" s="53"/>
      <c r="AT106" s="54"/>
      <c r="AU106" s="53">
        <v>4.1666666666666699E-2</v>
      </c>
      <c r="AV106" s="54" t="s">
        <v>37</v>
      </c>
      <c r="AW106" s="57">
        <f t="shared" si="14"/>
        <v>4.1666666666666699E-2</v>
      </c>
      <c r="AX106" s="58" t="s">
        <v>101</v>
      </c>
    </row>
    <row r="107" spans="1:50" ht="28.5">
      <c r="A107" s="38" t="s">
        <v>161</v>
      </c>
      <c r="B107" s="39">
        <f t="shared" si="18"/>
        <v>103</v>
      </c>
      <c r="C107" s="40">
        <v>46028</v>
      </c>
      <c r="D107" s="40" t="s">
        <v>80</v>
      </c>
      <c r="E107" s="40" t="s">
        <v>81</v>
      </c>
      <c r="F107" s="41">
        <v>732.5</v>
      </c>
      <c r="G107" s="42" t="s">
        <v>75</v>
      </c>
      <c r="H107" s="43" t="str">
        <f>IFERROR(VLOOKUP($J107,'[9]FROM (3)'!$E$4:$F$230,2,FALSE),"")</f>
        <v>JCTTH</v>
      </c>
      <c r="I107" s="44" t="str">
        <f t="shared" si="15"/>
        <v>RACK POWER STEERING</v>
      </c>
      <c r="J107" s="44" t="str">
        <f t="shared" si="16"/>
        <v>JGD10-BA0101-C</v>
      </c>
      <c r="K107" s="59" t="str">
        <f t="shared" si="12"/>
        <v>PD25121080</v>
      </c>
      <c r="L107" s="46" t="str" cm="1">
        <f t="array" ref="L107">IFERROR(_xlfn.IFS(
    LEN($A107)-LEN(SUBSTITUTE($A107,"|",""))=12, RIGHT(A107, LEN(A107)-FIND("~", SUBSTITUTE(A107,"|","~", LEN(A107)-LEN(SUBSTITUTE(A107,"|",""))))),
    LEN($A107)-LEN(SUBSTITUTE($A107,"|",""))=13, MID($A107, FIND("~", SUBSTITUTE($A107,"|","~", 11))+1, FIND("~", SUBSTITUTE($A107,"|","~", 12))-FIND("~", SUBSTITUTE($A107,"|","~", 11))-1),
    LEN($A107)-LEN(SUBSTITUTE($A107,"|",""))=14, MID($A107, FIND("~", SUBSTITUTE($A107,"|","~", 11))+1, FIND("~", SUBSTITUTE($A107,"|","~", 12))-FIND("~", SUBSTITUTE($A107,"|","~", 11))-1)
), "")</f>
        <v>E586100</v>
      </c>
      <c r="M107" s="47" t="str">
        <f t="shared" si="10"/>
        <v>SB120137/2/25</v>
      </c>
      <c r="N107" s="46" t="str">
        <f t="shared" si="13"/>
        <v/>
      </c>
      <c r="O107" s="60">
        <v>50</v>
      </c>
      <c r="P107" s="60">
        <v>878</v>
      </c>
      <c r="Q107" s="48">
        <v>111</v>
      </c>
      <c r="R107" s="48">
        <v>462</v>
      </c>
      <c r="S107" s="48"/>
      <c r="T107" s="48"/>
      <c r="U107" s="49"/>
      <c r="V107" s="49"/>
      <c r="W107" s="50">
        <f t="shared" si="11"/>
        <v>0</v>
      </c>
      <c r="X107" s="51" t="str">
        <f>IF(A107="", "", IF(COUNTIFS(C$3:C106, C107, D$3:D106, D107, G$3:G106, G107) &gt; 0, "", "11:00"-AW107))</f>
        <v/>
      </c>
      <c r="Y107" s="52" t="str">
        <f t="shared" si="17"/>
        <v/>
      </c>
      <c r="Z107" s="53"/>
      <c r="AA107" s="54"/>
      <c r="AB107" s="53"/>
      <c r="AC107" s="54"/>
      <c r="AD107" s="53"/>
      <c r="AE107" s="54"/>
      <c r="AF107" s="53"/>
      <c r="AG107" s="54"/>
      <c r="AH107" s="55">
        <v>4.1666666666666699E-2</v>
      </c>
      <c r="AI107" s="53"/>
      <c r="AJ107" s="54"/>
      <c r="AK107" s="53"/>
      <c r="AL107" s="54"/>
      <c r="AM107" s="53"/>
      <c r="AN107" s="54"/>
      <c r="AO107" s="53"/>
      <c r="AP107" s="54"/>
      <c r="AQ107" s="53"/>
      <c r="AR107" s="54"/>
      <c r="AS107" s="53"/>
      <c r="AT107" s="54"/>
      <c r="AU107" s="53">
        <v>4.1666666666666699E-2</v>
      </c>
      <c r="AV107" s="54" t="s">
        <v>37</v>
      </c>
      <c r="AW107" s="57">
        <f t="shared" si="14"/>
        <v>4.1666666666666699E-2</v>
      </c>
      <c r="AX107" s="58" t="s">
        <v>101</v>
      </c>
    </row>
    <row r="108" spans="1:50" ht="28.5">
      <c r="A108" s="38" t="s">
        <v>111</v>
      </c>
      <c r="B108" s="39">
        <f t="shared" si="18"/>
        <v>104</v>
      </c>
      <c r="C108" s="40">
        <v>46028</v>
      </c>
      <c r="D108" s="40" t="s">
        <v>80</v>
      </c>
      <c r="E108" s="40" t="s">
        <v>81</v>
      </c>
      <c r="F108" s="41">
        <v>180</v>
      </c>
      <c r="G108" s="42" t="s">
        <v>108</v>
      </c>
      <c r="H108" s="43" t="str">
        <f>IFERROR(VLOOKUP($J108,'[9]FROM (3)'!$E$4:$F$230,2,FALSE),"")</f>
        <v>SIAM NSK</v>
      </c>
      <c r="I108" s="44" t="str">
        <f t="shared" si="15"/>
        <v>STG.SHAFT</v>
      </c>
      <c r="J108" s="44" t="str">
        <f t="shared" si="16"/>
        <v>2528S0249C</v>
      </c>
      <c r="K108" s="59" t="str">
        <f t="shared" si="12"/>
        <v>PD25120516</v>
      </c>
      <c r="L108" s="46" t="str" cm="1">
        <f t="array" ref="L108">IFERROR(_xlfn.IFS(
    LEN($A108)-LEN(SUBSTITUTE($A108,"|",""))=12, RIGHT(A108, LEN(A108)-FIND("~", SUBSTITUTE(A108,"|","~", LEN(A108)-LEN(SUBSTITUTE(A108,"|",""))))),
    LEN($A108)-LEN(SUBSTITUTE($A108,"|",""))=13, MID($A108, FIND("~", SUBSTITUTE($A108,"|","~", 11))+1, FIND("~", SUBSTITUTE($A108,"|","~", 12))-FIND("~", SUBSTITUTE($A108,"|","~", 11))-1),
    LEN($A108)-LEN(SUBSTITUTE($A108,"|",""))=14, MID($A108, FIND("~", SUBSTITUTE($A108,"|","~", 11))+1, FIND("~", SUBSTITUTE($A108,"|","~", 12))-FIND("~", SUBSTITUTE($A108,"|","~", 11))-1)
), "")</f>
        <v>SF92937</v>
      </c>
      <c r="M108" s="47" t="str">
        <f t="shared" si="10"/>
        <v>SB120070/1/25</v>
      </c>
      <c r="N108" s="46" t="str">
        <f t="shared" si="13"/>
        <v/>
      </c>
      <c r="O108" s="60" t="s">
        <v>35</v>
      </c>
      <c r="P108" s="60" t="s">
        <v>35</v>
      </c>
      <c r="Q108" s="48">
        <v>2364</v>
      </c>
      <c r="R108" s="48">
        <v>946</v>
      </c>
      <c r="S108" s="48" t="s">
        <v>35</v>
      </c>
      <c r="T108" s="48"/>
      <c r="U108" s="49">
        <v>41</v>
      </c>
      <c r="V108" s="49">
        <v>16</v>
      </c>
      <c r="W108" s="50">
        <f t="shared" si="11"/>
        <v>57</v>
      </c>
      <c r="X108" s="51">
        <f>IF(A108="", "", IF(COUNTIFS(C$3:C107, C108, D$3:D107, D108, G$3:G107, G108) &gt; 0, "", "11:00"-AW108))</f>
        <v>0.34027777777777773</v>
      </c>
      <c r="Y108" s="52" t="str">
        <f t="shared" si="17"/>
        <v>1:40</v>
      </c>
      <c r="Z108" s="53"/>
      <c r="AA108" s="54"/>
      <c r="AB108" s="53"/>
      <c r="AC108" s="54"/>
      <c r="AD108" s="53"/>
      <c r="AE108" s="54"/>
      <c r="AF108" s="53"/>
      <c r="AG108" s="54"/>
      <c r="AH108" s="55">
        <v>4.1666666666666699E-2</v>
      </c>
      <c r="AI108" s="53"/>
      <c r="AJ108" s="54"/>
      <c r="AK108" s="53"/>
      <c r="AL108" s="54"/>
      <c r="AM108" s="53">
        <v>3.4722222222222224E-2</v>
      </c>
      <c r="AN108" s="54" t="s">
        <v>67</v>
      </c>
      <c r="AO108" s="53"/>
      <c r="AP108" s="54"/>
      <c r="AQ108" s="53"/>
      <c r="AR108" s="54"/>
      <c r="AS108" s="53">
        <v>4.1666666666666664E-2</v>
      </c>
      <c r="AT108" s="54" t="s">
        <v>147</v>
      </c>
      <c r="AU108" s="53">
        <v>4.1666666666666699E-2</v>
      </c>
      <c r="AV108" s="54" t="s">
        <v>37</v>
      </c>
      <c r="AW108" s="57">
        <f t="shared" si="14"/>
        <v>0.11805555555555559</v>
      </c>
      <c r="AX108" s="58" t="s">
        <v>109</v>
      </c>
    </row>
    <row r="109" spans="1:50" ht="28.5">
      <c r="A109" s="38" t="s">
        <v>162</v>
      </c>
      <c r="B109" s="39">
        <f t="shared" si="18"/>
        <v>105</v>
      </c>
      <c r="C109" s="40">
        <v>46028</v>
      </c>
      <c r="D109" s="40" t="s">
        <v>80</v>
      </c>
      <c r="E109" s="40" t="s">
        <v>81</v>
      </c>
      <c r="F109" s="41">
        <v>164.5</v>
      </c>
      <c r="G109" s="42" t="s">
        <v>108</v>
      </c>
      <c r="H109" s="43" t="str">
        <f>IFERROR(VLOOKUP($J109,'[9]FROM (3)'!$E$4:$F$230,2,FALSE),"")</f>
        <v>SIAM NSK</v>
      </c>
      <c r="I109" s="44" t="str">
        <f t="shared" si="15"/>
        <v>SHAFT SPLINE</v>
      </c>
      <c r="J109" s="44" t="str">
        <f t="shared" si="16"/>
        <v>2550S0553P</v>
      </c>
      <c r="K109" s="59" t="str">
        <f t="shared" si="12"/>
        <v>PD25121102</v>
      </c>
      <c r="L109" s="46" t="str" cm="1">
        <f t="array" ref="L109">IFERROR(_xlfn.IFS(
    LEN($A109)-LEN(SUBSTITUTE($A109,"|",""))=12, RIGHT(A109, LEN(A109)-FIND("~", SUBSTITUTE(A109,"|","~", LEN(A109)-LEN(SUBSTITUTE(A109,"|",""))))),
    LEN($A109)-LEN(SUBSTITUTE($A109,"|",""))=13, MID($A109, FIND("~", SUBSTITUTE($A109,"|","~", 11))+1, FIND("~", SUBSTITUTE($A109,"|","~", 12))-FIND("~", SUBSTITUTE($A109,"|","~", 11))-1),
    LEN($A109)-LEN(SUBSTITUTE($A109,"|",""))=14, MID($A109, FIND("~", SUBSTITUTE($A109,"|","~", 11))+1, FIND("~", SUBSTITUTE($A109,"|","~", 12))-FIND("~", SUBSTITUTE($A109,"|","~", 11))-1)
), "")</f>
        <v>SF93404</v>
      </c>
      <c r="M109" s="47" t="str">
        <f t="shared" si="10"/>
        <v>SB120009/2/25</v>
      </c>
      <c r="N109" s="46" t="str">
        <f t="shared" si="13"/>
        <v/>
      </c>
      <c r="O109" s="60">
        <v>88</v>
      </c>
      <c r="P109" s="60">
        <v>1003</v>
      </c>
      <c r="Q109" s="48">
        <v>832</v>
      </c>
      <c r="R109" s="48">
        <v>273</v>
      </c>
      <c r="S109" s="48" t="s">
        <v>35</v>
      </c>
      <c r="T109" s="48"/>
      <c r="U109" s="49"/>
      <c r="V109" s="49"/>
      <c r="W109" s="50">
        <f t="shared" si="11"/>
        <v>0</v>
      </c>
      <c r="X109" s="51" t="str">
        <f>IF(A109="", "", IF(COUNTIFS(C$3:C108, C109, D$3:D108, D109, G$3:G108, G109) &gt; 0, "", "11:00"-AW109))</f>
        <v/>
      </c>
      <c r="Y109" s="52" t="str">
        <f t="shared" si="17"/>
        <v/>
      </c>
      <c r="Z109" s="53"/>
      <c r="AA109" s="54"/>
      <c r="AB109" s="53"/>
      <c r="AC109" s="54"/>
      <c r="AD109" s="53"/>
      <c r="AE109" s="54"/>
      <c r="AF109" s="53"/>
      <c r="AG109" s="54"/>
      <c r="AH109" s="55">
        <v>4.1666666666666699E-2</v>
      </c>
      <c r="AI109" s="53"/>
      <c r="AJ109" s="54"/>
      <c r="AK109" s="53"/>
      <c r="AL109" s="54"/>
      <c r="AM109" s="53"/>
      <c r="AN109" s="54"/>
      <c r="AO109" s="53"/>
      <c r="AP109" s="54"/>
      <c r="AQ109" s="53"/>
      <c r="AR109" s="54"/>
      <c r="AS109" s="53"/>
      <c r="AT109" s="54"/>
      <c r="AU109" s="53">
        <v>4.1666666666666699E-2</v>
      </c>
      <c r="AV109" s="54" t="s">
        <v>37</v>
      </c>
      <c r="AW109" s="57">
        <f t="shared" si="14"/>
        <v>4.1666666666666699E-2</v>
      </c>
      <c r="AX109" s="58" t="s">
        <v>109</v>
      </c>
    </row>
    <row r="110" spans="1:50" ht="28.5">
      <c r="A110" s="38" t="s">
        <v>134</v>
      </c>
      <c r="B110" s="39">
        <f t="shared" si="18"/>
        <v>106</v>
      </c>
      <c r="C110" s="40">
        <v>46028</v>
      </c>
      <c r="D110" s="40" t="s">
        <v>80</v>
      </c>
      <c r="E110" s="40" t="s">
        <v>81</v>
      </c>
      <c r="F110" s="41">
        <v>69.5</v>
      </c>
      <c r="G110" s="42" t="s">
        <v>135</v>
      </c>
      <c r="H110" s="43" t="str">
        <f>IFERROR(VLOOKUP($J110,'[9]FROM (3)'!$E$4:$F$230,2,FALSE),"")</f>
        <v>DNTH</v>
      </c>
      <c r="I110" s="44" t="str">
        <f t="shared" si="15"/>
        <v>Pole Core</v>
      </c>
      <c r="J110" s="44" t="str">
        <f t="shared" si="16"/>
        <v>TG028152-5180</v>
      </c>
      <c r="K110" s="59" t="str">
        <f t="shared" si="12"/>
        <v>PD25120422</v>
      </c>
      <c r="L110" s="46" t="str" cm="1">
        <f t="array" ref="L110">IFERROR(_xlfn.IFS(
    LEN($A110)-LEN(SUBSTITUTE($A110,"|",""))=12, RIGHT(A110, LEN(A110)-FIND("~", SUBSTITUTE(A110,"|","~", LEN(A110)-LEN(SUBSTITUTE(A110,"|",""))))),
    LEN($A110)-LEN(SUBSTITUTE($A110,"|",""))=13, MID($A110, FIND("~", SUBSTITUTE($A110,"|","~", 11))+1, FIND("~", SUBSTITUTE($A110,"|","~", 12))-FIND("~", SUBSTITUTE($A110,"|","~", 11))-1),
    LEN($A110)-LEN(SUBSTITUTE($A110,"|",""))=14, MID($A110, FIND("~", SUBSTITUTE($A110,"|","~", 11))+1, FIND("~", SUBSTITUTE($A110,"|","~", 12))-FIND("~", SUBSTITUTE($A110,"|","~", 11))-1)
), "")</f>
        <v>KS005C9016</v>
      </c>
      <c r="M110" s="47" t="str">
        <f t="shared" si="10"/>
        <v>SB120058/2/25</v>
      </c>
      <c r="N110" s="46" t="str">
        <f t="shared" si="13"/>
        <v/>
      </c>
      <c r="O110" s="60"/>
      <c r="P110" s="60"/>
      <c r="Q110" s="48">
        <v>6475</v>
      </c>
      <c r="R110" s="48">
        <v>450</v>
      </c>
      <c r="S110" s="48"/>
      <c r="T110" s="48"/>
      <c r="U110" s="49"/>
      <c r="V110" s="49"/>
      <c r="W110" s="50">
        <f t="shared" si="11"/>
        <v>0</v>
      </c>
      <c r="X110" s="51">
        <f>IF(A110="", "", IF(COUNTIFS(C$3:C109, C110, D$3:D109, D110, G$3:G109, G110) &gt; 0, "", "11:00"-AW110))</f>
        <v>0.24999999999999994</v>
      </c>
      <c r="Y110" s="52" t="str">
        <f t="shared" si="17"/>
        <v>1:40</v>
      </c>
      <c r="Z110" s="53">
        <v>4.1666666666666664E-2</v>
      </c>
      <c r="AA110" s="54" t="s">
        <v>90</v>
      </c>
      <c r="AB110" s="53">
        <v>4.1666666666666664E-2</v>
      </c>
      <c r="AC110" s="54" t="s">
        <v>90</v>
      </c>
      <c r="AD110" s="53"/>
      <c r="AE110" s="54"/>
      <c r="AF110" s="53"/>
      <c r="AG110" s="54"/>
      <c r="AH110" s="55">
        <v>4.1666666666666699E-2</v>
      </c>
      <c r="AI110" s="53"/>
      <c r="AJ110" s="54"/>
      <c r="AK110" s="53"/>
      <c r="AL110" s="54"/>
      <c r="AM110" s="53"/>
      <c r="AN110" s="54"/>
      <c r="AO110" s="53"/>
      <c r="AP110" s="54"/>
      <c r="AQ110" s="53">
        <v>4.1666666666666664E-2</v>
      </c>
      <c r="AR110" s="54" t="s">
        <v>163</v>
      </c>
      <c r="AS110" s="53">
        <v>4.1666666666666664E-2</v>
      </c>
      <c r="AT110" s="54" t="s">
        <v>147</v>
      </c>
      <c r="AU110" s="53">
        <v>4.1666666666666699E-2</v>
      </c>
      <c r="AV110" s="54" t="s">
        <v>37</v>
      </c>
      <c r="AW110" s="57">
        <f t="shared" si="14"/>
        <v>0.20833333333333337</v>
      </c>
      <c r="AX110" s="58" t="s">
        <v>164</v>
      </c>
    </row>
    <row r="111" spans="1:50" ht="28.5">
      <c r="A111" s="38" t="s">
        <v>165</v>
      </c>
      <c r="B111" s="39">
        <f t="shared" si="18"/>
        <v>107</v>
      </c>
      <c r="C111" s="40">
        <v>46028</v>
      </c>
      <c r="D111" s="40" t="s">
        <v>80</v>
      </c>
      <c r="E111" s="40" t="s">
        <v>81</v>
      </c>
      <c r="F111" s="41">
        <v>69.5</v>
      </c>
      <c r="G111" s="42" t="s">
        <v>135</v>
      </c>
      <c r="H111" s="43" t="str">
        <f>IFERROR(VLOOKUP($J111,'[9]FROM (3)'!$E$4:$F$230,2,FALSE),"")</f>
        <v>DNTH</v>
      </c>
      <c r="I111" s="44" t="str">
        <f t="shared" si="15"/>
        <v>Pole Core</v>
      </c>
      <c r="J111" s="44" t="str">
        <f t="shared" si="16"/>
        <v>TG028152-5180</v>
      </c>
      <c r="K111" s="59" t="str">
        <f t="shared" si="12"/>
        <v>PD25120422</v>
      </c>
      <c r="L111" s="46" t="str" cm="1">
        <f t="array" ref="L111">IFERROR(_xlfn.IFS(
    LEN($A111)-LEN(SUBSTITUTE($A111,"|",""))=12, RIGHT(A111, LEN(A111)-FIND("~", SUBSTITUTE(A111,"|","~", LEN(A111)-LEN(SUBSTITUTE(A111,"|",""))))),
    LEN($A111)-LEN(SUBSTITUTE($A111,"|",""))=13, MID($A111, FIND("~", SUBSTITUTE($A111,"|","~", 11))+1, FIND("~", SUBSTITUTE($A111,"|","~", 12))-FIND("~", SUBSTITUTE($A111,"|","~", 11))-1),
    LEN($A111)-LEN(SUBSTITUTE($A111,"|",""))=14, MID($A111, FIND("~", SUBSTITUTE($A111,"|","~", 11))+1, FIND("~", SUBSTITUTE($A111,"|","~", 12))-FIND("~", SUBSTITUTE($A111,"|","~", 11))-1)
), "")</f>
        <v>KS005C9016</v>
      </c>
      <c r="M111" s="47" t="str">
        <f t="shared" si="10"/>
        <v>SB120058/1/25</v>
      </c>
      <c r="N111" s="46" t="str">
        <f t="shared" si="13"/>
        <v/>
      </c>
      <c r="O111" s="60">
        <v>129</v>
      </c>
      <c r="P111" s="60">
        <v>1000</v>
      </c>
      <c r="Q111" s="48">
        <v>3000</v>
      </c>
      <c r="R111" s="48">
        <v>209</v>
      </c>
      <c r="S111" s="48"/>
      <c r="T111" s="48"/>
      <c r="U111" s="49"/>
      <c r="V111" s="49"/>
      <c r="W111" s="50">
        <f t="shared" si="11"/>
        <v>0</v>
      </c>
      <c r="X111" s="51" t="str">
        <f>IF(A111="", "", IF(COUNTIFS(C$3:C110, C111, D$3:D110, D111, G$3:G110, G111) &gt; 0, "", "11:00"-AW111))</f>
        <v/>
      </c>
      <c r="Y111" s="52" t="str">
        <f t="shared" si="17"/>
        <v/>
      </c>
      <c r="Z111" s="53">
        <v>4.1666666666666664E-2</v>
      </c>
      <c r="AA111" s="54" t="s">
        <v>90</v>
      </c>
      <c r="AB111" s="53">
        <v>4.1666666666666664E-2</v>
      </c>
      <c r="AC111" s="54" t="s">
        <v>129</v>
      </c>
      <c r="AD111" s="53"/>
      <c r="AE111" s="54"/>
      <c r="AF111" s="53"/>
      <c r="AG111" s="54"/>
      <c r="AH111" s="55">
        <v>4.1666666666666699E-2</v>
      </c>
      <c r="AI111" s="53"/>
      <c r="AJ111" s="54"/>
      <c r="AK111" s="53"/>
      <c r="AL111" s="54"/>
      <c r="AM111" s="53"/>
      <c r="AN111" s="54"/>
      <c r="AO111" s="53"/>
      <c r="AP111" s="54"/>
      <c r="AQ111" s="53">
        <v>4.1666666666666664E-2</v>
      </c>
      <c r="AR111" s="54" t="s">
        <v>163</v>
      </c>
      <c r="AS111" s="53">
        <v>4.1666666666666664E-2</v>
      </c>
      <c r="AT111" s="54" t="s">
        <v>147</v>
      </c>
      <c r="AU111" s="53">
        <v>4.1666666666666699E-2</v>
      </c>
      <c r="AV111" s="54" t="s">
        <v>37</v>
      </c>
      <c r="AW111" s="57">
        <f t="shared" si="14"/>
        <v>0.20833333333333337</v>
      </c>
      <c r="AX111" s="58" t="s">
        <v>164</v>
      </c>
    </row>
    <row r="112" spans="1:50" ht="28.5">
      <c r="A112" s="38" t="s">
        <v>139</v>
      </c>
      <c r="B112" s="39">
        <f t="shared" si="18"/>
        <v>108</v>
      </c>
      <c r="C112" s="40">
        <v>46028</v>
      </c>
      <c r="D112" s="40" t="s">
        <v>80</v>
      </c>
      <c r="E112" s="40" t="s">
        <v>81</v>
      </c>
      <c r="F112" s="41">
        <v>143.4</v>
      </c>
      <c r="G112" s="42" t="s">
        <v>62</v>
      </c>
      <c r="H112" s="43" t="str">
        <f>IFERROR(VLOOKUP($J112,'[9]FROM (3)'!$E$4:$F$230,2,FALSE),"")</f>
        <v>DNTH</v>
      </c>
      <c r="I112" s="44" t="str">
        <f t="shared" si="15"/>
        <v>SHAFT STARTER ARMATURE, 1W</v>
      </c>
      <c r="J112" s="44" t="str">
        <f t="shared" si="16"/>
        <v>TG028993-540B</v>
      </c>
      <c r="K112" s="59" t="str">
        <f t="shared" si="12"/>
        <v>PD25121166</v>
      </c>
      <c r="L112" s="46" t="str" cm="1">
        <f t="array" ref="L112">IFERROR(_xlfn.IFS(
    LEN($A112)-LEN(SUBSTITUTE($A112,"|",""))=12, RIGHT(A112, LEN(A112)-FIND("~", SUBSTITUTE(A112,"|","~", LEN(A112)-LEN(SUBSTITUTE(A112,"|",""))))),
    LEN($A112)-LEN(SUBSTITUTE($A112,"|",""))=13, MID($A112, FIND("~", SUBSTITUTE($A112,"|","~", 11))+1, FIND("~", SUBSTITUTE($A112,"|","~", 12))-FIND("~", SUBSTITUTE($A112,"|","~", 11))-1),
    LEN($A112)-LEN(SUBSTITUTE($A112,"|",""))=14, MID($A112, FIND("~", SUBSTITUTE($A112,"|","~", 11))+1, FIND("~", SUBSTITUTE($A112,"|","~", 12))-FIND("~", SUBSTITUTE($A112,"|","~", 11))-1)
), "")</f>
        <v>E586473</v>
      </c>
      <c r="M112" s="47" t="str">
        <f t="shared" si="10"/>
        <v>SB120140/1/25</v>
      </c>
      <c r="N112" s="46" t="str">
        <f t="shared" si="13"/>
        <v/>
      </c>
      <c r="O112" s="60"/>
      <c r="P112" s="60"/>
      <c r="Q112" s="48">
        <v>762</v>
      </c>
      <c r="R112" s="48">
        <v>156</v>
      </c>
      <c r="S112" s="48"/>
      <c r="T112" s="48"/>
      <c r="U112" s="49">
        <v>35</v>
      </c>
      <c r="V112" s="49">
        <v>9</v>
      </c>
      <c r="W112" s="50">
        <f t="shared" si="11"/>
        <v>44</v>
      </c>
      <c r="X112" s="51">
        <f>IF(A112="", "", IF(COUNTIFS(C$3:C111, C112, D$3:D111, D112, G$3:G111, G112) &gt; 0, "", "11:00"-AW112))</f>
        <v>0.24999999999999994</v>
      </c>
      <c r="Y112" s="52" t="str">
        <f t="shared" si="17"/>
        <v>1:40</v>
      </c>
      <c r="Z112" s="53">
        <v>2.0833333333333332E-2</v>
      </c>
      <c r="AA112" s="54" t="s">
        <v>63</v>
      </c>
      <c r="AB112" s="53"/>
      <c r="AC112" s="54"/>
      <c r="AD112" s="53"/>
      <c r="AE112" s="54"/>
      <c r="AF112" s="53"/>
      <c r="AG112" s="54"/>
      <c r="AH112" s="55">
        <v>4.1666666666666699E-2</v>
      </c>
      <c r="AI112" s="53"/>
      <c r="AJ112" s="54"/>
      <c r="AK112" s="53"/>
      <c r="AL112" s="54"/>
      <c r="AM112" s="53">
        <v>2.0833333333333332E-2</v>
      </c>
      <c r="AN112" s="54" t="s">
        <v>129</v>
      </c>
      <c r="AO112" s="53">
        <v>4.1666666666666664E-2</v>
      </c>
      <c r="AP112" s="54" t="s">
        <v>129</v>
      </c>
      <c r="AQ112" s="53">
        <v>4.1666666666666664E-2</v>
      </c>
      <c r="AR112" s="54" t="s">
        <v>129</v>
      </c>
      <c r="AS112" s="53">
        <v>4.1666666666666664E-2</v>
      </c>
      <c r="AT112" s="54" t="s">
        <v>147</v>
      </c>
      <c r="AU112" s="53">
        <v>4.1666666666666699E-2</v>
      </c>
      <c r="AV112" s="54" t="s">
        <v>37</v>
      </c>
      <c r="AW112" s="57">
        <f t="shared" si="14"/>
        <v>0.20833333333333337</v>
      </c>
      <c r="AX112" s="58" t="s">
        <v>166</v>
      </c>
    </row>
    <row r="113" spans="1:50" ht="28.5">
      <c r="A113" s="38" t="s">
        <v>120</v>
      </c>
      <c r="B113" s="39">
        <f t="shared" si="18"/>
        <v>109</v>
      </c>
      <c r="C113" s="40">
        <v>46028</v>
      </c>
      <c r="D113" s="40" t="s">
        <v>80</v>
      </c>
      <c r="E113" s="40" t="s">
        <v>81</v>
      </c>
      <c r="F113" s="41">
        <v>597.4</v>
      </c>
      <c r="G113" s="42" t="s">
        <v>85</v>
      </c>
      <c r="H113" s="43" t="str">
        <f>IFERROR(VLOOKUP($J113,'[9]FROM (3)'!$E$4:$F$230,2,FALSE),"")</f>
        <v>JTCS</v>
      </c>
      <c r="I113" s="44" t="str">
        <f t="shared" si="15"/>
        <v>Rack, MS</v>
      </c>
      <c r="J113" s="44" t="str">
        <f t="shared" si="16"/>
        <v>JGC10-003770-40-0</v>
      </c>
      <c r="K113" s="59" t="str">
        <f t="shared" si="12"/>
        <v>PD25121303</v>
      </c>
      <c r="L113" s="46" t="str" cm="1">
        <f t="array" ref="L113">IFERROR(_xlfn.IFS(
    LEN($A113)-LEN(SUBSTITUTE($A113,"|",""))=12, RIGHT(A113, LEN(A113)-FIND("~", SUBSTITUTE(A113,"|","~", LEN(A113)-LEN(SUBSTITUTE(A113,"|",""))))),
    LEN($A113)-LEN(SUBSTITUTE($A113,"|",""))=13, MID($A113, FIND("~", SUBSTITUTE($A113,"|","~", 11))+1, FIND("~", SUBSTITUTE($A113,"|","~", 12))-FIND("~", SUBSTITUTE($A113,"|","~", 11))-1),
    LEN($A113)-LEN(SUBSTITUTE($A113,"|",""))=14, MID($A113, FIND("~", SUBSTITUTE($A113,"|","~", 11))+1, FIND("~", SUBSTITUTE($A113,"|","~", 12))-FIND("~", SUBSTITUTE($A113,"|","~", 11))-1)
), "")</f>
        <v>E585970</v>
      </c>
      <c r="M113" s="47" t="str">
        <f t="shared" si="10"/>
        <v>SB120187/1/25</v>
      </c>
      <c r="N113" s="46" t="str">
        <f t="shared" si="13"/>
        <v/>
      </c>
      <c r="O113" s="60" t="s">
        <v>35</v>
      </c>
      <c r="P113" s="60" t="s">
        <v>35</v>
      </c>
      <c r="Q113" s="48">
        <v>93</v>
      </c>
      <c r="R113" s="48">
        <v>197</v>
      </c>
      <c r="S113" s="48">
        <v>2</v>
      </c>
      <c r="T113" s="48" t="s">
        <v>167</v>
      </c>
      <c r="U113" s="49">
        <v>148</v>
      </c>
      <c r="V113" s="49">
        <v>10</v>
      </c>
      <c r="W113" s="50">
        <f t="shared" si="11"/>
        <v>158</v>
      </c>
      <c r="X113" s="51">
        <f>IF(A113="", "", IF(COUNTIFS(C$3:C112, C113, D$3:D112, D113, G$3:G112, G113) &gt; 0, "", "11:00"-AW113))</f>
        <v>0.29166666666666663</v>
      </c>
      <c r="Y113" s="52" t="str">
        <f t="shared" si="17"/>
        <v>1:40</v>
      </c>
      <c r="Z113" s="53">
        <v>1.3888888888888888E-2</v>
      </c>
      <c r="AA113" s="54" t="s">
        <v>67</v>
      </c>
      <c r="AB113" s="53">
        <v>2.7777777777777776E-2</v>
      </c>
      <c r="AC113" s="54" t="s">
        <v>67</v>
      </c>
      <c r="AD113" s="53"/>
      <c r="AE113" s="54"/>
      <c r="AF113" s="53"/>
      <c r="AG113" s="54"/>
      <c r="AH113" s="55">
        <v>4.1666666666666699E-2</v>
      </c>
      <c r="AI113" s="53"/>
      <c r="AJ113" s="54"/>
      <c r="AK113" s="53"/>
      <c r="AL113" s="54"/>
      <c r="AM113" s="53"/>
      <c r="AN113" s="54"/>
      <c r="AO113" s="53"/>
      <c r="AP113" s="54"/>
      <c r="AQ113" s="53">
        <v>4.1666666666666664E-2</v>
      </c>
      <c r="AR113" s="54" t="s">
        <v>67</v>
      </c>
      <c r="AS113" s="53">
        <v>4.1666666666666664E-2</v>
      </c>
      <c r="AT113" s="54" t="s">
        <v>147</v>
      </c>
      <c r="AU113" s="53">
        <v>4.1666666666666699E-2</v>
      </c>
      <c r="AV113" s="54" t="s">
        <v>37</v>
      </c>
      <c r="AW113" s="57">
        <f t="shared" si="14"/>
        <v>0.16666666666666669</v>
      </c>
      <c r="AX113" s="58" t="s">
        <v>86</v>
      </c>
    </row>
    <row r="114" spans="1:50" ht="28.5">
      <c r="A114" s="38" t="s">
        <v>168</v>
      </c>
      <c r="B114" s="39">
        <f t="shared" si="18"/>
        <v>110</v>
      </c>
      <c r="C114" s="40">
        <v>46028</v>
      </c>
      <c r="D114" s="40" t="s">
        <v>80</v>
      </c>
      <c r="E114" s="40" t="s">
        <v>81</v>
      </c>
      <c r="F114" s="41">
        <v>701</v>
      </c>
      <c r="G114" s="42" t="s">
        <v>85</v>
      </c>
      <c r="H114" s="43" t="str">
        <f>IFERROR(VLOOKUP($J114,'[9]FROM (3)'!$E$4:$F$230,2,FALSE),"")</f>
        <v>JCTTH</v>
      </c>
      <c r="I114" s="44" t="str">
        <f t="shared" si="15"/>
        <v>RACK POWER STEERING</v>
      </c>
      <c r="J114" s="44" t="str">
        <f t="shared" si="16"/>
        <v>4426Q-2A272</v>
      </c>
      <c r="K114" s="59" t="str">
        <f t="shared" si="12"/>
        <v>PD26010105</v>
      </c>
      <c r="L114" s="46" t="str" cm="1">
        <f t="array" ref="L114">IFERROR(_xlfn.IFS(
    LEN($A114)-LEN(SUBSTITUTE($A114,"|",""))=12, RIGHT(A114, LEN(A114)-FIND("~", SUBSTITUTE(A114,"|","~", LEN(A114)-LEN(SUBSTITUTE(A114,"|",""))))),
    LEN($A114)-LEN(SUBSTITUTE($A114,"|",""))=13, MID($A114, FIND("~", SUBSTITUTE($A114,"|","~", 11))+1, FIND("~", SUBSTITUTE($A114,"|","~", 12))-FIND("~", SUBSTITUTE($A114,"|","~", 11))-1),
    LEN($A114)-LEN(SUBSTITUTE($A114,"|",""))=14, MID($A114, FIND("~", SUBSTITUTE($A114,"|","~", 11))+1, FIND("~", SUBSTITUTE($A114,"|","~", 12))-FIND("~", SUBSTITUTE($A114,"|","~", 11))-1)
), "")</f>
        <v>88580</v>
      </c>
      <c r="M114" s="47" t="str">
        <f t="shared" si="10"/>
        <v>SB010001/1/26</v>
      </c>
      <c r="N114" s="46" t="str">
        <f t="shared" si="13"/>
        <v/>
      </c>
      <c r="O114" s="60">
        <v>32</v>
      </c>
      <c r="P114" s="60">
        <v>1063</v>
      </c>
      <c r="Q114" s="48">
        <v>255</v>
      </c>
      <c r="R114" s="48">
        <v>1010</v>
      </c>
      <c r="S114" s="48">
        <v>1</v>
      </c>
      <c r="T114" s="48" t="s">
        <v>167</v>
      </c>
      <c r="U114" s="49"/>
      <c r="V114" s="49"/>
      <c r="W114" s="50">
        <f t="shared" si="11"/>
        <v>0</v>
      </c>
      <c r="X114" s="51" t="str">
        <f>IF(A114="", "", IF(COUNTIFS(C$3:C113, C114, D$3:D113, D114, G$3:G113, G114) &gt; 0, "", "11:00"-AW114))</f>
        <v/>
      </c>
      <c r="Y114" s="52" t="str">
        <f t="shared" si="17"/>
        <v/>
      </c>
      <c r="Z114" s="53"/>
      <c r="AA114" s="54"/>
      <c r="AB114" s="53"/>
      <c r="AC114" s="54"/>
      <c r="AD114" s="53"/>
      <c r="AE114" s="54"/>
      <c r="AF114" s="53"/>
      <c r="AG114" s="54"/>
      <c r="AH114" s="55">
        <v>4.1666666666666699E-2</v>
      </c>
      <c r="AI114" s="53"/>
      <c r="AJ114" s="54"/>
      <c r="AK114" s="53"/>
      <c r="AL114" s="54"/>
      <c r="AM114" s="53"/>
      <c r="AN114" s="54"/>
      <c r="AO114" s="53"/>
      <c r="AP114" s="54"/>
      <c r="AQ114" s="53"/>
      <c r="AR114" s="54"/>
      <c r="AS114" s="53"/>
      <c r="AT114" s="54"/>
      <c r="AU114" s="53">
        <v>4.1666666666666699E-2</v>
      </c>
      <c r="AV114" s="54" t="s">
        <v>37</v>
      </c>
      <c r="AW114" s="57">
        <f t="shared" si="14"/>
        <v>4.1666666666666699E-2</v>
      </c>
      <c r="AX114" s="58" t="s">
        <v>86</v>
      </c>
    </row>
    <row r="115" spans="1:50" ht="28.5">
      <c r="A115" s="38" t="s">
        <v>169</v>
      </c>
      <c r="B115" s="39">
        <f t="shared" si="18"/>
        <v>111</v>
      </c>
      <c r="C115" s="40">
        <v>46028</v>
      </c>
      <c r="D115" s="40" t="s">
        <v>80</v>
      </c>
      <c r="E115" s="40" t="s">
        <v>81</v>
      </c>
      <c r="F115" s="41">
        <v>701</v>
      </c>
      <c r="G115" s="42" t="s">
        <v>85</v>
      </c>
      <c r="H115" s="43" t="str">
        <f>IFERROR(VLOOKUP($J115,'[9]FROM (3)'!$E$4:$F$230,2,FALSE),"")</f>
        <v>JCTTH</v>
      </c>
      <c r="I115" s="44" t="str">
        <f t="shared" si="15"/>
        <v>RACK POWER STEERING</v>
      </c>
      <c r="J115" s="44" t="str">
        <f t="shared" si="16"/>
        <v>4426Q-2A272</v>
      </c>
      <c r="K115" s="59" t="str">
        <f t="shared" si="12"/>
        <v>PD26010105</v>
      </c>
      <c r="L115" s="46" t="str" cm="1">
        <f t="array" ref="L115">IFERROR(_xlfn.IFS(
    LEN($A115)-LEN(SUBSTITUTE($A115,"|",""))=12, RIGHT(A115, LEN(A115)-FIND("~", SUBSTITUTE(A115,"|","~", LEN(A115)-LEN(SUBSTITUTE(A115,"|",""))))),
    LEN($A115)-LEN(SUBSTITUTE($A115,"|",""))=13, MID($A115, FIND("~", SUBSTITUTE($A115,"|","~", 11))+1, FIND("~", SUBSTITUTE($A115,"|","~", 12))-FIND("~", SUBSTITUTE($A115,"|","~", 11))-1),
    LEN($A115)-LEN(SUBSTITUTE($A115,"|",""))=14, MID($A115, FIND("~", SUBSTITUTE($A115,"|","~", 11))+1, FIND("~", SUBSTITUTE($A115,"|","~", 12))-FIND("~", SUBSTITUTE($A115,"|","~", 11))-1)
), "")</f>
        <v>88580</v>
      </c>
      <c r="M115" s="47" t="str">
        <f t="shared" si="10"/>
        <v>SB010001/2/26</v>
      </c>
      <c r="N115" s="46" t="str">
        <f t="shared" si="13"/>
        <v/>
      </c>
      <c r="O115" s="60">
        <v>31</v>
      </c>
      <c r="P115" s="60">
        <v>1029</v>
      </c>
      <c r="Q115" s="48">
        <v>248</v>
      </c>
      <c r="R115" s="48">
        <v>982</v>
      </c>
      <c r="S115" s="48" t="s">
        <v>35</v>
      </c>
      <c r="T115" s="48"/>
      <c r="U115" s="49">
        <v>42</v>
      </c>
      <c r="V115" s="49">
        <v>7</v>
      </c>
      <c r="W115" s="50">
        <f t="shared" si="11"/>
        <v>49</v>
      </c>
      <c r="X115" s="51" t="str">
        <f>IF(A115="", "", IF(COUNTIFS(C$3:C114, C115, D$3:D114, D115, G$3:G114, G115) &gt; 0, "", "11:00"-AW115))</f>
        <v/>
      </c>
      <c r="Y115" s="52" t="str">
        <f t="shared" si="17"/>
        <v/>
      </c>
      <c r="Z115" s="53"/>
      <c r="AA115" s="54"/>
      <c r="AB115" s="53"/>
      <c r="AC115" s="54"/>
      <c r="AD115" s="53"/>
      <c r="AE115" s="54"/>
      <c r="AF115" s="53"/>
      <c r="AG115" s="54"/>
      <c r="AH115" s="55">
        <v>4.1666666666666699E-2</v>
      </c>
      <c r="AI115" s="53"/>
      <c r="AJ115" s="54"/>
      <c r="AK115" s="53"/>
      <c r="AL115" s="54"/>
      <c r="AM115" s="53"/>
      <c r="AN115" s="54"/>
      <c r="AO115" s="53"/>
      <c r="AP115" s="54"/>
      <c r="AQ115" s="53"/>
      <c r="AR115" s="54"/>
      <c r="AS115" s="53"/>
      <c r="AT115" s="54"/>
      <c r="AU115" s="53">
        <v>4.1666666666666699E-2</v>
      </c>
      <c r="AV115" s="54" t="s">
        <v>37</v>
      </c>
      <c r="AW115" s="57">
        <f t="shared" si="14"/>
        <v>4.1666666666666699E-2</v>
      </c>
      <c r="AX115" s="58" t="s">
        <v>86</v>
      </c>
    </row>
    <row r="116" spans="1:50" ht="28.5">
      <c r="A116" s="38" t="s">
        <v>170</v>
      </c>
      <c r="B116" s="39">
        <f t="shared" si="18"/>
        <v>112</v>
      </c>
      <c r="C116" s="40">
        <v>46028</v>
      </c>
      <c r="D116" s="40" t="s">
        <v>80</v>
      </c>
      <c r="E116" s="40" t="s">
        <v>81</v>
      </c>
      <c r="F116" s="41">
        <v>655.4</v>
      </c>
      <c r="G116" s="42" t="s">
        <v>85</v>
      </c>
      <c r="H116" s="43" t="str">
        <f>IFERROR(VLOOKUP($J116,'[9]FROM (3)'!$E$4:$F$230,2,FALSE),"")</f>
        <v>JAMY</v>
      </c>
      <c r="I116" s="44" t="str">
        <f t="shared" si="15"/>
        <v>RACK BAR</v>
      </c>
      <c r="J116" s="44" t="str">
        <f t="shared" si="16"/>
        <v>JGC10-M09008-51-0</v>
      </c>
      <c r="K116" s="59" t="str">
        <f t="shared" si="12"/>
        <v>PD26010145</v>
      </c>
      <c r="L116" s="46" t="str" cm="1">
        <f t="array" ref="L116">IFERROR(_xlfn.IFS(
    LEN($A116)-LEN(SUBSTITUTE($A116,"|",""))=12, RIGHT(A116, LEN(A116)-FIND("~", SUBSTITUTE(A116,"|","~", LEN(A116)-LEN(SUBSTITUTE(A116,"|",""))))),
    LEN($A116)-LEN(SUBSTITUTE($A116,"|",""))=13, MID($A116, FIND("~", SUBSTITUTE($A116,"|","~", 11))+1, FIND("~", SUBSTITUTE($A116,"|","~", 12))-FIND("~", SUBSTITUTE($A116,"|","~", 11))-1),
    LEN($A116)-LEN(SUBSTITUTE($A116,"|",""))=14, MID($A116, FIND("~", SUBSTITUTE($A116,"|","~", 11))+1, FIND("~", SUBSTITUTE($A116,"|","~", 12))-FIND("~", SUBSTITUTE($A116,"|","~", 11))-1)
), "")</f>
        <v>E586966</v>
      </c>
      <c r="M116" s="47" t="str">
        <f t="shared" si="10"/>
        <v>SB010004/1/26</v>
      </c>
      <c r="N116" s="46" t="str">
        <f t="shared" si="13"/>
        <v/>
      </c>
      <c r="O116" s="60">
        <v>60</v>
      </c>
      <c r="P116" s="60">
        <v>875</v>
      </c>
      <c r="Q116" s="48">
        <v>163</v>
      </c>
      <c r="R116" s="48">
        <v>445</v>
      </c>
      <c r="S116" s="48" t="s">
        <v>35</v>
      </c>
      <c r="T116" s="48"/>
      <c r="U116" s="49"/>
      <c r="V116" s="49"/>
      <c r="W116" s="50">
        <f t="shared" si="11"/>
        <v>0</v>
      </c>
      <c r="X116" s="51" t="str">
        <f>IF(A116="", "", IF(COUNTIFS(C$3:C115, C116, D$3:D115, D116, G$3:G115, G116) &gt; 0, "", "11:00"-AW116))</f>
        <v/>
      </c>
      <c r="Y116" s="52" t="str">
        <f t="shared" si="17"/>
        <v/>
      </c>
      <c r="Z116" s="53"/>
      <c r="AA116" s="54"/>
      <c r="AB116" s="53"/>
      <c r="AC116" s="54"/>
      <c r="AD116" s="53"/>
      <c r="AE116" s="54"/>
      <c r="AF116" s="53"/>
      <c r="AG116" s="54"/>
      <c r="AH116" s="55">
        <v>4.1666666666666699E-2</v>
      </c>
      <c r="AI116" s="53"/>
      <c r="AJ116" s="54"/>
      <c r="AK116" s="53"/>
      <c r="AL116" s="54"/>
      <c r="AM116" s="53"/>
      <c r="AN116" s="54"/>
      <c r="AO116" s="53"/>
      <c r="AP116" s="54"/>
      <c r="AQ116" s="53"/>
      <c r="AR116" s="54"/>
      <c r="AS116" s="53"/>
      <c r="AT116" s="54"/>
      <c r="AU116" s="53">
        <v>4.1666666666666699E-2</v>
      </c>
      <c r="AV116" s="54" t="s">
        <v>37</v>
      </c>
      <c r="AW116" s="57">
        <f t="shared" si="14"/>
        <v>4.1666666666666699E-2</v>
      </c>
      <c r="AX116" s="58" t="s">
        <v>86</v>
      </c>
    </row>
    <row r="117" spans="1:50" ht="28.5">
      <c r="A117" s="38" t="s">
        <v>171</v>
      </c>
      <c r="B117" s="39">
        <f t="shared" si="18"/>
        <v>113</v>
      </c>
      <c r="C117" s="40">
        <v>46028</v>
      </c>
      <c r="D117" s="40" t="s">
        <v>80</v>
      </c>
      <c r="E117" s="40" t="s">
        <v>81</v>
      </c>
      <c r="F117" s="41">
        <v>375</v>
      </c>
      <c r="G117" s="42" t="s">
        <v>172</v>
      </c>
      <c r="H117" s="43" t="str">
        <f>IFERROR(VLOOKUP($J117,'[9]FROM (3)'!$E$4:$F$230,2,FALSE),"")</f>
        <v>ATAC</v>
      </c>
      <c r="I117" s="44" t="str">
        <f t="shared" si="15"/>
        <v>SEAT,WATER PUMP PULLEY</v>
      </c>
      <c r="J117" s="44" t="str">
        <f t="shared" si="16"/>
        <v>16171-05030</v>
      </c>
      <c r="K117" s="59" t="str">
        <f t="shared" si="12"/>
        <v>PD26010089</v>
      </c>
      <c r="L117" s="46" t="str" cm="1">
        <f t="array" ref="L117">IFERROR(_xlfn.IFS(
    LEN($A117)-LEN(SUBSTITUTE($A117,"|",""))=12, RIGHT(A117, LEN(A117)-FIND("~", SUBSTITUTE(A117,"|","~", LEN(A117)-LEN(SUBSTITUTE(A117,"|",""))))),
    LEN($A117)-LEN(SUBSTITUTE($A117,"|",""))=13, MID($A117, FIND("~", SUBSTITUTE($A117,"|","~", 11))+1, FIND("~", SUBSTITUTE($A117,"|","~", 12))-FIND("~", SUBSTITUTE($A117,"|","~", 11))-1),
    LEN($A117)-LEN(SUBSTITUTE($A117,"|",""))=14, MID($A117, FIND("~", SUBSTITUTE($A117,"|","~", 11))+1, FIND("~", SUBSTITUTE($A117,"|","~", 12))-FIND("~", SUBSTITUTE($A117,"|","~", 11))-1)
), "")</f>
        <v>665898</v>
      </c>
      <c r="M117" s="47" t="str">
        <f t="shared" si="10"/>
        <v>SB120198/1/25</v>
      </c>
      <c r="N117" s="46" t="str">
        <f t="shared" si="13"/>
        <v/>
      </c>
      <c r="O117" s="60">
        <v>14</v>
      </c>
      <c r="P117" s="60">
        <v>992</v>
      </c>
      <c r="Q117" s="48">
        <v>2233</v>
      </c>
      <c r="R117" s="48">
        <v>837</v>
      </c>
      <c r="S117" s="48" t="s">
        <v>35</v>
      </c>
      <c r="T117" s="48"/>
      <c r="U117" s="49"/>
      <c r="V117" s="49"/>
      <c r="W117" s="50">
        <f t="shared" si="11"/>
        <v>0</v>
      </c>
      <c r="X117" s="51">
        <f>IF(A117="", "", IF(COUNTIFS(C$3:C116, C117, D$3:D116, D117, G$3:G116, G117) &gt; 0, "", "11:00"-AW117))</f>
        <v>0.33333333333333326</v>
      </c>
      <c r="Y117" s="52" t="str">
        <f t="shared" si="17"/>
        <v>1:40</v>
      </c>
      <c r="Z117" s="53">
        <v>4.1666666666666664E-2</v>
      </c>
      <c r="AA117" s="54" t="s">
        <v>67</v>
      </c>
      <c r="AB117" s="53"/>
      <c r="AC117" s="54"/>
      <c r="AD117" s="53"/>
      <c r="AE117" s="54"/>
      <c r="AF117" s="53"/>
      <c r="AG117" s="54"/>
      <c r="AH117" s="55">
        <v>4.1666666666666699E-2</v>
      </c>
      <c r="AI117" s="53"/>
      <c r="AJ117" s="54"/>
      <c r="AK117" s="53"/>
      <c r="AL117" s="54"/>
      <c r="AM117" s="53"/>
      <c r="AN117" s="54"/>
      <c r="AO117" s="53"/>
      <c r="AP117" s="54"/>
      <c r="AQ117" s="53"/>
      <c r="AR117" s="54"/>
      <c r="AS117" s="53">
        <v>4.1666666666666664E-2</v>
      </c>
      <c r="AT117" s="54" t="s">
        <v>147</v>
      </c>
      <c r="AU117" s="53">
        <v>4.1666666666666699E-2</v>
      </c>
      <c r="AV117" s="54" t="s">
        <v>37</v>
      </c>
      <c r="AW117" s="57">
        <f t="shared" si="14"/>
        <v>0.12500000000000003</v>
      </c>
      <c r="AX117" s="58" t="s">
        <v>109</v>
      </c>
    </row>
    <row r="118" spans="1:50" ht="28.5">
      <c r="A118" s="38" t="s">
        <v>161</v>
      </c>
      <c r="B118" s="39">
        <f t="shared" si="18"/>
        <v>114</v>
      </c>
      <c r="C118" s="40">
        <v>46029</v>
      </c>
      <c r="D118" s="40" t="s">
        <v>32</v>
      </c>
      <c r="E118" s="40" t="s">
        <v>33</v>
      </c>
      <c r="F118" s="41">
        <v>732.5</v>
      </c>
      <c r="G118" s="42" t="s">
        <v>75</v>
      </c>
      <c r="H118" s="43" t="str">
        <f>IFERROR(VLOOKUP($J118,'[9]FROM (3)'!$E$4:$F$230,2,FALSE),"")</f>
        <v>JCTTH</v>
      </c>
      <c r="I118" s="44" t="str">
        <f t="shared" si="15"/>
        <v>RACK POWER STEERING</v>
      </c>
      <c r="J118" s="44" t="str">
        <f t="shared" si="16"/>
        <v>JGD10-BA0101-C</v>
      </c>
      <c r="K118" s="59" t="str">
        <f t="shared" si="12"/>
        <v>PD25121080</v>
      </c>
      <c r="L118" s="46" t="str" cm="1">
        <f t="array" ref="L118">IFERROR(_xlfn.IFS(
    LEN($A118)-LEN(SUBSTITUTE($A118,"|",""))=12, RIGHT(A118, LEN(A118)-FIND("~", SUBSTITUTE(A118,"|","~", LEN(A118)-LEN(SUBSTITUTE(A118,"|",""))))),
    LEN($A118)-LEN(SUBSTITUTE($A118,"|",""))=13, MID($A118, FIND("~", SUBSTITUTE($A118,"|","~", 11))+1, FIND("~", SUBSTITUTE($A118,"|","~", 12))-FIND("~", SUBSTITUTE($A118,"|","~", 11))-1),
    LEN($A118)-LEN(SUBSTITUTE($A118,"|",""))=14, MID($A118, FIND("~", SUBSTITUTE($A118,"|","~", 11))+1, FIND("~", SUBSTITUTE($A118,"|","~", 12))-FIND("~", SUBSTITUTE($A118,"|","~", 11))-1)
), "")</f>
        <v>E586100</v>
      </c>
      <c r="M118" s="47" t="str">
        <f t="shared" si="10"/>
        <v>SB120137/2/25</v>
      </c>
      <c r="N118" s="46" t="str">
        <f t="shared" si="13"/>
        <v/>
      </c>
      <c r="O118" s="60">
        <v>0</v>
      </c>
      <c r="P118" s="60">
        <v>0</v>
      </c>
      <c r="Q118" s="48">
        <v>89</v>
      </c>
      <c r="R118" s="48">
        <v>370</v>
      </c>
      <c r="S118" s="48"/>
      <c r="T118" s="48"/>
      <c r="U118" s="49">
        <v>70</v>
      </c>
      <c r="V118" s="49">
        <v>6</v>
      </c>
      <c r="W118" s="50">
        <f t="shared" si="11"/>
        <v>76</v>
      </c>
      <c r="X118" s="51">
        <f>IF(A118="", "", IF(COUNTIFS(C$3:C117, C118, D$3:D117, D118, G$3:G117, G118) &gt; 0, "", "11:00"-AW118))</f>
        <v>0.1875</v>
      </c>
      <c r="Y118" s="52" t="str">
        <f t="shared" si="17"/>
        <v>1:0</v>
      </c>
      <c r="Z118" s="53"/>
      <c r="AA118" s="54" t="s">
        <v>122</v>
      </c>
      <c r="AB118" s="53"/>
      <c r="AC118" s="54"/>
      <c r="AD118" s="53"/>
      <c r="AE118" s="54"/>
      <c r="AF118" s="53"/>
      <c r="AG118" s="54"/>
      <c r="AH118" s="55">
        <v>4.1666666666666699E-2</v>
      </c>
      <c r="AI118" s="53">
        <v>2.0833333333333332E-2</v>
      </c>
      <c r="AJ118" s="54" t="s">
        <v>129</v>
      </c>
      <c r="AK118" s="53">
        <v>4.1666666666666664E-2</v>
      </c>
      <c r="AL118" s="54" t="s">
        <v>129</v>
      </c>
      <c r="AM118" s="53">
        <v>4.1666666666666664E-2</v>
      </c>
      <c r="AN118" s="54" t="s">
        <v>129</v>
      </c>
      <c r="AO118" s="53">
        <v>4.1666666666666664E-2</v>
      </c>
      <c r="AP118" s="54" t="s">
        <v>67</v>
      </c>
      <c r="AQ118" s="53">
        <v>4.1666666666666664E-2</v>
      </c>
      <c r="AR118" s="54" t="s">
        <v>37</v>
      </c>
      <c r="AS118" s="53">
        <v>4.1666666666666664E-2</v>
      </c>
      <c r="AT118" s="54" t="s">
        <v>37</v>
      </c>
      <c r="AU118" s="53">
        <v>4.1666666666666699E-2</v>
      </c>
      <c r="AV118" s="54" t="s">
        <v>37</v>
      </c>
      <c r="AW118" s="57">
        <f t="shared" si="14"/>
        <v>0.27083333333333331</v>
      </c>
      <c r="AX118" s="58" t="s">
        <v>77</v>
      </c>
    </row>
    <row r="119" spans="1:50" ht="28.5">
      <c r="A119" s="38" t="s">
        <v>173</v>
      </c>
      <c r="B119" s="39">
        <f t="shared" si="18"/>
        <v>115</v>
      </c>
      <c r="C119" s="40">
        <v>46029</v>
      </c>
      <c r="D119" s="40" t="s">
        <v>32</v>
      </c>
      <c r="E119" s="40" t="s">
        <v>33</v>
      </c>
      <c r="F119" s="41">
        <v>732.5</v>
      </c>
      <c r="G119" s="42" t="s">
        <v>75</v>
      </c>
      <c r="H119" s="43" t="str">
        <f>IFERROR(VLOOKUP($J119,'[9]FROM (3)'!$E$4:$F$230,2,FALSE),"")</f>
        <v>JCTTH</v>
      </c>
      <c r="I119" s="44" t="str">
        <f t="shared" si="15"/>
        <v>RACK POWER STEERING</v>
      </c>
      <c r="J119" s="44" t="str">
        <f t="shared" si="16"/>
        <v>JGD10-BA0101-C</v>
      </c>
      <c r="K119" s="59" t="str">
        <f t="shared" si="12"/>
        <v>PD25121081</v>
      </c>
      <c r="L119" s="46" t="str" cm="1">
        <f t="array" ref="L119">IFERROR(_xlfn.IFS(
    LEN($A119)-LEN(SUBSTITUTE($A119,"|",""))=12, RIGHT(A119, LEN(A119)-FIND("~", SUBSTITUTE(A119,"|","~", LEN(A119)-LEN(SUBSTITUTE(A119,"|",""))))),
    LEN($A119)-LEN(SUBSTITUTE($A119,"|",""))=13, MID($A119, FIND("~", SUBSTITUTE($A119,"|","~", 11))+1, FIND("~", SUBSTITUTE($A119,"|","~", 12))-FIND("~", SUBSTITUTE($A119,"|","~", 11))-1),
    LEN($A119)-LEN(SUBSTITUTE($A119,"|",""))=14, MID($A119, FIND("~", SUBSTITUTE($A119,"|","~", 11))+1, FIND("~", SUBSTITUTE($A119,"|","~", 12))-FIND("~", SUBSTITUTE($A119,"|","~", 11))-1)
), "")</f>
        <v>E586100</v>
      </c>
      <c r="M119" s="47" t="str">
        <f t="shared" si="10"/>
        <v>SB120137/3/25</v>
      </c>
      <c r="N119" s="46" t="str">
        <f t="shared" si="13"/>
        <v/>
      </c>
      <c r="O119" s="60">
        <v>50</v>
      </c>
      <c r="P119" s="60">
        <v>878</v>
      </c>
      <c r="Q119" s="48">
        <v>200</v>
      </c>
      <c r="R119" s="48">
        <v>832</v>
      </c>
      <c r="S119" s="48"/>
      <c r="T119" s="48"/>
      <c r="U119" s="49"/>
      <c r="V119" s="49"/>
      <c r="W119" s="50">
        <f t="shared" si="11"/>
        <v>0</v>
      </c>
      <c r="X119" s="51" t="str">
        <f>IF(A119="", "", IF(COUNTIFS(C$3:C118, C119, D$3:D118, D119, G$3:G118, G119) &gt; 0, "", "11:00"-AW119))</f>
        <v/>
      </c>
      <c r="Y119" s="52" t="str">
        <f t="shared" si="17"/>
        <v/>
      </c>
      <c r="Z119" s="53"/>
      <c r="AA119" s="54"/>
      <c r="AB119" s="53"/>
      <c r="AC119" s="54"/>
      <c r="AD119" s="53"/>
      <c r="AE119" s="54"/>
      <c r="AF119" s="53"/>
      <c r="AG119" s="54"/>
      <c r="AH119" s="55">
        <v>4.1666666666666699E-2</v>
      </c>
      <c r="AI119" s="53"/>
      <c r="AJ119" s="54"/>
      <c r="AK119" s="53"/>
      <c r="AL119" s="54"/>
      <c r="AM119" s="53"/>
      <c r="AN119" s="54"/>
      <c r="AO119" s="53"/>
      <c r="AP119" s="54"/>
      <c r="AQ119" s="53"/>
      <c r="AR119" s="54"/>
      <c r="AS119" s="53"/>
      <c r="AT119" s="54"/>
      <c r="AU119" s="53">
        <v>4.1666666666666699E-2</v>
      </c>
      <c r="AV119" s="54" t="s">
        <v>37</v>
      </c>
      <c r="AW119" s="57">
        <f t="shared" si="14"/>
        <v>4.1666666666666699E-2</v>
      </c>
      <c r="AX119" s="58" t="s">
        <v>77</v>
      </c>
    </row>
    <row r="120" spans="1:50" ht="28.5">
      <c r="A120" s="38" t="s">
        <v>174</v>
      </c>
      <c r="B120" s="39">
        <f t="shared" si="18"/>
        <v>116</v>
      </c>
      <c r="C120" s="40">
        <v>46029</v>
      </c>
      <c r="D120" s="40" t="s">
        <v>32</v>
      </c>
      <c r="E120" s="40" t="s">
        <v>33</v>
      </c>
      <c r="F120" s="41">
        <v>732.5</v>
      </c>
      <c r="G120" s="42" t="s">
        <v>75</v>
      </c>
      <c r="H120" s="43" t="str">
        <f>IFERROR(VLOOKUP($J120,'[9]FROM (3)'!$E$4:$F$230,2,FALSE),"")</f>
        <v>JCTTH</v>
      </c>
      <c r="I120" s="44" t="str">
        <f t="shared" si="15"/>
        <v>RACK POWER STEERING</v>
      </c>
      <c r="J120" s="44" t="str">
        <f t="shared" si="16"/>
        <v>JGD10-BA0101-C</v>
      </c>
      <c r="K120" s="59" t="str">
        <f t="shared" si="12"/>
        <v>PD25121081</v>
      </c>
      <c r="L120" s="46" t="str" cm="1">
        <f t="array" ref="L120">IFERROR(_xlfn.IFS(
    LEN($A120)-LEN(SUBSTITUTE($A120,"|",""))=12, RIGHT(A120, LEN(A120)-FIND("~", SUBSTITUTE(A120,"|","~", LEN(A120)-LEN(SUBSTITUTE(A120,"|",""))))),
    LEN($A120)-LEN(SUBSTITUTE($A120,"|",""))=13, MID($A120, FIND("~", SUBSTITUTE($A120,"|","~", 11))+1, FIND("~", SUBSTITUTE($A120,"|","~", 12))-FIND("~", SUBSTITUTE($A120,"|","~", 11))-1),
    LEN($A120)-LEN(SUBSTITUTE($A120,"|",""))=14, MID($A120, FIND("~", SUBSTITUTE($A120,"|","~", 11))+1, FIND("~", SUBSTITUTE($A120,"|","~", 12))-FIND("~", SUBSTITUTE($A120,"|","~", 11))-1)
), "")</f>
        <v>E586100</v>
      </c>
      <c r="M120" s="47" t="str">
        <f t="shared" si="10"/>
        <v>SB120137/4/25</v>
      </c>
      <c r="N120" s="46" t="str">
        <f t="shared" si="13"/>
        <v/>
      </c>
      <c r="O120" s="60">
        <v>50</v>
      </c>
      <c r="P120" s="60">
        <v>878</v>
      </c>
      <c r="Q120" s="48">
        <v>199</v>
      </c>
      <c r="R120" s="48">
        <v>828</v>
      </c>
      <c r="S120" s="48"/>
      <c r="T120" s="48"/>
      <c r="U120" s="49">
        <v>70</v>
      </c>
      <c r="V120" s="49">
        <v>6</v>
      </c>
      <c r="W120" s="50">
        <f t="shared" si="11"/>
        <v>76</v>
      </c>
      <c r="X120" s="51" t="str">
        <f>IF(A120="", "", IF(COUNTIFS(C$3:C119, C120, D$3:D119, D120, G$3:G119, G120) &gt; 0, "", "11:00"-AW120))</f>
        <v/>
      </c>
      <c r="Y120" s="52" t="str">
        <f t="shared" si="17"/>
        <v/>
      </c>
      <c r="Z120" s="53"/>
      <c r="AA120" s="54"/>
      <c r="AB120" s="53"/>
      <c r="AC120" s="54"/>
      <c r="AD120" s="53"/>
      <c r="AE120" s="54"/>
      <c r="AF120" s="53"/>
      <c r="AG120" s="54"/>
      <c r="AH120" s="55">
        <v>4.1666666666666699E-2</v>
      </c>
      <c r="AI120" s="53"/>
      <c r="AJ120" s="54"/>
      <c r="AK120" s="53"/>
      <c r="AL120" s="54"/>
      <c r="AM120" s="53"/>
      <c r="AN120" s="54"/>
      <c r="AO120" s="53"/>
      <c r="AP120" s="54"/>
      <c r="AQ120" s="53"/>
      <c r="AR120" s="54"/>
      <c r="AS120" s="53"/>
      <c r="AT120" s="54"/>
      <c r="AU120" s="53">
        <v>4.1666666666666699E-2</v>
      </c>
      <c r="AV120" s="54" t="s">
        <v>37</v>
      </c>
      <c r="AW120" s="57">
        <f t="shared" si="14"/>
        <v>4.1666666666666699E-2</v>
      </c>
      <c r="AX120" s="58" t="s">
        <v>77</v>
      </c>
    </row>
    <row r="121" spans="1:50" ht="28.5">
      <c r="A121" s="38" t="s">
        <v>175</v>
      </c>
      <c r="B121" s="39">
        <f t="shared" si="18"/>
        <v>117</v>
      </c>
      <c r="C121" s="40">
        <v>46029</v>
      </c>
      <c r="D121" s="40" t="s">
        <v>32</v>
      </c>
      <c r="E121" s="40" t="s">
        <v>33</v>
      </c>
      <c r="F121" s="41">
        <v>262</v>
      </c>
      <c r="G121" s="42" t="s">
        <v>176</v>
      </c>
      <c r="H121" s="43" t="str">
        <f>IFERROR(VLOOKUP($J121,'[9]FROM (3)'!$E$4:$F$230,2,FALSE),"")</f>
        <v>Astemo (Thailand)</v>
      </c>
      <c r="I121" s="44" t="str">
        <f t="shared" si="15"/>
        <v>510-30149-020</v>
      </c>
      <c r="J121" s="44" t="str">
        <f t="shared" si="16"/>
        <v>RACK (510-30149-020)</v>
      </c>
      <c r="K121" s="59" t="str">
        <f t="shared" si="12"/>
        <v>PD25121149</v>
      </c>
      <c r="L121" s="46" t="str" cm="1">
        <f t="array" ref="L121">IFERROR(_xlfn.IFS(
    LEN($A121)-LEN(SUBSTITUTE($A121,"|",""))=12, RIGHT(A121, LEN(A121)-FIND("~", SUBSTITUTE(A121,"|","~", LEN(A121)-LEN(SUBSTITUTE(A121,"|",""))))),
    LEN($A121)-LEN(SUBSTITUTE($A121,"|",""))=13, MID($A121, FIND("~", SUBSTITUTE($A121,"|","~", 11))+1, FIND("~", SUBSTITUTE($A121,"|","~", 12))-FIND("~", SUBSTITUTE($A121,"|","~", 11))-1),
    LEN($A121)-LEN(SUBSTITUTE($A121,"|",""))=14, MID($A121, FIND("~", SUBSTITUTE($A121,"|","~", 11))+1, FIND("~", SUBSTITUTE($A121,"|","~", 12))-FIND("~", SUBSTITUTE($A121,"|","~", 11))-1)
), "")</f>
        <v>5C1361</v>
      </c>
      <c r="M121" s="47" t="str">
        <f t="shared" si="10"/>
        <v>TSK2</v>
      </c>
      <c r="N121" s="46" t="str">
        <f t="shared" si="13"/>
        <v>FB120348/4/25</v>
      </c>
      <c r="O121" s="60" t="s">
        <v>35</v>
      </c>
      <c r="P121" s="60" t="s">
        <v>35</v>
      </c>
      <c r="Q121" s="48">
        <v>200</v>
      </c>
      <c r="R121" s="48">
        <v>327</v>
      </c>
      <c r="S121" s="48"/>
      <c r="T121" s="48"/>
      <c r="U121" s="49"/>
      <c r="V121" s="49"/>
      <c r="W121" s="50">
        <f t="shared" si="11"/>
        <v>0</v>
      </c>
      <c r="X121" s="51">
        <f>IF(A121="", "", IF(COUNTIFS(C$3:C120, C121, D$3:D120, D121, G$3:G120, G121) &gt; 0, "", "11:00"-AW121))</f>
        <v>0.16666666666666663</v>
      </c>
      <c r="Y121" s="52" t="str">
        <f t="shared" si="17"/>
        <v>1:0</v>
      </c>
      <c r="Z121" s="53">
        <v>4.1666666666666664E-2</v>
      </c>
      <c r="AA121" s="54" t="s">
        <v>90</v>
      </c>
      <c r="AB121" s="53">
        <v>4.1666666666666664E-2</v>
      </c>
      <c r="AC121" s="54" t="s">
        <v>90</v>
      </c>
      <c r="AD121" s="53">
        <v>4.1666666666666664E-2</v>
      </c>
      <c r="AE121" s="54" t="s">
        <v>90</v>
      </c>
      <c r="AF121" s="53">
        <v>4.1666666666666664E-2</v>
      </c>
      <c r="AG121" s="54" t="s">
        <v>90</v>
      </c>
      <c r="AH121" s="55">
        <v>4.1666666666666699E-2</v>
      </c>
      <c r="AI121" s="53"/>
      <c r="AJ121" s="54"/>
      <c r="AK121" s="53"/>
      <c r="AL121" s="54"/>
      <c r="AM121" s="53"/>
      <c r="AN121" s="54"/>
      <c r="AO121" s="53"/>
      <c r="AP121" s="54"/>
      <c r="AQ121" s="53">
        <v>4.1666666666666664E-2</v>
      </c>
      <c r="AR121" s="54" t="s">
        <v>37</v>
      </c>
      <c r="AS121" s="53">
        <v>4.1666666666666664E-2</v>
      </c>
      <c r="AT121" s="54" t="s">
        <v>37</v>
      </c>
      <c r="AU121" s="53">
        <v>4.1666666666666699E-2</v>
      </c>
      <c r="AV121" s="54" t="s">
        <v>37</v>
      </c>
      <c r="AW121" s="57">
        <f t="shared" si="14"/>
        <v>0.29166666666666669</v>
      </c>
      <c r="AX121" s="58" t="s">
        <v>48</v>
      </c>
    </row>
    <row r="122" spans="1:50" ht="21" customHeight="1">
      <c r="A122" s="38" t="s">
        <v>177</v>
      </c>
      <c r="B122" s="39">
        <f t="shared" si="18"/>
        <v>118</v>
      </c>
      <c r="C122" s="40">
        <v>46029</v>
      </c>
      <c r="D122" s="40" t="s">
        <v>32</v>
      </c>
      <c r="E122" s="40" t="s">
        <v>33</v>
      </c>
      <c r="F122" s="41">
        <v>262</v>
      </c>
      <c r="G122" s="42" t="s">
        <v>176</v>
      </c>
      <c r="H122" s="43" t="str">
        <f>IFERROR(VLOOKUP($J122,'[9]FROM (3)'!$E$4:$F$230,2,FALSE),"")</f>
        <v>Astemo (Thailand)</v>
      </c>
      <c r="I122" s="44" t="str">
        <f t="shared" si="15"/>
        <v>510-30149-020</v>
      </c>
      <c r="J122" s="44" t="str">
        <f t="shared" si="16"/>
        <v>RACK (510-30149-020)</v>
      </c>
      <c r="K122" s="59" t="str">
        <f t="shared" si="12"/>
        <v>PD25121149</v>
      </c>
      <c r="L122" s="46" t="str" cm="1">
        <f t="array" ref="L122">IFERROR(_xlfn.IFS(
    LEN($A122)-LEN(SUBSTITUTE($A122,"|",""))=12, RIGHT(A122, LEN(A122)-FIND("~", SUBSTITUTE(A122,"|","~", LEN(A122)-LEN(SUBSTITUTE(A122,"|",""))))),
    LEN($A122)-LEN(SUBSTITUTE($A122,"|",""))=13, MID($A122, FIND("~", SUBSTITUTE($A122,"|","~", 11))+1, FIND("~", SUBSTITUTE($A122,"|","~", 12))-FIND("~", SUBSTITUTE($A122,"|","~", 11))-1),
    LEN($A122)-LEN(SUBSTITUTE($A122,"|",""))=14, MID($A122, FIND("~", SUBSTITUTE($A122,"|","~", 11))+1, FIND("~", SUBSTITUTE($A122,"|","~", 12))-FIND("~", SUBSTITUTE($A122,"|","~", 11))-1)
), "")</f>
        <v>5C1361</v>
      </c>
      <c r="M122" s="47" t="str">
        <f t="shared" si="10"/>
        <v>TSK2</v>
      </c>
      <c r="N122" s="46" t="str">
        <f t="shared" si="13"/>
        <v>FB120348/5/25</v>
      </c>
      <c r="O122" s="60" t="s">
        <v>35</v>
      </c>
      <c r="P122" s="60" t="s">
        <v>35</v>
      </c>
      <c r="Q122" s="48">
        <v>107</v>
      </c>
      <c r="R122" s="48">
        <v>175</v>
      </c>
      <c r="S122" s="48"/>
      <c r="T122" s="48"/>
      <c r="U122" s="49"/>
      <c r="V122" s="49"/>
      <c r="W122" s="50">
        <f t="shared" si="11"/>
        <v>0</v>
      </c>
      <c r="X122" s="51" t="str">
        <f>IF(A122="", "", IF(COUNTIFS(C$3:C121, C122, D$3:D121, D122, G$3:G121, G122) &gt; 0, "", "11:00"-AW122))</f>
        <v/>
      </c>
      <c r="Y122" s="52" t="str">
        <f t="shared" si="17"/>
        <v/>
      </c>
      <c r="Z122" s="53"/>
      <c r="AA122" s="54"/>
      <c r="AB122" s="53"/>
      <c r="AC122" s="54"/>
      <c r="AD122" s="53"/>
      <c r="AE122" s="54"/>
      <c r="AF122" s="53"/>
      <c r="AG122" s="54"/>
      <c r="AH122" s="55">
        <v>4.1666666666666699E-2</v>
      </c>
      <c r="AI122" s="53"/>
      <c r="AJ122" s="54"/>
      <c r="AK122" s="53"/>
      <c r="AL122" s="54"/>
      <c r="AM122" s="53"/>
      <c r="AN122" s="54"/>
      <c r="AO122" s="53"/>
      <c r="AP122" s="54"/>
      <c r="AQ122" s="53">
        <v>4.1666666666666664E-2</v>
      </c>
      <c r="AR122" s="54" t="s">
        <v>37</v>
      </c>
      <c r="AS122" s="53">
        <v>4.1666666666666664E-2</v>
      </c>
      <c r="AT122" s="54" t="s">
        <v>37</v>
      </c>
      <c r="AU122" s="53">
        <v>4.1666666666666699E-2</v>
      </c>
      <c r="AV122" s="54" t="s">
        <v>37</v>
      </c>
      <c r="AW122" s="57">
        <f t="shared" si="14"/>
        <v>0.12500000000000003</v>
      </c>
      <c r="AX122" s="58" t="s">
        <v>48</v>
      </c>
    </row>
    <row r="123" spans="1:50" ht="28.5">
      <c r="A123" s="38" t="s">
        <v>178</v>
      </c>
      <c r="B123" s="39">
        <f t="shared" si="18"/>
        <v>119</v>
      </c>
      <c r="C123" s="40">
        <v>46029</v>
      </c>
      <c r="D123" s="40" t="s">
        <v>32</v>
      </c>
      <c r="E123" s="40" t="s">
        <v>33</v>
      </c>
      <c r="F123" s="41">
        <v>262</v>
      </c>
      <c r="G123" s="42" t="s">
        <v>176</v>
      </c>
      <c r="H123" s="43" t="str">
        <f>IFERROR(VLOOKUP($J123,'[9]FROM (3)'!$E$4:$F$230,2,FALSE),"")</f>
        <v>Astemo (Thailand)</v>
      </c>
      <c r="I123" s="44" t="str">
        <f t="shared" si="15"/>
        <v>510-30149-020</v>
      </c>
      <c r="J123" s="44" t="str">
        <f t="shared" si="16"/>
        <v>RACK (510-30149-020)</v>
      </c>
      <c r="K123" s="59" t="str">
        <f t="shared" si="12"/>
        <v>PD26010110</v>
      </c>
      <c r="L123" s="46" t="str" cm="1">
        <f t="array" ref="L123">IFERROR(_xlfn.IFS(
    LEN($A123)-LEN(SUBSTITUTE($A123,"|",""))=12, RIGHT(A123, LEN(A123)-FIND("~", SUBSTITUTE(A123,"|","~", LEN(A123)-LEN(SUBSTITUTE(A123,"|",""))))),
    LEN($A123)-LEN(SUBSTITUTE($A123,"|",""))=13, MID($A123, FIND("~", SUBSTITUTE($A123,"|","~", 11))+1, FIND("~", SUBSTITUTE($A123,"|","~", 12))-FIND("~", SUBSTITUTE($A123,"|","~", 11))-1),
    LEN($A123)-LEN(SUBSTITUTE($A123,"|",""))=14, MID($A123, FIND("~", SUBSTITUTE($A123,"|","~", 11))+1, FIND("~", SUBSTITUTE($A123,"|","~", 12))-FIND("~", SUBSTITUTE($A123,"|","~", 11))-1)
), "")</f>
        <v>5C1361</v>
      </c>
      <c r="M123" s="47" t="str">
        <f t="shared" si="10"/>
        <v>TSK2</v>
      </c>
      <c r="N123" s="46" t="str">
        <f t="shared" si="13"/>
        <v>FB010050/1/26</v>
      </c>
      <c r="O123" s="60" t="s">
        <v>35</v>
      </c>
      <c r="P123" s="60" t="s">
        <v>35</v>
      </c>
      <c r="Q123" s="48">
        <v>93</v>
      </c>
      <c r="R123" s="48">
        <v>152</v>
      </c>
      <c r="S123" s="48"/>
      <c r="T123" s="48"/>
      <c r="U123" s="49"/>
      <c r="V123" s="49"/>
      <c r="W123" s="50">
        <f t="shared" si="11"/>
        <v>0</v>
      </c>
      <c r="X123" s="51" t="str">
        <f>IF(A123="", "", IF(COUNTIFS(C$3:C122, C123, D$3:D122, D123, G$3:G122, G123) &gt; 0, "", "11:00"-AW123))</f>
        <v/>
      </c>
      <c r="Y123" s="52" t="str">
        <f t="shared" si="17"/>
        <v/>
      </c>
      <c r="Z123" s="53"/>
      <c r="AA123" s="54"/>
      <c r="AB123" s="53"/>
      <c r="AC123" s="54"/>
      <c r="AD123" s="53"/>
      <c r="AE123" s="54"/>
      <c r="AF123" s="53"/>
      <c r="AG123" s="54"/>
      <c r="AH123" s="55">
        <v>4.1666666666666699E-2</v>
      </c>
      <c r="AI123" s="53"/>
      <c r="AJ123" s="54"/>
      <c r="AK123" s="53"/>
      <c r="AL123" s="54"/>
      <c r="AM123" s="53"/>
      <c r="AN123" s="54"/>
      <c r="AO123" s="53"/>
      <c r="AP123" s="54"/>
      <c r="AQ123" s="53">
        <v>4.1666666666666664E-2</v>
      </c>
      <c r="AR123" s="54" t="s">
        <v>37</v>
      </c>
      <c r="AS123" s="53">
        <v>4.1666666666666664E-2</v>
      </c>
      <c r="AT123" s="54" t="s">
        <v>37</v>
      </c>
      <c r="AU123" s="53">
        <v>4.1666666666666699E-2</v>
      </c>
      <c r="AV123" s="54" t="s">
        <v>37</v>
      </c>
      <c r="AW123" s="57">
        <f t="shared" si="14"/>
        <v>0.12500000000000003</v>
      </c>
      <c r="AX123" s="58" t="s">
        <v>48</v>
      </c>
    </row>
    <row r="124" spans="1:50" ht="28.5">
      <c r="A124" s="38" t="s">
        <v>179</v>
      </c>
      <c r="B124" s="39">
        <f t="shared" si="18"/>
        <v>120</v>
      </c>
      <c r="C124" s="40">
        <v>46029</v>
      </c>
      <c r="D124" s="40" t="s">
        <v>32</v>
      </c>
      <c r="E124" s="40" t="s">
        <v>33</v>
      </c>
      <c r="F124" s="41">
        <v>262</v>
      </c>
      <c r="G124" s="42" t="s">
        <v>176</v>
      </c>
      <c r="H124" s="43" t="str">
        <f>IFERROR(VLOOKUP($J124,'[9]FROM (3)'!$E$4:$F$230,2,FALSE),"")</f>
        <v>Astemo (Thailand)</v>
      </c>
      <c r="I124" s="44" t="str">
        <f t="shared" si="15"/>
        <v>510-30149-020</v>
      </c>
      <c r="J124" s="44" t="str">
        <f t="shared" si="16"/>
        <v>RACK (510-30149-020)</v>
      </c>
      <c r="K124" s="59" t="str">
        <f t="shared" si="12"/>
        <v>PD26010110</v>
      </c>
      <c r="L124" s="46" t="str" cm="1">
        <f t="array" ref="L124">IFERROR(_xlfn.IFS(
    LEN($A124)-LEN(SUBSTITUTE($A124,"|",""))=12, RIGHT(A124, LEN(A124)-FIND("~", SUBSTITUTE(A124,"|","~", LEN(A124)-LEN(SUBSTITUTE(A124,"|",""))))),
    LEN($A124)-LEN(SUBSTITUTE($A124,"|",""))=13, MID($A124, FIND("~", SUBSTITUTE($A124,"|","~", 11))+1, FIND("~", SUBSTITUTE($A124,"|","~", 12))-FIND("~", SUBSTITUTE($A124,"|","~", 11))-1),
    LEN($A124)-LEN(SUBSTITUTE($A124,"|",""))=14, MID($A124, FIND("~", SUBSTITUTE($A124,"|","~", 11))+1, FIND("~", SUBSTITUTE($A124,"|","~", 12))-FIND("~", SUBSTITUTE($A124,"|","~", 11))-1)
), "")</f>
        <v>5C1361</v>
      </c>
      <c r="M124" s="47" t="str">
        <f t="shared" si="10"/>
        <v>TSK2</v>
      </c>
      <c r="N124" s="46" t="str">
        <f t="shared" si="13"/>
        <v>FB010050/2/26</v>
      </c>
      <c r="O124" s="60" t="s">
        <v>35</v>
      </c>
      <c r="P124" s="60" t="s">
        <v>35</v>
      </c>
      <c r="Q124" s="48">
        <v>200</v>
      </c>
      <c r="R124" s="48">
        <v>327</v>
      </c>
      <c r="S124" s="48"/>
      <c r="T124" s="48"/>
      <c r="U124" s="49"/>
      <c r="V124" s="49"/>
      <c r="W124" s="50">
        <f t="shared" si="11"/>
        <v>0</v>
      </c>
      <c r="X124" s="51" t="str">
        <f>IF(A124="", "", IF(COUNTIFS(C$3:C123, C124, D$3:D123, D124, G$3:G123, G124) &gt; 0, "", "11:00"-AW124))</f>
        <v/>
      </c>
      <c r="Y124" s="52" t="str">
        <f t="shared" si="17"/>
        <v/>
      </c>
      <c r="Z124" s="53"/>
      <c r="AA124" s="54"/>
      <c r="AB124" s="53"/>
      <c r="AC124" s="54"/>
      <c r="AD124" s="53"/>
      <c r="AE124" s="54"/>
      <c r="AF124" s="53"/>
      <c r="AG124" s="54"/>
      <c r="AH124" s="55">
        <v>4.1666666666666699E-2</v>
      </c>
      <c r="AI124" s="53"/>
      <c r="AJ124" s="54"/>
      <c r="AK124" s="53"/>
      <c r="AL124" s="54"/>
      <c r="AM124" s="53"/>
      <c r="AN124" s="54"/>
      <c r="AO124" s="53"/>
      <c r="AP124" s="54"/>
      <c r="AQ124" s="53">
        <v>4.1666666666666664E-2</v>
      </c>
      <c r="AR124" s="54" t="s">
        <v>37</v>
      </c>
      <c r="AS124" s="53">
        <v>4.1666666666666664E-2</v>
      </c>
      <c r="AT124" s="54" t="s">
        <v>37</v>
      </c>
      <c r="AU124" s="53">
        <v>4.1666666666666699E-2</v>
      </c>
      <c r="AV124" s="54" t="s">
        <v>37</v>
      </c>
      <c r="AW124" s="57">
        <f t="shared" si="14"/>
        <v>0.12500000000000003</v>
      </c>
      <c r="AX124" s="58" t="s">
        <v>48</v>
      </c>
    </row>
    <row r="125" spans="1:50" ht="28.5">
      <c r="A125" s="38" t="s">
        <v>162</v>
      </c>
      <c r="B125" s="39">
        <f t="shared" si="18"/>
        <v>121</v>
      </c>
      <c r="C125" s="40">
        <v>46029</v>
      </c>
      <c r="D125" s="40" t="s">
        <v>32</v>
      </c>
      <c r="E125" s="40" t="s">
        <v>33</v>
      </c>
      <c r="F125" s="41">
        <v>164.5</v>
      </c>
      <c r="G125" s="42" t="s">
        <v>108</v>
      </c>
      <c r="H125" s="43" t="str">
        <f>IFERROR(VLOOKUP($J125,'[9]FROM (3)'!$E$4:$F$230,2,FALSE),"")</f>
        <v>SIAM NSK</v>
      </c>
      <c r="I125" s="44" t="str">
        <f t="shared" si="15"/>
        <v>SHAFT SPLINE</v>
      </c>
      <c r="J125" s="44" t="str">
        <f t="shared" si="16"/>
        <v>2550S0553P</v>
      </c>
      <c r="K125" s="59" t="str">
        <f t="shared" si="12"/>
        <v>PD25121102</v>
      </c>
      <c r="L125" s="46" t="str" cm="1">
        <f t="array" ref="L125">IFERROR(_xlfn.IFS(
    LEN($A125)-LEN(SUBSTITUTE($A125,"|",""))=12, RIGHT(A125, LEN(A125)-FIND("~", SUBSTITUTE(A125,"|","~", LEN(A125)-LEN(SUBSTITUTE(A125,"|",""))))),
    LEN($A125)-LEN(SUBSTITUTE($A125,"|",""))=13, MID($A125, FIND("~", SUBSTITUTE($A125,"|","~", 11))+1, FIND("~", SUBSTITUTE($A125,"|","~", 12))-FIND("~", SUBSTITUTE($A125,"|","~", 11))-1),
    LEN($A125)-LEN(SUBSTITUTE($A125,"|",""))=14, MID($A125, FIND("~", SUBSTITUTE($A125,"|","~", 11))+1, FIND("~", SUBSTITUTE($A125,"|","~", 12))-FIND("~", SUBSTITUTE($A125,"|","~", 11))-1)
), "")</f>
        <v>SF93404</v>
      </c>
      <c r="M125" s="47" t="str">
        <f t="shared" si="10"/>
        <v>SB120009/2/25</v>
      </c>
      <c r="N125" s="46" t="str">
        <f t="shared" si="13"/>
        <v/>
      </c>
      <c r="O125" s="60" t="s">
        <v>35</v>
      </c>
      <c r="P125" s="60" t="s">
        <v>35</v>
      </c>
      <c r="Q125" s="48">
        <v>2106</v>
      </c>
      <c r="R125" s="48">
        <v>692</v>
      </c>
      <c r="S125" s="48"/>
      <c r="T125" s="48"/>
      <c r="U125" s="49">
        <v>28</v>
      </c>
      <c r="V125" s="49">
        <v>12</v>
      </c>
      <c r="W125" s="50">
        <f t="shared" si="11"/>
        <v>40</v>
      </c>
      <c r="X125" s="51">
        <f>IF(A125="", "", IF(COUNTIFS(C$3:C124, C125, D$3:D124, D125, G$3:G124, G125) &gt; 0, "", "11:00"-AW125))</f>
        <v>0.39583333333333326</v>
      </c>
      <c r="Y125" s="52" t="str">
        <f t="shared" si="17"/>
        <v>1:40</v>
      </c>
      <c r="Z125" s="53"/>
      <c r="AA125" s="54"/>
      <c r="AB125" s="53"/>
      <c r="AC125" s="54"/>
      <c r="AD125" s="53"/>
      <c r="AE125" s="54"/>
      <c r="AF125" s="53"/>
      <c r="AG125" s="54"/>
      <c r="AH125" s="55">
        <v>4.1666666666666699E-2</v>
      </c>
      <c r="AI125" s="53"/>
      <c r="AJ125" s="54"/>
      <c r="AK125" s="53">
        <v>2.0833333333333332E-2</v>
      </c>
      <c r="AL125" s="54" t="s">
        <v>67</v>
      </c>
      <c r="AM125" s="53"/>
      <c r="AN125" s="54"/>
      <c r="AO125" s="53"/>
      <c r="AP125" s="54"/>
      <c r="AQ125" s="53"/>
      <c r="AR125" s="54"/>
      <c r="AS125" s="53"/>
      <c r="AT125" s="54"/>
      <c r="AU125" s="53">
        <v>4.1666666666666699E-2</v>
      </c>
      <c r="AV125" s="54" t="s">
        <v>37</v>
      </c>
      <c r="AW125" s="57">
        <f t="shared" si="14"/>
        <v>6.2500000000000028E-2</v>
      </c>
      <c r="AX125" s="58" t="s">
        <v>38</v>
      </c>
    </row>
    <row r="126" spans="1:50" ht="21.75" customHeight="1">
      <c r="A126" s="38" t="s">
        <v>180</v>
      </c>
      <c r="B126" s="39">
        <f t="shared" si="18"/>
        <v>122</v>
      </c>
      <c r="C126" s="40">
        <v>46029</v>
      </c>
      <c r="D126" s="40" t="s">
        <v>32</v>
      </c>
      <c r="E126" s="40" t="s">
        <v>33</v>
      </c>
      <c r="F126" s="41">
        <v>262</v>
      </c>
      <c r="G126" s="42" t="s">
        <v>108</v>
      </c>
      <c r="H126" s="43" t="str">
        <f>IFERROR(VLOOKUP($J126,'[9]FROM (3)'!$E$4:$F$230,2,FALSE),"")</f>
        <v/>
      </c>
      <c r="I126" s="44" t="str">
        <f t="shared" si="15"/>
        <v>RACK</v>
      </c>
      <c r="J126" s="44" t="str">
        <f t="shared" si="16"/>
        <v>510-30149-020</v>
      </c>
      <c r="K126" s="59" t="str">
        <f t="shared" si="12"/>
        <v>PD26010110</v>
      </c>
      <c r="L126" s="46" t="str" cm="1">
        <f t="array" ref="L126">IFERROR(_xlfn.IFS(
    LEN($A126)-LEN(SUBSTITUTE($A126,"|",""))=12, RIGHT(A126, LEN(A126)-FIND("~", SUBSTITUTE(A126,"|","~", LEN(A126)-LEN(SUBSTITUTE(A126,"|",""))))),
    LEN($A126)-LEN(SUBSTITUTE($A126,"|",""))=13, MID($A126, FIND("~", SUBSTITUTE($A126,"|","~", 11))+1, FIND("~", SUBSTITUTE($A126,"|","~", 12))-FIND("~", SUBSTITUTE($A126,"|","~", 11))-1),
    LEN($A126)-LEN(SUBSTITUTE($A126,"|",""))=14, MID($A126, FIND("~", SUBSTITUTE($A126,"|","~", 11))+1, FIND("~", SUBSTITUTE($A126,"|","~", 12))-FIND("~", SUBSTITUTE($A126,"|","~", 11))-1)
), "")</f>
        <v>5C1361</v>
      </c>
      <c r="M126" s="47" t="str">
        <f t="shared" si="10"/>
        <v>SB010002/1/26</v>
      </c>
      <c r="N126" s="46" t="str">
        <f t="shared" si="13"/>
        <v/>
      </c>
      <c r="O126" s="60">
        <v>40</v>
      </c>
      <c r="P126" s="60">
        <v>785</v>
      </c>
      <c r="Q126" s="48">
        <v>440</v>
      </c>
      <c r="R126" s="48">
        <v>719</v>
      </c>
      <c r="S126" s="48"/>
      <c r="T126" s="48"/>
      <c r="U126" s="49"/>
      <c r="V126" s="49"/>
      <c r="W126" s="50">
        <f t="shared" si="11"/>
        <v>0</v>
      </c>
      <c r="X126" s="51" t="str">
        <f>IF(A126="", "", IF(COUNTIFS(C$3:C125, C126, D$3:D125, D126, G$3:G125, G126) &gt; 0, "", "11:00"-AW126))</f>
        <v/>
      </c>
      <c r="Y126" s="52" t="str">
        <f t="shared" si="17"/>
        <v/>
      </c>
      <c r="Z126" s="53"/>
      <c r="AA126" s="54"/>
      <c r="AB126" s="53"/>
      <c r="AC126" s="54"/>
      <c r="AD126" s="53"/>
      <c r="AE126" s="54"/>
      <c r="AF126" s="53"/>
      <c r="AG126" s="54"/>
      <c r="AH126" s="55">
        <v>4.1666666666666699E-2</v>
      </c>
      <c r="AI126" s="53"/>
      <c r="AJ126" s="54"/>
      <c r="AK126" s="53"/>
      <c r="AL126" s="54"/>
      <c r="AM126" s="53"/>
      <c r="AN126" s="54"/>
      <c r="AO126" s="53"/>
      <c r="AP126" s="54"/>
      <c r="AQ126" s="53"/>
      <c r="AR126" s="54"/>
      <c r="AS126" s="53"/>
      <c r="AT126" s="54"/>
      <c r="AU126" s="53">
        <v>4.1666666666666699E-2</v>
      </c>
      <c r="AV126" s="54" t="s">
        <v>37</v>
      </c>
      <c r="AW126" s="57">
        <f t="shared" si="14"/>
        <v>4.1666666666666699E-2</v>
      </c>
      <c r="AX126" s="58" t="s">
        <v>38</v>
      </c>
    </row>
    <row r="127" spans="1:50" ht="28.5">
      <c r="A127" s="38" t="s">
        <v>181</v>
      </c>
      <c r="B127" s="39">
        <f t="shared" si="18"/>
        <v>123</v>
      </c>
      <c r="C127" s="40">
        <v>46029</v>
      </c>
      <c r="D127" s="40" t="s">
        <v>32</v>
      </c>
      <c r="E127" s="40" t="s">
        <v>33</v>
      </c>
      <c r="F127" s="41">
        <v>262</v>
      </c>
      <c r="G127" s="42" t="s">
        <v>108</v>
      </c>
      <c r="H127" s="43" t="str">
        <f>IFERROR(VLOOKUP($J127,'[9]FROM (3)'!$E$4:$F$230,2,FALSE),"")</f>
        <v/>
      </c>
      <c r="I127" s="44" t="str">
        <f t="shared" si="15"/>
        <v>RACK</v>
      </c>
      <c r="J127" s="44" t="str">
        <f t="shared" si="16"/>
        <v>510-30149-020</v>
      </c>
      <c r="K127" s="59" t="str">
        <f t="shared" si="12"/>
        <v>PD26010110</v>
      </c>
      <c r="L127" s="46" t="str" cm="1">
        <f t="array" ref="L127">IFERROR(_xlfn.IFS(
    LEN($A127)-LEN(SUBSTITUTE($A127,"|",""))=12, RIGHT(A127, LEN(A127)-FIND("~", SUBSTITUTE(A127,"|","~", LEN(A127)-LEN(SUBSTITUTE(A127,"|",""))))),
    LEN($A127)-LEN(SUBSTITUTE($A127,"|",""))=13, MID($A127, FIND("~", SUBSTITUTE($A127,"|","~", 11))+1, FIND("~", SUBSTITUTE($A127,"|","~", 12))-FIND("~", SUBSTITUTE($A127,"|","~", 11))-1),
    LEN($A127)-LEN(SUBSTITUTE($A127,"|",""))=14, MID($A127, FIND("~", SUBSTITUTE($A127,"|","~", 11))+1, FIND("~", SUBSTITUTE($A127,"|","~", 12))-FIND("~", SUBSTITUTE($A127,"|","~", 11))-1)
), "")</f>
        <v>5C1361</v>
      </c>
      <c r="M127" s="47" t="str">
        <f t="shared" si="10"/>
        <v>SB010002/2/26</v>
      </c>
      <c r="N127" s="46" t="str">
        <f t="shared" si="13"/>
        <v/>
      </c>
      <c r="O127" s="60">
        <v>40</v>
      </c>
      <c r="P127" s="60">
        <v>785</v>
      </c>
      <c r="Q127" s="48">
        <v>302</v>
      </c>
      <c r="R127" s="48">
        <v>494</v>
      </c>
      <c r="S127" s="48"/>
      <c r="T127" s="48"/>
      <c r="U127" s="49"/>
      <c r="V127" s="49"/>
      <c r="W127" s="50">
        <f t="shared" si="11"/>
        <v>0</v>
      </c>
      <c r="X127" s="51" t="str">
        <f>IF(A127="", "", IF(COUNTIFS(C$3:C126, C127, D$3:D126, D127, G$3:G126, G127) &gt; 0, "", "11:00"-AW127))</f>
        <v/>
      </c>
      <c r="Y127" s="52" t="str">
        <f t="shared" si="17"/>
        <v/>
      </c>
      <c r="Z127" s="53"/>
      <c r="AA127" s="54"/>
      <c r="AB127" s="53"/>
      <c r="AC127" s="54"/>
      <c r="AD127" s="53"/>
      <c r="AE127" s="54"/>
      <c r="AF127" s="53"/>
      <c r="AG127" s="54"/>
      <c r="AH127" s="55">
        <v>4.1666666666666699E-2</v>
      </c>
      <c r="AI127" s="53"/>
      <c r="AJ127" s="54"/>
      <c r="AK127" s="53"/>
      <c r="AL127" s="54"/>
      <c r="AM127" s="53"/>
      <c r="AN127" s="54"/>
      <c r="AO127" s="53"/>
      <c r="AP127" s="54"/>
      <c r="AQ127" s="53"/>
      <c r="AR127" s="54"/>
      <c r="AS127" s="53"/>
      <c r="AT127" s="54"/>
      <c r="AU127" s="53">
        <v>4.1666666666666699E-2</v>
      </c>
      <c r="AV127" s="54" t="s">
        <v>37</v>
      </c>
      <c r="AW127" s="57">
        <f t="shared" si="14"/>
        <v>4.1666666666666699E-2</v>
      </c>
      <c r="AX127" s="58" t="s">
        <v>38</v>
      </c>
    </row>
    <row r="128" spans="1:50" ht="28.5">
      <c r="A128" s="38" t="s">
        <v>170</v>
      </c>
      <c r="B128" s="39">
        <f t="shared" si="18"/>
        <v>124</v>
      </c>
      <c r="C128" s="40">
        <v>46029</v>
      </c>
      <c r="D128" s="40" t="s">
        <v>32</v>
      </c>
      <c r="E128" s="40" t="s">
        <v>33</v>
      </c>
      <c r="F128" s="41">
        <v>655.4</v>
      </c>
      <c r="G128" s="42" t="s">
        <v>85</v>
      </c>
      <c r="H128" s="43" t="str">
        <f>IFERROR(VLOOKUP($J128,'[9]FROM (3)'!$E$4:$F$230,2,FALSE),"")</f>
        <v>JAMY</v>
      </c>
      <c r="I128" s="44" t="str">
        <f t="shared" si="15"/>
        <v>RACK BAR</v>
      </c>
      <c r="J128" s="44" t="str">
        <f t="shared" si="16"/>
        <v>JGC10-M09008-51-0</v>
      </c>
      <c r="K128" s="59" t="str">
        <f t="shared" si="12"/>
        <v>PD26010145</v>
      </c>
      <c r="L128" s="46" t="str" cm="1">
        <f t="array" ref="L128">IFERROR(_xlfn.IFS(
    LEN($A128)-LEN(SUBSTITUTE($A128,"|",""))=12, RIGHT(A128, LEN(A128)-FIND("~", SUBSTITUTE(A128,"|","~", LEN(A128)-LEN(SUBSTITUTE(A128,"|",""))))),
    LEN($A128)-LEN(SUBSTITUTE($A128,"|",""))=13, MID($A128, FIND("~", SUBSTITUTE($A128,"|","~", 11))+1, FIND("~", SUBSTITUTE($A128,"|","~", 12))-FIND("~", SUBSTITUTE($A128,"|","~", 11))-1),
    LEN($A128)-LEN(SUBSTITUTE($A128,"|",""))=14, MID($A128, FIND("~", SUBSTITUTE($A128,"|","~", 11))+1, FIND("~", SUBSTITUTE($A128,"|","~", 12))-FIND("~", SUBSTITUTE($A128,"|","~", 11))-1)
), "")</f>
        <v>E586966</v>
      </c>
      <c r="M128" s="47" t="str">
        <f t="shared" si="10"/>
        <v>SB010004/1/26</v>
      </c>
      <c r="N128" s="46" t="str">
        <f t="shared" si="13"/>
        <v/>
      </c>
      <c r="O128" s="60"/>
      <c r="P128" s="60"/>
      <c r="Q128" s="48">
        <v>137</v>
      </c>
      <c r="R128" s="48">
        <v>374</v>
      </c>
      <c r="S128" s="48"/>
      <c r="T128" s="48"/>
      <c r="U128" s="49"/>
      <c r="V128" s="49"/>
      <c r="W128" s="50">
        <f t="shared" si="11"/>
        <v>0</v>
      </c>
      <c r="X128" s="51">
        <f>IF(A128="", "", IF(COUNTIFS(C$3:C127, C128, D$3:D127, D128, G$3:G127, G128) &gt; 0, "", "11:00"-AW128))</f>
        <v>0.41666666666666663</v>
      </c>
      <c r="Y128" s="52" t="str">
        <f t="shared" si="17"/>
        <v>1:40</v>
      </c>
      <c r="Z128" s="53"/>
      <c r="AA128" s="54"/>
      <c r="AB128" s="53"/>
      <c r="AC128" s="54"/>
      <c r="AD128" s="53"/>
      <c r="AE128" s="54"/>
      <c r="AF128" s="53"/>
      <c r="AG128" s="54"/>
      <c r="AH128" s="55">
        <v>4.1666666666666699E-2</v>
      </c>
      <c r="AI128" s="53"/>
      <c r="AJ128" s="54"/>
      <c r="AK128" s="53"/>
      <c r="AL128" s="54"/>
      <c r="AM128" s="53"/>
      <c r="AN128" s="54"/>
      <c r="AO128" s="53"/>
      <c r="AP128" s="54"/>
      <c r="AQ128" s="53"/>
      <c r="AR128" s="54"/>
      <c r="AS128" s="53"/>
      <c r="AT128" s="54"/>
      <c r="AU128" s="53">
        <v>4.1666666666666699E-2</v>
      </c>
      <c r="AV128" s="54" t="s">
        <v>37</v>
      </c>
      <c r="AW128" s="57">
        <f t="shared" si="14"/>
        <v>4.1666666666666699E-2</v>
      </c>
      <c r="AX128" s="58" t="s">
        <v>117</v>
      </c>
    </row>
    <row r="129" spans="1:50" ht="28.5">
      <c r="A129" s="38" t="s">
        <v>182</v>
      </c>
      <c r="B129" s="39">
        <f t="shared" si="18"/>
        <v>125</v>
      </c>
      <c r="C129" s="40">
        <v>46029</v>
      </c>
      <c r="D129" s="40" t="s">
        <v>32</v>
      </c>
      <c r="E129" s="40" t="s">
        <v>33</v>
      </c>
      <c r="F129" s="41">
        <v>655.4</v>
      </c>
      <c r="G129" s="42" t="s">
        <v>85</v>
      </c>
      <c r="H129" s="43" t="str">
        <f>IFERROR(VLOOKUP($J129,'[9]FROM (3)'!$E$4:$F$230,2,FALSE),"")</f>
        <v>JAMY</v>
      </c>
      <c r="I129" s="44" t="str">
        <f t="shared" si="15"/>
        <v>RACK BAR</v>
      </c>
      <c r="J129" s="44" t="str">
        <f t="shared" si="16"/>
        <v>JGC10-M09008-51-0</v>
      </c>
      <c r="K129" s="59" t="str">
        <f t="shared" si="12"/>
        <v>PD26010145</v>
      </c>
      <c r="L129" s="46" t="str" cm="1">
        <f t="array" ref="L129">IFERROR(_xlfn.IFS(
    LEN($A129)-LEN(SUBSTITUTE($A129,"|",""))=12, RIGHT(A129, LEN(A129)-FIND("~", SUBSTITUTE(A129,"|","~", LEN(A129)-LEN(SUBSTITUTE(A129,"|",""))))),
    LEN($A129)-LEN(SUBSTITUTE($A129,"|",""))=13, MID($A129, FIND("~", SUBSTITUTE($A129,"|","~", 11))+1, FIND("~", SUBSTITUTE($A129,"|","~", 12))-FIND("~", SUBSTITUTE($A129,"|","~", 11))-1),
    LEN($A129)-LEN(SUBSTITUTE($A129,"|",""))=14, MID($A129, FIND("~", SUBSTITUTE($A129,"|","~", 11))+1, FIND("~", SUBSTITUTE($A129,"|","~", 12))-FIND("~", SUBSTITUTE($A129,"|","~", 11))-1)
), "")</f>
        <v>E586966</v>
      </c>
      <c r="M129" s="47" t="str">
        <f t="shared" si="10"/>
        <v>SB010004/2/26</v>
      </c>
      <c r="N129" s="46" t="str">
        <f t="shared" si="13"/>
        <v/>
      </c>
      <c r="O129" s="60">
        <v>60</v>
      </c>
      <c r="P129" s="60">
        <v>875</v>
      </c>
      <c r="Q129" s="48">
        <v>300</v>
      </c>
      <c r="R129" s="48">
        <v>819</v>
      </c>
      <c r="S129" s="48"/>
      <c r="T129" s="48"/>
      <c r="U129" s="49"/>
      <c r="V129" s="49"/>
      <c r="W129" s="50">
        <f t="shared" si="11"/>
        <v>0</v>
      </c>
      <c r="X129" s="51" t="str">
        <f>IF(A129="", "", IF(COUNTIFS(C$3:C128, C129, D$3:D128, D129, G$3:G128, G129) &gt; 0, "", "11:00"-AW129))</f>
        <v/>
      </c>
      <c r="Y129" s="52" t="str">
        <f t="shared" si="17"/>
        <v/>
      </c>
      <c r="Z129" s="53"/>
      <c r="AA129" s="54"/>
      <c r="AB129" s="53"/>
      <c r="AC129" s="54"/>
      <c r="AD129" s="53"/>
      <c r="AE129" s="54"/>
      <c r="AF129" s="53"/>
      <c r="AG129" s="54"/>
      <c r="AH129" s="55">
        <v>4.1666666666666699E-2</v>
      </c>
      <c r="AI129" s="53"/>
      <c r="AJ129" s="54"/>
      <c r="AK129" s="53"/>
      <c r="AL129" s="54"/>
      <c r="AM129" s="53"/>
      <c r="AN129" s="54"/>
      <c r="AO129" s="53"/>
      <c r="AP129" s="54"/>
      <c r="AQ129" s="53"/>
      <c r="AR129" s="54"/>
      <c r="AS129" s="53"/>
      <c r="AT129" s="54"/>
      <c r="AU129" s="53">
        <v>4.1666666666666699E-2</v>
      </c>
      <c r="AV129" s="54" t="s">
        <v>37</v>
      </c>
      <c r="AW129" s="57">
        <f t="shared" si="14"/>
        <v>4.1666666666666699E-2</v>
      </c>
      <c r="AX129" s="58" t="s">
        <v>117</v>
      </c>
    </row>
    <row r="130" spans="1:50" ht="28.5">
      <c r="A130" s="38" t="s">
        <v>183</v>
      </c>
      <c r="B130" s="39">
        <f t="shared" si="18"/>
        <v>126</v>
      </c>
      <c r="C130" s="40">
        <v>46029</v>
      </c>
      <c r="D130" s="40" t="s">
        <v>32</v>
      </c>
      <c r="E130" s="40" t="s">
        <v>33</v>
      </c>
      <c r="F130" s="41">
        <v>655.4</v>
      </c>
      <c r="G130" s="42" t="s">
        <v>85</v>
      </c>
      <c r="H130" s="43" t="str">
        <f>IFERROR(VLOOKUP($J130,'[9]FROM (3)'!$E$4:$F$230,2,FALSE),"")</f>
        <v>JAMY</v>
      </c>
      <c r="I130" s="44" t="str">
        <f t="shared" si="15"/>
        <v>RACK BAR</v>
      </c>
      <c r="J130" s="44" t="str">
        <f t="shared" si="16"/>
        <v>JGC10-M09008-51-0</v>
      </c>
      <c r="K130" s="59" t="str">
        <f t="shared" si="12"/>
        <v>PD26010145</v>
      </c>
      <c r="L130" s="46" t="str" cm="1">
        <f t="array" ref="L130">IFERROR(_xlfn.IFS(
    LEN($A130)-LEN(SUBSTITUTE($A130,"|",""))=12, RIGHT(A130, LEN(A130)-FIND("~", SUBSTITUTE(A130,"|","~", LEN(A130)-LEN(SUBSTITUTE(A130,"|",""))))),
    LEN($A130)-LEN(SUBSTITUTE($A130,"|",""))=13, MID($A130, FIND("~", SUBSTITUTE($A130,"|","~", 11))+1, FIND("~", SUBSTITUTE($A130,"|","~", 12))-FIND("~", SUBSTITUTE($A130,"|","~", 11))-1),
    LEN($A130)-LEN(SUBSTITUTE($A130,"|",""))=14, MID($A130, FIND("~", SUBSTITUTE($A130,"|","~", 11))+1, FIND("~", SUBSTITUTE($A130,"|","~", 12))-FIND("~", SUBSTITUTE($A130,"|","~", 11))-1)
), "")</f>
        <v>E586966</v>
      </c>
      <c r="M130" s="47" t="str">
        <f t="shared" si="10"/>
        <v>SB010004/3/26</v>
      </c>
      <c r="N130" s="46" t="str">
        <f t="shared" si="13"/>
        <v/>
      </c>
      <c r="O130" s="60">
        <v>60</v>
      </c>
      <c r="P130" s="60">
        <v>875</v>
      </c>
      <c r="Q130" s="48">
        <v>300</v>
      </c>
      <c r="R130" s="48">
        <v>819</v>
      </c>
      <c r="S130" s="48">
        <v>3</v>
      </c>
      <c r="T130" s="48" t="s">
        <v>167</v>
      </c>
      <c r="U130" s="49">
        <v>145</v>
      </c>
      <c r="V130" s="49">
        <v>9</v>
      </c>
      <c r="W130" s="50">
        <f t="shared" si="11"/>
        <v>154</v>
      </c>
      <c r="X130" s="51" t="str">
        <f>IF(A130="", "", IF(COUNTIFS(C$3:C129, C130, D$3:D129, D130, G$3:G129, G130) &gt; 0, "", "11:00"-AW130))</f>
        <v/>
      </c>
      <c r="Y130" s="52" t="str">
        <f t="shared" si="17"/>
        <v/>
      </c>
      <c r="Z130" s="53"/>
      <c r="AA130" s="54"/>
      <c r="AB130" s="53"/>
      <c r="AC130" s="54"/>
      <c r="AD130" s="53"/>
      <c r="AE130" s="54"/>
      <c r="AF130" s="53"/>
      <c r="AG130" s="54"/>
      <c r="AH130" s="55">
        <v>4.1666666666666699E-2</v>
      </c>
      <c r="AI130" s="53"/>
      <c r="AJ130" s="54"/>
      <c r="AK130" s="53"/>
      <c r="AL130" s="54"/>
      <c r="AM130" s="53"/>
      <c r="AN130" s="54"/>
      <c r="AO130" s="53"/>
      <c r="AP130" s="54"/>
      <c r="AQ130" s="53"/>
      <c r="AR130" s="54"/>
      <c r="AS130" s="53"/>
      <c r="AT130" s="54"/>
      <c r="AU130" s="53">
        <v>4.1666666666666699E-2</v>
      </c>
      <c r="AV130" s="54" t="s">
        <v>37</v>
      </c>
      <c r="AW130" s="57">
        <f t="shared" si="14"/>
        <v>4.1666666666666699E-2</v>
      </c>
      <c r="AX130" s="58" t="s">
        <v>117</v>
      </c>
    </row>
    <row r="131" spans="1:50" ht="28.5">
      <c r="A131" s="38" t="s">
        <v>184</v>
      </c>
      <c r="B131" s="39">
        <f t="shared" si="18"/>
        <v>127</v>
      </c>
      <c r="C131" s="40">
        <v>46029</v>
      </c>
      <c r="D131" s="40" t="s">
        <v>32</v>
      </c>
      <c r="E131" s="40" t="s">
        <v>33</v>
      </c>
      <c r="F131" s="41">
        <v>655.4</v>
      </c>
      <c r="G131" s="42" t="s">
        <v>85</v>
      </c>
      <c r="H131" s="43" t="str">
        <f>IFERROR(VLOOKUP($J131,'[9]FROM (3)'!$E$4:$F$230,2,FALSE),"")</f>
        <v>JAMY</v>
      </c>
      <c r="I131" s="44" t="str">
        <f t="shared" si="15"/>
        <v>RACK BAR</v>
      </c>
      <c r="J131" s="44" t="str">
        <f t="shared" si="16"/>
        <v>JGC10-M09008-51-0</v>
      </c>
      <c r="K131" s="59" t="str">
        <f t="shared" si="12"/>
        <v>PD26010146</v>
      </c>
      <c r="L131" s="46" t="str" cm="1">
        <f t="array" ref="L131">IFERROR(_xlfn.IFS(
    LEN($A131)-LEN(SUBSTITUTE($A131,"|",""))=12, RIGHT(A131, LEN(A131)-FIND("~", SUBSTITUTE(A131,"|","~", LEN(A131)-LEN(SUBSTITUTE(A131,"|",""))))),
    LEN($A131)-LEN(SUBSTITUTE($A131,"|",""))=13, MID($A131, FIND("~", SUBSTITUTE($A131,"|","~", 11))+1, FIND("~", SUBSTITUTE($A131,"|","~", 12))-FIND("~", SUBSTITUTE($A131,"|","~", 11))-1),
    LEN($A131)-LEN(SUBSTITUTE($A131,"|",""))=14, MID($A131, FIND("~", SUBSTITUTE($A131,"|","~", 11))+1, FIND("~", SUBSTITUTE($A131,"|","~", 12))-FIND("~", SUBSTITUTE($A131,"|","~", 11))-1)
), "")</f>
        <v>E586966</v>
      </c>
      <c r="M131" s="47" t="str">
        <f t="shared" si="10"/>
        <v>SB010004/4/26</v>
      </c>
      <c r="N131" s="46" t="str">
        <f t="shared" si="13"/>
        <v/>
      </c>
      <c r="O131" s="60">
        <v>60</v>
      </c>
      <c r="P131" s="60">
        <v>875</v>
      </c>
      <c r="Q131" s="48">
        <v>300</v>
      </c>
      <c r="R131" s="48">
        <v>819</v>
      </c>
      <c r="S131" s="48"/>
      <c r="T131" s="48"/>
      <c r="U131" s="49"/>
      <c r="V131" s="49"/>
      <c r="W131" s="50">
        <f t="shared" si="11"/>
        <v>0</v>
      </c>
      <c r="X131" s="51" t="str">
        <f>IF(A131="", "", IF(COUNTIFS(C$3:C130, C131, D$3:D130, D131, G$3:G130, G131) &gt; 0, "", "11:00"-AW131))</f>
        <v/>
      </c>
      <c r="Y131" s="52" t="str">
        <f t="shared" si="17"/>
        <v/>
      </c>
      <c r="Z131" s="53"/>
      <c r="AA131" s="54"/>
      <c r="AB131" s="53"/>
      <c r="AC131" s="54"/>
      <c r="AD131" s="53"/>
      <c r="AE131" s="54"/>
      <c r="AF131" s="53"/>
      <c r="AG131" s="54"/>
      <c r="AH131" s="55">
        <v>4.1666666666666699E-2</v>
      </c>
      <c r="AI131" s="53"/>
      <c r="AJ131" s="54"/>
      <c r="AK131" s="53"/>
      <c r="AL131" s="54"/>
      <c r="AM131" s="53"/>
      <c r="AN131" s="54"/>
      <c r="AO131" s="53"/>
      <c r="AP131" s="54"/>
      <c r="AQ131" s="53"/>
      <c r="AR131" s="54"/>
      <c r="AS131" s="53"/>
      <c r="AT131" s="54"/>
      <c r="AU131" s="53">
        <v>4.1666666666666699E-2</v>
      </c>
      <c r="AV131" s="54" t="s">
        <v>37</v>
      </c>
      <c r="AW131" s="57">
        <f t="shared" si="14"/>
        <v>4.1666666666666699E-2</v>
      </c>
      <c r="AX131" s="15" t="s">
        <v>117</v>
      </c>
    </row>
    <row r="132" spans="1:50" ht="28.5">
      <c r="A132" s="38" t="s">
        <v>185</v>
      </c>
      <c r="B132" s="39">
        <f t="shared" si="18"/>
        <v>128</v>
      </c>
      <c r="C132" s="40">
        <v>46029</v>
      </c>
      <c r="D132" s="40" t="s">
        <v>32</v>
      </c>
      <c r="E132" s="40" t="s">
        <v>33</v>
      </c>
      <c r="F132" s="41">
        <v>655.4</v>
      </c>
      <c r="G132" s="42" t="s">
        <v>85</v>
      </c>
      <c r="H132" s="43" t="str">
        <f>IFERROR(VLOOKUP($J132,'[9]FROM (3)'!$E$4:$F$230,2,FALSE),"")</f>
        <v>JAMY</v>
      </c>
      <c r="I132" s="44" t="str">
        <f t="shared" si="15"/>
        <v>RACK BAR</v>
      </c>
      <c r="J132" s="44" t="str">
        <f t="shared" si="16"/>
        <v>JGC10-M09008-51-0</v>
      </c>
      <c r="K132" s="59" t="str">
        <f t="shared" si="12"/>
        <v>PD26010146</v>
      </c>
      <c r="L132" s="46" t="str" cm="1">
        <f t="array" ref="L132">IFERROR(_xlfn.IFS(
    LEN($A132)-LEN(SUBSTITUTE($A132,"|",""))=12, RIGHT(A132, LEN(A132)-FIND("~", SUBSTITUTE(A132,"|","~", LEN(A132)-LEN(SUBSTITUTE(A132,"|",""))))),
    LEN($A132)-LEN(SUBSTITUTE($A132,"|",""))=13, MID($A132, FIND("~", SUBSTITUTE($A132,"|","~", 11))+1, FIND("~", SUBSTITUTE($A132,"|","~", 12))-FIND("~", SUBSTITUTE($A132,"|","~", 11))-1),
    LEN($A132)-LEN(SUBSTITUTE($A132,"|",""))=14, MID($A132, FIND("~", SUBSTITUTE($A132,"|","~", 11))+1, FIND("~", SUBSTITUTE($A132,"|","~", 12))-FIND("~", SUBSTITUTE($A132,"|","~", 11))-1)
), "")</f>
        <v>E586966</v>
      </c>
      <c r="M132" s="47" t="str">
        <f t="shared" si="10"/>
        <v>SB010004/6/26</v>
      </c>
      <c r="N132" s="46" t="str">
        <f t="shared" si="13"/>
        <v/>
      </c>
      <c r="O132" s="60">
        <v>60</v>
      </c>
      <c r="P132" s="60">
        <v>875</v>
      </c>
      <c r="Q132" s="48">
        <v>146</v>
      </c>
      <c r="R132" s="48">
        <v>399</v>
      </c>
      <c r="S132" s="48"/>
      <c r="T132" s="48"/>
      <c r="U132" s="49"/>
      <c r="V132" s="49"/>
      <c r="W132" s="50">
        <f t="shared" si="11"/>
        <v>0</v>
      </c>
      <c r="X132" s="51" t="str">
        <f>IF(A132="", "", IF(COUNTIFS(C$3:C131, C132, D$3:D131, D132, G$3:G131, G132) &gt; 0, "", "11:00"-AW132))</f>
        <v/>
      </c>
      <c r="Y132" s="52" t="str">
        <f t="shared" si="17"/>
        <v/>
      </c>
      <c r="Z132" s="53"/>
      <c r="AA132" s="54"/>
      <c r="AB132" s="53"/>
      <c r="AC132" s="54"/>
      <c r="AD132" s="53"/>
      <c r="AE132" s="54"/>
      <c r="AF132" s="53"/>
      <c r="AG132" s="54"/>
      <c r="AH132" s="55">
        <v>4.1666666666666699E-2</v>
      </c>
      <c r="AI132" s="53"/>
      <c r="AJ132" s="54"/>
      <c r="AK132" s="53"/>
      <c r="AL132" s="54"/>
      <c r="AM132" s="53"/>
      <c r="AN132" s="54"/>
      <c r="AO132" s="53"/>
      <c r="AP132" s="54"/>
      <c r="AQ132" s="53"/>
      <c r="AR132" s="54"/>
      <c r="AS132" s="53"/>
      <c r="AT132" s="54"/>
      <c r="AU132" s="53">
        <v>4.1666666666666699E-2</v>
      </c>
      <c r="AV132" s="54" t="s">
        <v>37</v>
      </c>
      <c r="AW132" s="57">
        <f t="shared" si="14"/>
        <v>4.1666666666666699E-2</v>
      </c>
      <c r="AX132" s="58" t="s">
        <v>117</v>
      </c>
    </row>
    <row r="133" spans="1:50" ht="28.5">
      <c r="A133" s="38" t="s">
        <v>186</v>
      </c>
      <c r="B133" s="39">
        <f t="shared" si="18"/>
        <v>129</v>
      </c>
      <c r="C133" s="40">
        <v>46029</v>
      </c>
      <c r="D133" s="40" t="s">
        <v>32</v>
      </c>
      <c r="E133" s="40" t="s">
        <v>33</v>
      </c>
      <c r="F133" s="41">
        <v>698.5</v>
      </c>
      <c r="G133" s="42" t="s">
        <v>54</v>
      </c>
      <c r="H133" s="43" t="str">
        <f>IFERROR(VLOOKUP($J133,'[9]FROM (3)'!$E$4:$F$230,2,FALSE),"")</f>
        <v>JCTTH</v>
      </c>
      <c r="I133" s="44" t="str">
        <f t="shared" si="15"/>
        <v>RACK BAR</v>
      </c>
      <c r="J133" s="44" t="str">
        <f t="shared" si="16"/>
        <v>JGD10-000751/000761-A</v>
      </c>
      <c r="K133" s="59" t="str">
        <f t="shared" si="12"/>
        <v>PD25121278</v>
      </c>
      <c r="L133" s="46" t="str" cm="1">
        <f t="array" ref="L133">IFERROR(_xlfn.IFS(
    LEN($A133)-LEN(SUBSTITUTE($A133,"|",""))=12, RIGHT(A133, LEN(A133)-FIND("~", SUBSTITUTE(A133,"|","~", LEN(A133)-LEN(SUBSTITUTE(A133,"|",""))))),
    LEN($A133)-LEN(SUBSTITUTE($A133,"|",""))=13, MID($A133, FIND("~", SUBSTITUTE($A133,"|","~", 11))+1, FIND("~", SUBSTITUTE($A133,"|","~", 12))-FIND("~", SUBSTITUTE($A133,"|","~", 11))-1),
    LEN($A133)-LEN(SUBSTITUTE($A133,"|",""))=14, MID($A133, FIND("~", SUBSTITUTE($A133,"|","~", 11))+1, FIND("~", SUBSTITUTE($A133,"|","~", 12))-FIND("~", SUBSTITUTE($A133,"|","~", 11))-1)
), "")</f>
        <v>665077</v>
      </c>
      <c r="M133" s="47" t="str">
        <f t="shared" ref="M133:M196" si="19">IFERROR(MID(A133,FIND("~",SUBSTITUTE(A133,"|","~",10))+1,FIND("~",SUBSTITUTE(A133,"|","~",11))-FIND("~",SUBSTITUTE(A133,"|","~",10))-1),"")</f>
        <v>SB120178/2/25</v>
      </c>
      <c r="N133" s="46" t="str">
        <f t="shared" si="13"/>
        <v/>
      </c>
      <c r="O133" s="60">
        <v>51</v>
      </c>
      <c r="P133" s="60">
        <v>986</v>
      </c>
      <c r="Q133" s="48">
        <v>204</v>
      </c>
      <c r="R133" s="48">
        <v>913</v>
      </c>
      <c r="S133" s="48"/>
      <c r="T133" s="48"/>
      <c r="U133" s="49"/>
      <c r="V133" s="49"/>
      <c r="W133" s="50">
        <f t="shared" ref="W133:W196" si="20">SUM(U133:V133)</f>
        <v>0</v>
      </c>
      <c r="X133" s="51">
        <f>IF(A133="", "", IF(COUNTIFS(C$3:C132, C133, D$3:D132, D133, G$3:G132, G133) &gt; 0, "", "11:00"-AW133))</f>
        <v>0.27083333333333331</v>
      </c>
      <c r="Y133" s="52" t="str">
        <f t="shared" si="17"/>
        <v>1:0</v>
      </c>
      <c r="Z133" s="53">
        <v>2.0833333333333332E-2</v>
      </c>
      <c r="AA133" s="54" t="s">
        <v>90</v>
      </c>
      <c r="AB133" s="53"/>
      <c r="AC133" s="54"/>
      <c r="AD133" s="53"/>
      <c r="AE133" s="54"/>
      <c r="AF133" s="53"/>
      <c r="AG133" s="54"/>
      <c r="AH133" s="55">
        <v>4.1666666666666699E-2</v>
      </c>
      <c r="AI133" s="53"/>
      <c r="AJ133" s="54"/>
      <c r="AK133" s="53">
        <v>4.1666666666666664E-2</v>
      </c>
      <c r="AL133" s="54" t="s">
        <v>76</v>
      </c>
      <c r="AM133" s="53"/>
      <c r="AN133" s="54"/>
      <c r="AO133" s="53"/>
      <c r="AP133" s="54" t="s">
        <v>122</v>
      </c>
      <c r="AQ133" s="53">
        <v>4.1666666666666664E-2</v>
      </c>
      <c r="AR133" s="54" t="s">
        <v>37</v>
      </c>
      <c r="AS133" s="53">
        <v>4.1666666666666664E-2</v>
      </c>
      <c r="AT133" s="54" t="s">
        <v>37</v>
      </c>
      <c r="AU133" s="53">
        <v>4.1666666666666699E-2</v>
      </c>
      <c r="AV133" s="54" t="s">
        <v>37</v>
      </c>
      <c r="AW133" s="57">
        <f t="shared" si="14"/>
        <v>0.1875</v>
      </c>
      <c r="AX133" s="58" t="s">
        <v>56</v>
      </c>
    </row>
    <row r="134" spans="1:50" ht="20.25" customHeight="1">
      <c r="A134" s="38" t="s">
        <v>187</v>
      </c>
      <c r="B134" s="39">
        <f t="shared" si="18"/>
        <v>130</v>
      </c>
      <c r="C134" s="40">
        <v>46029</v>
      </c>
      <c r="D134" s="40" t="s">
        <v>32</v>
      </c>
      <c r="E134" s="40" t="s">
        <v>33</v>
      </c>
      <c r="F134" s="41">
        <v>698.5</v>
      </c>
      <c r="G134" s="42" t="s">
        <v>54</v>
      </c>
      <c r="H134" s="43" t="str">
        <f>IFERROR(VLOOKUP($J134,'[9]FROM (3)'!$E$4:$F$230,2,FALSE),"")</f>
        <v>JCTTH</v>
      </c>
      <c r="I134" s="44" t="str">
        <f t="shared" si="15"/>
        <v>RACK BAR</v>
      </c>
      <c r="J134" s="44" t="str">
        <f t="shared" si="16"/>
        <v>JGD10-000751/000761-A</v>
      </c>
      <c r="K134" s="59" t="str">
        <f t="shared" ref="K134:K197" si="21">IFERROR(LEFT(A134,SEARCH("|",A134)-1),"")</f>
        <v>PD25121278</v>
      </c>
      <c r="L134" s="46" t="str" cm="1">
        <f t="array" ref="L134">IFERROR(_xlfn.IFS(
    LEN($A134)-LEN(SUBSTITUTE($A134,"|",""))=12, RIGHT(A134, LEN(A134)-FIND("~", SUBSTITUTE(A134,"|","~", LEN(A134)-LEN(SUBSTITUTE(A134,"|",""))))),
    LEN($A134)-LEN(SUBSTITUTE($A134,"|",""))=13, MID($A134, FIND("~", SUBSTITUTE($A134,"|","~", 11))+1, FIND("~", SUBSTITUTE($A134,"|","~", 12))-FIND("~", SUBSTITUTE($A134,"|","~", 11))-1),
    LEN($A134)-LEN(SUBSTITUTE($A134,"|",""))=14, MID($A134, FIND("~", SUBSTITUTE($A134,"|","~", 11))+1, FIND("~", SUBSTITUTE($A134,"|","~", 12))-FIND("~", SUBSTITUTE($A134,"|","~", 11))-1)
), "")</f>
        <v>665077</v>
      </c>
      <c r="M134" s="47" t="str">
        <f t="shared" si="19"/>
        <v>SB120178/3/25</v>
      </c>
      <c r="N134" s="46" t="str">
        <f t="shared" ref="N134:N197" si="22">IFERROR(IF(LEN($A134)-LEN(SUBSTITUTE($A134,"|",""))=12,MID($A134,FIND("~",SUBSTITUTE($A134,"|","~",11))+1,FIND("~",SUBSTITUTE($A134,"|","~",12))-FIND("~",SUBSTITUTE($A134,"|","~",11))-1),IF(LEN($A134)-LEN(SUBSTITUTE($A134,"|",""))=13,MID($A134,FIND("~",SUBSTITUTE($A134,"|","~",10))+1,FIND("~",SUBSTITUTE($A134,"|","~",11))-FIND("~",SUBSTITUTE($A134,"|","~",10))-1), "")),"")</f>
        <v/>
      </c>
      <c r="O134" s="60">
        <v>51</v>
      </c>
      <c r="P134" s="60">
        <v>986</v>
      </c>
      <c r="Q134" s="48">
        <v>204</v>
      </c>
      <c r="R134" s="48">
        <v>913</v>
      </c>
      <c r="S134" s="48"/>
      <c r="T134" s="48"/>
      <c r="U134" s="49"/>
      <c r="V134" s="49"/>
      <c r="W134" s="50">
        <f t="shared" si="20"/>
        <v>0</v>
      </c>
      <c r="X134" s="51" t="str">
        <f>IF(A134="", "", IF(COUNTIFS(C$3:C133, C134, D$3:D133, D134, G$3:G133, G134) &gt; 0, "", "11:00"-AW134))</f>
        <v/>
      </c>
      <c r="Y134" s="52" t="str">
        <f t="shared" si="17"/>
        <v/>
      </c>
      <c r="Z134" s="53"/>
      <c r="AA134" s="54"/>
      <c r="AB134" s="53"/>
      <c r="AC134" s="54"/>
      <c r="AD134" s="53"/>
      <c r="AE134" s="54"/>
      <c r="AF134" s="53"/>
      <c r="AG134" s="54"/>
      <c r="AH134" s="55">
        <v>4.1666666666666699E-2</v>
      </c>
      <c r="AI134" s="53"/>
      <c r="AJ134" s="54"/>
      <c r="AK134" s="53"/>
      <c r="AL134" s="54"/>
      <c r="AM134" s="53"/>
      <c r="AN134" s="54"/>
      <c r="AO134" s="53"/>
      <c r="AP134" s="54"/>
      <c r="AQ134" s="53"/>
      <c r="AR134" s="54"/>
      <c r="AS134" s="53"/>
      <c r="AT134" s="54"/>
      <c r="AU134" s="53">
        <v>4.1666666666666699E-2</v>
      </c>
      <c r="AV134" s="54" t="s">
        <v>37</v>
      </c>
      <c r="AW134" s="57">
        <f t="shared" ref="AW134:AW197" si="23">SUM(Z134,AB134,AD134,AF134,AI134,AK134,AM134,AO134,AQ134,AS134,AU134)</f>
        <v>4.1666666666666699E-2</v>
      </c>
      <c r="AX134" s="58" t="s">
        <v>56</v>
      </c>
    </row>
    <row r="135" spans="1:50" ht="28.5">
      <c r="A135" s="38" t="s">
        <v>188</v>
      </c>
      <c r="B135" s="39">
        <f t="shared" si="18"/>
        <v>131</v>
      </c>
      <c r="C135" s="40">
        <v>46029</v>
      </c>
      <c r="D135" s="40" t="s">
        <v>32</v>
      </c>
      <c r="E135" s="40" t="s">
        <v>33</v>
      </c>
      <c r="F135" s="41">
        <v>698.5</v>
      </c>
      <c r="G135" s="42" t="s">
        <v>54</v>
      </c>
      <c r="H135" s="43" t="str">
        <f>IFERROR(VLOOKUP($J135,'[9]FROM (3)'!$E$4:$F$230,2,FALSE),"")</f>
        <v>JCTTH</v>
      </c>
      <c r="I135" s="44" t="str">
        <f t="shared" ref="I135:I198" si="24">IFERROR(MID(A135,FIND("~",SUBSTITUTE(A135,"|","~",4))+1,FIND("~",SUBSTITUTE(A135,"|","~",5))-FIND("~",SUBSTITUTE(A135,"|","~",4))-1),"")</f>
        <v>RACK BAR</v>
      </c>
      <c r="J135" s="44" t="str">
        <f t="shared" ref="J135:J198" si="25">IFERROR(MID(A135,FIND("~",SUBSTITUTE(A135,"|","~",3))+1,FIND("~",SUBSTITUTE(A135,"|","~",4))-FIND("~",SUBSTITUTE(A135,"|","~",3))-1),"")</f>
        <v>JGD10-000751/000761-A</v>
      </c>
      <c r="K135" s="59" t="str">
        <f t="shared" si="21"/>
        <v>PD25121278</v>
      </c>
      <c r="L135" s="46" t="str" cm="1">
        <f t="array" ref="L135">IFERROR(_xlfn.IFS(
    LEN($A135)-LEN(SUBSTITUTE($A135,"|",""))=12, RIGHT(A135, LEN(A135)-FIND("~", SUBSTITUTE(A135,"|","~", LEN(A135)-LEN(SUBSTITUTE(A135,"|",""))))),
    LEN($A135)-LEN(SUBSTITUTE($A135,"|",""))=13, MID($A135, FIND("~", SUBSTITUTE($A135,"|","~", 11))+1, FIND("~", SUBSTITUTE($A135,"|","~", 12))-FIND("~", SUBSTITUTE($A135,"|","~", 11))-1),
    LEN($A135)-LEN(SUBSTITUTE($A135,"|",""))=14, MID($A135, FIND("~", SUBSTITUTE($A135,"|","~", 11))+1, FIND("~", SUBSTITUTE($A135,"|","~", 12))-FIND("~", SUBSTITUTE($A135,"|","~", 11))-1)
), "")</f>
        <v>665077</v>
      </c>
      <c r="M135" s="47" t="str">
        <f t="shared" si="19"/>
        <v>SB120178/1/25</v>
      </c>
      <c r="N135" s="46" t="str">
        <f t="shared" si="22"/>
        <v/>
      </c>
      <c r="O135" s="60">
        <v>51</v>
      </c>
      <c r="P135" s="60">
        <v>986</v>
      </c>
      <c r="Q135" s="48">
        <v>204</v>
      </c>
      <c r="R135" s="48">
        <v>913</v>
      </c>
      <c r="S135" s="48"/>
      <c r="T135" s="48"/>
      <c r="U135" s="49">
        <v>195</v>
      </c>
      <c r="V135" s="49">
        <v>10</v>
      </c>
      <c r="W135" s="50">
        <f t="shared" si="20"/>
        <v>205</v>
      </c>
      <c r="X135" s="51" t="str">
        <f>IF(A135="", "", IF(COUNTIFS(C$3:C134, C135, D$3:D134, D135, G$3:G134, G135) &gt; 0, "", "11:00"-AW135))</f>
        <v/>
      </c>
      <c r="Y135" s="52" t="str">
        <f t="shared" ref="Y135:Y198" si="26">IF(X135="", "", IF(AND(A135&lt;&gt;"", AR135&lt;&gt;"NO OT"), "1:40", IF(AND(A135&lt;&gt;"", AR135="NO OT"), "1:0", "")))</f>
        <v/>
      </c>
      <c r="Z135" s="53"/>
      <c r="AA135" s="54"/>
      <c r="AB135" s="53"/>
      <c r="AC135" s="54"/>
      <c r="AD135" s="53"/>
      <c r="AE135" s="54"/>
      <c r="AF135" s="53"/>
      <c r="AG135" s="54"/>
      <c r="AH135" s="55">
        <v>4.1666666666666699E-2</v>
      </c>
      <c r="AI135" s="53"/>
      <c r="AJ135" s="54"/>
      <c r="AK135" s="53"/>
      <c r="AL135" s="54"/>
      <c r="AM135" s="53"/>
      <c r="AN135" s="54"/>
      <c r="AO135" s="53"/>
      <c r="AP135" s="54"/>
      <c r="AQ135" s="53"/>
      <c r="AR135" s="54"/>
      <c r="AS135" s="53"/>
      <c r="AT135" s="54"/>
      <c r="AU135" s="53">
        <v>4.1666666666666699E-2</v>
      </c>
      <c r="AV135" s="54" t="s">
        <v>37</v>
      </c>
      <c r="AW135" s="57">
        <f t="shared" si="23"/>
        <v>4.1666666666666699E-2</v>
      </c>
      <c r="AX135" s="58" t="s">
        <v>56</v>
      </c>
    </row>
    <row r="136" spans="1:50" ht="28.5">
      <c r="A136" s="38" t="s">
        <v>189</v>
      </c>
      <c r="B136" s="39">
        <f t="shared" si="18"/>
        <v>132</v>
      </c>
      <c r="C136" s="40">
        <v>46029</v>
      </c>
      <c r="D136" s="40" t="s">
        <v>32</v>
      </c>
      <c r="E136" s="40" t="s">
        <v>33</v>
      </c>
      <c r="F136" s="41">
        <v>698.5</v>
      </c>
      <c r="G136" s="42" t="s">
        <v>54</v>
      </c>
      <c r="H136" s="43" t="str">
        <f>IFERROR(VLOOKUP($J136,'[9]FROM (3)'!$E$4:$F$230,2,FALSE),"")</f>
        <v>JCTTH</v>
      </c>
      <c r="I136" s="44" t="str">
        <f t="shared" si="24"/>
        <v>RACK BAR</v>
      </c>
      <c r="J136" s="44" t="str">
        <f t="shared" si="25"/>
        <v>JGD10-000751/000761-A</v>
      </c>
      <c r="K136" s="59" t="str">
        <f t="shared" si="21"/>
        <v>PD25121281</v>
      </c>
      <c r="L136" s="46" t="str" cm="1">
        <f t="array" ref="L136">IFERROR(_xlfn.IFS(
    LEN($A136)-LEN(SUBSTITUTE($A136,"|",""))=12, RIGHT(A136, LEN(A136)-FIND("~", SUBSTITUTE(A136,"|","~", LEN(A136)-LEN(SUBSTITUTE(A136,"|",""))))),
    LEN($A136)-LEN(SUBSTITUTE($A136,"|",""))=13, MID($A136, FIND("~", SUBSTITUTE($A136,"|","~", 11))+1, FIND("~", SUBSTITUTE($A136,"|","~", 12))-FIND("~", SUBSTITUTE($A136,"|","~", 11))-1),
    LEN($A136)-LEN(SUBSTITUTE($A136,"|",""))=14, MID($A136, FIND("~", SUBSTITUTE($A136,"|","~", 11))+1, FIND("~", SUBSTITUTE($A136,"|","~", 12))-FIND("~", SUBSTITUTE($A136,"|","~", 11))-1)
), "")</f>
        <v>665077</v>
      </c>
      <c r="M136" s="47" t="str">
        <f t="shared" si="19"/>
        <v>SB120184/4/25</v>
      </c>
      <c r="N136" s="46" t="str">
        <f t="shared" si="22"/>
        <v/>
      </c>
      <c r="O136" s="60">
        <v>51</v>
      </c>
      <c r="P136" s="60">
        <v>986</v>
      </c>
      <c r="Q136" s="48">
        <v>78</v>
      </c>
      <c r="R136" s="48">
        <v>349</v>
      </c>
      <c r="S136" s="48"/>
      <c r="T136" s="48"/>
      <c r="U136" s="49"/>
      <c r="V136" s="49"/>
      <c r="W136" s="50">
        <f t="shared" si="20"/>
        <v>0</v>
      </c>
      <c r="X136" s="51" t="str">
        <f>IF(A136="", "", IF(COUNTIFS(C$3:C135, C136, D$3:D135, D136, G$3:G135, G136) &gt; 0, "", "11:00"-AW136))</f>
        <v/>
      </c>
      <c r="Y136" s="52" t="str">
        <f t="shared" si="26"/>
        <v/>
      </c>
      <c r="Z136" s="53"/>
      <c r="AA136" s="54"/>
      <c r="AB136" s="53"/>
      <c r="AC136" s="54"/>
      <c r="AD136" s="53"/>
      <c r="AE136" s="54"/>
      <c r="AF136" s="53"/>
      <c r="AG136" s="54"/>
      <c r="AH136" s="55">
        <v>4.1666666666666699E-2</v>
      </c>
      <c r="AI136" s="53"/>
      <c r="AJ136" s="54"/>
      <c r="AK136" s="53"/>
      <c r="AL136" s="54"/>
      <c r="AM136" s="53"/>
      <c r="AN136" s="54"/>
      <c r="AO136" s="53"/>
      <c r="AP136" s="54"/>
      <c r="AQ136" s="53"/>
      <c r="AR136" s="54"/>
      <c r="AS136" s="53"/>
      <c r="AT136" s="54"/>
      <c r="AU136" s="53">
        <v>4.1666666666666699E-2</v>
      </c>
      <c r="AV136" s="54" t="s">
        <v>37</v>
      </c>
      <c r="AW136" s="57">
        <f t="shared" si="23"/>
        <v>4.1666666666666699E-2</v>
      </c>
      <c r="AX136" s="58" t="s">
        <v>56</v>
      </c>
    </row>
    <row r="137" spans="1:50" ht="28.5">
      <c r="A137" s="38" t="s">
        <v>43</v>
      </c>
      <c r="B137" s="39">
        <f t="shared" si="18"/>
        <v>133</v>
      </c>
      <c r="C137" s="40">
        <v>46029</v>
      </c>
      <c r="D137" s="40" t="s">
        <v>32</v>
      </c>
      <c r="E137" s="40" t="s">
        <v>33</v>
      </c>
      <c r="F137" s="41">
        <v>25.35</v>
      </c>
      <c r="G137" s="42" t="s">
        <v>44</v>
      </c>
      <c r="H137" s="43" t="str">
        <f>IFERROR(VLOOKUP($J137,'[9]FROM (3)'!$E$4:$F$230,2,FALSE),"")</f>
        <v>KYOWA NT</v>
      </c>
      <c r="I137" s="44" t="str">
        <f t="shared" si="24"/>
        <v>PIN</v>
      </c>
      <c r="J137" s="44" t="str">
        <f t="shared" si="25"/>
        <v>8306T0036</v>
      </c>
      <c r="K137" s="59" t="str">
        <f t="shared" si="21"/>
        <v>PD25121321</v>
      </c>
      <c r="L137" s="46" t="str" cm="1">
        <f t="array" ref="L137">IFERROR(_xlfn.IFS(
    LEN($A137)-LEN(SUBSTITUTE($A137,"|",""))=12, RIGHT(A137, LEN(A137)-FIND("~", SUBSTITUTE(A137,"|","~", LEN(A137)-LEN(SUBSTITUTE(A137,"|",""))))),
    LEN($A137)-LEN(SUBSTITUTE($A137,"|",""))=13, MID($A137, FIND("~", SUBSTITUTE($A137,"|","~", 11))+1, FIND("~", SUBSTITUTE($A137,"|","~", 12))-FIND("~", SUBSTITUTE($A137,"|","~", 11))-1),
    LEN($A137)-LEN(SUBSTITUTE($A137,"|",""))=14, MID($A137, FIND("~", SUBSTITUTE($A137,"|","~", 11))+1, FIND("~", SUBSTITUTE($A137,"|","~", 12))-FIND("~", SUBSTITUTE($A137,"|","~", 11))-1)
), "")</f>
        <v>665573</v>
      </c>
      <c r="M137" s="47" t="str">
        <f t="shared" si="19"/>
        <v>SB120110/1/25</v>
      </c>
      <c r="N137" s="46" t="str">
        <f t="shared" si="22"/>
        <v/>
      </c>
      <c r="O137" s="60">
        <v>0</v>
      </c>
      <c r="P137" s="60">
        <v>0</v>
      </c>
      <c r="Q137" s="48">
        <v>7327</v>
      </c>
      <c r="R137" s="48">
        <v>186</v>
      </c>
      <c r="S137" s="48"/>
      <c r="T137" s="48"/>
      <c r="U137" s="49"/>
      <c r="V137" s="49"/>
      <c r="W137" s="50">
        <f t="shared" si="20"/>
        <v>0</v>
      </c>
      <c r="X137" s="51">
        <f>IF(A137="", "", IF(COUNTIFS(C$3:C136, C137, D$3:D136, D137, G$3:G136, G137) &gt; 0, "", "11:00"-AW137))</f>
        <v>0.41666666666666663</v>
      </c>
      <c r="Y137" s="52" t="str">
        <f t="shared" si="26"/>
        <v>1:40</v>
      </c>
      <c r="Z137" s="53"/>
      <c r="AA137" s="54"/>
      <c r="AB137" s="53"/>
      <c r="AC137" s="54"/>
      <c r="AD137" s="53"/>
      <c r="AE137" s="54"/>
      <c r="AF137" s="53"/>
      <c r="AG137" s="54"/>
      <c r="AH137" s="55">
        <v>4.1666666666666699E-2</v>
      </c>
      <c r="AI137" s="53"/>
      <c r="AJ137" s="54"/>
      <c r="AK137" s="53"/>
      <c r="AL137" s="54"/>
      <c r="AM137" s="53"/>
      <c r="AN137" s="54"/>
      <c r="AO137" s="53"/>
      <c r="AP137" s="54"/>
      <c r="AQ137" s="53"/>
      <c r="AR137" s="54"/>
      <c r="AS137" s="53"/>
      <c r="AT137" s="54"/>
      <c r="AU137" s="53">
        <v>4.1666666666666699E-2</v>
      </c>
      <c r="AV137" s="54" t="s">
        <v>37</v>
      </c>
      <c r="AW137" s="57">
        <f t="shared" si="23"/>
        <v>4.1666666666666699E-2</v>
      </c>
      <c r="AX137" s="58" t="s">
        <v>64</v>
      </c>
    </row>
    <row r="138" spans="1:50" ht="28.5">
      <c r="A138" s="38" t="s">
        <v>128</v>
      </c>
      <c r="B138" s="39">
        <f t="shared" ref="B138:B201" si="27">IF(A138="","",B137+1)</f>
        <v>134</v>
      </c>
      <c r="C138" s="40">
        <v>46029</v>
      </c>
      <c r="D138" s="40" t="s">
        <v>32</v>
      </c>
      <c r="E138" s="40" t="s">
        <v>33</v>
      </c>
      <c r="F138" s="41">
        <v>191.5</v>
      </c>
      <c r="G138" s="42" t="s">
        <v>41</v>
      </c>
      <c r="H138" s="43" t="str">
        <f>IFERROR(VLOOKUP($J138,'[9]FROM (3)'!$E$4:$F$230,2,FALSE),"")</f>
        <v>SDM</v>
      </c>
      <c r="I138" s="44" t="str">
        <f t="shared" si="24"/>
        <v>RING CAM,OUTER</v>
      </c>
      <c r="J138" s="44" t="str">
        <f t="shared" si="25"/>
        <v>SM294173-0020</v>
      </c>
      <c r="K138" s="59" t="str">
        <f t="shared" si="21"/>
        <v>PD26010106</v>
      </c>
      <c r="L138" s="46" t="str" cm="1">
        <f t="array" ref="L138">IFERROR(_xlfn.IFS(
    LEN($A138)-LEN(SUBSTITUTE($A138,"|",""))=12, RIGHT(A138, LEN(A138)-FIND("~", SUBSTITUTE(A138,"|","~", LEN(A138)-LEN(SUBSTITUTE(A138,"|",""))))),
    LEN($A138)-LEN(SUBSTITUTE($A138,"|",""))=13, MID($A138, FIND("~", SUBSTITUTE($A138,"|","~", 11))+1, FIND("~", SUBSTITUTE($A138,"|","~", 12))-FIND("~", SUBSTITUTE($A138,"|","~", 11))-1),
    LEN($A138)-LEN(SUBSTITUTE($A138,"|",""))=14, MID($A138, FIND("~", SUBSTITUTE($A138,"|","~", 11))+1, FIND("~", SUBSTITUTE($A138,"|","~", 12))-FIND("~", SUBSTITUTE($A138,"|","~", 11))-1)
), "")</f>
        <v>X231A</v>
      </c>
      <c r="M138" s="47" t="str">
        <f t="shared" si="19"/>
        <v>SB120117/1/25</v>
      </c>
      <c r="N138" s="46" t="str">
        <f t="shared" si="22"/>
        <v/>
      </c>
      <c r="O138" s="60">
        <v>0</v>
      </c>
      <c r="P138" s="60">
        <v>0</v>
      </c>
      <c r="Q138" s="48">
        <v>1230</v>
      </c>
      <c r="R138" s="48">
        <v>236</v>
      </c>
      <c r="S138" s="48"/>
      <c r="T138" s="48"/>
      <c r="U138" s="49">
        <v>45</v>
      </c>
      <c r="V138" s="49">
        <v>89</v>
      </c>
      <c r="W138" s="50">
        <f t="shared" si="20"/>
        <v>134</v>
      </c>
      <c r="X138" s="51">
        <f>IF(A138="", "", IF(COUNTIFS(C$3:C137, C138, D$3:D137, D138, G$3:G137, G138) &gt; 0, "", "11:00"-AW138))</f>
        <v>0.35416666666666663</v>
      </c>
      <c r="Y138" s="52" t="str">
        <f t="shared" si="26"/>
        <v>1:40</v>
      </c>
      <c r="Z138" s="53"/>
      <c r="AA138" s="54"/>
      <c r="AB138" s="53"/>
      <c r="AC138" s="54"/>
      <c r="AD138" s="53"/>
      <c r="AE138" s="54"/>
      <c r="AF138" s="53">
        <v>4.1666666666666664E-2</v>
      </c>
      <c r="AG138" s="54" t="s">
        <v>129</v>
      </c>
      <c r="AH138" s="55">
        <v>4.1666666666666699E-2</v>
      </c>
      <c r="AI138" s="53">
        <v>2.0833333333333332E-2</v>
      </c>
      <c r="AJ138" s="54" t="s">
        <v>67</v>
      </c>
      <c r="AK138" s="53"/>
      <c r="AL138" s="54"/>
      <c r="AM138" s="53"/>
      <c r="AN138" s="54"/>
      <c r="AO138" s="53"/>
      <c r="AP138" s="54"/>
      <c r="AQ138" s="53"/>
      <c r="AR138" s="54"/>
      <c r="AS138" s="53"/>
      <c r="AT138" s="54"/>
      <c r="AU138" s="53">
        <v>4.1666666666666699E-2</v>
      </c>
      <c r="AV138" s="54" t="s">
        <v>37</v>
      </c>
      <c r="AW138" s="57">
        <f t="shared" si="23"/>
        <v>0.1041666666666667</v>
      </c>
      <c r="AX138" s="58" t="s">
        <v>64</v>
      </c>
    </row>
    <row r="139" spans="1:50" ht="28.5">
      <c r="A139" s="38" t="s">
        <v>190</v>
      </c>
      <c r="B139" s="39">
        <f t="shared" si="27"/>
        <v>135</v>
      </c>
      <c r="C139" s="40">
        <v>46029</v>
      </c>
      <c r="D139" s="40" t="s">
        <v>32</v>
      </c>
      <c r="E139" s="40" t="s">
        <v>33</v>
      </c>
      <c r="F139" s="41">
        <v>213</v>
      </c>
      <c r="G139" s="42" t="s">
        <v>41</v>
      </c>
      <c r="H139" s="43" t="str">
        <f>IFERROR(VLOOKUP($J139,'[9]FROM (3)'!$E$4:$F$230,2,FALSE),"")</f>
        <v>SDM</v>
      </c>
      <c r="I139" s="44" t="str">
        <f t="shared" si="24"/>
        <v>RING CAM,OUTER</v>
      </c>
      <c r="J139" s="44" t="str">
        <f t="shared" si="25"/>
        <v>SM294173-0030</v>
      </c>
      <c r="K139" s="59" t="str">
        <f t="shared" si="21"/>
        <v>PD26010107</v>
      </c>
      <c r="L139" s="46" t="str" cm="1">
        <f t="array" ref="L139">IFERROR(_xlfn.IFS(
    LEN($A139)-LEN(SUBSTITUTE($A139,"|",""))=12, RIGHT(A139, LEN(A139)-FIND("~", SUBSTITUTE(A139,"|","~", LEN(A139)-LEN(SUBSTITUTE(A139,"|",""))))),
    LEN($A139)-LEN(SUBSTITUTE($A139,"|",""))=13, MID($A139, FIND("~", SUBSTITUTE($A139,"|","~", 11))+1, FIND("~", SUBSTITUTE($A139,"|","~", 12))-FIND("~", SUBSTITUTE($A139,"|","~", 11))-1),
    LEN($A139)-LEN(SUBSTITUTE($A139,"|",""))=14, MID($A139, FIND("~", SUBSTITUTE($A139,"|","~", 11))+1, FIND("~", SUBSTITUTE($A139,"|","~", 12))-FIND("~", SUBSTITUTE($A139,"|","~", 11))-1)
), "")</f>
        <v>X231A</v>
      </c>
      <c r="M139" s="47" t="str">
        <f t="shared" si="19"/>
        <v>SB120116/1/25</v>
      </c>
      <c r="N139" s="46" t="str">
        <f t="shared" si="22"/>
        <v/>
      </c>
      <c r="O139" s="60">
        <v>21</v>
      </c>
      <c r="P139" s="60">
        <v>1020</v>
      </c>
      <c r="Q139" s="48">
        <v>2021</v>
      </c>
      <c r="R139" s="48">
        <v>430</v>
      </c>
      <c r="S139" s="48"/>
      <c r="T139" s="48"/>
      <c r="U139" s="49"/>
      <c r="V139" s="49"/>
      <c r="W139" s="50">
        <f t="shared" si="20"/>
        <v>0</v>
      </c>
      <c r="X139" s="51" t="str">
        <f>IF(A139="", "", IF(COUNTIFS(C$3:C138, C139, D$3:D138, D139, G$3:G138, G139) &gt; 0, "", "11:00"-AW139))</f>
        <v/>
      </c>
      <c r="Y139" s="52" t="str">
        <f t="shared" si="26"/>
        <v/>
      </c>
      <c r="Z139" s="53"/>
      <c r="AA139" s="54"/>
      <c r="AB139" s="53"/>
      <c r="AC139" s="54"/>
      <c r="AD139" s="53"/>
      <c r="AE139" s="54"/>
      <c r="AF139" s="53"/>
      <c r="AG139" s="54"/>
      <c r="AH139" s="55">
        <v>4.1666666666666699E-2</v>
      </c>
      <c r="AI139" s="53"/>
      <c r="AJ139" s="54"/>
      <c r="AK139" s="53"/>
      <c r="AL139" s="54"/>
      <c r="AM139" s="53"/>
      <c r="AN139" s="54"/>
      <c r="AO139" s="53"/>
      <c r="AP139" s="54"/>
      <c r="AQ139" s="53"/>
      <c r="AR139" s="54"/>
      <c r="AS139" s="53"/>
      <c r="AT139" s="54"/>
      <c r="AU139" s="53">
        <v>4.1666666666666699E-2</v>
      </c>
      <c r="AV139" s="54" t="s">
        <v>37</v>
      </c>
      <c r="AW139" s="57">
        <f t="shared" si="23"/>
        <v>4.1666666666666699E-2</v>
      </c>
      <c r="AX139" s="58" t="s">
        <v>64</v>
      </c>
    </row>
    <row r="140" spans="1:50" ht="28.5">
      <c r="A140" s="38" t="s">
        <v>191</v>
      </c>
      <c r="B140" s="39">
        <f t="shared" si="27"/>
        <v>136</v>
      </c>
      <c r="C140" s="40">
        <v>46029</v>
      </c>
      <c r="D140" s="40" t="s">
        <v>32</v>
      </c>
      <c r="E140" s="40" t="s">
        <v>33</v>
      </c>
      <c r="F140" s="41">
        <v>732.8</v>
      </c>
      <c r="G140" s="42" t="s">
        <v>192</v>
      </c>
      <c r="H140" s="43" t="str">
        <f>IFERROR(VLOOKUP($J140,'[9]FROM (3)'!$E$4:$F$230,2,FALSE),"")</f>
        <v>JATH</v>
      </c>
      <c r="I140" s="44" t="str">
        <f t="shared" si="24"/>
        <v>JGF02-002060-31-3</v>
      </c>
      <c r="J140" s="44" t="str">
        <f t="shared" si="25"/>
        <v>RACK BAR BLANK (JGF02-002060-31-3) 58*D</v>
      </c>
      <c r="K140" s="59" t="str">
        <f t="shared" si="21"/>
        <v>PD25120330</v>
      </c>
      <c r="L140" s="46" t="str" cm="1">
        <f t="array" ref="L140">IFERROR(_xlfn.IFS(
    LEN($A140)-LEN(SUBSTITUTE($A140,"|",""))=12, RIGHT(A140, LEN(A140)-FIND("~", SUBSTITUTE(A140,"|","~", LEN(A140)-LEN(SUBSTITUTE(A140,"|",""))))),
    LEN($A140)-LEN(SUBSTITUTE($A140,"|",""))=13, MID($A140, FIND("~", SUBSTITUTE($A140,"|","~", 11))+1, FIND("~", SUBSTITUTE($A140,"|","~", 12))-FIND("~", SUBSTITUTE($A140,"|","~", 11))-1),
    LEN($A140)-LEN(SUBSTITUTE($A140,"|",""))=14, MID($A140, FIND("~", SUBSTITUTE($A140,"|","~", 11))+1, FIND("~", SUBSTITUTE($A140,"|","~", 12))-FIND("~", SUBSTITUTE($A140,"|","~", 11))-1)
), "")</f>
        <v>5A4332</v>
      </c>
      <c r="M140" s="47" t="str">
        <f t="shared" si="19"/>
        <v>TSK2</v>
      </c>
      <c r="N140" s="46" t="str">
        <f t="shared" si="22"/>
        <v>FB120132/19/25</v>
      </c>
      <c r="O140" s="60">
        <v>58</v>
      </c>
      <c r="P140" s="60">
        <v>271</v>
      </c>
      <c r="Q140" s="48">
        <v>58</v>
      </c>
      <c r="R140" s="48">
        <v>271</v>
      </c>
      <c r="S140" s="48"/>
      <c r="T140" s="48"/>
      <c r="U140" s="49"/>
      <c r="V140" s="49"/>
      <c r="W140" s="50">
        <f t="shared" si="20"/>
        <v>0</v>
      </c>
      <c r="X140" s="51">
        <f>IF(A140="", "", IF(COUNTIFS(C$3:C139, C140, D$3:D139, D140, G$3:G139, G140) &gt; 0, "", "11:00"-AW140))</f>
        <v>0.16666666666666663</v>
      </c>
      <c r="Y140" s="52" t="str">
        <f t="shared" si="26"/>
        <v>1:0</v>
      </c>
      <c r="Z140" s="53"/>
      <c r="AA140" s="54"/>
      <c r="AB140" s="53"/>
      <c r="AC140" s="54"/>
      <c r="AD140" s="53"/>
      <c r="AE140" s="54"/>
      <c r="AF140" s="53"/>
      <c r="AG140" s="54"/>
      <c r="AH140" s="55">
        <v>4.1666666666666699E-2</v>
      </c>
      <c r="AI140" s="53">
        <v>4.1666666666666664E-2</v>
      </c>
      <c r="AJ140" s="54" t="s">
        <v>129</v>
      </c>
      <c r="AK140" s="53">
        <v>4.1666666666666664E-2</v>
      </c>
      <c r="AL140" s="54" t="s">
        <v>129</v>
      </c>
      <c r="AM140" s="53">
        <v>4.1666666666666664E-2</v>
      </c>
      <c r="AN140" s="54" t="s">
        <v>129</v>
      </c>
      <c r="AO140" s="53">
        <v>4.1666666666666664E-2</v>
      </c>
      <c r="AP140" s="54" t="s">
        <v>129</v>
      </c>
      <c r="AQ140" s="53">
        <v>4.1666666666666664E-2</v>
      </c>
      <c r="AR140" s="54" t="s">
        <v>37</v>
      </c>
      <c r="AS140" s="53">
        <v>4.1666666666666664E-2</v>
      </c>
      <c r="AT140" s="54" t="s">
        <v>37</v>
      </c>
      <c r="AU140" s="53">
        <v>4.1666666666666699E-2</v>
      </c>
      <c r="AV140" s="54" t="s">
        <v>37</v>
      </c>
      <c r="AW140" s="57">
        <f t="shared" si="23"/>
        <v>0.29166666666666669</v>
      </c>
      <c r="AX140" s="58" t="s">
        <v>48</v>
      </c>
    </row>
    <row r="141" spans="1:50" ht="28.5">
      <c r="A141" s="38" t="s">
        <v>193</v>
      </c>
      <c r="B141" s="39">
        <f t="shared" si="27"/>
        <v>137</v>
      </c>
      <c r="C141" s="40">
        <v>46029</v>
      </c>
      <c r="D141" s="40" t="s">
        <v>32</v>
      </c>
      <c r="E141" s="40" t="s">
        <v>33</v>
      </c>
      <c r="F141" s="41">
        <v>732.8</v>
      </c>
      <c r="G141" s="42" t="s">
        <v>192</v>
      </c>
      <c r="H141" s="43" t="str">
        <f>IFERROR(VLOOKUP($J141,'[9]FROM (3)'!$E$4:$F$230,2,FALSE),"")</f>
        <v>JATH</v>
      </c>
      <c r="I141" s="44" t="str">
        <f t="shared" si="24"/>
        <v>JGF02-002060-31-3</v>
      </c>
      <c r="J141" s="44" t="str">
        <f t="shared" si="25"/>
        <v>RACK BAR BLANK (JGF02-002060-31-3) 58*D</v>
      </c>
      <c r="K141" s="59" t="str">
        <f t="shared" si="21"/>
        <v>PD25120330</v>
      </c>
      <c r="L141" s="46" t="str" cm="1">
        <f t="array" ref="L141">IFERROR(_xlfn.IFS(
    LEN($A141)-LEN(SUBSTITUTE($A141,"|",""))=12, RIGHT(A141, LEN(A141)-FIND("~", SUBSTITUTE(A141,"|","~", LEN(A141)-LEN(SUBSTITUTE(A141,"|",""))))),
    LEN($A141)-LEN(SUBSTITUTE($A141,"|",""))=13, MID($A141, FIND("~", SUBSTITUTE($A141,"|","~", 11))+1, FIND("~", SUBSTITUTE($A141,"|","~", 12))-FIND("~", SUBSTITUTE($A141,"|","~", 11))-1),
    LEN($A141)-LEN(SUBSTITUTE($A141,"|",""))=14, MID($A141, FIND("~", SUBSTITUTE($A141,"|","~", 11))+1, FIND("~", SUBSTITUTE($A141,"|","~", 12))-FIND("~", SUBSTITUTE($A141,"|","~", 11))-1)
), "")</f>
        <v>5A4332</v>
      </c>
      <c r="M141" s="47" t="str">
        <f t="shared" si="19"/>
        <v>TSK2</v>
      </c>
      <c r="N141" s="46" t="str">
        <f t="shared" si="22"/>
        <v>FB120132/10/25</v>
      </c>
      <c r="O141" s="60">
        <v>58</v>
      </c>
      <c r="P141" s="60">
        <v>271</v>
      </c>
      <c r="Q141" s="48">
        <v>58</v>
      </c>
      <c r="R141" s="48">
        <v>271</v>
      </c>
      <c r="S141" s="48"/>
      <c r="T141" s="48"/>
      <c r="U141" s="49"/>
      <c r="V141" s="49"/>
      <c r="W141" s="50">
        <f t="shared" si="20"/>
        <v>0</v>
      </c>
      <c r="X141" s="51" t="str">
        <f>IF(A141="", "", IF(COUNTIFS(C$3:C140, C141, D$3:D140, D141, G$3:G140, G141) &gt; 0, "", "11:00"-AW141))</f>
        <v/>
      </c>
      <c r="Y141" s="52" t="str">
        <f t="shared" si="26"/>
        <v/>
      </c>
      <c r="Z141" s="53"/>
      <c r="AA141" s="54"/>
      <c r="AB141" s="53"/>
      <c r="AC141" s="54"/>
      <c r="AD141" s="53"/>
      <c r="AE141" s="54"/>
      <c r="AF141" s="53"/>
      <c r="AG141" s="54"/>
      <c r="AH141" s="55">
        <v>4.1666666666666699E-2</v>
      </c>
      <c r="AI141" s="53"/>
      <c r="AJ141" s="54"/>
      <c r="AK141" s="53"/>
      <c r="AL141" s="54"/>
      <c r="AM141" s="53"/>
      <c r="AN141" s="54"/>
      <c r="AO141" s="53"/>
      <c r="AP141" s="54"/>
      <c r="AQ141" s="53"/>
      <c r="AR141" s="54"/>
      <c r="AS141" s="53"/>
      <c r="AT141" s="54"/>
      <c r="AU141" s="53">
        <v>4.1666666666666699E-2</v>
      </c>
      <c r="AV141" s="54" t="s">
        <v>37</v>
      </c>
      <c r="AW141" s="57">
        <f t="shared" si="23"/>
        <v>4.1666666666666699E-2</v>
      </c>
      <c r="AX141" s="58" t="s">
        <v>48</v>
      </c>
    </row>
    <row r="142" spans="1:50" ht="28.5">
      <c r="A142" s="38" t="s">
        <v>194</v>
      </c>
      <c r="B142" s="39">
        <f t="shared" si="27"/>
        <v>138</v>
      </c>
      <c r="C142" s="40">
        <v>46029</v>
      </c>
      <c r="D142" s="40" t="s">
        <v>32</v>
      </c>
      <c r="E142" s="40" t="s">
        <v>33</v>
      </c>
      <c r="F142" s="41">
        <v>732.8</v>
      </c>
      <c r="G142" s="42" t="s">
        <v>192</v>
      </c>
      <c r="H142" s="43" t="str">
        <f>IFERROR(VLOOKUP($J142,'[9]FROM (3)'!$E$4:$F$230,2,FALSE),"")</f>
        <v>JATH</v>
      </c>
      <c r="I142" s="44" t="str">
        <f t="shared" si="24"/>
        <v>JGF02-002060-31-3</v>
      </c>
      <c r="J142" s="44" t="str">
        <f t="shared" si="25"/>
        <v>RACK BAR BLANK (JGF02-002060-31-3) 58*D</v>
      </c>
      <c r="K142" s="59" t="str">
        <f t="shared" si="21"/>
        <v>PD25120330</v>
      </c>
      <c r="L142" s="46" t="str" cm="1">
        <f t="array" ref="L142">IFERROR(_xlfn.IFS(
    LEN($A142)-LEN(SUBSTITUTE($A142,"|",""))=12, RIGHT(A142, LEN(A142)-FIND("~", SUBSTITUTE(A142,"|","~", LEN(A142)-LEN(SUBSTITUTE(A142,"|",""))))),
    LEN($A142)-LEN(SUBSTITUTE($A142,"|",""))=13, MID($A142, FIND("~", SUBSTITUTE($A142,"|","~", 11))+1, FIND("~", SUBSTITUTE($A142,"|","~", 12))-FIND("~", SUBSTITUTE($A142,"|","~", 11))-1),
    LEN($A142)-LEN(SUBSTITUTE($A142,"|",""))=14, MID($A142, FIND("~", SUBSTITUTE($A142,"|","~", 11))+1, FIND("~", SUBSTITUTE($A142,"|","~", 12))-FIND("~", SUBSTITUTE($A142,"|","~", 11))-1)
), "")</f>
        <v>5A4332</v>
      </c>
      <c r="M142" s="47" t="str">
        <f t="shared" si="19"/>
        <v>TSK2</v>
      </c>
      <c r="N142" s="46" t="str">
        <f t="shared" si="22"/>
        <v>FB120132/8/25</v>
      </c>
      <c r="O142" s="60">
        <v>58</v>
      </c>
      <c r="P142" s="60">
        <v>271</v>
      </c>
      <c r="Q142" s="48">
        <v>58</v>
      </c>
      <c r="R142" s="48">
        <v>271</v>
      </c>
      <c r="S142" s="48"/>
      <c r="T142" s="48"/>
      <c r="U142" s="49"/>
      <c r="V142" s="49"/>
      <c r="W142" s="50">
        <f t="shared" si="20"/>
        <v>0</v>
      </c>
      <c r="X142" s="51" t="str">
        <f>IF(A142="", "", IF(COUNTIFS(C$3:C141, C142, D$3:D141, D142, G$3:G141, G142) &gt; 0, "", "11:00"-AW142))</f>
        <v/>
      </c>
      <c r="Y142" s="52" t="str">
        <f t="shared" si="26"/>
        <v/>
      </c>
      <c r="Z142" s="53"/>
      <c r="AA142" s="54"/>
      <c r="AB142" s="53"/>
      <c r="AC142" s="54"/>
      <c r="AD142" s="53"/>
      <c r="AE142" s="54"/>
      <c r="AF142" s="53"/>
      <c r="AG142" s="54"/>
      <c r="AH142" s="55">
        <v>4.1666666666666699E-2</v>
      </c>
      <c r="AI142" s="53"/>
      <c r="AJ142" s="54"/>
      <c r="AK142" s="53"/>
      <c r="AL142" s="54"/>
      <c r="AM142" s="53"/>
      <c r="AN142" s="54"/>
      <c r="AO142" s="53"/>
      <c r="AP142" s="54"/>
      <c r="AQ142" s="53"/>
      <c r="AR142" s="54"/>
      <c r="AS142" s="53"/>
      <c r="AT142" s="54"/>
      <c r="AU142" s="53">
        <v>4.1666666666666699E-2</v>
      </c>
      <c r="AV142" s="54" t="s">
        <v>37</v>
      </c>
      <c r="AW142" s="57">
        <f t="shared" si="23"/>
        <v>4.1666666666666699E-2</v>
      </c>
      <c r="AX142" s="58" t="s">
        <v>48</v>
      </c>
    </row>
    <row r="143" spans="1:50" ht="28.5">
      <c r="A143" s="38" t="s">
        <v>195</v>
      </c>
      <c r="B143" s="39">
        <f t="shared" si="27"/>
        <v>139</v>
      </c>
      <c r="C143" s="40">
        <v>46029</v>
      </c>
      <c r="D143" s="40" t="s">
        <v>32</v>
      </c>
      <c r="E143" s="40" t="s">
        <v>33</v>
      </c>
      <c r="F143" s="41">
        <v>732.8</v>
      </c>
      <c r="G143" s="42" t="s">
        <v>192</v>
      </c>
      <c r="H143" s="43" t="str">
        <f>IFERROR(VLOOKUP($J143,'[9]FROM (3)'!$E$4:$F$230,2,FALSE),"")</f>
        <v>JATH</v>
      </c>
      <c r="I143" s="44" t="str">
        <f t="shared" si="24"/>
        <v>JGF02-002060-31-3</v>
      </c>
      <c r="J143" s="44" t="str">
        <f t="shared" si="25"/>
        <v>RACK BAR BLANK (JGF02-002060-31-3) 58*D</v>
      </c>
      <c r="K143" s="59" t="str">
        <f t="shared" si="21"/>
        <v>PD25120330</v>
      </c>
      <c r="L143" s="46" t="str" cm="1">
        <f t="array" ref="L143">IFERROR(_xlfn.IFS(
    LEN($A143)-LEN(SUBSTITUTE($A143,"|",""))=12, RIGHT(A143, LEN(A143)-FIND("~", SUBSTITUTE(A143,"|","~", LEN(A143)-LEN(SUBSTITUTE(A143,"|",""))))),
    LEN($A143)-LEN(SUBSTITUTE($A143,"|",""))=13, MID($A143, FIND("~", SUBSTITUTE($A143,"|","~", 11))+1, FIND("~", SUBSTITUTE($A143,"|","~", 12))-FIND("~", SUBSTITUTE($A143,"|","~", 11))-1),
    LEN($A143)-LEN(SUBSTITUTE($A143,"|",""))=14, MID($A143, FIND("~", SUBSTITUTE($A143,"|","~", 11))+1, FIND("~", SUBSTITUTE($A143,"|","~", 12))-FIND("~", SUBSTITUTE($A143,"|","~", 11))-1)
), "")</f>
        <v>5A4332</v>
      </c>
      <c r="M143" s="47" t="str">
        <f t="shared" si="19"/>
        <v>TSK2</v>
      </c>
      <c r="N143" s="46" t="str">
        <f t="shared" si="22"/>
        <v>FB120132/4/25</v>
      </c>
      <c r="O143" s="60">
        <v>58</v>
      </c>
      <c r="P143" s="60">
        <v>271</v>
      </c>
      <c r="Q143" s="48">
        <v>58</v>
      </c>
      <c r="R143" s="48">
        <v>271</v>
      </c>
      <c r="S143" s="48"/>
      <c r="T143" s="48"/>
      <c r="U143" s="49"/>
      <c r="V143" s="49"/>
      <c r="W143" s="50">
        <f t="shared" si="20"/>
        <v>0</v>
      </c>
      <c r="X143" s="51" t="str">
        <f>IF(A143="", "", IF(COUNTIFS(C$3:C142, C143, D$3:D142, D143, G$3:G142, G143) &gt; 0, "", "11:00"-AW143))</f>
        <v/>
      </c>
      <c r="Y143" s="52" t="str">
        <f t="shared" si="26"/>
        <v/>
      </c>
      <c r="Z143" s="53"/>
      <c r="AA143" s="54"/>
      <c r="AB143" s="53"/>
      <c r="AC143" s="54"/>
      <c r="AD143" s="53"/>
      <c r="AE143" s="54"/>
      <c r="AF143" s="53"/>
      <c r="AG143" s="54"/>
      <c r="AH143" s="55">
        <v>4.1666666666666699E-2</v>
      </c>
      <c r="AI143" s="53"/>
      <c r="AJ143" s="54"/>
      <c r="AK143" s="53"/>
      <c r="AL143" s="54"/>
      <c r="AM143" s="53"/>
      <c r="AN143" s="54"/>
      <c r="AO143" s="53"/>
      <c r="AP143" s="54"/>
      <c r="AQ143" s="53"/>
      <c r="AR143" s="54"/>
      <c r="AS143" s="53"/>
      <c r="AT143" s="54"/>
      <c r="AU143" s="53">
        <v>4.1666666666666699E-2</v>
      </c>
      <c r="AV143" s="54" t="s">
        <v>37</v>
      </c>
      <c r="AW143" s="57">
        <f t="shared" si="23"/>
        <v>4.1666666666666699E-2</v>
      </c>
      <c r="AX143" s="58" t="s">
        <v>48</v>
      </c>
    </row>
    <row r="144" spans="1:50" ht="28.5">
      <c r="A144" s="38" t="s">
        <v>196</v>
      </c>
      <c r="B144" s="39">
        <f t="shared" si="27"/>
        <v>140</v>
      </c>
      <c r="C144" s="40">
        <v>46029</v>
      </c>
      <c r="D144" s="40" t="s">
        <v>32</v>
      </c>
      <c r="E144" s="40" t="s">
        <v>33</v>
      </c>
      <c r="F144" s="41">
        <v>732.8</v>
      </c>
      <c r="G144" s="42" t="s">
        <v>192</v>
      </c>
      <c r="H144" s="43" t="str">
        <f>IFERROR(VLOOKUP($J144,'[9]FROM (3)'!$E$4:$F$230,2,FALSE),"")</f>
        <v>JATH</v>
      </c>
      <c r="I144" s="44" t="str">
        <f t="shared" si="24"/>
        <v>JGF02-002060-31-3</v>
      </c>
      <c r="J144" s="44" t="str">
        <f t="shared" si="25"/>
        <v>RACK BAR BLANK (JGF02-002060-31-3) 58*D</v>
      </c>
      <c r="K144" s="59" t="str">
        <f t="shared" si="21"/>
        <v>PD25120330</v>
      </c>
      <c r="L144" s="46" t="str" cm="1">
        <f t="array" ref="L144">IFERROR(_xlfn.IFS(
    LEN($A144)-LEN(SUBSTITUTE($A144,"|",""))=12, RIGHT(A144, LEN(A144)-FIND("~", SUBSTITUTE(A144,"|","~", LEN(A144)-LEN(SUBSTITUTE(A144,"|",""))))),
    LEN($A144)-LEN(SUBSTITUTE($A144,"|",""))=13, MID($A144, FIND("~", SUBSTITUTE($A144,"|","~", 11))+1, FIND("~", SUBSTITUTE($A144,"|","~", 12))-FIND("~", SUBSTITUTE($A144,"|","~", 11))-1),
    LEN($A144)-LEN(SUBSTITUTE($A144,"|",""))=14, MID($A144, FIND("~", SUBSTITUTE($A144,"|","~", 11))+1, FIND("~", SUBSTITUTE($A144,"|","~", 12))-FIND("~", SUBSTITUTE($A144,"|","~", 11))-1)
), "")</f>
        <v>5A4332</v>
      </c>
      <c r="M144" s="47" t="str">
        <f t="shared" si="19"/>
        <v>TSK2</v>
      </c>
      <c r="N144" s="46" t="str">
        <f t="shared" si="22"/>
        <v>FB120132/6/25</v>
      </c>
      <c r="O144" s="60">
        <v>58</v>
      </c>
      <c r="P144" s="60">
        <v>271</v>
      </c>
      <c r="Q144" s="48">
        <v>58</v>
      </c>
      <c r="R144" s="48">
        <v>271</v>
      </c>
      <c r="S144" s="48"/>
      <c r="T144" s="48"/>
      <c r="U144" s="49"/>
      <c r="V144" s="49"/>
      <c r="W144" s="50">
        <f t="shared" si="20"/>
        <v>0</v>
      </c>
      <c r="X144" s="51" t="str">
        <f>IF(A144="", "", IF(COUNTIFS(C$3:C143, C144, D$3:D143, D144, G$3:G143, G144) &gt; 0, "", "11:00"-AW144))</f>
        <v/>
      </c>
      <c r="Y144" s="52" t="str">
        <f t="shared" si="26"/>
        <v/>
      </c>
      <c r="Z144" s="53"/>
      <c r="AA144" s="54"/>
      <c r="AB144" s="53"/>
      <c r="AC144" s="54"/>
      <c r="AD144" s="53"/>
      <c r="AE144" s="54"/>
      <c r="AF144" s="53"/>
      <c r="AG144" s="54"/>
      <c r="AH144" s="55">
        <v>4.1666666666666699E-2</v>
      </c>
      <c r="AI144" s="53"/>
      <c r="AJ144" s="54"/>
      <c r="AK144" s="53"/>
      <c r="AL144" s="54"/>
      <c r="AM144" s="53"/>
      <c r="AN144" s="54"/>
      <c r="AO144" s="53"/>
      <c r="AP144" s="54"/>
      <c r="AQ144" s="53"/>
      <c r="AR144" s="54"/>
      <c r="AS144" s="53"/>
      <c r="AT144" s="54"/>
      <c r="AU144" s="53">
        <v>4.1666666666666699E-2</v>
      </c>
      <c r="AV144" s="54" t="s">
        <v>37</v>
      </c>
      <c r="AW144" s="57">
        <f t="shared" si="23"/>
        <v>4.1666666666666699E-2</v>
      </c>
      <c r="AX144" s="58" t="s">
        <v>48</v>
      </c>
    </row>
    <row r="145" spans="1:50" ht="28.5">
      <c r="A145" s="38" t="s">
        <v>197</v>
      </c>
      <c r="B145" s="39">
        <f t="shared" si="27"/>
        <v>141</v>
      </c>
      <c r="C145" s="40">
        <v>46029</v>
      </c>
      <c r="D145" s="40" t="s">
        <v>32</v>
      </c>
      <c r="E145" s="40" t="s">
        <v>33</v>
      </c>
      <c r="F145" s="41">
        <v>732.8</v>
      </c>
      <c r="G145" s="42" t="s">
        <v>192</v>
      </c>
      <c r="H145" s="43" t="str">
        <f>IFERROR(VLOOKUP($J145,'[9]FROM (3)'!$E$4:$F$230,2,FALSE),"")</f>
        <v>JATH</v>
      </c>
      <c r="I145" s="44" t="str">
        <f t="shared" si="24"/>
        <v>JGF02-002060-31-3</v>
      </c>
      <c r="J145" s="44" t="str">
        <f t="shared" si="25"/>
        <v>RACK BAR BLANK (JGF02-002060-31-3) 58*D</v>
      </c>
      <c r="K145" s="59" t="str">
        <f t="shared" si="21"/>
        <v>PD25120330</v>
      </c>
      <c r="L145" s="46" t="str" cm="1">
        <f t="array" ref="L145">IFERROR(_xlfn.IFS(
    LEN($A145)-LEN(SUBSTITUTE($A145,"|",""))=12, RIGHT(A145, LEN(A145)-FIND("~", SUBSTITUTE(A145,"|","~", LEN(A145)-LEN(SUBSTITUTE(A145,"|",""))))),
    LEN($A145)-LEN(SUBSTITUTE($A145,"|",""))=13, MID($A145, FIND("~", SUBSTITUTE($A145,"|","~", 11))+1, FIND("~", SUBSTITUTE($A145,"|","~", 12))-FIND("~", SUBSTITUTE($A145,"|","~", 11))-1),
    LEN($A145)-LEN(SUBSTITUTE($A145,"|",""))=14, MID($A145, FIND("~", SUBSTITUTE($A145,"|","~", 11))+1, FIND("~", SUBSTITUTE($A145,"|","~", 12))-FIND("~", SUBSTITUTE($A145,"|","~", 11))-1)
), "")</f>
        <v>5A4332</v>
      </c>
      <c r="M145" s="47" t="str">
        <f t="shared" si="19"/>
        <v>TSK2</v>
      </c>
      <c r="N145" s="46" t="str">
        <f t="shared" si="22"/>
        <v>FB120132/11/25</v>
      </c>
      <c r="O145" s="60">
        <v>58</v>
      </c>
      <c r="P145" s="60">
        <v>271</v>
      </c>
      <c r="Q145" s="48">
        <v>58</v>
      </c>
      <c r="R145" s="48">
        <v>271</v>
      </c>
      <c r="S145" s="48"/>
      <c r="T145" s="48"/>
      <c r="U145" s="49"/>
      <c r="V145" s="49"/>
      <c r="W145" s="50">
        <f t="shared" si="20"/>
        <v>0</v>
      </c>
      <c r="X145" s="51" t="str">
        <f>IF(A145="", "", IF(COUNTIFS(C$3:C144, C145, D$3:D144, D145, G$3:G144, G145) &gt; 0, "", "11:00"-AW145))</f>
        <v/>
      </c>
      <c r="Y145" s="52" t="str">
        <f t="shared" si="26"/>
        <v/>
      </c>
      <c r="Z145" s="53"/>
      <c r="AA145" s="54"/>
      <c r="AB145" s="53"/>
      <c r="AC145" s="54"/>
      <c r="AD145" s="53"/>
      <c r="AE145" s="54"/>
      <c r="AF145" s="53"/>
      <c r="AG145" s="54"/>
      <c r="AH145" s="55">
        <v>4.1666666666666699E-2</v>
      </c>
      <c r="AI145" s="53"/>
      <c r="AJ145" s="54"/>
      <c r="AK145" s="53"/>
      <c r="AL145" s="54"/>
      <c r="AM145" s="53"/>
      <c r="AN145" s="54"/>
      <c r="AO145" s="53"/>
      <c r="AP145" s="54"/>
      <c r="AQ145" s="53"/>
      <c r="AR145" s="54"/>
      <c r="AS145" s="53"/>
      <c r="AT145" s="54"/>
      <c r="AU145" s="53">
        <v>4.1666666666666699E-2</v>
      </c>
      <c r="AV145" s="54" t="s">
        <v>37</v>
      </c>
      <c r="AW145" s="57">
        <f t="shared" si="23"/>
        <v>4.1666666666666699E-2</v>
      </c>
      <c r="AX145" s="58" t="s">
        <v>48</v>
      </c>
    </row>
    <row r="146" spans="1:50" ht="24" customHeight="1">
      <c r="A146" s="38" t="s">
        <v>127</v>
      </c>
      <c r="B146" s="39">
        <f t="shared" si="27"/>
        <v>142</v>
      </c>
      <c r="C146" s="40">
        <v>46029</v>
      </c>
      <c r="D146" s="40" t="s">
        <v>32</v>
      </c>
      <c r="E146" s="40" t="s">
        <v>33</v>
      </c>
      <c r="F146" s="41">
        <v>23.4</v>
      </c>
      <c r="G146" s="42" t="s">
        <v>34</v>
      </c>
      <c r="H146" s="43" t="str">
        <f>IFERROR(VLOOKUP($J146,'[9]FROM (3)'!$E$4:$F$230,2,FALSE),"")</f>
        <v/>
      </c>
      <c r="I146" s="44" t="str">
        <f t="shared" si="24"/>
        <v>FLANGE-13 SLUG</v>
      </c>
      <c r="J146" s="44" t="str">
        <f t="shared" si="25"/>
        <v>ZZ2B7401TX1</v>
      </c>
      <c r="K146" s="59" t="str">
        <f t="shared" si="21"/>
        <v>PD25121000</v>
      </c>
      <c r="L146" s="46" t="str" cm="1">
        <f t="array" ref="L146">IFERROR(_xlfn.IFS(
    LEN($A146)-LEN(SUBSTITUTE($A146,"|",""))=12, RIGHT(A146, LEN(A146)-FIND("~", SUBSTITUTE(A146,"|","~", LEN(A146)-LEN(SUBSTITUTE(A146,"|",""))))),
    LEN($A146)-LEN(SUBSTITUTE($A146,"|",""))=13, MID($A146, FIND("~", SUBSTITUTE($A146,"|","~", 11))+1, FIND("~", SUBSTITUTE($A146,"|","~", 12))-FIND("~", SUBSTITUTE($A146,"|","~", 11))-1),
    LEN($A146)-LEN(SUBSTITUTE($A146,"|",""))=14, MID($A146, FIND("~", SUBSTITUTE($A146,"|","~", 11))+1, FIND("~", SUBSTITUTE($A146,"|","~", 12))-FIND("~", SUBSTITUTE($A146,"|","~", 11))-1)
), "")</f>
        <v>2-73052</v>
      </c>
      <c r="M146" s="47" t="str">
        <f t="shared" si="19"/>
        <v>2B2503452</v>
      </c>
      <c r="N146" s="46" t="str">
        <f t="shared" si="22"/>
        <v/>
      </c>
      <c r="O146" s="60">
        <v>0</v>
      </c>
      <c r="P146" s="60">
        <v>0</v>
      </c>
      <c r="Q146" s="48">
        <v>3687</v>
      </c>
      <c r="R146" s="48">
        <v>850</v>
      </c>
      <c r="S146" s="48"/>
      <c r="T146" s="48"/>
      <c r="U146" s="49">
        <v>0</v>
      </c>
      <c r="V146" s="49">
        <v>0</v>
      </c>
      <c r="W146" s="50">
        <f t="shared" si="20"/>
        <v>0</v>
      </c>
      <c r="X146" s="51">
        <f>IF(A146="", "", IF(COUNTIFS(C$3:C145, C146, D$3:D145, D146, G$3:G145, G146) &gt; 0, "", "11:00"-AW146))</f>
        <v>0.40277777777777773</v>
      </c>
      <c r="Y146" s="52" t="str">
        <f t="shared" si="26"/>
        <v>1:40</v>
      </c>
      <c r="Z146" s="53"/>
      <c r="AA146" s="54"/>
      <c r="AB146" s="53"/>
      <c r="AC146" s="54"/>
      <c r="AD146" s="53">
        <v>1.3888888888888888E-2</v>
      </c>
      <c r="AE146" s="54" t="s">
        <v>82</v>
      </c>
      <c r="AF146" s="53"/>
      <c r="AG146" s="54"/>
      <c r="AH146" s="55">
        <v>4.1666666666666699E-2</v>
      </c>
      <c r="AI146" s="53"/>
      <c r="AJ146" s="54"/>
      <c r="AK146" s="53"/>
      <c r="AL146" s="54"/>
      <c r="AM146" s="53"/>
      <c r="AN146" s="54"/>
      <c r="AO146" s="53"/>
      <c r="AP146" s="54"/>
      <c r="AQ146" s="53"/>
      <c r="AR146" s="54"/>
      <c r="AS146" s="53"/>
      <c r="AT146" s="54"/>
      <c r="AU146" s="53">
        <v>4.1666666666666699E-2</v>
      </c>
      <c r="AV146" s="54" t="s">
        <v>37</v>
      </c>
      <c r="AW146" s="57">
        <f t="shared" si="23"/>
        <v>5.5555555555555587E-2</v>
      </c>
      <c r="AX146" s="58" t="s">
        <v>64</v>
      </c>
    </row>
    <row r="147" spans="1:50" ht="28.5">
      <c r="A147" s="38" t="s">
        <v>156</v>
      </c>
      <c r="B147" s="39">
        <f t="shared" si="27"/>
        <v>143</v>
      </c>
      <c r="C147" s="40">
        <v>46029</v>
      </c>
      <c r="D147" s="40" t="s">
        <v>32</v>
      </c>
      <c r="E147" s="40" t="s">
        <v>33</v>
      </c>
      <c r="F147" s="41">
        <v>565.20000000000005</v>
      </c>
      <c r="G147" s="42" t="s">
        <v>66</v>
      </c>
      <c r="H147" s="43" t="str">
        <f>IFERROR(VLOOKUP($J147,'[9]FROM (3)'!$E$4:$F$230,2,FALSE),"")</f>
        <v>JTCS</v>
      </c>
      <c r="I147" s="44" t="str">
        <f t="shared" si="24"/>
        <v>RACK, MS</v>
      </c>
      <c r="J147" s="44" t="str">
        <f t="shared" si="25"/>
        <v>JGC10-003040-40-0</v>
      </c>
      <c r="K147" s="59" t="str">
        <f t="shared" si="21"/>
        <v>PD25121305</v>
      </c>
      <c r="L147" s="46" t="str" cm="1">
        <f t="array" ref="L147">IFERROR(_xlfn.IFS(
    LEN($A147)-LEN(SUBSTITUTE($A147,"|",""))=12, RIGHT(A147, LEN(A147)-FIND("~", SUBSTITUTE(A147,"|","~", LEN(A147)-LEN(SUBSTITUTE(A147,"|",""))))),
    LEN($A147)-LEN(SUBSTITUTE($A147,"|",""))=13, MID($A147, FIND("~", SUBSTITUTE($A147,"|","~", 11))+1, FIND("~", SUBSTITUTE($A147,"|","~", 12))-FIND("~", SUBSTITUTE($A147,"|","~", 11))-1),
    LEN($A147)-LEN(SUBSTITUTE($A147,"|",""))=14, MID($A147, FIND("~", SUBSTITUTE($A147,"|","~", 11))+1, FIND("~", SUBSTITUTE($A147,"|","~", 12))-FIND("~", SUBSTITUTE($A147,"|","~", 11))-1)
), "")</f>
        <v>E585970</v>
      </c>
      <c r="M147" s="47" t="str">
        <f t="shared" si="19"/>
        <v>SB120192/1/25</v>
      </c>
      <c r="N147" s="46" t="str">
        <f t="shared" si="22"/>
        <v/>
      </c>
      <c r="O147" s="60">
        <v>49</v>
      </c>
      <c r="P147" s="60">
        <v>742</v>
      </c>
      <c r="Q147" s="48">
        <v>292</v>
      </c>
      <c r="R147" s="48">
        <v>688</v>
      </c>
      <c r="S147" s="48"/>
      <c r="T147" s="48"/>
      <c r="U147" s="49"/>
      <c r="V147" s="49"/>
      <c r="W147" s="50">
        <f t="shared" si="20"/>
        <v>0</v>
      </c>
      <c r="X147" s="51">
        <f>IF(A147="", "", IF(COUNTIFS(C$3:C146, C147, D$3:D146, D147, G$3:G146, G147) &gt; 0, "", "11:00"-AW147))</f>
        <v>0.37499999999999994</v>
      </c>
      <c r="Y147" s="52" t="str">
        <f t="shared" si="26"/>
        <v>1:40</v>
      </c>
      <c r="Z147" s="53">
        <v>4.1666666666666664E-2</v>
      </c>
      <c r="AA147" s="54" t="s">
        <v>67</v>
      </c>
      <c r="AB147" s="53"/>
      <c r="AC147" s="54"/>
      <c r="AD147" s="53"/>
      <c r="AE147" s="54"/>
      <c r="AF147" s="53"/>
      <c r="AG147" s="54"/>
      <c r="AH147" s="55">
        <v>4.1666666666666699E-2</v>
      </c>
      <c r="AI147" s="53"/>
      <c r="AJ147" s="54"/>
      <c r="AK147" s="53"/>
      <c r="AL147" s="54"/>
      <c r="AM147" s="53"/>
      <c r="AN147" s="54"/>
      <c r="AO147" s="53"/>
      <c r="AP147" s="54"/>
      <c r="AQ147" s="53"/>
      <c r="AR147" s="54"/>
      <c r="AS147" s="53"/>
      <c r="AT147" s="54"/>
      <c r="AU147" s="53">
        <v>4.1666666666666699E-2</v>
      </c>
      <c r="AV147" s="54" t="s">
        <v>37</v>
      </c>
      <c r="AW147" s="57">
        <f t="shared" si="23"/>
        <v>8.333333333333337E-2</v>
      </c>
      <c r="AX147" s="58" t="s">
        <v>68</v>
      </c>
    </row>
    <row r="148" spans="1:50" ht="23.25" customHeight="1">
      <c r="A148" s="38" t="s">
        <v>198</v>
      </c>
      <c r="B148" s="39">
        <f t="shared" si="27"/>
        <v>144</v>
      </c>
      <c r="C148" s="40">
        <v>46029</v>
      </c>
      <c r="D148" s="40" t="s">
        <v>32</v>
      </c>
      <c r="E148" s="40" t="s">
        <v>33</v>
      </c>
      <c r="F148" s="41">
        <v>565.20000000000005</v>
      </c>
      <c r="G148" s="42" t="s">
        <v>66</v>
      </c>
      <c r="H148" s="43" t="str">
        <f>IFERROR(VLOOKUP($J148,'[9]FROM (3)'!$E$4:$F$230,2,FALSE),"")</f>
        <v>JTCS</v>
      </c>
      <c r="I148" s="44" t="str">
        <f t="shared" si="24"/>
        <v>RACK, MS</v>
      </c>
      <c r="J148" s="44" t="str">
        <f t="shared" si="25"/>
        <v>JGC10-003040-40-0</v>
      </c>
      <c r="K148" s="59" t="str">
        <f t="shared" si="21"/>
        <v>PD25121305</v>
      </c>
      <c r="L148" s="46" t="str" cm="1">
        <f t="array" ref="L148">IFERROR(_xlfn.IFS(
    LEN($A148)-LEN(SUBSTITUTE($A148,"|",""))=12, RIGHT(A148, LEN(A148)-FIND("~", SUBSTITUTE(A148,"|","~", LEN(A148)-LEN(SUBSTITUTE(A148,"|",""))))),
    LEN($A148)-LEN(SUBSTITUTE($A148,"|",""))=13, MID($A148, FIND("~", SUBSTITUTE($A148,"|","~", 11))+1, FIND("~", SUBSTITUTE($A148,"|","~", 12))-FIND("~", SUBSTITUTE($A148,"|","~", 11))-1),
    LEN($A148)-LEN(SUBSTITUTE($A148,"|",""))=14, MID($A148, FIND("~", SUBSTITUTE($A148,"|","~", 11))+1, FIND("~", SUBSTITUTE($A148,"|","~", 12))-FIND("~", SUBSTITUTE($A148,"|","~", 11))-1)
), "")</f>
        <v>E585970</v>
      </c>
      <c r="M148" s="47" t="str">
        <f t="shared" si="19"/>
        <v>SB120192/2/25</v>
      </c>
      <c r="N148" s="46" t="str">
        <f t="shared" si="22"/>
        <v/>
      </c>
      <c r="O148" s="60">
        <v>66</v>
      </c>
      <c r="P148" s="60">
        <v>1000</v>
      </c>
      <c r="Q148" s="48">
        <v>396</v>
      </c>
      <c r="R148" s="48">
        <v>933</v>
      </c>
      <c r="S148" s="48"/>
      <c r="T148" s="48"/>
      <c r="U148" s="49">
        <v>109</v>
      </c>
      <c r="V148" s="49">
        <v>8</v>
      </c>
      <c r="W148" s="50">
        <f t="shared" si="20"/>
        <v>117</v>
      </c>
      <c r="X148" s="51" t="str">
        <f>IF(A148="", "", IF(COUNTIFS(C$3:C147, C148, D$3:D147, D148, G$3:G147, G148) &gt; 0, "", "11:00"-AW148))</f>
        <v/>
      </c>
      <c r="Y148" s="52" t="str">
        <f t="shared" si="26"/>
        <v/>
      </c>
      <c r="Z148" s="53"/>
      <c r="AA148" s="54"/>
      <c r="AB148" s="53"/>
      <c r="AC148" s="54"/>
      <c r="AD148" s="53"/>
      <c r="AE148" s="54"/>
      <c r="AF148" s="53"/>
      <c r="AG148" s="54"/>
      <c r="AH148" s="55">
        <v>4.1666666666666699E-2</v>
      </c>
      <c r="AI148" s="53"/>
      <c r="AJ148" s="54"/>
      <c r="AK148" s="53"/>
      <c r="AL148" s="54"/>
      <c r="AM148" s="53"/>
      <c r="AN148" s="54"/>
      <c r="AO148" s="53"/>
      <c r="AP148" s="54"/>
      <c r="AQ148" s="53"/>
      <c r="AR148" s="54"/>
      <c r="AS148" s="53"/>
      <c r="AT148" s="54"/>
      <c r="AU148" s="53">
        <v>4.1666666666666699E-2</v>
      </c>
      <c r="AV148" s="54" t="s">
        <v>37</v>
      </c>
      <c r="AW148" s="57">
        <f t="shared" si="23"/>
        <v>4.1666666666666699E-2</v>
      </c>
      <c r="AX148" s="58" t="s">
        <v>68</v>
      </c>
    </row>
    <row r="149" spans="1:50" ht="28.5">
      <c r="A149" s="38" t="s">
        <v>199</v>
      </c>
      <c r="B149" s="39">
        <f t="shared" si="27"/>
        <v>145</v>
      </c>
      <c r="C149" s="40">
        <v>46029</v>
      </c>
      <c r="D149" s="40" t="s">
        <v>32</v>
      </c>
      <c r="E149" s="40" t="s">
        <v>33</v>
      </c>
      <c r="F149" s="41">
        <v>721.5</v>
      </c>
      <c r="G149" s="42" t="s">
        <v>66</v>
      </c>
      <c r="H149" s="43" t="str">
        <f>IFERROR(VLOOKUP($J149,'[9]FROM (3)'!$E$4:$F$230,2,FALSE),"")</f>
        <v>JCTTH</v>
      </c>
      <c r="I149" s="44" t="str">
        <f t="shared" si="24"/>
        <v>RACK POWER STEERING</v>
      </c>
      <c r="J149" s="44" t="str">
        <f t="shared" si="25"/>
        <v>2-30JG-0711</v>
      </c>
      <c r="K149" s="59" t="str">
        <f t="shared" si="21"/>
        <v>PD25111240</v>
      </c>
      <c r="L149" s="46" t="str" cm="1">
        <f t="array" ref="L149">IFERROR(_xlfn.IFS(
    LEN($A149)-LEN(SUBSTITUTE($A149,"|",""))=12, RIGHT(A149, LEN(A149)-FIND("~", SUBSTITUTE(A149,"|","~", LEN(A149)-LEN(SUBSTITUTE(A149,"|",""))))),
    LEN($A149)-LEN(SUBSTITUTE($A149,"|",""))=13, MID($A149, FIND("~", SUBSTITUTE($A149,"|","~", 11))+1, FIND("~", SUBSTITUTE($A149,"|","~", 12))-FIND("~", SUBSTITUTE($A149,"|","~", 11))-1),
    LEN($A149)-LEN(SUBSTITUTE($A149,"|",""))=14, MID($A149, FIND("~", SUBSTITUTE($A149,"|","~", 11))+1, FIND("~", SUBSTITUTE($A149,"|","~", 12))-FIND("~", SUBSTITUTE($A149,"|","~", 11))-1)
), "")</f>
        <v>E585581</v>
      </c>
      <c r="M149" s="47" t="str">
        <f t="shared" si="19"/>
        <v>SB110157/5/25</v>
      </c>
      <c r="N149" s="46" t="str">
        <f t="shared" si="22"/>
        <v/>
      </c>
      <c r="O149" s="60">
        <v>50</v>
      </c>
      <c r="P149" s="60">
        <v>876</v>
      </c>
      <c r="Q149" s="48">
        <v>200</v>
      </c>
      <c r="R149" s="48">
        <v>820</v>
      </c>
      <c r="S149" s="48"/>
      <c r="T149" s="48"/>
      <c r="U149" s="49"/>
      <c r="V149" s="49"/>
      <c r="W149" s="50">
        <f t="shared" si="20"/>
        <v>0</v>
      </c>
      <c r="X149" s="51" t="str">
        <f>IF(A149="", "", IF(COUNTIFS(C$3:C148, C149, D$3:D148, D149, G$3:G148, G149) &gt; 0, "", "11:00"-AW149))</f>
        <v/>
      </c>
      <c r="Y149" s="52" t="str">
        <f t="shared" si="26"/>
        <v/>
      </c>
      <c r="Z149" s="53"/>
      <c r="AA149" s="54"/>
      <c r="AB149" s="53"/>
      <c r="AC149" s="54"/>
      <c r="AD149" s="53"/>
      <c r="AE149" s="54"/>
      <c r="AF149" s="53"/>
      <c r="AG149" s="54"/>
      <c r="AH149" s="55">
        <v>4.1666666666666699E-2</v>
      </c>
      <c r="AI149" s="53"/>
      <c r="AJ149" s="54"/>
      <c r="AK149" s="53"/>
      <c r="AL149" s="54"/>
      <c r="AM149" s="53"/>
      <c r="AN149" s="54"/>
      <c r="AO149" s="53"/>
      <c r="AP149" s="54"/>
      <c r="AQ149" s="53"/>
      <c r="AR149" s="54"/>
      <c r="AS149" s="53"/>
      <c r="AT149" s="54"/>
      <c r="AU149" s="53">
        <v>4.1666666666666699E-2</v>
      </c>
      <c r="AV149" s="54" t="s">
        <v>37</v>
      </c>
      <c r="AW149" s="57">
        <f t="shared" si="23"/>
        <v>4.1666666666666699E-2</v>
      </c>
      <c r="AX149" s="58" t="s">
        <v>68</v>
      </c>
    </row>
    <row r="150" spans="1:50" ht="28.5">
      <c r="A150" s="38" t="s">
        <v>200</v>
      </c>
      <c r="B150" s="39">
        <f t="shared" si="27"/>
        <v>146</v>
      </c>
      <c r="C150" s="40">
        <v>46029</v>
      </c>
      <c r="D150" s="40" t="s">
        <v>32</v>
      </c>
      <c r="E150" s="40" t="s">
        <v>33</v>
      </c>
      <c r="F150" s="41">
        <v>721.5</v>
      </c>
      <c r="G150" s="42" t="s">
        <v>66</v>
      </c>
      <c r="H150" s="43" t="str">
        <f>IFERROR(VLOOKUP($J150,'[9]FROM (3)'!$E$4:$F$230,2,FALSE),"")</f>
        <v>JCTTH</v>
      </c>
      <c r="I150" s="44" t="str">
        <f t="shared" si="24"/>
        <v>RACK POWER STEERING</v>
      </c>
      <c r="J150" s="44" t="str">
        <f t="shared" si="25"/>
        <v>2-30JG-0711</v>
      </c>
      <c r="K150" s="59" t="str">
        <f t="shared" si="21"/>
        <v>PD25111240</v>
      </c>
      <c r="L150" s="46" t="str" cm="1">
        <f t="array" ref="L150">IFERROR(_xlfn.IFS(
    LEN($A150)-LEN(SUBSTITUTE($A150,"|",""))=12, RIGHT(A150, LEN(A150)-FIND("~", SUBSTITUTE(A150,"|","~", LEN(A150)-LEN(SUBSTITUTE(A150,"|",""))))),
    LEN($A150)-LEN(SUBSTITUTE($A150,"|",""))=13, MID($A150, FIND("~", SUBSTITUTE($A150,"|","~", 11))+1, FIND("~", SUBSTITUTE($A150,"|","~", 12))-FIND("~", SUBSTITUTE($A150,"|","~", 11))-1),
    LEN($A150)-LEN(SUBSTITUTE($A150,"|",""))=14, MID($A150, FIND("~", SUBSTITUTE($A150,"|","~", 11))+1, FIND("~", SUBSTITUTE($A150,"|","~", 12))-FIND("~", SUBSTITUTE($A150,"|","~", 11))-1)
), "")</f>
        <v>E585581</v>
      </c>
      <c r="M150" s="47" t="str">
        <f t="shared" si="19"/>
        <v>SB110157/6/25</v>
      </c>
      <c r="N150" s="46" t="str">
        <f t="shared" si="22"/>
        <v/>
      </c>
      <c r="O150" s="60">
        <v>27</v>
      </c>
      <c r="P150" s="60">
        <v>472</v>
      </c>
      <c r="Q150" s="48">
        <v>105</v>
      </c>
      <c r="R150" s="48">
        <v>431</v>
      </c>
      <c r="S150" s="48">
        <v>3</v>
      </c>
      <c r="T150" s="48" t="s">
        <v>143</v>
      </c>
      <c r="U150" s="49"/>
      <c r="V150" s="49"/>
      <c r="W150" s="50">
        <f t="shared" si="20"/>
        <v>0</v>
      </c>
      <c r="X150" s="51" t="str">
        <f>IF(A150="", "", IF(COUNTIFS(C$3:C149, C150, D$3:D149, D150, G$3:G149, G150) &gt; 0, "", "11:00"-AW150))</f>
        <v/>
      </c>
      <c r="Y150" s="52" t="str">
        <f t="shared" si="26"/>
        <v/>
      </c>
      <c r="Z150" s="53"/>
      <c r="AA150" s="54"/>
      <c r="AB150" s="53"/>
      <c r="AC150" s="54"/>
      <c r="AD150" s="53"/>
      <c r="AE150" s="54"/>
      <c r="AF150" s="53"/>
      <c r="AG150" s="54"/>
      <c r="AH150" s="55">
        <v>4.1666666666666699E-2</v>
      </c>
      <c r="AI150" s="53"/>
      <c r="AJ150" s="54"/>
      <c r="AK150" s="53"/>
      <c r="AL150" s="54"/>
      <c r="AM150" s="53"/>
      <c r="AN150" s="54"/>
      <c r="AO150" s="53"/>
      <c r="AP150" s="54"/>
      <c r="AQ150" s="53"/>
      <c r="AR150" s="54"/>
      <c r="AS150" s="53"/>
      <c r="AT150" s="54"/>
      <c r="AU150" s="53">
        <v>4.1666666666666699E-2</v>
      </c>
      <c r="AV150" s="54" t="s">
        <v>37</v>
      </c>
      <c r="AW150" s="57">
        <f t="shared" si="23"/>
        <v>4.1666666666666699E-2</v>
      </c>
      <c r="AX150" s="58" t="s">
        <v>68</v>
      </c>
    </row>
    <row r="151" spans="1:50" ht="28.5">
      <c r="A151" s="38" t="s">
        <v>171</v>
      </c>
      <c r="B151" s="39">
        <f t="shared" si="27"/>
        <v>147</v>
      </c>
      <c r="C151" s="40">
        <v>46029</v>
      </c>
      <c r="D151" s="40" t="s">
        <v>32</v>
      </c>
      <c r="E151" s="40" t="s">
        <v>33</v>
      </c>
      <c r="F151" s="41">
        <v>375</v>
      </c>
      <c r="G151" s="42" t="s">
        <v>172</v>
      </c>
      <c r="H151" s="43" t="str">
        <f>IFERROR(VLOOKUP($J151,'[9]FROM (3)'!$E$4:$F$230,2,FALSE),"")</f>
        <v>ATAC</v>
      </c>
      <c r="I151" s="44" t="str">
        <f t="shared" si="24"/>
        <v>SEAT,WATER PUMP PULLEY</v>
      </c>
      <c r="J151" s="44" t="str">
        <f t="shared" si="25"/>
        <v>16171-05030</v>
      </c>
      <c r="K151" s="59" t="str">
        <f t="shared" si="21"/>
        <v>PD26010089</v>
      </c>
      <c r="L151" s="46" t="str" cm="1">
        <f t="array" ref="L151">IFERROR(_xlfn.IFS(
    LEN($A151)-LEN(SUBSTITUTE($A151,"|",""))=12, RIGHT(A151, LEN(A151)-FIND("~", SUBSTITUTE(A151,"|","~", LEN(A151)-LEN(SUBSTITUTE(A151,"|",""))))),
    LEN($A151)-LEN(SUBSTITUTE($A151,"|",""))=13, MID($A151, FIND("~", SUBSTITUTE($A151,"|","~", 11))+1, FIND("~", SUBSTITUTE($A151,"|","~", 12))-FIND("~", SUBSTITUTE($A151,"|","~", 11))-1),
    LEN($A151)-LEN(SUBSTITUTE($A151,"|",""))=14, MID($A151, FIND("~", SUBSTITUTE($A151,"|","~", 11))+1, FIND("~", SUBSTITUTE($A151,"|","~", 12))-FIND("~", SUBSTITUTE($A151,"|","~", 11))-1)
), "")</f>
        <v>665898</v>
      </c>
      <c r="M151" s="47" t="str">
        <f t="shared" si="19"/>
        <v>SB120198/1/25</v>
      </c>
      <c r="N151" s="46" t="str">
        <f t="shared" si="22"/>
        <v/>
      </c>
      <c r="O151" s="60" t="s">
        <v>35</v>
      </c>
      <c r="P151" s="60" t="s">
        <v>35</v>
      </c>
      <c r="Q151" s="48">
        <v>187</v>
      </c>
      <c r="R151" s="48">
        <v>70</v>
      </c>
      <c r="S151" s="48"/>
      <c r="T151" s="48"/>
      <c r="U151" s="49"/>
      <c r="V151" s="49"/>
      <c r="W151" s="50">
        <f t="shared" si="20"/>
        <v>0</v>
      </c>
      <c r="X151" s="51">
        <f>IF(A151="", "", IF(COUNTIFS(C$3:C150, C151, D$3:D150, D151, G$3:G150, G151) &gt; 0, "", "11:00"-AW151))</f>
        <v>0.41666666666666663</v>
      </c>
      <c r="Y151" s="52" t="str">
        <f t="shared" si="26"/>
        <v>1:40</v>
      </c>
      <c r="Z151" s="53"/>
      <c r="AA151" s="54"/>
      <c r="AB151" s="53"/>
      <c r="AC151" s="54"/>
      <c r="AD151" s="53"/>
      <c r="AE151" s="54"/>
      <c r="AF151" s="53"/>
      <c r="AG151" s="54"/>
      <c r="AH151" s="55">
        <v>4.1666666666666699E-2</v>
      </c>
      <c r="AI151" s="53"/>
      <c r="AJ151" s="54"/>
      <c r="AK151" s="53"/>
      <c r="AL151" s="54"/>
      <c r="AM151" s="53"/>
      <c r="AN151" s="54"/>
      <c r="AO151" s="53"/>
      <c r="AP151" s="54"/>
      <c r="AQ151" s="53"/>
      <c r="AR151" s="54"/>
      <c r="AS151" s="53"/>
      <c r="AT151" s="54"/>
      <c r="AU151" s="53">
        <v>4.1666666666666699E-2</v>
      </c>
      <c r="AV151" s="54" t="s">
        <v>37</v>
      </c>
      <c r="AW151" s="57">
        <f t="shared" si="23"/>
        <v>4.1666666666666699E-2</v>
      </c>
      <c r="AX151" s="58" t="s">
        <v>38</v>
      </c>
    </row>
    <row r="152" spans="1:50" ht="28.5">
      <c r="A152" s="38" t="s">
        <v>201</v>
      </c>
      <c r="B152" s="39">
        <f t="shared" si="27"/>
        <v>148</v>
      </c>
      <c r="C152" s="40">
        <v>46029</v>
      </c>
      <c r="D152" s="40" t="s">
        <v>32</v>
      </c>
      <c r="E152" s="40" t="s">
        <v>33</v>
      </c>
      <c r="F152" s="41">
        <v>375</v>
      </c>
      <c r="G152" s="42" t="s">
        <v>172</v>
      </c>
      <c r="H152" s="43" t="str">
        <f>IFERROR(VLOOKUP($J152,'[9]FROM (3)'!$E$4:$F$230,2,FALSE),"")</f>
        <v>ATAC</v>
      </c>
      <c r="I152" s="44" t="str">
        <f t="shared" si="24"/>
        <v>SEAT,WATER PUMP PULLEY</v>
      </c>
      <c r="J152" s="44" t="str">
        <f t="shared" si="25"/>
        <v>16171-05030</v>
      </c>
      <c r="K152" s="59" t="str">
        <f t="shared" si="21"/>
        <v>PD26010089</v>
      </c>
      <c r="L152" s="46" t="str" cm="1">
        <f t="array" ref="L152">IFERROR(_xlfn.IFS(
    LEN($A152)-LEN(SUBSTITUTE($A152,"|",""))=12, RIGHT(A152, LEN(A152)-FIND("~", SUBSTITUTE(A152,"|","~", LEN(A152)-LEN(SUBSTITUTE(A152,"|",""))))),
    LEN($A152)-LEN(SUBSTITUTE($A152,"|",""))=13, MID($A152, FIND("~", SUBSTITUTE($A152,"|","~", 11))+1, FIND("~", SUBSTITUTE($A152,"|","~", 12))-FIND("~", SUBSTITUTE($A152,"|","~", 11))-1),
    LEN($A152)-LEN(SUBSTITUTE($A152,"|",""))=14, MID($A152, FIND("~", SUBSTITUTE($A152,"|","~", 11))+1, FIND("~", SUBSTITUTE($A152,"|","~", 12))-FIND("~", SUBSTITUTE($A152,"|","~", 11))-1)
), "")</f>
        <v>665898</v>
      </c>
      <c r="M152" s="47" t="str">
        <f t="shared" si="19"/>
        <v>SB120198/2/25</v>
      </c>
      <c r="N152" s="46" t="str">
        <f t="shared" si="22"/>
        <v/>
      </c>
      <c r="O152" s="60">
        <v>14</v>
      </c>
      <c r="P152" s="60">
        <v>992</v>
      </c>
      <c r="Q152" s="48">
        <v>2420</v>
      </c>
      <c r="R152" s="48">
        <v>908</v>
      </c>
      <c r="S152" s="48"/>
      <c r="T152" s="48"/>
      <c r="U152" s="49"/>
      <c r="V152" s="49"/>
      <c r="W152" s="50">
        <f t="shared" si="20"/>
        <v>0</v>
      </c>
      <c r="X152" s="51" t="str">
        <f>IF(A152="", "", IF(COUNTIFS(C$3:C151, C152, D$3:D151, D152, G$3:G151, G152) &gt; 0, "", "11:00"-AW152))</f>
        <v/>
      </c>
      <c r="Y152" s="52" t="str">
        <f t="shared" si="26"/>
        <v/>
      </c>
      <c r="Z152" s="53"/>
      <c r="AA152" s="54"/>
      <c r="AB152" s="53"/>
      <c r="AC152" s="54"/>
      <c r="AD152" s="53"/>
      <c r="AE152" s="54"/>
      <c r="AF152" s="53"/>
      <c r="AG152" s="54"/>
      <c r="AH152" s="55">
        <v>4.1666666666666699E-2</v>
      </c>
      <c r="AI152" s="53"/>
      <c r="AJ152" s="54"/>
      <c r="AK152" s="53"/>
      <c r="AL152" s="54"/>
      <c r="AM152" s="53"/>
      <c r="AN152" s="54"/>
      <c r="AO152" s="53"/>
      <c r="AP152" s="54"/>
      <c r="AQ152" s="53"/>
      <c r="AR152" s="54"/>
      <c r="AS152" s="53"/>
      <c r="AT152" s="54"/>
      <c r="AU152" s="53">
        <v>4.1666666666666699E-2</v>
      </c>
      <c r="AV152" s="54" t="s">
        <v>37</v>
      </c>
      <c r="AW152" s="57">
        <f t="shared" si="23"/>
        <v>4.1666666666666699E-2</v>
      </c>
      <c r="AX152" s="58" t="s">
        <v>38</v>
      </c>
    </row>
    <row r="153" spans="1:50" ht="28.5">
      <c r="A153" s="38" t="s">
        <v>202</v>
      </c>
      <c r="B153" s="39">
        <f t="shared" si="27"/>
        <v>149</v>
      </c>
      <c r="C153" s="40">
        <v>46029</v>
      </c>
      <c r="D153" s="40" t="s">
        <v>32</v>
      </c>
      <c r="E153" s="40" t="s">
        <v>33</v>
      </c>
      <c r="F153" s="41">
        <v>375</v>
      </c>
      <c r="G153" s="42" t="s">
        <v>172</v>
      </c>
      <c r="H153" s="43" t="str">
        <f>IFERROR(VLOOKUP($J153,'[9]FROM (3)'!$E$4:$F$230,2,FALSE),"")</f>
        <v>ATAC</v>
      </c>
      <c r="I153" s="44" t="str">
        <f t="shared" si="24"/>
        <v>SEAT,WATER PUMP PULLEY</v>
      </c>
      <c r="J153" s="44" t="str">
        <f t="shared" si="25"/>
        <v>16171-05030</v>
      </c>
      <c r="K153" s="59" t="str">
        <f t="shared" si="21"/>
        <v>PD26010089</v>
      </c>
      <c r="L153" s="46" t="str" cm="1">
        <f t="array" ref="L153">IFERROR(_xlfn.IFS(
    LEN($A153)-LEN(SUBSTITUTE($A153,"|",""))=12, RIGHT(A153, LEN(A153)-FIND("~", SUBSTITUTE(A153,"|","~", LEN(A153)-LEN(SUBSTITUTE(A153,"|",""))))),
    LEN($A153)-LEN(SUBSTITUTE($A153,"|",""))=13, MID($A153, FIND("~", SUBSTITUTE($A153,"|","~", 11))+1, FIND("~", SUBSTITUTE($A153,"|","~", 12))-FIND("~", SUBSTITUTE($A153,"|","~", 11))-1),
    LEN($A153)-LEN(SUBSTITUTE($A153,"|",""))=14, MID($A153, FIND("~", SUBSTITUTE($A153,"|","~", 11))+1, FIND("~", SUBSTITUTE($A153,"|","~", 12))-FIND("~", SUBSTITUTE($A153,"|","~", 11))-1)
), "")</f>
        <v>665898</v>
      </c>
      <c r="M153" s="47" t="str">
        <f t="shared" si="19"/>
        <v>SB120198/3/25</v>
      </c>
      <c r="N153" s="46" t="str">
        <f t="shared" si="22"/>
        <v/>
      </c>
      <c r="O153" s="60">
        <v>14</v>
      </c>
      <c r="P153" s="60">
        <v>992</v>
      </c>
      <c r="Q153" s="48">
        <v>65</v>
      </c>
      <c r="R153" s="48">
        <v>24</v>
      </c>
      <c r="S153" s="48"/>
      <c r="T153" s="48"/>
      <c r="U153" s="49"/>
      <c r="V153" s="49"/>
      <c r="W153" s="50">
        <f t="shared" si="20"/>
        <v>0</v>
      </c>
      <c r="X153" s="51" t="str">
        <f>IF(A153="", "", IF(COUNTIFS(C$3:C152, C153, D$3:D152, D153, G$3:G152, G153) &gt; 0, "", "11:00"-AW153))</f>
        <v/>
      </c>
      <c r="Y153" s="52" t="str">
        <f t="shared" si="26"/>
        <v/>
      </c>
      <c r="Z153" s="53"/>
      <c r="AA153" s="54"/>
      <c r="AB153" s="53"/>
      <c r="AC153" s="54"/>
      <c r="AD153" s="53"/>
      <c r="AE153" s="54"/>
      <c r="AF153" s="53"/>
      <c r="AG153" s="54"/>
      <c r="AH153" s="55">
        <v>4.1666666666666699E-2</v>
      </c>
      <c r="AI153" s="53"/>
      <c r="AJ153" s="54"/>
      <c r="AK153" s="53"/>
      <c r="AL153" s="54"/>
      <c r="AM153" s="53"/>
      <c r="AN153" s="54"/>
      <c r="AO153" s="53"/>
      <c r="AP153" s="54"/>
      <c r="AQ153" s="53"/>
      <c r="AR153" s="54"/>
      <c r="AS153" s="53">
        <v>2.0833333333333332E-2</v>
      </c>
      <c r="AT153" s="54" t="s">
        <v>82</v>
      </c>
      <c r="AU153" s="53">
        <v>4.1666666666666699E-2</v>
      </c>
      <c r="AV153" s="54" t="s">
        <v>37</v>
      </c>
      <c r="AW153" s="57">
        <f t="shared" si="23"/>
        <v>6.2500000000000028E-2</v>
      </c>
      <c r="AX153" s="58" t="s">
        <v>38</v>
      </c>
    </row>
    <row r="154" spans="1:50" ht="28.5">
      <c r="A154" s="38" t="s">
        <v>165</v>
      </c>
      <c r="B154" s="39">
        <f t="shared" si="27"/>
        <v>150</v>
      </c>
      <c r="C154" s="40">
        <v>46029</v>
      </c>
      <c r="D154" s="40" t="s">
        <v>32</v>
      </c>
      <c r="E154" s="40" t="s">
        <v>33</v>
      </c>
      <c r="F154" s="41">
        <v>69.5</v>
      </c>
      <c r="G154" s="42" t="s">
        <v>135</v>
      </c>
      <c r="H154" s="43" t="str">
        <f>IFERROR(VLOOKUP($J154,'[9]FROM (3)'!$E$4:$F$230,2,FALSE),"")</f>
        <v>DNTH</v>
      </c>
      <c r="I154" s="44" t="str">
        <f t="shared" si="24"/>
        <v>Pole Core</v>
      </c>
      <c r="J154" s="44" t="str">
        <f t="shared" si="25"/>
        <v>TG028152-5180</v>
      </c>
      <c r="K154" s="59" t="str">
        <f t="shared" si="21"/>
        <v>PD25120422</v>
      </c>
      <c r="L154" s="46" t="str" cm="1">
        <f t="array" ref="L154">IFERROR(_xlfn.IFS(
    LEN($A154)-LEN(SUBSTITUTE($A154,"|",""))=12, RIGHT(A154, LEN(A154)-FIND("~", SUBSTITUTE(A154,"|","~", LEN(A154)-LEN(SUBSTITUTE(A154,"|",""))))),
    LEN($A154)-LEN(SUBSTITUTE($A154,"|",""))=13, MID($A154, FIND("~", SUBSTITUTE($A154,"|","~", 11))+1, FIND("~", SUBSTITUTE($A154,"|","~", 12))-FIND("~", SUBSTITUTE($A154,"|","~", 11))-1),
    LEN($A154)-LEN(SUBSTITUTE($A154,"|",""))=14, MID($A154, FIND("~", SUBSTITUTE($A154,"|","~", 11))+1, FIND("~", SUBSTITUTE($A154,"|","~", 12))-FIND("~", SUBSTITUTE($A154,"|","~", 11))-1)
), "")</f>
        <v>KS005C9016</v>
      </c>
      <c r="M154" s="47" t="str">
        <f t="shared" si="19"/>
        <v>SB120058/1/25</v>
      </c>
      <c r="N154" s="46" t="str">
        <f t="shared" si="22"/>
        <v/>
      </c>
      <c r="O154" s="60">
        <v>0</v>
      </c>
      <c r="P154" s="60">
        <v>0</v>
      </c>
      <c r="Q154" s="48">
        <v>8877</v>
      </c>
      <c r="R154" s="48">
        <v>617</v>
      </c>
      <c r="S154" s="48"/>
      <c r="T154" s="48"/>
      <c r="U154" s="49"/>
      <c r="V154" s="49"/>
      <c r="W154" s="50">
        <f t="shared" si="20"/>
        <v>0</v>
      </c>
      <c r="X154" s="51">
        <f>IF(A154="", "", IF(COUNTIFS(C$3:C153, C154, D$3:D153, D154, G$3:G153, G154) &gt; 0, "", "11:00"-AW154))</f>
        <v>0.20833333333333331</v>
      </c>
      <c r="Y154" s="52" t="str">
        <f t="shared" si="26"/>
        <v>1:40</v>
      </c>
      <c r="Z154" s="53">
        <v>4.1666666666666664E-2</v>
      </c>
      <c r="AA154" s="54" t="s">
        <v>136</v>
      </c>
      <c r="AB154" s="53"/>
      <c r="AC154" s="54"/>
      <c r="AD154" s="53"/>
      <c r="AE154" s="54"/>
      <c r="AF154" s="53"/>
      <c r="AG154" s="54"/>
      <c r="AH154" s="55">
        <v>4.1666666666666699E-2</v>
      </c>
      <c r="AI154" s="53">
        <v>4.1666666666666664E-2</v>
      </c>
      <c r="AJ154" s="54" t="s">
        <v>90</v>
      </c>
      <c r="AK154" s="53">
        <v>4.1666666666666664E-2</v>
      </c>
      <c r="AL154" s="54" t="s">
        <v>90</v>
      </c>
      <c r="AM154" s="53">
        <v>4.1666666666666664E-2</v>
      </c>
      <c r="AN154" s="54" t="s">
        <v>90</v>
      </c>
      <c r="AO154" s="53">
        <v>4.1666666666666664E-2</v>
      </c>
      <c r="AP154" s="54" t="s">
        <v>90</v>
      </c>
      <c r="AQ154" s="53"/>
      <c r="AR154" s="54"/>
      <c r="AS154" s="53"/>
      <c r="AT154" s="54"/>
      <c r="AU154" s="53">
        <v>4.1666666666666699E-2</v>
      </c>
      <c r="AV154" s="54" t="s">
        <v>37</v>
      </c>
      <c r="AW154" s="57">
        <f t="shared" si="23"/>
        <v>0.25</v>
      </c>
      <c r="AX154" s="58" t="s">
        <v>137</v>
      </c>
    </row>
    <row r="155" spans="1:50" ht="28.5">
      <c r="A155" s="38" t="s">
        <v>127</v>
      </c>
      <c r="B155" s="39">
        <f t="shared" si="27"/>
        <v>151</v>
      </c>
      <c r="C155" s="40">
        <v>46029</v>
      </c>
      <c r="D155" s="40" t="s">
        <v>80</v>
      </c>
      <c r="E155" s="40" t="s">
        <v>81</v>
      </c>
      <c r="F155" s="41">
        <v>23.4</v>
      </c>
      <c r="G155" s="42" t="s">
        <v>34</v>
      </c>
      <c r="H155" s="43" t="str">
        <f>IFERROR(VLOOKUP($J155,'[9]FROM (3)'!$E$4:$F$230,2,FALSE),"")</f>
        <v/>
      </c>
      <c r="I155" s="44" t="str">
        <f t="shared" si="24"/>
        <v>FLANGE-13 SLUG</v>
      </c>
      <c r="J155" s="44" t="str">
        <f t="shared" si="25"/>
        <v>ZZ2B7401TX1</v>
      </c>
      <c r="K155" s="59" t="str">
        <f t="shared" si="21"/>
        <v>PD25121000</v>
      </c>
      <c r="L155" s="46" t="str" cm="1">
        <f t="array" ref="L155">IFERROR(_xlfn.IFS(
    LEN($A155)-LEN(SUBSTITUTE($A155,"|",""))=12, RIGHT(A155, LEN(A155)-FIND("~", SUBSTITUTE(A155,"|","~", LEN(A155)-LEN(SUBSTITUTE(A155,"|",""))))),
    LEN($A155)-LEN(SUBSTITUTE($A155,"|",""))=13, MID($A155, FIND("~", SUBSTITUTE($A155,"|","~", 11))+1, FIND("~", SUBSTITUTE($A155,"|","~", 12))-FIND("~", SUBSTITUTE($A155,"|","~", 11))-1),
    LEN($A155)-LEN(SUBSTITUTE($A155,"|",""))=14, MID($A155, FIND("~", SUBSTITUTE($A155,"|","~", 11))+1, FIND("~", SUBSTITUTE($A155,"|","~", 12))-FIND("~", SUBSTITUTE($A155,"|","~", 11))-1)
), "")</f>
        <v>2-73052</v>
      </c>
      <c r="M155" s="47" t="str">
        <f t="shared" si="19"/>
        <v>2B2503452</v>
      </c>
      <c r="N155" s="46" t="str">
        <f t="shared" si="22"/>
        <v/>
      </c>
      <c r="O155" s="60"/>
      <c r="P155" s="60"/>
      <c r="Q155" s="48">
        <v>534</v>
      </c>
      <c r="R155" s="48">
        <v>123</v>
      </c>
      <c r="S155" s="48"/>
      <c r="T155" s="48"/>
      <c r="U155" s="49">
        <v>177</v>
      </c>
      <c r="V155" s="49">
        <v>450</v>
      </c>
      <c r="W155" s="50">
        <f t="shared" si="20"/>
        <v>627</v>
      </c>
      <c r="X155" s="51">
        <f>IF(A155="", "", IF(COUNTIFS(C$3:C154, C155, D$3:D154, D155, G$3:G154, G155) &gt; 0, "", "11:00"-AW155))</f>
        <v>0.41666666666666663</v>
      </c>
      <c r="Y155" s="52" t="str">
        <f t="shared" si="26"/>
        <v>1:40</v>
      </c>
      <c r="Z155" s="53"/>
      <c r="AA155" s="54"/>
      <c r="AB155" s="53"/>
      <c r="AC155" s="54"/>
      <c r="AD155" s="53"/>
      <c r="AE155" s="54"/>
      <c r="AF155" s="53"/>
      <c r="AG155" s="54"/>
      <c r="AH155" s="55">
        <v>4.1666666666666699E-2</v>
      </c>
      <c r="AI155" s="53"/>
      <c r="AJ155" s="54"/>
      <c r="AK155" s="53"/>
      <c r="AL155" s="54"/>
      <c r="AM155" s="53"/>
      <c r="AN155" s="54"/>
      <c r="AO155" s="53"/>
      <c r="AP155" s="54"/>
      <c r="AQ155" s="53"/>
      <c r="AR155" s="54"/>
      <c r="AS155" s="53"/>
      <c r="AT155" s="54"/>
      <c r="AU155" s="53">
        <v>4.1666666666666699E-2</v>
      </c>
      <c r="AV155" s="54" t="s">
        <v>37</v>
      </c>
      <c r="AW155" s="57">
        <f t="shared" si="23"/>
        <v>4.1666666666666699E-2</v>
      </c>
      <c r="AX155" s="58" t="s">
        <v>203</v>
      </c>
    </row>
    <row r="156" spans="1:50" ht="28.5">
      <c r="A156" s="38" t="s">
        <v>204</v>
      </c>
      <c r="B156" s="39">
        <f t="shared" si="27"/>
        <v>152</v>
      </c>
      <c r="C156" s="40">
        <v>46029</v>
      </c>
      <c r="D156" s="40" t="s">
        <v>80</v>
      </c>
      <c r="E156" s="40" t="s">
        <v>81</v>
      </c>
      <c r="F156" s="41">
        <v>111.6</v>
      </c>
      <c r="G156" s="42" t="s">
        <v>34</v>
      </c>
      <c r="H156" s="43" t="str">
        <f>IFERROR(VLOOKUP($J156,'[9]FROM (3)'!$E$4:$F$230,2,FALSE),"")</f>
        <v>(Astemo)AS-TK</v>
      </c>
      <c r="I156" s="44" t="str">
        <f t="shared" si="24"/>
        <v>CAP RESERVOIR</v>
      </c>
      <c r="J156" s="44" t="str">
        <f t="shared" si="25"/>
        <v>8A10524</v>
      </c>
      <c r="K156" s="59" t="str">
        <f t="shared" si="21"/>
        <v>PD26010108</v>
      </c>
      <c r="L156" s="46" t="str" cm="1">
        <f t="array" ref="L156">IFERROR(_xlfn.IFS(
    LEN($A156)-LEN(SUBSTITUTE($A156,"|",""))=12, RIGHT(A156, LEN(A156)-FIND("~", SUBSTITUTE(A156,"|","~", LEN(A156)-LEN(SUBSTITUTE(A156,"|",""))))),
    LEN($A156)-LEN(SUBSTITUTE($A156,"|",""))=13, MID($A156, FIND("~", SUBSTITUTE($A156,"|","~", 11))+1, FIND("~", SUBSTITUTE($A156,"|","~", 12))-FIND("~", SUBSTITUTE($A156,"|","~", 11))-1),
    LEN($A156)-LEN(SUBSTITUTE($A156,"|",""))=14, MID($A156, FIND("~", SUBSTITUTE($A156,"|","~", 11))+1, FIND("~", SUBSTITUTE($A156,"|","~", 12))-FIND("~", SUBSTITUTE($A156,"|","~", 11))-1)
), "")</f>
        <v>3V096</v>
      </c>
      <c r="M156" s="47" t="str">
        <f t="shared" si="19"/>
        <v>SB010003/2/26</v>
      </c>
      <c r="N156" s="46" t="str">
        <f t="shared" si="22"/>
        <v/>
      </c>
      <c r="O156" s="60">
        <v>60</v>
      </c>
      <c r="P156" s="60">
        <v>2146</v>
      </c>
      <c r="Q156" s="48">
        <v>3239</v>
      </c>
      <c r="R156" s="48">
        <v>361</v>
      </c>
      <c r="S156" s="48"/>
      <c r="T156" s="48"/>
      <c r="U156" s="49"/>
      <c r="V156" s="49"/>
      <c r="W156" s="50">
        <f t="shared" si="20"/>
        <v>0</v>
      </c>
      <c r="X156" s="51" t="str">
        <f>IF(A156="", "", IF(COUNTIFS(C$3:C155, C156, D$3:D155, D156, G$3:G155, G156) &gt; 0, "", "11:00"-AW156))</f>
        <v/>
      </c>
      <c r="Y156" s="52" t="str">
        <f t="shared" si="26"/>
        <v/>
      </c>
      <c r="Z156" s="53"/>
      <c r="AA156" s="54"/>
      <c r="AB156" s="53"/>
      <c r="AC156" s="54"/>
      <c r="AD156" s="53">
        <v>2.0833333333333332E-2</v>
      </c>
      <c r="AE156" s="54" t="s">
        <v>67</v>
      </c>
      <c r="AF156" s="53"/>
      <c r="AG156" s="54"/>
      <c r="AH156" s="55">
        <v>4.1666666666666699E-2</v>
      </c>
      <c r="AI156" s="53"/>
      <c r="AJ156" s="54"/>
      <c r="AK156" s="53"/>
      <c r="AL156" s="54"/>
      <c r="AM156" s="53"/>
      <c r="AN156" s="54"/>
      <c r="AO156" s="53"/>
      <c r="AP156" s="54"/>
      <c r="AQ156" s="53"/>
      <c r="AR156" s="54"/>
      <c r="AS156" s="53"/>
      <c r="AT156" s="54"/>
      <c r="AU156" s="53">
        <v>4.1666666666666699E-2</v>
      </c>
      <c r="AV156" s="54" t="s">
        <v>37</v>
      </c>
      <c r="AW156" s="57">
        <f t="shared" si="23"/>
        <v>6.2500000000000028E-2</v>
      </c>
      <c r="AX156" s="58" t="s">
        <v>203</v>
      </c>
    </row>
    <row r="157" spans="1:50" ht="28.5">
      <c r="A157" s="38" t="s">
        <v>190</v>
      </c>
      <c r="B157" s="39">
        <f t="shared" si="27"/>
        <v>153</v>
      </c>
      <c r="C157" s="40">
        <v>46029</v>
      </c>
      <c r="D157" s="40" t="s">
        <v>80</v>
      </c>
      <c r="E157" s="40" t="s">
        <v>81</v>
      </c>
      <c r="F157" s="41">
        <v>213</v>
      </c>
      <c r="G157" s="42" t="s">
        <v>41</v>
      </c>
      <c r="H157" s="43" t="str">
        <f>IFERROR(VLOOKUP($J157,'[9]FROM (3)'!$E$4:$F$230,2,FALSE),"")</f>
        <v>SDM</v>
      </c>
      <c r="I157" s="44" t="str">
        <f t="shared" si="24"/>
        <v>RING CAM,OUTER</v>
      </c>
      <c r="J157" s="44" t="str">
        <f t="shared" si="25"/>
        <v>SM294173-0030</v>
      </c>
      <c r="K157" s="59" t="str">
        <f t="shared" si="21"/>
        <v>PD26010107</v>
      </c>
      <c r="L157" s="46" t="str" cm="1">
        <f t="array" ref="L157">IFERROR(_xlfn.IFS(
    LEN($A157)-LEN(SUBSTITUTE($A157,"|",""))=12, RIGHT(A157, LEN(A157)-FIND("~", SUBSTITUTE(A157,"|","~", LEN(A157)-LEN(SUBSTITUTE(A157,"|",""))))),
    LEN($A157)-LEN(SUBSTITUTE($A157,"|",""))=13, MID($A157, FIND("~", SUBSTITUTE($A157,"|","~", 11))+1, FIND("~", SUBSTITUTE($A157,"|","~", 12))-FIND("~", SUBSTITUTE($A157,"|","~", 11))-1),
    LEN($A157)-LEN(SUBSTITUTE($A157,"|",""))=14, MID($A157, FIND("~", SUBSTITUTE($A157,"|","~", 11))+1, FIND("~", SUBSTITUTE($A157,"|","~", 12))-FIND("~", SUBSTITUTE($A157,"|","~", 11))-1)
), "")</f>
        <v>X231A</v>
      </c>
      <c r="M157" s="47" t="str">
        <f t="shared" si="19"/>
        <v>SB120116/1/25</v>
      </c>
      <c r="N157" s="46" t="str">
        <f t="shared" si="22"/>
        <v/>
      </c>
      <c r="O157" s="60"/>
      <c r="P157" s="60"/>
      <c r="Q157" s="48">
        <v>2259</v>
      </c>
      <c r="R157" s="48">
        <v>481</v>
      </c>
      <c r="S157" s="48"/>
      <c r="T157" s="48"/>
      <c r="U157" s="49">
        <v>33</v>
      </c>
      <c r="V157" s="49">
        <v>88</v>
      </c>
      <c r="W157" s="50">
        <f t="shared" si="20"/>
        <v>121</v>
      </c>
      <c r="X157" s="51">
        <f>IF(A157="", "", IF(COUNTIFS(C$3:C156, C157, D$3:D156, D157, G$3:G156, G157) &gt; 0, "", "11:00"-AW157))</f>
        <v>0.41666666666666663</v>
      </c>
      <c r="Y157" s="52" t="str">
        <f t="shared" si="26"/>
        <v>1:40</v>
      </c>
      <c r="Z157" s="53"/>
      <c r="AA157" s="54"/>
      <c r="AB157" s="53"/>
      <c r="AC157" s="54"/>
      <c r="AD157" s="53"/>
      <c r="AE157" s="54"/>
      <c r="AF157" s="53"/>
      <c r="AG157" s="54"/>
      <c r="AH157" s="55">
        <v>4.1666666666666699E-2</v>
      </c>
      <c r="AI157" s="53"/>
      <c r="AJ157" s="54"/>
      <c r="AK157" s="53"/>
      <c r="AL157" s="54"/>
      <c r="AM157" s="53"/>
      <c r="AN157" s="54"/>
      <c r="AO157" s="53"/>
      <c r="AP157" s="54"/>
      <c r="AQ157" s="53"/>
      <c r="AR157" s="54"/>
      <c r="AS157" s="53"/>
      <c r="AT157" s="54"/>
      <c r="AU157" s="53">
        <v>4.1666666666666699E-2</v>
      </c>
      <c r="AV157" s="54" t="s">
        <v>37</v>
      </c>
      <c r="AW157" s="57">
        <f t="shared" si="23"/>
        <v>4.1666666666666699E-2</v>
      </c>
      <c r="AX157" s="58" t="s">
        <v>203</v>
      </c>
    </row>
    <row r="158" spans="1:50" ht="28.5">
      <c r="A158" s="38" t="s">
        <v>43</v>
      </c>
      <c r="B158" s="39">
        <f t="shared" si="27"/>
        <v>154</v>
      </c>
      <c r="C158" s="40">
        <v>46029</v>
      </c>
      <c r="D158" s="40" t="s">
        <v>80</v>
      </c>
      <c r="E158" s="40" t="s">
        <v>81</v>
      </c>
      <c r="F158" s="41">
        <v>25.35</v>
      </c>
      <c r="G158" s="42" t="s">
        <v>44</v>
      </c>
      <c r="H158" s="43" t="str">
        <f>IFERROR(VLOOKUP($J158,'[9]FROM (3)'!$E$4:$F$230,2,FALSE),"")</f>
        <v>KYOWA NT</v>
      </c>
      <c r="I158" s="44" t="str">
        <f t="shared" si="24"/>
        <v>PIN</v>
      </c>
      <c r="J158" s="44" t="str">
        <f t="shared" si="25"/>
        <v>8306T0036</v>
      </c>
      <c r="K158" s="59" t="str">
        <f t="shared" si="21"/>
        <v>PD25121321</v>
      </c>
      <c r="L158" s="46" t="str" cm="1">
        <f t="array" ref="L158">IFERROR(_xlfn.IFS(
    LEN($A158)-LEN(SUBSTITUTE($A158,"|",""))=12, RIGHT(A158, LEN(A158)-FIND("~", SUBSTITUTE(A158,"|","~", LEN(A158)-LEN(SUBSTITUTE(A158,"|",""))))),
    LEN($A158)-LEN(SUBSTITUTE($A158,"|",""))=13, MID($A158, FIND("~", SUBSTITUTE($A158,"|","~", 11))+1, FIND("~", SUBSTITUTE($A158,"|","~", 12))-FIND("~", SUBSTITUTE($A158,"|","~", 11))-1),
    LEN($A158)-LEN(SUBSTITUTE($A158,"|",""))=14, MID($A158, FIND("~", SUBSTITUTE($A158,"|","~", 11))+1, FIND("~", SUBSTITUTE($A158,"|","~", 12))-FIND("~", SUBSTITUTE($A158,"|","~", 11))-1)
), "")</f>
        <v>665573</v>
      </c>
      <c r="M158" s="47" t="str">
        <f t="shared" si="19"/>
        <v>SB120110/1/25</v>
      </c>
      <c r="N158" s="46" t="str">
        <f t="shared" si="22"/>
        <v/>
      </c>
      <c r="O158" s="60"/>
      <c r="P158" s="60"/>
      <c r="Q158" s="48">
        <v>7327</v>
      </c>
      <c r="R158" s="48">
        <v>186</v>
      </c>
      <c r="S158" s="48"/>
      <c r="T158" s="48"/>
      <c r="U158" s="49"/>
      <c r="V158" s="49"/>
      <c r="W158" s="50">
        <f t="shared" si="20"/>
        <v>0</v>
      </c>
      <c r="X158" s="51">
        <f>IF(A158="", "", IF(COUNTIFS(C$3:C157, C158, D$3:D157, D158, G$3:G157, G158) &gt; 0, "", "11:00"-AW158))</f>
        <v>0.41666666666666663</v>
      </c>
      <c r="Y158" s="52" t="str">
        <f t="shared" si="26"/>
        <v>1:40</v>
      </c>
      <c r="Z158" s="53"/>
      <c r="AA158" s="54"/>
      <c r="AB158" s="53"/>
      <c r="AC158" s="54"/>
      <c r="AD158" s="53"/>
      <c r="AE158" s="54"/>
      <c r="AF158" s="53"/>
      <c r="AG158" s="54"/>
      <c r="AH158" s="55">
        <v>4.1666666666666699E-2</v>
      </c>
      <c r="AI158" s="53"/>
      <c r="AJ158" s="54"/>
      <c r="AK158" s="53"/>
      <c r="AL158" s="54"/>
      <c r="AM158" s="53"/>
      <c r="AN158" s="54"/>
      <c r="AO158" s="53"/>
      <c r="AP158" s="54"/>
      <c r="AQ158" s="53"/>
      <c r="AR158" s="54"/>
      <c r="AS158" s="53"/>
      <c r="AT158" s="54"/>
      <c r="AU158" s="53">
        <v>4.1666666666666699E-2</v>
      </c>
      <c r="AV158" s="54" t="s">
        <v>37</v>
      </c>
      <c r="AW158" s="57">
        <f t="shared" si="23"/>
        <v>4.1666666666666699E-2</v>
      </c>
      <c r="AX158" s="58" t="s">
        <v>203</v>
      </c>
    </row>
    <row r="159" spans="1:50" ht="28.5">
      <c r="A159" s="38" t="s">
        <v>189</v>
      </c>
      <c r="B159" s="39">
        <f t="shared" si="27"/>
        <v>155</v>
      </c>
      <c r="C159" s="40">
        <v>46029</v>
      </c>
      <c r="D159" s="40" t="s">
        <v>80</v>
      </c>
      <c r="E159" s="40" t="s">
        <v>81</v>
      </c>
      <c r="F159" s="41">
        <v>698.5</v>
      </c>
      <c r="G159" s="42" t="s">
        <v>54</v>
      </c>
      <c r="H159" s="43" t="str">
        <f>IFERROR(VLOOKUP($J159,'[9]FROM (3)'!$E$4:$F$230,2,FALSE),"")</f>
        <v>JCTTH</v>
      </c>
      <c r="I159" s="44" t="str">
        <f t="shared" si="24"/>
        <v>RACK BAR</v>
      </c>
      <c r="J159" s="44" t="str">
        <f t="shared" si="25"/>
        <v>JGD10-000751/000761-A</v>
      </c>
      <c r="K159" s="59" t="str">
        <f t="shared" si="21"/>
        <v>PD25121281</v>
      </c>
      <c r="L159" s="46" t="str" cm="1">
        <f t="array" ref="L159">IFERROR(_xlfn.IFS(
    LEN($A159)-LEN(SUBSTITUTE($A159,"|",""))=12, RIGHT(A159, LEN(A159)-FIND("~", SUBSTITUTE(A159,"|","~", LEN(A159)-LEN(SUBSTITUTE(A159,"|",""))))),
    LEN($A159)-LEN(SUBSTITUTE($A159,"|",""))=13, MID($A159, FIND("~", SUBSTITUTE($A159,"|","~", 11))+1, FIND("~", SUBSTITUTE($A159,"|","~", 12))-FIND("~", SUBSTITUTE($A159,"|","~", 11))-1),
    LEN($A159)-LEN(SUBSTITUTE($A159,"|",""))=14, MID($A159, FIND("~", SUBSTITUTE($A159,"|","~", 11))+1, FIND("~", SUBSTITUTE($A159,"|","~", 12))-FIND("~", SUBSTITUTE($A159,"|","~", 11))-1)
), "")</f>
        <v>665077</v>
      </c>
      <c r="M159" s="47" t="str">
        <f t="shared" si="19"/>
        <v>SB120184/4/25</v>
      </c>
      <c r="N159" s="46" t="str">
        <f t="shared" si="22"/>
        <v/>
      </c>
      <c r="O159" s="60" t="s">
        <v>35</v>
      </c>
      <c r="P159" s="60" t="s">
        <v>35</v>
      </c>
      <c r="Q159" s="48">
        <v>126</v>
      </c>
      <c r="R159" s="48">
        <v>564</v>
      </c>
      <c r="S159" s="48"/>
      <c r="T159" s="48"/>
      <c r="U159" s="49"/>
      <c r="V159" s="49"/>
      <c r="W159" s="50">
        <f t="shared" si="20"/>
        <v>0</v>
      </c>
      <c r="X159" s="51">
        <f>IF(A159="", "", IF(COUNTIFS(C$3:C158, C159, D$3:D158, D159, G$3:G158, G159) &gt; 0, "", "11:00"-AW159))</f>
        <v>0.37499999999999994</v>
      </c>
      <c r="Y159" s="52" t="str">
        <f t="shared" si="26"/>
        <v>1:40</v>
      </c>
      <c r="Z159" s="53"/>
      <c r="AA159" s="54"/>
      <c r="AB159" s="53"/>
      <c r="AC159" s="54"/>
      <c r="AD159" s="53"/>
      <c r="AE159" s="54"/>
      <c r="AF159" s="53"/>
      <c r="AG159" s="54"/>
      <c r="AH159" s="55">
        <v>4.1666666666666699E-2</v>
      </c>
      <c r="AI159" s="53"/>
      <c r="AJ159" s="54"/>
      <c r="AK159" s="53"/>
      <c r="AL159" s="54"/>
      <c r="AM159" s="53"/>
      <c r="AN159" s="54"/>
      <c r="AO159" s="53"/>
      <c r="AP159" s="54"/>
      <c r="AQ159" s="53"/>
      <c r="AR159" s="54"/>
      <c r="AS159" s="53">
        <v>4.1666666666666664E-2</v>
      </c>
      <c r="AT159" s="54" t="s">
        <v>67</v>
      </c>
      <c r="AU159" s="53">
        <v>4.1666666666666699E-2</v>
      </c>
      <c r="AV159" s="54" t="s">
        <v>37</v>
      </c>
      <c r="AW159" s="57">
        <f t="shared" si="23"/>
        <v>8.333333333333337E-2</v>
      </c>
      <c r="AX159" s="58" t="s">
        <v>91</v>
      </c>
    </row>
    <row r="160" spans="1:50" ht="28.5">
      <c r="A160" s="38" t="s">
        <v>205</v>
      </c>
      <c r="B160" s="39">
        <f t="shared" si="27"/>
        <v>156</v>
      </c>
      <c r="C160" s="40">
        <v>46029</v>
      </c>
      <c r="D160" s="40" t="s">
        <v>80</v>
      </c>
      <c r="E160" s="40" t="s">
        <v>81</v>
      </c>
      <c r="F160" s="41">
        <v>698.5</v>
      </c>
      <c r="G160" s="42" t="s">
        <v>54</v>
      </c>
      <c r="H160" s="43" t="str">
        <f>IFERROR(VLOOKUP($J160,'[9]FROM (3)'!$E$4:$F$230,2,FALSE),"")</f>
        <v>JCTTH</v>
      </c>
      <c r="I160" s="44" t="str">
        <f t="shared" si="24"/>
        <v>RACK BAR</v>
      </c>
      <c r="J160" s="44" t="str">
        <f t="shared" si="25"/>
        <v>JGD10-000751/000761-A</v>
      </c>
      <c r="K160" s="59" t="str">
        <f t="shared" si="21"/>
        <v>PD25121281</v>
      </c>
      <c r="L160" s="46" t="str" cm="1">
        <f t="array" ref="L160">IFERROR(_xlfn.IFS(
    LEN($A160)-LEN(SUBSTITUTE($A160,"|",""))=12, RIGHT(A160, LEN(A160)-FIND("~", SUBSTITUTE(A160,"|","~", LEN(A160)-LEN(SUBSTITUTE(A160,"|",""))))),
    LEN($A160)-LEN(SUBSTITUTE($A160,"|",""))=13, MID($A160, FIND("~", SUBSTITUTE($A160,"|","~", 11))+1, FIND("~", SUBSTITUTE($A160,"|","~", 12))-FIND("~", SUBSTITUTE($A160,"|","~", 11))-1),
    LEN($A160)-LEN(SUBSTITUTE($A160,"|",""))=14, MID($A160, FIND("~", SUBSTITUTE($A160,"|","~", 11))+1, FIND("~", SUBSTITUTE($A160,"|","~", 12))-FIND("~", SUBSTITUTE($A160,"|","~", 11))-1)
), "")</f>
        <v>665077</v>
      </c>
      <c r="M160" s="47" t="str">
        <f t="shared" si="19"/>
        <v>SB120184/5/25</v>
      </c>
      <c r="N160" s="46" t="str">
        <f t="shared" si="22"/>
        <v/>
      </c>
      <c r="O160" s="60">
        <v>52</v>
      </c>
      <c r="P160" s="60">
        <v>1010</v>
      </c>
      <c r="Q160" s="48">
        <v>208</v>
      </c>
      <c r="R160" s="48">
        <v>931</v>
      </c>
      <c r="S160" s="48"/>
      <c r="T160" s="48"/>
      <c r="U160" s="49">
        <v>132</v>
      </c>
      <c r="V160" s="49">
        <v>7</v>
      </c>
      <c r="W160" s="50">
        <f t="shared" si="20"/>
        <v>139</v>
      </c>
      <c r="X160" s="51" t="str">
        <f>IF(A160="", "", IF(COUNTIFS(C$3:C159, C160, D$3:D159, D160, G$3:G159, G160) &gt; 0, "", "11:00"-AW160))</f>
        <v/>
      </c>
      <c r="Y160" s="52" t="str">
        <f t="shared" si="26"/>
        <v/>
      </c>
      <c r="Z160" s="53"/>
      <c r="AA160" s="54"/>
      <c r="AB160" s="53"/>
      <c r="AC160" s="54"/>
      <c r="AD160" s="53"/>
      <c r="AE160" s="54"/>
      <c r="AF160" s="53"/>
      <c r="AG160" s="54"/>
      <c r="AH160" s="55">
        <v>4.1666666666666699E-2</v>
      </c>
      <c r="AI160" s="53"/>
      <c r="AJ160" s="54"/>
      <c r="AK160" s="53"/>
      <c r="AL160" s="54"/>
      <c r="AM160" s="53"/>
      <c r="AN160" s="54"/>
      <c r="AO160" s="53"/>
      <c r="AP160" s="54"/>
      <c r="AQ160" s="53"/>
      <c r="AR160" s="54"/>
      <c r="AS160" s="53"/>
      <c r="AT160" s="54"/>
      <c r="AU160" s="53">
        <v>4.1666666666666699E-2</v>
      </c>
      <c r="AV160" s="54" t="s">
        <v>37</v>
      </c>
      <c r="AW160" s="57">
        <f t="shared" si="23"/>
        <v>4.1666666666666699E-2</v>
      </c>
      <c r="AX160" s="58" t="s">
        <v>91</v>
      </c>
    </row>
    <row r="161" spans="1:50" ht="28.5">
      <c r="A161" s="38" t="s">
        <v>206</v>
      </c>
      <c r="B161" s="39">
        <f t="shared" si="27"/>
        <v>157</v>
      </c>
      <c r="C161" s="40">
        <v>46029</v>
      </c>
      <c r="D161" s="40" t="s">
        <v>80</v>
      </c>
      <c r="E161" s="40" t="s">
        <v>81</v>
      </c>
      <c r="F161" s="41">
        <v>698.5</v>
      </c>
      <c r="G161" s="42" t="s">
        <v>54</v>
      </c>
      <c r="H161" s="43" t="str">
        <f>IFERROR(VLOOKUP($J161,'[9]FROM (3)'!$E$4:$F$230,2,FALSE),"")</f>
        <v>JCTTH</v>
      </c>
      <c r="I161" s="44" t="str">
        <f t="shared" si="24"/>
        <v>RACK BAR</v>
      </c>
      <c r="J161" s="44" t="str">
        <f t="shared" si="25"/>
        <v>JGD10-000751/000761-A</v>
      </c>
      <c r="K161" s="59" t="str">
        <f t="shared" si="21"/>
        <v>PD25121279</v>
      </c>
      <c r="L161" s="46" t="str" cm="1">
        <f t="array" ref="L161">IFERROR(_xlfn.IFS(
    LEN($A161)-LEN(SUBSTITUTE($A161,"|",""))=12, RIGHT(A161, LEN(A161)-FIND("~", SUBSTITUTE(A161,"|","~", LEN(A161)-LEN(SUBSTITUTE(A161,"|",""))))),
    LEN($A161)-LEN(SUBSTITUTE($A161,"|",""))=13, MID($A161, FIND("~", SUBSTITUTE($A161,"|","~", 11))+1, FIND("~", SUBSTITUTE($A161,"|","~", 12))-FIND("~", SUBSTITUTE($A161,"|","~", 11))-1),
    LEN($A161)-LEN(SUBSTITUTE($A161,"|",""))=14, MID($A161, FIND("~", SUBSTITUTE($A161,"|","~", 11))+1, FIND("~", SUBSTITUTE($A161,"|","~", 12))-FIND("~", SUBSTITUTE($A161,"|","~", 11))-1)
), "")</f>
        <v>665077</v>
      </c>
      <c r="M161" s="47" t="str">
        <f t="shared" si="19"/>
        <v>SB120178/4/25</v>
      </c>
      <c r="N161" s="46" t="str">
        <f t="shared" si="22"/>
        <v/>
      </c>
      <c r="O161" s="60">
        <v>51</v>
      </c>
      <c r="P161" s="60">
        <v>986</v>
      </c>
      <c r="Q161" s="48">
        <v>204</v>
      </c>
      <c r="R161" s="48">
        <v>913</v>
      </c>
      <c r="S161" s="48"/>
      <c r="T161" s="48"/>
      <c r="U161" s="49"/>
      <c r="V161" s="49"/>
      <c r="W161" s="50">
        <f t="shared" si="20"/>
        <v>0</v>
      </c>
      <c r="X161" s="51" t="str">
        <f>IF(A161="", "", IF(COUNTIFS(C$3:C160, C161, D$3:D160, D161, G$3:G160, G161) &gt; 0, "", "11:00"-AW161))</f>
        <v/>
      </c>
      <c r="Y161" s="52" t="str">
        <f t="shared" si="26"/>
        <v/>
      </c>
      <c r="Z161" s="53"/>
      <c r="AA161" s="54"/>
      <c r="AB161" s="53"/>
      <c r="AC161" s="54"/>
      <c r="AD161" s="53"/>
      <c r="AE161" s="54"/>
      <c r="AF161" s="53"/>
      <c r="AG161" s="54"/>
      <c r="AH161" s="55">
        <v>4.1666666666666699E-2</v>
      </c>
      <c r="AI161" s="53"/>
      <c r="AJ161" s="54"/>
      <c r="AK161" s="53"/>
      <c r="AL161" s="54"/>
      <c r="AM161" s="53"/>
      <c r="AN161" s="54"/>
      <c r="AO161" s="53"/>
      <c r="AP161" s="54"/>
      <c r="AQ161" s="53"/>
      <c r="AR161" s="54"/>
      <c r="AS161" s="53"/>
      <c r="AT161" s="54"/>
      <c r="AU161" s="53">
        <v>4.1666666666666699E-2</v>
      </c>
      <c r="AV161" s="54" t="s">
        <v>37</v>
      </c>
      <c r="AW161" s="57">
        <f t="shared" si="23"/>
        <v>4.1666666666666699E-2</v>
      </c>
      <c r="AX161" s="58" t="s">
        <v>91</v>
      </c>
    </row>
    <row r="162" spans="1:50" ht="28.5">
      <c r="A162" s="38" t="s">
        <v>207</v>
      </c>
      <c r="B162" s="39">
        <f t="shared" si="27"/>
        <v>158</v>
      </c>
      <c r="C162" s="40">
        <v>46029</v>
      </c>
      <c r="D162" s="40" t="s">
        <v>80</v>
      </c>
      <c r="E162" s="40" t="s">
        <v>81</v>
      </c>
      <c r="F162" s="41">
        <v>698.5</v>
      </c>
      <c r="G162" s="42" t="s">
        <v>54</v>
      </c>
      <c r="H162" s="43" t="str">
        <f>IFERROR(VLOOKUP($J162,'[9]FROM (3)'!$E$4:$F$230,2,FALSE),"")</f>
        <v>JCTTH</v>
      </c>
      <c r="I162" s="44" t="str">
        <f t="shared" si="24"/>
        <v>RACK BAR</v>
      </c>
      <c r="J162" s="44" t="str">
        <f t="shared" si="25"/>
        <v>JGD10-000751/000761-A</v>
      </c>
      <c r="K162" s="59" t="str">
        <f t="shared" si="21"/>
        <v>PD25121279</v>
      </c>
      <c r="L162" s="46" t="str" cm="1">
        <f t="array" ref="L162">IFERROR(_xlfn.IFS(
    LEN($A162)-LEN(SUBSTITUTE($A162,"|",""))=12, RIGHT(A162, LEN(A162)-FIND("~", SUBSTITUTE(A162,"|","~", LEN(A162)-LEN(SUBSTITUTE(A162,"|",""))))),
    LEN($A162)-LEN(SUBSTITUTE($A162,"|",""))=13, MID($A162, FIND("~", SUBSTITUTE($A162,"|","~", 11))+1, FIND("~", SUBSTITUTE($A162,"|","~", 12))-FIND("~", SUBSTITUTE($A162,"|","~", 11))-1),
    LEN($A162)-LEN(SUBSTITUTE($A162,"|",""))=14, MID($A162, FIND("~", SUBSTITUTE($A162,"|","~", 11))+1, FIND("~", SUBSTITUTE($A162,"|","~", 12))-FIND("~", SUBSTITUTE($A162,"|","~", 11))-1)
), "")</f>
        <v>665077</v>
      </c>
      <c r="M162" s="47" t="str">
        <f t="shared" si="19"/>
        <v>SB120178/5/25</v>
      </c>
      <c r="N162" s="46" t="str">
        <f t="shared" si="22"/>
        <v/>
      </c>
      <c r="O162" s="60">
        <v>51</v>
      </c>
      <c r="P162" s="60">
        <v>986</v>
      </c>
      <c r="Q162" s="48">
        <v>204</v>
      </c>
      <c r="R162" s="48">
        <v>913</v>
      </c>
      <c r="S162" s="48"/>
      <c r="T162" s="48"/>
      <c r="U162" s="49"/>
      <c r="V162" s="49"/>
      <c r="W162" s="50">
        <f t="shared" si="20"/>
        <v>0</v>
      </c>
      <c r="X162" s="51" t="str">
        <f>IF(A162="", "", IF(COUNTIFS(C$3:C161, C162, D$3:D161, D162, G$3:G161, G162) &gt; 0, "", "11:00"-AW162))</f>
        <v/>
      </c>
      <c r="Y162" s="52" t="str">
        <f t="shared" si="26"/>
        <v/>
      </c>
      <c r="Z162" s="53"/>
      <c r="AA162" s="54"/>
      <c r="AB162" s="53"/>
      <c r="AC162" s="54"/>
      <c r="AD162" s="53"/>
      <c r="AE162" s="54"/>
      <c r="AF162" s="53"/>
      <c r="AG162" s="54"/>
      <c r="AH162" s="55">
        <v>4.1666666666666699E-2</v>
      </c>
      <c r="AI162" s="53"/>
      <c r="AJ162" s="54"/>
      <c r="AK162" s="53"/>
      <c r="AL162" s="54"/>
      <c r="AM162" s="53"/>
      <c r="AN162" s="54"/>
      <c r="AO162" s="53"/>
      <c r="AP162" s="54"/>
      <c r="AQ162" s="53"/>
      <c r="AR162" s="54"/>
      <c r="AS162" s="53"/>
      <c r="AT162" s="54"/>
      <c r="AU162" s="53">
        <v>4.1666666666666699E-2</v>
      </c>
      <c r="AV162" s="54" t="s">
        <v>37</v>
      </c>
      <c r="AW162" s="57">
        <f t="shared" si="23"/>
        <v>4.1666666666666699E-2</v>
      </c>
      <c r="AX162" s="58" t="s">
        <v>91</v>
      </c>
    </row>
    <row r="163" spans="1:50" ht="28.5">
      <c r="A163" s="38" t="s">
        <v>208</v>
      </c>
      <c r="B163" s="39">
        <f t="shared" si="27"/>
        <v>159</v>
      </c>
      <c r="C163" s="40">
        <v>46029</v>
      </c>
      <c r="D163" s="40" t="s">
        <v>80</v>
      </c>
      <c r="E163" s="40" t="s">
        <v>81</v>
      </c>
      <c r="F163" s="41">
        <v>698.5</v>
      </c>
      <c r="G163" s="42" t="s">
        <v>54</v>
      </c>
      <c r="H163" s="43" t="str">
        <f>IFERROR(VLOOKUP($J163,'[9]FROM (3)'!$E$4:$F$230,2,FALSE),"")</f>
        <v>JCTTH</v>
      </c>
      <c r="I163" s="44" t="str">
        <f t="shared" si="24"/>
        <v>RACK BAR</v>
      </c>
      <c r="J163" s="44" t="str">
        <f t="shared" si="25"/>
        <v>JGD10-000751/000761-A</v>
      </c>
      <c r="K163" s="59" t="str">
        <f t="shared" si="21"/>
        <v>PD25121279</v>
      </c>
      <c r="L163" s="46" t="str" cm="1">
        <f t="array" ref="L163">IFERROR(_xlfn.IFS(
    LEN($A163)-LEN(SUBSTITUTE($A163,"|",""))=12, RIGHT(A163, LEN(A163)-FIND("~", SUBSTITUTE(A163,"|","~", LEN(A163)-LEN(SUBSTITUTE(A163,"|",""))))),
    LEN($A163)-LEN(SUBSTITUTE($A163,"|",""))=13, MID($A163, FIND("~", SUBSTITUTE($A163,"|","~", 11))+1, FIND("~", SUBSTITUTE($A163,"|","~", 12))-FIND("~", SUBSTITUTE($A163,"|","~", 11))-1),
    LEN($A163)-LEN(SUBSTITUTE($A163,"|",""))=14, MID($A163, FIND("~", SUBSTITUTE($A163,"|","~", 11))+1, FIND("~", SUBSTITUTE($A163,"|","~", 12))-FIND("~", SUBSTITUTE($A163,"|","~", 11))-1)
), "")</f>
        <v>665077</v>
      </c>
      <c r="M163" s="47" t="str">
        <f t="shared" si="19"/>
        <v>SB120178/6/25</v>
      </c>
      <c r="N163" s="46" t="str">
        <f t="shared" si="22"/>
        <v/>
      </c>
      <c r="O163" s="60">
        <v>51</v>
      </c>
      <c r="P163" s="60">
        <v>986</v>
      </c>
      <c r="Q163" s="48">
        <v>204</v>
      </c>
      <c r="R163" s="48">
        <v>913</v>
      </c>
      <c r="S163" s="48"/>
      <c r="T163" s="48"/>
      <c r="U163" s="49">
        <v>195</v>
      </c>
      <c r="V163" s="49">
        <v>10</v>
      </c>
      <c r="W163" s="50">
        <f t="shared" si="20"/>
        <v>205</v>
      </c>
      <c r="X163" s="51" t="str">
        <f>IF(A163="", "", IF(COUNTIFS(C$3:C162, C163, D$3:D162, D163, G$3:G162, G163) &gt; 0, "", "11:00"-AW163))</f>
        <v/>
      </c>
      <c r="Y163" s="52" t="str">
        <f t="shared" si="26"/>
        <v/>
      </c>
      <c r="Z163" s="53"/>
      <c r="AA163" s="54"/>
      <c r="AB163" s="53"/>
      <c r="AC163" s="54"/>
      <c r="AD163" s="53"/>
      <c r="AE163" s="54"/>
      <c r="AF163" s="53"/>
      <c r="AG163" s="54"/>
      <c r="AH163" s="55">
        <v>4.1666666666666699E-2</v>
      </c>
      <c r="AI163" s="53"/>
      <c r="AJ163" s="54"/>
      <c r="AK163" s="53"/>
      <c r="AL163" s="54"/>
      <c r="AM163" s="53"/>
      <c r="AN163" s="54"/>
      <c r="AO163" s="53"/>
      <c r="AP163" s="54"/>
      <c r="AQ163" s="53"/>
      <c r="AR163" s="54"/>
      <c r="AS163" s="53"/>
      <c r="AT163" s="54"/>
      <c r="AU163" s="53">
        <v>4.1666666666666699E-2</v>
      </c>
      <c r="AV163" s="54" t="s">
        <v>37</v>
      </c>
      <c r="AW163" s="57">
        <f t="shared" si="23"/>
        <v>4.1666666666666699E-2</v>
      </c>
      <c r="AX163" s="58" t="s">
        <v>91</v>
      </c>
    </row>
    <row r="164" spans="1:50" ht="28.5">
      <c r="A164" s="38" t="s">
        <v>200</v>
      </c>
      <c r="B164" s="39">
        <f t="shared" si="27"/>
        <v>160</v>
      </c>
      <c r="C164" s="40">
        <v>46029</v>
      </c>
      <c r="D164" s="40" t="s">
        <v>80</v>
      </c>
      <c r="E164" s="40" t="s">
        <v>81</v>
      </c>
      <c r="F164" s="41">
        <v>721.5</v>
      </c>
      <c r="G164" s="42" t="s">
        <v>66</v>
      </c>
      <c r="H164" s="43" t="str">
        <f>IFERROR(VLOOKUP($J164,'[9]FROM (3)'!$E$4:$F$230,2,FALSE),"")</f>
        <v>JCTTH</v>
      </c>
      <c r="I164" s="44" t="str">
        <f t="shared" si="24"/>
        <v>RACK POWER STEERING</v>
      </c>
      <c r="J164" s="44" t="str">
        <f t="shared" si="25"/>
        <v>2-30JG-0711</v>
      </c>
      <c r="K164" s="59" t="str">
        <f t="shared" si="21"/>
        <v>PD25111240</v>
      </c>
      <c r="L164" s="46" t="str" cm="1">
        <f t="array" ref="L164">IFERROR(_xlfn.IFS(
    LEN($A164)-LEN(SUBSTITUTE($A164,"|",""))=12, RIGHT(A164, LEN(A164)-FIND("~", SUBSTITUTE(A164,"|","~", LEN(A164)-LEN(SUBSTITUTE(A164,"|",""))))),
    LEN($A164)-LEN(SUBSTITUTE($A164,"|",""))=13, MID($A164, FIND("~", SUBSTITUTE($A164,"|","~", 11))+1, FIND("~", SUBSTITUTE($A164,"|","~", 12))-FIND("~", SUBSTITUTE($A164,"|","~", 11))-1),
    LEN($A164)-LEN(SUBSTITUTE($A164,"|",""))=14, MID($A164, FIND("~", SUBSTITUTE($A164,"|","~", 11))+1, FIND("~", SUBSTITUTE($A164,"|","~", 12))-FIND("~", SUBSTITUTE($A164,"|","~", 11))-1)
), "")</f>
        <v>E585581</v>
      </c>
      <c r="M164" s="47" t="str">
        <f t="shared" si="19"/>
        <v>SB110157/6/25</v>
      </c>
      <c r="N164" s="46" t="str">
        <f t="shared" si="22"/>
        <v/>
      </c>
      <c r="O164" s="60" t="s">
        <v>35</v>
      </c>
      <c r="P164" s="60" t="s">
        <v>35</v>
      </c>
      <c r="Q164" s="48">
        <v>83</v>
      </c>
      <c r="R164" s="48">
        <v>340</v>
      </c>
      <c r="S164" s="48">
        <v>3</v>
      </c>
      <c r="T164" s="48" t="s">
        <v>143</v>
      </c>
      <c r="U164" s="49">
        <v>94</v>
      </c>
      <c r="V164" s="49">
        <v>6</v>
      </c>
      <c r="W164" s="50">
        <f t="shared" si="20"/>
        <v>100</v>
      </c>
      <c r="X164" s="51">
        <f>IF(A164="", "", IF(COUNTIFS(C$3:C163, C164, D$3:D163, D164, G$3:G163, G164) &gt; 0, "", "11:00"-AW164))</f>
        <v>0.35416666666666663</v>
      </c>
      <c r="Y164" s="52" t="str">
        <f t="shared" si="26"/>
        <v>1:40</v>
      </c>
      <c r="Z164" s="53"/>
      <c r="AA164" s="54"/>
      <c r="AB164" s="53"/>
      <c r="AC164" s="54"/>
      <c r="AD164" s="53"/>
      <c r="AE164" s="54"/>
      <c r="AF164" s="53"/>
      <c r="AG164" s="54"/>
      <c r="AH164" s="55">
        <v>4.1666666666666699E-2</v>
      </c>
      <c r="AI164" s="53">
        <v>4.1666666666666664E-2</v>
      </c>
      <c r="AJ164" s="54" t="s">
        <v>67</v>
      </c>
      <c r="AK164" s="53">
        <v>2.0833333333333332E-2</v>
      </c>
      <c r="AL164" s="54" t="s">
        <v>82</v>
      </c>
      <c r="AM164" s="53"/>
      <c r="AN164" s="54"/>
      <c r="AO164" s="53"/>
      <c r="AP164" s="54"/>
      <c r="AQ164" s="53"/>
      <c r="AR164" s="54"/>
      <c r="AS164" s="53"/>
      <c r="AT164" s="54"/>
      <c r="AU164" s="53">
        <v>4.1666666666666699E-2</v>
      </c>
      <c r="AV164" s="54" t="s">
        <v>37</v>
      </c>
      <c r="AW164" s="57">
        <f t="shared" si="23"/>
        <v>0.1041666666666667</v>
      </c>
      <c r="AX164" s="58" t="s">
        <v>96</v>
      </c>
    </row>
    <row r="165" spans="1:50" ht="28.5">
      <c r="A165" s="38" t="s">
        <v>209</v>
      </c>
      <c r="B165" s="39">
        <f t="shared" si="27"/>
        <v>161</v>
      </c>
      <c r="C165" s="40">
        <v>46029</v>
      </c>
      <c r="D165" s="40" t="s">
        <v>80</v>
      </c>
      <c r="E165" s="40" t="s">
        <v>81</v>
      </c>
      <c r="F165" s="41">
        <v>721.5</v>
      </c>
      <c r="G165" s="42" t="s">
        <v>66</v>
      </c>
      <c r="H165" s="43" t="str">
        <f>IFERROR(VLOOKUP($J165,'[9]FROM (3)'!$E$4:$F$230,2,FALSE),"")</f>
        <v>JCTTH</v>
      </c>
      <c r="I165" s="44" t="str">
        <f t="shared" si="24"/>
        <v>RACK POWER STEERING</v>
      </c>
      <c r="J165" s="44" t="str">
        <f t="shared" si="25"/>
        <v>2-30JG-0711</v>
      </c>
      <c r="K165" s="59" t="str">
        <f t="shared" si="21"/>
        <v>PD25111240</v>
      </c>
      <c r="L165" s="46" t="str" cm="1">
        <f t="array" ref="L165">IFERROR(_xlfn.IFS(
    LEN($A165)-LEN(SUBSTITUTE($A165,"|",""))=12, RIGHT(A165, LEN(A165)-FIND("~", SUBSTITUTE(A165,"|","~", LEN(A165)-LEN(SUBSTITUTE(A165,"|",""))))),
    LEN($A165)-LEN(SUBSTITUTE($A165,"|",""))=13, MID($A165, FIND("~", SUBSTITUTE($A165,"|","~", 11))+1, FIND("~", SUBSTITUTE($A165,"|","~", 12))-FIND("~", SUBSTITUTE($A165,"|","~", 11))-1),
    LEN($A165)-LEN(SUBSTITUTE($A165,"|",""))=14, MID($A165, FIND("~", SUBSTITUTE($A165,"|","~", 11))+1, FIND("~", SUBSTITUTE($A165,"|","~", 12))-FIND("~", SUBSTITUTE($A165,"|","~", 11))-1)
), "")</f>
        <v>E585581</v>
      </c>
      <c r="M165" s="47" t="str">
        <f t="shared" si="19"/>
        <v>SB110157/7/25</v>
      </c>
      <c r="N165" s="46" t="str">
        <f t="shared" si="22"/>
        <v/>
      </c>
      <c r="O165" s="60">
        <v>3</v>
      </c>
      <c r="P165" s="60">
        <v>54</v>
      </c>
      <c r="Q165" s="48">
        <v>9</v>
      </c>
      <c r="R165" s="48">
        <v>37</v>
      </c>
      <c r="S165" s="48"/>
      <c r="T165" s="48"/>
      <c r="U165" s="49"/>
      <c r="V165" s="49"/>
      <c r="W165" s="50">
        <f t="shared" si="20"/>
        <v>0</v>
      </c>
      <c r="X165" s="51" t="str">
        <f>IF(A165="", "", IF(COUNTIFS(C$3:C164, C165, D$3:D164, D165, G$3:G164, G165) &gt; 0, "", "11:00"-AW165))</f>
        <v/>
      </c>
      <c r="Y165" s="52" t="str">
        <f t="shared" si="26"/>
        <v/>
      </c>
      <c r="Z165" s="53"/>
      <c r="AA165" s="54"/>
      <c r="AB165" s="53"/>
      <c r="AC165" s="54"/>
      <c r="AD165" s="53"/>
      <c r="AE165" s="54"/>
      <c r="AF165" s="53"/>
      <c r="AG165" s="54"/>
      <c r="AH165" s="55">
        <v>4.1666666666666699E-2</v>
      </c>
      <c r="AI165" s="53"/>
      <c r="AJ165" s="54"/>
      <c r="AK165" s="53"/>
      <c r="AL165" s="54"/>
      <c r="AM165" s="53"/>
      <c r="AN165" s="54"/>
      <c r="AO165" s="53"/>
      <c r="AP165" s="54"/>
      <c r="AQ165" s="53"/>
      <c r="AR165" s="54"/>
      <c r="AS165" s="53"/>
      <c r="AT165" s="54"/>
      <c r="AU165" s="53">
        <v>4.1666666666666699E-2</v>
      </c>
      <c r="AV165" s="54" t="s">
        <v>37</v>
      </c>
      <c r="AW165" s="57">
        <f t="shared" si="23"/>
        <v>4.1666666666666699E-2</v>
      </c>
      <c r="AX165" s="58" t="s">
        <v>96</v>
      </c>
    </row>
    <row r="166" spans="1:50" ht="28.5">
      <c r="A166" s="38" t="s">
        <v>210</v>
      </c>
      <c r="B166" s="39">
        <f t="shared" si="27"/>
        <v>162</v>
      </c>
      <c r="C166" s="40">
        <v>46029</v>
      </c>
      <c r="D166" s="40" t="s">
        <v>80</v>
      </c>
      <c r="E166" s="40" t="s">
        <v>81</v>
      </c>
      <c r="F166" s="41">
        <v>721.5</v>
      </c>
      <c r="G166" s="42" t="s">
        <v>66</v>
      </c>
      <c r="H166" s="43" t="str">
        <f>IFERROR(VLOOKUP($J166,'[9]FROM (3)'!$E$4:$F$230,2,FALSE),"")</f>
        <v>JCTTH</v>
      </c>
      <c r="I166" s="44" t="str">
        <f t="shared" si="24"/>
        <v>RACK POWER STEERING</v>
      </c>
      <c r="J166" s="44" t="str">
        <f t="shared" si="25"/>
        <v>2-30JG-0711</v>
      </c>
      <c r="K166" s="59" t="str">
        <f t="shared" si="21"/>
        <v>PD25111239</v>
      </c>
      <c r="L166" s="46" t="str" cm="1">
        <f t="array" ref="L166">IFERROR(_xlfn.IFS(
    LEN($A166)-LEN(SUBSTITUTE($A166,"|",""))=12, RIGHT(A166, LEN(A166)-FIND("~", SUBSTITUTE(A166,"|","~", LEN(A166)-LEN(SUBSTITUTE(A166,"|",""))))),
    LEN($A166)-LEN(SUBSTITUTE($A166,"|",""))=13, MID($A166, FIND("~", SUBSTITUTE($A166,"|","~", 11))+1, FIND("~", SUBSTITUTE($A166,"|","~", 12))-FIND("~", SUBSTITUTE($A166,"|","~", 11))-1),
    LEN($A166)-LEN(SUBSTITUTE($A166,"|",""))=14, MID($A166, FIND("~", SUBSTITUTE($A166,"|","~", 11))+1, FIND("~", SUBSTITUTE($A166,"|","~", 12))-FIND("~", SUBSTITUTE($A166,"|","~", 11))-1)
), "")</f>
        <v>E585581</v>
      </c>
      <c r="M166" s="47" t="str">
        <f t="shared" si="19"/>
        <v>SB110157/4/25</v>
      </c>
      <c r="N166" s="46" t="str">
        <f t="shared" si="22"/>
        <v/>
      </c>
      <c r="O166" s="60">
        <v>50</v>
      </c>
      <c r="P166" s="60">
        <v>876</v>
      </c>
      <c r="Q166" s="48">
        <v>200</v>
      </c>
      <c r="R166" s="48">
        <v>820</v>
      </c>
      <c r="S166" s="48"/>
      <c r="T166" s="48"/>
      <c r="U166" s="49">
        <v>95</v>
      </c>
      <c r="V166" s="49">
        <v>6</v>
      </c>
      <c r="W166" s="50">
        <f t="shared" si="20"/>
        <v>101</v>
      </c>
      <c r="X166" s="51" t="str">
        <f>IF(A166="", "", IF(COUNTIFS(C$3:C165, C166, D$3:D165, D166, G$3:G165, G166) &gt; 0, "", "11:00"-AW166))</f>
        <v/>
      </c>
      <c r="Y166" s="52" t="str">
        <f t="shared" si="26"/>
        <v/>
      </c>
      <c r="Z166" s="53"/>
      <c r="AA166" s="54"/>
      <c r="AB166" s="53"/>
      <c r="AC166" s="54"/>
      <c r="AD166" s="53"/>
      <c r="AE166" s="54"/>
      <c r="AF166" s="53"/>
      <c r="AG166" s="54"/>
      <c r="AH166" s="55">
        <v>4.1666666666666699E-2</v>
      </c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>
        <v>4.1666666666666699E-2</v>
      </c>
      <c r="AV166" s="54" t="s">
        <v>37</v>
      </c>
      <c r="AW166" s="57">
        <f t="shared" si="23"/>
        <v>4.1666666666666699E-2</v>
      </c>
      <c r="AX166" s="58" t="s">
        <v>96</v>
      </c>
    </row>
    <row r="167" spans="1:50" ht="28.5">
      <c r="A167" s="38" t="s">
        <v>211</v>
      </c>
      <c r="B167" s="39">
        <f t="shared" si="27"/>
        <v>163</v>
      </c>
      <c r="C167" s="40">
        <v>46029</v>
      </c>
      <c r="D167" s="40" t="s">
        <v>80</v>
      </c>
      <c r="E167" s="40" t="s">
        <v>81</v>
      </c>
      <c r="F167" s="41">
        <v>721.5</v>
      </c>
      <c r="G167" s="42" t="s">
        <v>66</v>
      </c>
      <c r="H167" s="43" t="str">
        <f>IFERROR(VLOOKUP($J167,'[9]FROM (3)'!$E$4:$F$230,2,FALSE),"")</f>
        <v>JCTTH</v>
      </c>
      <c r="I167" s="44" t="str">
        <f t="shared" si="24"/>
        <v>RACK POWER STEERING</v>
      </c>
      <c r="J167" s="44" t="str">
        <f t="shared" si="25"/>
        <v>2-30JG-0711</v>
      </c>
      <c r="K167" s="59" t="str">
        <f t="shared" si="21"/>
        <v>PD25111239</v>
      </c>
      <c r="L167" s="46" t="str" cm="1">
        <f t="array" ref="L167">IFERROR(_xlfn.IFS(
    LEN($A167)-LEN(SUBSTITUTE($A167,"|",""))=12, RIGHT(A167, LEN(A167)-FIND("~", SUBSTITUTE(A167,"|","~", LEN(A167)-LEN(SUBSTITUTE(A167,"|",""))))),
    LEN($A167)-LEN(SUBSTITUTE($A167,"|",""))=13, MID($A167, FIND("~", SUBSTITUTE($A167,"|","~", 11))+1, FIND("~", SUBSTITUTE($A167,"|","~", 12))-FIND("~", SUBSTITUTE($A167,"|","~", 11))-1),
    LEN($A167)-LEN(SUBSTITUTE($A167,"|",""))=14, MID($A167, FIND("~", SUBSTITUTE($A167,"|","~", 11))+1, FIND("~", SUBSTITUTE($A167,"|","~", 12))-FIND("~", SUBSTITUTE($A167,"|","~", 11))-1)
), "")</f>
        <v>E585581</v>
      </c>
      <c r="M167" s="47" t="str">
        <f t="shared" si="19"/>
        <v>SB110157/3/25</v>
      </c>
      <c r="N167" s="46" t="str">
        <f t="shared" si="22"/>
        <v/>
      </c>
      <c r="O167" s="60">
        <v>50</v>
      </c>
      <c r="P167" s="60">
        <v>876</v>
      </c>
      <c r="Q167" s="48">
        <v>200</v>
      </c>
      <c r="R167" s="48">
        <v>820</v>
      </c>
      <c r="S167" s="48"/>
      <c r="T167" s="48"/>
      <c r="U167" s="49"/>
      <c r="V167" s="49"/>
      <c r="W167" s="50">
        <f t="shared" si="20"/>
        <v>0</v>
      </c>
      <c r="X167" s="51" t="str">
        <f>IF(A167="", "", IF(COUNTIFS(C$3:C166, C167, D$3:D166, D167, G$3:G166, G167) &gt; 0, "", "11:00"-AW167))</f>
        <v/>
      </c>
      <c r="Y167" s="52" t="str">
        <f t="shared" si="26"/>
        <v/>
      </c>
      <c r="Z167" s="53"/>
      <c r="AA167" s="54"/>
      <c r="AB167" s="53"/>
      <c r="AC167" s="54"/>
      <c r="AD167" s="53"/>
      <c r="AE167" s="54"/>
      <c r="AF167" s="53"/>
      <c r="AG167" s="54"/>
      <c r="AH167" s="55">
        <v>4.1666666666666699E-2</v>
      </c>
      <c r="AI167" s="53"/>
      <c r="AJ167" s="54"/>
      <c r="AK167" s="53"/>
      <c r="AL167" s="54"/>
      <c r="AM167" s="53"/>
      <c r="AN167" s="54"/>
      <c r="AO167" s="53"/>
      <c r="AP167" s="54"/>
      <c r="AQ167" s="53"/>
      <c r="AR167" s="54"/>
      <c r="AS167" s="53"/>
      <c r="AT167" s="54"/>
      <c r="AU167" s="53">
        <v>4.1666666666666699E-2</v>
      </c>
      <c r="AV167" s="54" t="s">
        <v>37</v>
      </c>
      <c r="AW167" s="57">
        <f t="shared" si="23"/>
        <v>4.1666666666666699E-2</v>
      </c>
      <c r="AX167" s="58" t="s">
        <v>96</v>
      </c>
    </row>
    <row r="168" spans="1:50" ht="28.5">
      <c r="A168" s="38" t="s">
        <v>212</v>
      </c>
      <c r="B168" s="39">
        <f t="shared" si="27"/>
        <v>164</v>
      </c>
      <c r="C168" s="40">
        <v>46029</v>
      </c>
      <c r="D168" s="40" t="s">
        <v>80</v>
      </c>
      <c r="E168" s="40" t="s">
        <v>81</v>
      </c>
      <c r="F168" s="41">
        <v>755.4</v>
      </c>
      <c r="G168" s="42" t="s">
        <v>66</v>
      </c>
      <c r="H168" s="43" t="str">
        <f>IFERROR(VLOOKUP($J168,'[9]FROM (3)'!$E$4:$F$230,2,FALSE),"")</f>
        <v>JTCS</v>
      </c>
      <c r="I168" s="44" t="str">
        <f t="shared" si="24"/>
        <v>RACK, PS</v>
      </c>
      <c r="J168" s="44" t="str">
        <f t="shared" si="25"/>
        <v>JGD10-001260-40-1</v>
      </c>
      <c r="K168" s="59" t="str">
        <f t="shared" si="21"/>
        <v>PD26010092</v>
      </c>
      <c r="L168" s="46" t="str" cm="1">
        <f t="array" ref="L168">IFERROR(_xlfn.IFS(
    LEN($A168)-LEN(SUBSTITUTE($A168,"|",""))=12, RIGHT(A168, LEN(A168)-FIND("~", SUBSTITUTE(A168,"|","~", LEN(A168)-LEN(SUBSTITUTE(A168,"|",""))))),
    LEN($A168)-LEN(SUBSTITUTE($A168,"|",""))=13, MID($A168, FIND("~", SUBSTITUTE($A168,"|","~", 11))+1, FIND("~", SUBSTITUTE($A168,"|","~", 12))-FIND("~", SUBSTITUTE($A168,"|","~", 11))-1),
    LEN($A168)-LEN(SUBSTITUTE($A168,"|",""))=14, MID($A168, FIND("~", SUBSTITUTE($A168,"|","~", 11))+1, FIND("~", SUBSTITUTE($A168,"|","~", 12))-FIND("~", SUBSTITUTE($A168,"|","~", 11))-1)
), "")</f>
        <v>E586967</v>
      </c>
      <c r="M168" s="47" t="str">
        <f t="shared" si="19"/>
        <v>SB120195/1/25</v>
      </c>
      <c r="N168" s="46" t="str">
        <f t="shared" si="22"/>
        <v/>
      </c>
      <c r="O168" s="60">
        <v>47</v>
      </c>
      <c r="P168" s="60">
        <v>974</v>
      </c>
      <c r="Q168" s="48">
        <v>188</v>
      </c>
      <c r="R168" s="48">
        <v>910</v>
      </c>
      <c r="S168" s="48"/>
      <c r="T168" s="48"/>
      <c r="U168" s="49">
        <v>104</v>
      </c>
      <c r="V168" s="49">
        <v>6</v>
      </c>
      <c r="W168" s="50">
        <f t="shared" si="20"/>
        <v>110</v>
      </c>
      <c r="X168" s="51" t="str">
        <f>IF(A168="", "", IF(COUNTIFS(C$3:C167, C168, D$3:D167, D168, G$3:G167, G168) &gt; 0, "", "11:00"-AW168))</f>
        <v/>
      </c>
      <c r="Y168" s="52" t="str">
        <f t="shared" si="26"/>
        <v/>
      </c>
      <c r="Z168" s="53"/>
      <c r="AA168" s="54"/>
      <c r="AB168" s="53"/>
      <c r="AC168" s="54"/>
      <c r="AD168" s="53"/>
      <c r="AE168" s="54"/>
      <c r="AF168" s="53"/>
      <c r="AG168" s="54"/>
      <c r="AH168" s="55">
        <v>4.1666666666666699E-2</v>
      </c>
      <c r="AI168" s="53"/>
      <c r="AJ168" s="54"/>
      <c r="AK168" s="53"/>
      <c r="AL168" s="54"/>
      <c r="AM168" s="53"/>
      <c r="AN168" s="54"/>
      <c r="AO168" s="53"/>
      <c r="AP168" s="54"/>
      <c r="AQ168" s="53"/>
      <c r="AR168" s="54"/>
      <c r="AS168" s="53"/>
      <c r="AT168" s="54"/>
      <c r="AU168" s="53">
        <v>4.1666666666666699E-2</v>
      </c>
      <c r="AV168" s="54" t="s">
        <v>37</v>
      </c>
      <c r="AW168" s="57">
        <f t="shared" si="23"/>
        <v>4.1666666666666699E-2</v>
      </c>
      <c r="AX168" s="58" t="s">
        <v>96</v>
      </c>
    </row>
    <row r="169" spans="1:50" ht="24" customHeight="1">
      <c r="A169" s="38" t="s">
        <v>213</v>
      </c>
      <c r="B169" s="39">
        <f t="shared" si="27"/>
        <v>165</v>
      </c>
      <c r="C169" s="40">
        <v>46029</v>
      </c>
      <c r="D169" s="40" t="s">
        <v>80</v>
      </c>
      <c r="E169" s="40" t="s">
        <v>81</v>
      </c>
      <c r="F169" s="41">
        <v>755.4</v>
      </c>
      <c r="G169" s="42" t="s">
        <v>66</v>
      </c>
      <c r="H169" s="43" t="str">
        <f>IFERROR(VLOOKUP($J169,'[9]FROM (3)'!$E$4:$F$230,2,FALSE),"")</f>
        <v>JTCS</v>
      </c>
      <c r="I169" s="44" t="str">
        <f t="shared" si="24"/>
        <v>RACK, PS</v>
      </c>
      <c r="J169" s="44" t="str">
        <f t="shared" si="25"/>
        <v>JGD10-001260-40-1</v>
      </c>
      <c r="K169" s="59" t="str">
        <f t="shared" si="21"/>
        <v>PD26010092</v>
      </c>
      <c r="L169" s="46" t="str" cm="1">
        <f t="array" ref="L169">IFERROR(_xlfn.IFS(
    LEN($A169)-LEN(SUBSTITUTE($A169,"|",""))=12, RIGHT(A169, LEN(A169)-FIND("~", SUBSTITUTE(A169,"|","~", LEN(A169)-LEN(SUBSTITUTE(A169,"|",""))))),
    LEN($A169)-LEN(SUBSTITUTE($A169,"|",""))=13, MID($A169, FIND("~", SUBSTITUTE($A169,"|","~", 11))+1, FIND("~", SUBSTITUTE($A169,"|","~", 12))-FIND("~", SUBSTITUTE($A169,"|","~", 11))-1),
    LEN($A169)-LEN(SUBSTITUTE($A169,"|",""))=14, MID($A169, FIND("~", SUBSTITUTE($A169,"|","~", 11))+1, FIND("~", SUBSTITUTE($A169,"|","~", 12))-FIND("~", SUBSTITUTE($A169,"|","~", 11))-1)
), "")</f>
        <v>E586967</v>
      </c>
      <c r="M169" s="47" t="str">
        <f t="shared" si="19"/>
        <v>SB120195/2/25</v>
      </c>
      <c r="N169" s="46" t="str">
        <f t="shared" si="22"/>
        <v/>
      </c>
      <c r="O169" s="60">
        <v>47</v>
      </c>
      <c r="P169" s="60">
        <v>974</v>
      </c>
      <c r="Q169" s="48">
        <v>188</v>
      </c>
      <c r="R169" s="48">
        <v>910</v>
      </c>
      <c r="S169" s="48"/>
      <c r="T169" s="48"/>
      <c r="U169" s="49"/>
      <c r="V169" s="49"/>
      <c r="W169" s="50">
        <f t="shared" si="20"/>
        <v>0</v>
      </c>
      <c r="X169" s="51" t="str">
        <f>IF(A169="", "", IF(COUNTIFS(C$3:C168, C169, D$3:D168, D169, G$3:G168, G169) &gt; 0, "", "11:00"-AW169))</f>
        <v/>
      </c>
      <c r="Y169" s="52" t="str">
        <f t="shared" si="26"/>
        <v/>
      </c>
      <c r="Z169" s="53"/>
      <c r="AA169" s="54"/>
      <c r="AB169" s="53"/>
      <c r="AC169" s="54"/>
      <c r="AD169" s="53"/>
      <c r="AE169" s="54"/>
      <c r="AF169" s="53"/>
      <c r="AG169" s="54"/>
      <c r="AH169" s="55">
        <v>4.1666666666666699E-2</v>
      </c>
      <c r="AI169" s="53"/>
      <c r="AJ169" s="54"/>
      <c r="AK169" s="53"/>
      <c r="AL169" s="54"/>
      <c r="AM169" s="53"/>
      <c r="AN169" s="54"/>
      <c r="AO169" s="53"/>
      <c r="AP169" s="54"/>
      <c r="AQ169" s="53"/>
      <c r="AR169" s="54"/>
      <c r="AS169" s="53"/>
      <c r="AT169" s="54"/>
      <c r="AU169" s="53">
        <v>4.1666666666666699E-2</v>
      </c>
      <c r="AV169" s="54" t="s">
        <v>37</v>
      </c>
      <c r="AW169" s="57">
        <f t="shared" si="23"/>
        <v>4.1666666666666699E-2</v>
      </c>
      <c r="AX169" s="58" t="s">
        <v>96</v>
      </c>
    </row>
    <row r="170" spans="1:50" ht="28.5">
      <c r="A170" s="38" t="s">
        <v>181</v>
      </c>
      <c r="B170" s="39">
        <f t="shared" si="27"/>
        <v>166</v>
      </c>
      <c r="C170" s="40">
        <v>46029</v>
      </c>
      <c r="D170" s="40" t="s">
        <v>80</v>
      </c>
      <c r="E170" s="40" t="s">
        <v>81</v>
      </c>
      <c r="F170" s="41">
        <v>262</v>
      </c>
      <c r="G170" s="42" t="s">
        <v>108</v>
      </c>
      <c r="H170" s="43" t="str">
        <f>IFERROR(VLOOKUP($J170,'[9]FROM (3)'!$E$4:$F$230,2,FALSE),"")</f>
        <v/>
      </c>
      <c r="I170" s="44" t="str">
        <f t="shared" si="24"/>
        <v>RACK</v>
      </c>
      <c r="J170" s="44" t="str">
        <f t="shared" si="25"/>
        <v>510-30149-020</v>
      </c>
      <c r="K170" s="59" t="str">
        <f t="shared" si="21"/>
        <v>PD26010110</v>
      </c>
      <c r="L170" s="46" t="str" cm="1">
        <f t="array" ref="L170">IFERROR(_xlfn.IFS(
    LEN($A170)-LEN(SUBSTITUTE($A170,"|",""))=12, RIGHT(A170, LEN(A170)-FIND("~", SUBSTITUTE(A170,"|","~", LEN(A170)-LEN(SUBSTITUTE(A170,"|",""))))),
    LEN($A170)-LEN(SUBSTITUTE($A170,"|",""))=13, MID($A170, FIND("~", SUBSTITUTE($A170,"|","~", 11))+1, FIND("~", SUBSTITUTE($A170,"|","~", 12))-FIND("~", SUBSTITUTE($A170,"|","~", 11))-1),
    LEN($A170)-LEN(SUBSTITUTE($A170,"|",""))=14, MID($A170, FIND("~", SUBSTITUTE($A170,"|","~", 11))+1, FIND("~", SUBSTITUTE($A170,"|","~", 12))-FIND("~", SUBSTITUTE($A170,"|","~", 11))-1)
), "")</f>
        <v>5C1361</v>
      </c>
      <c r="M170" s="47" t="str">
        <f t="shared" si="19"/>
        <v>SB010002/2/26</v>
      </c>
      <c r="N170" s="46" t="str">
        <f t="shared" si="22"/>
        <v/>
      </c>
      <c r="O170" s="60" t="s">
        <v>35</v>
      </c>
      <c r="P170" s="60" t="s">
        <v>35</v>
      </c>
      <c r="Q170" s="48">
        <v>141</v>
      </c>
      <c r="R170" s="48">
        <v>231</v>
      </c>
      <c r="S170" s="48" t="s">
        <v>35</v>
      </c>
      <c r="T170" s="48"/>
      <c r="U170" s="49"/>
      <c r="V170" s="49"/>
      <c r="W170" s="50">
        <f t="shared" si="20"/>
        <v>0</v>
      </c>
      <c r="X170" s="51">
        <f>IF(A170="", "", IF(COUNTIFS(C$3:C169, C170, D$3:D169, D170, G$3:G169, G170) &gt; 0, "", "11:00"-AW170))</f>
        <v>0.37499999999999994</v>
      </c>
      <c r="Y170" s="52" t="str">
        <f t="shared" si="26"/>
        <v>1:40</v>
      </c>
      <c r="Z170" s="53"/>
      <c r="AA170" s="54"/>
      <c r="AB170" s="53"/>
      <c r="AC170" s="54"/>
      <c r="AD170" s="53"/>
      <c r="AE170" s="54"/>
      <c r="AF170" s="53"/>
      <c r="AG170" s="54"/>
      <c r="AH170" s="55">
        <v>4.1666666666666699E-2</v>
      </c>
      <c r="AI170" s="53">
        <v>4.1666666666666664E-2</v>
      </c>
      <c r="AJ170" s="54" t="s">
        <v>136</v>
      </c>
      <c r="AK170" s="53"/>
      <c r="AL170" s="54"/>
      <c r="AM170" s="53"/>
      <c r="AN170" s="54"/>
      <c r="AO170" s="53"/>
      <c r="AP170" s="54"/>
      <c r="AQ170" s="53"/>
      <c r="AR170" s="54"/>
      <c r="AS170" s="53"/>
      <c r="AT170" s="54"/>
      <c r="AU170" s="53">
        <v>4.1666666666666699E-2</v>
      </c>
      <c r="AV170" s="54" t="s">
        <v>37</v>
      </c>
      <c r="AW170" s="57">
        <f t="shared" si="23"/>
        <v>8.333333333333337E-2</v>
      </c>
      <c r="AX170" s="58" t="s">
        <v>109</v>
      </c>
    </row>
    <row r="171" spans="1:50" ht="28.5">
      <c r="A171" s="38" t="s">
        <v>214</v>
      </c>
      <c r="B171" s="39">
        <f t="shared" si="27"/>
        <v>167</v>
      </c>
      <c r="C171" s="40">
        <v>46029</v>
      </c>
      <c r="D171" s="40" t="s">
        <v>80</v>
      </c>
      <c r="E171" s="40" t="s">
        <v>81</v>
      </c>
      <c r="F171" s="41">
        <v>262</v>
      </c>
      <c r="G171" s="42" t="s">
        <v>108</v>
      </c>
      <c r="H171" s="43" t="str">
        <f>IFERROR(VLOOKUP($J171,'[9]FROM (3)'!$E$4:$F$230,2,FALSE),"")</f>
        <v/>
      </c>
      <c r="I171" s="44" t="str">
        <f t="shared" si="24"/>
        <v>RACK</v>
      </c>
      <c r="J171" s="44" t="str">
        <f t="shared" si="25"/>
        <v>510-30149-020</v>
      </c>
      <c r="K171" s="59" t="str">
        <f t="shared" si="21"/>
        <v>PD26010110</v>
      </c>
      <c r="L171" s="46" t="str" cm="1">
        <f t="array" ref="L171">IFERROR(_xlfn.IFS(
    LEN($A171)-LEN(SUBSTITUTE($A171,"|",""))=12, RIGHT(A171, LEN(A171)-FIND("~", SUBSTITUTE(A171,"|","~", LEN(A171)-LEN(SUBSTITUTE(A171,"|",""))))),
    LEN($A171)-LEN(SUBSTITUTE($A171,"|",""))=13, MID($A171, FIND("~", SUBSTITUTE($A171,"|","~", 11))+1, FIND("~", SUBSTITUTE($A171,"|","~", 12))-FIND("~", SUBSTITUTE($A171,"|","~", 11))-1),
    LEN($A171)-LEN(SUBSTITUTE($A171,"|",""))=14, MID($A171, FIND("~", SUBSTITUTE($A171,"|","~", 11))+1, FIND("~", SUBSTITUTE($A171,"|","~", 12))-FIND("~", SUBSTITUTE($A171,"|","~", 11))-1)
), "")</f>
        <v>5C1361</v>
      </c>
      <c r="M171" s="47" t="str">
        <f t="shared" si="19"/>
        <v>SB010002/3/26</v>
      </c>
      <c r="N171" s="46" t="str">
        <f t="shared" si="22"/>
        <v/>
      </c>
      <c r="O171" s="60">
        <v>40</v>
      </c>
      <c r="P171" s="60">
        <v>785</v>
      </c>
      <c r="Q171" s="48">
        <v>440</v>
      </c>
      <c r="R171" s="48">
        <v>719</v>
      </c>
      <c r="S171" s="48" t="s">
        <v>35</v>
      </c>
      <c r="T171" s="48"/>
      <c r="U171" s="49">
        <v>177</v>
      </c>
      <c r="V171" s="49">
        <v>18</v>
      </c>
      <c r="W171" s="50">
        <f t="shared" si="20"/>
        <v>195</v>
      </c>
      <c r="X171" s="51" t="str">
        <f>IF(A171="", "", IF(COUNTIFS(C$3:C170, C171, D$3:D170, D171, G$3:G170, G171) &gt; 0, "", "11:00"-AW171))</f>
        <v/>
      </c>
      <c r="Y171" s="52" t="str">
        <f t="shared" si="26"/>
        <v/>
      </c>
      <c r="Z171" s="53"/>
      <c r="AA171" s="54"/>
      <c r="AB171" s="53"/>
      <c r="AC171" s="54"/>
      <c r="AD171" s="53"/>
      <c r="AE171" s="54"/>
      <c r="AF171" s="53"/>
      <c r="AG171" s="54"/>
      <c r="AH171" s="55">
        <v>4.1666666666666699E-2</v>
      </c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>
        <v>4.1666666666666699E-2</v>
      </c>
      <c r="AV171" s="54" t="s">
        <v>37</v>
      </c>
      <c r="AW171" s="57">
        <f t="shared" si="23"/>
        <v>4.1666666666666699E-2</v>
      </c>
      <c r="AX171" s="58" t="s">
        <v>109</v>
      </c>
    </row>
    <row r="172" spans="1:50" ht="28.5">
      <c r="A172" s="38" t="s">
        <v>215</v>
      </c>
      <c r="B172" s="39">
        <f t="shared" si="27"/>
        <v>168</v>
      </c>
      <c r="C172" s="40">
        <v>46029</v>
      </c>
      <c r="D172" s="40" t="s">
        <v>80</v>
      </c>
      <c r="E172" s="40" t="s">
        <v>81</v>
      </c>
      <c r="F172" s="41">
        <v>262</v>
      </c>
      <c r="G172" s="42" t="s">
        <v>108</v>
      </c>
      <c r="H172" s="43" t="str">
        <f>IFERROR(VLOOKUP($J172,'[9]FROM (3)'!$E$4:$F$230,2,FALSE),"")</f>
        <v/>
      </c>
      <c r="I172" s="44" t="str">
        <f t="shared" si="24"/>
        <v>RACK</v>
      </c>
      <c r="J172" s="44" t="str">
        <f t="shared" si="25"/>
        <v>510-30149-020</v>
      </c>
      <c r="K172" s="59" t="str">
        <f t="shared" si="21"/>
        <v>PD26010111</v>
      </c>
      <c r="L172" s="46" t="str" cm="1">
        <f t="array" ref="L172">IFERROR(_xlfn.IFS(
    LEN($A172)-LEN(SUBSTITUTE($A172,"|",""))=12, RIGHT(A172, LEN(A172)-FIND("~", SUBSTITUTE(A172,"|","~", LEN(A172)-LEN(SUBSTITUTE(A172,"|",""))))),
    LEN($A172)-LEN(SUBSTITUTE($A172,"|",""))=13, MID($A172, FIND("~", SUBSTITUTE($A172,"|","~", 11))+1, FIND("~", SUBSTITUTE($A172,"|","~", 12))-FIND("~", SUBSTITUTE($A172,"|","~", 11))-1),
    LEN($A172)-LEN(SUBSTITUTE($A172,"|",""))=14, MID($A172, FIND("~", SUBSTITUTE($A172,"|","~", 11))+1, FIND("~", SUBSTITUTE($A172,"|","~", 12))-FIND("~", SUBSTITUTE($A172,"|","~", 11))-1)
), "")</f>
        <v>5C1361</v>
      </c>
      <c r="M172" s="47" t="str">
        <f t="shared" si="19"/>
        <v>SB010002/4/26</v>
      </c>
      <c r="N172" s="46" t="str">
        <f t="shared" si="22"/>
        <v/>
      </c>
      <c r="O172" s="60">
        <v>40</v>
      </c>
      <c r="P172" s="60">
        <v>785</v>
      </c>
      <c r="Q172" s="48">
        <v>440</v>
      </c>
      <c r="R172" s="48">
        <v>719</v>
      </c>
      <c r="S172" s="48" t="s">
        <v>35</v>
      </c>
      <c r="T172" s="48"/>
      <c r="U172" s="49"/>
      <c r="V172" s="49"/>
      <c r="W172" s="50">
        <f t="shared" si="20"/>
        <v>0</v>
      </c>
      <c r="X172" s="51" t="str">
        <f>IF(A172="", "", IF(COUNTIFS(C$3:C171, C172, D$3:D171, D172, G$3:G171, G172) &gt; 0, "", "11:00"-AW172))</f>
        <v/>
      </c>
      <c r="Y172" s="52" t="str">
        <f t="shared" si="26"/>
        <v/>
      </c>
      <c r="Z172" s="53"/>
      <c r="AA172" s="54"/>
      <c r="AB172" s="53"/>
      <c r="AC172" s="54"/>
      <c r="AD172" s="53"/>
      <c r="AE172" s="54"/>
      <c r="AF172" s="53"/>
      <c r="AG172" s="54"/>
      <c r="AH172" s="55">
        <v>4.1666666666666699E-2</v>
      </c>
      <c r="AI172" s="53"/>
      <c r="AJ172" s="54"/>
      <c r="AK172" s="53"/>
      <c r="AL172" s="54"/>
      <c r="AM172" s="53"/>
      <c r="AN172" s="54"/>
      <c r="AO172" s="53"/>
      <c r="AP172" s="54"/>
      <c r="AQ172" s="53"/>
      <c r="AR172" s="54"/>
      <c r="AS172" s="53"/>
      <c r="AT172" s="54"/>
      <c r="AU172" s="53">
        <v>4.1666666666666699E-2</v>
      </c>
      <c r="AV172" s="54" t="s">
        <v>37</v>
      </c>
      <c r="AW172" s="57">
        <f t="shared" si="23"/>
        <v>4.1666666666666699E-2</v>
      </c>
      <c r="AX172" s="58" t="s">
        <v>109</v>
      </c>
    </row>
    <row r="173" spans="1:50" ht="21.75" customHeight="1">
      <c r="A173" s="38" t="s">
        <v>216</v>
      </c>
      <c r="B173" s="39">
        <f t="shared" si="27"/>
        <v>169</v>
      </c>
      <c r="C173" s="40">
        <v>46029</v>
      </c>
      <c r="D173" s="40" t="s">
        <v>80</v>
      </c>
      <c r="E173" s="40" t="s">
        <v>81</v>
      </c>
      <c r="F173" s="41">
        <v>262</v>
      </c>
      <c r="G173" s="42" t="s">
        <v>108</v>
      </c>
      <c r="H173" s="43" t="str">
        <f>IFERROR(VLOOKUP($J173,'[9]FROM (3)'!$E$4:$F$230,2,FALSE),"")</f>
        <v/>
      </c>
      <c r="I173" s="44" t="str">
        <f t="shared" si="24"/>
        <v>RACK</v>
      </c>
      <c r="J173" s="44" t="str">
        <f t="shared" si="25"/>
        <v>510-30149-020</v>
      </c>
      <c r="K173" s="59" t="str">
        <f t="shared" si="21"/>
        <v>PD26010111</v>
      </c>
      <c r="L173" s="46" t="str" cm="1">
        <f t="array" ref="L173">IFERROR(_xlfn.IFS(
    LEN($A173)-LEN(SUBSTITUTE($A173,"|",""))=12, RIGHT(A173, LEN(A173)-FIND("~", SUBSTITUTE(A173,"|","~", LEN(A173)-LEN(SUBSTITUTE(A173,"|",""))))),
    LEN($A173)-LEN(SUBSTITUTE($A173,"|",""))=13, MID($A173, FIND("~", SUBSTITUTE($A173,"|","~", 11))+1, FIND("~", SUBSTITUTE($A173,"|","~", 12))-FIND("~", SUBSTITUTE($A173,"|","~", 11))-1),
    LEN($A173)-LEN(SUBSTITUTE($A173,"|",""))=14, MID($A173, FIND("~", SUBSTITUTE($A173,"|","~", 11))+1, FIND("~", SUBSTITUTE($A173,"|","~", 12))-FIND("~", SUBSTITUTE($A173,"|","~", 11))-1)
), "")</f>
        <v>5C1361</v>
      </c>
      <c r="M173" s="47" t="str">
        <f t="shared" si="19"/>
        <v>SB010002/5/26</v>
      </c>
      <c r="N173" s="46" t="str">
        <f t="shared" si="22"/>
        <v/>
      </c>
      <c r="O173" s="60">
        <v>40</v>
      </c>
      <c r="P173" s="60">
        <v>785</v>
      </c>
      <c r="Q173" s="48">
        <v>440</v>
      </c>
      <c r="R173" s="48">
        <v>719</v>
      </c>
      <c r="S173" s="48" t="s">
        <v>35</v>
      </c>
      <c r="T173" s="48"/>
      <c r="U173" s="49"/>
      <c r="V173" s="49"/>
      <c r="W173" s="50">
        <f t="shared" si="20"/>
        <v>0</v>
      </c>
      <c r="X173" s="51" t="str">
        <f>IF(A173="", "", IF(COUNTIFS(C$3:C172, C173, D$3:D172, D173, G$3:G172, G173) &gt; 0, "", "11:00"-AW173))</f>
        <v/>
      </c>
      <c r="Y173" s="52" t="str">
        <f t="shared" si="26"/>
        <v/>
      </c>
      <c r="Z173" s="53"/>
      <c r="AA173" s="54"/>
      <c r="AB173" s="53"/>
      <c r="AC173" s="54"/>
      <c r="AD173" s="53"/>
      <c r="AE173" s="54"/>
      <c r="AF173" s="53"/>
      <c r="AG173" s="54"/>
      <c r="AH173" s="55">
        <v>4.1666666666666699E-2</v>
      </c>
      <c r="AI173" s="53"/>
      <c r="AJ173" s="54"/>
      <c r="AK173" s="53"/>
      <c r="AL173" s="54"/>
      <c r="AM173" s="53"/>
      <c r="AN173" s="54"/>
      <c r="AO173" s="53"/>
      <c r="AP173" s="54"/>
      <c r="AQ173" s="53"/>
      <c r="AR173" s="54"/>
      <c r="AS173" s="53"/>
      <c r="AT173" s="54"/>
      <c r="AU173" s="53">
        <v>4.1666666666666699E-2</v>
      </c>
      <c r="AV173" s="54" t="s">
        <v>37</v>
      </c>
      <c r="AW173" s="57">
        <f t="shared" si="23"/>
        <v>4.1666666666666699E-2</v>
      </c>
      <c r="AX173" s="58" t="s">
        <v>109</v>
      </c>
    </row>
    <row r="174" spans="1:50" ht="28.5">
      <c r="A174" s="38" t="s">
        <v>217</v>
      </c>
      <c r="B174" s="39">
        <f t="shared" si="27"/>
        <v>170</v>
      </c>
      <c r="C174" s="40">
        <v>46029</v>
      </c>
      <c r="D174" s="40" t="s">
        <v>80</v>
      </c>
      <c r="E174" s="40" t="s">
        <v>81</v>
      </c>
      <c r="F174" s="41">
        <v>262</v>
      </c>
      <c r="G174" s="42" t="s">
        <v>108</v>
      </c>
      <c r="H174" s="43" t="str">
        <f>IFERROR(VLOOKUP($J174,'[9]FROM (3)'!$E$4:$F$230,2,FALSE),"")</f>
        <v/>
      </c>
      <c r="I174" s="44" t="str">
        <f t="shared" si="24"/>
        <v>RACK</v>
      </c>
      <c r="J174" s="44" t="str">
        <f t="shared" si="25"/>
        <v>510-30149-020</v>
      </c>
      <c r="K174" s="59" t="str">
        <f t="shared" si="21"/>
        <v>PD26010111</v>
      </c>
      <c r="L174" s="46" t="str" cm="1">
        <f t="array" ref="L174">IFERROR(_xlfn.IFS(
    LEN($A174)-LEN(SUBSTITUTE($A174,"|",""))=12, RIGHT(A174, LEN(A174)-FIND("~", SUBSTITUTE(A174,"|","~", LEN(A174)-LEN(SUBSTITUTE(A174,"|",""))))),
    LEN($A174)-LEN(SUBSTITUTE($A174,"|",""))=13, MID($A174, FIND("~", SUBSTITUTE($A174,"|","~", 11))+1, FIND("~", SUBSTITUTE($A174,"|","~", 12))-FIND("~", SUBSTITUTE($A174,"|","~", 11))-1),
    LEN($A174)-LEN(SUBSTITUTE($A174,"|",""))=14, MID($A174, FIND("~", SUBSTITUTE($A174,"|","~", 11))+1, FIND("~", SUBSTITUTE($A174,"|","~", 12))-FIND("~", SUBSTITUTE($A174,"|","~", 11))-1)
), "")</f>
        <v>5C1361</v>
      </c>
      <c r="M174" s="47" t="str">
        <f t="shared" si="19"/>
        <v>SB010002/6/26</v>
      </c>
      <c r="N174" s="46" t="str">
        <f t="shared" si="22"/>
        <v/>
      </c>
      <c r="O174" s="60">
        <v>40</v>
      </c>
      <c r="P174" s="60">
        <v>785</v>
      </c>
      <c r="Q174" s="48">
        <v>83</v>
      </c>
      <c r="R174" s="48">
        <v>136</v>
      </c>
      <c r="S174" s="48" t="s">
        <v>35</v>
      </c>
      <c r="T174" s="48"/>
      <c r="U174" s="49"/>
      <c r="V174" s="49"/>
      <c r="W174" s="50">
        <f t="shared" si="20"/>
        <v>0</v>
      </c>
      <c r="X174" s="51" t="str">
        <f>IF(A174="", "", IF(COUNTIFS(C$3:C173, C174, D$3:D173, D174, G$3:G173, G174) &gt; 0, "", "11:00"-AW174))</f>
        <v/>
      </c>
      <c r="Y174" s="52" t="str">
        <f t="shared" si="26"/>
        <v/>
      </c>
      <c r="Z174" s="53"/>
      <c r="AA174" s="54"/>
      <c r="AB174" s="53"/>
      <c r="AC174" s="54"/>
      <c r="AD174" s="53"/>
      <c r="AE174" s="54"/>
      <c r="AF174" s="53"/>
      <c r="AG174" s="54"/>
      <c r="AH174" s="55">
        <v>4.1666666666666699E-2</v>
      </c>
      <c r="AI174" s="53"/>
      <c r="AJ174" s="54"/>
      <c r="AK174" s="53"/>
      <c r="AL174" s="54"/>
      <c r="AM174" s="53"/>
      <c r="AN174" s="54"/>
      <c r="AO174" s="53"/>
      <c r="AP174" s="54"/>
      <c r="AQ174" s="53"/>
      <c r="AR174" s="54"/>
      <c r="AS174" s="53"/>
      <c r="AT174" s="54"/>
      <c r="AU174" s="53">
        <v>4.1666666666666664E-2</v>
      </c>
      <c r="AV174" s="54" t="s">
        <v>37</v>
      </c>
      <c r="AW174" s="57">
        <f t="shared" si="23"/>
        <v>4.1666666666666664E-2</v>
      </c>
      <c r="AX174" s="58" t="s">
        <v>109</v>
      </c>
    </row>
    <row r="175" spans="1:50" ht="28.5">
      <c r="A175" s="38" t="s">
        <v>218</v>
      </c>
      <c r="B175" s="39">
        <f t="shared" si="27"/>
        <v>171</v>
      </c>
      <c r="C175" s="40">
        <v>46029</v>
      </c>
      <c r="D175" s="40" t="s">
        <v>80</v>
      </c>
      <c r="E175" s="40" t="s">
        <v>81</v>
      </c>
      <c r="F175" s="41">
        <v>765.7</v>
      </c>
      <c r="G175" s="42" t="s">
        <v>75</v>
      </c>
      <c r="H175" s="43" t="str">
        <f>IFERROR(VLOOKUP($J175,'[9]FROM (3)'!$E$4:$F$230,2,FALSE),"")</f>
        <v>JTCS</v>
      </c>
      <c r="I175" s="44" t="str">
        <f t="shared" si="24"/>
        <v>RACK, PS</v>
      </c>
      <c r="J175" s="44" t="str">
        <f t="shared" si="25"/>
        <v>JGD10S00670-B</v>
      </c>
      <c r="K175" s="59" t="str">
        <f t="shared" si="21"/>
        <v>PD25121284</v>
      </c>
      <c r="L175" s="46" t="str" cm="1">
        <f t="array" ref="L175">IFERROR(_xlfn.IFS(
    LEN($A175)-LEN(SUBSTITUTE($A175,"|",""))=12, RIGHT(A175, LEN(A175)-FIND("~", SUBSTITUTE(A175,"|","~", LEN(A175)-LEN(SUBSTITUTE(A175,"|",""))))),
    LEN($A175)-LEN(SUBSTITUTE($A175,"|",""))=13, MID($A175, FIND("~", SUBSTITUTE($A175,"|","~", 11))+1, FIND("~", SUBSTITUTE($A175,"|","~", 12))-FIND("~", SUBSTITUTE($A175,"|","~", 11))-1),
    LEN($A175)-LEN(SUBSTITUTE($A175,"|",""))=14, MID($A175, FIND("~", SUBSTITUTE($A175,"|","~", 11))+1, FIND("~", SUBSTITUTE($A175,"|","~", 12))-FIND("~", SUBSTITUTE($A175,"|","~", 11))-1)
), "")</f>
        <v>E586447</v>
      </c>
      <c r="M175" s="47" t="str">
        <f t="shared" si="19"/>
        <v>SB120181/1/25</v>
      </c>
      <c r="N175" s="46" t="str">
        <f t="shared" si="22"/>
        <v/>
      </c>
      <c r="O175" s="60">
        <v>25</v>
      </c>
      <c r="P175" s="60">
        <v>888</v>
      </c>
      <c r="Q175" s="48">
        <v>175</v>
      </c>
      <c r="R175" s="48">
        <v>859</v>
      </c>
      <c r="S175" s="48"/>
      <c r="T175" s="48"/>
      <c r="U175" s="49"/>
      <c r="V175" s="49"/>
      <c r="W175" s="50">
        <f t="shared" si="20"/>
        <v>0</v>
      </c>
      <c r="X175" s="51">
        <f>IF(A175="", "", IF(COUNTIFS(C$3:C174, C175, D$3:D174, D175, G$3:G174, G175) &gt; 0, "", "11:00"-AW175))</f>
        <v>0.41666666666666663</v>
      </c>
      <c r="Y175" s="52" t="str">
        <f t="shared" si="26"/>
        <v>1:40</v>
      </c>
      <c r="Z175" s="53"/>
      <c r="AA175" s="54"/>
      <c r="AB175" s="53"/>
      <c r="AC175" s="54"/>
      <c r="AD175" s="53"/>
      <c r="AE175" s="54"/>
      <c r="AF175" s="53"/>
      <c r="AG175" s="54"/>
      <c r="AH175" s="55">
        <v>4.1666666666666699E-2</v>
      </c>
      <c r="AI175" s="53"/>
      <c r="AJ175" s="54"/>
      <c r="AK175" s="53"/>
      <c r="AL175" s="54"/>
      <c r="AM175" s="53"/>
      <c r="AN175" s="54"/>
      <c r="AO175" s="53"/>
      <c r="AP175" s="54"/>
      <c r="AQ175" s="53"/>
      <c r="AR175" s="54"/>
      <c r="AS175" s="53"/>
      <c r="AT175" s="54"/>
      <c r="AU175" s="53">
        <v>4.1666666666666699E-2</v>
      </c>
      <c r="AV175" s="54" t="s">
        <v>37</v>
      </c>
      <c r="AW175" s="57">
        <f t="shared" si="23"/>
        <v>4.1666666666666699E-2</v>
      </c>
      <c r="AX175" s="58" t="s">
        <v>101</v>
      </c>
    </row>
    <row r="176" spans="1:50" ht="24.75" customHeight="1">
      <c r="A176" s="38" t="s">
        <v>219</v>
      </c>
      <c r="B176" s="39">
        <f t="shared" si="27"/>
        <v>172</v>
      </c>
      <c r="C176" s="40">
        <v>46029</v>
      </c>
      <c r="D176" s="40" t="s">
        <v>80</v>
      </c>
      <c r="E176" s="40" t="s">
        <v>81</v>
      </c>
      <c r="F176" s="41">
        <v>765.7</v>
      </c>
      <c r="G176" s="42" t="s">
        <v>75</v>
      </c>
      <c r="H176" s="43" t="str">
        <f>IFERROR(VLOOKUP($J176,'[9]FROM (3)'!$E$4:$F$230,2,FALSE),"")</f>
        <v>JTCS</v>
      </c>
      <c r="I176" s="44" t="str">
        <f t="shared" si="24"/>
        <v>RACK, PS</v>
      </c>
      <c r="J176" s="44" t="str">
        <f t="shared" si="25"/>
        <v>JGD10S00670-B</v>
      </c>
      <c r="K176" s="59" t="str">
        <f t="shared" si="21"/>
        <v>PD25121284</v>
      </c>
      <c r="L176" s="46" t="str" cm="1">
        <f t="array" ref="L176">IFERROR(_xlfn.IFS(
    LEN($A176)-LEN(SUBSTITUTE($A176,"|",""))=12, RIGHT(A176, LEN(A176)-FIND("~", SUBSTITUTE(A176,"|","~", LEN(A176)-LEN(SUBSTITUTE(A176,"|",""))))),
    LEN($A176)-LEN(SUBSTITUTE($A176,"|",""))=13, MID($A176, FIND("~", SUBSTITUTE($A176,"|","~", 11))+1, FIND("~", SUBSTITUTE($A176,"|","~", 12))-FIND("~", SUBSTITUTE($A176,"|","~", 11))-1),
    LEN($A176)-LEN(SUBSTITUTE($A176,"|",""))=14, MID($A176, FIND("~", SUBSTITUTE($A176,"|","~", 11))+1, FIND("~", SUBSTITUTE($A176,"|","~", 12))-FIND("~", SUBSTITUTE($A176,"|","~", 11))-1)
), "")</f>
        <v>E586447</v>
      </c>
      <c r="M176" s="47" t="str">
        <f t="shared" si="19"/>
        <v>SB120181/2/25</v>
      </c>
      <c r="N176" s="46" t="str">
        <f t="shared" si="22"/>
        <v/>
      </c>
      <c r="O176" s="60">
        <v>25</v>
      </c>
      <c r="P176" s="60">
        <v>888</v>
      </c>
      <c r="Q176" s="48">
        <v>175</v>
      </c>
      <c r="R176" s="48">
        <v>859</v>
      </c>
      <c r="S176" s="48"/>
      <c r="T176" s="48"/>
      <c r="U176" s="49"/>
      <c r="V176" s="49"/>
      <c r="W176" s="50">
        <f t="shared" si="20"/>
        <v>0</v>
      </c>
      <c r="X176" s="51" t="str">
        <f>IF(A176="", "", IF(COUNTIFS(C$3:C175, C176, D$3:D175, D176, G$3:G175, G176) &gt; 0, "", "11:00"-AW176))</f>
        <v/>
      </c>
      <c r="Y176" s="52" t="str">
        <f t="shared" si="26"/>
        <v/>
      </c>
      <c r="Z176" s="53"/>
      <c r="AA176" s="54"/>
      <c r="AB176" s="53"/>
      <c r="AC176" s="54"/>
      <c r="AD176" s="53"/>
      <c r="AE176" s="54"/>
      <c r="AF176" s="53"/>
      <c r="AG176" s="54"/>
      <c r="AH176" s="55">
        <v>4.1666666666666699E-2</v>
      </c>
      <c r="AI176" s="53"/>
      <c r="AJ176" s="54"/>
      <c r="AK176" s="53"/>
      <c r="AL176" s="54"/>
      <c r="AM176" s="53"/>
      <c r="AN176" s="54"/>
      <c r="AO176" s="53"/>
      <c r="AP176" s="54"/>
      <c r="AQ176" s="53"/>
      <c r="AR176" s="54"/>
      <c r="AS176" s="53"/>
      <c r="AT176" s="54"/>
      <c r="AU176" s="53">
        <v>4.1666666666666699E-2</v>
      </c>
      <c r="AV176" s="54" t="s">
        <v>37</v>
      </c>
      <c r="AW176" s="57">
        <f t="shared" si="23"/>
        <v>4.1666666666666699E-2</v>
      </c>
      <c r="AX176" s="58" t="s">
        <v>101</v>
      </c>
    </row>
    <row r="177" spans="1:50" ht="28.5">
      <c r="A177" s="38" t="s">
        <v>220</v>
      </c>
      <c r="B177" s="39">
        <f t="shared" si="27"/>
        <v>173</v>
      </c>
      <c r="C177" s="40">
        <v>46029</v>
      </c>
      <c r="D177" s="40" t="s">
        <v>80</v>
      </c>
      <c r="E177" s="40" t="s">
        <v>81</v>
      </c>
      <c r="F177" s="41">
        <v>765.7</v>
      </c>
      <c r="G177" s="42" t="s">
        <v>75</v>
      </c>
      <c r="H177" s="43" t="str">
        <f>IFERROR(VLOOKUP($J177,'[9]FROM (3)'!$E$4:$F$230,2,FALSE),"")</f>
        <v>JTCS</v>
      </c>
      <c r="I177" s="44" t="str">
        <f t="shared" si="24"/>
        <v>RACK, PS</v>
      </c>
      <c r="J177" s="44" t="str">
        <f t="shared" si="25"/>
        <v>JGD10S00670-B</v>
      </c>
      <c r="K177" s="59" t="str">
        <f t="shared" si="21"/>
        <v>PD25121284</v>
      </c>
      <c r="L177" s="46" t="str" cm="1">
        <f t="array" ref="L177">IFERROR(_xlfn.IFS(
    LEN($A177)-LEN(SUBSTITUTE($A177,"|",""))=12, RIGHT(A177, LEN(A177)-FIND("~", SUBSTITUTE(A177,"|","~", LEN(A177)-LEN(SUBSTITUTE(A177,"|",""))))),
    LEN($A177)-LEN(SUBSTITUTE($A177,"|",""))=13, MID($A177, FIND("~", SUBSTITUTE($A177,"|","~", 11))+1, FIND("~", SUBSTITUTE($A177,"|","~", 12))-FIND("~", SUBSTITUTE($A177,"|","~", 11))-1),
    LEN($A177)-LEN(SUBSTITUTE($A177,"|",""))=14, MID($A177, FIND("~", SUBSTITUTE($A177,"|","~", 11))+1, FIND("~", SUBSTITUTE($A177,"|","~", 12))-FIND("~", SUBSTITUTE($A177,"|","~", 11))-1)
), "")</f>
        <v>E586447</v>
      </c>
      <c r="M177" s="47" t="str">
        <f t="shared" si="19"/>
        <v>SB120181/3/25</v>
      </c>
      <c r="N177" s="46" t="str">
        <f t="shared" si="22"/>
        <v/>
      </c>
      <c r="O177" s="60">
        <v>25</v>
      </c>
      <c r="P177" s="60">
        <v>888</v>
      </c>
      <c r="Q177" s="48">
        <v>175</v>
      </c>
      <c r="R177" s="48">
        <v>859</v>
      </c>
      <c r="S177" s="48"/>
      <c r="T177" s="48"/>
      <c r="U177" s="49">
        <v>80</v>
      </c>
      <c r="V177" s="49">
        <v>8</v>
      </c>
      <c r="W177" s="50">
        <f t="shared" si="20"/>
        <v>88</v>
      </c>
      <c r="X177" s="51" t="str">
        <f>IF(A177="", "", IF(COUNTIFS(C$3:C176, C177, D$3:D176, D177, G$3:G176, G177) &gt; 0, "", "11:00"-AW177))</f>
        <v/>
      </c>
      <c r="Y177" s="52" t="str">
        <f t="shared" si="26"/>
        <v/>
      </c>
      <c r="Z177" s="53"/>
      <c r="AA177" s="54"/>
      <c r="AB177" s="53"/>
      <c r="AC177" s="54"/>
      <c r="AD177" s="53"/>
      <c r="AE177" s="54"/>
      <c r="AF177" s="53"/>
      <c r="AG177" s="54"/>
      <c r="AH177" s="55">
        <v>4.1666666666666699E-2</v>
      </c>
      <c r="AI177" s="53"/>
      <c r="AJ177" s="54"/>
      <c r="AK177" s="53"/>
      <c r="AL177" s="54"/>
      <c r="AM177" s="53"/>
      <c r="AN177" s="54"/>
      <c r="AO177" s="53"/>
      <c r="AP177" s="54"/>
      <c r="AQ177" s="53"/>
      <c r="AR177" s="54"/>
      <c r="AS177" s="53"/>
      <c r="AT177" s="54"/>
      <c r="AU177" s="53">
        <v>4.1666666666666699E-2</v>
      </c>
      <c r="AV177" s="54" t="s">
        <v>37</v>
      </c>
      <c r="AW177" s="57">
        <f t="shared" si="23"/>
        <v>4.1666666666666699E-2</v>
      </c>
      <c r="AX177" s="58" t="s">
        <v>101</v>
      </c>
    </row>
    <row r="178" spans="1:50" ht="28.5">
      <c r="A178" s="38" t="s">
        <v>221</v>
      </c>
      <c r="B178" s="39">
        <f t="shared" si="27"/>
        <v>174</v>
      </c>
      <c r="C178" s="40">
        <v>46029</v>
      </c>
      <c r="D178" s="40" t="s">
        <v>80</v>
      </c>
      <c r="E178" s="40" t="s">
        <v>81</v>
      </c>
      <c r="F178" s="41">
        <v>765.7</v>
      </c>
      <c r="G178" s="42" t="s">
        <v>75</v>
      </c>
      <c r="H178" s="43" t="str">
        <f>IFERROR(VLOOKUP($J178,'[9]FROM (3)'!$E$4:$F$230,2,FALSE),"")</f>
        <v>JTCS</v>
      </c>
      <c r="I178" s="44" t="str">
        <f t="shared" si="24"/>
        <v>RACK, PS</v>
      </c>
      <c r="J178" s="44" t="str">
        <f t="shared" si="25"/>
        <v>JGD10S00670-B</v>
      </c>
      <c r="K178" s="59" t="str">
        <f t="shared" si="21"/>
        <v>PD25121285</v>
      </c>
      <c r="L178" s="46" t="str" cm="1">
        <f t="array" ref="L178">IFERROR(_xlfn.IFS(
    LEN($A178)-LEN(SUBSTITUTE($A178,"|",""))=12, RIGHT(A178, LEN(A178)-FIND("~", SUBSTITUTE(A178,"|","~", LEN(A178)-LEN(SUBSTITUTE(A178,"|",""))))),
    LEN($A178)-LEN(SUBSTITUTE($A178,"|",""))=13, MID($A178, FIND("~", SUBSTITUTE($A178,"|","~", 11))+1, FIND("~", SUBSTITUTE($A178,"|","~", 12))-FIND("~", SUBSTITUTE($A178,"|","~", 11))-1),
    LEN($A178)-LEN(SUBSTITUTE($A178,"|",""))=14, MID($A178, FIND("~", SUBSTITUTE($A178,"|","~", 11))+1, FIND("~", SUBSTITUTE($A178,"|","~", 12))-FIND("~", SUBSTITUTE($A178,"|","~", 11))-1)
), "")</f>
        <v>E586447</v>
      </c>
      <c r="M178" s="47" t="str">
        <f t="shared" si="19"/>
        <v>SB120181/6/25</v>
      </c>
      <c r="N178" s="46" t="str">
        <f t="shared" si="22"/>
        <v/>
      </c>
      <c r="O178" s="60">
        <v>25</v>
      </c>
      <c r="P178" s="60">
        <v>888</v>
      </c>
      <c r="Q178" s="48">
        <v>175</v>
      </c>
      <c r="R178" s="48">
        <v>859</v>
      </c>
      <c r="S178" s="48"/>
      <c r="T178" s="48"/>
      <c r="U178" s="49"/>
      <c r="V178" s="49"/>
      <c r="W178" s="50">
        <f t="shared" si="20"/>
        <v>0</v>
      </c>
      <c r="X178" s="51" t="str">
        <f>IF(A178="", "", IF(COUNTIFS(C$3:C177, C178, D$3:D177, D178, G$3:G177, G178) &gt; 0, "", "11:00"-AW178))</f>
        <v/>
      </c>
      <c r="Y178" s="52" t="str">
        <f t="shared" si="26"/>
        <v/>
      </c>
      <c r="Z178" s="53"/>
      <c r="AA178" s="54"/>
      <c r="AB178" s="53"/>
      <c r="AC178" s="54"/>
      <c r="AD178" s="53"/>
      <c r="AE178" s="54"/>
      <c r="AF178" s="53"/>
      <c r="AG178" s="54"/>
      <c r="AH178" s="55">
        <v>4.1666666666666699E-2</v>
      </c>
      <c r="AI178" s="53"/>
      <c r="AJ178" s="54"/>
      <c r="AK178" s="53"/>
      <c r="AL178" s="54"/>
      <c r="AM178" s="53"/>
      <c r="AN178" s="54"/>
      <c r="AO178" s="53"/>
      <c r="AP178" s="54"/>
      <c r="AQ178" s="53"/>
      <c r="AR178" s="54"/>
      <c r="AS178" s="53"/>
      <c r="AT178" s="54"/>
      <c r="AU178" s="53">
        <v>4.1666666666666699E-2</v>
      </c>
      <c r="AV178" s="54" t="s">
        <v>37</v>
      </c>
      <c r="AW178" s="57">
        <f t="shared" si="23"/>
        <v>4.1666666666666699E-2</v>
      </c>
      <c r="AX178" s="58" t="s">
        <v>101</v>
      </c>
    </row>
    <row r="179" spans="1:50" ht="21.75" customHeight="1">
      <c r="A179" s="38" t="s">
        <v>222</v>
      </c>
      <c r="B179" s="39">
        <f t="shared" si="27"/>
        <v>175</v>
      </c>
      <c r="C179" s="40">
        <v>46029</v>
      </c>
      <c r="D179" s="40" t="s">
        <v>80</v>
      </c>
      <c r="E179" s="40" t="s">
        <v>81</v>
      </c>
      <c r="F179" s="41">
        <v>765.7</v>
      </c>
      <c r="G179" s="42" t="s">
        <v>75</v>
      </c>
      <c r="H179" s="43" t="str">
        <f>IFERROR(VLOOKUP($J179,'[9]FROM (3)'!$E$4:$F$230,2,FALSE),"")</f>
        <v>JTCS</v>
      </c>
      <c r="I179" s="44" t="str">
        <f t="shared" si="24"/>
        <v>RACK, PS</v>
      </c>
      <c r="J179" s="44" t="str">
        <f t="shared" si="25"/>
        <v>JGD10S00670-B</v>
      </c>
      <c r="K179" s="59" t="str">
        <f t="shared" si="21"/>
        <v>PD25121285</v>
      </c>
      <c r="L179" s="46" t="str" cm="1">
        <f t="array" ref="L179">IFERROR(_xlfn.IFS(
    LEN($A179)-LEN(SUBSTITUTE($A179,"|",""))=12, RIGHT(A179, LEN(A179)-FIND("~", SUBSTITUTE(A179,"|","~", LEN(A179)-LEN(SUBSTITUTE(A179,"|",""))))),
    LEN($A179)-LEN(SUBSTITUTE($A179,"|",""))=13, MID($A179, FIND("~", SUBSTITUTE($A179,"|","~", 11))+1, FIND("~", SUBSTITUTE($A179,"|","~", 12))-FIND("~", SUBSTITUTE($A179,"|","~", 11))-1),
    LEN($A179)-LEN(SUBSTITUTE($A179,"|",""))=14, MID($A179, FIND("~", SUBSTITUTE($A179,"|","~", 11))+1, FIND("~", SUBSTITUTE($A179,"|","~", 12))-FIND("~", SUBSTITUTE($A179,"|","~", 11))-1)
), "")</f>
        <v>E586447</v>
      </c>
      <c r="M179" s="47" t="str">
        <f t="shared" si="19"/>
        <v>SB120181/4/25</v>
      </c>
      <c r="N179" s="46" t="str">
        <f t="shared" si="22"/>
        <v/>
      </c>
      <c r="O179" s="60">
        <v>25</v>
      </c>
      <c r="P179" s="60">
        <v>888</v>
      </c>
      <c r="Q179" s="48">
        <v>175</v>
      </c>
      <c r="R179" s="48">
        <v>859</v>
      </c>
      <c r="S179" s="48"/>
      <c r="T179" s="48"/>
      <c r="U179" s="49"/>
      <c r="V179" s="49"/>
      <c r="W179" s="50">
        <f t="shared" si="20"/>
        <v>0</v>
      </c>
      <c r="X179" s="51" t="str">
        <f>IF(A179="", "", IF(COUNTIFS(C$3:C178, C179, D$3:D178, D179, G$3:G178, G179) &gt; 0, "", "11:00"-AW179))</f>
        <v/>
      </c>
      <c r="Y179" s="52" t="str">
        <f t="shared" si="26"/>
        <v/>
      </c>
      <c r="Z179" s="53"/>
      <c r="AA179" s="54"/>
      <c r="AB179" s="53"/>
      <c r="AC179" s="54"/>
      <c r="AD179" s="53"/>
      <c r="AE179" s="54"/>
      <c r="AF179" s="53"/>
      <c r="AG179" s="54"/>
      <c r="AH179" s="55">
        <v>4.1666666666666699E-2</v>
      </c>
      <c r="AI179" s="53"/>
      <c r="AJ179" s="54"/>
      <c r="AK179" s="53"/>
      <c r="AL179" s="54"/>
      <c r="AM179" s="53"/>
      <c r="AN179" s="54"/>
      <c r="AO179" s="53"/>
      <c r="AP179" s="54"/>
      <c r="AQ179" s="53"/>
      <c r="AR179" s="54"/>
      <c r="AS179" s="53"/>
      <c r="AT179" s="54"/>
      <c r="AU179" s="53">
        <v>4.1666666666666699E-2</v>
      </c>
      <c r="AV179" s="54" t="s">
        <v>37</v>
      </c>
      <c r="AW179" s="57">
        <f t="shared" si="23"/>
        <v>4.1666666666666699E-2</v>
      </c>
      <c r="AX179" s="58" t="s">
        <v>101</v>
      </c>
    </row>
    <row r="180" spans="1:50" ht="28.5">
      <c r="A180" s="38" t="s">
        <v>223</v>
      </c>
      <c r="B180" s="39">
        <f t="shared" si="27"/>
        <v>176</v>
      </c>
      <c r="C180" s="40">
        <v>46029</v>
      </c>
      <c r="D180" s="40" t="s">
        <v>80</v>
      </c>
      <c r="E180" s="40" t="s">
        <v>81</v>
      </c>
      <c r="F180" s="41">
        <v>765.7</v>
      </c>
      <c r="G180" s="42" t="s">
        <v>75</v>
      </c>
      <c r="H180" s="43" t="str">
        <f>IFERROR(VLOOKUP($J180,'[9]FROM (3)'!$E$4:$F$230,2,FALSE),"")</f>
        <v>JTCS</v>
      </c>
      <c r="I180" s="44" t="str">
        <f t="shared" si="24"/>
        <v>RACK, PS</v>
      </c>
      <c r="J180" s="44" t="str">
        <f t="shared" si="25"/>
        <v>JGD10S00670-B</v>
      </c>
      <c r="K180" s="59" t="str">
        <f t="shared" si="21"/>
        <v>PD25121285</v>
      </c>
      <c r="L180" s="46" t="str" cm="1">
        <f t="array" ref="L180">IFERROR(_xlfn.IFS(
    LEN($A180)-LEN(SUBSTITUTE($A180,"|",""))=12, RIGHT(A180, LEN(A180)-FIND("~", SUBSTITUTE(A180,"|","~", LEN(A180)-LEN(SUBSTITUTE(A180,"|",""))))),
    LEN($A180)-LEN(SUBSTITUTE($A180,"|",""))=13, MID($A180, FIND("~", SUBSTITUTE($A180,"|","~", 11))+1, FIND("~", SUBSTITUTE($A180,"|","~", 12))-FIND("~", SUBSTITUTE($A180,"|","~", 11))-1),
    LEN($A180)-LEN(SUBSTITUTE($A180,"|",""))=14, MID($A180, FIND("~", SUBSTITUTE($A180,"|","~", 11))+1, FIND("~", SUBSTITUTE($A180,"|","~", 12))-FIND("~", SUBSTITUTE($A180,"|","~", 11))-1)
), "")</f>
        <v>E586447</v>
      </c>
      <c r="M180" s="47" t="str">
        <f t="shared" si="19"/>
        <v>SB120181/5/25</v>
      </c>
      <c r="N180" s="46" t="str">
        <f t="shared" si="22"/>
        <v/>
      </c>
      <c r="O180" s="60">
        <v>25</v>
      </c>
      <c r="P180" s="60">
        <v>888</v>
      </c>
      <c r="Q180" s="48">
        <v>175</v>
      </c>
      <c r="R180" s="48">
        <v>859</v>
      </c>
      <c r="S180" s="48"/>
      <c r="T180" s="48"/>
      <c r="U180" s="49">
        <v>80</v>
      </c>
      <c r="V180" s="49">
        <v>8</v>
      </c>
      <c r="W180" s="50">
        <f t="shared" si="20"/>
        <v>88</v>
      </c>
      <c r="X180" s="51" t="str">
        <f>IF(A180="", "", IF(COUNTIFS(C$3:C179, C180, D$3:D179, D180, G$3:G179, G180) &gt; 0, "", "11:00"-AW180))</f>
        <v/>
      </c>
      <c r="Y180" s="52" t="str">
        <f t="shared" si="26"/>
        <v/>
      </c>
      <c r="Z180" s="53"/>
      <c r="AA180" s="54"/>
      <c r="AB180" s="53"/>
      <c r="AC180" s="54"/>
      <c r="AD180" s="53"/>
      <c r="AE180" s="54"/>
      <c r="AF180" s="53"/>
      <c r="AG180" s="54"/>
      <c r="AH180" s="55">
        <v>4.1666666666666699E-2</v>
      </c>
      <c r="AI180" s="53"/>
      <c r="AJ180" s="54"/>
      <c r="AK180" s="53"/>
      <c r="AL180" s="54"/>
      <c r="AM180" s="53"/>
      <c r="AN180" s="54"/>
      <c r="AO180" s="53"/>
      <c r="AP180" s="54"/>
      <c r="AQ180" s="53"/>
      <c r="AR180" s="54"/>
      <c r="AS180" s="53"/>
      <c r="AT180" s="54"/>
      <c r="AU180" s="53">
        <v>4.1666666666666699E-2</v>
      </c>
      <c r="AV180" s="54" t="s">
        <v>37</v>
      </c>
      <c r="AW180" s="57">
        <f t="shared" si="23"/>
        <v>4.1666666666666699E-2</v>
      </c>
      <c r="AX180" s="58" t="s">
        <v>101</v>
      </c>
    </row>
    <row r="181" spans="1:50" ht="28.5">
      <c r="A181" s="38" t="s">
        <v>202</v>
      </c>
      <c r="B181" s="39">
        <f t="shared" si="27"/>
        <v>177</v>
      </c>
      <c r="C181" s="40">
        <v>46029</v>
      </c>
      <c r="D181" s="40" t="s">
        <v>80</v>
      </c>
      <c r="E181" s="40" t="s">
        <v>81</v>
      </c>
      <c r="F181" s="41">
        <v>375</v>
      </c>
      <c r="G181" s="42" t="s">
        <v>172</v>
      </c>
      <c r="H181" s="43" t="str">
        <f>IFERROR(VLOOKUP($J181,'[9]FROM (3)'!$E$4:$F$230,2,FALSE),"")</f>
        <v>ATAC</v>
      </c>
      <c r="I181" s="44" t="str">
        <f t="shared" si="24"/>
        <v>SEAT,WATER PUMP PULLEY</v>
      </c>
      <c r="J181" s="44" t="str">
        <f t="shared" si="25"/>
        <v>16171-05030</v>
      </c>
      <c r="K181" s="59" t="str">
        <f t="shared" si="21"/>
        <v>PD26010089</v>
      </c>
      <c r="L181" s="46" t="str" cm="1">
        <f t="array" ref="L181">IFERROR(_xlfn.IFS(
    LEN($A181)-LEN(SUBSTITUTE($A181,"|",""))=12, RIGHT(A181, LEN(A181)-FIND("~", SUBSTITUTE(A181,"|","~", LEN(A181)-LEN(SUBSTITUTE(A181,"|",""))))),
    LEN($A181)-LEN(SUBSTITUTE($A181,"|",""))=13, MID($A181, FIND("~", SUBSTITUTE($A181,"|","~", 11))+1, FIND("~", SUBSTITUTE($A181,"|","~", 12))-FIND("~", SUBSTITUTE($A181,"|","~", 11))-1),
    LEN($A181)-LEN(SUBSTITUTE($A181,"|",""))=14, MID($A181, FIND("~", SUBSTITUTE($A181,"|","~", 11))+1, FIND("~", SUBSTITUTE($A181,"|","~", 12))-FIND("~", SUBSTITUTE($A181,"|","~", 11))-1)
), "")</f>
        <v>665898</v>
      </c>
      <c r="M181" s="47" t="str">
        <f t="shared" si="19"/>
        <v>SB120198/3/25</v>
      </c>
      <c r="N181" s="46" t="str">
        <f t="shared" si="22"/>
        <v/>
      </c>
      <c r="O181" s="60" t="s">
        <v>35</v>
      </c>
      <c r="P181" s="60" t="s">
        <v>35</v>
      </c>
      <c r="Q181" s="48">
        <v>2350</v>
      </c>
      <c r="R181" s="48">
        <v>881</v>
      </c>
      <c r="S181" s="48" t="s">
        <v>35</v>
      </c>
      <c r="T181" s="48"/>
      <c r="U181" s="49">
        <v>86</v>
      </c>
      <c r="V181" s="49">
        <v>167</v>
      </c>
      <c r="W181" s="50">
        <f t="shared" si="20"/>
        <v>253</v>
      </c>
      <c r="X181" s="51">
        <f>IF(A181="", "", IF(COUNTIFS(C$3:C180, C181, D$3:D180, D181, G$3:G180, G181) &gt; 0, "", "11:00"-AW181))</f>
        <v>0.41666666666666663</v>
      </c>
      <c r="Y181" s="52" t="str">
        <f t="shared" si="26"/>
        <v>1:40</v>
      </c>
      <c r="Z181" s="53"/>
      <c r="AA181" s="54"/>
      <c r="AB181" s="53"/>
      <c r="AC181" s="54"/>
      <c r="AD181" s="53"/>
      <c r="AE181" s="54"/>
      <c r="AF181" s="53"/>
      <c r="AG181" s="54"/>
      <c r="AH181" s="55">
        <v>4.1666666666666699E-2</v>
      </c>
      <c r="AI181" s="53"/>
      <c r="AJ181" s="54"/>
      <c r="AK181" s="53"/>
      <c r="AL181" s="54"/>
      <c r="AM181" s="53"/>
      <c r="AN181" s="54"/>
      <c r="AO181" s="53"/>
      <c r="AP181" s="54"/>
      <c r="AQ181" s="53"/>
      <c r="AR181" s="54"/>
      <c r="AS181" s="53"/>
      <c r="AT181" s="54"/>
      <c r="AU181" s="53">
        <v>4.1666666666666699E-2</v>
      </c>
      <c r="AV181" s="54" t="s">
        <v>37</v>
      </c>
      <c r="AW181" s="57">
        <f t="shared" si="23"/>
        <v>4.1666666666666699E-2</v>
      </c>
      <c r="AX181" s="58" t="s">
        <v>109</v>
      </c>
    </row>
    <row r="182" spans="1:50" ht="28.5">
      <c r="A182" s="38" t="s">
        <v>165</v>
      </c>
      <c r="B182" s="39">
        <f t="shared" si="27"/>
        <v>178</v>
      </c>
      <c r="C182" s="40">
        <v>46029</v>
      </c>
      <c r="D182" s="40" t="s">
        <v>80</v>
      </c>
      <c r="E182" s="40" t="s">
        <v>81</v>
      </c>
      <c r="F182" s="41">
        <v>69.5</v>
      </c>
      <c r="G182" s="42" t="s">
        <v>135</v>
      </c>
      <c r="H182" s="43" t="str">
        <f>IFERROR(VLOOKUP($J182,'[9]FROM (3)'!$E$4:$F$230,2,FALSE),"")</f>
        <v>DNTH</v>
      </c>
      <c r="I182" s="44" t="str">
        <f t="shared" si="24"/>
        <v>Pole Core</v>
      </c>
      <c r="J182" s="44" t="str">
        <f t="shared" si="25"/>
        <v>TG028152-5180</v>
      </c>
      <c r="K182" s="59" t="str">
        <f t="shared" si="21"/>
        <v>PD25120422</v>
      </c>
      <c r="L182" s="46" t="str" cm="1">
        <f t="array" ref="L182">IFERROR(_xlfn.IFS(
    LEN($A182)-LEN(SUBSTITUTE($A182,"|",""))=12, RIGHT(A182, LEN(A182)-FIND("~", SUBSTITUTE(A182,"|","~", LEN(A182)-LEN(SUBSTITUTE(A182,"|",""))))),
    LEN($A182)-LEN(SUBSTITUTE($A182,"|",""))=13, MID($A182, FIND("~", SUBSTITUTE($A182,"|","~", 11))+1, FIND("~", SUBSTITUTE($A182,"|","~", 12))-FIND("~", SUBSTITUTE($A182,"|","~", 11))-1),
    LEN($A182)-LEN(SUBSTITUTE($A182,"|",""))=14, MID($A182, FIND("~", SUBSTITUTE($A182,"|","~", 11))+1, FIND("~", SUBSTITUTE($A182,"|","~", 12))-FIND("~", SUBSTITUTE($A182,"|","~", 11))-1)
), "")</f>
        <v>KS005C9016</v>
      </c>
      <c r="M182" s="47" t="str">
        <f t="shared" si="19"/>
        <v>SB120058/1/25</v>
      </c>
      <c r="N182" s="46" t="str">
        <f t="shared" si="22"/>
        <v/>
      </c>
      <c r="O182" s="60"/>
      <c r="P182" s="60"/>
      <c r="Q182" s="48">
        <v>3518</v>
      </c>
      <c r="R182" s="48">
        <v>245</v>
      </c>
      <c r="S182" s="48"/>
      <c r="T182" s="48"/>
      <c r="U182" s="49"/>
      <c r="V182" s="49"/>
      <c r="W182" s="50">
        <f t="shared" si="20"/>
        <v>0</v>
      </c>
      <c r="X182" s="51">
        <f>IF(A182="", "", IF(COUNTIFS(C$3:C181, C182, D$3:D181, D182, G$3:G181, G182) &gt; 0, "", "11:00"-AW182))</f>
        <v>0.33333333333333326</v>
      </c>
      <c r="Y182" s="52" t="str">
        <f t="shared" si="26"/>
        <v>1:40</v>
      </c>
      <c r="Z182" s="53">
        <v>4.1666666666666664E-2</v>
      </c>
      <c r="AA182" s="54" t="s">
        <v>67</v>
      </c>
      <c r="AB182" s="53">
        <v>4.1666666666666664E-2</v>
      </c>
      <c r="AC182" s="54" t="s">
        <v>136</v>
      </c>
      <c r="AD182" s="53"/>
      <c r="AE182" s="54"/>
      <c r="AF182" s="53"/>
      <c r="AG182" s="54"/>
      <c r="AH182" s="55">
        <v>4.1666666666666699E-2</v>
      </c>
      <c r="AI182" s="53"/>
      <c r="AJ182" s="54"/>
      <c r="AK182" s="53"/>
      <c r="AL182" s="54"/>
      <c r="AM182" s="53"/>
      <c r="AN182" s="54"/>
      <c r="AO182" s="53"/>
      <c r="AP182" s="54"/>
      <c r="AQ182" s="53"/>
      <c r="AR182" s="54"/>
      <c r="AS182" s="53"/>
      <c r="AT182" s="54"/>
      <c r="AU182" s="53">
        <v>4.1666666666666699E-2</v>
      </c>
      <c r="AV182" s="54" t="s">
        <v>37</v>
      </c>
      <c r="AW182" s="57">
        <f t="shared" si="23"/>
        <v>0.12500000000000003</v>
      </c>
      <c r="AX182" s="58" t="s">
        <v>224</v>
      </c>
    </row>
    <row r="183" spans="1:50" ht="28.5">
      <c r="A183" s="38" t="s">
        <v>225</v>
      </c>
      <c r="B183" s="39">
        <f t="shared" si="27"/>
        <v>179</v>
      </c>
      <c r="C183" s="40">
        <v>46029</v>
      </c>
      <c r="D183" s="40" t="s">
        <v>80</v>
      </c>
      <c r="E183" s="40" t="s">
        <v>81</v>
      </c>
      <c r="F183" s="41">
        <v>69.5</v>
      </c>
      <c r="G183" s="42" t="s">
        <v>135</v>
      </c>
      <c r="H183" s="43" t="str">
        <f>IFERROR(VLOOKUP($J183,'[9]FROM (3)'!$E$4:$F$230,2,FALSE),"")</f>
        <v>DNTH</v>
      </c>
      <c r="I183" s="44" t="str">
        <f t="shared" si="24"/>
        <v>Pole Core</v>
      </c>
      <c r="J183" s="44" t="str">
        <f t="shared" si="25"/>
        <v>TG028152-5180</v>
      </c>
      <c r="K183" s="59" t="str">
        <f t="shared" si="21"/>
        <v>PD25120422</v>
      </c>
      <c r="L183" s="46" t="str" cm="1">
        <f t="array" ref="L183">IFERROR(_xlfn.IFS(
    LEN($A183)-LEN(SUBSTITUTE($A183,"|",""))=12, RIGHT(A183, LEN(A183)-FIND("~", SUBSTITUTE(A183,"|","~", LEN(A183)-LEN(SUBSTITUTE(A183,"|",""))))),
    LEN($A183)-LEN(SUBSTITUTE($A183,"|",""))=13, MID($A183, FIND("~", SUBSTITUTE($A183,"|","~", 11))+1, FIND("~", SUBSTITUTE($A183,"|","~", 12))-FIND("~", SUBSTITUTE($A183,"|","~", 11))-1),
    LEN($A183)-LEN(SUBSTITUTE($A183,"|",""))=14, MID($A183, FIND("~", SUBSTITUTE($A183,"|","~", 11))+1, FIND("~", SUBSTITUTE($A183,"|","~", 12))-FIND("~", SUBSTITUTE($A183,"|","~", 11))-1)
), "")</f>
        <v>KS005C9016</v>
      </c>
      <c r="M183" s="47" t="str">
        <f t="shared" si="19"/>
        <v>SB120058/3/25</v>
      </c>
      <c r="N183" s="46" t="str">
        <f t="shared" si="22"/>
        <v/>
      </c>
      <c r="O183" s="60">
        <v>130</v>
      </c>
      <c r="P183" s="60">
        <v>1008</v>
      </c>
      <c r="Q183" s="48">
        <v>10562</v>
      </c>
      <c r="R183" s="48">
        <v>734</v>
      </c>
      <c r="S183" s="48"/>
      <c r="T183" s="48"/>
      <c r="U183" s="49"/>
      <c r="V183" s="49"/>
      <c r="W183" s="50">
        <f t="shared" si="20"/>
        <v>0</v>
      </c>
      <c r="X183" s="51" t="str">
        <f>IF(A183="", "", IF(COUNTIFS(C$3:C182, C183, D$3:D182, D183, G$3:G182, G183) &gt; 0, "", "11:00"-AW183))</f>
        <v/>
      </c>
      <c r="Y183" s="52" t="str">
        <f t="shared" si="26"/>
        <v/>
      </c>
      <c r="Z183" s="53">
        <v>4.1666666666666664E-2</v>
      </c>
      <c r="AA183" s="54" t="s">
        <v>67</v>
      </c>
      <c r="AB183" s="53">
        <v>4.1666666666666664E-2</v>
      </c>
      <c r="AC183" s="54" t="s">
        <v>136</v>
      </c>
      <c r="AD183" s="53"/>
      <c r="AE183" s="54"/>
      <c r="AF183" s="53"/>
      <c r="AG183" s="54"/>
      <c r="AH183" s="55">
        <v>4.1666666666666699E-2</v>
      </c>
      <c r="AI183" s="53"/>
      <c r="AJ183" s="54"/>
      <c r="AK183" s="53"/>
      <c r="AL183" s="54"/>
      <c r="AM183" s="53"/>
      <c r="AN183" s="54"/>
      <c r="AO183" s="53"/>
      <c r="AP183" s="54"/>
      <c r="AQ183" s="53"/>
      <c r="AR183" s="54"/>
      <c r="AS183" s="53"/>
      <c r="AT183" s="54"/>
      <c r="AU183" s="53">
        <v>4.1666666666666699E-2</v>
      </c>
      <c r="AV183" s="54" t="s">
        <v>37</v>
      </c>
      <c r="AW183" s="57">
        <f t="shared" si="23"/>
        <v>0.12500000000000003</v>
      </c>
      <c r="AX183" s="58" t="s">
        <v>224</v>
      </c>
    </row>
    <row r="184" spans="1:50" ht="28.5">
      <c r="A184" s="38" t="s">
        <v>185</v>
      </c>
      <c r="B184" s="39">
        <f t="shared" si="27"/>
        <v>180</v>
      </c>
      <c r="C184" s="40">
        <v>46029</v>
      </c>
      <c r="D184" s="40" t="s">
        <v>80</v>
      </c>
      <c r="E184" s="40" t="s">
        <v>81</v>
      </c>
      <c r="F184" s="41">
        <v>655.4</v>
      </c>
      <c r="G184" s="42" t="s">
        <v>85</v>
      </c>
      <c r="H184" s="43" t="str">
        <f>IFERROR(VLOOKUP($J184,'[9]FROM (3)'!$E$4:$F$230,2,FALSE),"")</f>
        <v>JAMY</v>
      </c>
      <c r="I184" s="44" t="str">
        <f t="shared" si="24"/>
        <v>RACK BAR</v>
      </c>
      <c r="J184" s="44" t="str">
        <f t="shared" si="25"/>
        <v>JGC10-M09008-51-0</v>
      </c>
      <c r="K184" s="59" t="str">
        <f t="shared" si="21"/>
        <v>PD26010146</v>
      </c>
      <c r="L184" s="46" t="str" cm="1">
        <f t="array" ref="L184">IFERROR(_xlfn.IFS(
    LEN($A184)-LEN(SUBSTITUTE($A184,"|",""))=12, RIGHT(A184, LEN(A184)-FIND("~", SUBSTITUTE(A184,"|","~", LEN(A184)-LEN(SUBSTITUTE(A184,"|",""))))),
    LEN($A184)-LEN(SUBSTITUTE($A184,"|",""))=13, MID($A184, FIND("~", SUBSTITUTE($A184,"|","~", 11))+1, FIND("~", SUBSTITUTE($A184,"|","~", 12))-FIND("~", SUBSTITUTE($A184,"|","~", 11))-1),
    LEN($A184)-LEN(SUBSTITUTE($A184,"|",""))=14, MID($A184, FIND("~", SUBSTITUTE($A184,"|","~", 11))+1, FIND("~", SUBSTITUTE($A184,"|","~", 12))-FIND("~", SUBSTITUTE($A184,"|","~", 11))-1)
), "")</f>
        <v>E586966</v>
      </c>
      <c r="M184" s="47" t="str">
        <f t="shared" si="19"/>
        <v>SB010004/6/26</v>
      </c>
      <c r="N184" s="46" t="str">
        <f t="shared" si="22"/>
        <v/>
      </c>
      <c r="O184" s="60" t="s">
        <v>35</v>
      </c>
      <c r="P184" s="60" t="s">
        <v>35</v>
      </c>
      <c r="Q184" s="48">
        <v>146</v>
      </c>
      <c r="R184" s="48">
        <v>399</v>
      </c>
      <c r="S184" s="48" t="s">
        <v>35</v>
      </c>
      <c r="T184" s="48"/>
      <c r="U184" s="49"/>
      <c r="V184" s="49"/>
      <c r="W184" s="50">
        <f t="shared" si="20"/>
        <v>0</v>
      </c>
      <c r="X184" s="51">
        <f>IF(A184="", "", IF(COUNTIFS(C$3:C183, C184, D$3:D183, D184, G$3:G183, G184) &gt; 0, "", "11:00"-AW184))</f>
        <v>0.37499999999999994</v>
      </c>
      <c r="Y184" s="52" t="str">
        <f t="shared" si="26"/>
        <v>1:40</v>
      </c>
      <c r="Z184" s="53"/>
      <c r="AA184" s="54"/>
      <c r="AB184" s="53"/>
      <c r="AC184" s="54"/>
      <c r="AD184" s="53"/>
      <c r="AE184" s="54"/>
      <c r="AF184" s="53">
        <v>4.1666666666666664E-2</v>
      </c>
      <c r="AG184" s="54" t="s">
        <v>67</v>
      </c>
      <c r="AH184" s="55">
        <v>4.1666666666666699E-2</v>
      </c>
      <c r="AI184" s="53"/>
      <c r="AJ184" s="54"/>
      <c r="AK184" s="53"/>
      <c r="AL184" s="54"/>
      <c r="AM184" s="53"/>
      <c r="AN184" s="54"/>
      <c r="AO184" s="53"/>
      <c r="AP184" s="54"/>
      <c r="AQ184" s="53"/>
      <c r="AR184" s="54"/>
      <c r="AS184" s="53"/>
      <c r="AT184" s="54"/>
      <c r="AU184" s="53">
        <v>4.1666666666666699E-2</v>
      </c>
      <c r="AV184" s="54" t="s">
        <v>37</v>
      </c>
      <c r="AW184" s="57">
        <f t="shared" si="23"/>
        <v>8.333333333333337E-2</v>
      </c>
      <c r="AX184" s="58" t="s">
        <v>86</v>
      </c>
    </row>
    <row r="185" spans="1:50" ht="28.5">
      <c r="A185" s="38" t="s">
        <v>226</v>
      </c>
      <c r="B185" s="39">
        <f t="shared" si="27"/>
        <v>181</v>
      </c>
      <c r="C185" s="40">
        <v>46029</v>
      </c>
      <c r="D185" s="40" t="s">
        <v>80</v>
      </c>
      <c r="E185" s="40" t="s">
        <v>81</v>
      </c>
      <c r="F185" s="41">
        <v>655.4</v>
      </c>
      <c r="G185" s="42" t="s">
        <v>85</v>
      </c>
      <c r="H185" s="43" t="str">
        <f>IFERROR(VLOOKUP($J185,'[9]FROM (3)'!$E$4:$F$230,2,FALSE),"")</f>
        <v>JAMY</v>
      </c>
      <c r="I185" s="44" t="str">
        <f t="shared" si="24"/>
        <v>RACK BAR</v>
      </c>
      <c r="J185" s="44" t="str">
        <f t="shared" si="25"/>
        <v>JGC10-M09008-51-0</v>
      </c>
      <c r="K185" s="59" t="str">
        <f t="shared" si="21"/>
        <v>PD26010146</v>
      </c>
      <c r="L185" s="46" t="str" cm="1">
        <f t="array" ref="L185">IFERROR(_xlfn.IFS(
    LEN($A185)-LEN(SUBSTITUTE($A185,"|",""))=12, RIGHT(A185, LEN(A185)-FIND("~", SUBSTITUTE(A185,"|","~", LEN(A185)-LEN(SUBSTITUTE(A185,"|",""))))),
    LEN($A185)-LEN(SUBSTITUTE($A185,"|",""))=13, MID($A185, FIND("~", SUBSTITUTE($A185,"|","~", 11))+1, FIND("~", SUBSTITUTE($A185,"|","~", 12))-FIND("~", SUBSTITUTE($A185,"|","~", 11))-1),
    LEN($A185)-LEN(SUBSTITUTE($A185,"|",""))=14, MID($A185, FIND("~", SUBSTITUTE($A185,"|","~", 11))+1, FIND("~", SUBSTITUTE($A185,"|","~", 12))-FIND("~", SUBSTITUTE($A185,"|","~", 11))-1)
), "")</f>
        <v>E586966</v>
      </c>
      <c r="M185" s="47" t="str">
        <f t="shared" si="19"/>
        <v>SB010004/5/26</v>
      </c>
      <c r="N185" s="46" t="str">
        <f t="shared" si="22"/>
        <v/>
      </c>
      <c r="O185" s="60">
        <v>60</v>
      </c>
      <c r="P185" s="60">
        <v>875</v>
      </c>
      <c r="Q185" s="48">
        <v>295</v>
      </c>
      <c r="R185" s="48">
        <v>805</v>
      </c>
      <c r="S185" s="48">
        <v>5</v>
      </c>
      <c r="T185" s="48" t="s">
        <v>167</v>
      </c>
      <c r="U185" s="49">
        <v>145</v>
      </c>
      <c r="V185" s="49">
        <v>9</v>
      </c>
      <c r="W185" s="50">
        <f t="shared" si="20"/>
        <v>154</v>
      </c>
      <c r="X185" s="51" t="str">
        <f>IF(A185="", "", IF(COUNTIFS(C$3:C184, C185, D$3:D184, D185, G$3:G184, G185) &gt; 0, "", "11:00"-AW185))</f>
        <v/>
      </c>
      <c r="Y185" s="52" t="str">
        <f t="shared" si="26"/>
        <v/>
      </c>
      <c r="Z185" s="53"/>
      <c r="AA185" s="54"/>
      <c r="AB185" s="53"/>
      <c r="AC185" s="54"/>
      <c r="AD185" s="53"/>
      <c r="AE185" s="54"/>
      <c r="AF185" s="53"/>
      <c r="AG185" s="54"/>
      <c r="AH185" s="55">
        <v>4.1666666666666699E-2</v>
      </c>
      <c r="AI185" s="53"/>
      <c r="AJ185" s="54"/>
      <c r="AK185" s="53"/>
      <c r="AL185" s="54"/>
      <c r="AM185" s="53"/>
      <c r="AN185" s="54"/>
      <c r="AO185" s="53"/>
      <c r="AP185" s="54"/>
      <c r="AQ185" s="53"/>
      <c r="AR185" s="54"/>
      <c r="AS185" s="53"/>
      <c r="AT185" s="54"/>
      <c r="AU185" s="53">
        <v>4.1666666666666699E-2</v>
      </c>
      <c r="AV185" s="54" t="s">
        <v>37</v>
      </c>
      <c r="AW185" s="57">
        <f t="shared" si="23"/>
        <v>4.1666666666666699E-2</v>
      </c>
      <c r="AX185" s="58" t="s">
        <v>86</v>
      </c>
    </row>
    <row r="186" spans="1:50" ht="28.5">
      <c r="A186" s="38" t="s">
        <v>227</v>
      </c>
      <c r="B186" s="39">
        <f t="shared" si="27"/>
        <v>182</v>
      </c>
      <c r="C186" s="40">
        <v>46029</v>
      </c>
      <c r="D186" s="40" t="s">
        <v>80</v>
      </c>
      <c r="E186" s="40" t="s">
        <v>81</v>
      </c>
      <c r="F186" s="41">
        <v>755.4</v>
      </c>
      <c r="G186" s="42" t="s">
        <v>85</v>
      </c>
      <c r="H186" s="43" t="str">
        <f>IFERROR(VLOOKUP($J186,'[9]FROM (3)'!$E$4:$F$230,2,FALSE),"")</f>
        <v>JTCS</v>
      </c>
      <c r="I186" s="44" t="str">
        <f t="shared" si="24"/>
        <v>RACK, PS</v>
      </c>
      <c r="J186" s="44" t="str">
        <f t="shared" si="25"/>
        <v>JGD10-001260-40-1</v>
      </c>
      <c r="K186" s="59" t="str">
        <f t="shared" si="21"/>
        <v>PD26010096</v>
      </c>
      <c r="L186" s="46" t="str" cm="1">
        <f t="array" ref="L186">IFERROR(_xlfn.IFS(
    LEN($A186)-LEN(SUBSTITUTE($A186,"|",""))=12, RIGHT(A186, LEN(A186)-FIND("~", SUBSTITUTE(A186,"|","~", LEN(A186)-LEN(SUBSTITUTE(A186,"|",""))))),
    LEN($A186)-LEN(SUBSTITUTE($A186,"|",""))=13, MID($A186, FIND("~", SUBSTITUTE($A186,"|","~", 11))+1, FIND("~", SUBSTITUTE($A186,"|","~", 12))-FIND("~", SUBSTITUTE($A186,"|","~", 11))-1),
    LEN($A186)-LEN(SUBSTITUTE($A186,"|",""))=14, MID($A186, FIND("~", SUBSTITUTE($A186,"|","~", 11))+1, FIND("~", SUBSTITUTE($A186,"|","~", 12))-FIND("~", SUBSTITUTE($A186,"|","~", 11))-1)
), "")</f>
        <v>E586967</v>
      </c>
      <c r="M186" s="47" t="str">
        <f t="shared" si="19"/>
        <v>SB120197/5/25</v>
      </c>
      <c r="N186" s="46" t="str">
        <f t="shared" si="22"/>
        <v/>
      </c>
      <c r="O186" s="60">
        <v>47</v>
      </c>
      <c r="P186" s="60">
        <v>974</v>
      </c>
      <c r="Q186" s="48">
        <v>188</v>
      </c>
      <c r="R186" s="48">
        <v>910</v>
      </c>
      <c r="S186" s="48" t="s">
        <v>35</v>
      </c>
      <c r="T186" s="48"/>
      <c r="U186" s="49"/>
      <c r="V186" s="49"/>
      <c r="W186" s="50">
        <f t="shared" si="20"/>
        <v>0</v>
      </c>
      <c r="X186" s="51" t="str">
        <f>IF(A186="", "", IF(COUNTIFS(C$3:C185, C186, D$3:D185, D186, G$3:G185, G186) &gt; 0, "", "11:00"-AW186))</f>
        <v/>
      </c>
      <c r="Y186" s="52" t="str">
        <f t="shared" si="26"/>
        <v/>
      </c>
      <c r="Z186" s="53"/>
      <c r="AA186" s="54"/>
      <c r="AB186" s="53"/>
      <c r="AC186" s="54"/>
      <c r="AD186" s="53"/>
      <c r="AE186" s="54"/>
      <c r="AF186" s="53"/>
      <c r="AG186" s="54"/>
      <c r="AH186" s="55">
        <v>4.1666666666666699E-2</v>
      </c>
      <c r="AI186" s="53"/>
      <c r="AJ186" s="54"/>
      <c r="AK186" s="53"/>
      <c r="AL186" s="54"/>
      <c r="AM186" s="53"/>
      <c r="AN186" s="54"/>
      <c r="AO186" s="53"/>
      <c r="AP186" s="54"/>
      <c r="AQ186" s="53"/>
      <c r="AR186" s="54"/>
      <c r="AS186" s="53"/>
      <c r="AT186" s="54"/>
      <c r="AU186" s="53">
        <v>4.1666666666666699E-2</v>
      </c>
      <c r="AV186" s="54" t="s">
        <v>37</v>
      </c>
      <c r="AW186" s="57">
        <f t="shared" si="23"/>
        <v>4.1666666666666699E-2</v>
      </c>
      <c r="AX186" s="58" t="s">
        <v>86</v>
      </c>
    </row>
    <row r="187" spans="1:50" ht="28.5">
      <c r="A187" s="38" t="s">
        <v>228</v>
      </c>
      <c r="B187" s="39">
        <f t="shared" si="27"/>
        <v>183</v>
      </c>
      <c r="C187" s="40">
        <v>46029</v>
      </c>
      <c r="D187" s="40" t="s">
        <v>80</v>
      </c>
      <c r="E187" s="40" t="s">
        <v>81</v>
      </c>
      <c r="F187" s="41">
        <v>755.4</v>
      </c>
      <c r="G187" s="42" t="s">
        <v>85</v>
      </c>
      <c r="H187" s="43" t="str">
        <f>IFERROR(VLOOKUP($J187,'[9]FROM (3)'!$E$4:$F$230,2,FALSE),"")</f>
        <v>JTCS</v>
      </c>
      <c r="I187" s="44" t="str">
        <f t="shared" si="24"/>
        <v>RACK, PS</v>
      </c>
      <c r="J187" s="44" t="str">
        <f t="shared" si="25"/>
        <v>JGD10-001260-40-1</v>
      </c>
      <c r="K187" s="59" t="str">
        <f t="shared" si="21"/>
        <v>PD26010096</v>
      </c>
      <c r="L187" s="46" t="str" cm="1">
        <f t="array" ref="L187">IFERROR(_xlfn.IFS(
    LEN($A187)-LEN(SUBSTITUTE($A187,"|",""))=12, RIGHT(A187, LEN(A187)-FIND("~", SUBSTITUTE(A187,"|","~", LEN(A187)-LEN(SUBSTITUTE(A187,"|",""))))),
    LEN($A187)-LEN(SUBSTITUTE($A187,"|",""))=13, MID($A187, FIND("~", SUBSTITUTE($A187,"|","~", 11))+1, FIND("~", SUBSTITUTE($A187,"|","~", 12))-FIND("~", SUBSTITUTE($A187,"|","~", 11))-1),
    LEN($A187)-LEN(SUBSTITUTE($A187,"|",""))=14, MID($A187, FIND("~", SUBSTITUTE($A187,"|","~", 11))+1, FIND("~", SUBSTITUTE($A187,"|","~", 12))-FIND("~", SUBSTITUTE($A187,"|","~", 11))-1)
), "")</f>
        <v>E586967</v>
      </c>
      <c r="M187" s="47" t="str">
        <f t="shared" si="19"/>
        <v>SB120197/6/25</v>
      </c>
      <c r="N187" s="46" t="str">
        <f t="shared" si="22"/>
        <v/>
      </c>
      <c r="O187" s="60">
        <v>47</v>
      </c>
      <c r="P187" s="60">
        <v>974</v>
      </c>
      <c r="Q187" s="48">
        <v>188</v>
      </c>
      <c r="R187" s="48">
        <v>910</v>
      </c>
      <c r="S187" s="48" t="s">
        <v>35</v>
      </c>
      <c r="T187" s="48"/>
      <c r="U187" s="49"/>
      <c r="V187" s="49"/>
      <c r="W187" s="50">
        <f t="shared" si="20"/>
        <v>0</v>
      </c>
      <c r="X187" s="51" t="str">
        <f>IF(A187="", "", IF(COUNTIFS(C$3:C186, C187, D$3:D186, D187, G$3:G186, G187) &gt; 0, "", "11:00"-AW187))</f>
        <v/>
      </c>
      <c r="Y187" s="52" t="str">
        <f t="shared" si="26"/>
        <v/>
      </c>
      <c r="Z187" s="53"/>
      <c r="AA187" s="54"/>
      <c r="AB187" s="53"/>
      <c r="AC187" s="54"/>
      <c r="AD187" s="53"/>
      <c r="AE187" s="54"/>
      <c r="AF187" s="53"/>
      <c r="AG187" s="54"/>
      <c r="AH187" s="55">
        <v>4.1666666666666699E-2</v>
      </c>
      <c r="AI187" s="53"/>
      <c r="AJ187" s="54"/>
      <c r="AK187" s="53"/>
      <c r="AL187" s="54"/>
      <c r="AM187" s="53"/>
      <c r="AN187" s="54"/>
      <c r="AO187" s="53"/>
      <c r="AP187" s="54"/>
      <c r="AQ187" s="53"/>
      <c r="AR187" s="54"/>
      <c r="AS187" s="53"/>
      <c r="AT187" s="54"/>
      <c r="AU187" s="53">
        <v>4.1666666666666699E-2</v>
      </c>
      <c r="AV187" s="54" t="s">
        <v>37</v>
      </c>
      <c r="AW187" s="57">
        <f t="shared" si="23"/>
        <v>4.1666666666666699E-2</v>
      </c>
      <c r="AX187" s="58" t="s">
        <v>86</v>
      </c>
    </row>
    <row r="188" spans="1:50" ht="28.5">
      <c r="A188" s="38" t="s">
        <v>229</v>
      </c>
      <c r="B188" s="39">
        <f t="shared" si="27"/>
        <v>184</v>
      </c>
      <c r="C188" s="40">
        <v>46029</v>
      </c>
      <c r="D188" s="40" t="s">
        <v>80</v>
      </c>
      <c r="E188" s="40" t="s">
        <v>81</v>
      </c>
      <c r="F188" s="41">
        <v>755.4</v>
      </c>
      <c r="G188" s="42" t="s">
        <v>85</v>
      </c>
      <c r="H188" s="43" t="str">
        <f>IFERROR(VLOOKUP($J188,'[9]FROM (3)'!$E$4:$F$230,2,FALSE),"")</f>
        <v>JTCS</v>
      </c>
      <c r="I188" s="44" t="str">
        <f t="shared" si="24"/>
        <v>RACK, PS</v>
      </c>
      <c r="J188" s="44" t="str">
        <f t="shared" si="25"/>
        <v>JGD10-001260-40-1</v>
      </c>
      <c r="K188" s="59" t="str">
        <f t="shared" si="21"/>
        <v>PD26010096</v>
      </c>
      <c r="L188" s="46" t="str" cm="1">
        <f t="array" ref="L188">IFERROR(_xlfn.IFS(
    LEN($A188)-LEN(SUBSTITUTE($A188,"|",""))=12, RIGHT(A188, LEN(A188)-FIND("~", SUBSTITUTE(A188,"|","~", LEN(A188)-LEN(SUBSTITUTE(A188,"|",""))))),
    LEN($A188)-LEN(SUBSTITUTE($A188,"|",""))=13, MID($A188, FIND("~", SUBSTITUTE($A188,"|","~", 11))+1, FIND("~", SUBSTITUTE($A188,"|","~", 12))-FIND("~", SUBSTITUTE($A188,"|","~", 11))-1),
    LEN($A188)-LEN(SUBSTITUTE($A188,"|",""))=14, MID($A188, FIND("~", SUBSTITUTE($A188,"|","~", 11))+1, FIND("~", SUBSTITUTE($A188,"|","~", 12))-FIND("~", SUBSTITUTE($A188,"|","~", 11))-1)
), "")</f>
        <v>E586967</v>
      </c>
      <c r="M188" s="47" t="str">
        <f t="shared" si="19"/>
        <v>SB120197/4/25</v>
      </c>
      <c r="N188" s="46" t="str">
        <f t="shared" si="22"/>
        <v/>
      </c>
      <c r="O188" s="60">
        <v>47</v>
      </c>
      <c r="P188" s="60">
        <v>974</v>
      </c>
      <c r="Q188" s="48">
        <v>188</v>
      </c>
      <c r="R188" s="48">
        <v>910</v>
      </c>
      <c r="S188" s="48" t="s">
        <v>35</v>
      </c>
      <c r="T188" s="48"/>
      <c r="U188" s="49">
        <v>156</v>
      </c>
      <c r="V188" s="49">
        <v>9</v>
      </c>
      <c r="W188" s="50">
        <f t="shared" si="20"/>
        <v>165</v>
      </c>
      <c r="X188" s="51" t="str">
        <f>IF(A188="", "", IF(COUNTIFS(C$3:C187, C188, D$3:D187, D188, G$3:G187, G188) &gt; 0, "", "11:00"-AW188))</f>
        <v/>
      </c>
      <c r="Y188" s="52" t="str">
        <f t="shared" si="26"/>
        <v/>
      </c>
      <c r="Z188" s="53"/>
      <c r="AA188" s="54"/>
      <c r="AB188" s="53"/>
      <c r="AC188" s="54"/>
      <c r="AD188" s="53"/>
      <c r="AE188" s="54"/>
      <c r="AF188" s="53"/>
      <c r="AG188" s="54"/>
      <c r="AH188" s="55">
        <v>4.1666666666666699E-2</v>
      </c>
      <c r="AI188" s="53"/>
      <c r="AJ188" s="54"/>
      <c r="AK188" s="53"/>
      <c r="AL188" s="54"/>
      <c r="AM188" s="53"/>
      <c r="AN188" s="54"/>
      <c r="AO188" s="53"/>
      <c r="AP188" s="54"/>
      <c r="AQ188" s="53"/>
      <c r="AR188" s="54"/>
      <c r="AS188" s="53"/>
      <c r="AT188" s="54"/>
      <c r="AU188" s="53">
        <v>4.1666666666666699E-2</v>
      </c>
      <c r="AV188" s="54" t="s">
        <v>37</v>
      </c>
      <c r="AW188" s="57">
        <f t="shared" si="23"/>
        <v>4.1666666666666699E-2</v>
      </c>
      <c r="AX188" s="58" t="s">
        <v>86</v>
      </c>
    </row>
    <row r="189" spans="1:50" ht="28.5">
      <c r="A189" s="38" t="s">
        <v>230</v>
      </c>
      <c r="B189" s="39">
        <f t="shared" si="27"/>
        <v>185</v>
      </c>
      <c r="C189" s="40">
        <v>46029</v>
      </c>
      <c r="D189" s="40" t="s">
        <v>80</v>
      </c>
      <c r="E189" s="40" t="s">
        <v>81</v>
      </c>
      <c r="F189" s="41">
        <v>167.7</v>
      </c>
      <c r="G189" s="42" t="s">
        <v>62</v>
      </c>
      <c r="H189" s="43" t="str">
        <f>IFERROR(VLOOKUP($J189,'[9]FROM (3)'!$E$4:$F$230,2,FALSE),"")</f>
        <v>DNTH</v>
      </c>
      <c r="I189" s="44" t="str">
        <f t="shared" si="24"/>
        <v>SHAFT STARTER ARMATURE, 1W</v>
      </c>
      <c r="J189" s="44" t="str">
        <f t="shared" si="25"/>
        <v>TG028993-557B</v>
      </c>
      <c r="K189" s="59" t="str">
        <f t="shared" si="21"/>
        <v>PD26010170</v>
      </c>
      <c r="L189" s="46" t="str" cm="1">
        <f t="array" ref="L189">IFERROR(_xlfn.IFS(
    LEN($A189)-LEN(SUBSTITUTE($A189,"|",""))=12, RIGHT(A189, LEN(A189)-FIND("~", SUBSTITUTE(A189,"|","~", LEN(A189)-LEN(SUBSTITUTE(A189,"|",""))))),
    LEN($A189)-LEN(SUBSTITUTE($A189,"|",""))=13, MID($A189, FIND("~", SUBSTITUTE($A189,"|","~", 11))+1, FIND("~", SUBSTITUTE($A189,"|","~", 12))-FIND("~", SUBSTITUTE($A189,"|","~", 11))-1),
    LEN($A189)-LEN(SUBSTITUTE($A189,"|",""))=14, MID($A189, FIND("~", SUBSTITUTE($A189,"|","~", 11))+1, FIND("~", SUBSTITUTE($A189,"|","~", 12))-FIND("~", SUBSTITUTE($A189,"|","~", 11))-1)
), "")</f>
        <v>E586473</v>
      </c>
      <c r="M189" s="47" t="str">
        <f t="shared" si="19"/>
        <v>SB120140/4/25</v>
      </c>
      <c r="N189" s="46" t="str">
        <f t="shared" si="22"/>
        <v/>
      </c>
      <c r="O189" s="60">
        <v>35</v>
      </c>
      <c r="P189" s="60">
        <v>205</v>
      </c>
      <c r="Q189" s="48">
        <v>748</v>
      </c>
      <c r="R189" s="48">
        <v>179</v>
      </c>
      <c r="S189" s="48"/>
      <c r="T189" s="48"/>
      <c r="U189" s="49"/>
      <c r="V189" s="49"/>
      <c r="W189" s="50">
        <f t="shared" si="20"/>
        <v>0</v>
      </c>
      <c r="X189" s="51">
        <f>IF(A189="", "", IF(COUNTIFS(C$3:C188, C189, D$3:D188, D189, G$3:G188, G189) &gt; 0, "", "11:00"-AW189))</f>
        <v>0.37499999999999994</v>
      </c>
      <c r="Y189" s="52" t="str">
        <f t="shared" si="26"/>
        <v>1:40</v>
      </c>
      <c r="Z189" s="53">
        <v>2.0833333333333332E-2</v>
      </c>
      <c r="AA189" s="54" t="s">
        <v>67</v>
      </c>
      <c r="AB189" s="53">
        <v>2.0833333333333332E-2</v>
      </c>
      <c r="AC189" s="54" t="s">
        <v>63</v>
      </c>
      <c r="AD189" s="53"/>
      <c r="AE189" s="54"/>
      <c r="AF189" s="53"/>
      <c r="AG189" s="54"/>
      <c r="AH189" s="55">
        <v>4.1666666666666699E-2</v>
      </c>
      <c r="AI189" s="53"/>
      <c r="AJ189" s="54"/>
      <c r="AK189" s="53"/>
      <c r="AL189" s="54"/>
      <c r="AM189" s="53"/>
      <c r="AN189" s="54"/>
      <c r="AO189" s="53"/>
      <c r="AP189" s="54"/>
      <c r="AQ189" s="53"/>
      <c r="AR189" s="54"/>
      <c r="AS189" s="53"/>
      <c r="AT189" s="54"/>
      <c r="AU189" s="53">
        <v>4.1666666666666699E-2</v>
      </c>
      <c r="AV189" s="54" t="s">
        <v>37</v>
      </c>
      <c r="AW189" s="57">
        <f t="shared" si="23"/>
        <v>8.333333333333337E-2</v>
      </c>
      <c r="AX189" s="58" t="s">
        <v>113</v>
      </c>
    </row>
    <row r="190" spans="1:50" ht="28.5">
      <c r="A190" s="38" t="s">
        <v>231</v>
      </c>
      <c r="B190" s="39">
        <f t="shared" si="27"/>
        <v>186</v>
      </c>
      <c r="C190" s="40">
        <v>46029</v>
      </c>
      <c r="D190" s="40" t="s">
        <v>80</v>
      </c>
      <c r="E190" s="40" t="s">
        <v>81</v>
      </c>
      <c r="F190" s="41">
        <v>167.7</v>
      </c>
      <c r="G190" s="42" t="s">
        <v>232</v>
      </c>
      <c r="H190" s="43" t="str">
        <f>IFERROR(VLOOKUP($J190,'[9]FROM (3)'!$E$4:$F$230,2,FALSE),"")</f>
        <v>DNTH</v>
      </c>
      <c r="I190" s="44" t="str">
        <f t="shared" si="24"/>
        <v>SHAFT STARTER ARMATURE, 1W</v>
      </c>
      <c r="J190" s="44" t="str">
        <f t="shared" si="25"/>
        <v>TG028993-557B</v>
      </c>
      <c r="K190" s="59" t="str">
        <f t="shared" si="21"/>
        <v>PD26010170</v>
      </c>
      <c r="L190" s="46" t="str" cm="1">
        <f t="array" ref="L190">IFERROR(_xlfn.IFS(
    LEN($A190)-LEN(SUBSTITUTE($A190,"|",""))=12, RIGHT(A190, LEN(A190)-FIND("~", SUBSTITUTE(A190,"|","~", LEN(A190)-LEN(SUBSTITUTE(A190,"|",""))))),
    LEN($A190)-LEN(SUBSTITUTE($A190,"|",""))=13, MID($A190, FIND("~", SUBSTITUTE($A190,"|","~", 11))+1, FIND("~", SUBSTITUTE($A190,"|","~", 12))-FIND("~", SUBSTITUTE($A190,"|","~", 11))-1),
    LEN($A190)-LEN(SUBSTITUTE($A190,"|",""))=14, MID($A190, FIND("~", SUBSTITUTE($A190,"|","~", 11))+1, FIND("~", SUBSTITUTE($A190,"|","~", 12))-FIND("~", SUBSTITUTE($A190,"|","~", 11))-1)
), "")</f>
        <v>E586473</v>
      </c>
      <c r="M190" s="47" t="str">
        <f t="shared" si="19"/>
        <v>SB120140/2/25</v>
      </c>
      <c r="N190" s="46" t="str">
        <f t="shared" si="22"/>
        <v/>
      </c>
      <c r="O190" s="60">
        <v>35</v>
      </c>
      <c r="P190" s="60">
        <v>205</v>
      </c>
      <c r="Q190" s="48">
        <v>72</v>
      </c>
      <c r="R190" s="48">
        <v>17</v>
      </c>
      <c r="S190" s="48"/>
      <c r="T190" s="48"/>
      <c r="U190" s="49"/>
      <c r="V190" s="49"/>
      <c r="W190" s="50">
        <f t="shared" si="20"/>
        <v>0</v>
      </c>
      <c r="X190" s="51">
        <f>IF(A190="", "", IF(COUNTIFS(C$3:C189, C190, D$3:D189, D190, G$3:G189, G190) &gt; 0, "", "11:00"-AW190))</f>
        <v>0.41666666666666663</v>
      </c>
      <c r="Y190" s="52" t="str">
        <f t="shared" si="26"/>
        <v>1:40</v>
      </c>
      <c r="Z190" s="53"/>
      <c r="AA190" s="54"/>
      <c r="AB190" s="53"/>
      <c r="AC190" s="54"/>
      <c r="AD190" s="53"/>
      <c r="AE190" s="54"/>
      <c r="AF190" s="53"/>
      <c r="AG190" s="54"/>
      <c r="AH190" s="55">
        <v>4.1666666666666699E-2</v>
      </c>
      <c r="AI190" s="53"/>
      <c r="AJ190" s="54"/>
      <c r="AK190" s="53"/>
      <c r="AL190" s="54"/>
      <c r="AM190" s="53"/>
      <c r="AN190" s="54"/>
      <c r="AO190" s="53"/>
      <c r="AP190" s="54"/>
      <c r="AQ190" s="53"/>
      <c r="AR190" s="54"/>
      <c r="AS190" s="53"/>
      <c r="AT190" s="54"/>
      <c r="AU190" s="53">
        <v>4.1666666666666699E-2</v>
      </c>
      <c r="AV190" s="54" t="s">
        <v>37</v>
      </c>
      <c r="AW190" s="57">
        <f t="shared" si="23"/>
        <v>4.1666666666666699E-2</v>
      </c>
      <c r="AX190" s="58"/>
    </row>
    <row r="191" spans="1:50" ht="21" customHeight="1">
      <c r="A191" s="38" t="s">
        <v>233</v>
      </c>
      <c r="B191" s="39">
        <f t="shared" si="27"/>
        <v>187</v>
      </c>
      <c r="C191" s="40">
        <v>46030</v>
      </c>
      <c r="D191" s="40" t="s">
        <v>32</v>
      </c>
      <c r="E191" s="40" t="s">
        <v>33</v>
      </c>
      <c r="F191" s="41">
        <v>375</v>
      </c>
      <c r="G191" s="42" t="s">
        <v>172</v>
      </c>
      <c r="H191" s="43" t="str">
        <f>IFERROR(VLOOKUP($J191,'[9]FROM (3)'!$E$4:$F$230,2,FALSE),"")</f>
        <v>ATAC</v>
      </c>
      <c r="I191" s="44" t="str">
        <f t="shared" si="24"/>
        <v>SEAT,WATER PUMP PULLEY</v>
      </c>
      <c r="J191" s="44" t="str">
        <f t="shared" si="25"/>
        <v>16171-05030</v>
      </c>
      <c r="K191" s="59" t="str">
        <f t="shared" si="21"/>
        <v>PD26010090</v>
      </c>
      <c r="L191" s="46" t="str" cm="1">
        <f t="array" ref="L191">IFERROR(_xlfn.IFS(
    LEN($A191)-LEN(SUBSTITUTE($A191,"|",""))=12, RIGHT(A191, LEN(A191)-FIND("~", SUBSTITUTE(A191,"|","~", LEN(A191)-LEN(SUBSTITUTE(A191,"|",""))))),
    LEN($A191)-LEN(SUBSTITUTE($A191,"|",""))=13, MID($A191, FIND("~", SUBSTITUTE($A191,"|","~", 11))+1, FIND("~", SUBSTITUTE($A191,"|","~", 12))-FIND("~", SUBSTITUTE($A191,"|","~", 11))-1),
    LEN($A191)-LEN(SUBSTITUTE($A191,"|",""))=14, MID($A191, FIND("~", SUBSTITUTE($A191,"|","~", 11))+1, FIND("~", SUBSTITUTE($A191,"|","~", 12))-FIND("~", SUBSTITUTE($A191,"|","~", 11))-1)
), "")</f>
        <v>665898</v>
      </c>
      <c r="M191" s="47" t="str">
        <f t="shared" si="19"/>
        <v>SB120198/4/25</v>
      </c>
      <c r="N191" s="46" t="str">
        <f t="shared" si="22"/>
        <v/>
      </c>
      <c r="O191" s="60">
        <v>14</v>
      </c>
      <c r="P191" s="60">
        <v>992</v>
      </c>
      <c r="Q191" s="48">
        <v>2418</v>
      </c>
      <c r="R191" s="48">
        <v>907</v>
      </c>
      <c r="S191" s="48"/>
      <c r="T191" s="48"/>
      <c r="U191" s="49"/>
      <c r="V191" s="49"/>
      <c r="W191" s="50">
        <f t="shared" si="20"/>
        <v>0</v>
      </c>
      <c r="X191" s="51">
        <f>IF(A191="", "", IF(COUNTIFS(C$3:C190, C191, D$3:D190, D191, G$3:G190, G191) &gt; 0, "", "11:00"-AW191))</f>
        <v>0.41666666666666663</v>
      </c>
      <c r="Y191" s="52" t="str">
        <f t="shared" si="26"/>
        <v>1:40</v>
      </c>
      <c r="Z191" s="53"/>
      <c r="AA191" s="54"/>
      <c r="AB191" s="53"/>
      <c r="AC191" s="54"/>
      <c r="AD191" s="53"/>
      <c r="AE191" s="54"/>
      <c r="AF191" s="53"/>
      <c r="AG191" s="54"/>
      <c r="AH191" s="55">
        <v>4.1666666666666699E-2</v>
      </c>
      <c r="AI191" s="53"/>
      <c r="AJ191" s="54"/>
      <c r="AK191" s="53"/>
      <c r="AL191" s="54"/>
      <c r="AM191" s="53"/>
      <c r="AN191" s="54"/>
      <c r="AO191" s="53"/>
      <c r="AP191" s="54"/>
      <c r="AQ191" s="53"/>
      <c r="AR191" s="54"/>
      <c r="AS191" s="53"/>
      <c r="AT191" s="54"/>
      <c r="AU191" s="53">
        <v>4.1666666666666699E-2</v>
      </c>
      <c r="AV191" s="54" t="s">
        <v>37</v>
      </c>
      <c r="AW191" s="57">
        <f t="shared" si="23"/>
        <v>4.1666666666666699E-2</v>
      </c>
      <c r="AX191" s="58" t="s">
        <v>38</v>
      </c>
    </row>
    <row r="192" spans="1:50" ht="28.5">
      <c r="A192" s="38" t="s">
        <v>234</v>
      </c>
      <c r="B192" s="39">
        <f t="shared" si="27"/>
        <v>188</v>
      </c>
      <c r="C192" s="40">
        <v>46030</v>
      </c>
      <c r="D192" s="40" t="s">
        <v>32</v>
      </c>
      <c r="E192" s="40" t="s">
        <v>33</v>
      </c>
      <c r="F192" s="41">
        <v>375</v>
      </c>
      <c r="G192" s="42" t="s">
        <v>172</v>
      </c>
      <c r="H192" s="43" t="str">
        <f>IFERROR(VLOOKUP($J192,'[9]FROM (3)'!$E$4:$F$230,2,FALSE),"")</f>
        <v>ATAC</v>
      </c>
      <c r="I192" s="44" t="str">
        <f t="shared" si="24"/>
        <v>SEAT,WATER PUMP PULLEY</v>
      </c>
      <c r="J192" s="44" t="str">
        <f t="shared" si="25"/>
        <v>16171-05030</v>
      </c>
      <c r="K192" s="59" t="str">
        <f t="shared" si="21"/>
        <v>PD26010090</v>
      </c>
      <c r="L192" s="46" t="str" cm="1">
        <f t="array" ref="L192">IFERROR(_xlfn.IFS(
    LEN($A192)-LEN(SUBSTITUTE($A192,"|",""))=12, RIGHT(A192, LEN(A192)-FIND("~", SUBSTITUTE(A192,"|","~", LEN(A192)-LEN(SUBSTITUTE(A192,"|",""))))),
    LEN($A192)-LEN(SUBSTITUTE($A192,"|",""))=13, MID($A192, FIND("~", SUBSTITUTE($A192,"|","~", 11))+1, FIND("~", SUBSTITUTE($A192,"|","~", 12))-FIND("~", SUBSTITUTE($A192,"|","~", 11))-1),
    LEN($A192)-LEN(SUBSTITUTE($A192,"|",""))=14, MID($A192, FIND("~", SUBSTITUTE($A192,"|","~", 11))+1, FIND("~", SUBSTITUTE($A192,"|","~", 12))-FIND("~", SUBSTITUTE($A192,"|","~", 11))-1)
), "")</f>
        <v>665898</v>
      </c>
      <c r="M192" s="47" t="str">
        <f t="shared" si="19"/>
        <v>SB120198/6/25</v>
      </c>
      <c r="N192" s="46" t="str">
        <f t="shared" si="22"/>
        <v/>
      </c>
      <c r="O192" s="60">
        <v>14</v>
      </c>
      <c r="P192" s="60">
        <v>992</v>
      </c>
      <c r="Q192" s="48">
        <v>400</v>
      </c>
      <c r="R192" s="48">
        <v>150</v>
      </c>
      <c r="S192" s="48"/>
      <c r="T192" s="48"/>
      <c r="U192" s="49"/>
      <c r="V192" s="49"/>
      <c r="W192" s="50">
        <f t="shared" si="20"/>
        <v>0</v>
      </c>
      <c r="X192" s="51" t="str">
        <f>IF(A192="", "", IF(COUNTIFS(C$3:C191, C192, D$3:D191, D192, G$3:G191, G192) &gt; 0, "", "11:00"-AW192))</f>
        <v/>
      </c>
      <c r="Y192" s="52" t="str">
        <f t="shared" si="26"/>
        <v/>
      </c>
      <c r="Z192" s="53"/>
      <c r="AA192" s="54"/>
      <c r="AB192" s="53"/>
      <c r="AC192" s="54"/>
      <c r="AD192" s="53"/>
      <c r="AE192" s="54"/>
      <c r="AF192" s="53"/>
      <c r="AG192" s="54"/>
      <c r="AH192" s="55">
        <v>4.1666666666666699E-2</v>
      </c>
      <c r="AI192" s="53"/>
      <c r="AJ192" s="54"/>
      <c r="AK192" s="53"/>
      <c r="AL192" s="54"/>
      <c r="AM192" s="53"/>
      <c r="AN192" s="54"/>
      <c r="AO192" s="53"/>
      <c r="AP192" s="54"/>
      <c r="AQ192" s="53"/>
      <c r="AR192" s="54"/>
      <c r="AS192" s="53"/>
      <c r="AT192" s="54"/>
      <c r="AU192" s="53">
        <v>4.1666666666666699E-2</v>
      </c>
      <c r="AV192" s="54" t="s">
        <v>37</v>
      </c>
      <c r="AW192" s="57">
        <f t="shared" si="23"/>
        <v>4.1666666666666699E-2</v>
      </c>
      <c r="AX192" s="58" t="s">
        <v>38</v>
      </c>
    </row>
    <row r="193" spans="1:50" ht="28.5">
      <c r="A193" s="38" t="s">
        <v>204</v>
      </c>
      <c r="B193" s="39">
        <f t="shared" si="27"/>
        <v>189</v>
      </c>
      <c r="C193" s="40">
        <v>46030</v>
      </c>
      <c r="D193" s="40" t="s">
        <v>32</v>
      </c>
      <c r="E193" s="40" t="s">
        <v>33</v>
      </c>
      <c r="F193" s="41">
        <v>111.6</v>
      </c>
      <c r="G193" s="42" t="s">
        <v>34</v>
      </c>
      <c r="H193" s="43" t="str">
        <f>IFERROR(VLOOKUP($J193,'[9]FROM (3)'!$E$4:$F$230,2,FALSE),"")</f>
        <v>(Astemo)AS-TK</v>
      </c>
      <c r="I193" s="44" t="str">
        <f t="shared" si="24"/>
        <v>CAP RESERVOIR</v>
      </c>
      <c r="J193" s="44" t="str">
        <f t="shared" si="25"/>
        <v>8A10524</v>
      </c>
      <c r="K193" s="59" t="str">
        <f t="shared" si="21"/>
        <v>PD26010108</v>
      </c>
      <c r="L193" s="46" t="str" cm="1">
        <f t="array" ref="L193">IFERROR(_xlfn.IFS(
    LEN($A193)-LEN(SUBSTITUTE($A193,"|",""))=12, RIGHT(A193, LEN(A193)-FIND("~", SUBSTITUTE(A193,"|","~", LEN(A193)-LEN(SUBSTITUTE(A193,"|",""))))),
    LEN($A193)-LEN(SUBSTITUTE($A193,"|",""))=13, MID($A193, FIND("~", SUBSTITUTE($A193,"|","~", 11))+1, FIND("~", SUBSTITUTE($A193,"|","~", 12))-FIND("~", SUBSTITUTE($A193,"|","~", 11))-1),
    LEN($A193)-LEN(SUBSTITUTE($A193,"|",""))=14, MID($A193, FIND("~", SUBSTITUTE($A193,"|","~", 11))+1, FIND("~", SUBSTITUTE($A193,"|","~", 12))-FIND("~", SUBSTITUTE($A193,"|","~", 11))-1)
), "")</f>
        <v>3V096</v>
      </c>
      <c r="M193" s="47" t="str">
        <f t="shared" si="19"/>
        <v>SB010003/2/26</v>
      </c>
      <c r="N193" s="46" t="str">
        <f t="shared" si="22"/>
        <v/>
      </c>
      <c r="O193" s="60" t="s">
        <v>35</v>
      </c>
      <c r="P193" s="60" t="s">
        <v>35</v>
      </c>
      <c r="Q193" s="48">
        <v>3467</v>
      </c>
      <c r="R193" s="48">
        <v>387</v>
      </c>
      <c r="S193" s="48"/>
      <c r="T193" s="48"/>
      <c r="U193" s="49"/>
      <c r="V193" s="49"/>
      <c r="W193" s="50">
        <f t="shared" si="20"/>
        <v>0</v>
      </c>
      <c r="X193" s="51">
        <f>IF(A193="", "", IF(COUNTIFS(C$3:C192, C193, D$3:D192, D193, G$3:G192, G193) &gt; 0, "", "11:00"-AW193))</f>
        <v>0.33333333333333326</v>
      </c>
      <c r="Y193" s="52" t="str">
        <f t="shared" si="26"/>
        <v>1:0</v>
      </c>
      <c r="Z193" s="53"/>
      <c r="AA193" s="54"/>
      <c r="AB193" s="53"/>
      <c r="AC193" s="54"/>
      <c r="AD193" s="53"/>
      <c r="AE193" s="54"/>
      <c r="AF193" s="53"/>
      <c r="AG193" s="54"/>
      <c r="AH193" s="55">
        <v>4.1666666666666699E-2</v>
      </c>
      <c r="AI193" s="53"/>
      <c r="AJ193" s="54"/>
      <c r="AK193" s="53"/>
      <c r="AL193" s="54"/>
      <c r="AM193" s="53"/>
      <c r="AN193" s="54"/>
      <c r="AO193" s="53"/>
      <c r="AP193" s="54"/>
      <c r="AQ193" s="53">
        <v>4.1666666666666664E-2</v>
      </c>
      <c r="AR193" s="54" t="s">
        <v>37</v>
      </c>
      <c r="AS193" s="53">
        <v>4.1666666666666664E-2</v>
      </c>
      <c r="AT193" s="54" t="s">
        <v>37</v>
      </c>
      <c r="AU193" s="53">
        <v>4.1666666666666699E-2</v>
      </c>
      <c r="AV193" s="54" t="s">
        <v>37</v>
      </c>
      <c r="AW193" s="57">
        <f t="shared" si="23"/>
        <v>0.12500000000000003</v>
      </c>
      <c r="AX193" s="58" t="s">
        <v>48</v>
      </c>
    </row>
    <row r="194" spans="1:50" ht="28.5">
      <c r="A194" s="38" t="s">
        <v>235</v>
      </c>
      <c r="B194" s="39">
        <f t="shared" si="27"/>
        <v>190</v>
      </c>
      <c r="C194" s="40">
        <v>46030</v>
      </c>
      <c r="D194" s="40" t="s">
        <v>32</v>
      </c>
      <c r="E194" s="40" t="s">
        <v>33</v>
      </c>
      <c r="F194" s="41">
        <v>516.5</v>
      </c>
      <c r="G194" s="42" t="s">
        <v>41</v>
      </c>
      <c r="H194" s="43" t="str">
        <f>IFERROR(VLOOKUP($J194,'[9]FROM (3)'!$E$4:$F$230,2,FALSE),"")</f>
        <v>KONSEI</v>
      </c>
      <c r="I194" s="44" t="str">
        <f t="shared" si="24"/>
        <v>Piston Disc Brake, Forging</v>
      </c>
      <c r="J194" s="44" t="str">
        <f t="shared" si="25"/>
        <v>141411-60140-20</v>
      </c>
      <c r="K194" s="59" t="str">
        <f t="shared" si="21"/>
        <v>PD26010253</v>
      </c>
      <c r="L194" s="46" t="str" cm="1">
        <f t="array" ref="L194">IFERROR(_xlfn.IFS(
    LEN($A194)-LEN(SUBSTITUTE($A194,"|",""))=12, RIGHT(A194, LEN(A194)-FIND("~", SUBSTITUTE(A194,"|","~", LEN(A194)-LEN(SUBSTITUTE(A194,"|",""))))),
    LEN($A194)-LEN(SUBSTITUTE($A194,"|",""))=13, MID($A194, FIND("~", SUBSTITUTE($A194,"|","~", 11))+1, FIND("~", SUBSTITUTE($A194,"|","~", 12))-FIND("~", SUBSTITUTE($A194,"|","~", 11))-1),
    LEN($A194)-LEN(SUBSTITUTE($A194,"|",""))=14, MID($A194, FIND("~", SUBSTITUTE($A194,"|","~", 11))+1, FIND("~", SUBSTITUTE($A194,"|","~", 12))-FIND("~", SUBSTITUTE($A194,"|","~", 11))-1)
), "")</f>
        <v>663961</v>
      </c>
      <c r="M194" s="47" t="str">
        <f t="shared" si="19"/>
        <v>2B2600077</v>
      </c>
      <c r="N194" s="46" t="str">
        <f t="shared" si="22"/>
        <v/>
      </c>
      <c r="O194" s="60">
        <v>16</v>
      </c>
      <c r="P194" s="60">
        <v>1952</v>
      </c>
      <c r="Q194" s="48">
        <v>1140</v>
      </c>
      <c r="R194" s="48">
        <v>589</v>
      </c>
      <c r="S194" s="48"/>
      <c r="T194" s="48"/>
      <c r="U194" s="49"/>
      <c r="V194" s="49"/>
      <c r="W194" s="50">
        <f t="shared" si="20"/>
        <v>0</v>
      </c>
      <c r="X194" s="51">
        <f>IF(A194="", "", IF(COUNTIFS(C$3:C193, C194, D$3:D193, D194, G$3:G193, G194) &gt; 0, "", "11:00"-AW194))</f>
        <v>0.33333333333333326</v>
      </c>
      <c r="Y194" s="52" t="str">
        <f t="shared" si="26"/>
        <v>1:0</v>
      </c>
      <c r="Z194" s="53"/>
      <c r="AA194" s="54"/>
      <c r="AB194" s="53"/>
      <c r="AC194" s="54"/>
      <c r="AD194" s="53"/>
      <c r="AE194" s="54"/>
      <c r="AF194" s="53"/>
      <c r="AG194" s="54"/>
      <c r="AH194" s="55">
        <v>4.1666666666666699E-2</v>
      </c>
      <c r="AI194" s="53"/>
      <c r="AJ194" s="54"/>
      <c r="AK194" s="53"/>
      <c r="AL194" s="54"/>
      <c r="AM194" s="53"/>
      <c r="AN194" s="54"/>
      <c r="AO194" s="53"/>
      <c r="AP194" s="54"/>
      <c r="AQ194" s="53">
        <v>4.1666666666666664E-2</v>
      </c>
      <c r="AR194" s="54" t="s">
        <v>37</v>
      </c>
      <c r="AS194" s="53">
        <v>4.1666666666666664E-2</v>
      </c>
      <c r="AT194" s="54" t="s">
        <v>37</v>
      </c>
      <c r="AU194" s="53">
        <v>4.1666666666666699E-2</v>
      </c>
      <c r="AV194" s="54" t="s">
        <v>37</v>
      </c>
      <c r="AW194" s="57">
        <f t="shared" si="23"/>
        <v>0.12500000000000003</v>
      </c>
      <c r="AX194" s="58" t="s">
        <v>48</v>
      </c>
    </row>
    <row r="195" spans="1:50" ht="28.5">
      <c r="A195" s="38" t="s">
        <v>236</v>
      </c>
      <c r="B195" s="39">
        <f t="shared" si="27"/>
        <v>191</v>
      </c>
      <c r="C195" s="40">
        <v>46030</v>
      </c>
      <c r="D195" s="40" t="s">
        <v>32</v>
      </c>
      <c r="E195" s="40" t="s">
        <v>33</v>
      </c>
      <c r="F195" s="41">
        <v>25.35</v>
      </c>
      <c r="G195" s="42" t="s">
        <v>44</v>
      </c>
      <c r="H195" s="43" t="str">
        <f>IFERROR(VLOOKUP($J195,'[9]FROM (3)'!$E$4:$F$230,2,FALSE),"")</f>
        <v>KYOWA NT</v>
      </c>
      <c r="I195" s="44" t="str">
        <f t="shared" si="24"/>
        <v>PIN</v>
      </c>
      <c r="J195" s="44" t="str">
        <f t="shared" si="25"/>
        <v>8306T0036</v>
      </c>
      <c r="K195" s="59" t="str">
        <f t="shared" si="21"/>
        <v>PD25121321</v>
      </c>
      <c r="L195" s="46" t="str" cm="1">
        <f t="array" ref="L195">IFERROR(_xlfn.IFS(
    LEN($A195)-LEN(SUBSTITUTE($A195,"|",""))=12, RIGHT(A195, LEN(A195)-FIND("~", SUBSTITUTE(A195,"|","~", LEN(A195)-LEN(SUBSTITUTE(A195,"|",""))))),
    LEN($A195)-LEN(SUBSTITUTE($A195,"|",""))=13, MID($A195, FIND("~", SUBSTITUTE($A195,"|","~", 11))+1, FIND("~", SUBSTITUTE($A195,"|","~", 12))-FIND("~", SUBSTITUTE($A195,"|","~", 11))-1),
    LEN($A195)-LEN(SUBSTITUTE($A195,"|",""))=14, MID($A195, FIND("~", SUBSTITUTE($A195,"|","~", 11))+1, FIND("~", SUBSTITUTE($A195,"|","~", 12))-FIND("~", SUBSTITUTE($A195,"|","~", 11))-1)
), "")</f>
        <v>665573</v>
      </c>
      <c r="M195" s="47" t="str">
        <f t="shared" si="19"/>
        <v>SB120110/2/25</v>
      </c>
      <c r="N195" s="46" t="str">
        <f t="shared" si="22"/>
        <v/>
      </c>
      <c r="O195" s="60" t="s">
        <v>35</v>
      </c>
      <c r="P195" s="60" t="s">
        <v>35</v>
      </c>
      <c r="Q195" s="48">
        <v>5811</v>
      </c>
      <c r="R195" s="48">
        <v>147</v>
      </c>
      <c r="S195" s="48"/>
      <c r="T195" s="48"/>
      <c r="U195" s="49"/>
      <c r="V195" s="49"/>
      <c r="W195" s="50">
        <f t="shared" si="20"/>
        <v>0</v>
      </c>
      <c r="X195" s="51">
        <f>IF(A195="", "", IF(COUNTIFS(C$3:C194, C195, D$3:D194, D195, G$3:G194, G195) &gt; 0, "", "11:00"-AW195))</f>
        <v>0.33333333333333326</v>
      </c>
      <c r="Y195" s="52" t="str">
        <f t="shared" si="26"/>
        <v>1:0</v>
      </c>
      <c r="Z195" s="53"/>
      <c r="AA195" s="54"/>
      <c r="AB195" s="53"/>
      <c r="AC195" s="54"/>
      <c r="AD195" s="53"/>
      <c r="AE195" s="54"/>
      <c r="AF195" s="53"/>
      <c r="AG195" s="54"/>
      <c r="AH195" s="55">
        <v>4.1666666666666699E-2</v>
      </c>
      <c r="AI195" s="53"/>
      <c r="AJ195" s="54"/>
      <c r="AK195" s="53"/>
      <c r="AL195" s="54"/>
      <c r="AM195" s="53"/>
      <c r="AN195" s="54"/>
      <c r="AO195" s="53"/>
      <c r="AP195" s="54"/>
      <c r="AQ195" s="53">
        <v>4.1666666666666664E-2</v>
      </c>
      <c r="AR195" s="54" t="s">
        <v>37</v>
      </c>
      <c r="AS195" s="53">
        <v>4.1666666666666664E-2</v>
      </c>
      <c r="AT195" s="54" t="s">
        <v>37</v>
      </c>
      <c r="AU195" s="53">
        <v>4.1666666666666699E-2</v>
      </c>
      <c r="AV195" s="54" t="s">
        <v>37</v>
      </c>
      <c r="AW195" s="57">
        <f t="shared" si="23"/>
        <v>0.12500000000000003</v>
      </c>
      <c r="AX195" s="58" t="s">
        <v>48</v>
      </c>
    </row>
    <row r="196" spans="1:50" ht="28.5">
      <c r="A196" s="38" t="s">
        <v>217</v>
      </c>
      <c r="B196" s="39">
        <f t="shared" si="27"/>
        <v>192</v>
      </c>
      <c r="C196" s="62">
        <v>46030</v>
      </c>
      <c r="D196" s="40" t="s">
        <v>32</v>
      </c>
      <c r="E196" s="40" t="s">
        <v>33</v>
      </c>
      <c r="F196" s="41">
        <v>262</v>
      </c>
      <c r="G196" s="42" t="s">
        <v>108</v>
      </c>
      <c r="H196" s="43" t="str">
        <f>IFERROR(VLOOKUP($J196,'[9]FROM (3)'!$E$4:$F$230,2,FALSE),"")</f>
        <v/>
      </c>
      <c r="I196" s="44" t="str">
        <f t="shared" si="24"/>
        <v>RACK</v>
      </c>
      <c r="J196" s="44" t="str">
        <f t="shared" si="25"/>
        <v>510-30149-020</v>
      </c>
      <c r="K196" s="59" t="str">
        <f t="shared" si="21"/>
        <v>PD26010111</v>
      </c>
      <c r="L196" s="46" t="str" cm="1">
        <f t="array" ref="L196">IFERROR(_xlfn.IFS(
    LEN($A196)-LEN(SUBSTITUTE($A196,"|",""))=12, RIGHT(A196, LEN(A196)-FIND("~", SUBSTITUTE(A196,"|","~", LEN(A196)-LEN(SUBSTITUTE(A196,"|",""))))),
    LEN($A196)-LEN(SUBSTITUTE($A196,"|",""))=13, MID($A196, FIND("~", SUBSTITUTE($A196,"|","~", 11))+1, FIND("~", SUBSTITUTE($A196,"|","~", 12))-FIND("~", SUBSTITUTE($A196,"|","~", 11))-1),
    LEN($A196)-LEN(SUBSTITUTE($A196,"|",""))=14, MID($A196, FIND("~", SUBSTITUTE($A196,"|","~", 11))+1, FIND("~", SUBSTITUTE($A196,"|","~", 12))-FIND("~", SUBSTITUTE($A196,"|","~", 11))-1)
), "")</f>
        <v>5C1361</v>
      </c>
      <c r="M196" s="47" t="str">
        <f t="shared" si="19"/>
        <v>SB010002/6/26</v>
      </c>
      <c r="N196" s="46" t="str">
        <f t="shared" si="22"/>
        <v/>
      </c>
      <c r="O196" s="60" t="s">
        <v>35</v>
      </c>
      <c r="P196" s="60" t="s">
        <v>35</v>
      </c>
      <c r="Q196" s="48">
        <v>357</v>
      </c>
      <c r="R196" s="48">
        <v>584</v>
      </c>
      <c r="S196" s="48"/>
      <c r="T196" s="48"/>
      <c r="U196" s="49">
        <v>177</v>
      </c>
      <c r="V196" s="49">
        <v>18</v>
      </c>
      <c r="W196" s="50">
        <f t="shared" si="20"/>
        <v>195</v>
      </c>
      <c r="X196" s="51">
        <f>IF(A196="", "", IF(COUNTIFS(C$3:C195, C196, D$3:D195, D196, G$3:G195, G196) &gt; 0, "", "11:00"-AW196))</f>
        <v>0.37499999999999994</v>
      </c>
      <c r="Y196" s="52" t="str">
        <f t="shared" si="26"/>
        <v>1:40</v>
      </c>
      <c r="Z196" s="53"/>
      <c r="AA196" s="54"/>
      <c r="AB196" s="53"/>
      <c r="AC196" s="54"/>
      <c r="AD196" s="53">
        <v>3.4722222222222224E-2</v>
      </c>
      <c r="AE196" s="54" t="s">
        <v>237</v>
      </c>
      <c r="AF196" s="53">
        <v>6.9444444444444441E-3</v>
      </c>
      <c r="AG196" s="54" t="s">
        <v>67</v>
      </c>
      <c r="AH196" s="55">
        <v>4.1666666666666699E-2</v>
      </c>
      <c r="AI196" s="53"/>
      <c r="AJ196" s="54"/>
      <c r="AK196" s="53"/>
      <c r="AL196" s="54"/>
      <c r="AM196" s="53"/>
      <c r="AN196" s="54"/>
      <c r="AO196" s="53"/>
      <c r="AP196" s="54"/>
      <c r="AQ196" s="53"/>
      <c r="AR196" s="54"/>
      <c r="AS196" s="53"/>
      <c r="AT196" s="54"/>
      <c r="AU196" s="53">
        <v>4.1666666666666699E-2</v>
      </c>
      <c r="AV196" s="54" t="s">
        <v>37</v>
      </c>
      <c r="AW196" s="57">
        <f t="shared" si="23"/>
        <v>8.333333333333337E-2</v>
      </c>
      <c r="AX196" s="58" t="s">
        <v>38</v>
      </c>
    </row>
    <row r="197" spans="1:50" ht="28.5">
      <c r="A197" s="38" t="s">
        <v>238</v>
      </c>
      <c r="B197" s="39">
        <f t="shared" si="27"/>
        <v>193</v>
      </c>
      <c r="C197" s="40">
        <v>46030</v>
      </c>
      <c r="D197" s="40" t="s">
        <v>32</v>
      </c>
      <c r="E197" s="40" t="s">
        <v>33</v>
      </c>
      <c r="F197" s="41">
        <v>278</v>
      </c>
      <c r="G197" s="42" t="s">
        <v>108</v>
      </c>
      <c r="H197" s="43" t="str">
        <f>IFERROR(VLOOKUP($J197,'[9]FROM (3)'!$E$4:$F$230,2,FALSE),"")</f>
        <v>SIAM NSK</v>
      </c>
      <c r="I197" s="44" t="str">
        <f t="shared" si="24"/>
        <v>SHAFT SPLINE</v>
      </c>
      <c r="J197" s="44" t="str">
        <f t="shared" si="25"/>
        <v>2550T0749P</v>
      </c>
      <c r="K197" s="59" t="str">
        <f t="shared" si="21"/>
        <v>PD25120794</v>
      </c>
      <c r="L197" s="46" t="str" cm="1">
        <f t="array" ref="L197">IFERROR(_xlfn.IFS(
    LEN($A197)-LEN(SUBSTITUTE($A197,"|",""))=12, RIGHT(A197, LEN(A197)-FIND("~", SUBSTITUTE(A197,"|","~", LEN(A197)-LEN(SUBSTITUTE(A197,"|",""))))),
    LEN($A197)-LEN(SUBSTITUTE($A197,"|",""))=13, MID($A197, FIND("~", SUBSTITUTE($A197,"|","~", 11))+1, FIND("~", SUBSTITUTE($A197,"|","~", 12))-FIND("~", SUBSTITUTE($A197,"|","~", 11))-1),
    LEN($A197)-LEN(SUBSTITUTE($A197,"|",""))=14, MID($A197, FIND("~", SUBSTITUTE($A197,"|","~", 11))+1, FIND("~", SUBSTITUTE($A197,"|","~", 12))-FIND("~", SUBSTITUTE($A197,"|","~", 11))-1)
), "")</f>
        <v>SF93402</v>
      </c>
      <c r="M197" s="47" t="str">
        <f t="shared" ref="M197:M260" si="28">IFERROR(MID(A197,FIND("~",SUBSTITUTE(A197,"|","~",10))+1,FIND("~",SUBSTITUTE(A197,"|","~",11))-FIND("~",SUBSTITUTE(A197,"|","~",10))-1),"")</f>
        <v>SB120101/6/25</v>
      </c>
      <c r="N197" s="46" t="str">
        <f t="shared" si="22"/>
        <v/>
      </c>
      <c r="O197" s="60">
        <v>105</v>
      </c>
      <c r="P197" s="60">
        <v>1010</v>
      </c>
      <c r="Q197" s="48">
        <v>1680</v>
      </c>
      <c r="R197" s="48">
        <v>960</v>
      </c>
      <c r="S197" s="48"/>
      <c r="T197" s="48"/>
      <c r="U197" s="49"/>
      <c r="V197" s="49"/>
      <c r="W197" s="50">
        <f t="shared" ref="W197:W260" si="29">SUM(U197:V197)</f>
        <v>0</v>
      </c>
      <c r="X197" s="51" t="str">
        <f>IF(A197="", "", IF(COUNTIFS(C$3:C196, C197, D$3:D196, D197, G$3:G196, G197) &gt; 0, "", "11:00"-AW197))</f>
        <v/>
      </c>
      <c r="Y197" s="52" t="str">
        <f t="shared" si="26"/>
        <v/>
      </c>
      <c r="Z197" s="53"/>
      <c r="AA197" s="54"/>
      <c r="AB197" s="53"/>
      <c r="AC197" s="54"/>
      <c r="AD197" s="53"/>
      <c r="AE197" s="54"/>
      <c r="AF197" s="53"/>
      <c r="AG197" s="54"/>
      <c r="AH197" s="55">
        <v>4.1666666666666699E-2</v>
      </c>
      <c r="AI197" s="53"/>
      <c r="AJ197" s="54"/>
      <c r="AK197" s="53"/>
      <c r="AL197" s="54"/>
      <c r="AM197" s="53"/>
      <c r="AN197" s="54"/>
      <c r="AO197" s="53"/>
      <c r="AP197" s="54"/>
      <c r="AQ197" s="53"/>
      <c r="AR197" s="54"/>
      <c r="AS197" s="53"/>
      <c r="AT197" s="54"/>
      <c r="AU197" s="53">
        <v>4.1666666666666699E-2</v>
      </c>
      <c r="AV197" s="54" t="s">
        <v>37</v>
      </c>
      <c r="AW197" s="57">
        <f t="shared" si="23"/>
        <v>4.1666666666666699E-2</v>
      </c>
      <c r="AX197" s="58" t="s">
        <v>38</v>
      </c>
    </row>
    <row r="198" spans="1:50" ht="28.5">
      <c r="A198" s="38" t="s">
        <v>239</v>
      </c>
      <c r="B198" s="39">
        <f t="shared" si="27"/>
        <v>194</v>
      </c>
      <c r="C198" s="40">
        <v>46030</v>
      </c>
      <c r="D198" s="40" t="s">
        <v>32</v>
      </c>
      <c r="E198" s="40" t="s">
        <v>33</v>
      </c>
      <c r="F198" s="41">
        <v>278</v>
      </c>
      <c r="G198" s="42" t="s">
        <v>108</v>
      </c>
      <c r="H198" s="43" t="str">
        <f>IFERROR(VLOOKUP($J198,'[9]FROM (3)'!$E$4:$F$230,2,FALSE),"")</f>
        <v>SIAM NSK</v>
      </c>
      <c r="I198" s="44" t="str">
        <f t="shared" si="24"/>
        <v>SHAFT SPLINE</v>
      </c>
      <c r="J198" s="44" t="str">
        <f t="shared" si="25"/>
        <v>2550T0749P</v>
      </c>
      <c r="K198" s="59" t="str">
        <f t="shared" ref="K198:K261" si="30">IFERROR(LEFT(A198,SEARCH("|",A198)-1),"")</f>
        <v>PD25120794</v>
      </c>
      <c r="L198" s="46" t="str" cm="1">
        <f t="array" ref="L198">IFERROR(_xlfn.IFS(
    LEN($A198)-LEN(SUBSTITUTE($A198,"|",""))=12, RIGHT(A198, LEN(A198)-FIND("~", SUBSTITUTE(A198,"|","~", LEN(A198)-LEN(SUBSTITUTE(A198,"|",""))))),
    LEN($A198)-LEN(SUBSTITUTE($A198,"|",""))=13, MID($A198, FIND("~", SUBSTITUTE($A198,"|","~", 11))+1, FIND("~", SUBSTITUTE($A198,"|","~", 12))-FIND("~", SUBSTITUTE($A198,"|","~", 11))-1),
    LEN($A198)-LEN(SUBSTITUTE($A198,"|",""))=14, MID($A198, FIND("~", SUBSTITUTE($A198,"|","~", 11))+1, FIND("~", SUBSTITUTE($A198,"|","~", 12))-FIND("~", SUBSTITUTE($A198,"|","~", 11))-1)
), "")</f>
        <v>SF93402</v>
      </c>
      <c r="M198" s="47" t="str">
        <f t="shared" si="28"/>
        <v>SB120101/5/25</v>
      </c>
      <c r="N198" s="46" t="str">
        <f t="shared" ref="N198:N261" si="31">IFERROR(IF(LEN($A198)-LEN(SUBSTITUTE($A198,"|",""))=12,MID($A198,FIND("~",SUBSTITUTE($A198,"|","~",11))+1,FIND("~",SUBSTITUTE($A198,"|","~",12))-FIND("~",SUBSTITUTE($A198,"|","~",11))-1),IF(LEN($A198)-LEN(SUBSTITUTE($A198,"|",""))=13,MID($A198,FIND("~",SUBSTITUTE($A198,"|","~",10))+1,FIND("~",SUBSTITUTE($A198,"|","~",11))-FIND("~",SUBSTITUTE($A198,"|","~",10))-1), "")),"")</f>
        <v/>
      </c>
      <c r="O198" s="60">
        <v>102</v>
      </c>
      <c r="P198" s="60">
        <v>982</v>
      </c>
      <c r="Q198" s="48">
        <v>720</v>
      </c>
      <c r="R198" s="48">
        <v>411</v>
      </c>
      <c r="S198" s="48"/>
      <c r="T198" s="48"/>
      <c r="U198" s="49"/>
      <c r="V198" s="49"/>
      <c r="W198" s="50">
        <f t="shared" si="29"/>
        <v>0</v>
      </c>
      <c r="X198" s="51" t="str">
        <f>IF(A198="", "", IF(COUNTIFS(C$3:C197, C198, D$3:D197, D198, G$3:G197, G198) &gt; 0, "", "11:00"-AW198))</f>
        <v/>
      </c>
      <c r="Y198" s="52" t="str">
        <f t="shared" si="26"/>
        <v/>
      </c>
      <c r="Z198" s="53"/>
      <c r="AA198" s="54"/>
      <c r="AB198" s="53"/>
      <c r="AC198" s="54"/>
      <c r="AD198" s="53"/>
      <c r="AE198" s="54"/>
      <c r="AF198" s="53"/>
      <c r="AG198" s="54"/>
      <c r="AH198" s="55">
        <v>4.1666666666666699E-2</v>
      </c>
      <c r="AI198" s="53"/>
      <c r="AJ198" s="54"/>
      <c r="AK198" s="53"/>
      <c r="AL198" s="54"/>
      <c r="AM198" s="53"/>
      <c r="AN198" s="54"/>
      <c r="AO198" s="53"/>
      <c r="AP198" s="54"/>
      <c r="AQ198" s="53"/>
      <c r="AR198" s="54"/>
      <c r="AS198" s="53"/>
      <c r="AT198" s="54"/>
      <c r="AU198" s="53">
        <v>4.1666666666666699E-2</v>
      </c>
      <c r="AV198" s="54" t="s">
        <v>37</v>
      </c>
      <c r="AW198" s="57">
        <f t="shared" ref="AW198:AW261" si="32">SUM(Z198,AB198,AD198,AF198,AI198,AK198,AM198,AO198,AQ198,AS198,AU198)</f>
        <v>4.1666666666666699E-2</v>
      </c>
      <c r="AX198" s="58" t="s">
        <v>38</v>
      </c>
    </row>
    <row r="199" spans="1:50" ht="28.5">
      <c r="A199" s="38" t="s">
        <v>240</v>
      </c>
      <c r="B199" s="39">
        <f t="shared" si="27"/>
        <v>195</v>
      </c>
      <c r="C199" s="40">
        <v>46030</v>
      </c>
      <c r="D199" s="40" t="s">
        <v>32</v>
      </c>
      <c r="E199" s="40" t="s">
        <v>33</v>
      </c>
      <c r="F199" s="41">
        <v>559.20000000000005</v>
      </c>
      <c r="G199" s="42" t="s">
        <v>54</v>
      </c>
      <c r="H199" s="43" t="str">
        <f>IFERROR(VLOOKUP($J199,'[9]FROM (3)'!$E$4:$F$230,2,FALSE),"")</f>
        <v>JTCS</v>
      </c>
      <c r="I199" s="44" t="str">
        <f t="shared" ref="I199:I262" si="33">IFERROR(MID(A199,FIND("~",SUBSTITUTE(A199,"|","~",4))+1,FIND("~",SUBSTITUTE(A199,"|","~",5))-FIND("~",SUBSTITUTE(A199,"|","~",4))-1),"")</f>
        <v>RACK, MS</v>
      </c>
      <c r="J199" s="44" t="str">
        <f t="shared" ref="J199:J262" si="34">IFERROR(MID(A199,FIND("~",SUBSTITUTE(A199,"|","~",3))+1,FIND("~",SUBSTITUTE(A199,"|","~",4))-FIND("~",SUBSTITUTE(A199,"|","~",3))-1),"")</f>
        <v>JGC10-003050-40-0</v>
      </c>
      <c r="K199" s="59" t="str">
        <f t="shared" si="30"/>
        <v>PD25110291</v>
      </c>
      <c r="L199" s="46" t="str" cm="1">
        <f t="array" ref="L199">IFERROR(_xlfn.IFS(
    LEN($A199)-LEN(SUBSTITUTE($A199,"|",""))=12, RIGHT(A199, LEN(A199)-FIND("~", SUBSTITUTE(A199,"|","~", LEN(A199)-LEN(SUBSTITUTE(A199,"|",""))))),
    LEN($A199)-LEN(SUBSTITUTE($A199,"|",""))=13, MID($A199, FIND("~", SUBSTITUTE($A199,"|","~", 11))+1, FIND("~", SUBSTITUTE($A199,"|","~", 12))-FIND("~", SUBSTITUTE($A199,"|","~", 11))-1),
    LEN($A199)-LEN(SUBSTITUTE($A199,"|",""))=14, MID($A199, FIND("~", SUBSTITUTE($A199,"|","~", 11))+1, FIND("~", SUBSTITUTE($A199,"|","~", 12))-FIND("~", SUBSTITUTE($A199,"|","~", 11))-1)
), "")</f>
        <v>E585614</v>
      </c>
      <c r="M199" s="47" t="str">
        <f t="shared" si="28"/>
        <v>SB110027/1/25</v>
      </c>
      <c r="N199" s="46" t="str">
        <f t="shared" si="31"/>
        <v/>
      </c>
      <c r="O199" s="60">
        <v>60</v>
      </c>
      <c r="P199" s="60">
        <v>902</v>
      </c>
      <c r="Q199" s="48">
        <v>240</v>
      </c>
      <c r="R199" s="48">
        <v>804</v>
      </c>
      <c r="S199" s="48"/>
      <c r="T199" s="48"/>
      <c r="U199" s="49"/>
      <c r="V199" s="49"/>
      <c r="W199" s="50">
        <f t="shared" si="29"/>
        <v>0</v>
      </c>
      <c r="X199" s="51">
        <f>IF(A199="", "", IF(COUNTIFS(C$3:C198, C199, D$3:D198, D199, G$3:G198, G199) &gt; 0, "", "11:00"-AW199))</f>
        <v>0.29166666666666663</v>
      </c>
      <c r="Y199" s="52" t="str">
        <f t="shared" ref="Y199:Y262" si="35">IF(X199="", "", IF(AND(A199&lt;&gt;"", AR199&lt;&gt;"NO OT"), "1:40", IF(AND(A199&lt;&gt;"", AR199="NO OT"), "1:0", "")))</f>
        <v>1:0</v>
      </c>
      <c r="Z199" s="53"/>
      <c r="AA199" s="54"/>
      <c r="AB199" s="53"/>
      <c r="AC199" s="54"/>
      <c r="AD199" s="53"/>
      <c r="AE199" s="54"/>
      <c r="AF199" s="53"/>
      <c r="AG199" s="54"/>
      <c r="AH199" s="55">
        <v>4.1666666666666699E-2</v>
      </c>
      <c r="AI199" s="53"/>
      <c r="AJ199" s="54"/>
      <c r="AK199" s="53"/>
      <c r="AL199" s="54"/>
      <c r="AM199" s="53">
        <v>3.4722222222222224E-2</v>
      </c>
      <c r="AN199" s="54" t="s">
        <v>67</v>
      </c>
      <c r="AO199" s="53">
        <v>6.9444444444444441E-3</v>
      </c>
      <c r="AP199" s="54" t="s">
        <v>67</v>
      </c>
      <c r="AQ199" s="53">
        <v>4.1666666666666664E-2</v>
      </c>
      <c r="AR199" s="54" t="s">
        <v>37</v>
      </c>
      <c r="AS199" s="53">
        <v>4.1666666666666664E-2</v>
      </c>
      <c r="AT199" s="54" t="s">
        <v>37</v>
      </c>
      <c r="AU199" s="53">
        <v>4.1666666666666699E-2</v>
      </c>
      <c r="AV199" s="54" t="s">
        <v>37</v>
      </c>
      <c r="AW199" s="57">
        <f t="shared" si="32"/>
        <v>0.16666666666666669</v>
      </c>
      <c r="AX199" s="58" t="s">
        <v>56</v>
      </c>
    </row>
    <row r="200" spans="1:50" ht="28.5">
      <c r="A200" s="38" t="s">
        <v>241</v>
      </c>
      <c r="B200" s="39">
        <f t="shared" si="27"/>
        <v>196</v>
      </c>
      <c r="C200" s="40">
        <v>46030</v>
      </c>
      <c r="D200" s="40" t="s">
        <v>32</v>
      </c>
      <c r="E200" s="40" t="s">
        <v>33</v>
      </c>
      <c r="F200" s="41">
        <v>559.20000000000005</v>
      </c>
      <c r="G200" s="42" t="s">
        <v>54</v>
      </c>
      <c r="H200" s="43" t="str">
        <f>IFERROR(VLOOKUP($J200,'[9]FROM (3)'!$E$4:$F$230,2,FALSE),"")</f>
        <v>JTCS</v>
      </c>
      <c r="I200" s="44" t="str">
        <f t="shared" si="33"/>
        <v>RACK, MS</v>
      </c>
      <c r="J200" s="44" t="str">
        <f t="shared" si="34"/>
        <v>JGC10-003050-40-0</v>
      </c>
      <c r="K200" s="59" t="str">
        <f t="shared" si="30"/>
        <v>PD25110291</v>
      </c>
      <c r="L200" s="46" t="str" cm="1">
        <f t="array" ref="L200">IFERROR(_xlfn.IFS(
    LEN($A200)-LEN(SUBSTITUTE($A200,"|",""))=12, RIGHT(A200, LEN(A200)-FIND("~", SUBSTITUTE(A200,"|","~", LEN(A200)-LEN(SUBSTITUTE(A200,"|",""))))),
    LEN($A200)-LEN(SUBSTITUTE($A200,"|",""))=13, MID($A200, FIND("~", SUBSTITUTE($A200,"|","~", 11))+1, FIND("~", SUBSTITUTE($A200,"|","~", 12))-FIND("~", SUBSTITUTE($A200,"|","~", 11))-1),
    LEN($A200)-LEN(SUBSTITUTE($A200,"|",""))=14, MID($A200, FIND("~", SUBSTITUTE($A200,"|","~", 11))+1, FIND("~", SUBSTITUTE($A200,"|","~", 12))-FIND("~", SUBSTITUTE($A200,"|","~", 11))-1)
), "")</f>
        <v>E585614</v>
      </c>
      <c r="M200" s="47" t="str">
        <f t="shared" si="28"/>
        <v>SB110027/2/25</v>
      </c>
      <c r="N200" s="46" t="str">
        <f t="shared" si="31"/>
        <v/>
      </c>
      <c r="O200" s="60">
        <v>60</v>
      </c>
      <c r="P200" s="60">
        <v>902</v>
      </c>
      <c r="Q200" s="48">
        <v>240</v>
      </c>
      <c r="R200" s="48">
        <v>804</v>
      </c>
      <c r="S200" s="48"/>
      <c r="T200" s="48"/>
      <c r="U200" s="49">
        <v>93</v>
      </c>
      <c r="V200" s="49">
        <v>7</v>
      </c>
      <c r="W200" s="50">
        <f t="shared" si="29"/>
        <v>100</v>
      </c>
      <c r="X200" s="51" t="str">
        <f>IF(A200="", "", IF(COUNTIFS(C$3:C199, C200, D$3:D199, D200, G$3:G199, G200) &gt; 0, "", "11:00"-AW200))</f>
        <v/>
      </c>
      <c r="Y200" s="52" t="str">
        <f t="shared" si="35"/>
        <v/>
      </c>
      <c r="Z200" s="53"/>
      <c r="AA200" s="54"/>
      <c r="AB200" s="53"/>
      <c r="AC200" s="54"/>
      <c r="AD200" s="53"/>
      <c r="AE200" s="54"/>
      <c r="AF200" s="53"/>
      <c r="AG200" s="54"/>
      <c r="AH200" s="55">
        <v>4.1666666666666699E-2</v>
      </c>
      <c r="AI200" s="53"/>
      <c r="AJ200" s="54"/>
      <c r="AK200" s="53"/>
      <c r="AL200" s="54"/>
      <c r="AM200" s="53"/>
      <c r="AN200" s="54"/>
      <c r="AO200" s="53"/>
      <c r="AP200" s="54"/>
      <c r="AQ200" s="53"/>
      <c r="AR200" s="54"/>
      <c r="AS200" s="53"/>
      <c r="AT200" s="54"/>
      <c r="AU200" s="53">
        <v>4.1666666666666699E-2</v>
      </c>
      <c r="AV200" s="54" t="s">
        <v>37</v>
      </c>
      <c r="AW200" s="57">
        <f t="shared" si="32"/>
        <v>4.1666666666666699E-2</v>
      </c>
      <c r="AX200" s="58" t="s">
        <v>56</v>
      </c>
    </row>
    <row r="201" spans="1:50" ht="22.5" customHeight="1">
      <c r="A201" s="38" t="s">
        <v>242</v>
      </c>
      <c r="B201" s="39">
        <f t="shared" si="27"/>
        <v>197</v>
      </c>
      <c r="C201" s="40">
        <v>46030</v>
      </c>
      <c r="D201" s="40" t="s">
        <v>32</v>
      </c>
      <c r="E201" s="40" t="s">
        <v>33</v>
      </c>
      <c r="F201" s="41">
        <v>695.3</v>
      </c>
      <c r="G201" s="42" t="s">
        <v>54</v>
      </c>
      <c r="H201" s="43" t="str">
        <f>IFERROR(VLOOKUP($J201,'[9]FROM (3)'!$E$4:$F$230,2,FALSE),"")</f>
        <v>JTCS</v>
      </c>
      <c r="I201" s="44" t="str">
        <f t="shared" si="33"/>
        <v>Rack, PS</v>
      </c>
      <c r="J201" s="44" t="str">
        <f t="shared" si="34"/>
        <v>JGD10-001150-40-1</v>
      </c>
      <c r="K201" s="59" t="str">
        <f t="shared" si="30"/>
        <v>PD26010113</v>
      </c>
      <c r="L201" s="46" t="str" cm="1">
        <f t="array" ref="L201">IFERROR(_xlfn.IFS(
    LEN($A201)-LEN(SUBSTITUTE($A201,"|",""))=12, RIGHT(A201, LEN(A201)-FIND("~", SUBSTITUTE(A201,"|","~", LEN(A201)-LEN(SUBSTITUTE(A201,"|",""))))),
    LEN($A201)-LEN(SUBSTITUTE($A201,"|",""))=13, MID($A201, FIND("~", SUBSTITUTE($A201,"|","~", 11))+1, FIND("~", SUBSTITUTE($A201,"|","~", 12))-FIND("~", SUBSTITUTE($A201,"|","~", 11))-1),
    LEN($A201)-LEN(SUBSTITUTE($A201,"|",""))=14, MID($A201, FIND("~", SUBSTITUTE($A201,"|","~", 11))+1, FIND("~", SUBSTITUTE($A201,"|","~", 12))-FIND("~", SUBSTITUTE($A201,"|","~", 11))-1)
), "")</f>
        <v>E585970</v>
      </c>
      <c r="M201" s="47" t="str">
        <f t="shared" si="28"/>
        <v>SB120199/5/25</v>
      </c>
      <c r="N201" s="46" t="str">
        <f t="shared" si="31"/>
        <v/>
      </c>
      <c r="O201" s="60">
        <v>60</v>
      </c>
      <c r="P201" s="60">
        <v>868</v>
      </c>
      <c r="Q201" s="48">
        <v>93</v>
      </c>
      <c r="R201" s="48">
        <v>312</v>
      </c>
      <c r="S201" s="48"/>
      <c r="T201" s="48"/>
      <c r="U201" s="49"/>
      <c r="V201" s="49"/>
      <c r="W201" s="50">
        <f t="shared" si="29"/>
        <v>0</v>
      </c>
      <c r="X201" s="51" t="str">
        <f>IF(A201="", "", IF(COUNTIFS(C$3:C200, C201, D$3:D200, D201, G$3:G200, G201) &gt; 0, "", "11:00"-AW201))</f>
        <v/>
      </c>
      <c r="Y201" s="52" t="str">
        <f t="shared" si="35"/>
        <v/>
      </c>
      <c r="Z201" s="53"/>
      <c r="AA201" s="54"/>
      <c r="AB201" s="53"/>
      <c r="AC201" s="54"/>
      <c r="AD201" s="53"/>
      <c r="AE201" s="54"/>
      <c r="AF201" s="53"/>
      <c r="AG201" s="54"/>
      <c r="AH201" s="55">
        <v>4.1666666666666699E-2</v>
      </c>
      <c r="AI201" s="53"/>
      <c r="AJ201" s="54"/>
      <c r="AK201" s="53"/>
      <c r="AL201" s="54"/>
      <c r="AM201" s="53"/>
      <c r="AN201" s="54"/>
      <c r="AO201" s="53"/>
      <c r="AP201" s="54"/>
      <c r="AQ201" s="53"/>
      <c r="AR201" s="54"/>
      <c r="AS201" s="53"/>
      <c r="AT201" s="54"/>
      <c r="AU201" s="53">
        <v>4.1666666666666699E-2</v>
      </c>
      <c r="AV201" s="54" t="s">
        <v>37</v>
      </c>
      <c r="AW201" s="57">
        <f t="shared" si="32"/>
        <v>4.1666666666666699E-2</v>
      </c>
      <c r="AX201" s="58" t="s">
        <v>56</v>
      </c>
    </row>
    <row r="202" spans="1:50" ht="28.5">
      <c r="A202" s="38" t="s">
        <v>243</v>
      </c>
      <c r="B202" s="39">
        <f t="shared" ref="B202:B265" si="36">IF(A202="","",B201+1)</f>
        <v>198</v>
      </c>
      <c r="C202" s="40">
        <v>46030</v>
      </c>
      <c r="D202" s="40" t="s">
        <v>32</v>
      </c>
      <c r="E202" s="40" t="s">
        <v>33</v>
      </c>
      <c r="F202" s="41">
        <v>755.4</v>
      </c>
      <c r="G202" s="42" t="s">
        <v>85</v>
      </c>
      <c r="H202" s="43" t="str">
        <f>IFERROR(VLOOKUP($J202,'[9]FROM (3)'!$E$4:$F$230,2,FALSE),"")</f>
        <v>JTCS</v>
      </c>
      <c r="I202" s="44" t="str">
        <f t="shared" si="33"/>
        <v>RACK, PS</v>
      </c>
      <c r="J202" s="44" t="str">
        <f t="shared" si="34"/>
        <v>JGD10-001260-40-1</v>
      </c>
      <c r="K202" s="59" t="str">
        <f t="shared" si="30"/>
        <v>PD26010095</v>
      </c>
      <c r="L202" s="46" t="str" cm="1">
        <f t="array" ref="L202">IFERROR(_xlfn.IFS(
    LEN($A202)-LEN(SUBSTITUTE($A202,"|",""))=12, RIGHT(A202, LEN(A202)-FIND("~", SUBSTITUTE(A202,"|","~", LEN(A202)-LEN(SUBSTITUTE(A202,"|",""))))),
    LEN($A202)-LEN(SUBSTITUTE($A202,"|",""))=13, MID($A202, FIND("~", SUBSTITUTE($A202,"|","~", 11))+1, FIND("~", SUBSTITUTE($A202,"|","~", 12))-FIND("~", SUBSTITUTE($A202,"|","~", 11))-1),
    LEN($A202)-LEN(SUBSTITUTE($A202,"|",""))=14, MID($A202, FIND("~", SUBSTITUTE($A202,"|","~", 11))+1, FIND("~", SUBSTITUTE($A202,"|","~", 12))-FIND("~", SUBSTITUTE($A202,"|","~", 11))-1)
), "")</f>
        <v>E586967</v>
      </c>
      <c r="M202" s="47" t="str">
        <f t="shared" si="28"/>
        <v>SB120197/3/25</v>
      </c>
      <c r="N202" s="46" t="str">
        <f t="shared" si="31"/>
        <v/>
      </c>
      <c r="O202" s="60">
        <v>47</v>
      </c>
      <c r="P202" s="60">
        <v>974</v>
      </c>
      <c r="Q202" s="48">
        <v>188</v>
      </c>
      <c r="R202" s="48">
        <v>910</v>
      </c>
      <c r="S202" s="48"/>
      <c r="T202" s="48"/>
      <c r="U202" s="49"/>
      <c r="V202" s="49"/>
      <c r="W202" s="50">
        <f t="shared" si="29"/>
        <v>0</v>
      </c>
      <c r="X202" s="51">
        <f>IF(A202="", "", IF(COUNTIFS(C$3:C201, C202, D$3:D201, D202, G$3:G201, G202) &gt; 0, "", "11:00"-AW202))</f>
        <v>0.41666666666666663</v>
      </c>
      <c r="Y202" s="52" t="str">
        <f t="shared" si="35"/>
        <v>1:40</v>
      </c>
      <c r="Z202" s="53"/>
      <c r="AA202" s="54"/>
      <c r="AB202" s="53"/>
      <c r="AC202" s="54"/>
      <c r="AD202" s="53"/>
      <c r="AE202" s="54"/>
      <c r="AF202" s="53"/>
      <c r="AG202" s="54"/>
      <c r="AH202" s="55">
        <v>4.1666666666666699E-2</v>
      </c>
      <c r="AI202" s="53"/>
      <c r="AJ202" s="54"/>
      <c r="AK202" s="53"/>
      <c r="AL202" s="54"/>
      <c r="AM202" s="53"/>
      <c r="AN202" s="54"/>
      <c r="AO202" s="53"/>
      <c r="AP202" s="54"/>
      <c r="AQ202" s="53"/>
      <c r="AR202" s="54"/>
      <c r="AS202" s="53"/>
      <c r="AT202" s="54"/>
      <c r="AU202" s="53">
        <v>4.1666666666666699E-2</v>
      </c>
      <c r="AV202" s="54" t="s">
        <v>37</v>
      </c>
      <c r="AW202" s="57">
        <f t="shared" si="32"/>
        <v>4.1666666666666699E-2</v>
      </c>
      <c r="AX202" s="58" t="s">
        <v>117</v>
      </c>
    </row>
    <row r="203" spans="1:50" ht="28.5">
      <c r="A203" s="38" t="s">
        <v>244</v>
      </c>
      <c r="B203" s="39">
        <f t="shared" si="36"/>
        <v>199</v>
      </c>
      <c r="C203" s="40">
        <v>46030</v>
      </c>
      <c r="D203" s="40" t="s">
        <v>32</v>
      </c>
      <c r="E203" s="40" t="s">
        <v>33</v>
      </c>
      <c r="F203" s="41">
        <v>755.4</v>
      </c>
      <c r="G203" s="42" t="s">
        <v>85</v>
      </c>
      <c r="H203" s="43" t="str">
        <f>IFERROR(VLOOKUP($J203,'[9]FROM (3)'!$E$4:$F$230,2,FALSE),"")</f>
        <v>JTCS</v>
      </c>
      <c r="I203" s="44" t="str">
        <f t="shared" si="33"/>
        <v>RACK, PS</v>
      </c>
      <c r="J203" s="44" t="str">
        <f t="shared" si="34"/>
        <v>JGD10-001260-40-1</v>
      </c>
      <c r="K203" s="59" t="str">
        <f t="shared" si="30"/>
        <v>PD26010095</v>
      </c>
      <c r="L203" s="46" t="str" cm="1">
        <f t="array" ref="L203">IFERROR(_xlfn.IFS(
    LEN($A203)-LEN(SUBSTITUTE($A203,"|",""))=12, RIGHT(A203, LEN(A203)-FIND("~", SUBSTITUTE(A203,"|","~", LEN(A203)-LEN(SUBSTITUTE(A203,"|",""))))),
    LEN($A203)-LEN(SUBSTITUTE($A203,"|",""))=13, MID($A203, FIND("~", SUBSTITUTE($A203,"|","~", 11))+1, FIND("~", SUBSTITUTE($A203,"|","~", 12))-FIND("~", SUBSTITUTE($A203,"|","~", 11))-1),
    LEN($A203)-LEN(SUBSTITUTE($A203,"|",""))=14, MID($A203, FIND("~", SUBSTITUTE($A203,"|","~", 11))+1, FIND("~", SUBSTITUTE($A203,"|","~", 12))-FIND("~", SUBSTITUTE($A203,"|","~", 11))-1)
), "")</f>
        <v>E586967</v>
      </c>
      <c r="M203" s="47" t="str">
        <f t="shared" si="28"/>
        <v>SB120197/2/25</v>
      </c>
      <c r="N203" s="46" t="str">
        <f t="shared" si="31"/>
        <v/>
      </c>
      <c r="O203" s="60">
        <v>47</v>
      </c>
      <c r="P203" s="60">
        <v>974</v>
      </c>
      <c r="Q203" s="48">
        <v>188</v>
      </c>
      <c r="R203" s="48">
        <v>910</v>
      </c>
      <c r="S203" s="48"/>
      <c r="T203" s="48"/>
      <c r="U203" s="49"/>
      <c r="V203" s="49"/>
      <c r="W203" s="50">
        <f t="shared" si="29"/>
        <v>0</v>
      </c>
      <c r="X203" s="51" t="str">
        <f>IF(A203="", "", IF(COUNTIFS(C$3:C202, C203, D$3:D202, D203, G$3:G202, G203) &gt; 0, "", "11:00"-AW203))</f>
        <v/>
      </c>
      <c r="Y203" s="52" t="str">
        <f t="shared" si="35"/>
        <v/>
      </c>
      <c r="Z203" s="53"/>
      <c r="AA203" s="54"/>
      <c r="AB203" s="53"/>
      <c r="AC203" s="54"/>
      <c r="AD203" s="53"/>
      <c r="AE203" s="54"/>
      <c r="AF203" s="53"/>
      <c r="AG203" s="54"/>
      <c r="AH203" s="55">
        <v>4.1666666666666699E-2</v>
      </c>
      <c r="AI203" s="53"/>
      <c r="AJ203" s="54"/>
      <c r="AK203" s="53"/>
      <c r="AL203" s="54"/>
      <c r="AM203" s="53"/>
      <c r="AN203" s="54"/>
      <c r="AO203" s="53"/>
      <c r="AP203" s="54"/>
      <c r="AQ203" s="53"/>
      <c r="AR203" s="54"/>
      <c r="AS203" s="53"/>
      <c r="AT203" s="54"/>
      <c r="AU203" s="53">
        <v>4.1666666666666699E-2</v>
      </c>
      <c r="AV203" s="54" t="s">
        <v>37</v>
      </c>
      <c r="AW203" s="57">
        <f t="shared" si="32"/>
        <v>4.1666666666666699E-2</v>
      </c>
      <c r="AX203" s="58" t="s">
        <v>117</v>
      </c>
    </row>
    <row r="204" spans="1:50" ht="28.5">
      <c r="A204" s="38" t="s">
        <v>245</v>
      </c>
      <c r="B204" s="39">
        <f t="shared" si="36"/>
        <v>200</v>
      </c>
      <c r="C204" s="40">
        <v>46030</v>
      </c>
      <c r="D204" s="40" t="s">
        <v>32</v>
      </c>
      <c r="E204" s="40" t="s">
        <v>33</v>
      </c>
      <c r="F204" s="41">
        <v>755.4</v>
      </c>
      <c r="G204" s="42" t="s">
        <v>85</v>
      </c>
      <c r="H204" s="43" t="str">
        <f>IFERROR(VLOOKUP($J204,'[9]FROM (3)'!$E$4:$F$230,2,FALSE),"")</f>
        <v>JTCS</v>
      </c>
      <c r="I204" s="44" t="str">
        <f t="shared" si="33"/>
        <v>RACK, PS</v>
      </c>
      <c r="J204" s="44" t="str">
        <f t="shared" si="34"/>
        <v>JGD10-001260-40-1</v>
      </c>
      <c r="K204" s="59" t="str">
        <f t="shared" si="30"/>
        <v>PD26010095</v>
      </c>
      <c r="L204" s="46" t="str" cm="1">
        <f t="array" ref="L204">IFERROR(_xlfn.IFS(
    LEN($A204)-LEN(SUBSTITUTE($A204,"|",""))=12, RIGHT(A204, LEN(A204)-FIND("~", SUBSTITUTE(A204,"|","~", LEN(A204)-LEN(SUBSTITUTE(A204,"|",""))))),
    LEN($A204)-LEN(SUBSTITUTE($A204,"|",""))=13, MID($A204, FIND("~", SUBSTITUTE($A204,"|","~", 11))+1, FIND("~", SUBSTITUTE($A204,"|","~", 12))-FIND("~", SUBSTITUTE($A204,"|","~", 11))-1),
    LEN($A204)-LEN(SUBSTITUTE($A204,"|",""))=14, MID($A204, FIND("~", SUBSTITUTE($A204,"|","~", 11))+1, FIND("~", SUBSTITUTE($A204,"|","~", 12))-FIND("~", SUBSTITUTE($A204,"|","~", 11))-1)
), "")</f>
        <v>E586967</v>
      </c>
      <c r="M204" s="47" t="str">
        <f t="shared" si="28"/>
        <v>SB120197/1/25</v>
      </c>
      <c r="N204" s="46" t="str">
        <f t="shared" si="31"/>
        <v/>
      </c>
      <c r="O204" s="60">
        <v>47</v>
      </c>
      <c r="P204" s="60">
        <v>974</v>
      </c>
      <c r="Q204" s="48">
        <v>188</v>
      </c>
      <c r="R204" s="48">
        <v>910</v>
      </c>
      <c r="S204" s="48"/>
      <c r="T204" s="48"/>
      <c r="U204" s="49">
        <v>156</v>
      </c>
      <c r="V204" s="49">
        <v>9</v>
      </c>
      <c r="W204" s="50">
        <f t="shared" si="29"/>
        <v>165</v>
      </c>
      <c r="X204" s="51" t="str">
        <f>IF(A204="", "", IF(COUNTIFS(C$3:C203, C204, D$3:D203, D204, G$3:G203, G204) &gt; 0, "", "11:00"-AW204))</f>
        <v/>
      </c>
      <c r="Y204" s="52" t="str">
        <f t="shared" si="35"/>
        <v/>
      </c>
      <c r="Z204" s="53"/>
      <c r="AA204" s="54"/>
      <c r="AB204" s="53"/>
      <c r="AC204" s="54"/>
      <c r="AD204" s="53"/>
      <c r="AE204" s="54"/>
      <c r="AF204" s="53"/>
      <c r="AG204" s="54"/>
      <c r="AH204" s="55">
        <v>4.1666666666666699E-2</v>
      </c>
      <c r="AI204" s="53"/>
      <c r="AJ204" s="54"/>
      <c r="AK204" s="53"/>
      <c r="AL204" s="54"/>
      <c r="AM204" s="53"/>
      <c r="AN204" s="54"/>
      <c r="AO204" s="53"/>
      <c r="AP204" s="54"/>
      <c r="AQ204" s="53"/>
      <c r="AR204" s="54"/>
      <c r="AS204" s="53"/>
      <c r="AT204" s="54"/>
      <c r="AU204" s="53">
        <v>4.1666666666666699E-2</v>
      </c>
      <c r="AV204" s="54" t="s">
        <v>37</v>
      </c>
      <c r="AW204" s="57">
        <f t="shared" si="32"/>
        <v>4.1666666666666699E-2</v>
      </c>
      <c r="AX204" s="58" t="s">
        <v>117</v>
      </c>
    </row>
    <row r="205" spans="1:50" ht="28.5">
      <c r="A205" s="38" t="s">
        <v>246</v>
      </c>
      <c r="B205" s="39">
        <f t="shared" si="36"/>
        <v>201</v>
      </c>
      <c r="C205" s="40">
        <v>46030</v>
      </c>
      <c r="D205" s="40" t="s">
        <v>32</v>
      </c>
      <c r="E205" s="40" t="s">
        <v>33</v>
      </c>
      <c r="F205" s="41">
        <v>755.4</v>
      </c>
      <c r="G205" s="42" t="s">
        <v>85</v>
      </c>
      <c r="H205" s="43" t="str">
        <f>IFERROR(VLOOKUP($J205,'[9]FROM (3)'!$E$4:$F$230,2,FALSE),"")</f>
        <v>JTCS</v>
      </c>
      <c r="I205" s="44" t="str">
        <f t="shared" si="33"/>
        <v>RACK, PS</v>
      </c>
      <c r="J205" s="44" t="str">
        <f t="shared" si="34"/>
        <v>JGD10-001260-40-1</v>
      </c>
      <c r="K205" s="59" t="str">
        <f t="shared" si="30"/>
        <v>PD26010094</v>
      </c>
      <c r="L205" s="46" t="str" cm="1">
        <f t="array" ref="L205">IFERROR(_xlfn.IFS(
    LEN($A205)-LEN(SUBSTITUTE($A205,"|",""))=12, RIGHT(A205, LEN(A205)-FIND("~", SUBSTITUTE(A205,"|","~", LEN(A205)-LEN(SUBSTITUTE(A205,"|",""))))),
    LEN($A205)-LEN(SUBSTITUTE($A205,"|",""))=13, MID($A205, FIND("~", SUBSTITUTE($A205,"|","~", 11))+1, FIND("~", SUBSTITUTE($A205,"|","~", 12))-FIND("~", SUBSTITUTE($A205,"|","~", 11))-1),
    LEN($A205)-LEN(SUBSTITUTE($A205,"|",""))=14, MID($A205, FIND("~", SUBSTITUTE($A205,"|","~", 11))+1, FIND("~", SUBSTITUTE($A205,"|","~", 12))-FIND("~", SUBSTITUTE($A205,"|","~", 11))-1)
), "")</f>
        <v>E586967</v>
      </c>
      <c r="M205" s="47" t="str">
        <f t="shared" si="28"/>
        <v>SB120195/6/25</v>
      </c>
      <c r="N205" s="46" t="str">
        <f t="shared" si="31"/>
        <v/>
      </c>
      <c r="O205" s="60">
        <v>45</v>
      </c>
      <c r="P205" s="60">
        <v>930</v>
      </c>
      <c r="Q205" s="48">
        <v>180</v>
      </c>
      <c r="R205" s="48">
        <v>871</v>
      </c>
      <c r="S205" s="48"/>
      <c r="T205" s="48"/>
      <c r="U205" s="49"/>
      <c r="V205" s="49"/>
      <c r="W205" s="50">
        <f t="shared" si="29"/>
        <v>0</v>
      </c>
      <c r="X205" s="51" t="str">
        <f>IF(A205="", "", IF(COUNTIFS(C$3:C204, C205, D$3:D204, D205, G$3:G204, G205) &gt; 0, "", "11:00"-AW205))</f>
        <v/>
      </c>
      <c r="Y205" s="52" t="str">
        <f t="shared" si="35"/>
        <v/>
      </c>
      <c r="Z205" s="53"/>
      <c r="AA205" s="54"/>
      <c r="AB205" s="53"/>
      <c r="AC205" s="54"/>
      <c r="AD205" s="53"/>
      <c r="AE205" s="54"/>
      <c r="AF205" s="53"/>
      <c r="AG205" s="54"/>
      <c r="AH205" s="55">
        <v>4.1666666666666699E-2</v>
      </c>
      <c r="AI205" s="53"/>
      <c r="AJ205" s="54"/>
      <c r="AK205" s="53"/>
      <c r="AL205" s="54"/>
      <c r="AM205" s="53"/>
      <c r="AN205" s="54"/>
      <c r="AO205" s="53"/>
      <c r="AP205" s="54"/>
      <c r="AQ205" s="53"/>
      <c r="AR205" s="54"/>
      <c r="AS205" s="53"/>
      <c r="AT205" s="54"/>
      <c r="AU205" s="53">
        <v>4.1666666666666699E-2</v>
      </c>
      <c r="AV205" s="54" t="s">
        <v>37</v>
      </c>
      <c r="AW205" s="57">
        <f t="shared" si="32"/>
        <v>4.1666666666666699E-2</v>
      </c>
      <c r="AX205" s="58" t="s">
        <v>117</v>
      </c>
    </row>
    <row r="206" spans="1:50" ht="28.5">
      <c r="A206" s="38" t="s">
        <v>247</v>
      </c>
      <c r="B206" s="39">
        <f t="shared" si="36"/>
        <v>202</v>
      </c>
      <c r="C206" s="40">
        <v>46030</v>
      </c>
      <c r="D206" s="40" t="s">
        <v>32</v>
      </c>
      <c r="E206" s="40" t="s">
        <v>33</v>
      </c>
      <c r="F206" s="41">
        <v>755.4</v>
      </c>
      <c r="G206" s="42" t="s">
        <v>85</v>
      </c>
      <c r="H206" s="43" t="str">
        <f>IFERROR(VLOOKUP($J206,'[9]FROM (3)'!$E$4:$F$230,2,FALSE),"")</f>
        <v>JTCS</v>
      </c>
      <c r="I206" s="44" t="str">
        <f t="shared" si="33"/>
        <v>RACK, PS</v>
      </c>
      <c r="J206" s="44" t="str">
        <f t="shared" si="34"/>
        <v>JGD10-001260-40-1</v>
      </c>
      <c r="K206" s="59" t="str">
        <f t="shared" si="30"/>
        <v>PD26010094</v>
      </c>
      <c r="L206" s="46" t="str" cm="1">
        <f t="array" ref="L206">IFERROR(_xlfn.IFS(
    LEN($A206)-LEN(SUBSTITUTE($A206,"|",""))=12, RIGHT(A206, LEN(A206)-FIND("~", SUBSTITUTE(A206,"|","~", LEN(A206)-LEN(SUBSTITUTE(A206,"|",""))))),
    LEN($A206)-LEN(SUBSTITUTE($A206,"|",""))=13, MID($A206, FIND("~", SUBSTITUTE($A206,"|","~", 11))+1, FIND("~", SUBSTITUTE($A206,"|","~", 12))-FIND("~", SUBSTITUTE($A206,"|","~", 11))-1),
    LEN($A206)-LEN(SUBSTITUTE($A206,"|",""))=14, MID($A206, FIND("~", SUBSTITUTE($A206,"|","~", 11))+1, FIND("~", SUBSTITUTE($A206,"|","~", 12))-FIND("~", SUBSTITUTE($A206,"|","~", 11))-1)
), "")</f>
        <v>E586967</v>
      </c>
      <c r="M206" s="47" t="str">
        <f t="shared" si="28"/>
        <v>SB120195/7/25</v>
      </c>
      <c r="N206" s="46" t="str">
        <f t="shared" si="31"/>
        <v/>
      </c>
      <c r="O206" s="60">
        <v>2</v>
      </c>
      <c r="P206" s="60">
        <v>44</v>
      </c>
      <c r="Q206" s="48">
        <v>6</v>
      </c>
      <c r="R206" s="48">
        <v>29</v>
      </c>
      <c r="S206" s="48">
        <v>2</v>
      </c>
      <c r="T206" s="48" t="s">
        <v>143</v>
      </c>
      <c r="U206" s="49"/>
      <c r="V206" s="49"/>
      <c r="W206" s="50">
        <f t="shared" si="29"/>
        <v>0</v>
      </c>
      <c r="X206" s="51" t="str">
        <f>IF(A206="", "", IF(COUNTIFS(C$3:C205, C206, D$3:D205, D206, G$3:G205, G206) &gt; 0, "", "11:00"-AW206))</f>
        <v/>
      </c>
      <c r="Y206" s="52" t="str">
        <f t="shared" si="35"/>
        <v/>
      </c>
      <c r="Z206" s="53"/>
      <c r="AA206" s="54"/>
      <c r="AB206" s="53"/>
      <c r="AC206" s="54"/>
      <c r="AD206" s="53"/>
      <c r="AE206" s="54"/>
      <c r="AF206" s="53"/>
      <c r="AG206" s="54"/>
      <c r="AH206" s="55">
        <v>4.1666666666666699E-2</v>
      </c>
      <c r="AI206" s="53"/>
      <c r="AJ206" s="54"/>
      <c r="AK206" s="53"/>
      <c r="AL206" s="54"/>
      <c r="AM206" s="53"/>
      <c r="AN206" s="54"/>
      <c r="AO206" s="53"/>
      <c r="AP206" s="54"/>
      <c r="AQ206" s="53"/>
      <c r="AR206" s="54"/>
      <c r="AS206" s="53"/>
      <c r="AT206" s="54"/>
      <c r="AU206" s="53">
        <v>4.1666666666666699E-2</v>
      </c>
      <c r="AV206" s="54" t="s">
        <v>37</v>
      </c>
      <c r="AW206" s="57">
        <f t="shared" si="32"/>
        <v>4.1666666666666699E-2</v>
      </c>
      <c r="AX206" s="58" t="s">
        <v>117</v>
      </c>
    </row>
    <row r="207" spans="1:50" ht="28.5">
      <c r="A207" s="38" t="s">
        <v>248</v>
      </c>
      <c r="B207" s="39">
        <f t="shared" si="36"/>
        <v>203</v>
      </c>
      <c r="C207" s="40">
        <v>46030</v>
      </c>
      <c r="D207" s="40" t="s">
        <v>32</v>
      </c>
      <c r="E207" s="40" t="s">
        <v>33</v>
      </c>
      <c r="F207" s="41">
        <v>755.4</v>
      </c>
      <c r="G207" s="42" t="s">
        <v>85</v>
      </c>
      <c r="H207" s="43" t="str">
        <f>IFERROR(VLOOKUP($J207,'[9]FROM (3)'!$E$4:$F$230,2,FALSE),"")</f>
        <v>JTCS</v>
      </c>
      <c r="I207" s="44" t="str">
        <f t="shared" si="33"/>
        <v>RACK, PS</v>
      </c>
      <c r="J207" s="44" t="str">
        <f t="shared" si="34"/>
        <v>JGD10-001260-40-1</v>
      </c>
      <c r="K207" s="59" t="str">
        <f t="shared" si="30"/>
        <v>PD26010094</v>
      </c>
      <c r="L207" s="46" t="str" cm="1">
        <f t="array" ref="L207">IFERROR(_xlfn.IFS(
    LEN($A207)-LEN(SUBSTITUTE($A207,"|",""))=12, RIGHT(A207, LEN(A207)-FIND("~", SUBSTITUTE(A207,"|","~", LEN(A207)-LEN(SUBSTITUTE(A207,"|",""))))),
    LEN($A207)-LEN(SUBSTITUTE($A207,"|",""))=13, MID($A207, FIND("~", SUBSTITUTE($A207,"|","~", 11))+1, FIND("~", SUBSTITUTE($A207,"|","~", 12))-FIND("~", SUBSTITUTE($A207,"|","~", 11))-1),
    LEN($A207)-LEN(SUBSTITUTE($A207,"|",""))=14, MID($A207, FIND("~", SUBSTITUTE($A207,"|","~", 11))+1, FIND("~", SUBSTITUTE($A207,"|","~", 12))-FIND("~", SUBSTITUTE($A207,"|","~", 11))-1)
), "")</f>
        <v>E586967</v>
      </c>
      <c r="M207" s="47" t="str">
        <f t="shared" si="28"/>
        <v>SB120195/5/25</v>
      </c>
      <c r="N207" s="46" t="str">
        <f t="shared" si="31"/>
        <v/>
      </c>
      <c r="O207" s="60">
        <v>47</v>
      </c>
      <c r="P207" s="60">
        <v>974</v>
      </c>
      <c r="Q207" s="48">
        <v>188</v>
      </c>
      <c r="R207" s="48">
        <v>910</v>
      </c>
      <c r="S207" s="48"/>
      <c r="T207" s="48"/>
      <c r="U207" s="49">
        <v>103</v>
      </c>
      <c r="V207" s="49">
        <v>6</v>
      </c>
      <c r="W207" s="50">
        <f t="shared" si="29"/>
        <v>109</v>
      </c>
      <c r="X207" s="51" t="str">
        <f>IF(A207="", "", IF(COUNTIFS(C$3:C206, C207, D$3:D206, D207, G$3:G206, G207) &gt; 0, "", "11:00"-AW207))</f>
        <v/>
      </c>
      <c r="Y207" s="52" t="str">
        <f t="shared" si="35"/>
        <v/>
      </c>
      <c r="Z207" s="53"/>
      <c r="AA207" s="54"/>
      <c r="AB207" s="53"/>
      <c r="AC207" s="54"/>
      <c r="AD207" s="53"/>
      <c r="AE207" s="54"/>
      <c r="AF207" s="53"/>
      <c r="AG207" s="54"/>
      <c r="AH207" s="55">
        <v>4.1666666666666699E-2</v>
      </c>
      <c r="AI207" s="53"/>
      <c r="AJ207" s="54"/>
      <c r="AK207" s="53"/>
      <c r="AL207" s="54"/>
      <c r="AM207" s="53"/>
      <c r="AN207" s="54"/>
      <c r="AO207" s="53"/>
      <c r="AP207" s="54"/>
      <c r="AQ207" s="53"/>
      <c r="AR207" s="54"/>
      <c r="AS207" s="53">
        <v>4.1666666666666664E-2</v>
      </c>
      <c r="AT207" s="54" t="s">
        <v>67</v>
      </c>
      <c r="AU207" s="53">
        <v>4.1666666666666699E-2</v>
      </c>
      <c r="AV207" s="54" t="s">
        <v>37</v>
      </c>
      <c r="AW207" s="57">
        <f t="shared" si="32"/>
        <v>8.333333333333337E-2</v>
      </c>
      <c r="AX207" s="58" t="s">
        <v>117</v>
      </c>
    </row>
    <row r="208" spans="1:50" ht="28.5">
      <c r="A208" s="38" t="s">
        <v>249</v>
      </c>
      <c r="B208" s="39">
        <f t="shared" si="36"/>
        <v>204</v>
      </c>
      <c r="C208" s="40">
        <v>46030</v>
      </c>
      <c r="D208" s="40" t="s">
        <v>32</v>
      </c>
      <c r="E208" s="40" t="s">
        <v>33</v>
      </c>
      <c r="F208" s="41">
        <v>655.4</v>
      </c>
      <c r="G208" s="42" t="s">
        <v>75</v>
      </c>
      <c r="H208" s="43" t="str">
        <f>IFERROR(VLOOKUP($J208,'[9]FROM (3)'!$E$4:$F$230,2,FALSE),"")</f>
        <v>JAMY</v>
      </c>
      <c r="I208" s="44" t="str">
        <f t="shared" si="33"/>
        <v>RACK BAR</v>
      </c>
      <c r="J208" s="44" t="str">
        <f t="shared" si="34"/>
        <v>JGC10-M09008-51-0</v>
      </c>
      <c r="K208" s="59" t="str">
        <f t="shared" si="30"/>
        <v>PD26010173</v>
      </c>
      <c r="L208" s="46" t="str" cm="1">
        <f t="array" ref="L208">IFERROR(_xlfn.IFS(
    LEN($A208)-LEN(SUBSTITUTE($A208,"|",""))=12, RIGHT(A208, LEN(A208)-FIND("~", SUBSTITUTE(A208,"|","~", LEN(A208)-LEN(SUBSTITUTE(A208,"|",""))))),
    LEN($A208)-LEN(SUBSTITUTE($A208,"|",""))=13, MID($A208, FIND("~", SUBSTITUTE($A208,"|","~", 11))+1, FIND("~", SUBSTITUTE($A208,"|","~", 12))-FIND("~", SUBSTITUTE($A208,"|","~", 11))-1),
    LEN($A208)-LEN(SUBSTITUTE($A208,"|",""))=14, MID($A208, FIND("~", SUBSTITUTE($A208,"|","~", 11))+1, FIND("~", SUBSTITUTE($A208,"|","~", 12))-FIND("~", SUBSTITUTE($A208,"|","~", 11))-1)
), "")</f>
        <v>E586966</v>
      </c>
      <c r="M208" s="47" t="str">
        <f t="shared" si="28"/>
        <v>SB010005/5/26</v>
      </c>
      <c r="N208" s="46" t="str">
        <f t="shared" si="31"/>
        <v/>
      </c>
      <c r="O208" s="60">
        <v>60</v>
      </c>
      <c r="P208" s="60">
        <v>874</v>
      </c>
      <c r="Q208" s="48">
        <v>300</v>
      </c>
      <c r="R208" s="48">
        <v>819</v>
      </c>
      <c r="S208" s="48"/>
      <c r="T208" s="48"/>
      <c r="U208" s="49"/>
      <c r="V208" s="49"/>
      <c r="W208" s="50">
        <f t="shared" si="29"/>
        <v>0</v>
      </c>
      <c r="X208" s="51">
        <f>IF(A208="", "", IF(COUNTIFS(C$3:C207, C208, D$3:D207, D208, G$3:G207, G208) &gt; 0, "", "11:00"-AW208))</f>
        <v>0.37499999999999994</v>
      </c>
      <c r="Y208" s="52" t="str">
        <f t="shared" si="35"/>
        <v>1:40</v>
      </c>
      <c r="Z208" s="53">
        <v>4.1666666666666664E-2</v>
      </c>
      <c r="AA208" s="54" t="s">
        <v>67</v>
      </c>
      <c r="AB208" s="53"/>
      <c r="AC208" s="54"/>
      <c r="AD208" s="53"/>
      <c r="AE208" s="54"/>
      <c r="AF208" s="53"/>
      <c r="AG208" s="54"/>
      <c r="AH208" s="55">
        <v>4.1666666666666699E-2</v>
      </c>
      <c r="AI208" s="53"/>
      <c r="AJ208" s="54"/>
      <c r="AK208" s="53"/>
      <c r="AL208" s="54"/>
      <c r="AM208" s="53"/>
      <c r="AN208" s="54" t="s">
        <v>122</v>
      </c>
      <c r="AO208" s="53"/>
      <c r="AP208" s="54"/>
      <c r="AQ208" s="53"/>
      <c r="AR208" s="54"/>
      <c r="AS208" s="53"/>
      <c r="AT208" s="54"/>
      <c r="AU208" s="53">
        <v>4.1666666666666699E-2</v>
      </c>
      <c r="AV208" s="54" t="s">
        <v>37</v>
      </c>
      <c r="AW208" s="57">
        <f t="shared" si="32"/>
        <v>8.333333333333337E-2</v>
      </c>
      <c r="AX208" s="58" t="s">
        <v>77</v>
      </c>
    </row>
    <row r="209" spans="1:50" ht="28.5">
      <c r="A209" s="38" t="s">
        <v>250</v>
      </c>
      <c r="B209" s="39">
        <f t="shared" si="36"/>
        <v>205</v>
      </c>
      <c r="C209" s="40">
        <v>46030</v>
      </c>
      <c r="D209" s="40" t="s">
        <v>32</v>
      </c>
      <c r="E209" s="40" t="s">
        <v>33</v>
      </c>
      <c r="F209" s="41">
        <v>655.4</v>
      </c>
      <c r="G209" s="42" t="s">
        <v>75</v>
      </c>
      <c r="H209" s="43" t="str">
        <f>IFERROR(VLOOKUP($J209,'[9]FROM (3)'!$E$4:$F$230,2,FALSE),"")</f>
        <v>JAMY</v>
      </c>
      <c r="I209" s="44" t="str">
        <f t="shared" si="33"/>
        <v>RACK BAR</v>
      </c>
      <c r="J209" s="44" t="str">
        <f t="shared" si="34"/>
        <v>JGC10-M09008-51-0</v>
      </c>
      <c r="K209" s="59" t="str">
        <f t="shared" si="30"/>
        <v>PD26010173</v>
      </c>
      <c r="L209" s="46" t="str" cm="1">
        <f t="array" ref="L209">IFERROR(_xlfn.IFS(
    LEN($A209)-LEN(SUBSTITUTE($A209,"|",""))=12, RIGHT(A209, LEN(A209)-FIND("~", SUBSTITUTE(A209,"|","~", LEN(A209)-LEN(SUBSTITUTE(A209,"|",""))))),
    LEN($A209)-LEN(SUBSTITUTE($A209,"|",""))=13, MID($A209, FIND("~", SUBSTITUTE($A209,"|","~", 11))+1, FIND("~", SUBSTITUTE($A209,"|","~", 12))-FIND("~", SUBSTITUTE($A209,"|","~", 11))-1),
    LEN($A209)-LEN(SUBSTITUTE($A209,"|",""))=14, MID($A209, FIND("~", SUBSTITUTE($A209,"|","~", 11))+1, FIND("~", SUBSTITUTE($A209,"|","~", 12))-FIND("~", SUBSTITUTE($A209,"|","~", 11))-1)
), "")</f>
        <v>E586966</v>
      </c>
      <c r="M209" s="47" t="str">
        <f t="shared" si="28"/>
        <v>SB010005/7/26</v>
      </c>
      <c r="N209" s="46" t="str">
        <f t="shared" si="31"/>
        <v/>
      </c>
      <c r="O209" s="60">
        <v>5</v>
      </c>
      <c r="P209" s="60">
        <v>72</v>
      </c>
      <c r="Q209" s="48">
        <v>8</v>
      </c>
      <c r="R209" s="48">
        <v>22</v>
      </c>
      <c r="S209" s="48">
        <v>17</v>
      </c>
      <c r="T209" s="48" t="s">
        <v>167</v>
      </c>
      <c r="U209" s="49"/>
      <c r="V209" s="49"/>
      <c r="W209" s="50">
        <f t="shared" si="29"/>
        <v>0</v>
      </c>
      <c r="X209" s="51" t="str">
        <f>IF(A209="", "", IF(COUNTIFS(C$3:C208, C209, D$3:D208, D209, G$3:G208, G209) &gt; 0, "", "11:00"-AW209))</f>
        <v/>
      </c>
      <c r="Y209" s="52" t="str">
        <f t="shared" si="35"/>
        <v/>
      </c>
      <c r="Z209" s="53"/>
      <c r="AA209" s="54"/>
      <c r="AB209" s="53"/>
      <c r="AC209" s="54"/>
      <c r="AD209" s="53"/>
      <c r="AE209" s="54"/>
      <c r="AF209" s="53"/>
      <c r="AG209" s="54"/>
      <c r="AH209" s="55">
        <v>4.1666666666666699E-2</v>
      </c>
      <c r="AI209" s="53"/>
      <c r="AJ209" s="54"/>
      <c r="AK209" s="53"/>
      <c r="AL209" s="54"/>
      <c r="AM209" s="53"/>
      <c r="AN209" s="54"/>
      <c r="AO209" s="53"/>
      <c r="AP209" s="54"/>
      <c r="AQ209" s="53"/>
      <c r="AR209" s="54"/>
      <c r="AS209" s="53"/>
      <c r="AT209" s="54"/>
      <c r="AU209" s="53">
        <v>4.1666666666666699E-2</v>
      </c>
      <c r="AV209" s="54" t="s">
        <v>37</v>
      </c>
      <c r="AW209" s="57">
        <f t="shared" si="32"/>
        <v>4.1666666666666699E-2</v>
      </c>
      <c r="AX209" s="58" t="s">
        <v>77</v>
      </c>
    </row>
    <row r="210" spans="1:50" ht="28.5">
      <c r="A210" s="38" t="s">
        <v>251</v>
      </c>
      <c r="B210" s="39">
        <f t="shared" si="36"/>
        <v>206</v>
      </c>
      <c r="C210" s="40">
        <v>46030</v>
      </c>
      <c r="D210" s="40" t="s">
        <v>32</v>
      </c>
      <c r="E210" s="40" t="s">
        <v>33</v>
      </c>
      <c r="F210" s="41">
        <v>655.4</v>
      </c>
      <c r="G210" s="42" t="s">
        <v>75</v>
      </c>
      <c r="H210" s="43" t="str">
        <f>IFERROR(VLOOKUP($J210,'[9]FROM (3)'!$E$4:$F$230,2,FALSE),"")</f>
        <v>JAMY</v>
      </c>
      <c r="I210" s="44" t="str">
        <f t="shared" si="33"/>
        <v>RACK BAR</v>
      </c>
      <c r="J210" s="44" t="str">
        <f t="shared" si="34"/>
        <v>JGC10-M09008-51-0</v>
      </c>
      <c r="K210" s="59" t="str">
        <f t="shared" si="30"/>
        <v>PD26010173</v>
      </c>
      <c r="L210" s="46" t="str" cm="1">
        <f t="array" ref="L210">IFERROR(_xlfn.IFS(
    LEN($A210)-LEN(SUBSTITUTE($A210,"|",""))=12, RIGHT(A210, LEN(A210)-FIND("~", SUBSTITUTE(A210,"|","~", LEN(A210)-LEN(SUBSTITUTE(A210,"|",""))))),
    LEN($A210)-LEN(SUBSTITUTE($A210,"|",""))=13, MID($A210, FIND("~", SUBSTITUTE($A210,"|","~", 11))+1, FIND("~", SUBSTITUTE($A210,"|","~", 12))-FIND("~", SUBSTITUTE($A210,"|","~", 11))-1),
    LEN($A210)-LEN(SUBSTITUTE($A210,"|",""))=14, MID($A210, FIND("~", SUBSTITUTE($A210,"|","~", 11))+1, FIND("~", SUBSTITUTE($A210,"|","~", 12))-FIND("~", SUBSTITUTE($A210,"|","~", 11))-1)
), "")</f>
        <v>E586966</v>
      </c>
      <c r="M210" s="47" t="str">
        <f t="shared" si="28"/>
        <v>SB010005/6/26</v>
      </c>
      <c r="N210" s="46" t="str">
        <f t="shared" si="31"/>
        <v/>
      </c>
      <c r="O210" s="60">
        <v>55</v>
      </c>
      <c r="P210" s="60">
        <v>802</v>
      </c>
      <c r="Q210" s="48">
        <v>256</v>
      </c>
      <c r="R210" s="48">
        <v>699</v>
      </c>
      <c r="S210" s="48">
        <v>19</v>
      </c>
      <c r="T210" s="48" t="s">
        <v>167</v>
      </c>
      <c r="U210" s="49">
        <v>91</v>
      </c>
      <c r="V210" s="49">
        <v>6</v>
      </c>
      <c r="W210" s="50">
        <f t="shared" si="29"/>
        <v>97</v>
      </c>
      <c r="X210" s="51" t="str">
        <f>IF(A210="", "", IF(COUNTIFS(C$3:C209, C210, D$3:D209, D210, G$3:G209, G210) &gt; 0, "", "11:00"-AW210))</f>
        <v/>
      </c>
      <c r="Y210" s="52" t="str">
        <f t="shared" si="35"/>
        <v/>
      </c>
      <c r="Z210" s="53"/>
      <c r="AA210" s="54"/>
      <c r="AB210" s="53"/>
      <c r="AC210" s="54"/>
      <c r="AD210" s="53"/>
      <c r="AE210" s="54"/>
      <c r="AF210" s="53"/>
      <c r="AG210" s="54"/>
      <c r="AH210" s="55">
        <v>4.1666666666666699E-2</v>
      </c>
      <c r="AI210" s="53"/>
      <c r="AJ210" s="54"/>
      <c r="AK210" s="53"/>
      <c r="AL210" s="54"/>
      <c r="AM210" s="53"/>
      <c r="AN210" s="54"/>
      <c r="AO210" s="53"/>
      <c r="AP210" s="54"/>
      <c r="AQ210" s="53"/>
      <c r="AR210" s="54"/>
      <c r="AS210" s="53"/>
      <c r="AT210" s="54"/>
      <c r="AU210" s="53">
        <v>4.1666666666666699E-2</v>
      </c>
      <c r="AV210" s="54" t="s">
        <v>37</v>
      </c>
      <c r="AW210" s="57">
        <f t="shared" si="32"/>
        <v>4.1666666666666699E-2</v>
      </c>
      <c r="AX210" s="58" t="s">
        <v>77</v>
      </c>
    </row>
    <row r="211" spans="1:50" ht="28.5">
      <c r="A211" s="38" t="s">
        <v>252</v>
      </c>
      <c r="B211" s="39">
        <f t="shared" si="36"/>
        <v>207</v>
      </c>
      <c r="C211" s="40">
        <v>46030</v>
      </c>
      <c r="D211" s="40" t="s">
        <v>32</v>
      </c>
      <c r="E211" s="40" t="s">
        <v>33</v>
      </c>
      <c r="F211" s="41">
        <v>655.4</v>
      </c>
      <c r="G211" s="42" t="s">
        <v>75</v>
      </c>
      <c r="H211" s="43" t="str">
        <f>IFERROR(VLOOKUP($J211,'[9]FROM (3)'!$E$4:$F$230,2,FALSE),"")</f>
        <v>JAMY</v>
      </c>
      <c r="I211" s="44" t="str">
        <f t="shared" si="33"/>
        <v>RACK BAR</v>
      </c>
      <c r="J211" s="44" t="str">
        <f t="shared" si="34"/>
        <v>JGC10-M09008-51-0</v>
      </c>
      <c r="K211" s="59" t="str">
        <f t="shared" si="30"/>
        <v>PD26010175</v>
      </c>
      <c r="L211" s="46" t="str" cm="1">
        <f t="array" ref="L211">IFERROR(_xlfn.IFS(
    LEN($A211)-LEN(SUBSTITUTE($A211,"|",""))=12, RIGHT(A211, LEN(A211)-FIND("~", SUBSTITUTE(A211,"|","~", LEN(A211)-LEN(SUBSTITUTE(A211,"|",""))))),
    LEN($A211)-LEN(SUBSTITUTE($A211,"|",""))=13, MID($A211, FIND("~", SUBSTITUTE($A211,"|","~", 11))+1, FIND("~", SUBSTITUTE($A211,"|","~", 12))-FIND("~", SUBSTITUTE($A211,"|","~", 11))-1),
    LEN($A211)-LEN(SUBSTITUTE($A211,"|",""))=14, MID($A211, FIND("~", SUBSTITUTE($A211,"|","~", 11))+1, FIND("~", SUBSTITUTE($A211,"|","~", 12))-FIND("~", SUBSTITUTE($A211,"|","~", 11))-1)
), "")</f>
        <v>E586966</v>
      </c>
      <c r="M211" s="47" t="str">
        <f t="shared" si="28"/>
        <v>SB010008/5/26</v>
      </c>
      <c r="N211" s="46" t="str">
        <f t="shared" si="31"/>
        <v/>
      </c>
      <c r="O211" s="60">
        <v>60</v>
      </c>
      <c r="P211" s="60">
        <v>874</v>
      </c>
      <c r="Q211" s="48">
        <v>300</v>
      </c>
      <c r="R211" s="48">
        <v>819</v>
      </c>
      <c r="S211" s="48"/>
      <c r="T211" s="48"/>
      <c r="U211" s="49"/>
      <c r="V211" s="49"/>
      <c r="W211" s="50">
        <f t="shared" si="29"/>
        <v>0</v>
      </c>
      <c r="X211" s="51" t="str">
        <f>IF(A211="", "", IF(COUNTIFS(C$3:C210, C211, D$3:D210, D211, G$3:G210, G211) &gt; 0, "", "11:00"-AW211))</f>
        <v/>
      </c>
      <c r="Y211" s="52" t="str">
        <f t="shared" si="35"/>
        <v/>
      </c>
      <c r="Z211" s="53"/>
      <c r="AA211" s="54"/>
      <c r="AB211" s="53"/>
      <c r="AC211" s="54"/>
      <c r="AD211" s="53"/>
      <c r="AE211" s="54"/>
      <c r="AF211" s="53"/>
      <c r="AG211" s="54"/>
      <c r="AH211" s="55">
        <v>4.1666666666666699E-2</v>
      </c>
      <c r="AI211" s="53"/>
      <c r="AJ211" s="54"/>
      <c r="AK211" s="53"/>
      <c r="AL211" s="54"/>
      <c r="AM211" s="53"/>
      <c r="AN211" s="54"/>
      <c r="AO211" s="53"/>
      <c r="AP211" s="54"/>
      <c r="AQ211" s="53"/>
      <c r="AR211" s="54"/>
      <c r="AS211" s="53"/>
      <c r="AT211" s="54"/>
      <c r="AU211" s="53">
        <v>4.1666666666666699E-2</v>
      </c>
      <c r="AV211" s="54" t="s">
        <v>37</v>
      </c>
      <c r="AW211" s="57">
        <f t="shared" si="32"/>
        <v>4.1666666666666699E-2</v>
      </c>
      <c r="AX211" s="58" t="s">
        <v>77</v>
      </c>
    </row>
    <row r="212" spans="1:50" ht="28.5">
      <c r="A212" s="38" t="s">
        <v>253</v>
      </c>
      <c r="B212" s="39">
        <f t="shared" si="36"/>
        <v>208</v>
      </c>
      <c r="C212" s="40">
        <v>46030</v>
      </c>
      <c r="D212" s="40" t="s">
        <v>32</v>
      </c>
      <c r="E212" s="40" t="s">
        <v>33</v>
      </c>
      <c r="F212" s="41">
        <v>655.4</v>
      </c>
      <c r="G212" s="42" t="s">
        <v>75</v>
      </c>
      <c r="H212" s="43" t="str">
        <f>IFERROR(VLOOKUP($J212,'[9]FROM (3)'!$E$4:$F$230,2,FALSE),"")</f>
        <v>JAMY</v>
      </c>
      <c r="I212" s="44" t="str">
        <f t="shared" si="33"/>
        <v>RACK BAR</v>
      </c>
      <c r="J212" s="44" t="str">
        <f t="shared" si="34"/>
        <v>JGC10-M09008-51-0</v>
      </c>
      <c r="K212" s="59" t="str">
        <f t="shared" si="30"/>
        <v>PD26010175</v>
      </c>
      <c r="L212" s="46" t="str" cm="1">
        <f t="array" ref="L212">IFERROR(_xlfn.IFS(
    LEN($A212)-LEN(SUBSTITUTE($A212,"|",""))=12, RIGHT(A212, LEN(A212)-FIND("~", SUBSTITUTE(A212,"|","~", LEN(A212)-LEN(SUBSTITUTE(A212,"|",""))))),
    LEN($A212)-LEN(SUBSTITUTE($A212,"|",""))=13, MID($A212, FIND("~", SUBSTITUTE($A212,"|","~", 11))+1, FIND("~", SUBSTITUTE($A212,"|","~", 12))-FIND("~", SUBSTITUTE($A212,"|","~", 11))-1),
    LEN($A212)-LEN(SUBSTITUTE($A212,"|",""))=14, MID($A212, FIND("~", SUBSTITUTE($A212,"|","~", 11))+1, FIND("~", SUBSTITUTE($A212,"|","~", 12))-FIND("~", SUBSTITUTE($A212,"|","~", 11))-1)
), "")</f>
        <v>E586966</v>
      </c>
      <c r="M212" s="47" t="str">
        <f t="shared" si="28"/>
        <v>SB010008/6/26</v>
      </c>
      <c r="N212" s="46" t="str">
        <f t="shared" si="31"/>
        <v/>
      </c>
      <c r="O212" s="60">
        <v>56</v>
      </c>
      <c r="P212" s="60">
        <v>815</v>
      </c>
      <c r="Q212" s="48">
        <v>89</v>
      </c>
      <c r="R212" s="48">
        <v>243</v>
      </c>
      <c r="S212" s="48">
        <v>29</v>
      </c>
      <c r="T212" s="48" t="s">
        <v>167</v>
      </c>
      <c r="U212" s="49"/>
      <c r="V212" s="49"/>
      <c r="W212" s="50">
        <f t="shared" si="29"/>
        <v>0</v>
      </c>
      <c r="X212" s="51" t="str">
        <f>IF(A212="", "", IF(COUNTIFS(C$3:C211, C212, D$3:D211, D212, G$3:G211, G212) &gt; 0, "", "11:00"-AW212))</f>
        <v/>
      </c>
      <c r="Y212" s="52" t="str">
        <f t="shared" si="35"/>
        <v/>
      </c>
      <c r="Z212" s="53"/>
      <c r="AA212" s="54"/>
      <c r="AB212" s="53"/>
      <c r="AC212" s="54"/>
      <c r="AD212" s="53"/>
      <c r="AE212" s="54"/>
      <c r="AF212" s="53"/>
      <c r="AG212" s="54"/>
      <c r="AH212" s="55">
        <v>4.1666666666666699E-2</v>
      </c>
      <c r="AI212" s="53"/>
      <c r="AJ212" s="54"/>
      <c r="AK212" s="53"/>
      <c r="AL212" s="54"/>
      <c r="AM212" s="53"/>
      <c r="AN212" s="54"/>
      <c r="AO212" s="53"/>
      <c r="AP212" s="54"/>
      <c r="AQ212" s="53"/>
      <c r="AR212" s="54"/>
      <c r="AS212" s="53"/>
      <c r="AT212" s="54"/>
      <c r="AU212" s="53">
        <v>4.1666666666666699E-2</v>
      </c>
      <c r="AV212" s="54" t="s">
        <v>37</v>
      </c>
      <c r="AW212" s="57">
        <f t="shared" si="32"/>
        <v>4.1666666666666699E-2</v>
      </c>
      <c r="AX212" s="58" t="s">
        <v>77</v>
      </c>
    </row>
    <row r="213" spans="1:50" ht="28.5">
      <c r="A213" s="38" t="s">
        <v>254</v>
      </c>
      <c r="B213" s="39">
        <f t="shared" si="36"/>
        <v>209</v>
      </c>
      <c r="C213" s="40">
        <v>46030</v>
      </c>
      <c r="D213" s="40" t="s">
        <v>32</v>
      </c>
      <c r="E213" s="40" t="s">
        <v>33</v>
      </c>
      <c r="F213" s="41">
        <v>755.4</v>
      </c>
      <c r="G213" s="42" t="s">
        <v>66</v>
      </c>
      <c r="H213" s="43" t="str">
        <f>IFERROR(VLOOKUP($J213,'[9]FROM (3)'!$E$4:$F$230,2,FALSE),"")</f>
        <v>JTCS</v>
      </c>
      <c r="I213" s="44" t="str">
        <f t="shared" si="33"/>
        <v>RACK, PS</v>
      </c>
      <c r="J213" s="44" t="str">
        <f t="shared" si="34"/>
        <v>JGD10-001260-40-1</v>
      </c>
      <c r="K213" s="59" t="str">
        <f t="shared" si="30"/>
        <v>PD26010093</v>
      </c>
      <c r="L213" s="46" t="str" cm="1">
        <f t="array" ref="L213">IFERROR(_xlfn.IFS(
    LEN($A213)-LEN(SUBSTITUTE($A213,"|",""))=12, RIGHT(A213, LEN(A213)-FIND("~", SUBSTITUTE(A213,"|","~", LEN(A213)-LEN(SUBSTITUTE(A213,"|",""))))),
    LEN($A213)-LEN(SUBSTITUTE($A213,"|",""))=13, MID($A213, FIND("~", SUBSTITUTE($A213,"|","~", 11))+1, FIND("~", SUBSTITUTE($A213,"|","~", 12))-FIND("~", SUBSTITUTE($A213,"|","~", 11))-1),
    LEN($A213)-LEN(SUBSTITUTE($A213,"|",""))=14, MID($A213, FIND("~", SUBSTITUTE($A213,"|","~", 11))+1, FIND("~", SUBSTITUTE($A213,"|","~", 12))-FIND("~", SUBSTITUTE($A213,"|","~", 11))-1)
), "")</f>
        <v>E586967</v>
      </c>
      <c r="M213" s="47" t="str">
        <f t="shared" si="28"/>
        <v>SB120195/3/25</v>
      </c>
      <c r="N213" s="46" t="str">
        <f t="shared" si="31"/>
        <v/>
      </c>
      <c r="O213" s="60">
        <v>47</v>
      </c>
      <c r="P213" s="60">
        <v>974</v>
      </c>
      <c r="Q213" s="48">
        <v>188</v>
      </c>
      <c r="R213" s="48">
        <v>910</v>
      </c>
      <c r="S213" s="48"/>
      <c r="T213" s="48"/>
      <c r="U213" s="49"/>
      <c r="V213" s="49"/>
      <c r="W213" s="50">
        <f t="shared" si="29"/>
        <v>0</v>
      </c>
      <c r="X213" s="51">
        <f>IF(A213="", "", IF(COUNTIFS(C$3:C212, C213, D$3:D212, D213, G$3:G212, G213) &gt; 0, "", "11:00"-AW213))</f>
        <v>0.36111111111111105</v>
      </c>
      <c r="Y213" s="52" t="str">
        <f t="shared" si="35"/>
        <v>1:40</v>
      </c>
      <c r="Z213" s="53">
        <v>1.3888888888888888E-2</v>
      </c>
      <c r="AA213" s="54" t="s">
        <v>147</v>
      </c>
      <c r="AB213" s="53">
        <v>4.1666666666666664E-2</v>
      </c>
      <c r="AC213" s="54" t="s">
        <v>67</v>
      </c>
      <c r="AD213" s="53"/>
      <c r="AE213" s="54"/>
      <c r="AF213" s="53"/>
      <c r="AG213" s="54"/>
      <c r="AH213" s="55">
        <v>4.1666666666666699E-2</v>
      </c>
      <c r="AI213" s="53"/>
      <c r="AJ213" s="54"/>
      <c r="AK213" s="53"/>
      <c r="AL213" s="54"/>
      <c r="AM213" s="53"/>
      <c r="AN213" s="54"/>
      <c r="AO213" s="53"/>
      <c r="AP213" s="54"/>
      <c r="AQ213" s="53"/>
      <c r="AR213" s="54"/>
      <c r="AS213" s="53"/>
      <c r="AT213" s="54"/>
      <c r="AU213" s="53">
        <v>4.1666666666666699E-2</v>
      </c>
      <c r="AV213" s="54" t="s">
        <v>37</v>
      </c>
      <c r="AW213" s="57">
        <f t="shared" si="32"/>
        <v>9.7222222222222252E-2</v>
      </c>
      <c r="AX213" s="58" t="s">
        <v>68</v>
      </c>
    </row>
    <row r="214" spans="1:50" ht="28.5">
      <c r="A214" s="38" t="s">
        <v>255</v>
      </c>
      <c r="B214" s="39">
        <f t="shared" si="36"/>
        <v>210</v>
      </c>
      <c r="C214" s="40">
        <v>46030</v>
      </c>
      <c r="D214" s="40" t="s">
        <v>32</v>
      </c>
      <c r="E214" s="40" t="s">
        <v>33</v>
      </c>
      <c r="F214" s="41">
        <v>755.4</v>
      </c>
      <c r="G214" s="42" t="s">
        <v>66</v>
      </c>
      <c r="H214" s="43" t="str">
        <f>IFERROR(VLOOKUP($J214,'[9]FROM (3)'!$E$4:$F$230,2,FALSE),"")</f>
        <v>JTCS</v>
      </c>
      <c r="I214" s="44" t="str">
        <f t="shared" si="33"/>
        <v>RACK, PS</v>
      </c>
      <c r="J214" s="44" t="str">
        <f t="shared" si="34"/>
        <v>JGD10-001260-40-1</v>
      </c>
      <c r="K214" s="59" t="str">
        <f t="shared" si="30"/>
        <v>PD26010093</v>
      </c>
      <c r="L214" s="46" t="str" cm="1">
        <f t="array" ref="L214">IFERROR(_xlfn.IFS(
    LEN($A214)-LEN(SUBSTITUTE($A214,"|",""))=12, RIGHT(A214, LEN(A214)-FIND("~", SUBSTITUTE(A214,"|","~", LEN(A214)-LEN(SUBSTITUTE(A214,"|",""))))),
    LEN($A214)-LEN(SUBSTITUTE($A214,"|",""))=13, MID($A214, FIND("~", SUBSTITUTE($A214,"|","~", 11))+1, FIND("~", SUBSTITUTE($A214,"|","~", 12))-FIND("~", SUBSTITUTE($A214,"|","~", 11))-1),
    LEN($A214)-LEN(SUBSTITUTE($A214,"|",""))=14, MID($A214, FIND("~", SUBSTITUTE($A214,"|","~", 11))+1, FIND("~", SUBSTITUTE($A214,"|","~", 12))-FIND("~", SUBSTITUTE($A214,"|","~", 11))-1)
), "")</f>
        <v>E586967</v>
      </c>
      <c r="M214" s="47" t="str">
        <f t="shared" si="28"/>
        <v>SB120195/4/25</v>
      </c>
      <c r="N214" s="46" t="str">
        <f t="shared" si="31"/>
        <v/>
      </c>
      <c r="O214" s="60">
        <v>47</v>
      </c>
      <c r="P214" s="60">
        <v>974</v>
      </c>
      <c r="Q214" s="48">
        <v>188</v>
      </c>
      <c r="R214" s="48">
        <v>910</v>
      </c>
      <c r="S214" s="48"/>
      <c r="T214" s="48"/>
      <c r="U214" s="49">
        <v>104</v>
      </c>
      <c r="V214" s="49">
        <v>6</v>
      </c>
      <c r="W214" s="50">
        <f t="shared" si="29"/>
        <v>110</v>
      </c>
      <c r="X214" s="51" t="str">
        <f>IF(A214="", "", IF(COUNTIFS(C$3:C213, C214, D$3:D213, D214, G$3:G213, G214) &gt; 0, "", "11:00"-AW214))</f>
        <v/>
      </c>
      <c r="Y214" s="52" t="str">
        <f t="shared" si="35"/>
        <v/>
      </c>
      <c r="Z214" s="53"/>
      <c r="AA214" s="54"/>
      <c r="AB214" s="53"/>
      <c r="AC214" s="54"/>
      <c r="AD214" s="53"/>
      <c r="AE214" s="54"/>
      <c r="AF214" s="53"/>
      <c r="AG214" s="54"/>
      <c r="AH214" s="55">
        <v>4.1666666666666699E-2</v>
      </c>
      <c r="AI214" s="53"/>
      <c r="AJ214" s="54"/>
      <c r="AK214" s="53"/>
      <c r="AL214" s="54"/>
      <c r="AM214" s="53"/>
      <c r="AN214" s="54"/>
      <c r="AO214" s="53"/>
      <c r="AP214" s="54"/>
      <c r="AQ214" s="53"/>
      <c r="AR214" s="54"/>
      <c r="AS214" s="53"/>
      <c r="AT214" s="54"/>
      <c r="AU214" s="53">
        <v>4.1666666666666699E-2</v>
      </c>
      <c r="AV214" s="54" t="s">
        <v>37</v>
      </c>
      <c r="AW214" s="57">
        <f t="shared" si="32"/>
        <v>4.1666666666666699E-2</v>
      </c>
      <c r="AX214" s="58" t="s">
        <v>68</v>
      </c>
    </row>
    <row r="215" spans="1:50" ht="28.5">
      <c r="A215" s="38" t="s">
        <v>256</v>
      </c>
      <c r="B215" s="39">
        <f t="shared" si="36"/>
        <v>211</v>
      </c>
      <c r="C215" s="40">
        <v>46030</v>
      </c>
      <c r="D215" s="40" t="s">
        <v>32</v>
      </c>
      <c r="E215" s="40" t="s">
        <v>33</v>
      </c>
      <c r="F215" s="41">
        <v>634.6</v>
      </c>
      <c r="G215" s="42" t="s">
        <v>66</v>
      </c>
      <c r="H215" s="43" t="str">
        <f>IFERROR(VLOOKUP($J215,'[9]FROM (3)'!$E$4:$F$230,2,FALSE),"")</f>
        <v>JTCS</v>
      </c>
      <c r="I215" s="44" t="str">
        <f t="shared" si="33"/>
        <v>RACK, MS</v>
      </c>
      <c r="J215" s="44" t="str">
        <f t="shared" si="34"/>
        <v>JGC10S001620</v>
      </c>
      <c r="K215" s="59" t="str">
        <f t="shared" si="30"/>
        <v>PD25121302</v>
      </c>
      <c r="L215" s="46" t="str" cm="1">
        <f t="array" ref="L215">IFERROR(_xlfn.IFS(
    LEN($A215)-LEN(SUBSTITUTE($A215,"|",""))=12, RIGHT(A215, LEN(A215)-FIND("~", SUBSTITUTE(A215,"|","~", LEN(A215)-LEN(SUBSTITUTE(A215,"|",""))))),
    LEN($A215)-LEN(SUBSTITUTE($A215,"|",""))=13, MID($A215, FIND("~", SUBSTITUTE($A215,"|","~", 11))+1, FIND("~", SUBSTITUTE($A215,"|","~", 12))-FIND("~", SUBSTITUTE($A215,"|","~", 11))-1),
    LEN($A215)-LEN(SUBSTITUTE($A215,"|",""))=14, MID($A215, FIND("~", SUBSTITUTE($A215,"|","~", 11))+1, FIND("~", SUBSTITUTE($A215,"|","~", 12))-FIND("~", SUBSTITUTE($A215,"|","~", 11))-1)
), "")</f>
        <v>E586613</v>
      </c>
      <c r="M215" s="47" t="str">
        <f t="shared" si="28"/>
        <v>SB120190/2/25</v>
      </c>
      <c r="N215" s="46" t="str">
        <f t="shared" si="31"/>
        <v/>
      </c>
      <c r="O215" s="60">
        <v>84</v>
      </c>
      <c r="P215" s="60">
        <v>1015</v>
      </c>
      <c r="Q215" s="48">
        <v>420</v>
      </c>
      <c r="R215" s="48">
        <v>945</v>
      </c>
      <c r="S215" s="48"/>
      <c r="T215" s="48"/>
      <c r="U215" s="49"/>
      <c r="V215" s="49"/>
      <c r="W215" s="50">
        <f t="shared" si="29"/>
        <v>0</v>
      </c>
      <c r="X215" s="51" t="str">
        <f>IF(A215="", "", IF(COUNTIFS(C$3:C214, C215, D$3:D214, D215, G$3:G214, G215) &gt; 0, "", "11:00"-AW215))</f>
        <v/>
      </c>
      <c r="Y215" s="52" t="str">
        <f t="shared" si="35"/>
        <v/>
      </c>
      <c r="AE215" s="53"/>
      <c r="AF215" s="54"/>
      <c r="AG215" s="53"/>
      <c r="AH215" s="54"/>
      <c r="AI215" s="53"/>
      <c r="AJ215" s="54"/>
      <c r="AK215" s="53"/>
      <c r="AL215" s="54"/>
      <c r="AM215" s="55"/>
      <c r="AN215" s="53"/>
      <c r="AO215" s="54"/>
      <c r="AP215" s="53"/>
      <c r="AQ215" s="53"/>
      <c r="AR215" s="54"/>
      <c r="AS215" s="53"/>
      <c r="AT215" s="54"/>
      <c r="AU215" s="53">
        <v>4.1666666666666699E-2</v>
      </c>
      <c r="AV215" s="54" t="s">
        <v>37</v>
      </c>
      <c r="AW215" s="57">
        <f t="shared" si="32"/>
        <v>4.1666666666666699E-2</v>
      </c>
      <c r="AX215" s="58" t="s">
        <v>68</v>
      </c>
    </row>
    <row r="216" spans="1:50" ht="21.75" customHeight="1">
      <c r="A216" s="38" t="s">
        <v>257</v>
      </c>
      <c r="B216" s="39">
        <f t="shared" si="36"/>
        <v>212</v>
      </c>
      <c r="C216" s="40">
        <v>46030</v>
      </c>
      <c r="D216" s="40" t="s">
        <v>32</v>
      </c>
      <c r="E216" s="40" t="s">
        <v>33</v>
      </c>
      <c r="F216" s="41">
        <v>634.6</v>
      </c>
      <c r="G216" s="42" t="s">
        <v>66</v>
      </c>
      <c r="H216" s="43" t="str">
        <f>IFERROR(VLOOKUP($J216,'[9]FROM (3)'!$E$4:$F$230,2,FALSE),"")</f>
        <v>JTCS</v>
      </c>
      <c r="I216" s="44" t="str">
        <f t="shared" si="33"/>
        <v>RACK, MS</v>
      </c>
      <c r="J216" s="44" t="str">
        <f t="shared" si="34"/>
        <v>JGC10S001620</v>
      </c>
      <c r="K216" s="59" t="str">
        <f t="shared" si="30"/>
        <v>PD25121302</v>
      </c>
      <c r="L216" s="46" t="str" cm="1">
        <f t="array" ref="L216">IFERROR(_xlfn.IFS(
    LEN($A216)-LEN(SUBSTITUTE($A216,"|",""))=12, RIGHT(A216, LEN(A216)-FIND("~", SUBSTITUTE(A216,"|","~", LEN(A216)-LEN(SUBSTITUTE(A216,"|",""))))),
    LEN($A216)-LEN(SUBSTITUTE($A216,"|",""))=13, MID($A216, FIND("~", SUBSTITUTE($A216,"|","~", 11))+1, FIND("~", SUBSTITUTE($A216,"|","~", 12))-FIND("~", SUBSTITUTE($A216,"|","~", 11))-1),
    LEN($A216)-LEN(SUBSTITUTE($A216,"|",""))=14, MID($A216, FIND("~", SUBSTITUTE($A216,"|","~", 11))+1, FIND("~", SUBSTITUTE($A216,"|","~", 12))-FIND("~", SUBSTITUTE($A216,"|","~", 11))-1)
), "")</f>
        <v>E586613</v>
      </c>
      <c r="M216" s="47" t="str">
        <f t="shared" si="28"/>
        <v>SB120190/1/25</v>
      </c>
      <c r="N216" s="46" t="str">
        <f t="shared" si="31"/>
        <v/>
      </c>
      <c r="O216" s="60">
        <v>37</v>
      </c>
      <c r="P216" s="60">
        <v>447</v>
      </c>
      <c r="Q216" s="48">
        <v>181</v>
      </c>
      <c r="R216" s="48">
        <v>407</v>
      </c>
      <c r="S216" s="48"/>
      <c r="T216" s="48"/>
      <c r="U216" s="49"/>
      <c r="V216" s="49"/>
      <c r="W216" s="50">
        <f t="shared" si="29"/>
        <v>0</v>
      </c>
      <c r="X216" s="51" t="str">
        <f>IF(A216="", "", IF(COUNTIFS(C$3:C215, C216, D$3:D215, D216, G$3:G215, G216) &gt; 0, "", "11:00"-AW216))</f>
        <v/>
      </c>
      <c r="Y216" s="52" t="str">
        <f t="shared" si="35"/>
        <v/>
      </c>
      <c r="Z216" s="53"/>
      <c r="AA216" s="54"/>
      <c r="AB216" s="53"/>
      <c r="AC216" s="54"/>
      <c r="AD216" s="53"/>
      <c r="AE216" s="54"/>
      <c r="AF216" s="53"/>
      <c r="AG216" s="54"/>
      <c r="AH216" s="55">
        <v>4.1666666666666699E-2</v>
      </c>
      <c r="AI216" s="53"/>
      <c r="AJ216" s="54"/>
      <c r="AK216" s="53"/>
      <c r="AL216" s="54"/>
      <c r="AM216" s="53"/>
      <c r="AN216" s="54"/>
      <c r="AO216" s="53"/>
      <c r="AP216" s="54"/>
      <c r="AQ216" s="53"/>
      <c r="AR216" s="54"/>
      <c r="AS216" s="53"/>
      <c r="AT216" s="54"/>
      <c r="AU216" s="53">
        <v>4.1666666666666699E-2</v>
      </c>
      <c r="AV216" s="54" t="s">
        <v>37</v>
      </c>
      <c r="AW216" s="57">
        <f t="shared" si="32"/>
        <v>4.1666666666666699E-2</v>
      </c>
      <c r="AX216" s="58" t="s">
        <v>68</v>
      </c>
    </row>
    <row r="217" spans="1:50" ht="28.5">
      <c r="A217" s="38" t="s">
        <v>225</v>
      </c>
      <c r="B217" s="39">
        <f t="shared" si="36"/>
        <v>213</v>
      </c>
      <c r="C217" s="40">
        <v>46030</v>
      </c>
      <c r="D217" s="40" t="s">
        <v>32</v>
      </c>
      <c r="E217" s="40" t="s">
        <v>33</v>
      </c>
      <c r="F217" s="41">
        <v>69.5</v>
      </c>
      <c r="G217" s="42" t="s">
        <v>135</v>
      </c>
      <c r="H217" s="43" t="str">
        <f>IFERROR(VLOOKUP($J217,'[9]FROM (3)'!$E$4:$F$230,2,FALSE),"")</f>
        <v>DNTH</v>
      </c>
      <c r="I217" s="44" t="str">
        <f t="shared" si="33"/>
        <v>Pole Core</v>
      </c>
      <c r="J217" s="44" t="str">
        <f t="shared" si="34"/>
        <v>TG028152-5180</v>
      </c>
      <c r="K217" s="59" t="str">
        <f t="shared" si="30"/>
        <v>PD25120422</v>
      </c>
      <c r="L217" s="46" t="str" cm="1">
        <f t="array" ref="L217">IFERROR(_xlfn.IFS(
    LEN($A217)-LEN(SUBSTITUTE($A217,"|",""))=12, RIGHT(A217, LEN(A217)-FIND("~", SUBSTITUTE(A217,"|","~", LEN(A217)-LEN(SUBSTITUTE(A217,"|",""))))),
    LEN($A217)-LEN(SUBSTITUTE($A217,"|",""))=13, MID($A217, FIND("~", SUBSTITUTE($A217,"|","~", 11))+1, FIND("~", SUBSTITUTE($A217,"|","~", 12))-FIND("~", SUBSTITUTE($A217,"|","~", 11))-1),
    LEN($A217)-LEN(SUBSTITUTE($A217,"|",""))=14, MID($A217, FIND("~", SUBSTITUTE($A217,"|","~", 11))+1, FIND("~", SUBSTITUTE($A217,"|","~", 12))-FIND("~", SUBSTITUTE($A217,"|","~", 11))-1)
), "")</f>
        <v>KS005C9016</v>
      </c>
      <c r="M217" s="47" t="str">
        <f t="shared" si="28"/>
        <v>SB120058/3/25</v>
      </c>
      <c r="N217" s="46" t="str">
        <f t="shared" si="31"/>
        <v/>
      </c>
      <c r="O217" s="60">
        <v>0</v>
      </c>
      <c r="P217" s="60">
        <v>0</v>
      </c>
      <c r="Q217" s="48">
        <v>3611</v>
      </c>
      <c r="R217" s="48">
        <v>251</v>
      </c>
      <c r="S217" s="48"/>
      <c r="T217" s="48"/>
      <c r="U217" s="49">
        <v>358</v>
      </c>
      <c r="V217" s="49" t="s">
        <v>35</v>
      </c>
      <c r="W217" s="50">
        <f t="shared" si="29"/>
        <v>358</v>
      </c>
      <c r="X217" s="51">
        <f>IF(A217="", "", IF(COUNTIFS(C$3:C216, C217, D$3:D216, D217, G$3:G216, G217) &gt; 0, "", "11:00"-AW217))</f>
        <v>0.39583333333333326</v>
      </c>
      <c r="Y217" s="52" t="str">
        <f t="shared" si="35"/>
        <v>1:40</v>
      </c>
      <c r="Z217" s="53"/>
      <c r="AA217" s="54"/>
      <c r="AB217" s="53">
        <v>2.0833333333333332E-2</v>
      </c>
      <c r="AC217" s="54" t="s">
        <v>129</v>
      </c>
      <c r="AD217" s="53"/>
      <c r="AE217" s="54"/>
      <c r="AF217" s="53"/>
      <c r="AG217" s="54"/>
      <c r="AH217" s="55">
        <v>4.1666666666666699E-2</v>
      </c>
      <c r="AI217" s="53"/>
      <c r="AJ217" s="54"/>
      <c r="AK217" s="53"/>
      <c r="AL217" s="54"/>
      <c r="AM217" s="53"/>
      <c r="AN217" s="54"/>
      <c r="AO217" s="53"/>
      <c r="AP217" s="54"/>
      <c r="AQ217" s="53"/>
      <c r="AR217" s="54"/>
      <c r="AS217" s="53"/>
      <c r="AT217" s="54"/>
      <c r="AU217" s="53">
        <v>4.1666666666666699E-2</v>
      </c>
      <c r="AV217" s="54" t="s">
        <v>37</v>
      </c>
      <c r="AW217" s="57">
        <f t="shared" si="32"/>
        <v>6.2500000000000028E-2</v>
      </c>
      <c r="AX217" s="58" t="s">
        <v>64</v>
      </c>
    </row>
    <row r="218" spans="1:50" ht="28.5">
      <c r="A218" s="38" t="s">
        <v>258</v>
      </c>
      <c r="B218" s="39">
        <f t="shared" si="36"/>
        <v>214</v>
      </c>
      <c r="C218" s="40">
        <v>46030</v>
      </c>
      <c r="D218" s="40" t="s">
        <v>32</v>
      </c>
      <c r="E218" s="40" t="s">
        <v>33</v>
      </c>
      <c r="F218" s="41">
        <v>69.5</v>
      </c>
      <c r="G218" s="42" t="s">
        <v>135</v>
      </c>
      <c r="H218" s="43" t="str">
        <f>IFERROR(VLOOKUP($J218,'[9]FROM (3)'!$E$4:$F$230,2,FALSE),"")</f>
        <v>DNTH</v>
      </c>
      <c r="I218" s="44" t="str">
        <f t="shared" si="33"/>
        <v>Pole Core</v>
      </c>
      <c r="J218" s="44" t="str">
        <f t="shared" si="34"/>
        <v>TG028152-5180</v>
      </c>
      <c r="K218" s="59" t="str">
        <f t="shared" si="30"/>
        <v>PD25120423</v>
      </c>
      <c r="L218" s="46" t="str" cm="1">
        <f t="array" ref="L218">IFERROR(_xlfn.IFS(
    LEN($A218)-LEN(SUBSTITUTE($A218,"|",""))=12, RIGHT(A218, LEN(A218)-FIND("~", SUBSTITUTE(A218,"|","~", LEN(A218)-LEN(SUBSTITUTE(A218,"|",""))))),
    LEN($A218)-LEN(SUBSTITUTE($A218,"|",""))=13, MID($A218, FIND("~", SUBSTITUTE($A218,"|","~", 11))+1, FIND("~", SUBSTITUTE($A218,"|","~", 12))-FIND("~", SUBSTITUTE($A218,"|","~", 11))-1),
    LEN($A218)-LEN(SUBSTITUTE($A218,"|",""))=14, MID($A218, FIND("~", SUBSTITUTE($A218,"|","~", 11))+1, FIND("~", SUBSTITUTE($A218,"|","~", 12))-FIND("~", SUBSTITUTE($A218,"|","~", 11))-1)
), "")</f>
        <v>KS005C9016</v>
      </c>
      <c r="M218" s="47" t="str">
        <f t="shared" si="28"/>
        <v>SB120058/6/25</v>
      </c>
      <c r="N218" s="46" t="str">
        <f t="shared" si="31"/>
        <v/>
      </c>
      <c r="O218" s="60">
        <v>130</v>
      </c>
      <c r="P218" s="60">
        <v>1014</v>
      </c>
      <c r="Q218" s="48">
        <v>13224</v>
      </c>
      <c r="R218" s="48">
        <v>919</v>
      </c>
      <c r="S218" s="48"/>
      <c r="T218" s="48"/>
      <c r="U218" s="49"/>
      <c r="V218" s="49"/>
      <c r="W218" s="50">
        <f t="shared" si="29"/>
        <v>0</v>
      </c>
      <c r="X218" s="51" t="str">
        <f>IF(A218="", "", IF(COUNTIFS(C$3:C217, C218, D$3:D217, D218, G$3:G217, G218) &gt; 0, "", "11:00"-AW218))</f>
        <v/>
      </c>
      <c r="Y218" s="52" t="str">
        <f t="shared" si="35"/>
        <v/>
      </c>
      <c r="Z218" s="53"/>
      <c r="AA218" s="54"/>
      <c r="AB218" s="53"/>
      <c r="AC218" s="54"/>
      <c r="AD218" s="53"/>
      <c r="AE218" s="54"/>
      <c r="AF218" s="53"/>
      <c r="AG218" s="54"/>
      <c r="AH218" s="55">
        <v>4.1666666666666699E-2</v>
      </c>
      <c r="AI218" s="53"/>
      <c r="AJ218" s="54"/>
      <c r="AK218" s="53"/>
      <c r="AL218" s="54"/>
      <c r="AM218" s="53"/>
      <c r="AN218" s="54"/>
      <c r="AO218" s="53"/>
      <c r="AP218" s="54"/>
      <c r="AQ218" s="53"/>
      <c r="AR218" s="54"/>
      <c r="AS218" s="53"/>
      <c r="AT218" s="54"/>
      <c r="AU218" s="53">
        <v>4.1666666666666699E-2</v>
      </c>
      <c r="AV218" s="54" t="s">
        <v>37</v>
      </c>
      <c r="AW218" s="57">
        <f t="shared" si="32"/>
        <v>4.1666666666666699E-2</v>
      </c>
      <c r="AX218" s="58" t="s">
        <v>64</v>
      </c>
    </row>
    <row r="219" spans="1:50" ht="28.5">
      <c r="A219" s="38" t="s">
        <v>259</v>
      </c>
      <c r="B219" s="39">
        <f t="shared" si="36"/>
        <v>215</v>
      </c>
      <c r="C219" s="40">
        <v>46030</v>
      </c>
      <c r="D219" s="40" t="s">
        <v>32</v>
      </c>
      <c r="E219" s="40" t="s">
        <v>33</v>
      </c>
      <c r="F219" s="41">
        <v>732.8</v>
      </c>
      <c r="G219" s="42" t="s">
        <v>192</v>
      </c>
      <c r="H219" s="43" t="str">
        <f>IFERROR(VLOOKUP($J219,'[9]FROM (3)'!$E$4:$F$230,2,FALSE),"")</f>
        <v>JATH</v>
      </c>
      <c r="I219" s="44" t="str">
        <f t="shared" si="33"/>
        <v>JGF02-002060-31-3</v>
      </c>
      <c r="J219" s="44" t="str">
        <f t="shared" si="34"/>
        <v>RACK BAR BLANK (JGF02-002060-31-3) 58*D</v>
      </c>
      <c r="K219" s="59" t="str">
        <f t="shared" si="30"/>
        <v>PD25120330</v>
      </c>
      <c r="L219" s="46" t="str" cm="1">
        <f t="array" ref="L219">IFERROR(_xlfn.IFS(
    LEN($A219)-LEN(SUBSTITUTE($A219,"|",""))=12, RIGHT(A219, LEN(A219)-FIND("~", SUBSTITUTE(A219,"|","~", LEN(A219)-LEN(SUBSTITUTE(A219,"|",""))))),
    LEN($A219)-LEN(SUBSTITUTE($A219,"|",""))=13, MID($A219, FIND("~", SUBSTITUTE($A219,"|","~", 11))+1, FIND("~", SUBSTITUTE($A219,"|","~", 12))-FIND("~", SUBSTITUTE($A219,"|","~", 11))-1),
    LEN($A219)-LEN(SUBSTITUTE($A219,"|",""))=14, MID($A219, FIND("~", SUBSTITUTE($A219,"|","~", 11))+1, FIND("~", SUBSTITUTE($A219,"|","~", 12))-FIND("~", SUBSTITUTE($A219,"|","~", 11))-1)
), "")</f>
        <v>5A4332</v>
      </c>
      <c r="M219" s="47" t="str">
        <f t="shared" si="28"/>
        <v>TSK2</v>
      </c>
      <c r="N219" s="46" t="str">
        <f t="shared" si="31"/>
        <v>FB120132/9/25</v>
      </c>
      <c r="O219" s="60">
        <v>58</v>
      </c>
      <c r="P219" s="60">
        <v>271</v>
      </c>
      <c r="Q219" s="48">
        <v>58</v>
      </c>
      <c r="R219" s="48">
        <v>271</v>
      </c>
      <c r="S219" s="48"/>
      <c r="T219" s="48"/>
      <c r="U219" s="49"/>
      <c r="V219" s="49"/>
      <c r="W219" s="50">
        <f t="shared" si="29"/>
        <v>0</v>
      </c>
      <c r="X219" s="51">
        <f>IF(A219="", "", IF(COUNTIFS(C$3:C218, C219, D$3:D218, D219, G$3:G218, G219) &gt; 0, "", "11:00"-AW219))</f>
        <v>0.33333333333333326</v>
      </c>
      <c r="Y219" s="52" t="str">
        <f t="shared" si="35"/>
        <v>1:40</v>
      </c>
      <c r="Z219" s="53">
        <v>4.1666666666666664E-2</v>
      </c>
      <c r="AA219" s="54"/>
      <c r="AB219" s="53">
        <v>4.1666666666666664E-2</v>
      </c>
      <c r="AC219" s="54"/>
      <c r="AD219" s="53"/>
      <c r="AE219" s="54"/>
      <c r="AF219" s="53"/>
      <c r="AG219" s="54"/>
      <c r="AH219" s="55">
        <v>4.1666666666666699E-2</v>
      </c>
      <c r="AI219" s="53"/>
      <c r="AJ219" s="54"/>
      <c r="AK219" s="53"/>
      <c r="AL219" s="54"/>
      <c r="AM219" s="53"/>
      <c r="AN219" s="54"/>
      <c r="AO219" s="53"/>
      <c r="AP219" s="54"/>
      <c r="AQ219" s="53"/>
      <c r="AR219" s="54"/>
      <c r="AS219" s="53"/>
      <c r="AT219" s="54"/>
      <c r="AU219" s="53">
        <v>4.1666666666666699E-2</v>
      </c>
      <c r="AV219" s="54" t="s">
        <v>37</v>
      </c>
      <c r="AW219" s="57">
        <f t="shared" si="32"/>
        <v>0.12500000000000003</v>
      </c>
      <c r="AX219" s="58" t="s">
        <v>260</v>
      </c>
    </row>
    <row r="220" spans="1:50" ht="28.5">
      <c r="A220" s="38" t="s">
        <v>261</v>
      </c>
      <c r="B220" s="39">
        <f t="shared" si="36"/>
        <v>216</v>
      </c>
      <c r="C220" s="40">
        <v>46030</v>
      </c>
      <c r="D220" s="40" t="s">
        <v>32</v>
      </c>
      <c r="E220" s="40" t="s">
        <v>33</v>
      </c>
      <c r="F220" s="41">
        <v>732.8</v>
      </c>
      <c r="G220" s="42" t="s">
        <v>192</v>
      </c>
      <c r="H220" s="43" t="str">
        <f>IFERROR(VLOOKUP($J220,'[9]FROM (3)'!$E$4:$F$230,2,FALSE),"")</f>
        <v>JATH</v>
      </c>
      <c r="I220" s="44" t="str">
        <f t="shared" si="33"/>
        <v>JGF02-002060-31-3</v>
      </c>
      <c r="J220" s="44" t="str">
        <f t="shared" si="34"/>
        <v>RACK BAR BLANK (JGF02-002060-31-3) 58*D</v>
      </c>
      <c r="K220" s="59" t="str">
        <f t="shared" si="30"/>
        <v>PD25120330</v>
      </c>
      <c r="L220" s="46" t="str" cm="1">
        <f t="array" ref="L220">IFERROR(_xlfn.IFS(
    LEN($A220)-LEN(SUBSTITUTE($A220,"|",""))=12, RIGHT(A220, LEN(A220)-FIND("~", SUBSTITUTE(A220,"|","~", LEN(A220)-LEN(SUBSTITUTE(A220,"|",""))))),
    LEN($A220)-LEN(SUBSTITUTE($A220,"|",""))=13, MID($A220, FIND("~", SUBSTITUTE($A220,"|","~", 11))+1, FIND("~", SUBSTITUTE($A220,"|","~", 12))-FIND("~", SUBSTITUTE($A220,"|","~", 11))-1),
    LEN($A220)-LEN(SUBSTITUTE($A220,"|",""))=14, MID($A220, FIND("~", SUBSTITUTE($A220,"|","~", 11))+1, FIND("~", SUBSTITUTE($A220,"|","~", 12))-FIND("~", SUBSTITUTE($A220,"|","~", 11))-1)
), "")</f>
        <v>5A4332</v>
      </c>
      <c r="M220" s="47" t="str">
        <f t="shared" si="28"/>
        <v>TSK2</v>
      </c>
      <c r="N220" s="46" t="str">
        <f t="shared" si="31"/>
        <v>FB120132/15/25</v>
      </c>
      <c r="O220" s="60">
        <v>58</v>
      </c>
      <c r="P220" s="60">
        <v>271</v>
      </c>
      <c r="Q220" s="48">
        <v>58</v>
      </c>
      <c r="R220" s="48">
        <v>271</v>
      </c>
      <c r="S220" s="48"/>
      <c r="T220" s="48"/>
      <c r="U220" s="49"/>
      <c r="V220" s="49"/>
      <c r="W220" s="50">
        <f t="shared" si="29"/>
        <v>0</v>
      </c>
      <c r="X220" s="51" t="str">
        <f>IF(A220="", "", IF(COUNTIFS(C$3:C219, C220, D$3:D219, D220, G$3:G219, G220) &gt; 0, "", "11:00"-AW220))</f>
        <v/>
      </c>
      <c r="Y220" s="52" t="str">
        <f t="shared" si="35"/>
        <v/>
      </c>
      <c r="Z220" s="53"/>
      <c r="AA220" s="54"/>
      <c r="AB220" s="53"/>
      <c r="AC220" s="54"/>
      <c r="AD220" s="53"/>
      <c r="AE220" s="54"/>
      <c r="AF220" s="53"/>
      <c r="AG220" s="54"/>
      <c r="AH220" s="55">
        <v>4.1666666666666699E-2</v>
      </c>
      <c r="AI220" s="53"/>
      <c r="AJ220" s="54"/>
      <c r="AK220" s="53"/>
      <c r="AL220" s="54"/>
      <c r="AM220" s="53"/>
      <c r="AN220" s="54"/>
      <c r="AO220" s="53"/>
      <c r="AP220" s="54"/>
      <c r="AQ220" s="53"/>
      <c r="AR220" s="54"/>
      <c r="AS220" s="53"/>
      <c r="AT220" s="54"/>
      <c r="AU220" s="53">
        <v>4.1666666666666699E-2</v>
      </c>
      <c r="AV220" s="54" t="s">
        <v>37</v>
      </c>
      <c r="AW220" s="57">
        <f t="shared" si="32"/>
        <v>4.1666666666666699E-2</v>
      </c>
      <c r="AX220" s="58" t="s">
        <v>260</v>
      </c>
    </row>
    <row r="221" spans="1:50" ht="24" customHeight="1">
      <c r="A221" s="38" t="s">
        <v>262</v>
      </c>
      <c r="B221" s="39">
        <f t="shared" si="36"/>
        <v>217</v>
      </c>
      <c r="C221" s="40">
        <v>46030</v>
      </c>
      <c r="D221" s="40" t="s">
        <v>32</v>
      </c>
      <c r="E221" s="40" t="s">
        <v>33</v>
      </c>
      <c r="F221" s="41">
        <v>732.8</v>
      </c>
      <c r="G221" s="42" t="s">
        <v>192</v>
      </c>
      <c r="H221" s="43" t="str">
        <f>IFERROR(VLOOKUP($J221,'[9]FROM (3)'!$E$4:$F$230,2,FALSE),"")</f>
        <v>JATH</v>
      </c>
      <c r="I221" s="44" t="str">
        <f t="shared" si="33"/>
        <v>JGF02-002060-31-3</v>
      </c>
      <c r="J221" s="44" t="str">
        <f t="shared" si="34"/>
        <v>RACK BAR BLANK (JGF02-002060-31-3) 58*D</v>
      </c>
      <c r="K221" s="59" t="str">
        <f t="shared" si="30"/>
        <v>PD25120330</v>
      </c>
      <c r="L221" s="46" t="str" cm="1">
        <f t="array" ref="L221">IFERROR(_xlfn.IFS(
    LEN($A221)-LEN(SUBSTITUTE($A221,"|",""))=12, RIGHT(A221, LEN(A221)-FIND("~", SUBSTITUTE(A221,"|","~", LEN(A221)-LEN(SUBSTITUTE(A221,"|",""))))),
    LEN($A221)-LEN(SUBSTITUTE($A221,"|",""))=13, MID($A221, FIND("~", SUBSTITUTE($A221,"|","~", 11))+1, FIND("~", SUBSTITUTE($A221,"|","~", 12))-FIND("~", SUBSTITUTE($A221,"|","~", 11))-1),
    LEN($A221)-LEN(SUBSTITUTE($A221,"|",""))=14, MID($A221, FIND("~", SUBSTITUTE($A221,"|","~", 11))+1, FIND("~", SUBSTITUTE($A221,"|","~", 12))-FIND("~", SUBSTITUTE($A221,"|","~", 11))-1)
), "")</f>
        <v>5A4332</v>
      </c>
      <c r="M221" s="47" t="str">
        <f t="shared" si="28"/>
        <v>TSK2</v>
      </c>
      <c r="N221" s="46" t="str">
        <f t="shared" si="31"/>
        <v>FB120132/2/25</v>
      </c>
      <c r="O221" s="60">
        <v>58</v>
      </c>
      <c r="P221" s="60">
        <v>271</v>
      </c>
      <c r="Q221" s="48">
        <v>58</v>
      </c>
      <c r="R221" s="48">
        <v>271</v>
      </c>
      <c r="S221" s="48"/>
      <c r="T221" s="48"/>
      <c r="U221" s="49"/>
      <c r="V221" s="49"/>
      <c r="W221" s="50">
        <f t="shared" si="29"/>
        <v>0</v>
      </c>
      <c r="X221" s="51" t="str">
        <f>IF(A221="", "", IF(COUNTIFS(C$3:C220, C221, D$3:D220, D221, G$3:G220, G221) &gt; 0, "", "11:00"-AW221))</f>
        <v/>
      </c>
      <c r="Y221" s="52" t="str">
        <f t="shared" si="35"/>
        <v/>
      </c>
      <c r="Z221" s="53"/>
      <c r="AA221" s="54"/>
      <c r="AB221" s="53"/>
      <c r="AC221" s="54"/>
      <c r="AD221" s="53"/>
      <c r="AE221" s="54"/>
      <c r="AF221" s="53"/>
      <c r="AG221" s="54"/>
      <c r="AH221" s="55">
        <v>4.1666666666666699E-2</v>
      </c>
      <c r="AI221" s="53"/>
      <c r="AJ221" s="54"/>
      <c r="AK221" s="53"/>
      <c r="AL221" s="54"/>
      <c r="AM221" s="53"/>
      <c r="AN221" s="54"/>
      <c r="AO221" s="53"/>
      <c r="AP221" s="54"/>
      <c r="AQ221" s="53"/>
      <c r="AR221" s="54"/>
      <c r="AS221" s="53"/>
      <c r="AT221" s="54"/>
      <c r="AU221" s="53">
        <v>4.1666666666666699E-2</v>
      </c>
      <c r="AV221" s="54" t="s">
        <v>37</v>
      </c>
      <c r="AW221" s="57">
        <f t="shared" si="32"/>
        <v>4.1666666666666699E-2</v>
      </c>
      <c r="AX221" s="58" t="s">
        <v>260</v>
      </c>
    </row>
    <row r="222" spans="1:50" ht="28.5">
      <c r="A222" s="38" t="s">
        <v>263</v>
      </c>
      <c r="B222" s="39">
        <f t="shared" si="36"/>
        <v>218</v>
      </c>
      <c r="C222" s="40">
        <v>46030</v>
      </c>
      <c r="D222" s="40" t="s">
        <v>32</v>
      </c>
      <c r="E222" s="40" t="s">
        <v>33</v>
      </c>
      <c r="F222" s="41">
        <v>732.8</v>
      </c>
      <c r="G222" s="42" t="s">
        <v>192</v>
      </c>
      <c r="H222" s="43" t="str">
        <f>IFERROR(VLOOKUP($J222,'[9]FROM (3)'!$E$4:$F$230,2,FALSE),"")</f>
        <v>JATH</v>
      </c>
      <c r="I222" s="44" t="str">
        <f t="shared" si="33"/>
        <v>JGF02-002060-31-3</v>
      </c>
      <c r="J222" s="44" t="str">
        <f t="shared" si="34"/>
        <v>RACK BAR BLANK (JGF02-002060-31-3) 58*D</v>
      </c>
      <c r="K222" s="59" t="str">
        <f t="shared" si="30"/>
        <v>PD25120330</v>
      </c>
      <c r="L222" s="46" t="str" cm="1">
        <f t="array" ref="L222">IFERROR(_xlfn.IFS(
    LEN($A222)-LEN(SUBSTITUTE($A222,"|",""))=12, RIGHT(A222, LEN(A222)-FIND("~", SUBSTITUTE(A222,"|","~", LEN(A222)-LEN(SUBSTITUTE(A222,"|",""))))),
    LEN($A222)-LEN(SUBSTITUTE($A222,"|",""))=13, MID($A222, FIND("~", SUBSTITUTE($A222,"|","~", 11))+1, FIND("~", SUBSTITUTE($A222,"|","~", 12))-FIND("~", SUBSTITUTE($A222,"|","~", 11))-1),
    LEN($A222)-LEN(SUBSTITUTE($A222,"|",""))=14, MID($A222, FIND("~", SUBSTITUTE($A222,"|","~", 11))+1, FIND("~", SUBSTITUTE($A222,"|","~", 12))-FIND("~", SUBSTITUTE($A222,"|","~", 11))-1)
), "")</f>
        <v>5A4332</v>
      </c>
      <c r="M222" s="47" t="str">
        <f t="shared" si="28"/>
        <v>TSK2</v>
      </c>
      <c r="N222" s="46" t="str">
        <f t="shared" si="31"/>
        <v>FB120132/7/25</v>
      </c>
      <c r="O222" s="60">
        <v>58</v>
      </c>
      <c r="P222" s="60">
        <v>271</v>
      </c>
      <c r="Q222" s="48">
        <v>58</v>
      </c>
      <c r="R222" s="48">
        <v>271</v>
      </c>
      <c r="S222" s="48"/>
      <c r="T222" s="48"/>
      <c r="U222" s="49"/>
      <c r="V222" s="49"/>
      <c r="W222" s="50">
        <f t="shared" si="29"/>
        <v>0</v>
      </c>
      <c r="X222" s="51" t="str">
        <f>IF(A222="", "", IF(COUNTIFS(C$3:C221, C222, D$3:D221, D222, G$3:G221, G222) &gt; 0, "", "11:00"-AW222))</f>
        <v/>
      </c>
      <c r="Y222" s="52" t="str">
        <f t="shared" si="35"/>
        <v/>
      </c>
      <c r="Z222" s="53"/>
      <c r="AA222" s="54"/>
      <c r="AB222" s="53"/>
      <c r="AC222" s="54"/>
      <c r="AD222" s="53"/>
      <c r="AE222" s="54"/>
      <c r="AF222" s="53"/>
      <c r="AG222" s="54"/>
      <c r="AH222" s="55">
        <v>4.1666666666666699E-2</v>
      </c>
      <c r="AI222" s="53"/>
      <c r="AJ222" s="54"/>
      <c r="AK222" s="53"/>
      <c r="AL222" s="54"/>
      <c r="AM222" s="53"/>
      <c r="AN222" s="54"/>
      <c r="AO222" s="53"/>
      <c r="AP222" s="54"/>
      <c r="AQ222" s="53"/>
      <c r="AR222" s="54"/>
      <c r="AS222" s="53"/>
      <c r="AT222" s="54"/>
      <c r="AU222" s="53">
        <v>4.1666666666666699E-2</v>
      </c>
      <c r="AV222" s="54" t="s">
        <v>37</v>
      </c>
      <c r="AW222" s="57">
        <f t="shared" si="32"/>
        <v>4.1666666666666699E-2</v>
      </c>
      <c r="AX222" s="58" t="s">
        <v>260</v>
      </c>
    </row>
    <row r="223" spans="1:50" ht="28.5">
      <c r="A223" s="38" t="s">
        <v>264</v>
      </c>
      <c r="B223" s="39">
        <f t="shared" si="36"/>
        <v>219</v>
      </c>
      <c r="C223" s="40">
        <v>46030</v>
      </c>
      <c r="D223" s="40" t="s">
        <v>32</v>
      </c>
      <c r="E223" s="40" t="s">
        <v>33</v>
      </c>
      <c r="F223" s="41">
        <v>732.8</v>
      </c>
      <c r="G223" s="42" t="s">
        <v>192</v>
      </c>
      <c r="H223" s="43" t="str">
        <f>IFERROR(VLOOKUP($J223,'[9]FROM (3)'!$E$4:$F$230,2,FALSE),"")</f>
        <v>JATH</v>
      </c>
      <c r="I223" s="44" t="str">
        <f t="shared" si="33"/>
        <v>JGF02-002060-31-3</v>
      </c>
      <c r="J223" s="44" t="str">
        <f t="shared" si="34"/>
        <v>RACK BAR BLANK (JGF02-002060-31-3) 58*D</v>
      </c>
      <c r="K223" s="59" t="str">
        <f t="shared" si="30"/>
        <v>PD25120330</v>
      </c>
      <c r="L223" s="46" t="str" cm="1">
        <f t="array" ref="L223">IFERROR(_xlfn.IFS(
    LEN($A223)-LEN(SUBSTITUTE($A223,"|",""))=12, RIGHT(A223, LEN(A223)-FIND("~", SUBSTITUTE(A223,"|","~", LEN(A223)-LEN(SUBSTITUTE(A223,"|",""))))),
    LEN($A223)-LEN(SUBSTITUTE($A223,"|",""))=13, MID($A223, FIND("~", SUBSTITUTE($A223,"|","~", 11))+1, FIND("~", SUBSTITUTE($A223,"|","~", 12))-FIND("~", SUBSTITUTE($A223,"|","~", 11))-1),
    LEN($A223)-LEN(SUBSTITUTE($A223,"|",""))=14, MID($A223, FIND("~", SUBSTITUTE($A223,"|","~", 11))+1, FIND("~", SUBSTITUTE($A223,"|","~", 12))-FIND("~", SUBSTITUTE($A223,"|","~", 11))-1)
), "")</f>
        <v>5A4332</v>
      </c>
      <c r="M223" s="47" t="str">
        <f t="shared" si="28"/>
        <v>TSK2</v>
      </c>
      <c r="N223" s="46" t="str">
        <f t="shared" si="31"/>
        <v>FB120132/3/25</v>
      </c>
      <c r="O223" s="60">
        <v>58</v>
      </c>
      <c r="P223" s="60">
        <v>271</v>
      </c>
      <c r="Q223" s="48">
        <v>58</v>
      </c>
      <c r="R223" s="48">
        <v>271</v>
      </c>
      <c r="S223" s="48"/>
      <c r="T223" s="48"/>
      <c r="U223" s="49"/>
      <c r="V223" s="49"/>
      <c r="W223" s="50">
        <f t="shared" si="29"/>
        <v>0</v>
      </c>
      <c r="X223" s="51" t="str">
        <f>IF(A223="", "", IF(COUNTIFS(C$3:C222, C223, D$3:D222, D223, G$3:G222, G223) &gt; 0, "", "11:00"-AW223))</f>
        <v/>
      </c>
      <c r="Y223" s="52" t="str">
        <f t="shared" si="35"/>
        <v/>
      </c>
      <c r="Z223" s="53"/>
      <c r="AA223" s="54"/>
      <c r="AB223" s="53"/>
      <c r="AC223" s="54"/>
      <c r="AD223" s="53"/>
      <c r="AE223" s="54"/>
      <c r="AF223" s="53"/>
      <c r="AG223" s="54"/>
      <c r="AH223" s="55">
        <v>4.1666666666666699E-2</v>
      </c>
      <c r="AI223" s="53"/>
      <c r="AJ223" s="54"/>
      <c r="AK223" s="53"/>
      <c r="AL223" s="54"/>
      <c r="AM223" s="53"/>
      <c r="AN223" s="54"/>
      <c r="AO223" s="53"/>
      <c r="AP223" s="54"/>
      <c r="AQ223" s="53"/>
      <c r="AR223" s="54"/>
      <c r="AS223" s="53"/>
      <c r="AT223" s="54"/>
      <c r="AU223" s="53">
        <v>4.1666666666666699E-2</v>
      </c>
      <c r="AV223" s="54" t="s">
        <v>37</v>
      </c>
      <c r="AW223" s="57">
        <f t="shared" si="32"/>
        <v>4.1666666666666699E-2</v>
      </c>
      <c r="AX223" s="58" t="s">
        <v>260</v>
      </c>
    </row>
    <row r="224" spans="1:50" ht="28.5">
      <c r="A224" s="38" t="s">
        <v>265</v>
      </c>
      <c r="B224" s="39">
        <f t="shared" si="36"/>
        <v>220</v>
      </c>
      <c r="C224" s="40">
        <v>46030</v>
      </c>
      <c r="D224" s="40" t="s">
        <v>32</v>
      </c>
      <c r="E224" s="40" t="s">
        <v>33</v>
      </c>
      <c r="F224" s="41">
        <v>732.8</v>
      </c>
      <c r="G224" s="42" t="s">
        <v>192</v>
      </c>
      <c r="H224" s="43" t="str">
        <f>IFERROR(VLOOKUP($J224,'[9]FROM (3)'!$E$4:$F$230,2,FALSE),"")</f>
        <v>JATH</v>
      </c>
      <c r="I224" s="44" t="str">
        <f t="shared" si="33"/>
        <v>JGF02-002060-31-3</v>
      </c>
      <c r="J224" s="44" t="str">
        <f t="shared" si="34"/>
        <v>RACK BAR BLANK (JGF02-002060-31-3) 58*D</v>
      </c>
      <c r="K224" s="59" t="str">
        <f t="shared" si="30"/>
        <v>PD25120330</v>
      </c>
      <c r="L224" s="46" t="str" cm="1">
        <f t="array" ref="L224">IFERROR(_xlfn.IFS(
    LEN($A224)-LEN(SUBSTITUTE($A224,"|",""))=12, RIGHT(A224, LEN(A224)-FIND("~", SUBSTITUTE(A224,"|","~", LEN(A224)-LEN(SUBSTITUTE(A224,"|",""))))),
    LEN($A224)-LEN(SUBSTITUTE($A224,"|",""))=13, MID($A224, FIND("~", SUBSTITUTE($A224,"|","~", 11))+1, FIND("~", SUBSTITUTE($A224,"|","~", 12))-FIND("~", SUBSTITUTE($A224,"|","~", 11))-1),
    LEN($A224)-LEN(SUBSTITUTE($A224,"|",""))=14, MID($A224, FIND("~", SUBSTITUTE($A224,"|","~", 11))+1, FIND("~", SUBSTITUTE($A224,"|","~", 12))-FIND("~", SUBSTITUTE($A224,"|","~", 11))-1)
), "")</f>
        <v>5A4332</v>
      </c>
      <c r="M224" s="47" t="str">
        <f t="shared" si="28"/>
        <v>TSK2</v>
      </c>
      <c r="N224" s="46" t="str">
        <f t="shared" si="31"/>
        <v>FB120132/20/25</v>
      </c>
      <c r="O224" s="60">
        <v>58</v>
      </c>
      <c r="P224" s="60">
        <v>271</v>
      </c>
      <c r="Q224" s="48">
        <v>58</v>
      </c>
      <c r="R224" s="48">
        <v>271</v>
      </c>
      <c r="S224" s="48"/>
      <c r="T224" s="48"/>
      <c r="U224" s="49"/>
      <c r="V224" s="49"/>
      <c r="W224" s="50">
        <f t="shared" si="29"/>
        <v>0</v>
      </c>
      <c r="X224" s="51" t="str">
        <f>IF(A224="", "", IF(COUNTIFS(C$3:C223, C224, D$3:D223, D224, G$3:G223, G224) &gt; 0, "", "11:00"-AW224))</f>
        <v/>
      </c>
      <c r="Y224" s="52" t="str">
        <f t="shared" si="35"/>
        <v/>
      </c>
      <c r="Z224" s="53"/>
      <c r="AA224" s="54"/>
      <c r="AB224" s="53"/>
      <c r="AC224" s="54"/>
      <c r="AD224" s="53"/>
      <c r="AE224" s="54"/>
      <c r="AF224" s="53"/>
      <c r="AG224" s="54"/>
      <c r="AH224" s="55">
        <v>4.1666666666666699E-2</v>
      </c>
      <c r="AI224" s="53"/>
      <c r="AJ224" s="54"/>
      <c r="AK224" s="53"/>
      <c r="AL224" s="54"/>
      <c r="AM224" s="53"/>
      <c r="AN224" s="54"/>
      <c r="AO224" s="53"/>
      <c r="AP224" s="54"/>
      <c r="AQ224" s="53"/>
      <c r="AR224" s="54"/>
      <c r="AS224" s="53"/>
      <c r="AT224" s="54"/>
      <c r="AU224" s="53">
        <v>4.1666666666666699E-2</v>
      </c>
      <c r="AV224" s="54" t="s">
        <v>37</v>
      </c>
      <c r="AW224" s="57">
        <f t="shared" si="32"/>
        <v>4.1666666666666699E-2</v>
      </c>
      <c r="AX224" s="58" t="s">
        <v>260</v>
      </c>
    </row>
    <row r="225" spans="1:50" ht="28.5">
      <c r="A225" s="38" t="s">
        <v>266</v>
      </c>
      <c r="B225" s="39">
        <f t="shared" si="36"/>
        <v>221</v>
      </c>
      <c r="C225" s="40">
        <v>46030</v>
      </c>
      <c r="D225" s="40" t="s">
        <v>32</v>
      </c>
      <c r="E225" s="40" t="s">
        <v>33</v>
      </c>
      <c r="F225" s="41">
        <v>732.8</v>
      </c>
      <c r="G225" s="42" t="s">
        <v>192</v>
      </c>
      <c r="H225" s="43" t="str">
        <f>IFERROR(VLOOKUP($J225,'[9]FROM (3)'!$E$4:$F$230,2,FALSE),"")</f>
        <v>JATH</v>
      </c>
      <c r="I225" s="44" t="str">
        <f t="shared" si="33"/>
        <v>JGF02-002060-31-3</v>
      </c>
      <c r="J225" s="44" t="str">
        <f t="shared" si="34"/>
        <v>RACK BAR BLANK (JGF02-002060-31-3) 58*D</v>
      </c>
      <c r="K225" s="59" t="str">
        <f t="shared" si="30"/>
        <v>PD25120330</v>
      </c>
      <c r="L225" s="46" t="str" cm="1">
        <f t="array" ref="L225">IFERROR(_xlfn.IFS(
    LEN($A225)-LEN(SUBSTITUTE($A225,"|",""))=12, RIGHT(A225, LEN(A225)-FIND("~", SUBSTITUTE(A225,"|","~", LEN(A225)-LEN(SUBSTITUTE(A225,"|",""))))),
    LEN($A225)-LEN(SUBSTITUTE($A225,"|",""))=13, MID($A225, FIND("~", SUBSTITUTE($A225,"|","~", 11))+1, FIND("~", SUBSTITUTE($A225,"|","~", 12))-FIND("~", SUBSTITUTE($A225,"|","~", 11))-1),
    LEN($A225)-LEN(SUBSTITUTE($A225,"|",""))=14, MID($A225, FIND("~", SUBSTITUTE($A225,"|","~", 11))+1, FIND("~", SUBSTITUTE($A225,"|","~", 12))-FIND("~", SUBSTITUTE($A225,"|","~", 11))-1)
), "")</f>
        <v>5A4332</v>
      </c>
      <c r="M225" s="47" t="str">
        <f t="shared" si="28"/>
        <v>TSK2</v>
      </c>
      <c r="N225" s="46" t="str">
        <f t="shared" si="31"/>
        <v>FB120132/16/25</v>
      </c>
      <c r="O225" s="60">
        <v>58</v>
      </c>
      <c r="P225" s="60">
        <v>271</v>
      </c>
      <c r="Q225" s="48">
        <v>58</v>
      </c>
      <c r="R225" s="48">
        <v>271</v>
      </c>
      <c r="S225" s="48"/>
      <c r="T225" s="48"/>
      <c r="U225" s="49"/>
      <c r="V225" s="49"/>
      <c r="W225" s="50">
        <f t="shared" si="29"/>
        <v>0</v>
      </c>
      <c r="X225" s="51" t="str">
        <f>IF(A225="", "", IF(COUNTIFS(C$3:C224, C225, D$3:D224, D225, G$3:G224, G225) &gt; 0, "", "11:00"-AW225))</f>
        <v/>
      </c>
      <c r="Y225" s="52" t="str">
        <f t="shared" si="35"/>
        <v/>
      </c>
      <c r="Z225" s="53"/>
      <c r="AA225" s="54"/>
      <c r="AB225" s="53"/>
      <c r="AC225" s="54"/>
      <c r="AD225" s="53"/>
      <c r="AE225" s="54"/>
      <c r="AF225" s="53"/>
      <c r="AG225" s="54"/>
      <c r="AH225" s="55">
        <v>4.1666666666666699E-2</v>
      </c>
      <c r="AI225" s="53"/>
      <c r="AJ225" s="54"/>
      <c r="AK225" s="53"/>
      <c r="AL225" s="54"/>
      <c r="AM225" s="53"/>
      <c r="AN225" s="54"/>
      <c r="AO225" s="53"/>
      <c r="AP225" s="54"/>
      <c r="AQ225" s="53"/>
      <c r="AR225" s="54"/>
      <c r="AS225" s="53"/>
      <c r="AT225" s="54"/>
      <c r="AU225" s="53">
        <v>4.1666666666666699E-2</v>
      </c>
      <c r="AV225" s="54" t="s">
        <v>37</v>
      </c>
      <c r="AW225" s="57">
        <f t="shared" si="32"/>
        <v>4.1666666666666699E-2</v>
      </c>
      <c r="AX225" s="58" t="s">
        <v>260</v>
      </c>
    </row>
    <row r="226" spans="1:50" ht="28.5">
      <c r="A226" s="38" t="s">
        <v>267</v>
      </c>
      <c r="B226" s="39">
        <f t="shared" si="36"/>
        <v>222</v>
      </c>
      <c r="C226" s="40">
        <v>46030</v>
      </c>
      <c r="D226" s="40" t="s">
        <v>32</v>
      </c>
      <c r="E226" s="40" t="s">
        <v>33</v>
      </c>
      <c r="F226" s="41">
        <v>732.8</v>
      </c>
      <c r="G226" s="42" t="s">
        <v>192</v>
      </c>
      <c r="H226" s="43" t="str">
        <f>IFERROR(VLOOKUP($J226,'[9]FROM (3)'!$E$4:$F$230,2,FALSE),"")</f>
        <v>JATH</v>
      </c>
      <c r="I226" s="44" t="str">
        <f t="shared" si="33"/>
        <v>JGF02-002060-31-3</v>
      </c>
      <c r="J226" s="44" t="str">
        <f t="shared" si="34"/>
        <v>RACK BAR BLANK (JGF02-002060-31-3) 58*D</v>
      </c>
      <c r="K226" s="59" t="str">
        <f t="shared" si="30"/>
        <v>PD25120330</v>
      </c>
      <c r="L226" s="46" t="str" cm="1">
        <f t="array" ref="L226">IFERROR(_xlfn.IFS(
    LEN($A226)-LEN(SUBSTITUTE($A226,"|",""))=12, RIGHT(A226, LEN(A226)-FIND("~", SUBSTITUTE(A226,"|","~", LEN(A226)-LEN(SUBSTITUTE(A226,"|",""))))),
    LEN($A226)-LEN(SUBSTITUTE($A226,"|",""))=13, MID($A226, FIND("~", SUBSTITUTE($A226,"|","~", 11))+1, FIND("~", SUBSTITUTE($A226,"|","~", 12))-FIND("~", SUBSTITUTE($A226,"|","~", 11))-1),
    LEN($A226)-LEN(SUBSTITUTE($A226,"|",""))=14, MID($A226, FIND("~", SUBSTITUTE($A226,"|","~", 11))+1, FIND("~", SUBSTITUTE($A226,"|","~", 12))-FIND("~", SUBSTITUTE($A226,"|","~", 11))-1)
), "")</f>
        <v>5A4332</v>
      </c>
      <c r="M226" s="47" t="str">
        <f t="shared" si="28"/>
        <v>TSK2</v>
      </c>
      <c r="N226" s="46" t="str">
        <f t="shared" si="31"/>
        <v>FB120132/21/25</v>
      </c>
      <c r="O226" s="60">
        <v>41</v>
      </c>
      <c r="P226" s="60">
        <v>192</v>
      </c>
      <c r="Q226" s="48">
        <v>41</v>
      </c>
      <c r="R226" s="48">
        <v>192</v>
      </c>
      <c r="S226" s="48"/>
      <c r="T226" s="48"/>
      <c r="U226" s="49"/>
      <c r="V226" s="49"/>
      <c r="W226" s="50">
        <f t="shared" si="29"/>
        <v>0</v>
      </c>
      <c r="X226" s="51" t="str">
        <f>IF(A226="", "", IF(COUNTIFS(C$3:C225, C226, D$3:D225, D226, G$3:G225, G226) &gt; 0, "", "11:00"-AW226))</f>
        <v/>
      </c>
      <c r="Y226" s="52" t="str">
        <f t="shared" si="35"/>
        <v/>
      </c>
      <c r="Z226" s="53"/>
      <c r="AA226" s="54"/>
      <c r="AB226" s="53"/>
      <c r="AC226" s="54"/>
      <c r="AD226" s="53"/>
      <c r="AE226" s="54"/>
      <c r="AF226" s="53"/>
      <c r="AG226" s="54"/>
      <c r="AH226" s="55">
        <v>4.1666666666666699E-2</v>
      </c>
      <c r="AI226" s="53"/>
      <c r="AJ226" s="54"/>
      <c r="AK226" s="53"/>
      <c r="AL226" s="54"/>
      <c r="AM226" s="53"/>
      <c r="AN226" s="54"/>
      <c r="AO226" s="53"/>
      <c r="AP226" s="54"/>
      <c r="AQ226" s="53"/>
      <c r="AR226" s="54"/>
      <c r="AS226" s="53"/>
      <c r="AT226" s="54"/>
      <c r="AU226" s="53">
        <v>4.1666666666666699E-2</v>
      </c>
      <c r="AV226" s="54" t="s">
        <v>37</v>
      </c>
      <c r="AW226" s="57">
        <f t="shared" si="32"/>
        <v>4.1666666666666699E-2</v>
      </c>
      <c r="AX226" s="58" t="s">
        <v>260</v>
      </c>
    </row>
    <row r="227" spans="1:50" ht="28.5">
      <c r="A227" s="38" t="s">
        <v>236</v>
      </c>
      <c r="B227" s="39">
        <f t="shared" si="36"/>
        <v>223</v>
      </c>
      <c r="C227" s="40">
        <v>46030</v>
      </c>
      <c r="D227" s="40" t="s">
        <v>80</v>
      </c>
      <c r="E227" s="40" t="s">
        <v>33</v>
      </c>
      <c r="F227" s="41">
        <v>25.35</v>
      </c>
      <c r="G227" s="42" t="s">
        <v>44</v>
      </c>
      <c r="H227" s="43" t="str">
        <f>IFERROR(VLOOKUP($J227,'[9]FROM (3)'!$E$4:$F$230,2,FALSE),"")</f>
        <v>KYOWA NT</v>
      </c>
      <c r="I227" s="44" t="str">
        <f t="shared" si="33"/>
        <v>PIN</v>
      </c>
      <c r="J227" s="44" t="str">
        <f t="shared" si="34"/>
        <v>8306T0036</v>
      </c>
      <c r="K227" s="59" t="str">
        <f t="shared" si="30"/>
        <v>PD25121321</v>
      </c>
      <c r="L227" s="46" t="str" cm="1">
        <f t="array" ref="L227">IFERROR(_xlfn.IFS(
    LEN($A227)-LEN(SUBSTITUTE($A227,"|",""))=12, RIGHT(A227, LEN(A227)-FIND("~", SUBSTITUTE(A227,"|","~", LEN(A227)-LEN(SUBSTITUTE(A227,"|",""))))),
    LEN($A227)-LEN(SUBSTITUTE($A227,"|",""))=13, MID($A227, FIND("~", SUBSTITUTE($A227,"|","~", 11))+1, FIND("~", SUBSTITUTE($A227,"|","~", 12))-FIND("~", SUBSTITUTE($A227,"|","~", 11))-1),
    LEN($A227)-LEN(SUBSTITUTE($A227,"|",""))=14, MID($A227, FIND("~", SUBSTITUTE($A227,"|","~", 11))+1, FIND("~", SUBSTITUTE($A227,"|","~", 12))-FIND("~", SUBSTITUTE($A227,"|","~", 11))-1)
), "")</f>
        <v>665573</v>
      </c>
      <c r="M227" s="47" t="str">
        <f t="shared" si="28"/>
        <v>SB120110/2/25</v>
      </c>
      <c r="N227" s="46" t="str">
        <f t="shared" si="31"/>
        <v/>
      </c>
      <c r="O227" s="60"/>
      <c r="P227" s="60"/>
      <c r="Q227" s="48">
        <v>7327</v>
      </c>
      <c r="R227" s="48">
        <v>186</v>
      </c>
      <c r="S227" s="48"/>
      <c r="T227" s="48"/>
      <c r="U227" s="49"/>
      <c r="V227" s="49"/>
      <c r="W227" s="50">
        <f t="shared" si="29"/>
        <v>0</v>
      </c>
      <c r="X227" s="51">
        <f>IF(A227="", "", IF(COUNTIFS(C$3:C226, C227, D$3:D226, D227, G$3:G226, G227) &gt; 0, "", "11:00"-AW227))</f>
        <v>0.41666666666666663</v>
      </c>
      <c r="Y227" s="52" t="str">
        <f t="shared" si="35"/>
        <v>1:40</v>
      </c>
      <c r="Z227" s="53"/>
      <c r="AA227" s="54"/>
      <c r="AB227" s="53"/>
      <c r="AC227" s="54"/>
      <c r="AD227" s="53"/>
      <c r="AE227" s="54"/>
      <c r="AF227" s="53"/>
      <c r="AG227" s="54"/>
      <c r="AH227" s="55">
        <v>4.1666666666666699E-2</v>
      </c>
      <c r="AI227" s="53"/>
      <c r="AJ227" s="54"/>
      <c r="AK227" s="53"/>
      <c r="AL227" s="54"/>
      <c r="AM227" s="53"/>
      <c r="AN227" s="54"/>
      <c r="AO227" s="53"/>
      <c r="AP227" s="54"/>
      <c r="AQ227" s="53"/>
      <c r="AR227" s="54"/>
      <c r="AS227" s="53"/>
      <c r="AT227" s="54"/>
      <c r="AU227" s="53">
        <v>4.1666666666666699E-2</v>
      </c>
      <c r="AV227" s="54" t="s">
        <v>37</v>
      </c>
      <c r="AW227" s="57">
        <f t="shared" si="32"/>
        <v>4.1666666666666699E-2</v>
      </c>
      <c r="AX227" s="58" t="s">
        <v>203</v>
      </c>
    </row>
    <row r="228" spans="1:50" ht="28.5">
      <c r="A228" s="38" t="s">
        <v>235</v>
      </c>
      <c r="B228" s="39">
        <f t="shared" si="36"/>
        <v>224</v>
      </c>
      <c r="C228" s="40">
        <v>46030</v>
      </c>
      <c r="D228" s="40" t="s">
        <v>80</v>
      </c>
      <c r="E228" s="40" t="s">
        <v>81</v>
      </c>
      <c r="F228" s="41">
        <v>516.5</v>
      </c>
      <c r="G228" s="42" t="s">
        <v>41</v>
      </c>
      <c r="H228" s="43" t="str">
        <f>IFERROR(VLOOKUP($J228,'[9]FROM (3)'!$E$4:$F$230,2,FALSE),"")</f>
        <v>KONSEI</v>
      </c>
      <c r="I228" s="44" t="str">
        <f t="shared" si="33"/>
        <v>Piston Disc Brake, Forging</v>
      </c>
      <c r="J228" s="44" t="str">
        <f t="shared" si="34"/>
        <v>141411-60140-20</v>
      </c>
      <c r="K228" s="59" t="str">
        <f t="shared" si="30"/>
        <v>PD26010253</v>
      </c>
      <c r="L228" s="46" t="str" cm="1">
        <f t="array" ref="L228">IFERROR(_xlfn.IFS(
    LEN($A228)-LEN(SUBSTITUTE($A228,"|",""))=12, RIGHT(A228, LEN(A228)-FIND("~", SUBSTITUTE(A228,"|","~", LEN(A228)-LEN(SUBSTITUTE(A228,"|",""))))),
    LEN($A228)-LEN(SUBSTITUTE($A228,"|",""))=13, MID($A228, FIND("~", SUBSTITUTE($A228,"|","~", 11))+1, FIND("~", SUBSTITUTE($A228,"|","~", 12))-FIND("~", SUBSTITUTE($A228,"|","~", 11))-1),
    LEN($A228)-LEN(SUBSTITUTE($A228,"|",""))=14, MID($A228, FIND("~", SUBSTITUTE($A228,"|","~", 11))+1, FIND("~", SUBSTITUTE($A228,"|","~", 12))-FIND("~", SUBSTITUTE($A228,"|","~", 11))-1)
), "")</f>
        <v>663961</v>
      </c>
      <c r="M228" s="47" t="str">
        <f t="shared" si="28"/>
        <v>2B2600077</v>
      </c>
      <c r="N228" s="46" t="str">
        <f t="shared" si="31"/>
        <v/>
      </c>
      <c r="O228" s="60"/>
      <c r="P228" s="60"/>
      <c r="Q228" s="48">
        <v>2544</v>
      </c>
      <c r="R228" s="48">
        <v>1314</v>
      </c>
      <c r="S228" s="48"/>
      <c r="T228" s="48"/>
      <c r="U228" s="49"/>
      <c r="V228" s="49"/>
      <c r="W228" s="50">
        <f t="shared" si="29"/>
        <v>0</v>
      </c>
      <c r="X228" s="51">
        <f>IF(A228="", "", IF(COUNTIFS(C$3:C227, C228, D$3:D227, D228, G$3:G227, G228) &gt; 0, "", "11:00"-AW228))</f>
        <v>0.41666666666666663</v>
      </c>
      <c r="Y228" s="52" t="str">
        <f t="shared" si="35"/>
        <v>1:40</v>
      </c>
      <c r="Z228" s="53"/>
      <c r="AA228" s="54"/>
      <c r="AB228" s="53"/>
      <c r="AC228" s="54"/>
      <c r="AD228" s="53"/>
      <c r="AE228" s="54"/>
      <c r="AF228" s="53"/>
      <c r="AG228" s="54"/>
      <c r="AH228" s="55">
        <v>4.1666666666666699E-2</v>
      </c>
      <c r="AI228" s="53"/>
      <c r="AJ228" s="54"/>
      <c r="AK228" s="53"/>
      <c r="AL228" s="54"/>
      <c r="AM228" s="53"/>
      <c r="AN228" s="54"/>
      <c r="AO228" s="53"/>
      <c r="AP228" s="54"/>
      <c r="AQ228" s="53"/>
      <c r="AR228" s="54"/>
      <c r="AS228" s="53"/>
      <c r="AT228" s="54"/>
      <c r="AU228" s="53">
        <v>4.1666666666666699E-2</v>
      </c>
      <c r="AV228" s="54" t="s">
        <v>37</v>
      </c>
      <c r="AW228" s="57">
        <f t="shared" si="32"/>
        <v>4.1666666666666699E-2</v>
      </c>
      <c r="AX228" s="58" t="s">
        <v>203</v>
      </c>
    </row>
    <row r="229" spans="1:50" ht="22.5" customHeight="1">
      <c r="A229" s="38" t="s">
        <v>242</v>
      </c>
      <c r="B229" s="39">
        <f t="shared" si="36"/>
        <v>225</v>
      </c>
      <c r="C229" s="40">
        <v>46030</v>
      </c>
      <c r="D229" s="40" t="s">
        <v>80</v>
      </c>
      <c r="E229" s="40" t="s">
        <v>81</v>
      </c>
      <c r="F229" s="41">
        <v>695.3</v>
      </c>
      <c r="G229" s="42" t="s">
        <v>54</v>
      </c>
      <c r="H229" s="43" t="str">
        <f>IFERROR(VLOOKUP($J229,'[9]FROM (3)'!$E$4:$F$230,2,FALSE),"")</f>
        <v>JTCS</v>
      </c>
      <c r="I229" s="44" t="str">
        <f t="shared" si="33"/>
        <v>Rack, PS</v>
      </c>
      <c r="J229" s="44" t="str">
        <f t="shared" si="34"/>
        <v>JGD10-001150-40-1</v>
      </c>
      <c r="K229" s="59" t="str">
        <f t="shared" si="30"/>
        <v>PD26010113</v>
      </c>
      <c r="L229" s="46" t="str" cm="1">
        <f t="array" ref="L229">IFERROR(_xlfn.IFS(
    LEN($A229)-LEN(SUBSTITUTE($A229,"|",""))=12, RIGHT(A229, LEN(A229)-FIND("~", SUBSTITUTE(A229,"|","~", LEN(A229)-LEN(SUBSTITUTE(A229,"|",""))))),
    LEN($A229)-LEN(SUBSTITUTE($A229,"|",""))=13, MID($A229, FIND("~", SUBSTITUTE($A229,"|","~", 11))+1, FIND("~", SUBSTITUTE($A229,"|","~", 12))-FIND("~", SUBSTITUTE($A229,"|","~", 11))-1),
    LEN($A229)-LEN(SUBSTITUTE($A229,"|",""))=14, MID($A229, FIND("~", SUBSTITUTE($A229,"|","~", 11))+1, FIND("~", SUBSTITUTE($A229,"|","~", 12))-FIND("~", SUBSTITUTE($A229,"|","~", 11))-1)
), "")</f>
        <v>E585970</v>
      </c>
      <c r="M229" s="47" t="str">
        <f t="shared" si="28"/>
        <v>SB120199/5/25</v>
      </c>
      <c r="N229" s="46" t="str">
        <f t="shared" si="31"/>
        <v/>
      </c>
      <c r="O229" s="60" t="s">
        <v>35</v>
      </c>
      <c r="P229" s="60" t="s">
        <v>35</v>
      </c>
      <c r="Q229" s="48">
        <v>147</v>
      </c>
      <c r="R229" s="48">
        <v>492</v>
      </c>
      <c r="S229" s="48"/>
      <c r="T229" s="48"/>
      <c r="U229" s="49"/>
      <c r="V229" s="49"/>
      <c r="W229" s="50">
        <f t="shared" si="29"/>
        <v>0</v>
      </c>
      <c r="X229" s="51">
        <f>IF(A229="", "", IF(COUNTIFS(C$3:C228, C229, D$3:D228, D229, G$3:G228, G229) &gt; 0, "", "11:00"-AW229))</f>
        <v>0.41666666666666663</v>
      </c>
      <c r="Y229" s="52" t="str">
        <f t="shared" si="35"/>
        <v>1:40</v>
      </c>
      <c r="Z229" s="53"/>
      <c r="AA229" s="54"/>
      <c r="AB229" s="53"/>
      <c r="AC229" s="54"/>
      <c r="AD229" s="53"/>
      <c r="AE229" s="54"/>
      <c r="AF229" s="53"/>
      <c r="AG229" s="54"/>
      <c r="AH229" s="55">
        <v>4.1666666666666699E-2</v>
      </c>
      <c r="AI229" s="53"/>
      <c r="AJ229" s="54"/>
      <c r="AK229" s="53"/>
      <c r="AL229" s="54"/>
      <c r="AM229" s="53"/>
      <c r="AN229" s="54"/>
      <c r="AO229" s="53"/>
      <c r="AP229" s="54"/>
      <c r="AQ229" s="53"/>
      <c r="AR229" s="54"/>
      <c r="AS229" s="53"/>
      <c r="AT229" s="54"/>
      <c r="AU229" s="53">
        <v>4.1666666666666699E-2</v>
      </c>
      <c r="AV229" s="54" t="s">
        <v>37</v>
      </c>
      <c r="AW229" s="57">
        <f t="shared" si="32"/>
        <v>4.1666666666666699E-2</v>
      </c>
      <c r="AX229" s="58" t="s">
        <v>91</v>
      </c>
    </row>
    <row r="230" spans="1:50" ht="28.5">
      <c r="A230" s="38" t="s">
        <v>268</v>
      </c>
      <c r="B230" s="39">
        <f t="shared" si="36"/>
        <v>226</v>
      </c>
      <c r="C230" s="40">
        <v>46030</v>
      </c>
      <c r="D230" s="40" t="s">
        <v>80</v>
      </c>
      <c r="E230" s="40" t="s">
        <v>81</v>
      </c>
      <c r="F230" s="41">
        <v>695.3</v>
      </c>
      <c r="G230" s="42" t="s">
        <v>54</v>
      </c>
      <c r="H230" s="43" t="str">
        <f>IFERROR(VLOOKUP($J230,'[9]FROM (3)'!$E$4:$F$230,2,FALSE),"")</f>
        <v>JTCS</v>
      </c>
      <c r="I230" s="44" t="str">
        <f t="shared" si="33"/>
        <v>Rack, PS</v>
      </c>
      <c r="J230" s="44" t="str">
        <f t="shared" si="34"/>
        <v>JGD10-001150-40-1</v>
      </c>
      <c r="K230" s="59" t="str">
        <f t="shared" si="30"/>
        <v>PD26010113</v>
      </c>
      <c r="L230" s="46" t="str" cm="1">
        <f t="array" ref="L230">IFERROR(_xlfn.IFS(
    LEN($A230)-LEN(SUBSTITUTE($A230,"|",""))=12, RIGHT(A230, LEN(A230)-FIND("~", SUBSTITUTE(A230,"|","~", LEN(A230)-LEN(SUBSTITUTE(A230,"|",""))))),
    LEN($A230)-LEN(SUBSTITUTE($A230,"|",""))=13, MID($A230, FIND("~", SUBSTITUTE($A230,"|","~", 11))+1, FIND("~", SUBSTITUTE($A230,"|","~", 12))-FIND("~", SUBSTITUTE($A230,"|","~", 11))-1),
    LEN($A230)-LEN(SUBSTITUTE($A230,"|",""))=14, MID($A230, FIND("~", SUBSTITUTE($A230,"|","~", 11))+1, FIND("~", SUBSTITUTE($A230,"|","~", 12))-FIND("~", SUBSTITUTE($A230,"|","~", 11))-1)
), "")</f>
        <v>E585970</v>
      </c>
      <c r="M230" s="47" t="str">
        <f t="shared" si="28"/>
        <v>SB120199/4/25</v>
      </c>
      <c r="N230" s="46" t="str">
        <f t="shared" si="31"/>
        <v/>
      </c>
      <c r="O230" s="60">
        <v>60</v>
      </c>
      <c r="P230" s="60">
        <v>868</v>
      </c>
      <c r="Q230" s="48">
        <v>240</v>
      </c>
      <c r="R230" s="48">
        <v>804</v>
      </c>
      <c r="S230" s="48"/>
      <c r="T230" s="48"/>
      <c r="U230" s="49"/>
      <c r="V230" s="49"/>
      <c r="W230" s="50">
        <f t="shared" si="29"/>
        <v>0</v>
      </c>
      <c r="X230" s="51" t="str">
        <f>IF(A230="", "", IF(COUNTIFS(C$3:C229, C230, D$3:D229, D230, G$3:G229, G230) &gt; 0, "", "11:00"-AW230))</f>
        <v/>
      </c>
      <c r="Y230" s="52" t="str">
        <f t="shared" si="35"/>
        <v/>
      </c>
      <c r="Z230" s="53"/>
      <c r="AA230" s="54"/>
      <c r="AB230" s="53"/>
      <c r="AC230" s="54"/>
      <c r="AD230" s="53"/>
      <c r="AE230" s="54"/>
      <c r="AF230" s="53"/>
      <c r="AG230" s="54"/>
      <c r="AH230" s="55">
        <v>4.1666666666666699E-2</v>
      </c>
      <c r="AI230" s="53"/>
      <c r="AJ230" s="54"/>
      <c r="AK230" s="53"/>
      <c r="AL230" s="54"/>
      <c r="AM230" s="53"/>
      <c r="AN230" s="54"/>
      <c r="AO230" s="53"/>
      <c r="AP230" s="54"/>
      <c r="AQ230" s="53"/>
      <c r="AR230" s="54"/>
      <c r="AS230" s="53"/>
      <c r="AT230" s="54"/>
      <c r="AU230" s="53">
        <v>4.1666666666666699E-2</v>
      </c>
      <c r="AV230" s="54" t="s">
        <v>37</v>
      </c>
      <c r="AW230" s="57">
        <f t="shared" si="32"/>
        <v>4.1666666666666699E-2</v>
      </c>
      <c r="AX230" s="58" t="s">
        <v>91</v>
      </c>
    </row>
    <row r="231" spans="1:50" ht="28.5">
      <c r="A231" s="38" t="s">
        <v>269</v>
      </c>
      <c r="B231" s="39">
        <f t="shared" si="36"/>
        <v>227</v>
      </c>
      <c r="C231" s="40">
        <v>46030</v>
      </c>
      <c r="D231" s="40" t="s">
        <v>80</v>
      </c>
      <c r="E231" s="40" t="s">
        <v>81</v>
      </c>
      <c r="F231" s="41">
        <v>695.3</v>
      </c>
      <c r="G231" s="42" t="s">
        <v>54</v>
      </c>
      <c r="H231" s="43" t="str">
        <f>IFERROR(VLOOKUP($J231,'[9]FROM (3)'!$E$4:$F$230,2,FALSE),"")</f>
        <v>JTCS</v>
      </c>
      <c r="I231" s="44" t="str">
        <f t="shared" si="33"/>
        <v>Rack, PS</v>
      </c>
      <c r="J231" s="44" t="str">
        <f t="shared" si="34"/>
        <v>JGD10-001150-40-1</v>
      </c>
      <c r="K231" s="59" t="str">
        <f t="shared" si="30"/>
        <v>PD26010113</v>
      </c>
      <c r="L231" s="46" t="str" cm="1">
        <f t="array" ref="L231">IFERROR(_xlfn.IFS(
    LEN($A231)-LEN(SUBSTITUTE($A231,"|",""))=12, RIGHT(A231, LEN(A231)-FIND("~", SUBSTITUTE(A231,"|","~", LEN(A231)-LEN(SUBSTITUTE(A231,"|",""))))),
    LEN($A231)-LEN(SUBSTITUTE($A231,"|",""))=13, MID($A231, FIND("~", SUBSTITUTE($A231,"|","~", 11))+1, FIND("~", SUBSTITUTE($A231,"|","~", 12))-FIND("~", SUBSTITUTE($A231,"|","~", 11))-1),
    LEN($A231)-LEN(SUBSTITUTE($A231,"|",""))=14, MID($A231, FIND("~", SUBSTITUTE($A231,"|","~", 11))+1, FIND("~", SUBSTITUTE($A231,"|","~", 12))-FIND("~", SUBSTITUTE($A231,"|","~", 11))-1)
), "")</f>
        <v>E585970</v>
      </c>
      <c r="M231" s="47" t="str">
        <f t="shared" si="28"/>
        <v>SB120199/6/25</v>
      </c>
      <c r="N231" s="46" t="str">
        <f t="shared" si="31"/>
        <v/>
      </c>
      <c r="O231" s="60">
        <v>60</v>
      </c>
      <c r="P231" s="60">
        <v>868</v>
      </c>
      <c r="Q231" s="48">
        <v>240</v>
      </c>
      <c r="R231" s="48">
        <v>804</v>
      </c>
      <c r="S231" s="48"/>
      <c r="T231" s="48"/>
      <c r="U231" s="49">
        <v>167</v>
      </c>
      <c r="V231" s="49">
        <v>9</v>
      </c>
      <c r="W231" s="50">
        <f t="shared" si="29"/>
        <v>176</v>
      </c>
      <c r="X231" s="51" t="str">
        <f>IF(A231="", "", IF(COUNTIFS(C$3:C230, C231, D$3:D230, D231, G$3:G230, G231) &gt; 0, "", "11:00"-AW231))</f>
        <v/>
      </c>
      <c r="Y231" s="52" t="str">
        <f t="shared" si="35"/>
        <v/>
      </c>
      <c r="Z231" s="53"/>
      <c r="AA231" s="54"/>
      <c r="AB231" s="53"/>
      <c r="AC231" s="54"/>
      <c r="AD231" s="53"/>
      <c r="AE231" s="54"/>
      <c r="AF231" s="53"/>
      <c r="AG231" s="54"/>
      <c r="AH231" s="55">
        <v>4.1666666666666699E-2</v>
      </c>
      <c r="AI231" s="53"/>
      <c r="AJ231" s="54"/>
      <c r="AK231" s="53"/>
      <c r="AL231" s="54"/>
      <c r="AM231" s="53"/>
      <c r="AN231" s="54"/>
      <c r="AO231" s="53"/>
      <c r="AP231" s="54"/>
      <c r="AQ231" s="53"/>
      <c r="AR231" s="54"/>
      <c r="AS231" s="53"/>
      <c r="AT231" s="54"/>
      <c r="AU231" s="53">
        <v>4.1666666666666699E-2</v>
      </c>
      <c r="AV231" s="54" t="s">
        <v>37</v>
      </c>
      <c r="AW231" s="57">
        <f t="shared" si="32"/>
        <v>4.1666666666666699E-2</v>
      </c>
      <c r="AX231" s="58" t="s">
        <v>91</v>
      </c>
    </row>
    <row r="232" spans="1:50" ht="28.5">
      <c r="A232" s="38" t="s">
        <v>270</v>
      </c>
      <c r="B232" s="39">
        <f t="shared" si="36"/>
        <v>228</v>
      </c>
      <c r="C232" s="40">
        <v>46030</v>
      </c>
      <c r="D232" s="40" t="s">
        <v>80</v>
      </c>
      <c r="E232" s="40" t="s">
        <v>81</v>
      </c>
      <c r="F232" s="41">
        <v>695.3</v>
      </c>
      <c r="G232" s="42" t="s">
        <v>54</v>
      </c>
      <c r="H232" s="43" t="str">
        <f>IFERROR(VLOOKUP($J232,'[9]FROM (3)'!$E$4:$F$230,2,FALSE),"")</f>
        <v>JTCS</v>
      </c>
      <c r="I232" s="44" t="str">
        <f t="shared" si="33"/>
        <v>Rack, PS</v>
      </c>
      <c r="J232" s="44" t="str">
        <f t="shared" si="34"/>
        <v>JGD10-001150-40-1</v>
      </c>
      <c r="K232" s="59" t="str">
        <f t="shared" si="30"/>
        <v>PD26010112</v>
      </c>
      <c r="L232" s="46" t="str" cm="1">
        <f t="array" ref="L232">IFERROR(_xlfn.IFS(
    LEN($A232)-LEN(SUBSTITUTE($A232,"|",""))=12, RIGHT(A232, LEN(A232)-FIND("~", SUBSTITUTE(A232,"|","~", LEN(A232)-LEN(SUBSTITUTE(A232,"|",""))))),
    LEN($A232)-LEN(SUBSTITUTE($A232,"|",""))=13, MID($A232, FIND("~", SUBSTITUTE($A232,"|","~", 11))+1, FIND("~", SUBSTITUTE($A232,"|","~", 12))-FIND("~", SUBSTITUTE($A232,"|","~", 11))-1),
    LEN($A232)-LEN(SUBSTITUTE($A232,"|",""))=14, MID($A232, FIND("~", SUBSTITUTE($A232,"|","~", 11))+1, FIND("~", SUBSTITUTE($A232,"|","~", 12))-FIND("~", SUBSTITUTE($A232,"|","~", 11))-1)
), "")</f>
        <v>E585970</v>
      </c>
      <c r="M232" s="47" t="str">
        <f t="shared" si="28"/>
        <v>SB120199/3/25</v>
      </c>
      <c r="N232" s="46" t="str">
        <f t="shared" si="31"/>
        <v/>
      </c>
      <c r="O232" s="60">
        <v>60</v>
      </c>
      <c r="P232" s="60">
        <v>868</v>
      </c>
      <c r="Q232" s="48">
        <v>240</v>
      </c>
      <c r="R232" s="48">
        <v>804</v>
      </c>
      <c r="S232" s="48"/>
      <c r="T232" s="48"/>
      <c r="U232" s="49"/>
      <c r="V232" s="49"/>
      <c r="W232" s="50">
        <f t="shared" si="29"/>
        <v>0</v>
      </c>
      <c r="X232" s="51" t="str">
        <f>IF(A232="", "", IF(COUNTIFS(C$3:C231, C232, D$3:D231, D232, G$3:G231, G232) &gt; 0, "", "11:00"-AW232))</f>
        <v/>
      </c>
      <c r="Y232" s="52" t="str">
        <f t="shared" si="35"/>
        <v/>
      </c>
      <c r="Z232" s="53"/>
      <c r="AA232" s="54"/>
      <c r="AB232" s="53"/>
      <c r="AC232" s="54"/>
      <c r="AD232" s="53"/>
      <c r="AE232" s="54"/>
      <c r="AF232" s="53"/>
      <c r="AG232" s="54"/>
      <c r="AH232" s="55">
        <v>4.1666666666666699E-2</v>
      </c>
      <c r="AI232" s="53"/>
      <c r="AJ232" s="54"/>
      <c r="AK232" s="53"/>
      <c r="AL232" s="54"/>
      <c r="AM232" s="53"/>
      <c r="AN232" s="54"/>
      <c r="AO232" s="53"/>
      <c r="AP232" s="54"/>
      <c r="AQ232" s="53"/>
      <c r="AR232" s="54"/>
      <c r="AS232" s="53"/>
      <c r="AT232" s="54"/>
      <c r="AU232" s="53">
        <v>4.1666666666666699E-2</v>
      </c>
      <c r="AV232" s="54" t="s">
        <v>37</v>
      </c>
      <c r="AW232" s="57">
        <f t="shared" si="32"/>
        <v>4.1666666666666699E-2</v>
      </c>
      <c r="AX232" s="58" t="s">
        <v>91</v>
      </c>
    </row>
    <row r="233" spans="1:50" ht="28.5">
      <c r="A233" s="38" t="s">
        <v>271</v>
      </c>
      <c r="B233" s="39">
        <f t="shared" si="36"/>
        <v>229</v>
      </c>
      <c r="C233" s="40">
        <v>46030</v>
      </c>
      <c r="D233" s="40" t="s">
        <v>80</v>
      </c>
      <c r="E233" s="40" t="s">
        <v>81</v>
      </c>
      <c r="F233" s="41">
        <v>695.3</v>
      </c>
      <c r="G233" s="42" t="s">
        <v>54</v>
      </c>
      <c r="H233" s="43" t="str">
        <f>IFERROR(VLOOKUP($J233,'[9]FROM (3)'!$E$4:$F$230,2,FALSE),"")</f>
        <v>JTCS</v>
      </c>
      <c r="I233" s="44" t="str">
        <f t="shared" si="33"/>
        <v>Rack, PS</v>
      </c>
      <c r="J233" s="44" t="str">
        <f t="shared" si="34"/>
        <v>JGD10-001150-40-1</v>
      </c>
      <c r="K233" s="59" t="str">
        <f t="shared" si="30"/>
        <v>PD26010112</v>
      </c>
      <c r="L233" s="46" t="str" cm="1">
        <f t="array" ref="L233">IFERROR(_xlfn.IFS(
    LEN($A233)-LEN(SUBSTITUTE($A233,"|",""))=12, RIGHT(A233, LEN(A233)-FIND("~", SUBSTITUTE(A233,"|","~", LEN(A233)-LEN(SUBSTITUTE(A233,"|",""))))),
    LEN($A233)-LEN(SUBSTITUTE($A233,"|",""))=13, MID($A233, FIND("~", SUBSTITUTE($A233,"|","~", 11))+1, FIND("~", SUBSTITUTE($A233,"|","~", 12))-FIND("~", SUBSTITUTE($A233,"|","~", 11))-1),
    LEN($A233)-LEN(SUBSTITUTE($A233,"|",""))=14, MID($A233, FIND("~", SUBSTITUTE($A233,"|","~", 11))+1, FIND("~", SUBSTITUTE($A233,"|","~", 12))-FIND("~", SUBSTITUTE($A233,"|","~", 11))-1)
), "")</f>
        <v>E585970</v>
      </c>
      <c r="M233" s="47" t="str">
        <f t="shared" si="28"/>
        <v>SB120199/2/25</v>
      </c>
      <c r="N233" s="46" t="str">
        <f t="shared" si="31"/>
        <v/>
      </c>
      <c r="O233" s="60">
        <v>60</v>
      </c>
      <c r="P233" s="60">
        <v>868</v>
      </c>
      <c r="Q233" s="48">
        <v>178</v>
      </c>
      <c r="R233" s="48">
        <v>596</v>
      </c>
      <c r="S233" s="48"/>
      <c r="T233" s="48"/>
      <c r="U233" s="49"/>
      <c r="V233" s="49"/>
      <c r="W233" s="50">
        <f t="shared" si="29"/>
        <v>0</v>
      </c>
      <c r="X233" s="51" t="str">
        <f>IF(A233="", "", IF(COUNTIFS(C$3:C232, C233, D$3:D232, D233, G$3:G232, G233) &gt; 0, "", "11:00"-AW233))</f>
        <v/>
      </c>
      <c r="Y233" s="52" t="str">
        <f t="shared" si="35"/>
        <v/>
      </c>
      <c r="Z233" s="53"/>
      <c r="AA233" s="54"/>
      <c r="AB233" s="53"/>
      <c r="AC233" s="54"/>
      <c r="AD233" s="53"/>
      <c r="AE233" s="54"/>
      <c r="AF233" s="53"/>
      <c r="AG233" s="54"/>
      <c r="AH233" s="55">
        <v>4.1666666666666699E-2</v>
      </c>
      <c r="AI233" s="53"/>
      <c r="AJ233" s="54"/>
      <c r="AK233" s="53"/>
      <c r="AL233" s="54"/>
      <c r="AM233" s="53"/>
      <c r="AN233" s="54"/>
      <c r="AO233" s="53"/>
      <c r="AP233" s="54"/>
      <c r="AQ233" s="53"/>
      <c r="AR233" s="54"/>
      <c r="AS233" s="53"/>
      <c r="AT233" s="54"/>
      <c r="AU233" s="53">
        <v>4.1666666666666699E-2</v>
      </c>
      <c r="AV233" s="54" t="s">
        <v>37</v>
      </c>
      <c r="AW233" s="57">
        <f t="shared" si="32"/>
        <v>4.1666666666666699E-2</v>
      </c>
      <c r="AX233" s="58" t="s">
        <v>91</v>
      </c>
    </row>
    <row r="234" spans="1:50" ht="26.25" customHeight="1">
      <c r="A234" s="38" t="s">
        <v>257</v>
      </c>
      <c r="B234" s="39">
        <f t="shared" si="36"/>
        <v>230</v>
      </c>
      <c r="C234" s="40">
        <v>46030</v>
      </c>
      <c r="D234" s="40" t="s">
        <v>80</v>
      </c>
      <c r="E234" s="40" t="s">
        <v>81</v>
      </c>
      <c r="F234" s="41">
        <v>634.6</v>
      </c>
      <c r="G234" s="42" t="s">
        <v>66</v>
      </c>
      <c r="H234" s="43" t="str">
        <f>IFERROR(VLOOKUP($J234,'[9]FROM (3)'!$E$4:$F$230,2,FALSE),"")</f>
        <v>JTCS</v>
      </c>
      <c r="I234" s="44" t="str">
        <f t="shared" si="33"/>
        <v>RACK, MS</v>
      </c>
      <c r="J234" s="44" t="str">
        <f t="shared" si="34"/>
        <v>JGC10S001620</v>
      </c>
      <c r="K234" s="59" t="str">
        <f t="shared" si="30"/>
        <v>PD25121302</v>
      </c>
      <c r="L234" s="46" t="str" cm="1">
        <f t="array" ref="L234">IFERROR(_xlfn.IFS(
    LEN($A234)-LEN(SUBSTITUTE($A234,"|",""))=12, RIGHT(A234, LEN(A234)-FIND("~", SUBSTITUTE(A234,"|","~", LEN(A234)-LEN(SUBSTITUTE(A234,"|",""))))),
    LEN($A234)-LEN(SUBSTITUTE($A234,"|",""))=13, MID($A234, FIND("~", SUBSTITUTE($A234,"|","~", 11))+1, FIND("~", SUBSTITUTE($A234,"|","~", 12))-FIND("~", SUBSTITUTE($A234,"|","~", 11))-1),
    LEN($A234)-LEN(SUBSTITUTE($A234,"|",""))=14, MID($A234, FIND("~", SUBSTITUTE($A234,"|","~", 11))+1, FIND("~", SUBSTITUTE($A234,"|","~", 12))-FIND("~", SUBSTITUTE($A234,"|","~", 11))-1)
), "")</f>
        <v>E586613</v>
      </c>
      <c r="M234" s="47" t="str">
        <f t="shared" si="28"/>
        <v>SB120190/1/25</v>
      </c>
      <c r="N234" s="46" t="str">
        <f t="shared" si="31"/>
        <v/>
      </c>
      <c r="O234" s="60" t="s">
        <v>35</v>
      </c>
      <c r="P234" s="60" t="s">
        <v>35</v>
      </c>
      <c r="Q234" s="48">
        <v>249</v>
      </c>
      <c r="R234" s="48">
        <v>560</v>
      </c>
      <c r="S234" s="48"/>
      <c r="T234" s="48"/>
      <c r="U234" s="49">
        <v>108</v>
      </c>
      <c r="V234" s="49">
        <v>7</v>
      </c>
      <c r="W234" s="50">
        <f t="shared" si="29"/>
        <v>115</v>
      </c>
      <c r="X234" s="51">
        <f>IF(A234="", "", IF(COUNTIFS(C$3:C233, C234, D$3:D233, D234, G$3:G233, G234) &gt; 0, "", "11:00"-AW234))</f>
        <v>0.33333333333333326</v>
      </c>
      <c r="Y234" s="52" t="str">
        <f t="shared" si="35"/>
        <v>1:40</v>
      </c>
      <c r="Z234" s="53"/>
      <c r="AA234" s="54"/>
      <c r="AB234" s="53"/>
      <c r="AC234" s="54"/>
      <c r="AD234" s="53">
        <v>4.1666666666666664E-2</v>
      </c>
      <c r="AE234" s="54" t="s">
        <v>67</v>
      </c>
      <c r="AF234" s="53"/>
      <c r="AG234" s="54"/>
      <c r="AH234" s="55">
        <v>4.1666666666666699E-2</v>
      </c>
      <c r="AI234" s="53"/>
      <c r="AJ234" s="54"/>
      <c r="AK234" s="53"/>
      <c r="AL234" s="54"/>
      <c r="AM234" s="53"/>
      <c r="AN234" s="54"/>
      <c r="AO234" s="53"/>
      <c r="AP234" s="54"/>
      <c r="AQ234" s="53"/>
      <c r="AR234" s="54"/>
      <c r="AS234" s="53">
        <v>4.1666666666666664E-2</v>
      </c>
      <c r="AT234" s="54" t="s">
        <v>67</v>
      </c>
      <c r="AU234" s="53">
        <v>4.1666666666666699E-2</v>
      </c>
      <c r="AV234" s="54" t="s">
        <v>37</v>
      </c>
      <c r="AW234" s="57">
        <f t="shared" si="32"/>
        <v>0.12500000000000003</v>
      </c>
      <c r="AX234" s="58" t="s">
        <v>96</v>
      </c>
    </row>
    <row r="235" spans="1:50" ht="28.5">
      <c r="A235" s="38" t="s">
        <v>272</v>
      </c>
      <c r="B235" s="39">
        <f t="shared" si="36"/>
        <v>231</v>
      </c>
      <c r="C235" s="40">
        <v>46030</v>
      </c>
      <c r="D235" s="40" t="s">
        <v>80</v>
      </c>
      <c r="E235" s="40" t="s">
        <v>81</v>
      </c>
      <c r="F235" s="41">
        <v>732.5</v>
      </c>
      <c r="G235" s="42" t="s">
        <v>66</v>
      </c>
      <c r="H235" s="43" t="str">
        <f>IFERROR(VLOOKUP($J235,'[9]FROM (3)'!$E$4:$F$230,2,FALSE),"")</f>
        <v>JCTTH</v>
      </c>
      <c r="I235" s="44" t="str">
        <f t="shared" si="33"/>
        <v>RACK POWER STEERING</v>
      </c>
      <c r="J235" s="44" t="str">
        <f t="shared" si="34"/>
        <v>JGD10-BA0101-C</v>
      </c>
      <c r="K235" s="59" t="str">
        <f t="shared" si="30"/>
        <v>PD26010201</v>
      </c>
      <c r="L235" s="46" t="str" cm="1">
        <f t="array" ref="L235">IFERROR(_xlfn.IFS(
    LEN($A235)-LEN(SUBSTITUTE($A235,"|",""))=12, RIGHT(A235, LEN(A235)-FIND("~", SUBSTITUTE(A235,"|","~", LEN(A235)-LEN(SUBSTITUTE(A235,"|",""))))),
    LEN($A235)-LEN(SUBSTITUTE($A235,"|",""))=13, MID($A235, FIND("~", SUBSTITUTE($A235,"|","~", 11))+1, FIND("~", SUBSTITUTE($A235,"|","~", 12))-FIND("~", SUBSTITUTE($A235,"|","~", 11))-1),
    LEN($A235)-LEN(SUBSTITUTE($A235,"|",""))=14, MID($A235, FIND("~", SUBSTITUTE($A235,"|","~", 11))+1, FIND("~", SUBSTITUTE($A235,"|","~", 12))-FIND("~", SUBSTITUTE($A235,"|","~", 11))-1)
), "")</f>
        <v>E586100</v>
      </c>
      <c r="M235" s="47" t="str">
        <f t="shared" si="28"/>
        <v>SB120149/4/25</v>
      </c>
      <c r="N235" s="46" t="str">
        <f t="shared" si="31"/>
        <v/>
      </c>
      <c r="O235" s="60">
        <v>50</v>
      </c>
      <c r="P235" s="60">
        <v>876</v>
      </c>
      <c r="Q235" s="48">
        <v>200</v>
      </c>
      <c r="R235" s="48">
        <v>832</v>
      </c>
      <c r="S235" s="48"/>
      <c r="T235" s="48"/>
      <c r="U235" s="49">
        <v>105</v>
      </c>
      <c r="V235" s="49">
        <v>9</v>
      </c>
      <c r="W235" s="50">
        <f t="shared" si="29"/>
        <v>114</v>
      </c>
      <c r="X235" s="51" t="str">
        <f>IF(A235="", "", IF(COUNTIFS(C$3:C234, C235, D$3:D234, D235, G$3:G234, G235) &gt; 0, "", "11:00"-AW235))</f>
        <v/>
      </c>
      <c r="Y235" s="52" t="str">
        <f t="shared" si="35"/>
        <v/>
      </c>
      <c r="Z235" s="53"/>
      <c r="AA235" s="54"/>
      <c r="AB235" s="53"/>
      <c r="AC235" s="54"/>
      <c r="AD235" s="53"/>
      <c r="AE235" s="54"/>
      <c r="AF235" s="53"/>
      <c r="AG235" s="54"/>
      <c r="AH235" s="55">
        <v>4.1666666666666699E-2</v>
      </c>
      <c r="AI235" s="53"/>
      <c r="AJ235" s="54"/>
      <c r="AK235" s="53"/>
      <c r="AL235" s="54"/>
      <c r="AM235" s="53"/>
      <c r="AN235" s="54"/>
      <c r="AO235" s="53"/>
      <c r="AP235" s="54"/>
      <c r="AQ235" s="53"/>
      <c r="AR235" s="54"/>
      <c r="AS235" s="53"/>
      <c r="AT235" s="54"/>
      <c r="AU235" s="53">
        <v>4.1666666666666699E-2</v>
      </c>
      <c r="AV235" s="54" t="s">
        <v>37</v>
      </c>
      <c r="AW235" s="57">
        <f t="shared" si="32"/>
        <v>4.1666666666666699E-2</v>
      </c>
      <c r="AX235" s="58" t="s">
        <v>96</v>
      </c>
    </row>
    <row r="236" spans="1:50" ht="28.5">
      <c r="A236" s="38" t="s">
        <v>273</v>
      </c>
      <c r="B236" s="39">
        <f t="shared" si="36"/>
        <v>232</v>
      </c>
      <c r="C236" s="40">
        <v>46030</v>
      </c>
      <c r="D236" s="40" t="s">
        <v>80</v>
      </c>
      <c r="E236" s="40" t="s">
        <v>81</v>
      </c>
      <c r="F236" s="41">
        <v>732.5</v>
      </c>
      <c r="G236" s="42" t="s">
        <v>66</v>
      </c>
      <c r="H236" s="43" t="str">
        <f>IFERROR(VLOOKUP($J236,'[9]FROM (3)'!$E$4:$F$230,2,FALSE),"")</f>
        <v>JCTTH</v>
      </c>
      <c r="I236" s="44" t="str">
        <f t="shared" si="33"/>
        <v>RACK POWER STEERING</v>
      </c>
      <c r="J236" s="44" t="str">
        <f t="shared" si="34"/>
        <v>JGD10-BA0101-C</v>
      </c>
      <c r="K236" s="59" t="str">
        <f t="shared" si="30"/>
        <v>PD26010201</v>
      </c>
      <c r="L236" s="46" t="str" cm="1">
        <f t="array" ref="L236">IFERROR(_xlfn.IFS(
    LEN($A236)-LEN(SUBSTITUTE($A236,"|",""))=12, RIGHT(A236, LEN(A236)-FIND("~", SUBSTITUTE(A236,"|","~", LEN(A236)-LEN(SUBSTITUTE(A236,"|",""))))),
    LEN($A236)-LEN(SUBSTITUTE($A236,"|",""))=13, MID($A236, FIND("~", SUBSTITUTE($A236,"|","~", 11))+1, FIND("~", SUBSTITUTE($A236,"|","~", 12))-FIND("~", SUBSTITUTE($A236,"|","~", 11))-1),
    LEN($A236)-LEN(SUBSTITUTE($A236,"|",""))=14, MID($A236, FIND("~", SUBSTITUTE($A236,"|","~", 11))+1, FIND("~", SUBSTITUTE($A236,"|","~", 12))-FIND("~", SUBSTITUTE($A236,"|","~", 11))-1)
), "")</f>
        <v>E586100</v>
      </c>
      <c r="M236" s="47" t="str">
        <f t="shared" si="28"/>
        <v>SB120149/6/25</v>
      </c>
      <c r="N236" s="46" t="str">
        <f t="shared" si="31"/>
        <v/>
      </c>
      <c r="O236" s="60">
        <v>50</v>
      </c>
      <c r="P236" s="60">
        <v>876</v>
      </c>
      <c r="Q236" s="48">
        <v>200</v>
      </c>
      <c r="R236" s="48">
        <v>832</v>
      </c>
      <c r="S236" s="48"/>
      <c r="T236" s="48"/>
      <c r="U236" s="49"/>
      <c r="V236" s="49"/>
      <c r="W236" s="50">
        <f t="shared" si="29"/>
        <v>0</v>
      </c>
      <c r="X236" s="51" t="str">
        <f>IF(A236="", "", IF(COUNTIFS(C$3:C235, C236, D$3:D235, D236, G$3:G235, G236) &gt; 0, "", "11:00"-AW236))</f>
        <v/>
      </c>
      <c r="Y236" s="52" t="str">
        <f t="shared" si="35"/>
        <v/>
      </c>
      <c r="Z236" s="53"/>
      <c r="AA236" s="54"/>
      <c r="AB236" s="53"/>
      <c r="AC236" s="54"/>
      <c r="AD236" s="53"/>
      <c r="AE236" s="54"/>
      <c r="AF236" s="53"/>
      <c r="AG236" s="54"/>
      <c r="AH236" s="55">
        <v>4.1666666666666699E-2</v>
      </c>
      <c r="AI236" s="53"/>
      <c r="AJ236" s="54"/>
      <c r="AK236" s="53"/>
      <c r="AL236" s="54"/>
      <c r="AM236" s="53"/>
      <c r="AN236" s="54"/>
      <c r="AO236" s="53"/>
      <c r="AP236" s="54"/>
      <c r="AQ236" s="53"/>
      <c r="AR236" s="54"/>
      <c r="AS236" s="53"/>
      <c r="AT236" s="54"/>
      <c r="AU236" s="53">
        <v>4.1666666666666699E-2</v>
      </c>
      <c r="AV236" s="54" t="s">
        <v>37</v>
      </c>
      <c r="AW236" s="57">
        <f t="shared" si="32"/>
        <v>4.1666666666666699E-2</v>
      </c>
      <c r="AX236" s="58" t="s">
        <v>96</v>
      </c>
    </row>
    <row r="237" spans="1:50" ht="28.5">
      <c r="A237" s="38" t="s">
        <v>274</v>
      </c>
      <c r="B237" s="39">
        <f t="shared" si="36"/>
        <v>233</v>
      </c>
      <c r="C237" s="40">
        <v>46030</v>
      </c>
      <c r="D237" s="40" t="s">
        <v>80</v>
      </c>
      <c r="E237" s="40" t="s">
        <v>81</v>
      </c>
      <c r="F237" s="41">
        <v>732.5</v>
      </c>
      <c r="G237" s="42" t="s">
        <v>66</v>
      </c>
      <c r="H237" s="43" t="str">
        <f>IFERROR(VLOOKUP($J237,'[9]FROM (3)'!$E$4:$F$230,2,FALSE),"")</f>
        <v>JCTTH</v>
      </c>
      <c r="I237" s="44" t="str">
        <f t="shared" si="33"/>
        <v>RACK POWER STEERING</v>
      </c>
      <c r="J237" s="44" t="str">
        <f t="shared" si="34"/>
        <v>JGD10-BA0101-C</v>
      </c>
      <c r="K237" s="59" t="str">
        <f t="shared" si="30"/>
        <v>PD26010201</v>
      </c>
      <c r="L237" s="46" t="str" cm="1">
        <f t="array" ref="L237">IFERROR(_xlfn.IFS(
    LEN($A237)-LEN(SUBSTITUTE($A237,"|",""))=12, RIGHT(A237, LEN(A237)-FIND("~", SUBSTITUTE(A237,"|","~", LEN(A237)-LEN(SUBSTITUTE(A237,"|",""))))),
    LEN($A237)-LEN(SUBSTITUTE($A237,"|",""))=13, MID($A237, FIND("~", SUBSTITUTE($A237,"|","~", 11))+1, FIND("~", SUBSTITUTE($A237,"|","~", 12))-FIND("~", SUBSTITUTE($A237,"|","~", 11))-1),
    LEN($A237)-LEN(SUBSTITUTE($A237,"|",""))=14, MID($A237, FIND("~", SUBSTITUTE($A237,"|","~", 11))+1, FIND("~", SUBSTITUTE($A237,"|","~", 12))-FIND("~", SUBSTITUTE($A237,"|","~", 11))-1)
), "")</f>
        <v>E586100</v>
      </c>
      <c r="M237" s="47" t="str">
        <f t="shared" si="28"/>
        <v>SB120149/5/25</v>
      </c>
      <c r="N237" s="46" t="str">
        <f t="shared" si="31"/>
        <v/>
      </c>
      <c r="O237" s="60">
        <v>50</v>
      </c>
      <c r="P237" s="60">
        <v>876</v>
      </c>
      <c r="Q237" s="48">
        <v>200</v>
      </c>
      <c r="R237" s="48">
        <v>832</v>
      </c>
      <c r="S237" s="48"/>
      <c r="T237" s="48"/>
      <c r="U237" s="49"/>
      <c r="V237" s="49"/>
      <c r="W237" s="50">
        <f t="shared" si="29"/>
        <v>0</v>
      </c>
      <c r="X237" s="51" t="str">
        <f>IF(A237="", "", IF(COUNTIFS(C$3:C236, C237, D$3:D236, D237, G$3:G236, G237) &gt; 0, "", "11:00"-AW237))</f>
        <v/>
      </c>
      <c r="Y237" s="52" t="str">
        <f t="shared" si="35"/>
        <v/>
      </c>
      <c r="Z237" s="53"/>
      <c r="AA237" s="54"/>
      <c r="AB237" s="53"/>
      <c r="AC237" s="54"/>
      <c r="AD237" s="53"/>
      <c r="AE237" s="54"/>
      <c r="AF237" s="53"/>
      <c r="AG237" s="54"/>
      <c r="AH237" s="55">
        <v>4.1666666666666699E-2</v>
      </c>
      <c r="AI237" s="53"/>
      <c r="AJ237" s="54"/>
      <c r="AK237" s="53"/>
      <c r="AL237" s="54"/>
      <c r="AM237" s="53"/>
      <c r="AN237" s="54"/>
      <c r="AO237" s="53"/>
      <c r="AP237" s="54"/>
      <c r="AQ237" s="53"/>
      <c r="AR237" s="54"/>
      <c r="AS237" s="53"/>
      <c r="AT237" s="54"/>
      <c r="AU237" s="53">
        <v>4.1666666666666699E-2</v>
      </c>
      <c r="AV237" s="54" t="s">
        <v>37</v>
      </c>
      <c r="AW237" s="57">
        <f t="shared" si="32"/>
        <v>4.1666666666666699E-2</v>
      </c>
      <c r="AX237" s="58" t="s">
        <v>96</v>
      </c>
    </row>
    <row r="238" spans="1:50" ht="28.5">
      <c r="A238" s="38" t="s">
        <v>253</v>
      </c>
      <c r="B238" s="39">
        <f t="shared" si="36"/>
        <v>234</v>
      </c>
      <c r="C238" s="40">
        <v>46030</v>
      </c>
      <c r="D238" s="40" t="s">
        <v>80</v>
      </c>
      <c r="E238" s="40" t="s">
        <v>81</v>
      </c>
      <c r="F238" s="41">
        <v>655.4</v>
      </c>
      <c r="G238" s="42" t="s">
        <v>75</v>
      </c>
      <c r="H238" s="43" t="str">
        <f>IFERROR(VLOOKUP($J238,'[9]FROM (3)'!$E$4:$F$230,2,FALSE),"")</f>
        <v>JAMY</v>
      </c>
      <c r="I238" s="44" t="str">
        <f t="shared" si="33"/>
        <v>RACK BAR</v>
      </c>
      <c r="J238" s="44" t="str">
        <f t="shared" si="34"/>
        <v>JGC10-M09008-51-0</v>
      </c>
      <c r="K238" s="59" t="str">
        <f t="shared" si="30"/>
        <v>PD26010175</v>
      </c>
      <c r="L238" s="46" t="str" cm="1">
        <f t="array" ref="L238">IFERROR(_xlfn.IFS(
    LEN($A238)-LEN(SUBSTITUTE($A238,"|",""))=12, RIGHT(A238, LEN(A238)-FIND("~", SUBSTITUTE(A238,"|","~", LEN(A238)-LEN(SUBSTITUTE(A238,"|",""))))),
    LEN($A238)-LEN(SUBSTITUTE($A238,"|",""))=13, MID($A238, FIND("~", SUBSTITUTE($A238,"|","~", 11))+1, FIND("~", SUBSTITUTE($A238,"|","~", 12))-FIND("~", SUBSTITUTE($A238,"|","~", 11))-1),
    LEN($A238)-LEN(SUBSTITUTE($A238,"|",""))=14, MID($A238, FIND("~", SUBSTITUTE($A238,"|","~", 11))+1, FIND("~", SUBSTITUTE($A238,"|","~", 12))-FIND("~", SUBSTITUTE($A238,"|","~", 11))-1)
), "")</f>
        <v>E586966</v>
      </c>
      <c r="M238" s="47" t="str">
        <f t="shared" si="28"/>
        <v>SB010008/6/26</v>
      </c>
      <c r="N238" s="46" t="str">
        <f t="shared" si="31"/>
        <v/>
      </c>
      <c r="O238" s="60"/>
      <c r="P238" s="60"/>
      <c r="Q238" s="48">
        <v>191</v>
      </c>
      <c r="R238" s="48">
        <v>521</v>
      </c>
      <c r="S238" s="48"/>
      <c r="T238" s="48"/>
      <c r="U238" s="49"/>
      <c r="V238" s="49"/>
      <c r="W238" s="50">
        <f t="shared" si="29"/>
        <v>0</v>
      </c>
      <c r="X238" s="51">
        <f>IF(A238="", "", IF(COUNTIFS(C$3:C237, C238, D$3:D237, D238, G$3:G237, G238) &gt; 0, "", "11:00"-AW238))</f>
        <v>0.41666666666666663</v>
      </c>
      <c r="Y238" s="52" t="str">
        <f t="shared" si="35"/>
        <v>1:40</v>
      </c>
      <c r="Z238" s="53"/>
      <c r="AA238" s="54"/>
      <c r="AB238" s="53"/>
      <c r="AC238" s="54"/>
      <c r="AD238" s="53"/>
      <c r="AE238" s="54"/>
      <c r="AF238" s="53"/>
      <c r="AG238" s="54"/>
      <c r="AH238" s="55">
        <v>4.1666666666666699E-2</v>
      </c>
      <c r="AI238" s="53"/>
      <c r="AJ238" s="54"/>
      <c r="AK238" s="53"/>
      <c r="AL238" s="54"/>
      <c r="AM238" s="53"/>
      <c r="AN238" s="54"/>
      <c r="AO238" s="53"/>
      <c r="AP238" s="54"/>
      <c r="AQ238" s="53"/>
      <c r="AR238" s="54"/>
      <c r="AS238" s="53"/>
      <c r="AT238" s="54"/>
      <c r="AU238" s="53">
        <v>4.1666666666666699E-2</v>
      </c>
      <c r="AV238" s="54" t="s">
        <v>37</v>
      </c>
      <c r="AW238" s="57">
        <f t="shared" si="32"/>
        <v>4.1666666666666699E-2</v>
      </c>
      <c r="AX238" s="58" t="s">
        <v>101</v>
      </c>
    </row>
    <row r="239" spans="1:50" ht="28.5">
      <c r="A239" s="38" t="s">
        <v>275</v>
      </c>
      <c r="B239" s="39">
        <f t="shared" si="36"/>
        <v>235</v>
      </c>
      <c r="C239" s="40">
        <v>46030</v>
      </c>
      <c r="D239" s="40" t="s">
        <v>80</v>
      </c>
      <c r="E239" s="40" t="s">
        <v>81</v>
      </c>
      <c r="F239" s="41">
        <v>655.4</v>
      </c>
      <c r="G239" s="42" t="s">
        <v>75</v>
      </c>
      <c r="H239" s="43" t="str">
        <f>IFERROR(VLOOKUP($J239,'[9]FROM (3)'!$E$4:$F$230,2,FALSE),"")</f>
        <v>JAMY</v>
      </c>
      <c r="I239" s="44" t="str">
        <f t="shared" si="33"/>
        <v>RACK BAR</v>
      </c>
      <c r="J239" s="44" t="str">
        <f t="shared" si="34"/>
        <v>JGC10-M09008-51-0</v>
      </c>
      <c r="K239" s="59" t="str">
        <f t="shared" si="30"/>
        <v>PD26010175</v>
      </c>
      <c r="L239" s="46" t="str" cm="1">
        <f t="array" ref="L239">IFERROR(_xlfn.IFS(
    LEN($A239)-LEN(SUBSTITUTE($A239,"|",""))=12, RIGHT(A239, LEN(A239)-FIND("~", SUBSTITUTE(A239,"|","~", LEN(A239)-LEN(SUBSTITUTE(A239,"|",""))))),
    LEN($A239)-LEN(SUBSTITUTE($A239,"|",""))=13, MID($A239, FIND("~", SUBSTITUTE($A239,"|","~", 11))+1, FIND("~", SUBSTITUTE($A239,"|","~", 12))-FIND("~", SUBSTITUTE($A239,"|","~", 11))-1),
    LEN($A239)-LEN(SUBSTITUTE($A239,"|",""))=14, MID($A239, FIND("~", SUBSTITUTE($A239,"|","~", 11))+1, FIND("~", SUBSTITUTE($A239,"|","~", 12))-FIND("~", SUBSTITUTE($A239,"|","~", 11))-1)
), "")</f>
        <v>E586966</v>
      </c>
      <c r="M239" s="47" t="str">
        <f t="shared" si="28"/>
        <v>SB010008/4/26</v>
      </c>
      <c r="N239" s="46" t="str">
        <f t="shared" si="31"/>
        <v/>
      </c>
      <c r="O239" s="60">
        <v>60</v>
      </c>
      <c r="P239" s="60">
        <v>874</v>
      </c>
      <c r="Q239" s="48">
        <v>270</v>
      </c>
      <c r="R239" s="48">
        <v>737</v>
      </c>
      <c r="S239" s="48"/>
      <c r="T239" s="48"/>
      <c r="U239" s="49">
        <v>138</v>
      </c>
      <c r="V239" s="49">
        <v>8</v>
      </c>
      <c r="W239" s="50">
        <f t="shared" si="29"/>
        <v>146</v>
      </c>
      <c r="X239" s="51" t="str">
        <f>IF(A239="", "", IF(COUNTIFS(C$3:C238, C239, D$3:D238, D239, G$3:G238, G239) &gt; 0, "", "11:00"-AW239))</f>
        <v/>
      </c>
      <c r="Y239" s="52" t="str">
        <f t="shared" si="35"/>
        <v/>
      </c>
      <c r="Z239" s="53"/>
      <c r="AA239" s="54"/>
      <c r="AB239" s="53"/>
      <c r="AC239" s="54"/>
      <c r="AD239" s="53"/>
      <c r="AE239" s="54"/>
      <c r="AF239" s="53"/>
      <c r="AG239" s="54"/>
      <c r="AH239" s="55">
        <v>4.1666666666666699E-2</v>
      </c>
      <c r="AI239" s="53"/>
      <c r="AJ239" s="54"/>
      <c r="AK239" s="53"/>
      <c r="AL239" s="54"/>
      <c r="AM239" s="53"/>
      <c r="AN239" s="54"/>
      <c r="AO239" s="53"/>
      <c r="AP239" s="54"/>
      <c r="AQ239" s="53"/>
      <c r="AR239" s="54"/>
      <c r="AS239" s="53"/>
      <c r="AT239" s="54"/>
      <c r="AU239" s="53">
        <v>4.1666666666666699E-2</v>
      </c>
      <c r="AV239" s="54" t="s">
        <v>37</v>
      </c>
      <c r="AW239" s="57">
        <f t="shared" si="32"/>
        <v>4.1666666666666699E-2</v>
      </c>
      <c r="AX239" s="58" t="s">
        <v>101</v>
      </c>
    </row>
    <row r="240" spans="1:50" ht="28.5">
      <c r="A240" s="38" t="s">
        <v>276</v>
      </c>
      <c r="B240" s="39">
        <f t="shared" si="36"/>
        <v>236</v>
      </c>
      <c r="C240" s="40">
        <v>46030</v>
      </c>
      <c r="D240" s="40" t="s">
        <v>80</v>
      </c>
      <c r="E240" s="40" t="s">
        <v>81</v>
      </c>
      <c r="F240" s="41">
        <v>655.4</v>
      </c>
      <c r="G240" s="42" t="s">
        <v>75</v>
      </c>
      <c r="H240" s="43" t="str">
        <f>IFERROR(VLOOKUP($J240,'[9]FROM (3)'!$E$4:$F$230,2,FALSE),"")</f>
        <v>JAMY</v>
      </c>
      <c r="I240" s="44" t="str">
        <f t="shared" si="33"/>
        <v>RACK BAR</v>
      </c>
      <c r="J240" s="44" t="str">
        <f t="shared" si="34"/>
        <v>JGC10-M09008-51-0</v>
      </c>
      <c r="K240" s="59" t="str">
        <f t="shared" si="30"/>
        <v>PD26010171</v>
      </c>
      <c r="L240" s="46" t="str" cm="1">
        <f t="array" ref="L240">IFERROR(_xlfn.IFS(
    LEN($A240)-LEN(SUBSTITUTE($A240,"|",""))=12, RIGHT(A240, LEN(A240)-FIND("~", SUBSTITUTE(A240,"|","~", LEN(A240)-LEN(SUBSTITUTE(A240,"|",""))))),
    LEN($A240)-LEN(SUBSTITUTE($A240,"|",""))=13, MID($A240, FIND("~", SUBSTITUTE($A240,"|","~", 11))+1, FIND("~", SUBSTITUTE($A240,"|","~", 12))-FIND("~", SUBSTITUTE($A240,"|","~", 11))-1),
    LEN($A240)-LEN(SUBSTITUTE($A240,"|",""))=14, MID($A240, FIND("~", SUBSTITUTE($A240,"|","~", 11))+1, FIND("~", SUBSTITUTE($A240,"|","~", 12))-FIND("~", SUBSTITUTE($A240,"|","~", 11))-1)
), "")</f>
        <v>E586966</v>
      </c>
      <c r="M240" s="47" t="str">
        <f t="shared" si="28"/>
        <v>SB010005/1/26</v>
      </c>
      <c r="N240" s="46" t="str">
        <f t="shared" si="31"/>
        <v/>
      </c>
      <c r="O240" s="60">
        <v>60</v>
      </c>
      <c r="P240" s="60">
        <v>874</v>
      </c>
      <c r="Q240" s="48">
        <v>300</v>
      </c>
      <c r="R240" s="48">
        <v>819</v>
      </c>
      <c r="S240" s="48"/>
      <c r="T240" s="48"/>
      <c r="U240" s="49"/>
      <c r="V240" s="49"/>
      <c r="W240" s="50">
        <f t="shared" si="29"/>
        <v>0</v>
      </c>
      <c r="X240" s="51" t="str">
        <f>IF(A240="", "", IF(COUNTIFS(C$3:C239, C240, D$3:D239, D240, G$3:G239, G240) &gt; 0, "", "11:00"-AW240))</f>
        <v/>
      </c>
      <c r="Y240" s="52" t="str">
        <f t="shared" si="35"/>
        <v/>
      </c>
      <c r="Z240" s="53"/>
      <c r="AA240" s="54"/>
      <c r="AB240" s="53"/>
      <c r="AC240" s="54"/>
      <c r="AD240" s="53"/>
      <c r="AE240" s="54"/>
      <c r="AF240" s="53"/>
      <c r="AG240" s="54"/>
      <c r="AH240" s="55">
        <v>4.1666666666666699E-2</v>
      </c>
      <c r="AI240" s="53"/>
      <c r="AJ240" s="54"/>
      <c r="AK240" s="53"/>
      <c r="AL240" s="54"/>
      <c r="AM240" s="53"/>
      <c r="AN240" s="54"/>
      <c r="AO240" s="53"/>
      <c r="AP240" s="54"/>
      <c r="AQ240" s="53"/>
      <c r="AR240" s="54"/>
      <c r="AS240" s="53"/>
      <c r="AT240" s="54"/>
      <c r="AU240" s="53">
        <v>4.1666666666666699E-2</v>
      </c>
      <c r="AV240" s="54" t="s">
        <v>37</v>
      </c>
      <c r="AW240" s="57">
        <f t="shared" si="32"/>
        <v>4.1666666666666699E-2</v>
      </c>
      <c r="AX240" s="58" t="s">
        <v>101</v>
      </c>
    </row>
    <row r="241" spans="1:50" ht="28.5">
      <c r="A241" s="38" t="s">
        <v>277</v>
      </c>
      <c r="B241" s="39">
        <f t="shared" si="36"/>
        <v>237</v>
      </c>
      <c r="C241" s="40">
        <v>46030</v>
      </c>
      <c r="D241" s="40" t="s">
        <v>80</v>
      </c>
      <c r="E241" s="40" t="s">
        <v>81</v>
      </c>
      <c r="F241" s="41">
        <v>655.4</v>
      </c>
      <c r="G241" s="42" t="s">
        <v>75</v>
      </c>
      <c r="H241" s="43" t="str">
        <f>IFERROR(VLOOKUP($J241,'[9]FROM (3)'!$E$4:$F$230,2,FALSE),"")</f>
        <v>JAMY</v>
      </c>
      <c r="I241" s="44" t="str">
        <f t="shared" si="33"/>
        <v>RACK BAR</v>
      </c>
      <c r="J241" s="44" t="str">
        <f t="shared" si="34"/>
        <v>JGC10-M09008-51-0</v>
      </c>
      <c r="K241" s="59" t="str">
        <f t="shared" si="30"/>
        <v>PD26010171</v>
      </c>
      <c r="L241" s="46" t="str" cm="1">
        <f t="array" ref="L241">IFERROR(_xlfn.IFS(
    LEN($A241)-LEN(SUBSTITUTE($A241,"|",""))=12, RIGHT(A241, LEN(A241)-FIND("~", SUBSTITUTE(A241,"|","~", LEN(A241)-LEN(SUBSTITUTE(A241,"|",""))))),
    LEN($A241)-LEN(SUBSTITUTE($A241,"|",""))=13, MID($A241, FIND("~", SUBSTITUTE($A241,"|","~", 11))+1, FIND("~", SUBSTITUTE($A241,"|","~", 12))-FIND("~", SUBSTITUTE($A241,"|","~", 11))-1),
    LEN($A241)-LEN(SUBSTITUTE($A241,"|",""))=14, MID($A241, FIND("~", SUBSTITUTE($A241,"|","~", 11))+1, FIND("~", SUBSTITUTE($A241,"|","~", 12))-FIND("~", SUBSTITUTE($A241,"|","~", 11))-1)
), "")</f>
        <v>E586966</v>
      </c>
      <c r="M241" s="47" t="str">
        <f t="shared" si="28"/>
        <v>SB010005/2/26</v>
      </c>
      <c r="N241" s="46" t="str">
        <f t="shared" si="31"/>
        <v/>
      </c>
      <c r="O241" s="60">
        <v>60</v>
      </c>
      <c r="P241" s="60">
        <v>874</v>
      </c>
      <c r="Q241" s="48">
        <v>299</v>
      </c>
      <c r="R241" s="48">
        <v>816</v>
      </c>
      <c r="S241" s="48">
        <v>1</v>
      </c>
      <c r="T241" s="48" t="s">
        <v>143</v>
      </c>
      <c r="U241" s="49">
        <v>97</v>
      </c>
      <c r="V241" s="49">
        <v>6</v>
      </c>
      <c r="W241" s="50">
        <f t="shared" si="29"/>
        <v>103</v>
      </c>
      <c r="X241" s="51" t="str">
        <f>IF(A241="", "", IF(COUNTIFS(C$3:C240, C241, D$3:D240, D241, G$3:G240, G241) &gt; 0, "", "11:00"-AW241))</f>
        <v/>
      </c>
      <c r="Y241" s="52" t="str">
        <f t="shared" si="35"/>
        <v/>
      </c>
      <c r="Z241" s="53"/>
      <c r="AA241" s="54"/>
      <c r="AB241" s="53"/>
      <c r="AC241" s="54"/>
      <c r="AD241" s="53"/>
      <c r="AE241" s="54"/>
      <c r="AF241" s="53"/>
      <c r="AG241" s="54"/>
      <c r="AH241" s="55">
        <v>4.1666666666666699E-2</v>
      </c>
      <c r="AI241" s="53"/>
      <c r="AJ241" s="54"/>
      <c r="AK241" s="53"/>
      <c r="AL241" s="54"/>
      <c r="AM241" s="53"/>
      <c r="AN241" s="54"/>
      <c r="AO241" s="53"/>
      <c r="AP241" s="54"/>
      <c r="AQ241" s="53"/>
      <c r="AR241" s="54"/>
      <c r="AS241" s="53"/>
      <c r="AT241" s="54"/>
      <c r="AU241" s="53">
        <v>4.1666666666666699E-2</v>
      </c>
      <c r="AV241" s="54" t="s">
        <v>37</v>
      </c>
      <c r="AW241" s="57">
        <f t="shared" si="32"/>
        <v>4.1666666666666699E-2</v>
      </c>
      <c r="AX241" s="58" t="s">
        <v>101</v>
      </c>
    </row>
    <row r="242" spans="1:50" ht="28.5">
      <c r="A242" s="38" t="s">
        <v>239</v>
      </c>
      <c r="B242" s="39">
        <f t="shared" si="36"/>
        <v>238</v>
      </c>
      <c r="C242" s="40">
        <v>46030</v>
      </c>
      <c r="D242" s="40" t="s">
        <v>80</v>
      </c>
      <c r="E242" s="40" t="s">
        <v>81</v>
      </c>
      <c r="F242" s="41">
        <v>278</v>
      </c>
      <c r="G242" s="42" t="s">
        <v>108</v>
      </c>
      <c r="H242" s="43" t="str">
        <f>IFERROR(VLOOKUP($J242,'[9]FROM (3)'!$E$4:$F$230,2,FALSE),"")</f>
        <v>SIAM NSK</v>
      </c>
      <c r="I242" s="44" t="str">
        <f t="shared" si="33"/>
        <v>SHAFT SPLINE</v>
      </c>
      <c r="J242" s="44" t="str">
        <f t="shared" si="34"/>
        <v>2550T0749P</v>
      </c>
      <c r="K242" s="59" t="str">
        <f t="shared" si="30"/>
        <v>PD25120794</v>
      </c>
      <c r="L242" s="46" t="str" cm="1">
        <f t="array" ref="L242">IFERROR(_xlfn.IFS(
    LEN($A242)-LEN(SUBSTITUTE($A242,"|",""))=12, RIGHT(A242, LEN(A242)-FIND("~", SUBSTITUTE(A242,"|","~", LEN(A242)-LEN(SUBSTITUTE(A242,"|",""))))),
    LEN($A242)-LEN(SUBSTITUTE($A242,"|",""))=13, MID($A242, FIND("~", SUBSTITUTE($A242,"|","~", 11))+1, FIND("~", SUBSTITUTE($A242,"|","~", 12))-FIND("~", SUBSTITUTE($A242,"|","~", 11))-1),
    LEN($A242)-LEN(SUBSTITUTE($A242,"|",""))=14, MID($A242, FIND("~", SUBSTITUTE($A242,"|","~", 11))+1, FIND("~", SUBSTITUTE($A242,"|","~", 12))-FIND("~", SUBSTITUTE($A242,"|","~", 11))-1)
), "")</f>
        <v>SF93402</v>
      </c>
      <c r="M242" s="47" t="str">
        <f t="shared" si="28"/>
        <v>SB120101/5/25</v>
      </c>
      <c r="N242" s="46" t="str">
        <f t="shared" si="31"/>
        <v/>
      </c>
      <c r="O242" s="60"/>
      <c r="P242" s="60"/>
      <c r="Q242" s="48">
        <v>912</v>
      </c>
      <c r="R242" s="48">
        <v>251</v>
      </c>
      <c r="S242" s="48"/>
      <c r="T242" s="48"/>
      <c r="U242" s="49"/>
      <c r="V242" s="49"/>
      <c r="W242" s="50">
        <f t="shared" si="29"/>
        <v>0</v>
      </c>
      <c r="X242" s="51">
        <f>IF(A242="", "", IF(COUNTIFS(C$3:C241, C242, D$3:D241, D242, G$3:G241, G242) &gt; 0, "", "11:00"-AW242))</f>
        <v>0.37499999999999994</v>
      </c>
      <c r="Y242" s="52" t="str">
        <f t="shared" si="35"/>
        <v>1:40</v>
      </c>
      <c r="Z242" s="53">
        <v>4.1666666666666664E-2</v>
      </c>
      <c r="AA242" s="54" t="s">
        <v>90</v>
      </c>
      <c r="AB242" s="53"/>
      <c r="AC242" s="54"/>
      <c r="AD242" s="53"/>
      <c r="AE242" s="54"/>
      <c r="AF242" s="53"/>
      <c r="AG242" s="54"/>
      <c r="AH242" s="55">
        <v>4.1666666666666699E-2</v>
      </c>
      <c r="AI242" s="53"/>
      <c r="AJ242" s="54"/>
      <c r="AK242" s="53"/>
      <c r="AL242" s="54"/>
      <c r="AM242" s="53"/>
      <c r="AN242" s="54"/>
      <c r="AO242" s="53"/>
      <c r="AP242" s="54"/>
      <c r="AQ242" s="53"/>
      <c r="AR242" s="54"/>
      <c r="AS242" s="53"/>
      <c r="AT242" s="54"/>
      <c r="AU242" s="53">
        <v>4.1666666666666699E-2</v>
      </c>
      <c r="AV242" s="54" t="s">
        <v>37</v>
      </c>
      <c r="AW242" s="57">
        <f t="shared" si="32"/>
        <v>8.333333333333337E-2</v>
      </c>
      <c r="AX242" s="58" t="s">
        <v>164</v>
      </c>
    </row>
    <row r="243" spans="1:50" ht="21.75" customHeight="1">
      <c r="A243" s="38" t="s">
        <v>278</v>
      </c>
      <c r="B243" s="39">
        <f t="shared" si="36"/>
        <v>239</v>
      </c>
      <c r="C243" s="40">
        <v>46030</v>
      </c>
      <c r="D243" s="40" t="s">
        <v>80</v>
      </c>
      <c r="E243" s="40" t="s">
        <v>81</v>
      </c>
      <c r="F243" s="41">
        <v>278</v>
      </c>
      <c r="G243" s="42" t="s">
        <v>108</v>
      </c>
      <c r="H243" s="43" t="str">
        <f>IFERROR(VLOOKUP($J243,'[9]FROM (3)'!$E$4:$F$230,2,FALSE),"")</f>
        <v>SIAM NSK</v>
      </c>
      <c r="I243" s="44" t="str">
        <f t="shared" si="33"/>
        <v>SHAFT SPLINE</v>
      </c>
      <c r="J243" s="44" t="str">
        <f t="shared" si="34"/>
        <v>2550T0749P</v>
      </c>
      <c r="K243" s="59" t="str">
        <f t="shared" si="30"/>
        <v>PD25120794</v>
      </c>
      <c r="L243" s="46" t="str" cm="1">
        <f t="array" ref="L243">IFERROR(_xlfn.IFS(
    LEN($A243)-LEN(SUBSTITUTE($A243,"|",""))=12, RIGHT(A243, LEN(A243)-FIND("~", SUBSTITUTE(A243,"|","~", LEN(A243)-LEN(SUBSTITUTE(A243,"|",""))))),
    LEN($A243)-LEN(SUBSTITUTE($A243,"|",""))=13, MID($A243, FIND("~", SUBSTITUTE($A243,"|","~", 11))+1, FIND("~", SUBSTITUTE($A243,"|","~", 12))-FIND("~", SUBSTITUTE($A243,"|","~", 11))-1),
    LEN($A243)-LEN(SUBSTITUTE($A243,"|",""))=14, MID($A243, FIND("~", SUBSTITUTE($A243,"|","~", 11))+1, FIND("~", SUBSTITUTE($A243,"|","~", 12))-FIND("~", SUBSTITUTE($A243,"|","~", 11))-1)
), "")</f>
        <v>SF93402</v>
      </c>
      <c r="M243" s="47" t="str">
        <f t="shared" si="28"/>
        <v>SB120101/4/25</v>
      </c>
      <c r="N243" s="46" t="str">
        <f t="shared" si="31"/>
        <v/>
      </c>
      <c r="O243" s="60">
        <v>104</v>
      </c>
      <c r="P243" s="60">
        <v>1000</v>
      </c>
      <c r="Q243" s="48">
        <v>1648</v>
      </c>
      <c r="R243" s="48">
        <v>942</v>
      </c>
      <c r="S243" s="48"/>
      <c r="T243" s="48"/>
      <c r="U243" s="49">
        <v>116</v>
      </c>
      <c r="V243" s="49">
        <v>22</v>
      </c>
      <c r="W243" s="50">
        <f t="shared" si="29"/>
        <v>138</v>
      </c>
      <c r="X243" s="51" t="str">
        <f>IF(A243="", "", IF(COUNTIFS(C$3:C242, C243, D$3:D242, D243, G$3:G242, G243) &gt; 0, "", "11:00"-AW243))</f>
        <v/>
      </c>
      <c r="Y243" s="52" t="str">
        <f t="shared" si="35"/>
        <v/>
      </c>
      <c r="Z243" s="53">
        <v>4.1666666666666664E-2</v>
      </c>
      <c r="AA243" s="54" t="s">
        <v>129</v>
      </c>
      <c r="AB243" s="53"/>
      <c r="AC243" s="54"/>
      <c r="AD243" s="53"/>
      <c r="AE243" s="54"/>
      <c r="AF243" s="53"/>
      <c r="AG243" s="54"/>
      <c r="AH243" s="55">
        <v>4.1666666666666699E-2</v>
      </c>
      <c r="AI243" s="53"/>
      <c r="AJ243" s="54"/>
      <c r="AK243" s="53"/>
      <c r="AL243" s="54"/>
      <c r="AM243" s="53"/>
      <c r="AN243" s="54"/>
      <c r="AO243" s="53"/>
      <c r="AP243" s="54"/>
      <c r="AQ243" s="53"/>
      <c r="AR243" s="54"/>
      <c r="AS243" s="53"/>
      <c r="AT243" s="54"/>
      <c r="AU243" s="53">
        <v>4.1666666666666699E-2</v>
      </c>
      <c r="AV243" s="54" t="s">
        <v>37</v>
      </c>
      <c r="AW243" s="57">
        <f t="shared" si="32"/>
        <v>8.333333333333337E-2</v>
      </c>
      <c r="AX243" s="58" t="s">
        <v>164</v>
      </c>
    </row>
    <row r="244" spans="1:50" ht="28.5">
      <c r="A244" s="38" t="s">
        <v>279</v>
      </c>
      <c r="B244" s="39">
        <f t="shared" si="36"/>
        <v>240</v>
      </c>
      <c r="C244" s="40">
        <v>46030</v>
      </c>
      <c r="D244" s="40" t="s">
        <v>80</v>
      </c>
      <c r="E244" s="40" t="s">
        <v>81</v>
      </c>
      <c r="F244" s="41">
        <v>278</v>
      </c>
      <c r="G244" s="42" t="s">
        <v>108</v>
      </c>
      <c r="H244" s="43" t="str">
        <f>IFERROR(VLOOKUP($J244,'[9]FROM (3)'!$E$4:$F$230,2,FALSE),"")</f>
        <v>SIAM NSK</v>
      </c>
      <c r="I244" s="44" t="str">
        <f t="shared" si="33"/>
        <v>SHAFT SPLINE</v>
      </c>
      <c r="J244" s="44" t="str">
        <f t="shared" si="34"/>
        <v>2550T0749P</v>
      </c>
      <c r="K244" s="59" t="str">
        <f t="shared" si="30"/>
        <v>PD25120793</v>
      </c>
      <c r="L244" s="46" t="str" cm="1">
        <f t="array" ref="L244">IFERROR(_xlfn.IFS(
    LEN($A244)-LEN(SUBSTITUTE($A244,"|",""))=12, RIGHT(A244, LEN(A244)-FIND("~", SUBSTITUTE(A244,"|","~", LEN(A244)-LEN(SUBSTITUTE(A244,"|",""))))),
    LEN($A244)-LEN(SUBSTITUTE($A244,"|",""))=13, MID($A244, FIND("~", SUBSTITUTE($A244,"|","~", 11))+1, FIND("~", SUBSTITUTE($A244,"|","~", 12))-FIND("~", SUBSTITUTE($A244,"|","~", 11))-1),
    LEN($A244)-LEN(SUBSTITUTE($A244,"|",""))=14, MID($A244, FIND("~", SUBSTITUTE($A244,"|","~", 11))+1, FIND("~", SUBSTITUTE($A244,"|","~", 12))-FIND("~", SUBSTITUTE($A244,"|","~", 11))-1)
), "")</f>
        <v>SF93402</v>
      </c>
      <c r="M244" s="47" t="str">
        <f t="shared" si="28"/>
        <v>SB120101/3/25</v>
      </c>
      <c r="N244" s="46" t="str">
        <f t="shared" si="31"/>
        <v/>
      </c>
      <c r="O244" s="60">
        <v>104</v>
      </c>
      <c r="P244" s="60">
        <v>1000</v>
      </c>
      <c r="Q244" s="48">
        <v>560</v>
      </c>
      <c r="R244" s="48">
        <v>320</v>
      </c>
      <c r="S244" s="48"/>
      <c r="T244" s="48"/>
      <c r="U244" s="49"/>
      <c r="V244" s="49"/>
      <c r="W244" s="50">
        <f t="shared" si="29"/>
        <v>0</v>
      </c>
      <c r="X244" s="51" t="str">
        <f>IF(A244="", "", IF(COUNTIFS(C$3:C243, C244, D$3:D243, D244, G$3:G243, G244) &gt; 0, "", "11:00"-AW244))</f>
        <v/>
      </c>
      <c r="Y244" s="52" t="str">
        <f t="shared" si="35"/>
        <v/>
      </c>
      <c r="Z244" s="53">
        <v>4.1666666666666664E-2</v>
      </c>
      <c r="AA244" s="54" t="s">
        <v>90</v>
      </c>
      <c r="AB244" s="53"/>
      <c r="AC244" s="54"/>
      <c r="AD244" s="53"/>
      <c r="AE244" s="54"/>
      <c r="AF244" s="53"/>
      <c r="AG244" s="54"/>
      <c r="AH244" s="55">
        <v>4.1666666666666699E-2</v>
      </c>
      <c r="AI244" s="53"/>
      <c r="AJ244" s="54"/>
      <c r="AK244" s="53"/>
      <c r="AL244" s="54"/>
      <c r="AM244" s="53"/>
      <c r="AN244" s="54"/>
      <c r="AO244" s="53"/>
      <c r="AP244" s="54"/>
      <c r="AQ244" s="53"/>
      <c r="AR244" s="54"/>
      <c r="AS244" s="53"/>
      <c r="AT244" s="54"/>
      <c r="AU244" s="53">
        <v>4.1666666666666699E-2</v>
      </c>
      <c r="AV244" s="54" t="s">
        <v>37</v>
      </c>
      <c r="AW244" s="57">
        <f t="shared" si="32"/>
        <v>8.333333333333337E-2</v>
      </c>
      <c r="AX244" s="58" t="s">
        <v>164</v>
      </c>
    </row>
    <row r="245" spans="1:50" ht="25.5" customHeight="1">
      <c r="A245" s="38" t="s">
        <v>234</v>
      </c>
      <c r="B245" s="39">
        <f t="shared" si="36"/>
        <v>241</v>
      </c>
      <c r="C245" s="40">
        <v>46030</v>
      </c>
      <c r="D245" s="40" t="s">
        <v>80</v>
      </c>
      <c r="E245" s="40" t="s">
        <v>81</v>
      </c>
      <c r="F245" s="41">
        <v>375</v>
      </c>
      <c r="G245" s="42" t="s">
        <v>172</v>
      </c>
      <c r="H245" s="43" t="str">
        <f>IFERROR(VLOOKUP($J245,'[9]FROM (3)'!$E$4:$F$230,2,FALSE),"")</f>
        <v>ATAC</v>
      </c>
      <c r="I245" s="44" t="str">
        <f t="shared" si="33"/>
        <v>SEAT,WATER PUMP PULLEY</v>
      </c>
      <c r="J245" s="44" t="str">
        <f t="shared" si="34"/>
        <v>16171-05030</v>
      </c>
      <c r="K245" s="59" t="str">
        <f t="shared" si="30"/>
        <v>PD26010090</v>
      </c>
      <c r="L245" s="46" t="str" cm="1">
        <f t="array" ref="L245">IFERROR(_xlfn.IFS(
    LEN($A245)-LEN(SUBSTITUTE($A245,"|",""))=12, RIGHT(A245, LEN(A245)-FIND("~", SUBSTITUTE(A245,"|","~", LEN(A245)-LEN(SUBSTITUTE(A245,"|",""))))),
    LEN($A245)-LEN(SUBSTITUTE($A245,"|",""))=13, MID($A245, FIND("~", SUBSTITUTE($A245,"|","~", 11))+1, FIND("~", SUBSTITUTE($A245,"|","~", 12))-FIND("~", SUBSTITUTE($A245,"|","~", 11))-1),
    LEN($A245)-LEN(SUBSTITUTE($A245,"|",""))=14, MID($A245, FIND("~", SUBSTITUTE($A245,"|","~", 11))+1, FIND("~", SUBSTITUTE($A245,"|","~", 12))-FIND("~", SUBSTITUTE($A245,"|","~", 11))-1)
), "")</f>
        <v>665898</v>
      </c>
      <c r="M245" s="47" t="str">
        <f t="shared" si="28"/>
        <v>SB120198/6/25</v>
      </c>
      <c r="N245" s="46" t="str">
        <f t="shared" si="31"/>
        <v/>
      </c>
      <c r="O245" s="60"/>
      <c r="P245" s="60"/>
      <c r="Q245" s="48">
        <v>2022</v>
      </c>
      <c r="R245" s="48">
        <v>758</v>
      </c>
      <c r="S245" s="48"/>
      <c r="T245" s="48"/>
      <c r="U245" s="49"/>
      <c r="V245" s="49"/>
      <c r="W245" s="50">
        <f t="shared" si="29"/>
        <v>0</v>
      </c>
      <c r="X245" s="51">
        <f>IF(A245="", "", IF(COUNTIFS(C$3:C244, C245, D$3:D244, D245, G$3:G244, G245) &gt; 0, "", "11:00"-AW245))</f>
        <v>0.41666666666666663</v>
      </c>
      <c r="Y245" s="52" t="str">
        <f t="shared" si="35"/>
        <v>1:40</v>
      </c>
      <c r="Z245" s="53"/>
      <c r="AA245" s="54"/>
      <c r="AB245" s="53"/>
      <c r="AC245" s="54"/>
      <c r="AD245" s="53"/>
      <c r="AE245" s="54"/>
      <c r="AF245" s="53"/>
      <c r="AG245" s="54"/>
      <c r="AH245" s="55">
        <v>4.1666666666666699E-2</v>
      </c>
      <c r="AI245" s="53"/>
      <c r="AJ245" s="54"/>
      <c r="AK245" s="53"/>
      <c r="AL245" s="54"/>
      <c r="AM245" s="53"/>
      <c r="AN245" s="54"/>
      <c r="AO245" s="53"/>
      <c r="AP245" s="54"/>
      <c r="AQ245" s="53"/>
      <c r="AR245" s="54"/>
      <c r="AS245" s="53"/>
      <c r="AT245" s="54"/>
      <c r="AU245" s="53">
        <v>4.1666666666666699E-2</v>
      </c>
      <c r="AV245" s="54" t="s">
        <v>37</v>
      </c>
      <c r="AW245" s="57">
        <f t="shared" si="32"/>
        <v>4.1666666666666699E-2</v>
      </c>
      <c r="AX245" s="58" t="s">
        <v>164</v>
      </c>
    </row>
    <row r="246" spans="1:50" ht="28.5">
      <c r="A246" s="38" t="s">
        <v>280</v>
      </c>
      <c r="B246" s="39">
        <f t="shared" si="36"/>
        <v>242</v>
      </c>
      <c r="C246" s="40">
        <v>46030</v>
      </c>
      <c r="D246" s="40" t="s">
        <v>80</v>
      </c>
      <c r="E246" s="40" t="s">
        <v>81</v>
      </c>
      <c r="F246" s="41">
        <v>375</v>
      </c>
      <c r="G246" s="42" t="s">
        <v>172</v>
      </c>
      <c r="H246" s="43" t="str">
        <f>IFERROR(VLOOKUP($J246,'[9]FROM (3)'!$E$4:$F$230,2,FALSE),"")</f>
        <v>ATAC</v>
      </c>
      <c r="I246" s="44" t="str">
        <f t="shared" si="33"/>
        <v>SEAT,WATER PUMP PULLEY</v>
      </c>
      <c r="J246" s="44" t="str">
        <f t="shared" si="34"/>
        <v>16171-05030</v>
      </c>
      <c r="K246" s="59" t="str">
        <f t="shared" si="30"/>
        <v>PD26010090</v>
      </c>
      <c r="L246" s="46" t="str" cm="1">
        <f t="array" ref="L246">IFERROR(_xlfn.IFS(
    LEN($A246)-LEN(SUBSTITUTE($A246,"|",""))=12, RIGHT(A246, LEN(A246)-FIND("~", SUBSTITUTE(A246,"|","~", LEN(A246)-LEN(SUBSTITUTE(A246,"|",""))))),
    LEN($A246)-LEN(SUBSTITUTE($A246,"|",""))=13, MID($A246, FIND("~", SUBSTITUTE($A246,"|","~", 11))+1, FIND("~", SUBSTITUTE($A246,"|","~", 12))-FIND("~", SUBSTITUTE($A246,"|","~", 11))-1),
    LEN($A246)-LEN(SUBSTITUTE($A246,"|",""))=14, MID($A246, FIND("~", SUBSTITUTE($A246,"|","~", 11))+1, FIND("~", SUBSTITUTE($A246,"|","~", 12))-FIND("~", SUBSTITUTE($A246,"|","~", 11))-1)
), "")</f>
        <v>665898</v>
      </c>
      <c r="M246" s="47" t="str">
        <f t="shared" si="28"/>
        <v>SB120198/5/25</v>
      </c>
      <c r="N246" s="46" t="str">
        <f t="shared" si="31"/>
        <v/>
      </c>
      <c r="O246" s="60">
        <v>14</v>
      </c>
      <c r="P246" s="60">
        <v>992</v>
      </c>
      <c r="Q246" s="48">
        <v>504</v>
      </c>
      <c r="R246" s="48">
        <v>189</v>
      </c>
      <c r="S246" s="48"/>
      <c r="T246" s="48"/>
      <c r="U246" s="49"/>
      <c r="V246" s="49"/>
      <c r="W246" s="50">
        <f t="shared" si="29"/>
        <v>0</v>
      </c>
      <c r="X246" s="51" t="str">
        <f>IF(A246="", "", IF(COUNTIFS(C$3:C245, C246, D$3:D245, D246, G$3:G245, G246) &gt; 0, "", "11:00"-AW246))</f>
        <v/>
      </c>
      <c r="Y246" s="52" t="str">
        <f t="shared" si="35"/>
        <v/>
      </c>
      <c r="Z246" s="53"/>
      <c r="AA246" s="54"/>
      <c r="AB246" s="53"/>
      <c r="AC246" s="54"/>
      <c r="AD246" s="53"/>
      <c r="AE246" s="54"/>
      <c r="AF246" s="53"/>
      <c r="AG246" s="54"/>
      <c r="AH246" s="55">
        <v>4.1666666666666699E-2</v>
      </c>
      <c r="AI246" s="53"/>
      <c r="AJ246" s="54"/>
      <c r="AK246" s="53"/>
      <c r="AL246" s="54"/>
      <c r="AM246" s="53"/>
      <c r="AN246" s="54"/>
      <c r="AO246" s="53"/>
      <c r="AP246" s="54"/>
      <c r="AQ246" s="53">
        <v>4.1666666666666664E-2</v>
      </c>
      <c r="AR246" s="54" t="s">
        <v>129</v>
      </c>
      <c r="AS246" s="53"/>
      <c r="AT246" s="54"/>
      <c r="AU246" s="53">
        <v>4.1666666666666699E-2</v>
      </c>
      <c r="AV246" s="54" t="s">
        <v>37</v>
      </c>
      <c r="AW246" s="57">
        <f t="shared" si="32"/>
        <v>8.333333333333337E-2</v>
      </c>
      <c r="AX246" s="58" t="s">
        <v>164</v>
      </c>
    </row>
    <row r="247" spans="1:50" ht="28.5">
      <c r="A247" s="38" t="s">
        <v>281</v>
      </c>
      <c r="B247" s="39">
        <f t="shared" si="36"/>
        <v>243</v>
      </c>
      <c r="C247" s="40">
        <v>46030</v>
      </c>
      <c r="D247" s="40" t="s">
        <v>80</v>
      </c>
      <c r="E247" s="40" t="s">
        <v>81</v>
      </c>
      <c r="F247" s="41">
        <v>278</v>
      </c>
      <c r="G247" s="42" t="s">
        <v>176</v>
      </c>
      <c r="H247" s="43" t="str">
        <f>IFERROR(VLOOKUP($J247,'[9]FROM (3)'!$E$4:$F$230,2,FALSE),"")</f>
        <v/>
      </c>
      <c r="I247" s="44" t="str">
        <f t="shared" si="33"/>
        <v>2550T0749P</v>
      </c>
      <c r="J247" s="44" t="str">
        <f t="shared" si="34"/>
        <v>SHAFT SPLINE  (2550T0749P)</v>
      </c>
      <c r="K247" s="59" t="str">
        <f t="shared" si="30"/>
        <v>PD25111052</v>
      </c>
      <c r="L247" s="46" t="str" cm="1">
        <f t="array" ref="L247">IFERROR(_xlfn.IFS(
    LEN($A247)-LEN(SUBSTITUTE($A247,"|",""))=12, RIGHT(A247, LEN(A247)-FIND("~", SUBSTITUTE(A247,"|","~", LEN(A247)-LEN(SUBSTITUTE(A247,"|",""))))),
    LEN($A247)-LEN(SUBSTITUTE($A247,"|",""))=13, MID($A247, FIND("~", SUBSTITUTE($A247,"|","~", 11))+1, FIND("~", SUBSTITUTE($A247,"|","~", 12))-FIND("~", SUBSTITUTE($A247,"|","~", 11))-1),
    LEN($A247)-LEN(SUBSTITUTE($A247,"|",""))=14, MID($A247, FIND("~", SUBSTITUTE($A247,"|","~", 11))+1, FIND("~", SUBSTITUTE($A247,"|","~", 12))-FIND("~", SUBSTITUTE($A247,"|","~", 11))-1)
), "")</f>
        <v>SF93404</v>
      </c>
      <c r="M247" s="47" t="str">
        <f t="shared" si="28"/>
        <v>TSK-PRD1</v>
      </c>
      <c r="N247" s="46" t="str">
        <f t="shared" si="31"/>
        <v>FP110368/1/25</v>
      </c>
      <c r="O247" s="60">
        <v>700</v>
      </c>
      <c r="P247" s="60">
        <v>397</v>
      </c>
      <c r="Q247" s="48">
        <v>700</v>
      </c>
      <c r="R247" s="48">
        <v>397</v>
      </c>
      <c r="S247" s="48" t="s">
        <v>35</v>
      </c>
      <c r="T247" s="48"/>
      <c r="U247" s="49"/>
      <c r="V247" s="49"/>
      <c r="W247" s="50">
        <f t="shared" si="29"/>
        <v>0</v>
      </c>
      <c r="X247" s="51">
        <f>IF(A247="", "", IF(COUNTIFS(C$3:C246, C247, D$3:D246, D247, G$3:G246, G247) &gt; 0, "", "11:00"-AW247))</f>
        <v>0.41666666666666663</v>
      </c>
      <c r="Y247" s="52" t="str">
        <f t="shared" si="35"/>
        <v>1:40</v>
      </c>
      <c r="Z247" s="53"/>
      <c r="AA247" s="54"/>
      <c r="AB247" s="53"/>
      <c r="AC247" s="54"/>
      <c r="AD247" s="53"/>
      <c r="AE247" s="54"/>
      <c r="AF247" s="53"/>
      <c r="AG247" s="54"/>
      <c r="AH247" s="55">
        <v>4.1666666666666699E-2</v>
      </c>
      <c r="AI247" s="53"/>
      <c r="AJ247" s="54"/>
      <c r="AK247" s="53"/>
      <c r="AL247" s="54"/>
      <c r="AM247" s="53"/>
      <c r="AN247" s="54"/>
      <c r="AO247" s="53"/>
      <c r="AP247" s="54"/>
      <c r="AQ247" s="53"/>
      <c r="AR247" s="54"/>
      <c r="AS247" s="53"/>
      <c r="AT247" s="54"/>
      <c r="AU247" s="53">
        <v>4.1666666666666699E-2</v>
      </c>
      <c r="AV247" s="54" t="s">
        <v>37</v>
      </c>
      <c r="AW247" s="57">
        <f t="shared" si="32"/>
        <v>4.1666666666666699E-2</v>
      </c>
      <c r="AX247" s="58" t="s">
        <v>109</v>
      </c>
    </row>
    <row r="248" spans="1:50" ht="28.5">
      <c r="A248" s="38" t="s">
        <v>282</v>
      </c>
      <c r="B248" s="39">
        <f t="shared" si="36"/>
        <v>244</v>
      </c>
      <c r="C248" s="40">
        <v>46030</v>
      </c>
      <c r="D248" s="40" t="s">
        <v>80</v>
      </c>
      <c r="E248" s="40" t="s">
        <v>81</v>
      </c>
      <c r="F248" s="41">
        <v>278</v>
      </c>
      <c r="G248" s="42" t="s">
        <v>176</v>
      </c>
      <c r="H248" s="43" t="str">
        <f>IFERROR(VLOOKUP($J248,'[9]FROM (3)'!$E$4:$F$230,2,FALSE),"")</f>
        <v/>
      </c>
      <c r="I248" s="44" t="str">
        <f t="shared" si="33"/>
        <v>2550T0749P</v>
      </c>
      <c r="J248" s="44" t="str">
        <f t="shared" si="34"/>
        <v>SHAFT SPLINE  (2550T0749P)</v>
      </c>
      <c r="K248" s="59" t="str">
        <f t="shared" si="30"/>
        <v>PD25111052</v>
      </c>
      <c r="L248" s="46" t="str" cm="1">
        <f t="array" ref="L248">IFERROR(_xlfn.IFS(
    LEN($A248)-LEN(SUBSTITUTE($A248,"|",""))=12, RIGHT(A248, LEN(A248)-FIND("~", SUBSTITUTE(A248,"|","~", LEN(A248)-LEN(SUBSTITUTE(A248,"|",""))))),
    LEN($A248)-LEN(SUBSTITUTE($A248,"|",""))=13, MID($A248, FIND("~", SUBSTITUTE($A248,"|","~", 11))+1, FIND("~", SUBSTITUTE($A248,"|","~", 12))-FIND("~", SUBSTITUTE($A248,"|","~", 11))-1),
    LEN($A248)-LEN(SUBSTITUTE($A248,"|",""))=14, MID($A248, FIND("~", SUBSTITUTE($A248,"|","~", 11))+1, FIND("~", SUBSTITUTE($A248,"|","~", 12))-FIND("~", SUBSTITUTE($A248,"|","~", 11))-1)
), "")</f>
        <v>SF93404</v>
      </c>
      <c r="M248" s="47" t="str">
        <f t="shared" si="28"/>
        <v>TSK-PRD1</v>
      </c>
      <c r="N248" s="46" t="str">
        <f t="shared" si="31"/>
        <v>FP110368/5/25</v>
      </c>
      <c r="O248" s="60">
        <v>519</v>
      </c>
      <c r="P248" s="60">
        <v>294</v>
      </c>
      <c r="Q248" s="48">
        <v>519</v>
      </c>
      <c r="R248" s="48">
        <v>294</v>
      </c>
      <c r="S248" s="48" t="s">
        <v>35</v>
      </c>
      <c r="T248" s="48"/>
      <c r="U248" s="49"/>
      <c r="V248" s="49"/>
      <c r="W248" s="50">
        <f t="shared" si="29"/>
        <v>0</v>
      </c>
      <c r="X248" s="51" t="str">
        <f>IF(A248="", "", IF(COUNTIFS(C$3:C247, C248, D$3:D247, D248, G$3:G247, G248) &gt; 0, "", "11:00"-AW248))</f>
        <v/>
      </c>
      <c r="Y248" s="52" t="str">
        <f t="shared" si="35"/>
        <v/>
      </c>
      <c r="Z248" s="53"/>
      <c r="AA248" s="54"/>
      <c r="AB248" s="53"/>
      <c r="AC248" s="54"/>
      <c r="AD248" s="53"/>
      <c r="AE248" s="54"/>
      <c r="AF248" s="53"/>
      <c r="AG248" s="54"/>
      <c r="AH248" s="55">
        <v>4.1666666666666699E-2</v>
      </c>
      <c r="AI248" s="53"/>
      <c r="AJ248" s="54"/>
      <c r="AK248" s="53"/>
      <c r="AL248" s="54"/>
      <c r="AM248" s="53"/>
      <c r="AN248" s="54"/>
      <c r="AO248" s="53"/>
      <c r="AP248" s="54"/>
      <c r="AQ248" s="53"/>
      <c r="AR248" s="54"/>
      <c r="AS248" s="53"/>
      <c r="AT248" s="54"/>
      <c r="AU248" s="53">
        <v>4.1666666666666699E-2</v>
      </c>
      <c r="AV248" s="54" t="s">
        <v>37</v>
      </c>
      <c r="AW248" s="57">
        <f t="shared" si="32"/>
        <v>4.1666666666666699E-2</v>
      </c>
      <c r="AX248" s="58" t="s">
        <v>109</v>
      </c>
    </row>
    <row r="249" spans="1:50" ht="28.5">
      <c r="A249" s="38" t="s">
        <v>283</v>
      </c>
      <c r="B249" s="39">
        <f t="shared" si="36"/>
        <v>245</v>
      </c>
      <c r="C249" s="40">
        <v>46030</v>
      </c>
      <c r="D249" s="40" t="s">
        <v>80</v>
      </c>
      <c r="E249" s="40" t="s">
        <v>81</v>
      </c>
      <c r="F249" s="41">
        <v>278</v>
      </c>
      <c r="G249" s="42" t="s">
        <v>176</v>
      </c>
      <c r="H249" s="43" t="str">
        <f>IFERROR(VLOOKUP($J249,'[9]FROM (3)'!$E$4:$F$230,2,FALSE),"")</f>
        <v/>
      </c>
      <c r="I249" s="44" t="str">
        <f t="shared" si="33"/>
        <v>2550T0749P</v>
      </c>
      <c r="J249" s="44" t="str">
        <f t="shared" si="34"/>
        <v>SHAFT SPLINE  (2550T0749P)</v>
      </c>
      <c r="K249" s="59" t="str">
        <f t="shared" si="30"/>
        <v>PD25120352</v>
      </c>
      <c r="L249" s="46" t="str" cm="1">
        <f t="array" ref="L249">IFERROR(_xlfn.IFS(
    LEN($A249)-LEN(SUBSTITUTE($A249,"|",""))=12, RIGHT(A249, LEN(A249)-FIND("~", SUBSTITUTE(A249,"|","~", LEN(A249)-LEN(SUBSTITUTE(A249,"|",""))))),
    LEN($A249)-LEN(SUBSTITUTE($A249,"|",""))=13, MID($A249, FIND("~", SUBSTITUTE($A249,"|","~", 11))+1, FIND("~", SUBSTITUTE($A249,"|","~", 12))-FIND("~", SUBSTITUTE($A249,"|","~", 11))-1),
    LEN($A249)-LEN(SUBSTITUTE($A249,"|",""))=14, MID($A249, FIND("~", SUBSTITUTE($A249,"|","~", 11))+1, FIND("~", SUBSTITUTE($A249,"|","~", 12))-FIND("~", SUBSTITUTE($A249,"|","~", 11))-1)
), "")</f>
        <v>SF93404</v>
      </c>
      <c r="M249" s="47" t="str">
        <f t="shared" si="28"/>
        <v>TSK-PRD1</v>
      </c>
      <c r="N249" s="46" t="str">
        <f t="shared" si="31"/>
        <v>FP120268/4/25</v>
      </c>
      <c r="O249" s="60">
        <v>700</v>
      </c>
      <c r="P249" s="60">
        <v>397</v>
      </c>
      <c r="Q249" s="48">
        <v>700</v>
      </c>
      <c r="R249" s="48">
        <v>397</v>
      </c>
      <c r="S249" s="48" t="s">
        <v>35</v>
      </c>
      <c r="T249" s="48"/>
      <c r="U249" s="49"/>
      <c r="V249" s="49"/>
      <c r="W249" s="50">
        <f t="shared" si="29"/>
        <v>0</v>
      </c>
      <c r="X249" s="51" t="str">
        <f>IF(A249="", "", IF(COUNTIFS(C$3:C248, C249, D$3:D248, D249, G$3:G248, G249) &gt; 0, "", "11:00"-AW249))</f>
        <v/>
      </c>
      <c r="Y249" s="52" t="str">
        <f t="shared" si="35"/>
        <v/>
      </c>
      <c r="Z249" s="53"/>
      <c r="AA249" s="54"/>
      <c r="AB249" s="53"/>
      <c r="AC249" s="54"/>
      <c r="AD249" s="53"/>
      <c r="AE249" s="54"/>
      <c r="AF249" s="53"/>
      <c r="AG249" s="54"/>
      <c r="AH249" s="55">
        <v>4.1666666666666699E-2</v>
      </c>
      <c r="AI249" s="53"/>
      <c r="AJ249" s="54"/>
      <c r="AK249" s="53"/>
      <c r="AL249" s="54"/>
      <c r="AM249" s="53"/>
      <c r="AN249" s="54"/>
      <c r="AO249" s="53"/>
      <c r="AP249" s="54"/>
      <c r="AQ249" s="53"/>
      <c r="AR249" s="54"/>
      <c r="AS249" s="53"/>
      <c r="AT249" s="54"/>
      <c r="AU249" s="53">
        <v>4.1666666666666699E-2</v>
      </c>
      <c r="AV249" s="54" t="s">
        <v>37</v>
      </c>
      <c r="AW249" s="57">
        <f t="shared" si="32"/>
        <v>4.1666666666666699E-2</v>
      </c>
      <c r="AX249" s="58" t="s">
        <v>109</v>
      </c>
    </row>
    <row r="250" spans="1:50" ht="24.75" customHeight="1">
      <c r="A250" s="38" t="s">
        <v>284</v>
      </c>
      <c r="B250" s="39">
        <f t="shared" si="36"/>
        <v>246</v>
      </c>
      <c r="C250" s="40">
        <v>46030</v>
      </c>
      <c r="D250" s="40" t="s">
        <v>80</v>
      </c>
      <c r="E250" s="40" t="s">
        <v>81</v>
      </c>
      <c r="F250" s="41">
        <v>69.5</v>
      </c>
      <c r="G250" s="42" t="s">
        <v>135</v>
      </c>
      <c r="H250" s="43" t="str">
        <f>IFERROR(VLOOKUP($J250,'[9]FROM (3)'!$E$4:$F$230,2,FALSE),"")</f>
        <v>DNTH</v>
      </c>
      <c r="I250" s="44" t="str">
        <f t="shared" si="33"/>
        <v>Pole Core</v>
      </c>
      <c r="J250" s="44" t="str">
        <f t="shared" si="34"/>
        <v>TG028152-5180</v>
      </c>
      <c r="K250" s="59" t="str">
        <f t="shared" si="30"/>
        <v>PD25120423</v>
      </c>
      <c r="L250" s="46" t="str" cm="1">
        <f t="array" ref="L250">IFERROR(_xlfn.IFS(
    LEN($A250)-LEN(SUBSTITUTE($A250,"|",""))=12, RIGHT(A250, LEN(A250)-FIND("~", SUBSTITUTE(A250,"|","~", LEN(A250)-LEN(SUBSTITUTE(A250,"|",""))))),
    LEN($A250)-LEN(SUBSTITUTE($A250,"|",""))=13, MID($A250, FIND("~", SUBSTITUTE($A250,"|","~", 11))+1, FIND("~", SUBSTITUTE($A250,"|","~", 12))-FIND("~", SUBSTITUTE($A250,"|","~", 11))-1),
    LEN($A250)-LEN(SUBSTITUTE($A250,"|",""))=14, MID($A250, FIND("~", SUBSTITUTE($A250,"|","~", 11))+1, FIND("~", SUBSTITUTE($A250,"|","~", 12))-FIND("~", SUBSTITUTE($A250,"|","~", 11))-1)
), "")</f>
        <v>KS005C9016</v>
      </c>
      <c r="M250" s="47" t="str">
        <f t="shared" si="28"/>
        <v>SB120058/4/25</v>
      </c>
      <c r="N250" s="46" t="str">
        <f t="shared" si="31"/>
        <v/>
      </c>
      <c r="O250" s="60"/>
      <c r="P250" s="60"/>
      <c r="Q250" s="48">
        <v>15250</v>
      </c>
      <c r="R250" s="48">
        <v>1060</v>
      </c>
      <c r="S250" s="48"/>
      <c r="T250" s="48"/>
      <c r="U250" s="49"/>
      <c r="V250" s="49"/>
      <c r="W250" s="50">
        <f t="shared" si="29"/>
        <v>0</v>
      </c>
      <c r="X250" s="51">
        <f>IF(A250="", "", IF(COUNTIFS(C$3:C249, C250, D$3:D249, D250, G$3:G249, G250) &gt; 0, "", "11:00"-AW250))</f>
        <v>0.37499999999999994</v>
      </c>
      <c r="Y250" s="52" t="str">
        <f t="shared" si="35"/>
        <v>1:40</v>
      </c>
      <c r="Z250" s="53">
        <v>4.1666666666666664E-2</v>
      </c>
      <c r="AA250" s="54" t="s">
        <v>136</v>
      </c>
      <c r="AB250" s="53"/>
      <c r="AC250" s="54"/>
      <c r="AD250" s="53"/>
      <c r="AE250" s="54"/>
      <c r="AF250" s="53"/>
      <c r="AG250" s="54"/>
      <c r="AH250" s="55">
        <v>4.1666666666666699E-2</v>
      </c>
      <c r="AI250" s="53"/>
      <c r="AJ250" s="54"/>
      <c r="AK250" s="53"/>
      <c r="AL250" s="54"/>
      <c r="AM250" s="53"/>
      <c r="AN250" s="54"/>
      <c r="AO250" s="53"/>
      <c r="AP250" s="54"/>
      <c r="AQ250" s="53"/>
      <c r="AR250" s="54"/>
      <c r="AS250" s="53"/>
      <c r="AT250" s="54"/>
      <c r="AU250" s="53">
        <v>4.1666666666666699E-2</v>
      </c>
      <c r="AV250" s="54" t="s">
        <v>37</v>
      </c>
      <c r="AW250" s="57">
        <f t="shared" si="32"/>
        <v>8.333333333333337E-2</v>
      </c>
      <c r="AX250" s="58" t="s">
        <v>224</v>
      </c>
    </row>
    <row r="251" spans="1:50" ht="26.25" customHeight="1">
      <c r="A251" s="38" t="s">
        <v>285</v>
      </c>
      <c r="B251" s="39">
        <f t="shared" si="36"/>
        <v>247</v>
      </c>
      <c r="C251" s="40">
        <v>46030</v>
      </c>
      <c r="D251" s="40" t="s">
        <v>80</v>
      </c>
      <c r="E251" s="40" t="s">
        <v>81</v>
      </c>
      <c r="F251" s="41">
        <v>69.5</v>
      </c>
      <c r="G251" s="42" t="s">
        <v>135</v>
      </c>
      <c r="H251" s="43" t="str">
        <f>IFERROR(VLOOKUP($J251,'[9]FROM (3)'!$E$4:$F$230,2,FALSE),"")</f>
        <v>DNTH</v>
      </c>
      <c r="I251" s="44" t="str">
        <f t="shared" si="33"/>
        <v>Pole Core</v>
      </c>
      <c r="J251" s="44" t="str">
        <f t="shared" si="34"/>
        <v>TG028152-5180</v>
      </c>
      <c r="K251" s="59" t="str">
        <f t="shared" si="30"/>
        <v>PD25120423</v>
      </c>
      <c r="L251" s="46" t="str" cm="1">
        <f t="array" ref="L251">IFERROR(_xlfn.IFS(
    LEN($A251)-LEN(SUBSTITUTE($A251,"|",""))=12, RIGHT(A251, LEN(A251)-FIND("~", SUBSTITUTE(A251,"|","~", LEN(A251)-LEN(SUBSTITUTE(A251,"|",""))))),
    LEN($A251)-LEN(SUBSTITUTE($A251,"|",""))=13, MID($A251, FIND("~", SUBSTITUTE($A251,"|","~", 11))+1, FIND("~", SUBSTITUTE($A251,"|","~", 12))-FIND("~", SUBSTITUTE($A251,"|","~", 11))-1),
    LEN($A251)-LEN(SUBSTITUTE($A251,"|",""))=14, MID($A251, FIND("~", SUBSTITUTE($A251,"|","~", 11))+1, FIND("~", SUBSTITUTE($A251,"|","~", 12))-FIND("~", SUBSTITUTE($A251,"|","~", 11))-1)
), "")</f>
        <v>KS005C9016</v>
      </c>
      <c r="M251" s="47" t="str">
        <f t="shared" si="28"/>
        <v>SB120058/5/25</v>
      </c>
      <c r="N251" s="46" t="str">
        <f t="shared" si="31"/>
        <v/>
      </c>
      <c r="O251" s="60">
        <v>130</v>
      </c>
      <c r="P251" s="60">
        <v>1008</v>
      </c>
      <c r="Q251" s="48">
        <v>667</v>
      </c>
      <c r="R251" s="48">
        <v>46</v>
      </c>
      <c r="S251" s="48"/>
      <c r="T251" s="48"/>
      <c r="U251" s="49"/>
      <c r="V251" s="49"/>
      <c r="W251" s="50">
        <f t="shared" si="29"/>
        <v>0</v>
      </c>
      <c r="X251" s="51" t="str">
        <f>IF(A251="", "", IF(COUNTIFS(C$3:C250, C251, D$3:D250, D251, G$3:G250, G251) &gt; 0, "", "11:00"-AW251))</f>
        <v/>
      </c>
      <c r="Y251" s="52" t="str">
        <f t="shared" si="35"/>
        <v/>
      </c>
      <c r="Z251" s="53">
        <v>4.1666666666666664E-2</v>
      </c>
      <c r="AA251" s="54" t="s">
        <v>136</v>
      </c>
      <c r="AB251" s="53"/>
      <c r="AC251" s="54"/>
      <c r="AD251" s="53"/>
      <c r="AE251" s="54"/>
      <c r="AF251" s="53"/>
      <c r="AG251" s="54"/>
      <c r="AH251" s="55">
        <v>4.1666666666666699E-2</v>
      </c>
      <c r="AI251" s="53"/>
      <c r="AJ251" s="54"/>
      <c r="AK251" s="53"/>
      <c r="AL251" s="54"/>
      <c r="AM251" s="53"/>
      <c r="AN251" s="54"/>
      <c r="AO251" s="53"/>
      <c r="AP251" s="54"/>
      <c r="AQ251" s="53"/>
      <c r="AR251" s="54"/>
      <c r="AS251" s="53"/>
      <c r="AT251" s="54"/>
      <c r="AU251" s="53">
        <v>4.1666666666666699E-2</v>
      </c>
      <c r="AV251" s="54" t="s">
        <v>37</v>
      </c>
      <c r="AW251" s="57">
        <f t="shared" si="32"/>
        <v>8.333333333333337E-2</v>
      </c>
      <c r="AX251" s="58" t="s">
        <v>224</v>
      </c>
    </row>
    <row r="252" spans="1:50" ht="28.5">
      <c r="A252" s="38" t="s">
        <v>133</v>
      </c>
      <c r="B252" s="39">
        <f t="shared" si="36"/>
        <v>248</v>
      </c>
      <c r="C252" s="40">
        <v>46030</v>
      </c>
      <c r="D252" s="40" t="s">
        <v>80</v>
      </c>
      <c r="E252" s="40" t="s">
        <v>81</v>
      </c>
      <c r="F252" s="41">
        <v>756.4</v>
      </c>
      <c r="G252" s="42" t="s">
        <v>85</v>
      </c>
      <c r="H252" s="43" t="str">
        <f>IFERROR(VLOOKUP($J252,'[9]FROM (3)'!$E$4:$F$230,2,FALSE),"")</f>
        <v>JATH</v>
      </c>
      <c r="I252" s="44" t="str">
        <f t="shared" si="33"/>
        <v>RACK BAR BLANK</v>
      </c>
      <c r="J252" s="44" t="str">
        <f t="shared" si="34"/>
        <v>JGF02-002190-31-2</v>
      </c>
      <c r="K252" s="59" t="str">
        <f t="shared" si="30"/>
        <v>PD25121246</v>
      </c>
      <c r="L252" s="46" t="str" cm="1">
        <f t="array" ref="L252">IFERROR(_xlfn.IFS(
    LEN($A252)-LEN(SUBSTITUTE($A252,"|",""))=12, RIGHT(A252, LEN(A252)-FIND("~", SUBSTITUTE(A252,"|","~", LEN(A252)-LEN(SUBSTITUTE(A252,"|",""))))),
    LEN($A252)-LEN(SUBSTITUTE($A252,"|",""))=13, MID($A252, FIND("~", SUBSTITUTE($A252,"|","~", 11))+1, FIND("~", SUBSTITUTE($A252,"|","~", 12))-FIND("~", SUBSTITUTE($A252,"|","~", 11))-1),
    LEN($A252)-LEN(SUBSTITUTE($A252,"|",""))=14, MID($A252, FIND("~", SUBSTITUTE($A252,"|","~", 11))+1, FIND("~", SUBSTITUTE($A252,"|","~", 12))-FIND("~", SUBSTITUTE($A252,"|","~", 11))-1)
), "")</f>
        <v>5A5913</v>
      </c>
      <c r="M252" s="47" t="str">
        <f t="shared" si="28"/>
        <v>SB120176/1/25</v>
      </c>
      <c r="N252" s="46" t="str">
        <f t="shared" si="31"/>
        <v/>
      </c>
      <c r="O252" s="60" t="s">
        <v>35</v>
      </c>
      <c r="P252" s="60" t="s">
        <v>35</v>
      </c>
      <c r="Q252" s="48">
        <v>62</v>
      </c>
      <c r="R252" s="48">
        <v>299</v>
      </c>
      <c r="S252" s="48" t="s">
        <v>35</v>
      </c>
      <c r="T252" s="48"/>
      <c r="U252" s="49"/>
      <c r="V252" s="49"/>
      <c r="W252" s="50">
        <f t="shared" si="29"/>
        <v>0</v>
      </c>
      <c r="X252" s="51">
        <f>IF(A252="", "", IF(COUNTIFS(C$3:C251, C252, D$3:D251, D252, G$3:G251, G252) &gt; 0, "", "11:00"-AW252))</f>
        <v>0.38888888888888884</v>
      </c>
      <c r="Y252" s="52" t="str">
        <f t="shared" si="35"/>
        <v>1:40</v>
      </c>
      <c r="Z252" s="53"/>
      <c r="AA252" s="54"/>
      <c r="AB252" s="53"/>
      <c r="AC252" s="54"/>
      <c r="AD252" s="53"/>
      <c r="AE252" s="54"/>
      <c r="AF252" s="53"/>
      <c r="AG252" s="54"/>
      <c r="AH252" s="55">
        <v>4.1666666666666699E-2</v>
      </c>
      <c r="AI252" s="53"/>
      <c r="AJ252" s="54"/>
      <c r="AK252" s="53"/>
      <c r="AL252" s="54"/>
      <c r="AM252" s="53"/>
      <c r="AN252" s="54"/>
      <c r="AO252" s="53"/>
      <c r="AP252" s="54"/>
      <c r="AQ252" s="53"/>
      <c r="AR252" s="54"/>
      <c r="AS252" s="53">
        <v>2.7777777777777776E-2</v>
      </c>
      <c r="AT252" s="54" t="s">
        <v>90</v>
      </c>
      <c r="AU252" s="53">
        <v>4.1666666666666699E-2</v>
      </c>
      <c r="AV252" s="54" t="s">
        <v>37</v>
      </c>
      <c r="AW252" s="57">
        <f t="shared" si="32"/>
        <v>6.9444444444444475E-2</v>
      </c>
      <c r="AX252" s="58" t="s">
        <v>86</v>
      </c>
    </row>
    <row r="253" spans="1:50" ht="28.5">
      <c r="A253" s="38" t="s">
        <v>286</v>
      </c>
      <c r="B253" s="39">
        <f t="shared" si="36"/>
        <v>249</v>
      </c>
      <c r="C253" s="40">
        <v>46030</v>
      </c>
      <c r="D253" s="40" t="s">
        <v>80</v>
      </c>
      <c r="E253" s="40" t="s">
        <v>81</v>
      </c>
      <c r="F253" s="41">
        <v>756.4</v>
      </c>
      <c r="G253" s="42" t="s">
        <v>85</v>
      </c>
      <c r="H253" s="43" t="str">
        <f>IFERROR(VLOOKUP($J253,'[9]FROM (3)'!$E$4:$F$230,2,FALSE),"")</f>
        <v>JATH</v>
      </c>
      <c r="I253" s="44" t="str">
        <f t="shared" si="33"/>
        <v>RACK BAR BLANK</v>
      </c>
      <c r="J253" s="44" t="str">
        <f t="shared" si="34"/>
        <v>JGF02-002190-31-2</v>
      </c>
      <c r="K253" s="59" t="str">
        <f t="shared" si="30"/>
        <v>PD25121246</v>
      </c>
      <c r="L253" s="46" t="str" cm="1">
        <f t="array" ref="L253">IFERROR(_xlfn.IFS(
    LEN($A253)-LEN(SUBSTITUTE($A253,"|",""))=12, RIGHT(A253, LEN(A253)-FIND("~", SUBSTITUTE(A253,"|","~", LEN(A253)-LEN(SUBSTITUTE(A253,"|",""))))),
    LEN($A253)-LEN(SUBSTITUTE($A253,"|",""))=13, MID($A253, FIND("~", SUBSTITUTE($A253,"|","~", 11))+1, FIND("~", SUBSTITUTE($A253,"|","~", 12))-FIND("~", SUBSTITUTE($A253,"|","~", 11))-1),
    LEN($A253)-LEN(SUBSTITUTE($A253,"|",""))=14, MID($A253, FIND("~", SUBSTITUTE($A253,"|","~", 11))+1, FIND("~", SUBSTITUTE($A253,"|","~", 12))-FIND("~", SUBSTITUTE($A253,"|","~", 11))-1)
), "")</f>
        <v>5A5913</v>
      </c>
      <c r="M253" s="47" t="str">
        <f t="shared" si="28"/>
        <v>SB120176/2/25</v>
      </c>
      <c r="N253" s="46" t="str">
        <f t="shared" si="31"/>
        <v/>
      </c>
      <c r="O253" s="60">
        <v>27</v>
      </c>
      <c r="P253" s="60">
        <v>963</v>
      </c>
      <c r="Q253" s="48">
        <v>189</v>
      </c>
      <c r="R253" s="48">
        <v>912</v>
      </c>
      <c r="S253" s="48" t="s">
        <v>35</v>
      </c>
      <c r="T253" s="48"/>
      <c r="U253" s="49"/>
      <c r="V253" s="49"/>
      <c r="W253" s="50">
        <f t="shared" si="29"/>
        <v>0</v>
      </c>
      <c r="X253" s="51" t="str">
        <f>IF(A253="", "", IF(COUNTIFS(C$3:C252, C253, D$3:D252, D253, G$3:G252, G253) &gt; 0, "", "11:00"-AW253))</f>
        <v/>
      </c>
      <c r="Y253" s="52" t="str">
        <f t="shared" si="35"/>
        <v/>
      </c>
      <c r="Z253" s="53"/>
      <c r="AA253" s="54"/>
      <c r="AB253" s="53"/>
      <c r="AC253" s="54"/>
      <c r="AD253" s="53"/>
      <c r="AE253" s="54"/>
      <c r="AF253" s="53"/>
      <c r="AG253" s="54"/>
      <c r="AH253" s="55">
        <v>4.1666666666666699E-2</v>
      </c>
      <c r="AI253" s="53"/>
      <c r="AJ253" s="54"/>
      <c r="AK253" s="53"/>
      <c r="AL253" s="54"/>
      <c r="AM253" s="53"/>
      <c r="AN253" s="54"/>
      <c r="AO253" s="53"/>
      <c r="AP253" s="54"/>
      <c r="AQ253" s="53"/>
      <c r="AR253" s="54"/>
      <c r="AS253" s="53"/>
      <c r="AT253" s="54"/>
      <c r="AU253" s="53">
        <v>4.1666666666666699E-2</v>
      </c>
      <c r="AV253" s="54" t="s">
        <v>37</v>
      </c>
      <c r="AW253" s="57">
        <f t="shared" si="32"/>
        <v>4.1666666666666699E-2</v>
      </c>
      <c r="AX253" s="58" t="s">
        <v>86</v>
      </c>
    </row>
    <row r="254" spans="1:50" ht="28.5">
      <c r="A254" s="38" t="s">
        <v>287</v>
      </c>
      <c r="B254" s="39">
        <f t="shared" si="36"/>
        <v>250</v>
      </c>
      <c r="C254" s="40">
        <v>46030</v>
      </c>
      <c r="D254" s="40" t="s">
        <v>80</v>
      </c>
      <c r="E254" s="40" t="s">
        <v>81</v>
      </c>
      <c r="F254" s="41">
        <v>756.4</v>
      </c>
      <c r="G254" s="42" t="s">
        <v>85</v>
      </c>
      <c r="H254" s="43" t="str">
        <f>IFERROR(VLOOKUP($J254,'[9]FROM (3)'!$E$4:$F$230,2,FALSE),"")</f>
        <v>JATH</v>
      </c>
      <c r="I254" s="44" t="str">
        <f t="shared" si="33"/>
        <v>RACK BAR BLANK</v>
      </c>
      <c r="J254" s="44" t="str">
        <f t="shared" si="34"/>
        <v>JGF02-002190-31-2</v>
      </c>
      <c r="K254" s="59" t="str">
        <f t="shared" si="30"/>
        <v>PD25121246</v>
      </c>
      <c r="L254" s="46" t="str" cm="1">
        <f t="array" ref="L254">IFERROR(_xlfn.IFS(
    LEN($A254)-LEN(SUBSTITUTE($A254,"|",""))=12, RIGHT(A254, LEN(A254)-FIND("~", SUBSTITUTE(A254,"|","~", LEN(A254)-LEN(SUBSTITUTE(A254,"|",""))))),
    LEN($A254)-LEN(SUBSTITUTE($A254,"|",""))=13, MID($A254, FIND("~", SUBSTITUTE($A254,"|","~", 11))+1, FIND("~", SUBSTITUTE($A254,"|","~", 12))-FIND("~", SUBSTITUTE($A254,"|","~", 11))-1),
    LEN($A254)-LEN(SUBSTITUTE($A254,"|",""))=14, MID($A254, FIND("~", SUBSTITUTE($A254,"|","~", 11))+1, FIND("~", SUBSTITUTE($A254,"|","~", 12))-FIND("~", SUBSTITUTE($A254,"|","~", 11))-1)
), "")</f>
        <v>5A5913</v>
      </c>
      <c r="M254" s="47" t="str">
        <f t="shared" si="28"/>
        <v>SB120176/3/25</v>
      </c>
      <c r="N254" s="46" t="str">
        <f t="shared" si="31"/>
        <v/>
      </c>
      <c r="O254" s="60">
        <v>27</v>
      </c>
      <c r="P254" s="60">
        <v>963</v>
      </c>
      <c r="Q254" s="48">
        <v>189</v>
      </c>
      <c r="R254" s="48">
        <v>912</v>
      </c>
      <c r="S254" s="48" t="s">
        <v>35</v>
      </c>
      <c r="T254" s="48"/>
      <c r="U254" s="49"/>
      <c r="V254" s="49"/>
      <c r="W254" s="50">
        <f t="shared" si="29"/>
        <v>0</v>
      </c>
      <c r="X254" s="51" t="str">
        <f>IF(A254="", "", IF(COUNTIFS(C$3:C253, C254, D$3:D253, D254, G$3:G253, G254) &gt; 0, "", "11:00"-AW254))</f>
        <v/>
      </c>
      <c r="Y254" s="52" t="str">
        <f t="shared" si="35"/>
        <v/>
      </c>
      <c r="Z254" s="53"/>
      <c r="AA254" s="54"/>
      <c r="AB254" s="53"/>
      <c r="AC254" s="54"/>
      <c r="AD254" s="53"/>
      <c r="AE254" s="54"/>
      <c r="AF254" s="53"/>
      <c r="AG254" s="54"/>
      <c r="AH254" s="55">
        <v>4.1666666666666699E-2</v>
      </c>
      <c r="AI254" s="53"/>
      <c r="AJ254" s="54"/>
      <c r="AK254" s="53"/>
      <c r="AL254" s="54"/>
      <c r="AM254" s="53"/>
      <c r="AN254" s="54"/>
      <c r="AO254" s="53"/>
      <c r="AP254" s="54"/>
      <c r="AQ254" s="53"/>
      <c r="AR254" s="54"/>
      <c r="AS254" s="53"/>
      <c r="AT254" s="54"/>
      <c r="AU254" s="53">
        <v>4.1666666666666699E-2</v>
      </c>
      <c r="AV254" s="54" t="s">
        <v>37</v>
      </c>
      <c r="AW254" s="57">
        <f t="shared" si="32"/>
        <v>4.1666666666666699E-2</v>
      </c>
      <c r="AX254" s="58" t="s">
        <v>86</v>
      </c>
    </row>
    <row r="255" spans="1:50" ht="22.5" customHeight="1">
      <c r="A255" s="38" t="s">
        <v>288</v>
      </c>
      <c r="B255" s="39">
        <f t="shared" si="36"/>
        <v>251</v>
      </c>
      <c r="C255" s="40">
        <v>46030</v>
      </c>
      <c r="D255" s="40" t="s">
        <v>80</v>
      </c>
      <c r="E255" s="40" t="s">
        <v>81</v>
      </c>
      <c r="F255" s="41">
        <v>756.4</v>
      </c>
      <c r="G255" s="42" t="s">
        <v>85</v>
      </c>
      <c r="H255" s="43" t="str">
        <f>IFERROR(VLOOKUP($J255,'[9]FROM (3)'!$E$4:$F$230,2,FALSE),"")</f>
        <v>JATH</v>
      </c>
      <c r="I255" s="44" t="str">
        <f t="shared" si="33"/>
        <v>RACK BAR BLANK</v>
      </c>
      <c r="J255" s="44" t="str">
        <f t="shared" si="34"/>
        <v>JGF02-002190-31-2</v>
      </c>
      <c r="K255" s="59" t="str">
        <f t="shared" si="30"/>
        <v>PD25121246</v>
      </c>
      <c r="L255" s="46" t="str" cm="1">
        <f t="array" ref="L255">IFERROR(_xlfn.IFS(
    LEN($A255)-LEN(SUBSTITUTE($A255,"|",""))=12, RIGHT(A255, LEN(A255)-FIND("~", SUBSTITUTE(A255,"|","~", LEN(A255)-LEN(SUBSTITUTE(A255,"|",""))))),
    LEN($A255)-LEN(SUBSTITUTE($A255,"|",""))=13, MID($A255, FIND("~", SUBSTITUTE($A255,"|","~", 11))+1, FIND("~", SUBSTITUTE($A255,"|","~", 12))-FIND("~", SUBSTITUTE($A255,"|","~", 11))-1),
    LEN($A255)-LEN(SUBSTITUTE($A255,"|",""))=14, MID($A255, FIND("~", SUBSTITUTE($A255,"|","~", 11))+1, FIND("~", SUBSTITUTE($A255,"|","~", 12))-FIND("~", SUBSTITUTE($A255,"|","~", 11))-1)
), "")</f>
        <v>5A5913</v>
      </c>
      <c r="M255" s="47" t="str">
        <f t="shared" si="28"/>
        <v>SB120176/4/25</v>
      </c>
      <c r="N255" s="46" t="str">
        <f t="shared" si="31"/>
        <v/>
      </c>
      <c r="O255" s="60">
        <v>27</v>
      </c>
      <c r="P255" s="60">
        <v>963</v>
      </c>
      <c r="Q255" s="48">
        <v>189</v>
      </c>
      <c r="R255" s="48">
        <v>912</v>
      </c>
      <c r="S255" s="48" t="s">
        <v>35</v>
      </c>
      <c r="T255" s="48"/>
      <c r="U255" s="49"/>
      <c r="V255" s="49"/>
      <c r="W255" s="50">
        <f t="shared" si="29"/>
        <v>0</v>
      </c>
      <c r="X255" s="51" t="str">
        <f>IF(A255="", "", IF(COUNTIFS(C$3:C254, C255, D$3:D254, D255, G$3:G254, G255) &gt; 0, "", "11:00"-AW255))</f>
        <v/>
      </c>
      <c r="Y255" s="52" t="str">
        <f t="shared" si="35"/>
        <v/>
      </c>
      <c r="Z255" s="53"/>
      <c r="AA255" s="54"/>
      <c r="AB255" s="53"/>
      <c r="AC255" s="54"/>
      <c r="AD255" s="53"/>
      <c r="AE255" s="54"/>
      <c r="AF255" s="53"/>
      <c r="AG255" s="54"/>
      <c r="AH255" s="55">
        <v>4.1666666666666699E-2</v>
      </c>
      <c r="AI255" s="53"/>
      <c r="AJ255" s="54"/>
      <c r="AK255" s="53"/>
      <c r="AL255" s="54"/>
      <c r="AM255" s="53"/>
      <c r="AN255" s="54"/>
      <c r="AO255" s="53"/>
      <c r="AP255" s="54"/>
      <c r="AQ255" s="53"/>
      <c r="AR255" s="54"/>
      <c r="AS255" s="53"/>
      <c r="AT255" s="54"/>
      <c r="AU255" s="53">
        <v>4.1666666666666699E-2</v>
      </c>
      <c r="AV255" s="54" t="s">
        <v>37</v>
      </c>
      <c r="AW255" s="57">
        <f t="shared" si="32"/>
        <v>4.1666666666666699E-2</v>
      </c>
      <c r="AX255" s="58" t="s">
        <v>86</v>
      </c>
    </row>
    <row r="256" spans="1:50" ht="28.5">
      <c r="A256" s="38" t="s">
        <v>289</v>
      </c>
      <c r="B256" s="39">
        <f t="shared" si="36"/>
        <v>252</v>
      </c>
      <c r="C256" s="40">
        <v>46030</v>
      </c>
      <c r="D256" s="40" t="s">
        <v>80</v>
      </c>
      <c r="E256" s="40" t="s">
        <v>81</v>
      </c>
      <c r="F256" s="41">
        <v>756.4</v>
      </c>
      <c r="G256" s="42" t="s">
        <v>85</v>
      </c>
      <c r="H256" s="43" t="str">
        <f>IFERROR(VLOOKUP($J256,'[9]FROM (3)'!$E$4:$F$230,2,FALSE),"")</f>
        <v>JATH</v>
      </c>
      <c r="I256" s="44" t="str">
        <f t="shared" si="33"/>
        <v>RACK BAR BLANK</v>
      </c>
      <c r="J256" s="44" t="str">
        <f t="shared" si="34"/>
        <v>JGF02-002190-31-2</v>
      </c>
      <c r="K256" s="59" t="str">
        <f t="shared" si="30"/>
        <v>PD25121246</v>
      </c>
      <c r="L256" s="46" t="str" cm="1">
        <f t="array" ref="L256">IFERROR(_xlfn.IFS(
    LEN($A256)-LEN(SUBSTITUTE($A256,"|",""))=12, RIGHT(A256, LEN(A256)-FIND("~", SUBSTITUTE(A256,"|","~", LEN(A256)-LEN(SUBSTITUTE(A256,"|",""))))),
    LEN($A256)-LEN(SUBSTITUTE($A256,"|",""))=13, MID($A256, FIND("~", SUBSTITUTE($A256,"|","~", 11))+1, FIND("~", SUBSTITUTE($A256,"|","~", 12))-FIND("~", SUBSTITUTE($A256,"|","~", 11))-1),
    LEN($A256)-LEN(SUBSTITUTE($A256,"|",""))=14, MID($A256, FIND("~", SUBSTITUTE($A256,"|","~", 11))+1, FIND("~", SUBSTITUTE($A256,"|","~", 12))-FIND("~", SUBSTITUTE($A256,"|","~", 11))-1)
), "")</f>
        <v>5A5913</v>
      </c>
      <c r="M256" s="47" t="str">
        <f t="shared" si="28"/>
        <v>SB120176/5/25</v>
      </c>
      <c r="N256" s="46" t="str">
        <f t="shared" si="31"/>
        <v/>
      </c>
      <c r="O256" s="60">
        <v>27</v>
      </c>
      <c r="P256" s="60">
        <v>963</v>
      </c>
      <c r="Q256" s="48">
        <v>189</v>
      </c>
      <c r="R256" s="48">
        <v>912</v>
      </c>
      <c r="S256" s="48" t="s">
        <v>35</v>
      </c>
      <c r="T256" s="48"/>
      <c r="U256" s="49"/>
      <c r="V256" s="49"/>
      <c r="W256" s="50">
        <f t="shared" si="29"/>
        <v>0</v>
      </c>
      <c r="X256" s="51" t="str">
        <f>IF(A256="", "", IF(COUNTIFS(C$3:C255, C256, D$3:D255, D256, G$3:G255, G256) &gt; 0, "", "11:00"-AW256))</f>
        <v/>
      </c>
      <c r="Y256" s="52" t="str">
        <f t="shared" si="35"/>
        <v/>
      </c>
      <c r="Z256" s="53"/>
      <c r="AA256" s="54"/>
      <c r="AB256" s="53"/>
      <c r="AC256" s="54"/>
      <c r="AD256" s="53"/>
      <c r="AE256" s="54"/>
      <c r="AF256" s="53"/>
      <c r="AG256" s="54"/>
      <c r="AH256" s="55">
        <v>4.1666666666666699E-2</v>
      </c>
      <c r="AI256" s="53"/>
      <c r="AJ256" s="54"/>
      <c r="AK256" s="53"/>
      <c r="AL256" s="54"/>
      <c r="AM256" s="53"/>
      <c r="AN256" s="54"/>
      <c r="AO256" s="53"/>
      <c r="AP256" s="54"/>
      <c r="AQ256" s="53"/>
      <c r="AR256" s="54"/>
      <c r="AS256" s="53"/>
      <c r="AT256" s="54"/>
      <c r="AU256" s="53">
        <v>4.1666666666666699E-2</v>
      </c>
      <c r="AV256" s="54" t="s">
        <v>37</v>
      </c>
      <c r="AW256" s="57">
        <f t="shared" si="32"/>
        <v>4.1666666666666699E-2</v>
      </c>
      <c r="AX256" s="58" t="s">
        <v>86</v>
      </c>
    </row>
    <row r="257" spans="1:50" ht="28.5">
      <c r="A257" s="38" t="s">
        <v>290</v>
      </c>
      <c r="B257" s="39">
        <f t="shared" si="36"/>
        <v>253</v>
      </c>
      <c r="C257" s="40">
        <v>46030</v>
      </c>
      <c r="D257" s="40" t="s">
        <v>80</v>
      </c>
      <c r="E257" s="40" t="s">
        <v>81</v>
      </c>
      <c r="F257" s="41">
        <v>111.6</v>
      </c>
      <c r="G257" s="42" t="s">
        <v>34</v>
      </c>
      <c r="H257" s="43" t="str">
        <f>IFERROR(VLOOKUP($J257,'[9]FROM (3)'!$E$4:$F$230,2,FALSE),"")</f>
        <v>(Astemo)AS-TK</v>
      </c>
      <c r="I257" s="44" t="str">
        <f t="shared" si="33"/>
        <v>CAP RESERVOIR</v>
      </c>
      <c r="J257" s="44" t="str">
        <f t="shared" si="34"/>
        <v>8A10524</v>
      </c>
      <c r="K257" s="59" t="str">
        <f t="shared" si="30"/>
        <v>PD26010108</v>
      </c>
      <c r="L257" s="46" t="str" cm="1">
        <f t="array" ref="L257">IFERROR(_xlfn.IFS(
    LEN($A257)-LEN(SUBSTITUTE($A257,"|",""))=12, RIGHT(A257, LEN(A257)-FIND("~", SUBSTITUTE(A257,"|","~", LEN(A257)-LEN(SUBSTITUTE(A257,"|",""))))),
    LEN($A257)-LEN(SUBSTITUTE($A257,"|",""))=13, MID($A257, FIND("~", SUBSTITUTE($A257,"|","~", 11))+1, FIND("~", SUBSTITUTE($A257,"|","~", 12))-FIND("~", SUBSTITUTE($A257,"|","~", 11))-1),
    LEN($A257)-LEN(SUBSTITUTE($A257,"|",""))=14, MID($A257, FIND("~", SUBSTITUTE($A257,"|","~", 11))+1, FIND("~", SUBSTITUTE($A257,"|","~", 12))-FIND("~", SUBSTITUTE($A257,"|","~", 11))-1)
), "")</f>
        <v>3V096</v>
      </c>
      <c r="M257" s="47" t="str">
        <f t="shared" si="28"/>
        <v>SB010003/1/26</v>
      </c>
      <c r="N257" s="46" t="str">
        <f t="shared" si="31"/>
        <v/>
      </c>
      <c r="O257" s="60"/>
      <c r="P257" s="60"/>
      <c r="Q257" s="48">
        <v>4372</v>
      </c>
      <c r="R257" s="48">
        <v>488</v>
      </c>
      <c r="S257" s="48"/>
      <c r="T257" s="48"/>
      <c r="U257" s="49"/>
      <c r="V257" s="49"/>
      <c r="W257" s="50">
        <f t="shared" si="29"/>
        <v>0</v>
      </c>
      <c r="X257" s="51">
        <f>IF(A257="", "", IF(COUNTIFS(C$3:C256, C257, D$3:D256, D257, G$3:G256, G257) &gt; 0, "", "11:00"-AW257))</f>
        <v>0.41666666666666663</v>
      </c>
      <c r="Y257" s="52" t="str">
        <f t="shared" si="35"/>
        <v>1:40</v>
      </c>
      <c r="Z257" s="53"/>
      <c r="AA257" s="54"/>
      <c r="AB257" s="53"/>
      <c r="AC257" s="54"/>
      <c r="AD257" s="53"/>
      <c r="AE257" s="54"/>
      <c r="AF257" s="53"/>
      <c r="AG257" s="54"/>
      <c r="AH257" s="55">
        <v>4.1666666666666699E-2</v>
      </c>
      <c r="AI257" s="53"/>
      <c r="AJ257" s="54"/>
      <c r="AK257" s="53"/>
      <c r="AL257" s="54"/>
      <c r="AM257" s="53"/>
      <c r="AN257" s="54"/>
      <c r="AO257" s="53"/>
      <c r="AP257" s="54"/>
      <c r="AQ257" s="53"/>
      <c r="AR257" s="54"/>
      <c r="AS257" s="53"/>
      <c r="AT257" s="54"/>
      <c r="AU257" s="53">
        <v>4.1666666666666699E-2</v>
      </c>
      <c r="AV257" s="54" t="s">
        <v>37</v>
      </c>
      <c r="AW257" s="57">
        <f t="shared" si="32"/>
        <v>4.1666666666666699E-2</v>
      </c>
      <c r="AX257" s="58" t="s">
        <v>203</v>
      </c>
    </row>
    <row r="258" spans="1:50" ht="28.5">
      <c r="A258" s="38" t="s">
        <v>231</v>
      </c>
      <c r="B258" s="39">
        <f t="shared" si="36"/>
        <v>254</v>
      </c>
      <c r="C258" s="40">
        <v>46030</v>
      </c>
      <c r="D258" s="40" t="s">
        <v>80</v>
      </c>
      <c r="E258" s="40" t="s">
        <v>81</v>
      </c>
      <c r="F258" s="41">
        <v>167.7</v>
      </c>
      <c r="G258" s="42" t="s">
        <v>62</v>
      </c>
      <c r="H258" s="43" t="str">
        <f>IFERROR(VLOOKUP($J258,'[9]FROM (3)'!$E$4:$F$230,2,FALSE),"")</f>
        <v>DNTH</v>
      </c>
      <c r="I258" s="44" t="str">
        <f t="shared" si="33"/>
        <v>SHAFT STARTER ARMATURE, 1W</v>
      </c>
      <c r="J258" s="44" t="str">
        <f t="shared" si="34"/>
        <v>TG028993-557B</v>
      </c>
      <c r="K258" s="59" t="str">
        <f t="shared" si="30"/>
        <v>PD26010170</v>
      </c>
      <c r="L258" s="46" t="str" cm="1">
        <f t="array" ref="L258">IFERROR(_xlfn.IFS(
    LEN($A258)-LEN(SUBSTITUTE($A258,"|",""))=12, RIGHT(A258, LEN(A258)-FIND("~", SUBSTITUTE(A258,"|","~", LEN(A258)-LEN(SUBSTITUTE(A258,"|",""))))),
    LEN($A258)-LEN(SUBSTITUTE($A258,"|",""))=13, MID($A258, FIND("~", SUBSTITUTE($A258,"|","~", 11))+1, FIND("~", SUBSTITUTE($A258,"|","~", 12))-FIND("~", SUBSTITUTE($A258,"|","~", 11))-1),
    LEN($A258)-LEN(SUBSTITUTE($A258,"|",""))=14, MID($A258, FIND("~", SUBSTITUTE($A258,"|","~", 11))+1, FIND("~", SUBSTITUTE($A258,"|","~", 12))-FIND("~", SUBSTITUTE($A258,"|","~", 11))-1)
), "")</f>
        <v>E586473</v>
      </c>
      <c r="M258" s="47" t="str">
        <f t="shared" si="28"/>
        <v>SB120140/2/25</v>
      </c>
      <c r="N258" s="46" t="str">
        <f t="shared" si="31"/>
        <v/>
      </c>
      <c r="O258" s="60"/>
      <c r="P258" s="60"/>
      <c r="Q258" s="48">
        <v>682</v>
      </c>
      <c r="R258" s="48">
        <v>163</v>
      </c>
      <c r="S258" s="48"/>
      <c r="T258" s="48"/>
      <c r="U258" s="49"/>
      <c r="V258" s="49"/>
      <c r="W258" s="50">
        <f t="shared" si="29"/>
        <v>0</v>
      </c>
      <c r="X258" s="51">
        <f>IF(A258="", "", IF(COUNTIFS(C$3:C257, C258, D$3:D257, D258, G$3:G257, G258) &gt; 0, "", "11:00"-AW258))</f>
        <v>0.35416666666666663</v>
      </c>
      <c r="Y258" s="52" t="str">
        <f t="shared" si="35"/>
        <v>1:40</v>
      </c>
      <c r="Z258" s="53">
        <v>2.0833333333333332E-2</v>
      </c>
      <c r="AA258" s="54" t="s">
        <v>63</v>
      </c>
      <c r="AB258" s="53"/>
      <c r="AC258" s="54"/>
      <c r="AD258" s="53"/>
      <c r="AE258" s="54"/>
      <c r="AF258" s="53"/>
      <c r="AG258" s="54"/>
      <c r="AH258" s="55">
        <v>4.1666666666666699E-2</v>
      </c>
      <c r="AI258" s="53"/>
      <c r="AJ258" s="54"/>
      <c r="AK258" s="53"/>
      <c r="AL258" s="54"/>
      <c r="AM258" s="53"/>
      <c r="AN258" s="54"/>
      <c r="AO258" s="53"/>
      <c r="AP258" s="54"/>
      <c r="AQ258" s="53"/>
      <c r="AR258" s="54"/>
      <c r="AS258" s="53">
        <v>4.1666666666666664E-2</v>
      </c>
      <c r="AT258" s="54" t="s">
        <v>37</v>
      </c>
      <c r="AU258" s="53">
        <v>4.1666666666666699E-2</v>
      </c>
      <c r="AV258" s="54" t="s">
        <v>37</v>
      </c>
      <c r="AW258" s="57">
        <f t="shared" si="32"/>
        <v>0.1041666666666667</v>
      </c>
      <c r="AX258" s="58" t="s">
        <v>166</v>
      </c>
    </row>
    <row r="259" spans="1:50" ht="28.5">
      <c r="A259" s="38" t="s">
        <v>291</v>
      </c>
      <c r="B259" s="39">
        <f t="shared" si="36"/>
        <v>255</v>
      </c>
      <c r="C259" s="40">
        <v>46030</v>
      </c>
      <c r="D259" s="40" t="s">
        <v>80</v>
      </c>
      <c r="E259" s="40" t="s">
        <v>81</v>
      </c>
      <c r="F259" s="41">
        <v>167.7</v>
      </c>
      <c r="G259" s="42" t="s">
        <v>232</v>
      </c>
      <c r="H259" s="43" t="str">
        <f>IFERROR(VLOOKUP($J259,'[9]FROM (3)'!$E$4:$F$230,2,FALSE),"")</f>
        <v>DNTH</v>
      </c>
      <c r="I259" s="44" t="str">
        <f t="shared" si="33"/>
        <v>SHAFT STARTER ARMATURE, 1W</v>
      </c>
      <c r="J259" s="44" t="str">
        <f t="shared" si="34"/>
        <v>TG028993-557B</v>
      </c>
      <c r="K259" s="59" t="str">
        <f t="shared" si="30"/>
        <v>PD26010170</v>
      </c>
      <c r="L259" s="46" t="str" cm="1">
        <f t="array" ref="L259">IFERROR(_xlfn.IFS(
    LEN($A259)-LEN(SUBSTITUTE($A259,"|",""))=12, RIGHT(A259, LEN(A259)-FIND("~", SUBSTITUTE(A259,"|","~", LEN(A259)-LEN(SUBSTITUTE(A259,"|",""))))),
    LEN($A259)-LEN(SUBSTITUTE($A259,"|",""))=13, MID($A259, FIND("~", SUBSTITUTE($A259,"|","~", 11))+1, FIND("~", SUBSTITUTE($A259,"|","~", 12))-FIND("~", SUBSTITUTE($A259,"|","~", 11))-1),
    LEN($A259)-LEN(SUBSTITUTE($A259,"|",""))=14, MID($A259, FIND("~", SUBSTITUTE($A259,"|","~", 11))+1, FIND("~", SUBSTITUTE($A259,"|","~", 12))-FIND("~", SUBSTITUTE($A259,"|","~", 11))-1)
), "")</f>
        <v>E586473</v>
      </c>
      <c r="M259" s="47" t="str">
        <f t="shared" si="28"/>
        <v>SB120140/3/25</v>
      </c>
      <c r="N259" s="46" t="str">
        <f t="shared" si="31"/>
        <v/>
      </c>
      <c r="O259" s="60">
        <v>35</v>
      </c>
      <c r="P259" s="60">
        <v>205</v>
      </c>
      <c r="Q259" s="48">
        <v>458</v>
      </c>
      <c r="R259" s="48">
        <v>109</v>
      </c>
      <c r="S259" s="48"/>
      <c r="T259" s="48"/>
      <c r="U259" s="49"/>
      <c r="V259" s="49"/>
      <c r="W259" s="50">
        <f t="shared" si="29"/>
        <v>0</v>
      </c>
      <c r="X259" s="51">
        <f>IF(A259="", "", IF(COUNTIFS(C$3:C258, C259, D$3:D258, D259, G$3:G258, G259) &gt; 0, "", "11:00"-AW259))</f>
        <v>0.41666666666666663</v>
      </c>
      <c r="Y259" s="52" t="str">
        <f t="shared" si="35"/>
        <v>1:40</v>
      </c>
      <c r="Z259" s="53"/>
      <c r="AA259" s="54"/>
      <c r="AB259" s="53"/>
      <c r="AC259" s="54"/>
      <c r="AD259" s="53"/>
      <c r="AE259" s="54"/>
      <c r="AF259" s="53"/>
      <c r="AG259" s="54"/>
      <c r="AH259" s="55">
        <v>4.1666666666666699E-2</v>
      </c>
      <c r="AI259" s="53"/>
      <c r="AJ259" s="54"/>
      <c r="AK259" s="53"/>
      <c r="AL259" s="54"/>
      <c r="AM259" s="53"/>
      <c r="AN259" s="54"/>
      <c r="AO259" s="53"/>
      <c r="AP259" s="54"/>
      <c r="AQ259" s="53"/>
      <c r="AR259" s="54"/>
      <c r="AS259" s="53"/>
      <c r="AT259" s="54"/>
      <c r="AU259" s="53">
        <v>4.1666666666666699E-2</v>
      </c>
      <c r="AV259" s="54" t="s">
        <v>37</v>
      </c>
      <c r="AW259" s="57">
        <f t="shared" si="32"/>
        <v>4.1666666666666699E-2</v>
      </c>
      <c r="AX259" s="58" t="s">
        <v>166</v>
      </c>
    </row>
    <row r="260" spans="1:50" ht="28.5">
      <c r="A260" s="38" t="s">
        <v>280</v>
      </c>
      <c r="B260" s="39">
        <f t="shared" si="36"/>
        <v>256</v>
      </c>
      <c r="C260" s="40">
        <v>46031</v>
      </c>
      <c r="D260" s="40" t="s">
        <v>32</v>
      </c>
      <c r="E260" s="40" t="s">
        <v>33</v>
      </c>
      <c r="F260" s="41">
        <v>375</v>
      </c>
      <c r="G260" s="42" t="s">
        <v>172</v>
      </c>
      <c r="H260" s="43" t="str">
        <f>IFERROR(VLOOKUP($J260,'[9]FROM (3)'!$E$4:$F$230,2,FALSE),"")</f>
        <v>ATAC</v>
      </c>
      <c r="I260" s="44" t="str">
        <f t="shared" si="33"/>
        <v>SEAT,WATER PUMP PULLEY</v>
      </c>
      <c r="J260" s="44" t="str">
        <f t="shared" si="34"/>
        <v>16171-05030</v>
      </c>
      <c r="K260" s="59" t="str">
        <f t="shared" si="30"/>
        <v>PD26010090</v>
      </c>
      <c r="L260" s="46" t="str" cm="1">
        <f t="array" ref="L260">IFERROR(_xlfn.IFS(
    LEN($A260)-LEN(SUBSTITUTE($A260,"|",""))=12, RIGHT(A260, LEN(A260)-FIND("~", SUBSTITUTE(A260,"|","~", LEN(A260)-LEN(SUBSTITUTE(A260,"|",""))))),
    LEN($A260)-LEN(SUBSTITUTE($A260,"|",""))=13, MID($A260, FIND("~", SUBSTITUTE($A260,"|","~", 11))+1, FIND("~", SUBSTITUTE($A260,"|","~", 12))-FIND("~", SUBSTITUTE($A260,"|","~", 11))-1),
    LEN($A260)-LEN(SUBSTITUTE($A260,"|",""))=14, MID($A260, FIND("~", SUBSTITUTE($A260,"|","~", 11))+1, FIND("~", SUBSTITUTE($A260,"|","~", 12))-FIND("~", SUBSTITUTE($A260,"|","~", 11))-1)
), "")</f>
        <v>665898</v>
      </c>
      <c r="M260" s="47" t="str">
        <f t="shared" si="28"/>
        <v>SB120198/5/25</v>
      </c>
      <c r="N260" s="46" t="str">
        <f t="shared" si="31"/>
        <v/>
      </c>
      <c r="O260" s="60" t="s">
        <v>35</v>
      </c>
      <c r="P260" s="60" t="s">
        <v>35</v>
      </c>
      <c r="Q260" s="48">
        <v>1900</v>
      </c>
      <c r="R260" s="48">
        <v>713</v>
      </c>
      <c r="S260" s="48"/>
      <c r="T260" s="48"/>
      <c r="U260" s="49">
        <v>44</v>
      </c>
      <c r="V260" s="49">
        <v>169</v>
      </c>
      <c r="W260" s="50">
        <f t="shared" si="29"/>
        <v>213</v>
      </c>
      <c r="X260" s="51">
        <f>IF(A260="", "", IF(COUNTIFS(C$3:C259, C260, D$3:D259, D260, G$3:G259, G260) &gt; 0, "", "11:00"-AW260))</f>
        <v>0.33333333333333326</v>
      </c>
      <c r="Y260" s="52" t="str">
        <f t="shared" si="35"/>
        <v>1:0</v>
      </c>
      <c r="Z260" s="53"/>
      <c r="AA260" s="54"/>
      <c r="AB260" s="53"/>
      <c r="AC260" s="54"/>
      <c r="AD260" s="53"/>
      <c r="AE260" s="54"/>
      <c r="AF260" s="53"/>
      <c r="AG260" s="54"/>
      <c r="AH260" s="55">
        <v>4.1666666666666699E-2</v>
      </c>
      <c r="AI260" s="53"/>
      <c r="AJ260" s="54"/>
      <c r="AK260" s="53"/>
      <c r="AL260" s="54"/>
      <c r="AM260" s="53"/>
      <c r="AN260" s="54"/>
      <c r="AO260" s="53"/>
      <c r="AP260" s="54"/>
      <c r="AQ260" s="53">
        <v>4.1666666666666664E-2</v>
      </c>
      <c r="AR260" s="54" t="s">
        <v>37</v>
      </c>
      <c r="AS260" s="53">
        <v>4.1666666666666664E-2</v>
      </c>
      <c r="AT260" s="54" t="s">
        <v>37</v>
      </c>
      <c r="AU260" s="53">
        <v>4.1666666666666699E-2</v>
      </c>
      <c r="AV260" s="54" t="s">
        <v>37</v>
      </c>
      <c r="AW260" s="57">
        <f t="shared" si="32"/>
        <v>0.12500000000000003</v>
      </c>
      <c r="AX260" s="58" t="s">
        <v>38</v>
      </c>
    </row>
    <row r="261" spans="1:50" ht="28.5">
      <c r="A261" s="38" t="s">
        <v>292</v>
      </c>
      <c r="B261" s="39">
        <f t="shared" si="36"/>
        <v>257</v>
      </c>
      <c r="C261" s="40">
        <v>46031</v>
      </c>
      <c r="D261" s="40" t="s">
        <v>32</v>
      </c>
      <c r="E261" s="40" t="s">
        <v>33</v>
      </c>
      <c r="F261" s="41">
        <v>375</v>
      </c>
      <c r="G261" s="42" t="s">
        <v>172</v>
      </c>
      <c r="H261" s="43" t="str">
        <f>IFERROR(VLOOKUP($J261,'[9]FROM (3)'!$E$4:$F$230,2,FALSE),"")</f>
        <v>ATAC</v>
      </c>
      <c r="I261" s="44" t="str">
        <f t="shared" si="33"/>
        <v>SEAT,WATER PUMP PULLEY</v>
      </c>
      <c r="J261" s="44" t="str">
        <f t="shared" si="34"/>
        <v>16171-05030</v>
      </c>
      <c r="K261" s="59" t="str">
        <f t="shared" si="30"/>
        <v>PD26010246</v>
      </c>
      <c r="L261" s="46" t="str" cm="1">
        <f t="array" ref="L261">IFERROR(_xlfn.IFS(
    LEN($A261)-LEN(SUBSTITUTE($A261,"|",""))=12, RIGHT(A261, LEN(A261)-FIND("~", SUBSTITUTE(A261,"|","~", LEN(A261)-LEN(SUBSTITUTE(A261,"|",""))))),
    LEN($A261)-LEN(SUBSTITUTE($A261,"|",""))=13, MID($A261, FIND("~", SUBSTITUTE($A261,"|","~", 11))+1, FIND("~", SUBSTITUTE($A261,"|","~", 12))-FIND("~", SUBSTITUTE($A261,"|","~", 11))-1),
    LEN($A261)-LEN(SUBSTITUTE($A261,"|",""))=14, MID($A261, FIND("~", SUBSTITUTE($A261,"|","~", 11))+1, FIND("~", SUBSTITUTE($A261,"|","~", 12))-FIND("~", SUBSTITUTE($A261,"|","~", 11))-1)
), "")</f>
        <v>665898</v>
      </c>
      <c r="M261" s="47" t="str">
        <f t="shared" ref="M261:M324" si="37">IFERROR(MID(A261,FIND("~",SUBSTITUTE(A261,"|","~",10))+1,FIND("~",SUBSTITUTE(A261,"|","~",11))-FIND("~",SUBSTITUTE(A261,"|","~",10))-1),"")</f>
        <v>SB010013/4/26</v>
      </c>
      <c r="N261" s="46" t="str">
        <f t="shared" si="31"/>
        <v/>
      </c>
      <c r="O261" s="60">
        <v>14</v>
      </c>
      <c r="P261" s="60">
        <v>990</v>
      </c>
      <c r="Q261" s="48">
        <v>335</v>
      </c>
      <c r="R261" s="48">
        <v>126</v>
      </c>
      <c r="S261" s="48"/>
      <c r="T261" s="48"/>
      <c r="U261" s="49"/>
      <c r="V261" s="49"/>
      <c r="W261" s="50">
        <f t="shared" ref="W261:W324" si="38">SUM(U261:V261)</f>
        <v>0</v>
      </c>
      <c r="X261" s="51" t="str">
        <f>IF(A261="", "", IF(COUNTIFS(C$3:C260, C261, D$3:D260, D261, G$3:G260, G261) &gt; 0, "", "11:00"-AW261))</f>
        <v/>
      </c>
      <c r="Y261" s="52" t="str">
        <f t="shared" si="35"/>
        <v/>
      </c>
      <c r="Z261" s="53"/>
      <c r="AA261" s="54"/>
      <c r="AB261" s="53"/>
      <c r="AC261" s="54"/>
      <c r="AD261" s="53"/>
      <c r="AE261" s="54"/>
      <c r="AF261" s="53"/>
      <c r="AG261" s="54"/>
      <c r="AH261" s="55">
        <v>4.1666666666666699E-2</v>
      </c>
      <c r="AI261" s="53"/>
      <c r="AJ261" s="54"/>
      <c r="AK261" s="53"/>
      <c r="AL261" s="54"/>
      <c r="AM261" s="53"/>
      <c r="AN261" s="54"/>
      <c r="AO261" s="53"/>
      <c r="AP261" s="54"/>
      <c r="AQ261" s="53">
        <v>4.1666666666666664E-2</v>
      </c>
      <c r="AR261" s="54" t="s">
        <v>37</v>
      </c>
      <c r="AS261" s="53">
        <v>4.1666666666666664E-2</v>
      </c>
      <c r="AT261" s="54" t="s">
        <v>37</v>
      </c>
      <c r="AU261" s="53">
        <v>4.1666666666666699E-2</v>
      </c>
      <c r="AV261" s="54" t="s">
        <v>37</v>
      </c>
      <c r="AW261" s="57">
        <f t="shared" si="32"/>
        <v>0.12500000000000003</v>
      </c>
      <c r="AX261" s="58" t="s">
        <v>38</v>
      </c>
    </row>
    <row r="262" spans="1:50" ht="28.5">
      <c r="A262" s="38" t="s">
        <v>293</v>
      </c>
      <c r="B262" s="39">
        <f t="shared" si="36"/>
        <v>258</v>
      </c>
      <c r="C262" s="40">
        <v>46031</v>
      </c>
      <c r="D262" s="40" t="s">
        <v>32</v>
      </c>
      <c r="E262" s="40" t="s">
        <v>33</v>
      </c>
      <c r="F262" s="41">
        <v>407.7</v>
      </c>
      <c r="G262" s="42" t="s">
        <v>46</v>
      </c>
      <c r="H262" s="43" t="str">
        <f>IFERROR(VLOOKUP($J262,'[9]FROM (3)'!$E$4:$F$230,2,FALSE),"")</f>
        <v>SIAM NSK</v>
      </c>
      <c r="I262" s="44" t="str">
        <f t="shared" si="33"/>
        <v>Shaft T Sensor</v>
      </c>
      <c r="J262" s="44" t="str">
        <f t="shared" si="34"/>
        <v>2590S0328P</v>
      </c>
      <c r="K262" s="59" t="str">
        <f t="shared" ref="K262:K325" si="39">IFERROR(LEFT(A262,SEARCH("|",A262)-1),"")</f>
        <v>PD26010300</v>
      </c>
      <c r="L262" s="46" t="str" cm="1">
        <f t="array" ref="L262">IFERROR(_xlfn.IFS(
    LEN($A262)-LEN(SUBSTITUTE($A262,"|",""))=12, RIGHT(A262, LEN(A262)-FIND("~", SUBSTITUTE(A262,"|","~", LEN(A262)-LEN(SUBSTITUTE(A262,"|",""))))),
    LEN($A262)-LEN(SUBSTITUTE($A262,"|",""))=13, MID($A262, FIND("~", SUBSTITUTE($A262,"|","~", 11))+1, FIND("~", SUBSTITUTE($A262,"|","~", 12))-FIND("~", SUBSTITUTE($A262,"|","~", 11))-1),
    LEN($A262)-LEN(SUBSTITUTE($A262,"|",""))=14, MID($A262, FIND("~", SUBSTITUTE($A262,"|","~", 11))+1, FIND("~", SUBSTITUTE($A262,"|","~", 12))-FIND("~", SUBSTITUTE($A262,"|","~", 11))-1)
), "")</f>
        <v>E484056</v>
      </c>
      <c r="M262" s="47" t="str">
        <f t="shared" si="37"/>
        <v>SB010020/3/26</v>
      </c>
      <c r="N262" s="46" t="str">
        <f t="shared" ref="N262:N325" si="40">IFERROR(IF(LEN($A262)-LEN(SUBSTITUTE($A262,"|",""))=12,MID($A262,FIND("~",SUBSTITUTE($A262,"|","~",11))+1,FIND("~",SUBSTITUTE($A262,"|","~",12))-FIND("~",SUBSTITUTE($A262,"|","~",11))-1),IF(LEN($A262)-LEN(SUBSTITUTE($A262,"|",""))=13,MID($A262,FIND("~",SUBSTITUTE($A262,"|","~",10))+1,FIND("~",SUBSTITUTE($A262,"|","~",11))-FIND("~",SUBSTITUTE($A262,"|","~",10))-1), "")),"")</f>
        <v/>
      </c>
      <c r="O262" s="60">
        <v>42</v>
      </c>
      <c r="P262" s="60">
        <v>1013</v>
      </c>
      <c r="Q262" s="48">
        <v>2365</v>
      </c>
      <c r="R262" s="48">
        <v>964</v>
      </c>
      <c r="S262" s="48"/>
      <c r="T262" s="48"/>
      <c r="U262" s="49"/>
      <c r="V262" s="49"/>
      <c r="W262" s="50">
        <f t="shared" si="38"/>
        <v>0</v>
      </c>
      <c r="X262" s="51">
        <f>IF(A262="", "", IF(COUNTIFS(C$3:C261, C262, D$3:D261, D262, G$3:G261, G262) &gt; 0, "", "11:00"-AW262))</f>
        <v>0.31249999999999994</v>
      </c>
      <c r="Y262" s="52" t="str">
        <f t="shared" si="35"/>
        <v>1:0</v>
      </c>
      <c r="Z262" s="53">
        <v>2.0833333333333332E-2</v>
      </c>
      <c r="AA262" s="54" t="s">
        <v>67</v>
      </c>
      <c r="AB262" s="53"/>
      <c r="AC262" s="54"/>
      <c r="AD262" s="53"/>
      <c r="AE262" s="54"/>
      <c r="AF262" s="53"/>
      <c r="AG262" s="54"/>
      <c r="AH262" s="55">
        <v>4.1666666666666699E-2</v>
      </c>
      <c r="AI262" s="53"/>
      <c r="AJ262" s="54"/>
      <c r="AK262" s="53"/>
      <c r="AL262" s="54"/>
      <c r="AM262" s="53"/>
      <c r="AN262" s="54"/>
      <c r="AO262" s="53"/>
      <c r="AP262" s="54"/>
      <c r="AQ262" s="53">
        <v>4.1666666666666664E-2</v>
      </c>
      <c r="AR262" s="54" t="s">
        <v>37</v>
      </c>
      <c r="AS262" s="53">
        <v>4.1666666666666664E-2</v>
      </c>
      <c r="AT262" s="54" t="s">
        <v>37</v>
      </c>
      <c r="AU262" s="53">
        <v>4.1666666666666699E-2</v>
      </c>
      <c r="AV262" s="54" t="s">
        <v>37</v>
      </c>
      <c r="AW262" s="57">
        <f t="shared" ref="AW262:AW325" si="41">SUM(Z262,AB262,AD262,AF262,AI262,AK262,AM262,AO262,AQ262,AS262,AU262)</f>
        <v>0.14583333333333337</v>
      </c>
      <c r="AX262" s="58" t="s">
        <v>38</v>
      </c>
    </row>
    <row r="263" spans="1:50" ht="28.5">
      <c r="A263" s="38" t="s">
        <v>294</v>
      </c>
      <c r="B263" s="39">
        <f t="shared" si="36"/>
        <v>259</v>
      </c>
      <c r="C263" s="40">
        <v>46031</v>
      </c>
      <c r="D263" s="40" t="s">
        <v>32</v>
      </c>
      <c r="E263" s="40" t="s">
        <v>33</v>
      </c>
      <c r="F263" s="41">
        <v>407.7</v>
      </c>
      <c r="G263" s="42" t="s">
        <v>46</v>
      </c>
      <c r="H263" s="43" t="str">
        <f>IFERROR(VLOOKUP($J263,'[9]FROM (3)'!$E$4:$F$230,2,FALSE),"")</f>
        <v>SIAM NSK</v>
      </c>
      <c r="I263" s="44" t="str">
        <f t="shared" ref="I263:I326" si="42">IFERROR(MID(A263,FIND("~",SUBSTITUTE(A263,"|","~",4))+1,FIND("~",SUBSTITUTE(A263,"|","~",5))-FIND("~",SUBSTITUTE(A263,"|","~",4))-1),"")</f>
        <v>Shaft T Sensor</v>
      </c>
      <c r="J263" s="44" t="str">
        <f t="shared" ref="J263:J326" si="43">IFERROR(MID(A263,FIND("~",SUBSTITUTE(A263,"|","~",3))+1,FIND("~",SUBSTITUTE(A263,"|","~",4))-FIND("~",SUBSTITUTE(A263,"|","~",3))-1),"")</f>
        <v>2590S0328P</v>
      </c>
      <c r="K263" s="59" t="str">
        <f t="shared" si="39"/>
        <v>PD26010300</v>
      </c>
      <c r="L263" s="46" t="str" cm="1">
        <f t="array" ref="L263">IFERROR(_xlfn.IFS(
    LEN($A263)-LEN(SUBSTITUTE($A263,"|",""))=12, RIGHT(A263, LEN(A263)-FIND("~", SUBSTITUTE(A263,"|","~", LEN(A263)-LEN(SUBSTITUTE(A263,"|",""))))),
    LEN($A263)-LEN(SUBSTITUTE($A263,"|",""))=13, MID($A263, FIND("~", SUBSTITUTE($A263,"|","~", 11))+1, FIND("~", SUBSTITUTE($A263,"|","~", 12))-FIND("~", SUBSTITUTE($A263,"|","~", 11))-1),
    LEN($A263)-LEN(SUBSTITUTE($A263,"|",""))=14, MID($A263, FIND("~", SUBSTITUTE($A263,"|","~", 11))+1, FIND("~", SUBSTITUTE($A263,"|","~", 12))-FIND("~", SUBSTITUTE($A263,"|","~", 11))-1)
), "")</f>
        <v>E484056</v>
      </c>
      <c r="M263" s="47" t="str">
        <f t="shared" si="37"/>
        <v>SB010020/4/26</v>
      </c>
      <c r="N263" s="46" t="str">
        <f t="shared" si="40"/>
        <v/>
      </c>
      <c r="O263" s="60">
        <v>43</v>
      </c>
      <c r="P263" s="60">
        <v>1037</v>
      </c>
      <c r="Q263" s="48">
        <v>554</v>
      </c>
      <c r="R263" s="48">
        <v>226</v>
      </c>
      <c r="S263" s="48"/>
      <c r="T263" s="48"/>
      <c r="U263" s="49"/>
      <c r="V263" s="49"/>
      <c r="W263" s="50">
        <f t="shared" si="38"/>
        <v>0</v>
      </c>
      <c r="X263" s="51" t="str">
        <f>IF(A263="", "", IF(COUNTIFS(C$3:C262, C263, D$3:D262, D263, G$3:G262, G263) &gt; 0, "", "11:00"-AW263))</f>
        <v/>
      </c>
      <c r="Y263" s="52" t="str">
        <f t="shared" ref="Y263:Y326" si="44">IF(X263="", "", IF(AND(A263&lt;&gt;"", AR263&lt;&gt;"NO OT"), "1:40", IF(AND(A263&lt;&gt;"", AR263="NO OT"), "1:0", "")))</f>
        <v/>
      </c>
      <c r="Z263" s="53"/>
      <c r="AA263" s="54"/>
      <c r="AB263" s="53"/>
      <c r="AC263" s="54"/>
      <c r="AD263" s="53"/>
      <c r="AE263" s="54"/>
      <c r="AF263" s="53"/>
      <c r="AG263" s="54"/>
      <c r="AH263" s="55">
        <v>4.1666666666666699E-2</v>
      </c>
      <c r="AI263" s="53"/>
      <c r="AJ263" s="54"/>
      <c r="AK263" s="53"/>
      <c r="AL263" s="54"/>
      <c r="AM263" s="53"/>
      <c r="AN263" s="54"/>
      <c r="AO263" s="53"/>
      <c r="AP263" s="54"/>
      <c r="AQ263" s="53">
        <v>4.1666666666666664E-2</v>
      </c>
      <c r="AR263" s="54" t="s">
        <v>37</v>
      </c>
      <c r="AS263" s="53">
        <v>4.1666666666666664E-2</v>
      </c>
      <c r="AT263" s="54" t="s">
        <v>37</v>
      </c>
      <c r="AU263" s="53">
        <v>4.1666666666666699E-2</v>
      </c>
      <c r="AV263" s="54" t="s">
        <v>37</v>
      </c>
      <c r="AW263" s="57">
        <f t="shared" si="41"/>
        <v>0.12500000000000003</v>
      </c>
      <c r="AX263" s="58" t="s">
        <v>38</v>
      </c>
    </row>
    <row r="264" spans="1:50" ht="28.5">
      <c r="A264" s="38" t="s">
        <v>290</v>
      </c>
      <c r="B264" s="39">
        <f t="shared" si="36"/>
        <v>260</v>
      </c>
      <c r="C264" s="40">
        <v>46031</v>
      </c>
      <c r="D264" s="40" t="s">
        <v>32</v>
      </c>
      <c r="E264" s="40" t="s">
        <v>33</v>
      </c>
      <c r="F264" s="41">
        <v>111.6</v>
      </c>
      <c r="G264" s="42" t="s">
        <v>34</v>
      </c>
      <c r="H264" s="43" t="str">
        <f>IFERROR(VLOOKUP($J264,'[9]FROM (3)'!$E$4:$F$230,2,FALSE),"")</f>
        <v>(Astemo)AS-TK</v>
      </c>
      <c r="I264" s="44" t="str">
        <f t="shared" si="42"/>
        <v>CAP RESERVOIR</v>
      </c>
      <c r="J264" s="44" t="str">
        <f t="shared" si="43"/>
        <v>8A10524</v>
      </c>
      <c r="K264" s="59" t="str">
        <f t="shared" si="39"/>
        <v>PD26010108</v>
      </c>
      <c r="L264" s="46" t="str" cm="1">
        <f t="array" ref="L264">IFERROR(_xlfn.IFS(
    LEN($A264)-LEN(SUBSTITUTE($A264,"|",""))=12, RIGHT(A264, LEN(A264)-FIND("~", SUBSTITUTE(A264,"|","~", LEN(A264)-LEN(SUBSTITUTE(A264,"|",""))))),
    LEN($A264)-LEN(SUBSTITUTE($A264,"|",""))=13, MID($A264, FIND("~", SUBSTITUTE($A264,"|","~", 11))+1, FIND("~", SUBSTITUTE($A264,"|","~", 12))-FIND("~", SUBSTITUTE($A264,"|","~", 11))-1),
    LEN($A264)-LEN(SUBSTITUTE($A264,"|",""))=14, MID($A264, FIND("~", SUBSTITUTE($A264,"|","~", 11))+1, FIND("~", SUBSTITUTE($A264,"|","~", 12))-FIND("~", SUBSTITUTE($A264,"|","~", 11))-1)
), "")</f>
        <v>3V096</v>
      </c>
      <c r="M264" s="47" t="str">
        <f t="shared" si="37"/>
        <v>SB010003/1/26</v>
      </c>
      <c r="N264" s="46" t="str">
        <f t="shared" si="40"/>
        <v/>
      </c>
      <c r="O264" s="60" t="s">
        <v>35</v>
      </c>
      <c r="P264" s="60" t="s">
        <v>35</v>
      </c>
      <c r="Q264" s="48">
        <v>3467</v>
      </c>
      <c r="R264" s="48">
        <v>389</v>
      </c>
      <c r="S264" s="48"/>
      <c r="T264" s="48"/>
      <c r="U264" s="49"/>
      <c r="V264" s="49"/>
      <c r="W264" s="50">
        <f t="shared" si="38"/>
        <v>0</v>
      </c>
      <c r="X264" s="51">
        <f>IF(A264="", "", IF(COUNTIFS(C$3:C263, C264, D$3:D263, D264, G$3:G263, G264) &gt; 0, "", "11:00"-AW264))</f>
        <v>0.33333333333333326</v>
      </c>
      <c r="Y264" s="52" t="str">
        <f t="shared" si="44"/>
        <v>1:0</v>
      </c>
      <c r="Z264" s="53"/>
      <c r="AA264" s="54"/>
      <c r="AB264" s="53"/>
      <c r="AC264" s="54"/>
      <c r="AD264" s="53"/>
      <c r="AE264" s="54"/>
      <c r="AF264" s="53"/>
      <c r="AG264" s="54"/>
      <c r="AH264" s="55">
        <v>4.1666666666666699E-2</v>
      </c>
      <c r="AI264" s="53"/>
      <c r="AJ264" s="54"/>
      <c r="AK264" s="53"/>
      <c r="AL264" s="54"/>
      <c r="AM264" s="53"/>
      <c r="AN264" s="54"/>
      <c r="AO264" s="53"/>
      <c r="AP264" s="54"/>
      <c r="AQ264" s="53">
        <v>4.1666666666666664E-2</v>
      </c>
      <c r="AR264" s="54" t="s">
        <v>37</v>
      </c>
      <c r="AS264" s="53">
        <v>4.1666666666666664E-2</v>
      </c>
      <c r="AT264" s="54" t="s">
        <v>37</v>
      </c>
      <c r="AU264" s="53">
        <v>4.1666666666666699E-2</v>
      </c>
      <c r="AV264" s="54" t="s">
        <v>37</v>
      </c>
      <c r="AW264" s="57">
        <f t="shared" si="41"/>
        <v>0.12500000000000003</v>
      </c>
      <c r="AX264" s="58" t="s">
        <v>48</v>
      </c>
    </row>
    <row r="265" spans="1:50" ht="28.5">
      <c r="A265" s="38" t="s">
        <v>295</v>
      </c>
      <c r="B265" s="39">
        <f t="shared" si="36"/>
        <v>261</v>
      </c>
      <c r="C265" s="40">
        <v>46031</v>
      </c>
      <c r="D265" s="40" t="s">
        <v>32</v>
      </c>
      <c r="E265" s="40" t="s">
        <v>33</v>
      </c>
      <c r="F265" s="41">
        <v>516.5</v>
      </c>
      <c r="G265" s="42" t="s">
        <v>41</v>
      </c>
      <c r="H265" s="43" t="str">
        <f>IFERROR(VLOOKUP($J265,'[9]FROM (3)'!$E$4:$F$230,2,FALSE),"")</f>
        <v>KONSEI</v>
      </c>
      <c r="I265" s="44" t="str">
        <f t="shared" si="42"/>
        <v>Piston Disc Brake, Forging</v>
      </c>
      <c r="J265" s="44" t="str">
        <f t="shared" si="43"/>
        <v>141411-60140-20</v>
      </c>
      <c r="K265" s="59" t="str">
        <f t="shared" si="39"/>
        <v>PD26010253</v>
      </c>
      <c r="L265" s="46" t="str" cm="1">
        <f t="array" ref="L265">IFERROR(_xlfn.IFS(
    LEN($A265)-LEN(SUBSTITUTE($A265,"|",""))=12, RIGHT(A265, LEN(A265)-FIND("~", SUBSTITUTE(A265,"|","~", LEN(A265)-LEN(SUBSTITUTE(A265,"|",""))))),
    LEN($A265)-LEN(SUBSTITUTE($A265,"|",""))=13, MID($A265, FIND("~", SUBSTITUTE($A265,"|","~", 11))+1, FIND("~", SUBSTITUTE($A265,"|","~", 12))-FIND("~", SUBSTITUTE($A265,"|","~", 11))-1),
    LEN($A265)-LEN(SUBSTITUTE($A265,"|",""))=14, MID($A265, FIND("~", SUBSTITUTE($A265,"|","~", 11))+1, FIND("~", SUBSTITUTE($A265,"|","~", 12))-FIND("~", SUBSTITUTE($A265,"|","~", 11))-1)
), "")</f>
        <v>663961</v>
      </c>
      <c r="M265" s="47" t="str">
        <f t="shared" si="37"/>
        <v>2B2600078</v>
      </c>
      <c r="N265" s="46" t="str">
        <f t="shared" si="40"/>
        <v/>
      </c>
      <c r="O265" s="60" t="s">
        <v>35</v>
      </c>
      <c r="P265" s="60" t="s">
        <v>35</v>
      </c>
      <c r="Q265" s="48">
        <v>2018</v>
      </c>
      <c r="R265" s="48">
        <v>1042</v>
      </c>
      <c r="S265" s="48"/>
      <c r="T265" s="48"/>
      <c r="U265" s="49"/>
      <c r="V265" s="49"/>
      <c r="W265" s="50">
        <f t="shared" si="38"/>
        <v>0</v>
      </c>
      <c r="X265" s="51">
        <f>IF(A265="", "", IF(COUNTIFS(C$3:C264, C265, D$3:D264, D265, G$3:G264, G265) &gt; 0, "", "11:00"-AW265))</f>
        <v>0.33333333333333326</v>
      </c>
      <c r="Y265" s="52" t="str">
        <f t="shared" si="44"/>
        <v>1:0</v>
      </c>
      <c r="Z265" s="53"/>
      <c r="AA265" s="54"/>
      <c r="AB265" s="53"/>
      <c r="AC265" s="54"/>
      <c r="AD265" s="53"/>
      <c r="AE265" s="54"/>
      <c r="AF265" s="53"/>
      <c r="AG265" s="54"/>
      <c r="AH265" s="55">
        <v>4.1666666666666699E-2</v>
      </c>
      <c r="AI265" s="53"/>
      <c r="AJ265" s="54"/>
      <c r="AK265" s="53"/>
      <c r="AL265" s="54"/>
      <c r="AM265" s="53"/>
      <c r="AN265" s="54"/>
      <c r="AO265" s="53"/>
      <c r="AP265" s="54"/>
      <c r="AQ265" s="53">
        <v>4.1666666666666664E-2</v>
      </c>
      <c r="AR265" s="54" t="s">
        <v>37</v>
      </c>
      <c r="AS265" s="53">
        <v>4.1666666666666664E-2</v>
      </c>
      <c r="AT265" s="54" t="s">
        <v>37</v>
      </c>
      <c r="AU265" s="53">
        <v>4.1666666666666699E-2</v>
      </c>
      <c r="AV265" s="54" t="s">
        <v>37</v>
      </c>
      <c r="AW265" s="57">
        <f t="shared" si="41"/>
        <v>0.12500000000000003</v>
      </c>
      <c r="AX265" s="58" t="s">
        <v>48</v>
      </c>
    </row>
    <row r="266" spans="1:50" ht="28.5">
      <c r="A266" s="38" t="s">
        <v>236</v>
      </c>
      <c r="B266" s="39">
        <f t="shared" ref="B266:B329" si="45">IF(A266="","",B265+1)</f>
        <v>262</v>
      </c>
      <c r="C266" s="40">
        <v>46031</v>
      </c>
      <c r="D266" s="40" t="s">
        <v>32</v>
      </c>
      <c r="E266" s="40" t="s">
        <v>33</v>
      </c>
      <c r="F266" s="41">
        <v>2535</v>
      </c>
      <c r="G266" s="42" t="s">
        <v>44</v>
      </c>
      <c r="H266" s="43" t="str">
        <f>IFERROR(VLOOKUP($J266,'[9]FROM (3)'!$E$4:$F$230,2,FALSE),"")</f>
        <v>KYOWA NT</v>
      </c>
      <c r="I266" s="44" t="str">
        <f t="shared" si="42"/>
        <v>PIN</v>
      </c>
      <c r="J266" s="44" t="str">
        <f t="shared" si="43"/>
        <v>8306T0036</v>
      </c>
      <c r="K266" s="59" t="str">
        <f t="shared" si="39"/>
        <v>PD25121321</v>
      </c>
      <c r="L266" s="46" t="str" cm="1">
        <f t="array" ref="L266">IFERROR(_xlfn.IFS(
    LEN($A266)-LEN(SUBSTITUTE($A266,"|",""))=12, RIGHT(A266, LEN(A266)-FIND("~", SUBSTITUTE(A266,"|","~", LEN(A266)-LEN(SUBSTITUTE(A266,"|",""))))),
    LEN($A266)-LEN(SUBSTITUTE($A266,"|",""))=13, MID($A266, FIND("~", SUBSTITUTE($A266,"|","~", 11))+1, FIND("~", SUBSTITUTE($A266,"|","~", 12))-FIND("~", SUBSTITUTE($A266,"|","~", 11))-1),
    LEN($A266)-LEN(SUBSTITUTE($A266,"|",""))=14, MID($A266, FIND("~", SUBSTITUTE($A266,"|","~", 11))+1, FIND("~", SUBSTITUTE($A266,"|","~", 12))-FIND("~", SUBSTITUTE($A266,"|","~", 11))-1)
), "")</f>
        <v>665573</v>
      </c>
      <c r="M266" s="47" t="str">
        <f t="shared" si="37"/>
        <v>SB120110/2/25</v>
      </c>
      <c r="N266" s="46" t="str">
        <f t="shared" si="40"/>
        <v/>
      </c>
      <c r="O266" s="60" t="s">
        <v>35</v>
      </c>
      <c r="P266" s="60" t="s">
        <v>35</v>
      </c>
      <c r="Q266" s="48">
        <v>5811</v>
      </c>
      <c r="R266" s="48">
        <v>147</v>
      </c>
      <c r="S266" s="48"/>
      <c r="T266" s="48"/>
      <c r="U266" s="49"/>
      <c r="V266" s="49"/>
      <c r="W266" s="50">
        <f t="shared" si="38"/>
        <v>0</v>
      </c>
      <c r="X266" s="51">
        <f>IF(A266="", "", IF(COUNTIFS(C$3:C265, C266, D$3:D265, D266, G$3:G265, G266) &gt; 0, "", "11:00"-AW266))</f>
        <v>0.33333333333333326</v>
      </c>
      <c r="Y266" s="52" t="str">
        <f t="shared" si="44"/>
        <v>1:0</v>
      </c>
      <c r="Z266" s="53"/>
      <c r="AA266" s="54"/>
      <c r="AB266" s="53"/>
      <c r="AC266" s="54"/>
      <c r="AD266" s="53"/>
      <c r="AE266" s="54"/>
      <c r="AF266" s="53"/>
      <c r="AG266" s="54"/>
      <c r="AH266" s="55">
        <v>4.1666666666666699E-2</v>
      </c>
      <c r="AI266" s="53"/>
      <c r="AJ266" s="54"/>
      <c r="AK266" s="53"/>
      <c r="AL266" s="54"/>
      <c r="AM266" s="53"/>
      <c r="AN266" s="54"/>
      <c r="AO266" s="53"/>
      <c r="AP266" s="54"/>
      <c r="AQ266" s="53">
        <v>4.1666666666666664E-2</v>
      </c>
      <c r="AR266" s="54" t="s">
        <v>37</v>
      </c>
      <c r="AS266" s="53">
        <v>4.1666666666666664E-2</v>
      </c>
      <c r="AT266" s="54" t="s">
        <v>37</v>
      </c>
      <c r="AU266" s="53">
        <v>4.1666666666666699E-2</v>
      </c>
      <c r="AV266" s="54" t="s">
        <v>37</v>
      </c>
      <c r="AW266" s="57">
        <f t="shared" si="41"/>
        <v>0.12500000000000003</v>
      </c>
      <c r="AX266" s="58" t="s">
        <v>48</v>
      </c>
    </row>
    <row r="267" spans="1:50" ht="28.5">
      <c r="A267" s="38" t="s">
        <v>296</v>
      </c>
      <c r="B267" s="39">
        <f t="shared" si="45"/>
        <v>263</v>
      </c>
      <c r="C267" s="40">
        <v>46031</v>
      </c>
      <c r="D267" s="40" t="s">
        <v>32</v>
      </c>
      <c r="E267" s="40" t="s">
        <v>33</v>
      </c>
      <c r="F267" s="41">
        <v>765.7</v>
      </c>
      <c r="G267" s="42" t="s">
        <v>66</v>
      </c>
      <c r="H267" s="43" t="str">
        <f>IFERROR(VLOOKUP($J267,'[9]FROM (3)'!$E$4:$F$230,2,FALSE),"")</f>
        <v>JTCS</v>
      </c>
      <c r="I267" s="44" t="str">
        <f t="shared" si="42"/>
        <v>RACK, PS</v>
      </c>
      <c r="J267" s="44" t="str">
        <f t="shared" si="43"/>
        <v>JGD10-001230-40-0</v>
      </c>
      <c r="K267" s="59" t="str">
        <f t="shared" si="39"/>
        <v>PD26010048</v>
      </c>
      <c r="L267" s="46" t="str" cm="1">
        <f t="array" ref="L267">IFERROR(_xlfn.IFS(
    LEN($A267)-LEN(SUBSTITUTE($A267,"|",""))=12, RIGHT(A267, LEN(A267)-FIND("~", SUBSTITUTE(A267,"|","~", LEN(A267)-LEN(SUBSTITUTE(A267,"|",""))))),
    LEN($A267)-LEN(SUBSTITUTE($A267,"|",""))=13, MID($A267, FIND("~", SUBSTITUTE($A267,"|","~", 11))+1, FIND("~", SUBSTITUTE($A267,"|","~", 12))-FIND("~", SUBSTITUTE($A267,"|","~", 11))-1),
    LEN($A267)-LEN(SUBSTITUTE($A267,"|",""))=14, MID($A267, FIND("~", SUBSTITUTE($A267,"|","~", 11))+1, FIND("~", SUBSTITUTE($A267,"|","~", 12))-FIND("~", SUBSTITUTE($A267,"|","~", 11))-1)
), "")</f>
        <v>E586236</v>
      </c>
      <c r="M267" s="47" t="str">
        <f t="shared" si="37"/>
        <v>SB120194/1/25</v>
      </c>
      <c r="N267" s="46" t="str">
        <f t="shared" si="40"/>
        <v/>
      </c>
      <c r="O267" s="60">
        <v>25</v>
      </c>
      <c r="P267" s="60">
        <v>890</v>
      </c>
      <c r="Q267" s="48">
        <v>175</v>
      </c>
      <c r="R267" s="48">
        <v>859</v>
      </c>
      <c r="S267" s="48"/>
      <c r="T267" s="48"/>
      <c r="U267" s="49"/>
      <c r="V267" s="49"/>
      <c r="W267" s="50">
        <f t="shared" si="38"/>
        <v>0</v>
      </c>
      <c r="X267" s="51">
        <f>IF(A267="", "", IF(COUNTIFS(C$3:C266, C267, D$3:D266, D267, G$3:G266, G267) &gt; 0, "", "11:00"-AW267))</f>
        <v>0.10416666666666663</v>
      </c>
      <c r="Y267" s="52" t="str">
        <f t="shared" si="44"/>
        <v>1:0</v>
      </c>
      <c r="Z267" s="53">
        <v>2.0833333333333332E-2</v>
      </c>
      <c r="AA267" s="54" t="s">
        <v>82</v>
      </c>
      <c r="AB267" s="53"/>
      <c r="AC267" s="54"/>
      <c r="AD267" s="53"/>
      <c r="AE267" s="54"/>
      <c r="AF267" s="53">
        <v>4.1666666666666664E-2</v>
      </c>
      <c r="AG267" s="54" t="s">
        <v>129</v>
      </c>
      <c r="AH267" s="55">
        <v>4.1666666666666699E-2</v>
      </c>
      <c r="AI267" s="53">
        <v>4.1666666666666664E-2</v>
      </c>
      <c r="AJ267" s="54" t="s">
        <v>129</v>
      </c>
      <c r="AK267" s="53">
        <v>4.1666666666666664E-2</v>
      </c>
      <c r="AL267" s="54" t="s">
        <v>129</v>
      </c>
      <c r="AM267" s="53">
        <v>4.1666666666666664E-2</v>
      </c>
      <c r="AN267" s="54" t="s">
        <v>129</v>
      </c>
      <c r="AO267" s="53">
        <v>4.1666666666666664E-2</v>
      </c>
      <c r="AP267" s="54" t="s">
        <v>129</v>
      </c>
      <c r="AQ267" s="53">
        <v>4.1666666666666664E-2</v>
      </c>
      <c r="AR267" s="54" t="s">
        <v>37</v>
      </c>
      <c r="AS267" s="53">
        <v>4.1666666666666664E-2</v>
      </c>
      <c r="AT267" s="54" t="s">
        <v>37</v>
      </c>
      <c r="AU267" s="53">
        <v>4.1666666666666699E-2</v>
      </c>
      <c r="AV267" s="54" t="s">
        <v>37</v>
      </c>
      <c r="AW267" s="57">
        <f t="shared" si="41"/>
        <v>0.35416666666666669</v>
      </c>
      <c r="AX267" s="58" t="s">
        <v>68</v>
      </c>
    </row>
    <row r="268" spans="1:50" ht="28.5">
      <c r="A268" s="38" t="s">
        <v>297</v>
      </c>
      <c r="B268" s="39">
        <f t="shared" si="45"/>
        <v>264</v>
      </c>
      <c r="C268" s="40">
        <v>46031</v>
      </c>
      <c r="D268" s="40" t="s">
        <v>32</v>
      </c>
      <c r="E268" s="40" t="s">
        <v>33</v>
      </c>
      <c r="F268" s="41">
        <v>765.7</v>
      </c>
      <c r="G268" s="42" t="s">
        <v>66</v>
      </c>
      <c r="H268" s="43" t="str">
        <f>IFERROR(VLOOKUP($J268,'[9]FROM (3)'!$E$4:$F$230,2,FALSE),"")</f>
        <v>JTCS</v>
      </c>
      <c r="I268" s="44" t="str">
        <f t="shared" si="42"/>
        <v>RACK, PS</v>
      </c>
      <c r="J268" s="44" t="str">
        <f t="shared" si="43"/>
        <v>JGD10-001230-40-0</v>
      </c>
      <c r="K268" s="59" t="str">
        <f t="shared" si="39"/>
        <v>PD26010048</v>
      </c>
      <c r="L268" s="46" t="str" cm="1">
        <f t="array" ref="L268">IFERROR(_xlfn.IFS(
    LEN($A268)-LEN(SUBSTITUTE($A268,"|",""))=12, RIGHT(A268, LEN(A268)-FIND("~", SUBSTITUTE(A268,"|","~", LEN(A268)-LEN(SUBSTITUTE(A268,"|",""))))),
    LEN($A268)-LEN(SUBSTITUTE($A268,"|",""))=13, MID($A268, FIND("~", SUBSTITUTE($A268,"|","~", 11))+1, FIND("~", SUBSTITUTE($A268,"|","~", 12))-FIND("~", SUBSTITUTE($A268,"|","~", 11))-1),
    LEN($A268)-LEN(SUBSTITUTE($A268,"|",""))=14, MID($A268, FIND("~", SUBSTITUTE($A268,"|","~", 11))+1, FIND("~", SUBSTITUTE($A268,"|","~", 12))-FIND("~", SUBSTITUTE($A268,"|","~", 11))-1)
), "")</f>
        <v>E586236</v>
      </c>
      <c r="M268" s="47" t="str">
        <f t="shared" si="37"/>
        <v>SB120194/2/25</v>
      </c>
      <c r="N268" s="46" t="str">
        <f t="shared" si="40"/>
        <v/>
      </c>
      <c r="O268" s="60">
        <v>13</v>
      </c>
      <c r="P268" s="60">
        <v>463</v>
      </c>
      <c r="Q268" s="48">
        <v>86</v>
      </c>
      <c r="R268" s="48">
        <v>422</v>
      </c>
      <c r="S268" s="48"/>
      <c r="T268" s="48"/>
      <c r="U268" s="49"/>
      <c r="V268" s="49"/>
      <c r="W268" s="50">
        <f t="shared" si="38"/>
        <v>0</v>
      </c>
      <c r="X268" s="51" t="str">
        <f>IF(A268="", "", IF(COUNTIFS(C$3:C267, C268, D$3:D267, D268, G$3:G267, G268) &gt; 0, "", "11:00"-AW268))</f>
        <v/>
      </c>
      <c r="Y268" s="52" t="str">
        <f t="shared" si="44"/>
        <v/>
      </c>
      <c r="Z268" s="53"/>
      <c r="AA268" s="54"/>
      <c r="AB268" s="53"/>
      <c r="AC268" s="54"/>
      <c r="AD268" s="53"/>
      <c r="AE268" s="54"/>
      <c r="AF268" s="53"/>
      <c r="AG268" s="54"/>
      <c r="AH268" s="55">
        <v>4.1666666666666699E-2</v>
      </c>
      <c r="AI268" s="53"/>
      <c r="AJ268" s="54"/>
      <c r="AK268" s="53"/>
      <c r="AL268" s="54"/>
      <c r="AM268" s="53"/>
      <c r="AN268" s="54"/>
      <c r="AO268" s="53"/>
      <c r="AP268" s="54"/>
      <c r="AQ268" s="53"/>
      <c r="AR268" s="54" t="s">
        <v>37</v>
      </c>
      <c r="AS268" s="53"/>
      <c r="AT268" s="54" t="s">
        <v>37</v>
      </c>
      <c r="AU268" s="53">
        <v>4.1666666666666699E-2</v>
      </c>
      <c r="AV268" s="54" t="s">
        <v>37</v>
      </c>
      <c r="AW268" s="57">
        <f t="shared" si="41"/>
        <v>4.1666666666666699E-2</v>
      </c>
      <c r="AX268" s="58" t="s">
        <v>68</v>
      </c>
    </row>
    <row r="269" spans="1:50" ht="28.5">
      <c r="A269" s="38" t="s">
        <v>279</v>
      </c>
      <c r="B269" s="39">
        <f t="shared" si="45"/>
        <v>265</v>
      </c>
      <c r="C269" s="40">
        <v>46031</v>
      </c>
      <c r="D269" s="40" t="s">
        <v>32</v>
      </c>
      <c r="E269" s="40" t="s">
        <v>33</v>
      </c>
      <c r="F269" s="41">
        <v>278</v>
      </c>
      <c r="G269" s="42" t="s">
        <v>108</v>
      </c>
      <c r="H269" s="43" t="str">
        <f>IFERROR(VLOOKUP($J269,'[9]FROM (3)'!$E$4:$F$230,2,FALSE),"")</f>
        <v>SIAM NSK</v>
      </c>
      <c r="I269" s="44" t="str">
        <f t="shared" si="42"/>
        <v>SHAFT SPLINE</v>
      </c>
      <c r="J269" s="44" t="str">
        <f t="shared" si="43"/>
        <v>2550T0749P</v>
      </c>
      <c r="K269" s="59" t="str">
        <f t="shared" si="39"/>
        <v>PD25120793</v>
      </c>
      <c r="L269" s="46" t="str" cm="1">
        <f t="array" ref="L269">IFERROR(_xlfn.IFS(
    LEN($A269)-LEN(SUBSTITUTE($A269,"|",""))=12, RIGHT(A269, LEN(A269)-FIND("~", SUBSTITUTE(A269,"|","~", LEN(A269)-LEN(SUBSTITUTE(A269,"|",""))))),
    LEN($A269)-LEN(SUBSTITUTE($A269,"|",""))=13, MID($A269, FIND("~", SUBSTITUTE($A269,"|","~", 11))+1, FIND("~", SUBSTITUTE($A269,"|","~", 12))-FIND("~", SUBSTITUTE($A269,"|","~", 11))-1),
    LEN($A269)-LEN(SUBSTITUTE($A269,"|",""))=14, MID($A269, FIND("~", SUBSTITUTE($A269,"|","~", 11))+1, FIND("~", SUBSTITUTE($A269,"|","~", 12))-FIND("~", SUBSTITUTE($A269,"|","~", 11))-1)
), "")</f>
        <v>SF93402</v>
      </c>
      <c r="M269" s="47" t="str">
        <f t="shared" si="37"/>
        <v>SB120101/3/25</v>
      </c>
      <c r="N269" s="46" t="str">
        <f t="shared" si="40"/>
        <v/>
      </c>
      <c r="O269" s="60" t="s">
        <v>35</v>
      </c>
      <c r="P269" s="60" t="s">
        <v>35</v>
      </c>
      <c r="Q269" s="48">
        <v>1168</v>
      </c>
      <c r="R269" s="48">
        <v>667</v>
      </c>
      <c r="S269" s="48"/>
      <c r="T269" s="48"/>
      <c r="U269" s="49"/>
      <c r="V269" s="49"/>
      <c r="W269" s="50">
        <f t="shared" si="38"/>
        <v>0</v>
      </c>
      <c r="X269" s="51">
        <f>IF(A269="", "", IF(COUNTIFS(C$3:C268, C269, D$3:D268, D269, G$3:G268, G269) &gt; 0, "", "11:00"-AW269))</f>
        <v>0.33333333333333326</v>
      </c>
      <c r="Y269" s="52" t="str">
        <f t="shared" si="44"/>
        <v>1:0</v>
      </c>
      <c r="Z269" s="53"/>
      <c r="AA269" s="54"/>
      <c r="AB269" s="53"/>
      <c r="AC269" s="54"/>
      <c r="AD269" s="53"/>
      <c r="AE269" s="54"/>
      <c r="AF269" s="53"/>
      <c r="AG269" s="54"/>
      <c r="AH269" s="55">
        <v>4.1666666666666699E-2</v>
      </c>
      <c r="AI269" s="53"/>
      <c r="AJ269" s="54"/>
      <c r="AK269" s="53"/>
      <c r="AL269" s="54"/>
      <c r="AM269" s="53"/>
      <c r="AN269" s="54"/>
      <c r="AO269" s="53"/>
      <c r="AP269" s="54"/>
      <c r="AQ269" s="53">
        <v>4.1666666666666664E-2</v>
      </c>
      <c r="AR269" s="54" t="s">
        <v>37</v>
      </c>
      <c r="AS269" s="53">
        <v>4.1666666666666664E-2</v>
      </c>
      <c r="AT269" s="54" t="s">
        <v>37</v>
      </c>
      <c r="AU269" s="53">
        <v>4.1666666666666699E-2</v>
      </c>
      <c r="AV269" s="54" t="s">
        <v>37</v>
      </c>
      <c r="AW269" s="57">
        <f t="shared" si="41"/>
        <v>0.12500000000000003</v>
      </c>
      <c r="AX269" s="58" t="s">
        <v>38</v>
      </c>
    </row>
    <row r="270" spans="1:50" ht="28.5">
      <c r="A270" s="38" t="s">
        <v>298</v>
      </c>
      <c r="B270" s="39">
        <f t="shared" si="45"/>
        <v>266</v>
      </c>
      <c r="C270" s="40">
        <v>46031</v>
      </c>
      <c r="D270" s="40" t="s">
        <v>32</v>
      </c>
      <c r="E270" s="40" t="s">
        <v>33</v>
      </c>
      <c r="F270" s="41">
        <v>278</v>
      </c>
      <c r="G270" s="42" t="s">
        <v>108</v>
      </c>
      <c r="H270" s="43" t="str">
        <f>IFERROR(VLOOKUP($J270,'[9]FROM (3)'!$E$4:$F$230,2,FALSE),"")</f>
        <v>SIAM NSK</v>
      </c>
      <c r="I270" s="44" t="str">
        <f t="shared" si="42"/>
        <v>SHAFT SPLINE</v>
      </c>
      <c r="J270" s="44" t="str">
        <f t="shared" si="43"/>
        <v>2550T0749P</v>
      </c>
      <c r="K270" s="59" t="str">
        <f t="shared" si="39"/>
        <v>PD25120793</v>
      </c>
      <c r="L270" s="46" t="str" cm="1">
        <f t="array" ref="L270">IFERROR(_xlfn.IFS(
    LEN($A270)-LEN(SUBSTITUTE($A270,"|",""))=12, RIGHT(A270, LEN(A270)-FIND("~", SUBSTITUTE(A270,"|","~", LEN(A270)-LEN(SUBSTITUTE(A270,"|",""))))),
    LEN($A270)-LEN(SUBSTITUTE($A270,"|",""))=13, MID($A270, FIND("~", SUBSTITUTE($A270,"|","~", 11))+1, FIND("~", SUBSTITUTE($A270,"|","~", 12))-FIND("~", SUBSTITUTE($A270,"|","~", 11))-1),
    LEN($A270)-LEN(SUBSTITUTE($A270,"|",""))=14, MID($A270, FIND("~", SUBSTITUTE($A270,"|","~", 11))+1, FIND("~", SUBSTITUTE($A270,"|","~", 12))-FIND("~", SUBSTITUTE($A270,"|","~", 11))-1)
), "")</f>
        <v>SF93402</v>
      </c>
      <c r="M270" s="47" t="str">
        <f t="shared" si="37"/>
        <v>SB120101/2/25</v>
      </c>
      <c r="N270" s="46" t="str">
        <f t="shared" si="40"/>
        <v/>
      </c>
      <c r="O270" s="60">
        <v>105</v>
      </c>
      <c r="P270" s="60">
        <v>1010</v>
      </c>
      <c r="Q270" s="48">
        <v>1592</v>
      </c>
      <c r="R270" s="48">
        <v>910</v>
      </c>
      <c r="S270" s="48"/>
      <c r="T270" s="48"/>
      <c r="U270" s="49"/>
      <c r="V270" s="49"/>
      <c r="W270" s="50">
        <f t="shared" si="38"/>
        <v>0</v>
      </c>
      <c r="X270" s="51" t="str">
        <f>IF(A270="", "", IF(COUNTIFS(C$3:C269, C270, D$3:D269, D270, G$3:G269, G270) &gt; 0, "", "11:00"-AW270))</f>
        <v/>
      </c>
      <c r="Y270" s="52" t="str">
        <f t="shared" si="44"/>
        <v/>
      </c>
      <c r="Z270" s="53"/>
      <c r="AA270" s="54"/>
      <c r="AB270" s="53"/>
      <c r="AC270" s="54"/>
      <c r="AD270" s="53"/>
      <c r="AE270" s="54"/>
      <c r="AF270" s="53"/>
      <c r="AG270" s="54"/>
      <c r="AH270" s="55">
        <v>4.1666666666666699E-2</v>
      </c>
      <c r="AI270" s="53"/>
      <c r="AJ270" s="54"/>
      <c r="AK270" s="53"/>
      <c r="AL270" s="54"/>
      <c r="AM270" s="53"/>
      <c r="AN270" s="54"/>
      <c r="AO270" s="53"/>
      <c r="AP270" s="54"/>
      <c r="AQ270" s="53">
        <v>4.1666666666666664E-2</v>
      </c>
      <c r="AR270" s="54" t="s">
        <v>37</v>
      </c>
      <c r="AS270" s="53">
        <v>4.1666666666666664E-2</v>
      </c>
      <c r="AT270" s="54" t="s">
        <v>37</v>
      </c>
      <c r="AU270" s="53">
        <v>4.1666666666666699E-2</v>
      </c>
      <c r="AV270" s="54" t="s">
        <v>37</v>
      </c>
      <c r="AW270" s="57">
        <f t="shared" si="41"/>
        <v>0.12500000000000003</v>
      </c>
      <c r="AX270" s="58" t="s">
        <v>38</v>
      </c>
    </row>
    <row r="271" spans="1:50" ht="28.5">
      <c r="A271" s="38" t="s">
        <v>299</v>
      </c>
      <c r="B271" s="39">
        <f t="shared" si="45"/>
        <v>267</v>
      </c>
      <c r="C271" s="40">
        <v>46031</v>
      </c>
      <c r="D271" s="40" t="s">
        <v>32</v>
      </c>
      <c r="E271" s="40" t="s">
        <v>33</v>
      </c>
      <c r="F271" s="41">
        <v>721.5</v>
      </c>
      <c r="G271" s="42" t="s">
        <v>85</v>
      </c>
      <c r="H271" s="43" t="str">
        <f>IFERROR(VLOOKUP($J271,'[9]FROM (3)'!$E$4:$F$230,2,FALSE),"")</f>
        <v>JCTTH</v>
      </c>
      <c r="I271" s="44" t="str">
        <f t="shared" si="42"/>
        <v>RACK POWER STEERING</v>
      </c>
      <c r="J271" s="44" t="str">
        <f t="shared" si="43"/>
        <v>2-30JG-0711</v>
      </c>
      <c r="K271" s="59" t="str">
        <f t="shared" si="39"/>
        <v>PD25121185</v>
      </c>
      <c r="L271" s="46" t="str" cm="1">
        <f t="array" ref="L271">IFERROR(_xlfn.IFS(
    LEN($A271)-LEN(SUBSTITUTE($A271,"|",""))=12, RIGHT(A271, LEN(A271)-FIND("~", SUBSTITUTE(A271,"|","~", LEN(A271)-LEN(SUBSTITUTE(A271,"|",""))))),
    LEN($A271)-LEN(SUBSTITUTE($A271,"|",""))=13, MID($A271, FIND("~", SUBSTITUTE($A271,"|","~", 11))+1, FIND("~", SUBSTITUTE($A271,"|","~", 12))-FIND("~", SUBSTITUTE($A271,"|","~", 11))-1),
    LEN($A271)-LEN(SUBSTITUTE($A271,"|",""))=14, MID($A271, FIND("~", SUBSTITUTE($A271,"|","~", 11))+1, FIND("~", SUBSTITUTE($A271,"|","~", 12))-FIND("~", SUBSTITUTE($A271,"|","~", 11))-1)
), "")</f>
        <v>E586100</v>
      </c>
      <c r="M271" s="47" t="str">
        <f t="shared" si="37"/>
        <v>SB120150/5/25</v>
      </c>
      <c r="N271" s="46" t="str">
        <f t="shared" si="40"/>
        <v/>
      </c>
      <c r="O271" s="60">
        <v>50</v>
      </c>
      <c r="P271" s="60">
        <v>876</v>
      </c>
      <c r="Q271" s="48">
        <v>200</v>
      </c>
      <c r="R271" s="48">
        <v>820</v>
      </c>
      <c r="S271" s="48"/>
      <c r="T271" s="48"/>
      <c r="U271" s="49"/>
      <c r="V271" s="49"/>
      <c r="W271" s="50">
        <f t="shared" si="38"/>
        <v>0</v>
      </c>
      <c r="X271" s="51">
        <f>IF(A271="", "", IF(COUNTIFS(C$3:C270, C271, D$3:D270, D271, G$3:G270, G271) &gt; 0, "", "11:00"-AW271))</f>
        <v>0.33333333333333326</v>
      </c>
      <c r="Y271" s="52" t="str">
        <f t="shared" si="44"/>
        <v>1:0</v>
      </c>
      <c r="Z271" s="53"/>
      <c r="AA271" s="54"/>
      <c r="AB271" s="53"/>
      <c r="AC271" s="54"/>
      <c r="AD271" s="53"/>
      <c r="AE271" s="54"/>
      <c r="AF271" s="53"/>
      <c r="AG271" s="54"/>
      <c r="AH271" s="55">
        <v>4.1666666666666699E-2</v>
      </c>
      <c r="AI271" s="53"/>
      <c r="AJ271" s="54"/>
      <c r="AK271" s="53"/>
      <c r="AL271" s="54"/>
      <c r="AM271" s="53"/>
      <c r="AN271" s="54"/>
      <c r="AO271" s="53"/>
      <c r="AP271" s="54"/>
      <c r="AQ271" s="53">
        <v>4.1666666666666664E-2</v>
      </c>
      <c r="AR271" s="54" t="s">
        <v>37</v>
      </c>
      <c r="AS271" s="53">
        <v>4.1666666666666664E-2</v>
      </c>
      <c r="AT271" s="54" t="s">
        <v>37</v>
      </c>
      <c r="AU271" s="53">
        <v>4.1666666666666699E-2</v>
      </c>
      <c r="AV271" s="54" t="s">
        <v>37</v>
      </c>
      <c r="AW271" s="57">
        <f t="shared" si="41"/>
        <v>0.12500000000000003</v>
      </c>
      <c r="AX271" s="58" t="s">
        <v>117</v>
      </c>
    </row>
    <row r="272" spans="1:50" ht="28.5">
      <c r="A272" s="38" t="s">
        <v>300</v>
      </c>
      <c r="B272" s="39">
        <f t="shared" si="45"/>
        <v>268</v>
      </c>
      <c r="C272" s="40">
        <v>46031</v>
      </c>
      <c r="D272" s="40" t="s">
        <v>32</v>
      </c>
      <c r="E272" s="40" t="s">
        <v>33</v>
      </c>
      <c r="F272" s="41">
        <v>721.5</v>
      </c>
      <c r="G272" s="42" t="s">
        <v>85</v>
      </c>
      <c r="H272" s="43" t="str">
        <f>IFERROR(VLOOKUP($J272,'[9]FROM (3)'!$E$4:$F$230,2,FALSE),"")</f>
        <v>JCTTH</v>
      </c>
      <c r="I272" s="44" t="str">
        <f t="shared" si="42"/>
        <v>RACK POWER STEERING</v>
      </c>
      <c r="J272" s="44" t="str">
        <f t="shared" si="43"/>
        <v>2-30JG-0711</v>
      </c>
      <c r="K272" s="59" t="str">
        <f t="shared" si="39"/>
        <v>PD25121185</v>
      </c>
      <c r="L272" s="46" t="str" cm="1">
        <f t="array" ref="L272">IFERROR(_xlfn.IFS(
    LEN($A272)-LEN(SUBSTITUTE($A272,"|",""))=12, RIGHT(A272, LEN(A272)-FIND("~", SUBSTITUTE(A272,"|","~", LEN(A272)-LEN(SUBSTITUTE(A272,"|",""))))),
    LEN($A272)-LEN(SUBSTITUTE($A272,"|",""))=13, MID($A272, FIND("~", SUBSTITUTE($A272,"|","~", 11))+1, FIND("~", SUBSTITUTE($A272,"|","~", 12))-FIND("~", SUBSTITUTE($A272,"|","~", 11))-1),
    LEN($A272)-LEN(SUBSTITUTE($A272,"|",""))=14, MID($A272, FIND("~", SUBSTITUTE($A272,"|","~", 11))+1, FIND("~", SUBSTITUTE($A272,"|","~", 12))-FIND("~", SUBSTITUTE($A272,"|","~", 11))-1)
), "")</f>
        <v>E586100</v>
      </c>
      <c r="M272" s="47" t="str">
        <f t="shared" si="37"/>
        <v>SB120150/6/25</v>
      </c>
      <c r="N272" s="46" t="str">
        <f t="shared" si="40"/>
        <v/>
      </c>
      <c r="O272" s="60">
        <v>50</v>
      </c>
      <c r="P272" s="60">
        <v>876</v>
      </c>
      <c r="Q272" s="48">
        <v>200</v>
      </c>
      <c r="R272" s="48">
        <v>820</v>
      </c>
      <c r="S272" s="48"/>
      <c r="T272" s="48"/>
      <c r="U272" s="49"/>
      <c r="V272" s="49"/>
      <c r="W272" s="50">
        <f t="shared" si="38"/>
        <v>0</v>
      </c>
      <c r="X272" s="51" t="str">
        <f>IF(A272="", "", IF(COUNTIFS(C$3:C271, C272, D$3:D271, D272, G$3:G271, G272) &gt; 0, "", "11:00"-AW272))</f>
        <v/>
      </c>
      <c r="Y272" s="52" t="str">
        <f t="shared" si="44"/>
        <v/>
      </c>
      <c r="Z272" s="53"/>
      <c r="AA272" s="54"/>
      <c r="AB272" s="53"/>
      <c r="AC272" s="54"/>
      <c r="AD272" s="53"/>
      <c r="AE272" s="54"/>
      <c r="AF272" s="53"/>
      <c r="AG272" s="54"/>
      <c r="AH272" s="55">
        <v>4.1666666666666699E-2</v>
      </c>
      <c r="AI272" s="53"/>
      <c r="AJ272" s="54"/>
      <c r="AK272" s="53"/>
      <c r="AL272" s="54"/>
      <c r="AM272" s="53"/>
      <c r="AN272" s="54"/>
      <c r="AO272" s="53"/>
      <c r="AP272" s="54"/>
      <c r="AQ272" s="53">
        <v>4.1666666666666664E-2</v>
      </c>
      <c r="AR272" s="54" t="s">
        <v>37</v>
      </c>
      <c r="AS272" s="53">
        <v>4.1666666666666664E-2</v>
      </c>
      <c r="AT272" s="54" t="s">
        <v>37</v>
      </c>
      <c r="AU272" s="53">
        <v>4.1666666666666699E-2</v>
      </c>
      <c r="AV272" s="54" t="s">
        <v>37</v>
      </c>
      <c r="AW272" s="57">
        <f t="shared" si="41"/>
        <v>0.12500000000000003</v>
      </c>
      <c r="AX272" s="58" t="s">
        <v>117</v>
      </c>
    </row>
    <row r="273" spans="1:50" ht="28.5">
      <c r="A273" s="38" t="s">
        <v>301</v>
      </c>
      <c r="B273" s="39">
        <f t="shared" si="45"/>
        <v>269</v>
      </c>
      <c r="C273" s="40">
        <v>46031</v>
      </c>
      <c r="D273" s="40" t="s">
        <v>32</v>
      </c>
      <c r="E273" s="40" t="s">
        <v>33</v>
      </c>
      <c r="F273" s="41">
        <v>721.5</v>
      </c>
      <c r="G273" s="42" t="s">
        <v>85</v>
      </c>
      <c r="H273" s="43" t="str">
        <f>IFERROR(VLOOKUP($J273,'[9]FROM (3)'!$E$4:$F$230,2,FALSE),"")</f>
        <v>JCTTH</v>
      </c>
      <c r="I273" s="44" t="str">
        <f t="shared" si="42"/>
        <v>RACK POWER STEERING</v>
      </c>
      <c r="J273" s="44" t="str">
        <f t="shared" si="43"/>
        <v>2-30JG-0711</v>
      </c>
      <c r="K273" s="59" t="str">
        <f t="shared" si="39"/>
        <v>PD25121185</v>
      </c>
      <c r="L273" s="46" t="str" cm="1">
        <f t="array" ref="L273">IFERROR(_xlfn.IFS(
    LEN($A273)-LEN(SUBSTITUTE($A273,"|",""))=12, RIGHT(A273, LEN(A273)-FIND("~", SUBSTITUTE(A273,"|","~", LEN(A273)-LEN(SUBSTITUTE(A273,"|",""))))),
    LEN($A273)-LEN(SUBSTITUTE($A273,"|",""))=13, MID($A273, FIND("~", SUBSTITUTE($A273,"|","~", 11))+1, FIND("~", SUBSTITUTE($A273,"|","~", 12))-FIND("~", SUBSTITUTE($A273,"|","~", 11))-1),
    LEN($A273)-LEN(SUBSTITUTE($A273,"|",""))=14, MID($A273, FIND("~", SUBSTITUTE($A273,"|","~", 11))+1, FIND("~", SUBSTITUTE($A273,"|","~", 12))-FIND("~", SUBSTITUTE($A273,"|","~", 11))-1)
), "")</f>
        <v>E586100</v>
      </c>
      <c r="M273" s="47" t="str">
        <f t="shared" si="37"/>
        <v>SB120150/4/25</v>
      </c>
      <c r="N273" s="46" t="str">
        <f t="shared" si="40"/>
        <v/>
      </c>
      <c r="O273" s="60">
        <v>50</v>
      </c>
      <c r="P273" s="60">
        <v>876</v>
      </c>
      <c r="Q273" s="48">
        <v>199</v>
      </c>
      <c r="R273" s="48">
        <v>816</v>
      </c>
      <c r="S273" s="48">
        <v>1</v>
      </c>
      <c r="T273" s="48" t="s">
        <v>167</v>
      </c>
      <c r="U273" s="49">
        <v>142</v>
      </c>
      <c r="V273" s="49">
        <v>9</v>
      </c>
      <c r="W273" s="50">
        <f t="shared" si="38"/>
        <v>151</v>
      </c>
      <c r="X273" s="51" t="str">
        <f>IF(A273="", "", IF(COUNTIFS(C$3:C272, C273, D$3:D272, D273, G$3:G272, G273) &gt; 0, "", "11:00"-AW273))</f>
        <v/>
      </c>
      <c r="Y273" s="52" t="str">
        <f t="shared" si="44"/>
        <v/>
      </c>
      <c r="Z273" s="53"/>
      <c r="AA273" s="54"/>
      <c r="AB273" s="53"/>
      <c r="AC273" s="54"/>
      <c r="AD273" s="53"/>
      <c r="AE273" s="54"/>
      <c r="AF273" s="53"/>
      <c r="AG273" s="54"/>
      <c r="AH273" s="55">
        <v>4.1666666666666699E-2</v>
      </c>
      <c r="AI273" s="53"/>
      <c r="AJ273" s="54"/>
      <c r="AK273" s="53"/>
      <c r="AL273" s="54"/>
      <c r="AM273" s="53"/>
      <c r="AN273" s="54"/>
      <c r="AO273" s="53"/>
      <c r="AP273" s="54"/>
      <c r="AQ273" s="53">
        <v>4.1666666666666664E-2</v>
      </c>
      <c r="AR273" s="54" t="s">
        <v>37</v>
      </c>
      <c r="AS273" s="53">
        <v>4.1666666666666664E-2</v>
      </c>
      <c r="AT273" s="54" t="s">
        <v>37</v>
      </c>
      <c r="AU273" s="53">
        <v>4.1666666666666699E-2</v>
      </c>
      <c r="AV273" s="54" t="s">
        <v>37</v>
      </c>
      <c r="AW273" s="57">
        <f t="shared" si="41"/>
        <v>0.12500000000000003</v>
      </c>
      <c r="AX273" s="58" t="s">
        <v>117</v>
      </c>
    </row>
    <row r="274" spans="1:50" ht="28.5">
      <c r="A274" s="38" t="s">
        <v>302</v>
      </c>
      <c r="B274" s="39">
        <f t="shared" si="45"/>
        <v>270</v>
      </c>
      <c r="C274" s="40">
        <v>46031</v>
      </c>
      <c r="D274" s="40" t="s">
        <v>32</v>
      </c>
      <c r="E274" s="40" t="s">
        <v>33</v>
      </c>
      <c r="F274" s="41">
        <v>721.5</v>
      </c>
      <c r="G274" s="42" t="s">
        <v>85</v>
      </c>
      <c r="H274" s="43" t="str">
        <f>IFERROR(VLOOKUP($J274,'[9]FROM (3)'!$E$4:$F$230,2,FALSE),"")</f>
        <v>JCTTH</v>
      </c>
      <c r="I274" s="44" t="str">
        <f t="shared" si="42"/>
        <v>RACK POWER STEERING</v>
      </c>
      <c r="J274" s="44" t="str">
        <f t="shared" si="43"/>
        <v>2-30JG-0711</v>
      </c>
      <c r="K274" s="59" t="str">
        <f t="shared" si="39"/>
        <v>PD25121184</v>
      </c>
      <c r="L274" s="46" t="str" cm="1">
        <f t="array" ref="L274">IFERROR(_xlfn.IFS(
    LEN($A274)-LEN(SUBSTITUTE($A274,"|",""))=12, RIGHT(A274, LEN(A274)-FIND("~", SUBSTITUTE(A274,"|","~", LEN(A274)-LEN(SUBSTITUTE(A274,"|",""))))),
    LEN($A274)-LEN(SUBSTITUTE($A274,"|",""))=13, MID($A274, FIND("~", SUBSTITUTE($A274,"|","~", 11))+1, FIND("~", SUBSTITUTE($A274,"|","~", 12))-FIND("~", SUBSTITUTE($A274,"|","~", 11))-1),
    LEN($A274)-LEN(SUBSTITUTE($A274,"|",""))=14, MID($A274, FIND("~", SUBSTITUTE($A274,"|","~", 11))+1, FIND("~", SUBSTITUTE($A274,"|","~", 12))-FIND("~", SUBSTITUTE($A274,"|","~", 11))-1)
), "")</f>
        <v>E586100</v>
      </c>
      <c r="M274" s="47" t="str">
        <f t="shared" si="37"/>
        <v>SB120150/3/25</v>
      </c>
      <c r="N274" s="46" t="str">
        <f t="shared" si="40"/>
        <v/>
      </c>
      <c r="O274" s="60">
        <v>50</v>
      </c>
      <c r="P274" s="60">
        <v>876</v>
      </c>
      <c r="Q274" s="48">
        <v>200</v>
      </c>
      <c r="R274" s="48">
        <v>820</v>
      </c>
      <c r="S274" s="48"/>
      <c r="T274" s="48"/>
      <c r="U274" s="49"/>
      <c r="V274" s="49"/>
      <c r="W274" s="50">
        <f t="shared" si="38"/>
        <v>0</v>
      </c>
      <c r="X274" s="51" t="str">
        <f>IF(A274="", "", IF(COUNTIFS(C$3:C273, C274, D$3:D273, D274, G$3:G273, G274) &gt; 0, "", "11:00"-AW274))</f>
        <v/>
      </c>
      <c r="Y274" s="52" t="str">
        <f t="shared" si="44"/>
        <v/>
      </c>
      <c r="Z274" s="53"/>
      <c r="AA274" s="54"/>
      <c r="AB274" s="53"/>
      <c r="AC274" s="54"/>
      <c r="AD274" s="53"/>
      <c r="AE274" s="54"/>
      <c r="AF274" s="53"/>
      <c r="AG274" s="54"/>
      <c r="AH274" s="55">
        <v>4.1666666666666699E-2</v>
      </c>
      <c r="AI274" s="53"/>
      <c r="AJ274" s="54"/>
      <c r="AK274" s="53"/>
      <c r="AL274" s="54"/>
      <c r="AM274" s="53"/>
      <c r="AN274" s="54"/>
      <c r="AO274" s="53"/>
      <c r="AP274" s="54"/>
      <c r="AQ274" s="53">
        <v>4.1666666666666664E-2</v>
      </c>
      <c r="AR274" s="54" t="s">
        <v>37</v>
      </c>
      <c r="AS274" s="53">
        <v>4.1666666666666664E-2</v>
      </c>
      <c r="AT274" s="54" t="s">
        <v>37</v>
      </c>
      <c r="AU274" s="53">
        <v>4.1666666666666699E-2</v>
      </c>
      <c r="AV274" s="54" t="s">
        <v>37</v>
      </c>
      <c r="AW274" s="57">
        <f t="shared" si="41"/>
        <v>0.12500000000000003</v>
      </c>
      <c r="AX274" s="58" t="s">
        <v>117</v>
      </c>
    </row>
    <row r="275" spans="1:50" ht="28.5">
      <c r="A275" s="38" t="s">
        <v>303</v>
      </c>
      <c r="B275" s="39">
        <f t="shared" si="45"/>
        <v>271</v>
      </c>
      <c r="C275" s="40">
        <v>46031</v>
      </c>
      <c r="D275" s="40" t="s">
        <v>32</v>
      </c>
      <c r="E275" s="40" t="s">
        <v>33</v>
      </c>
      <c r="F275" s="41">
        <v>721.5</v>
      </c>
      <c r="G275" s="42" t="s">
        <v>85</v>
      </c>
      <c r="H275" s="43" t="str">
        <f>IFERROR(VLOOKUP($J275,'[9]FROM (3)'!$E$4:$F$230,2,FALSE),"")</f>
        <v>JCTTH</v>
      </c>
      <c r="I275" s="44" t="str">
        <f t="shared" si="42"/>
        <v>RACK POWER STEERING</v>
      </c>
      <c r="J275" s="44" t="str">
        <f t="shared" si="43"/>
        <v>2-30JG-0711</v>
      </c>
      <c r="K275" s="59" t="str">
        <f t="shared" si="39"/>
        <v>PD25121184</v>
      </c>
      <c r="L275" s="46" t="str" cm="1">
        <f t="array" ref="L275">IFERROR(_xlfn.IFS(
    LEN($A275)-LEN(SUBSTITUTE($A275,"|",""))=12, RIGHT(A275, LEN(A275)-FIND("~", SUBSTITUTE(A275,"|","~", LEN(A275)-LEN(SUBSTITUTE(A275,"|",""))))),
    LEN($A275)-LEN(SUBSTITUTE($A275,"|",""))=13, MID($A275, FIND("~", SUBSTITUTE($A275,"|","~", 11))+1, FIND("~", SUBSTITUTE($A275,"|","~", 12))-FIND("~", SUBSTITUTE($A275,"|","~", 11))-1),
    LEN($A275)-LEN(SUBSTITUTE($A275,"|",""))=14, MID($A275, FIND("~", SUBSTITUTE($A275,"|","~", 11))+1, FIND("~", SUBSTITUTE($A275,"|","~", 12))-FIND("~", SUBSTITUTE($A275,"|","~", 11))-1)
), "")</f>
        <v>E586100</v>
      </c>
      <c r="M275" s="47" t="str">
        <f t="shared" si="37"/>
        <v>SB120150/1/25</v>
      </c>
      <c r="N275" s="46" t="str">
        <f t="shared" si="40"/>
        <v/>
      </c>
      <c r="O275" s="60">
        <v>50</v>
      </c>
      <c r="P275" s="60">
        <v>876</v>
      </c>
      <c r="Q275" s="48">
        <v>58</v>
      </c>
      <c r="R275" s="48">
        <v>238</v>
      </c>
      <c r="S275" s="48"/>
      <c r="T275" s="48"/>
      <c r="U275" s="49"/>
      <c r="V275" s="49"/>
      <c r="W275" s="50">
        <f t="shared" si="38"/>
        <v>0</v>
      </c>
      <c r="X275" s="51" t="str">
        <f>IF(A275="", "", IF(COUNTIFS(C$3:C274, C275, D$3:D274, D275, G$3:G274, G275) &gt; 0, "", "11:00"-AW275))</f>
        <v/>
      </c>
      <c r="Y275" s="52" t="str">
        <f t="shared" si="44"/>
        <v/>
      </c>
      <c r="Z275" s="53"/>
      <c r="AA275" s="54"/>
      <c r="AB275" s="53"/>
      <c r="AC275" s="54"/>
      <c r="AD275" s="53"/>
      <c r="AE275" s="54"/>
      <c r="AF275" s="53"/>
      <c r="AG275" s="54"/>
      <c r="AH275" s="55">
        <v>4.1666666666666699E-2</v>
      </c>
      <c r="AI275" s="53"/>
      <c r="AJ275" s="54"/>
      <c r="AK275" s="53"/>
      <c r="AL275" s="54"/>
      <c r="AM275" s="53"/>
      <c r="AN275" s="54"/>
      <c r="AO275" s="53"/>
      <c r="AP275" s="54"/>
      <c r="AQ275" s="53">
        <v>4.1666666666666664E-2</v>
      </c>
      <c r="AR275" s="54" t="s">
        <v>37</v>
      </c>
      <c r="AS275" s="53">
        <v>4.1666666666666664E-2</v>
      </c>
      <c r="AT275" s="54" t="s">
        <v>37</v>
      </c>
      <c r="AU275" s="53">
        <v>4.1666666666666699E-2</v>
      </c>
      <c r="AV275" s="54" t="s">
        <v>37</v>
      </c>
      <c r="AW275" s="57">
        <f t="shared" si="41"/>
        <v>0.12500000000000003</v>
      </c>
      <c r="AX275" s="58" t="s">
        <v>117</v>
      </c>
    </row>
    <row r="276" spans="1:50" ht="28.5">
      <c r="A276" s="38" t="s">
        <v>271</v>
      </c>
      <c r="B276" s="39">
        <f t="shared" si="45"/>
        <v>272</v>
      </c>
      <c r="C276" s="40">
        <v>46031</v>
      </c>
      <c r="D276" s="40" t="s">
        <v>32</v>
      </c>
      <c r="E276" s="40" t="s">
        <v>33</v>
      </c>
      <c r="F276" s="41">
        <v>695.3</v>
      </c>
      <c r="G276" s="42" t="s">
        <v>54</v>
      </c>
      <c r="H276" s="43" t="str">
        <f>IFERROR(VLOOKUP($J276,'[9]FROM (3)'!$E$4:$F$230,2,FALSE),"")</f>
        <v>JTCS</v>
      </c>
      <c r="I276" s="44" t="str">
        <f t="shared" si="42"/>
        <v>Rack, PS</v>
      </c>
      <c r="J276" s="44" t="str">
        <f t="shared" si="43"/>
        <v>JGD10-001150-40-1</v>
      </c>
      <c r="K276" s="59" t="str">
        <f t="shared" si="39"/>
        <v>PD26010112</v>
      </c>
      <c r="L276" s="46" t="str" cm="1">
        <f t="array" ref="L276">IFERROR(_xlfn.IFS(
    LEN($A276)-LEN(SUBSTITUTE($A276,"|",""))=12, RIGHT(A276, LEN(A276)-FIND("~", SUBSTITUTE(A276,"|","~", LEN(A276)-LEN(SUBSTITUTE(A276,"|",""))))),
    LEN($A276)-LEN(SUBSTITUTE($A276,"|",""))=13, MID($A276, FIND("~", SUBSTITUTE($A276,"|","~", 11))+1, FIND("~", SUBSTITUTE($A276,"|","~", 12))-FIND("~", SUBSTITUTE($A276,"|","~", 11))-1),
    LEN($A276)-LEN(SUBSTITUTE($A276,"|",""))=14, MID($A276, FIND("~", SUBSTITUTE($A276,"|","~", 11))+1, FIND("~", SUBSTITUTE($A276,"|","~", 12))-FIND("~", SUBSTITUTE($A276,"|","~", 11))-1)
), "")</f>
        <v>E585970</v>
      </c>
      <c r="M276" s="47" t="str">
        <f t="shared" si="37"/>
        <v>SB120199/2/25</v>
      </c>
      <c r="N276" s="46" t="str">
        <f t="shared" si="40"/>
        <v/>
      </c>
      <c r="O276" s="60"/>
      <c r="P276" s="60"/>
      <c r="Q276" s="48">
        <v>62</v>
      </c>
      <c r="R276" s="48">
        <v>208</v>
      </c>
      <c r="S276" s="48"/>
      <c r="T276" s="48"/>
      <c r="U276" s="49"/>
      <c r="V276" s="49"/>
      <c r="W276" s="50">
        <f t="shared" si="38"/>
        <v>0</v>
      </c>
      <c r="X276" s="51">
        <f>IF(A276="", "", IF(COUNTIFS(C$3:C275, C276, D$3:D275, D276, G$3:G275, G276) &gt; 0, "", "11:00"-AW276))</f>
        <v>0.29166666666666663</v>
      </c>
      <c r="Y276" s="52" t="str">
        <f t="shared" si="44"/>
        <v>1:0</v>
      </c>
      <c r="Z276" s="53"/>
      <c r="AA276" s="54"/>
      <c r="AB276" s="53"/>
      <c r="AC276" s="54"/>
      <c r="AD276" s="53">
        <v>6.9444444444444441E-3</v>
      </c>
      <c r="AE276" s="54" t="s">
        <v>67</v>
      </c>
      <c r="AF276" s="53">
        <v>3.4722222222222224E-2</v>
      </c>
      <c r="AG276" s="54" t="s">
        <v>67</v>
      </c>
      <c r="AH276" s="55">
        <v>4.1666666666666699E-2</v>
      </c>
      <c r="AI276" s="53"/>
      <c r="AJ276" s="54"/>
      <c r="AK276" s="53"/>
      <c r="AL276" s="54"/>
      <c r="AM276" s="53"/>
      <c r="AN276" s="54"/>
      <c r="AO276" s="53"/>
      <c r="AP276" s="54"/>
      <c r="AQ276" s="53">
        <v>4.1666666666666664E-2</v>
      </c>
      <c r="AR276" s="54" t="s">
        <v>37</v>
      </c>
      <c r="AS276" s="53">
        <v>4.1666666666666664E-2</v>
      </c>
      <c r="AT276" s="54" t="s">
        <v>37</v>
      </c>
      <c r="AU276" s="53">
        <v>4.1666666666666699E-2</v>
      </c>
      <c r="AV276" s="54" t="s">
        <v>37</v>
      </c>
      <c r="AW276" s="57">
        <f t="shared" si="41"/>
        <v>0.16666666666666669</v>
      </c>
      <c r="AX276" s="58" t="s">
        <v>56</v>
      </c>
    </row>
    <row r="277" spans="1:50" ht="28.5">
      <c r="A277" s="38" t="s">
        <v>304</v>
      </c>
      <c r="B277" s="39">
        <f t="shared" si="45"/>
        <v>273</v>
      </c>
      <c r="C277" s="40">
        <v>46031</v>
      </c>
      <c r="D277" s="40" t="s">
        <v>32</v>
      </c>
      <c r="E277" s="40" t="s">
        <v>33</v>
      </c>
      <c r="F277" s="41">
        <v>695.3</v>
      </c>
      <c r="G277" s="42" t="s">
        <v>54</v>
      </c>
      <c r="H277" s="43" t="str">
        <f>IFERROR(VLOOKUP($J277,'[9]FROM (3)'!$E$4:$F$230,2,FALSE),"")</f>
        <v>JTCS</v>
      </c>
      <c r="I277" s="44" t="str">
        <f t="shared" si="42"/>
        <v>Rack, PS</v>
      </c>
      <c r="J277" s="44" t="str">
        <f t="shared" si="43"/>
        <v>JGD10-001150-40-1</v>
      </c>
      <c r="K277" s="59" t="str">
        <f t="shared" si="39"/>
        <v>PD26010112</v>
      </c>
      <c r="L277" s="46" t="str" cm="1">
        <f t="array" ref="L277">IFERROR(_xlfn.IFS(
    LEN($A277)-LEN(SUBSTITUTE($A277,"|",""))=12, RIGHT(A277, LEN(A277)-FIND("~", SUBSTITUTE(A277,"|","~", LEN(A277)-LEN(SUBSTITUTE(A277,"|",""))))),
    LEN($A277)-LEN(SUBSTITUTE($A277,"|",""))=13, MID($A277, FIND("~", SUBSTITUTE($A277,"|","~", 11))+1, FIND("~", SUBSTITUTE($A277,"|","~", 12))-FIND("~", SUBSTITUTE($A277,"|","~", 11))-1),
    LEN($A277)-LEN(SUBSTITUTE($A277,"|",""))=14, MID($A277, FIND("~", SUBSTITUTE($A277,"|","~", 11))+1, FIND("~", SUBSTITUTE($A277,"|","~", 12))-FIND("~", SUBSTITUTE($A277,"|","~", 11))-1)
), "")</f>
        <v>E585970</v>
      </c>
      <c r="M277" s="47" t="str">
        <f t="shared" si="37"/>
        <v>SB120199/1/25</v>
      </c>
      <c r="N277" s="46" t="str">
        <f t="shared" si="40"/>
        <v/>
      </c>
      <c r="O277" s="60">
        <v>60</v>
      </c>
      <c r="P277" s="60">
        <v>868</v>
      </c>
      <c r="Q277" s="48">
        <v>240</v>
      </c>
      <c r="R277" s="48">
        <v>804</v>
      </c>
      <c r="S277" s="48"/>
      <c r="T277" s="48"/>
      <c r="U277" s="49">
        <v>167</v>
      </c>
      <c r="V277" s="49">
        <v>9</v>
      </c>
      <c r="W277" s="50">
        <f t="shared" si="38"/>
        <v>176</v>
      </c>
      <c r="X277" s="51" t="str">
        <f>IF(A277="", "", IF(COUNTIFS(C$3:C276, C277, D$3:D276, D277, G$3:G276, G277) &gt; 0, "", "11:00"-AW277))</f>
        <v/>
      </c>
      <c r="Y277" s="52" t="str">
        <f t="shared" si="44"/>
        <v/>
      </c>
      <c r="Z277" s="53"/>
      <c r="AA277" s="54"/>
      <c r="AB277" s="53"/>
      <c r="AC277" s="54"/>
      <c r="AD277" s="53"/>
      <c r="AE277" s="54"/>
      <c r="AF277" s="53"/>
      <c r="AG277" s="54"/>
      <c r="AH277" s="55">
        <v>4.1666666666666699E-2</v>
      </c>
      <c r="AI277" s="53"/>
      <c r="AJ277" s="54"/>
      <c r="AK277" s="53"/>
      <c r="AL277" s="54"/>
      <c r="AM277" s="53"/>
      <c r="AN277" s="54"/>
      <c r="AO277" s="53"/>
      <c r="AP277" s="54"/>
      <c r="AQ277" s="53"/>
      <c r="AR277" s="54"/>
      <c r="AS277" s="53"/>
      <c r="AT277" s="54"/>
      <c r="AU277" s="53">
        <v>4.1666666666666699E-2</v>
      </c>
      <c r="AV277" s="54" t="s">
        <v>37</v>
      </c>
      <c r="AW277" s="57">
        <f t="shared" si="41"/>
        <v>4.1666666666666699E-2</v>
      </c>
      <c r="AX277" s="58" t="s">
        <v>56</v>
      </c>
    </row>
    <row r="278" spans="1:50" ht="28.5">
      <c r="A278" s="38" t="s">
        <v>305</v>
      </c>
      <c r="B278" s="39">
        <f t="shared" si="45"/>
        <v>274</v>
      </c>
      <c r="C278" s="40">
        <v>46031</v>
      </c>
      <c r="D278" s="40" t="s">
        <v>32</v>
      </c>
      <c r="E278" s="40" t="s">
        <v>33</v>
      </c>
      <c r="F278" s="41">
        <v>630.4</v>
      </c>
      <c r="G278" s="42" t="s">
        <v>54</v>
      </c>
      <c r="H278" s="43" t="str">
        <f>IFERROR(VLOOKUP($J278,'[9]FROM (3)'!$E$4:$F$230,2,FALSE),"")</f>
        <v>JTCS</v>
      </c>
      <c r="I278" s="44" t="str">
        <f t="shared" si="42"/>
        <v>RACK, MS</v>
      </c>
      <c r="J278" s="44" t="str">
        <f t="shared" si="43"/>
        <v>JGC10-003140-40-0</v>
      </c>
      <c r="K278" s="59" t="str">
        <f t="shared" si="39"/>
        <v>PD25121130</v>
      </c>
      <c r="L278" s="46" t="str" cm="1">
        <f t="array" ref="L278">IFERROR(_xlfn.IFS(
    LEN($A278)-LEN(SUBSTITUTE($A278,"|",""))=12, RIGHT(A278, LEN(A278)-FIND("~", SUBSTITUTE(A278,"|","~", LEN(A278)-LEN(SUBSTITUTE(A278,"|",""))))),
    LEN($A278)-LEN(SUBSTITUTE($A278,"|",""))=13, MID($A278, FIND("~", SUBSTITUTE($A278,"|","~", 11))+1, FIND("~", SUBSTITUTE($A278,"|","~", 12))-FIND("~", SUBSTITUTE($A278,"|","~", 11))-1),
    LEN($A278)-LEN(SUBSTITUTE($A278,"|",""))=14, MID($A278, FIND("~", SUBSTITUTE($A278,"|","~", 11))+1, FIND("~", SUBSTITUTE($A278,"|","~", 12))-FIND("~", SUBSTITUTE($A278,"|","~", 11))-1)
), "")</f>
        <v>E586613</v>
      </c>
      <c r="M278" s="47" t="str">
        <f t="shared" si="37"/>
        <v>SB120156/5/25</v>
      </c>
      <c r="N278" s="46" t="str">
        <f t="shared" si="40"/>
        <v/>
      </c>
      <c r="O278" s="60">
        <v>49</v>
      </c>
      <c r="P278" s="60">
        <v>710</v>
      </c>
      <c r="Q278" s="48">
        <v>245</v>
      </c>
      <c r="R278" s="48">
        <v>643</v>
      </c>
      <c r="S278" s="48"/>
      <c r="T278" s="48"/>
      <c r="U278" s="49"/>
      <c r="V278" s="49"/>
      <c r="W278" s="50">
        <f t="shared" si="38"/>
        <v>0</v>
      </c>
      <c r="X278" s="51" t="str">
        <f>IF(A278="", "", IF(COUNTIFS(C$3:C277, C278, D$3:D277, D278, G$3:G277, G278) &gt; 0, "", "11:00"-AW278))</f>
        <v/>
      </c>
      <c r="Y278" s="52" t="str">
        <f t="shared" si="44"/>
        <v/>
      </c>
      <c r="Z278" s="53"/>
      <c r="AA278" s="54"/>
      <c r="AB278" s="53"/>
      <c r="AC278" s="54"/>
      <c r="AD278" s="53"/>
      <c r="AE278" s="54"/>
      <c r="AF278" s="53"/>
      <c r="AG278" s="54"/>
      <c r="AH278" s="55">
        <v>4.1666666666666699E-2</v>
      </c>
      <c r="AI278" s="53"/>
      <c r="AJ278" s="54"/>
      <c r="AK278" s="53"/>
      <c r="AL278" s="54"/>
      <c r="AM278" s="53"/>
      <c r="AN278" s="54"/>
      <c r="AO278" s="53"/>
      <c r="AP278" s="54"/>
      <c r="AQ278" s="53"/>
      <c r="AR278" s="54"/>
      <c r="AS278" s="53"/>
      <c r="AT278" s="54"/>
      <c r="AU278" s="53">
        <v>4.1666666666666699E-2</v>
      </c>
      <c r="AV278" s="54" t="s">
        <v>37</v>
      </c>
      <c r="AW278" s="57">
        <f t="shared" si="41"/>
        <v>4.1666666666666699E-2</v>
      </c>
      <c r="AX278" s="58" t="s">
        <v>56</v>
      </c>
    </row>
    <row r="279" spans="1:50" ht="28.5">
      <c r="A279" s="38" t="s">
        <v>306</v>
      </c>
      <c r="B279" s="39">
        <f t="shared" si="45"/>
        <v>275</v>
      </c>
      <c r="C279" s="40">
        <v>46031</v>
      </c>
      <c r="D279" s="40" t="s">
        <v>32</v>
      </c>
      <c r="E279" s="40" t="s">
        <v>33</v>
      </c>
      <c r="F279" s="41">
        <v>630.4</v>
      </c>
      <c r="G279" s="42" t="s">
        <v>54</v>
      </c>
      <c r="H279" s="43" t="str">
        <f>IFERROR(VLOOKUP($J279,'[9]FROM (3)'!$E$4:$F$230,2,FALSE),"")</f>
        <v>JTCS</v>
      </c>
      <c r="I279" s="44" t="str">
        <f t="shared" si="42"/>
        <v>RACK, MS</v>
      </c>
      <c r="J279" s="44" t="str">
        <f t="shared" si="43"/>
        <v>JGC10-003140-40-0</v>
      </c>
      <c r="K279" s="59" t="str">
        <f t="shared" si="39"/>
        <v>PD25121130</v>
      </c>
      <c r="L279" s="46" t="str" cm="1">
        <f t="array" ref="L279">IFERROR(_xlfn.IFS(
    LEN($A279)-LEN(SUBSTITUTE($A279,"|",""))=12, RIGHT(A279, LEN(A279)-FIND("~", SUBSTITUTE(A279,"|","~", LEN(A279)-LEN(SUBSTITUTE(A279,"|",""))))),
    LEN($A279)-LEN(SUBSTITUTE($A279,"|",""))=13, MID($A279, FIND("~", SUBSTITUTE($A279,"|","~", 11))+1, FIND("~", SUBSTITUTE($A279,"|","~", 12))-FIND("~", SUBSTITUTE($A279,"|","~", 11))-1),
    LEN($A279)-LEN(SUBSTITUTE($A279,"|",""))=14, MID($A279, FIND("~", SUBSTITUTE($A279,"|","~", 11))+1, FIND("~", SUBSTITUTE($A279,"|","~", 12))-FIND("~", SUBSTITUTE($A279,"|","~", 11))-1)
), "")</f>
        <v>E586613</v>
      </c>
      <c r="M279" s="47" t="str">
        <f t="shared" si="37"/>
        <v>SB120156/6/25</v>
      </c>
      <c r="N279" s="46" t="str">
        <f t="shared" si="40"/>
        <v/>
      </c>
      <c r="O279" s="60">
        <v>48</v>
      </c>
      <c r="P279" s="60">
        <v>694</v>
      </c>
      <c r="Q279" s="48">
        <v>240</v>
      </c>
      <c r="R279" s="48">
        <v>630</v>
      </c>
      <c r="S279" s="48"/>
      <c r="T279" s="48"/>
      <c r="U279" s="49"/>
      <c r="V279" s="49"/>
      <c r="W279" s="50">
        <f t="shared" si="38"/>
        <v>0</v>
      </c>
      <c r="X279" s="51" t="str">
        <f>IF(A279="", "", IF(COUNTIFS(C$3:C278, C279, D$3:D278, D279, G$3:G278, G279) &gt; 0, "", "11:00"-AW279))</f>
        <v/>
      </c>
      <c r="Y279" s="52" t="str">
        <f t="shared" si="44"/>
        <v/>
      </c>
      <c r="Z279" s="53"/>
      <c r="AA279" s="54"/>
      <c r="AB279" s="53"/>
      <c r="AC279" s="54"/>
      <c r="AD279" s="53"/>
      <c r="AE279" s="54"/>
      <c r="AF279" s="53"/>
      <c r="AG279" s="54"/>
      <c r="AH279" s="55">
        <v>4.1666666666666699E-2</v>
      </c>
      <c r="AI279" s="53"/>
      <c r="AJ279" s="54"/>
      <c r="AK279" s="53"/>
      <c r="AL279" s="54"/>
      <c r="AM279" s="53"/>
      <c r="AN279" s="54"/>
      <c r="AO279" s="53"/>
      <c r="AP279" s="54"/>
      <c r="AQ279" s="53"/>
      <c r="AR279" s="54"/>
      <c r="AS279" s="53"/>
      <c r="AT279" s="54"/>
      <c r="AU279" s="53">
        <v>4.1666666666666699E-2</v>
      </c>
      <c r="AV279" s="54" t="s">
        <v>37</v>
      </c>
      <c r="AW279" s="57">
        <f t="shared" si="41"/>
        <v>4.1666666666666699E-2</v>
      </c>
      <c r="AX279" s="58" t="s">
        <v>56</v>
      </c>
    </row>
    <row r="280" spans="1:50" ht="28.5">
      <c r="A280" s="38" t="s">
        <v>307</v>
      </c>
      <c r="B280" s="39">
        <f t="shared" si="45"/>
        <v>276</v>
      </c>
      <c r="C280" s="40">
        <v>46031</v>
      </c>
      <c r="D280" s="40" t="s">
        <v>32</v>
      </c>
      <c r="E280" s="40" t="s">
        <v>33</v>
      </c>
      <c r="F280" s="41">
        <v>630.4</v>
      </c>
      <c r="G280" s="42" t="s">
        <v>54</v>
      </c>
      <c r="H280" s="43" t="str">
        <f>IFERROR(VLOOKUP($J280,'[9]FROM (3)'!$E$4:$F$230,2,FALSE),"")</f>
        <v>JTCS</v>
      </c>
      <c r="I280" s="44" t="str">
        <f t="shared" si="42"/>
        <v>RACK, MS</v>
      </c>
      <c r="J280" s="44" t="str">
        <f t="shared" si="43"/>
        <v>JGC10-003140-40-0</v>
      </c>
      <c r="K280" s="59" t="str">
        <f t="shared" si="39"/>
        <v>PD25121130</v>
      </c>
      <c r="L280" s="46" t="str" cm="1">
        <f t="array" ref="L280">IFERROR(_xlfn.IFS(
    LEN($A280)-LEN(SUBSTITUTE($A280,"|",""))=12, RIGHT(A280, LEN(A280)-FIND("~", SUBSTITUTE(A280,"|","~", LEN(A280)-LEN(SUBSTITUTE(A280,"|",""))))),
    LEN($A280)-LEN(SUBSTITUTE($A280,"|",""))=13, MID($A280, FIND("~", SUBSTITUTE($A280,"|","~", 11))+1, FIND("~", SUBSTITUTE($A280,"|","~", 12))-FIND("~", SUBSTITUTE($A280,"|","~", 11))-1),
    LEN($A280)-LEN(SUBSTITUTE($A280,"|",""))=14, MID($A280, FIND("~", SUBSTITUTE($A280,"|","~", 11))+1, FIND("~", SUBSTITUTE($A280,"|","~", 12))-FIND("~", SUBSTITUTE($A280,"|","~", 11))-1)
), "")</f>
        <v>E586613</v>
      </c>
      <c r="M280" s="47" t="str">
        <f t="shared" si="37"/>
        <v>SB120156/7/25</v>
      </c>
      <c r="N280" s="46" t="str">
        <f t="shared" si="40"/>
        <v/>
      </c>
      <c r="O280" s="60">
        <v>1</v>
      </c>
      <c r="P280" s="60">
        <v>16</v>
      </c>
      <c r="Q280" s="48">
        <v>3</v>
      </c>
      <c r="R280" s="48">
        <v>8</v>
      </c>
      <c r="S280" s="48">
        <v>2</v>
      </c>
      <c r="T280" s="48" t="s">
        <v>143</v>
      </c>
      <c r="U280" s="49">
        <v>122</v>
      </c>
      <c r="V280" s="49">
        <v>5</v>
      </c>
      <c r="W280" s="50">
        <f t="shared" si="38"/>
        <v>127</v>
      </c>
      <c r="X280" s="51" t="str">
        <f>IF(A280="", "", IF(COUNTIFS(C$3:C279, C280, D$3:D279, D280, G$3:G279, G280) &gt; 0, "", "11:00"-AW280))</f>
        <v/>
      </c>
      <c r="Y280" s="52" t="str">
        <f t="shared" si="44"/>
        <v/>
      </c>
      <c r="Z280" s="53"/>
      <c r="AA280" s="54"/>
      <c r="AB280" s="53"/>
      <c r="AC280" s="54"/>
      <c r="AD280" s="53"/>
      <c r="AE280" s="54"/>
      <c r="AF280" s="53"/>
      <c r="AG280" s="54"/>
      <c r="AH280" s="55">
        <v>4.1666666666666699E-2</v>
      </c>
      <c r="AI280" s="53"/>
      <c r="AJ280" s="54"/>
      <c r="AK280" s="53"/>
      <c r="AL280" s="54"/>
      <c r="AM280" s="53"/>
      <c r="AN280" s="54"/>
      <c r="AO280" s="53"/>
      <c r="AP280" s="54"/>
      <c r="AQ280" s="53"/>
      <c r="AR280" s="54"/>
      <c r="AS280" s="53"/>
      <c r="AT280" s="54"/>
      <c r="AU280" s="53">
        <v>4.1666666666666699E-2</v>
      </c>
      <c r="AV280" s="54" t="s">
        <v>37</v>
      </c>
      <c r="AW280" s="57">
        <f t="shared" si="41"/>
        <v>4.1666666666666699E-2</v>
      </c>
      <c r="AX280" s="58" t="s">
        <v>56</v>
      </c>
    </row>
    <row r="281" spans="1:50" ht="28.5">
      <c r="A281" s="38" t="s">
        <v>285</v>
      </c>
      <c r="B281" s="39">
        <f t="shared" si="45"/>
        <v>277</v>
      </c>
      <c r="C281" s="40">
        <v>46031</v>
      </c>
      <c r="D281" s="40" t="s">
        <v>32</v>
      </c>
      <c r="E281" s="40" t="s">
        <v>33</v>
      </c>
      <c r="F281" s="41">
        <v>69.5</v>
      </c>
      <c r="G281" s="42" t="s">
        <v>135</v>
      </c>
      <c r="H281" s="43" t="str">
        <f>IFERROR(VLOOKUP($J281,'[9]FROM (3)'!$E$4:$F$230,2,FALSE),"")</f>
        <v>DNTH</v>
      </c>
      <c r="I281" s="44" t="str">
        <f t="shared" si="42"/>
        <v>Pole Core</v>
      </c>
      <c r="J281" s="44" t="str">
        <f t="shared" si="43"/>
        <v>TG028152-5180</v>
      </c>
      <c r="K281" s="59" t="str">
        <f t="shared" si="39"/>
        <v>PD25120423</v>
      </c>
      <c r="L281" s="46" t="str" cm="1">
        <f t="array" ref="L281">IFERROR(_xlfn.IFS(
    LEN($A281)-LEN(SUBSTITUTE($A281,"|",""))=12, RIGHT(A281, LEN(A281)-FIND("~", SUBSTITUTE(A281,"|","~", LEN(A281)-LEN(SUBSTITUTE(A281,"|",""))))),
    LEN($A281)-LEN(SUBSTITUTE($A281,"|",""))=13, MID($A281, FIND("~", SUBSTITUTE($A281,"|","~", 11))+1, FIND("~", SUBSTITUTE($A281,"|","~", 12))-FIND("~", SUBSTITUTE($A281,"|","~", 11))-1),
    LEN($A281)-LEN(SUBSTITUTE($A281,"|",""))=14, MID($A281, FIND("~", SUBSTITUTE($A281,"|","~", 11))+1, FIND("~", SUBSTITUTE($A281,"|","~", 12))-FIND("~", SUBSTITUTE($A281,"|","~", 11))-1)
), "")</f>
        <v>KS005C9016</v>
      </c>
      <c r="M281" s="47" t="str">
        <f t="shared" si="37"/>
        <v>SB120058/5/25</v>
      </c>
      <c r="N281" s="46" t="str">
        <f t="shared" si="40"/>
        <v/>
      </c>
      <c r="O281" s="60">
        <v>0</v>
      </c>
      <c r="P281" s="60">
        <v>0</v>
      </c>
      <c r="Q281" s="48">
        <v>13506</v>
      </c>
      <c r="R281" s="48">
        <v>939</v>
      </c>
      <c r="S281" s="48"/>
      <c r="T281" s="48"/>
      <c r="U281" s="49">
        <v>116</v>
      </c>
      <c r="V281" s="49" t="s">
        <v>35</v>
      </c>
      <c r="W281" s="50">
        <f t="shared" si="38"/>
        <v>116</v>
      </c>
      <c r="X281" s="51">
        <f>IF(A281="", "", IF(COUNTIFS(C$3:C280, C281, D$3:D280, D281, G$3:G280, G281) &gt; 0, "", "11:00"-AW281))</f>
        <v>0.41666666666666663</v>
      </c>
      <c r="Y281" s="52" t="str">
        <f t="shared" si="44"/>
        <v>1:40</v>
      </c>
      <c r="Z281" s="53"/>
      <c r="AA281" s="54"/>
      <c r="AB281" s="53"/>
      <c r="AC281" s="54"/>
      <c r="AD281" s="53"/>
      <c r="AE281" s="54"/>
      <c r="AF281" s="53"/>
      <c r="AG281" s="54"/>
      <c r="AH281" s="55">
        <v>4.1666666666666699E-2</v>
      </c>
      <c r="AI281" s="53"/>
      <c r="AJ281" s="54"/>
      <c r="AK281" s="53"/>
      <c r="AL281" s="54"/>
      <c r="AM281" s="53"/>
      <c r="AN281" s="54"/>
      <c r="AO281" s="53"/>
      <c r="AP281" s="54" t="s">
        <v>122</v>
      </c>
      <c r="AQ281" s="53"/>
      <c r="AR281" s="54"/>
      <c r="AS281" s="53"/>
      <c r="AT281" s="54"/>
      <c r="AU281" s="53">
        <v>4.1666666666666699E-2</v>
      </c>
      <c r="AV281" s="54" t="s">
        <v>37</v>
      </c>
      <c r="AW281" s="57">
        <f t="shared" si="41"/>
        <v>4.1666666666666699E-2</v>
      </c>
      <c r="AX281" s="58" t="s">
        <v>64</v>
      </c>
    </row>
    <row r="282" spans="1:50" ht="28.5">
      <c r="A282" s="38" t="s">
        <v>308</v>
      </c>
      <c r="B282" s="39">
        <f t="shared" si="45"/>
        <v>278</v>
      </c>
      <c r="C282" s="40">
        <v>46031</v>
      </c>
      <c r="D282" s="40" t="s">
        <v>32</v>
      </c>
      <c r="E282" s="40" t="s">
        <v>33</v>
      </c>
      <c r="F282" s="41">
        <v>69.5</v>
      </c>
      <c r="G282" s="42" t="s">
        <v>135</v>
      </c>
      <c r="H282" s="43" t="str">
        <f>IFERROR(VLOOKUP($J282,'[9]FROM (3)'!$E$4:$F$230,2,FALSE),"")</f>
        <v>DNTH</v>
      </c>
      <c r="I282" s="44" t="str">
        <f t="shared" si="42"/>
        <v>Pole Core</v>
      </c>
      <c r="J282" s="44" t="str">
        <f t="shared" si="43"/>
        <v>TG028152-5180</v>
      </c>
      <c r="K282" s="59" t="str">
        <f t="shared" si="39"/>
        <v>PD26010256</v>
      </c>
      <c r="L282" s="46" t="str" cm="1">
        <f t="array" ref="L282">IFERROR(_xlfn.IFS(
    LEN($A282)-LEN(SUBSTITUTE($A282,"|",""))=12, RIGHT(A282, LEN(A282)-FIND("~", SUBSTITUTE(A282,"|","~", LEN(A282)-LEN(SUBSTITUTE(A282,"|",""))))),
    LEN($A282)-LEN(SUBSTITUTE($A282,"|",""))=13, MID($A282, FIND("~", SUBSTITUTE($A282,"|","~", 11))+1, FIND("~", SUBSTITUTE($A282,"|","~", 12))-FIND("~", SUBSTITUTE($A282,"|","~", 11))-1),
    LEN($A282)-LEN(SUBSTITUTE($A282,"|",""))=14, MID($A282, FIND("~", SUBSTITUTE($A282,"|","~", 11))+1, FIND("~", SUBSTITUTE($A282,"|","~", 12))-FIND("~", SUBSTITUTE($A282,"|","~", 11))-1)
), "")</f>
        <v>KS005C9016</v>
      </c>
      <c r="M282" s="47" t="str">
        <f t="shared" si="37"/>
        <v>SB010017/2/26</v>
      </c>
      <c r="N282" s="46" t="str">
        <f t="shared" si="40"/>
        <v/>
      </c>
      <c r="O282" s="60">
        <v>132</v>
      </c>
      <c r="P282" s="60">
        <v>1024</v>
      </c>
      <c r="Q282" s="48">
        <v>576</v>
      </c>
      <c r="R282" s="48">
        <v>40</v>
      </c>
      <c r="S282" s="48"/>
      <c r="T282" s="48"/>
      <c r="U282" s="49"/>
      <c r="V282" s="49"/>
      <c r="W282" s="50">
        <f t="shared" si="38"/>
        <v>0</v>
      </c>
      <c r="X282" s="51" t="str">
        <f>IF(A282="", "", IF(COUNTIFS(C$3:C281, C282, D$3:D281, D282, G$3:G281, G282) &gt; 0, "", "11:00"-AW282))</f>
        <v/>
      </c>
      <c r="Y282" s="52" t="str">
        <f t="shared" si="44"/>
        <v/>
      </c>
      <c r="Z282" s="53"/>
      <c r="AA282" s="54"/>
      <c r="AB282" s="53"/>
      <c r="AC282" s="54"/>
      <c r="AD282" s="53"/>
      <c r="AE282" s="54"/>
      <c r="AF282" s="53"/>
      <c r="AG282" s="54"/>
      <c r="AH282" s="55">
        <v>4.1666666666666699E-2</v>
      </c>
      <c r="AI282" s="53"/>
      <c r="AJ282" s="54"/>
      <c r="AK282" s="53"/>
      <c r="AL282" s="54"/>
      <c r="AM282" s="53"/>
      <c r="AN282" s="54"/>
      <c r="AO282" s="53"/>
      <c r="AP282" s="54"/>
      <c r="AQ282" s="53"/>
      <c r="AR282" s="54"/>
      <c r="AS282" s="53"/>
      <c r="AT282" s="54"/>
      <c r="AU282" s="53">
        <v>4.1666666666666699E-2</v>
      </c>
      <c r="AV282" s="54" t="s">
        <v>37</v>
      </c>
      <c r="AW282" s="57">
        <f t="shared" si="41"/>
        <v>4.1666666666666699E-2</v>
      </c>
      <c r="AX282" s="58" t="s">
        <v>64</v>
      </c>
    </row>
    <row r="283" spans="1:50" ht="28.5">
      <c r="A283" s="38" t="s">
        <v>236</v>
      </c>
      <c r="B283" s="39">
        <f t="shared" si="45"/>
        <v>279</v>
      </c>
      <c r="C283" s="40">
        <v>46031</v>
      </c>
      <c r="D283" s="40" t="s">
        <v>80</v>
      </c>
      <c r="E283" s="40" t="s">
        <v>81</v>
      </c>
      <c r="F283" s="41">
        <v>25.35</v>
      </c>
      <c r="G283" s="42" t="s">
        <v>44</v>
      </c>
      <c r="H283" s="43" t="str">
        <f>IFERROR(VLOOKUP($J283,'[9]FROM (3)'!$E$4:$F$230,2,FALSE),"")</f>
        <v>KYOWA NT</v>
      </c>
      <c r="I283" s="44" t="str">
        <f t="shared" si="42"/>
        <v>PIN</v>
      </c>
      <c r="J283" s="44" t="str">
        <f t="shared" si="43"/>
        <v>8306T0036</v>
      </c>
      <c r="K283" s="59" t="str">
        <f t="shared" si="39"/>
        <v>PD25121321</v>
      </c>
      <c r="L283" s="46" t="str" cm="1">
        <f t="array" ref="L283">IFERROR(_xlfn.IFS(
    LEN($A283)-LEN(SUBSTITUTE($A283,"|",""))=12, RIGHT(A283, LEN(A283)-FIND("~", SUBSTITUTE(A283,"|","~", LEN(A283)-LEN(SUBSTITUTE(A283,"|",""))))),
    LEN($A283)-LEN(SUBSTITUTE($A283,"|",""))=13, MID($A283, FIND("~", SUBSTITUTE($A283,"|","~", 11))+1, FIND("~", SUBSTITUTE($A283,"|","~", 12))-FIND("~", SUBSTITUTE($A283,"|","~", 11))-1),
    LEN($A283)-LEN(SUBSTITUTE($A283,"|",""))=14, MID($A283, FIND("~", SUBSTITUTE($A283,"|","~", 11))+1, FIND("~", SUBSTITUTE($A283,"|","~", 12))-FIND("~", SUBSTITUTE($A283,"|","~", 11))-1)
), "")</f>
        <v>665573</v>
      </c>
      <c r="M283" s="47" t="str">
        <f t="shared" si="37"/>
        <v>SB120110/2/25</v>
      </c>
      <c r="N283" s="46" t="str">
        <f t="shared" si="40"/>
        <v/>
      </c>
      <c r="O283" s="60"/>
      <c r="P283" s="60"/>
      <c r="Q283" s="48">
        <v>5811</v>
      </c>
      <c r="R283" s="48">
        <v>147</v>
      </c>
      <c r="S283" s="48"/>
      <c r="T283" s="48"/>
      <c r="U283" s="49"/>
      <c r="V283" s="49"/>
      <c r="W283" s="50">
        <f t="shared" si="38"/>
        <v>0</v>
      </c>
      <c r="X283" s="51">
        <f>IF(A283="", "", IF(COUNTIFS(C$3:C282, C283, D$3:D282, D283, G$3:G282, G283) &gt; 0, "", "11:00"-AW283))</f>
        <v>0.33333333333333326</v>
      </c>
      <c r="Y283" s="52" t="str">
        <f t="shared" si="44"/>
        <v>1:0</v>
      </c>
      <c r="Z283" s="53"/>
      <c r="AA283" s="54"/>
      <c r="AB283" s="53"/>
      <c r="AC283" s="54"/>
      <c r="AD283" s="53"/>
      <c r="AE283" s="54"/>
      <c r="AF283" s="53"/>
      <c r="AG283" s="54"/>
      <c r="AH283" s="55">
        <v>4.1666666666666699E-2</v>
      </c>
      <c r="AI283" s="53"/>
      <c r="AJ283" s="54"/>
      <c r="AK283" s="53"/>
      <c r="AL283" s="54"/>
      <c r="AM283" s="53"/>
      <c r="AN283" s="54"/>
      <c r="AO283" s="53"/>
      <c r="AP283" s="54"/>
      <c r="AQ283" s="53">
        <v>4.1666666666666664E-2</v>
      </c>
      <c r="AR283" s="54" t="s">
        <v>37</v>
      </c>
      <c r="AS283" s="53">
        <v>4.1666666666666664E-2</v>
      </c>
      <c r="AT283" s="54" t="s">
        <v>37</v>
      </c>
      <c r="AU283" s="53">
        <v>4.1666666666666699E-2</v>
      </c>
      <c r="AV283" s="54" t="s">
        <v>37</v>
      </c>
      <c r="AW283" s="57">
        <f t="shared" si="41"/>
        <v>0.12500000000000003</v>
      </c>
      <c r="AX283" s="58" t="s">
        <v>203</v>
      </c>
    </row>
    <row r="284" spans="1:50" ht="28.5">
      <c r="A284" s="38" t="s">
        <v>309</v>
      </c>
      <c r="B284" s="39">
        <f t="shared" si="45"/>
        <v>280</v>
      </c>
      <c r="C284" s="40">
        <v>46031</v>
      </c>
      <c r="D284" s="40" t="s">
        <v>80</v>
      </c>
      <c r="E284" s="40" t="s">
        <v>81</v>
      </c>
      <c r="F284" s="41">
        <v>516.5</v>
      </c>
      <c r="G284" s="42" t="s">
        <v>41</v>
      </c>
      <c r="H284" s="43" t="str">
        <f>IFERROR(VLOOKUP($J284,'[9]FROM (3)'!$E$4:$F$230,2,FALSE),"")</f>
        <v>KONSEI</v>
      </c>
      <c r="I284" s="44" t="str">
        <f t="shared" si="42"/>
        <v>Piston Disc Brake, Forging</v>
      </c>
      <c r="J284" s="44" t="str">
        <f t="shared" si="43"/>
        <v>141411-60140-20</v>
      </c>
      <c r="K284" s="59" t="str">
        <f t="shared" si="39"/>
        <v>PD26010253</v>
      </c>
      <c r="L284" s="46" t="str" cm="1">
        <f t="array" ref="L284">IFERROR(_xlfn.IFS(
    LEN($A284)-LEN(SUBSTITUTE($A284,"|",""))=12, RIGHT(A284, LEN(A284)-FIND("~", SUBSTITUTE(A284,"|","~", LEN(A284)-LEN(SUBSTITUTE(A284,"|",""))))),
    LEN($A284)-LEN(SUBSTITUTE($A284,"|",""))=13, MID($A284, FIND("~", SUBSTITUTE($A284,"|","~", 11))+1, FIND("~", SUBSTITUTE($A284,"|","~", 12))-FIND("~", SUBSTITUTE($A284,"|","~", 11))-1),
    LEN($A284)-LEN(SUBSTITUTE($A284,"|",""))=14, MID($A284, FIND("~", SUBSTITUTE($A284,"|","~", 11))+1, FIND("~", SUBSTITUTE($A284,"|","~", 12))-FIND("~", SUBSTITUTE($A284,"|","~", 11))-1)
), "")</f>
        <v>663961</v>
      </c>
      <c r="M284" s="47" t="str">
        <f t="shared" si="37"/>
        <v>2B2600079</v>
      </c>
      <c r="N284" s="46" t="str">
        <f t="shared" si="40"/>
        <v/>
      </c>
      <c r="O284" s="60"/>
      <c r="P284" s="60"/>
      <c r="Q284" s="48">
        <v>2018</v>
      </c>
      <c r="R284" s="48">
        <v>1042</v>
      </c>
      <c r="S284" s="48"/>
      <c r="T284" s="48"/>
      <c r="U284" s="49"/>
      <c r="V284" s="49"/>
      <c r="W284" s="50">
        <f t="shared" si="38"/>
        <v>0</v>
      </c>
      <c r="X284" s="51">
        <f>IF(A284="", "", IF(COUNTIFS(C$3:C283, C284, D$3:D283, D284, G$3:G283, G284) &gt; 0, "", "11:00"-AW284))</f>
        <v>0.33333333333333326</v>
      </c>
      <c r="Y284" s="52" t="str">
        <f t="shared" si="44"/>
        <v>1:0</v>
      </c>
      <c r="Z284" s="53"/>
      <c r="AA284" s="54"/>
      <c r="AB284" s="53"/>
      <c r="AC284" s="54"/>
      <c r="AD284" s="53"/>
      <c r="AE284" s="54"/>
      <c r="AF284" s="53"/>
      <c r="AG284" s="54"/>
      <c r="AH284" s="55">
        <v>4.1666666666666699E-2</v>
      </c>
      <c r="AI284" s="53"/>
      <c r="AJ284" s="54"/>
      <c r="AK284" s="53"/>
      <c r="AL284" s="54"/>
      <c r="AM284" s="53"/>
      <c r="AN284" s="54"/>
      <c r="AO284" s="53"/>
      <c r="AP284" s="54"/>
      <c r="AQ284" s="53">
        <v>4.1666666666666664E-2</v>
      </c>
      <c r="AR284" s="54" t="s">
        <v>37</v>
      </c>
      <c r="AS284" s="53">
        <v>4.1666666666666664E-2</v>
      </c>
      <c r="AT284" s="54" t="s">
        <v>37</v>
      </c>
      <c r="AU284" s="53">
        <v>4.1666666666666699E-2</v>
      </c>
      <c r="AV284" s="54" t="s">
        <v>37</v>
      </c>
      <c r="AW284" s="57">
        <f t="shared" si="41"/>
        <v>0.12500000000000003</v>
      </c>
      <c r="AX284" s="58" t="s">
        <v>203</v>
      </c>
    </row>
    <row r="285" spans="1:50" ht="28.5">
      <c r="A285" s="38" t="s">
        <v>290</v>
      </c>
      <c r="B285" s="39">
        <f t="shared" si="45"/>
        <v>281</v>
      </c>
      <c r="C285" s="40">
        <v>46031</v>
      </c>
      <c r="D285" s="40" t="s">
        <v>80</v>
      </c>
      <c r="E285" s="40" t="s">
        <v>81</v>
      </c>
      <c r="F285" s="41">
        <v>111.6</v>
      </c>
      <c r="G285" s="42" t="s">
        <v>34</v>
      </c>
      <c r="H285" s="43" t="str">
        <f>IFERROR(VLOOKUP($J285,'[9]FROM (3)'!$E$4:$F$230,2,FALSE),"")</f>
        <v>(Astemo)AS-TK</v>
      </c>
      <c r="I285" s="44" t="str">
        <f t="shared" si="42"/>
        <v>CAP RESERVOIR</v>
      </c>
      <c r="J285" s="44" t="str">
        <f t="shared" si="43"/>
        <v>8A10524</v>
      </c>
      <c r="K285" s="59" t="str">
        <f t="shared" si="39"/>
        <v>PD26010108</v>
      </c>
      <c r="L285" s="46" t="str" cm="1">
        <f t="array" ref="L285">IFERROR(_xlfn.IFS(
    LEN($A285)-LEN(SUBSTITUTE($A285,"|",""))=12, RIGHT(A285, LEN(A285)-FIND("~", SUBSTITUTE(A285,"|","~", LEN(A285)-LEN(SUBSTITUTE(A285,"|",""))))),
    LEN($A285)-LEN(SUBSTITUTE($A285,"|",""))=13, MID($A285, FIND("~", SUBSTITUTE($A285,"|","~", 11))+1, FIND("~", SUBSTITUTE($A285,"|","~", 12))-FIND("~", SUBSTITUTE($A285,"|","~", 11))-1),
    LEN($A285)-LEN(SUBSTITUTE($A285,"|",""))=14, MID($A285, FIND("~", SUBSTITUTE($A285,"|","~", 11))+1, FIND("~", SUBSTITUTE($A285,"|","~", 12))-FIND("~", SUBSTITUTE($A285,"|","~", 11))-1)
), "")</f>
        <v>3V096</v>
      </c>
      <c r="M285" s="47" t="str">
        <f t="shared" si="37"/>
        <v>SB010003/1/26</v>
      </c>
      <c r="N285" s="46" t="str">
        <f t="shared" si="40"/>
        <v/>
      </c>
      <c r="O285" s="60"/>
      <c r="P285" s="60"/>
      <c r="Q285" s="48">
        <v>2040</v>
      </c>
      <c r="R285" s="48">
        <v>227</v>
      </c>
      <c r="S285" s="48"/>
      <c r="T285" s="48"/>
      <c r="U285" s="49">
        <v>64</v>
      </c>
      <c r="V285" s="49">
        <v>236</v>
      </c>
      <c r="W285" s="50">
        <f t="shared" si="38"/>
        <v>300</v>
      </c>
      <c r="X285" s="51">
        <f>IF(A285="", "", IF(COUNTIFS(C$3:C284, C285, D$3:D284, D285, G$3:G284, G285) &gt; 0, "", "11:00"-AW285))</f>
        <v>0.33333333333333326</v>
      </c>
      <c r="Y285" s="52" t="str">
        <f t="shared" si="44"/>
        <v>1:0</v>
      </c>
      <c r="Z285" s="53"/>
      <c r="AA285" s="54"/>
      <c r="AB285" s="53"/>
      <c r="AC285" s="54"/>
      <c r="AD285" s="53"/>
      <c r="AE285" s="54"/>
      <c r="AF285" s="53"/>
      <c r="AG285" s="54"/>
      <c r="AH285" s="55">
        <v>4.1666666666666699E-2</v>
      </c>
      <c r="AI285" s="53"/>
      <c r="AJ285" s="54"/>
      <c r="AK285" s="53"/>
      <c r="AL285" s="54"/>
      <c r="AM285" s="53"/>
      <c r="AN285" s="54"/>
      <c r="AO285" s="53"/>
      <c r="AP285" s="54"/>
      <c r="AQ285" s="53">
        <v>4.1666666666666664E-2</v>
      </c>
      <c r="AR285" s="54" t="s">
        <v>37</v>
      </c>
      <c r="AS285" s="53">
        <v>4.1666666666666664E-2</v>
      </c>
      <c r="AT285" s="54" t="s">
        <v>37</v>
      </c>
      <c r="AU285" s="53">
        <v>4.1666666666666699E-2</v>
      </c>
      <c r="AV285" s="54" t="s">
        <v>37</v>
      </c>
      <c r="AW285" s="57">
        <f t="shared" si="41"/>
        <v>0.12500000000000003</v>
      </c>
      <c r="AX285" s="58" t="s">
        <v>203</v>
      </c>
    </row>
    <row r="286" spans="1:50" ht="28.5">
      <c r="A286" s="38" t="s">
        <v>310</v>
      </c>
      <c r="B286" s="39">
        <f t="shared" si="45"/>
        <v>282</v>
      </c>
      <c r="C286" s="40">
        <v>46031</v>
      </c>
      <c r="D286" s="40" t="s">
        <v>80</v>
      </c>
      <c r="E286" s="40" t="s">
        <v>81</v>
      </c>
      <c r="F286" s="41">
        <v>210.9</v>
      </c>
      <c r="G286" s="42" t="s">
        <v>34</v>
      </c>
      <c r="H286" s="43" t="str">
        <f>IFERROR(VLOOKUP($J286,'[9]FROM (3)'!$E$4:$F$230,2,FALSE),"")</f>
        <v>DNTH</v>
      </c>
      <c r="I286" s="44" t="str">
        <f t="shared" si="42"/>
        <v>SHAFT STARTER ARMATURE, 1W</v>
      </c>
      <c r="J286" s="44" t="str">
        <f t="shared" si="43"/>
        <v>TG028993-6160</v>
      </c>
      <c r="K286" s="59" t="str">
        <f t="shared" si="39"/>
        <v>PD25120032</v>
      </c>
      <c r="L286" s="46" t="str" cm="1">
        <f t="array" ref="L286">IFERROR(_xlfn.IFS(
    LEN($A286)-LEN(SUBSTITUTE($A286,"|",""))=12, RIGHT(A286, LEN(A286)-FIND("~", SUBSTITUTE(A286,"|","~", LEN(A286)-LEN(SUBSTITUTE(A286,"|",""))))),
    LEN($A286)-LEN(SUBSTITUTE($A286,"|",""))=13, MID($A286, FIND("~", SUBSTITUTE($A286,"|","~", 11))+1, FIND("~", SUBSTITUTE($A286,"|","~", 12))-FIND("~", SUBSTITUTE($A286,"|","~", 11))-1),
    LEN($A286)-LEN(SUBSTITUTE($A286,"|",""))=14, MID($A286, FIND("~", SUBSTITUTE($A286,"|","~", 11))+1, FIND("~", SUBSTITUTE($A286,"|","~", 12))-FIND("~", SUBSTITUTE($A286,"|","~", 11))-1)
), "")</f>
        <v>2-72446</v>
      </c>
      <c r="M286" s="47" t="str">
        <f t="shared" si="37"/>
        <v>SB110198/4/25</v>
      </c>
      <c r="N286" s="46" t="str">
        <f t="shared" si="40"/>
        <v/>
      </c>
      <c r="O286" s="60">
        <v>332</v>
      </c>
      <c r="P286" s="60">
        <v>2458</v>
      </c>
      <c r="Q286" s="48">
        <v>500</v>
      </c>
      <c r="R286" s="48">
        <v>233</v>
      </c>
      <c r="S286" s="48"/>
      <c r="T286" s="48"/>
      <c r="U286" s="49"/>
      <c r="V286" s="49"/>
      <c r="W286" s="50">
        <f t="shared" si="38"/>
        <v>0</v>
      </c>
      <c r="X286" s="51" t="str">
        <f>IF(A286="", "", IF(COUNTIFS(C$3:C285, C286, D$3:D285, D286, G$3:G285, G286) &gt; 0, "", "11:00"-AW286))</f>
        <v/>
      </c>
      <c r="Y286" s="52" t="str">
        <f t="shared" si="44"/>
        <v/>
      </c>
      <c r="Z286" s="53"/>
      <c r="AA286" s="54"/>
      <c r="AB286" s="53"/>
      <c r="AC286" s="54"/>
      <c r="AD286" s="53"/>
      <c r="AE286" s="54"/>
      <c r="AF286" s="53"/>
      <c r="AG286" s="54"/>
      <c r="AH286" s="55">
        <v>4.1666666666666699E-2</v>
      </c>
      <c r="AI286" s="53"/>
      <c r="AJ286" s="54"/>
      <c r="AK286" s="53">
        <v>4.1666666666666664E-2</v>
      </c>
      <c r="AL286" s="54" t="s">
        <v>311</v>
      </c>
      <c r="AM286" s="53"/>
      <c r="AN286" s="54"/>
      <c r="AO286" s="53"/>
      <c r="AP286" s="54"/>
      <c r="AQ286" s="53">
        <v>4.1666666666666664E-2</v>
      </c>
      <c r="AR286" s="54" t="s">
        <v>37</v>
      </c>
      <c r="AS286" s="53">
        <v>4.1666666666666664E-2</v>
      </c>
      <c r="AT286" s="54" t="s">
        <v>37</v>
      </c>
      <c r="AU286" s="53">
        <v>4.1666666666666699E-2</v>
      </c>
      <c r="AV286" s="54" t="s">
        <v>37</v>
      </c>
      <c r="AW286" s="57">
        <f t="shared" si="41"/>
        <v>0.16666666666666669</v>
      </c>
      <c r="AX286" s="58" t="s">
        <v>203</v>
      </c>
    </row>
    <row r="287" spans="1:50" ht="28.5">
      <c r="A287" s="38" t="s">
        <v>297</v>
      </c>
      <c r="B287" s="39">
        <f t="shared" si="45"/>
        <v>283</v>
      </c>
      <c r="C287" s="40">
        <v>46031</v>
      </c>
      <c r="D287" s="40" t="s">
        <v>80</v>
      </c>
      <c r="E287" s="40" t="s">
        <v>81</v>
      </c>
      <c r="F287" s="41">
        <v>765.7</v>
      </c>
      <c r="G287" s="42" t="s">
        <v>66</v>
      </c>
      <c r="H287" s="43" t="str">
        <f>IFERROR(VLOOKUP($J287,'[9]FROM (3)'!$E$4:$F$230,2,FALSE),"")</f>
        <v>JTCS</v>
      </c>
      <c r="I287" s="44" t="str">
        <f t="shared" si="42"/>
        <v>RACK, PS</v>
      </c>
      <c r="J287" s="44" t="str">
        <f t="shared" si="43"/>
        <v>JGD10-001230-40-0</v>
      </c>
      <c r="K287" s="59" t="str">
        <f t="shared" si="39"/>
        <v>PD26010048</v>
      </c>
      <c r="L287" s="46" t="str" cm="1">
        <f t="array" ref="L287">IFERROR(_xlfn.IFS(
    LEN($A287)-LEN(SUBSTITUTE($A287,"|",""))=12, RIGHT(A287, LEN(A287)-FIND("~", SUBSTITUTE(A287,"|","~", LEN(A287)-LEN(SUBSTITUTE(A287,"|",""))))),
    LEN($A287)-LEN(SUBSTITUTE($A287,"|",""))=13, MID($A287, FIND("~", SUBSTITUTE($A287,"|","~", 11))+1, FIND("~", SUBSTITUTE($A287,"|","~", 12))-FIND("~", SUBSTITUTE($A287,"|","~", 11))-1),
    LEN($A287)-LEN(SUBSTITUTE($A287,"|",""))=14, MID($A287, FIND("~", SUBSTITUTE($A287,"|","~", 11))+1, FIND("~", SUBSTITUTE($A287,"|","~", 12))-FIND("~", SUBSTITUTE($A287,"|","~", 11))-1)
), "")</f>
        <v>E586236</v>
      </c>
      <c r="M287" s="47" t="str">
        <f t="shared" si="37"/>
        <v>SB120194/2/25</v>
      </c>
      <c r="N287" s="46" t="str">
        <f t="shared" si="40"/>
        <v/>
      </c>
      <c r="O287" s="60" t="s">
        <v>35</v>
      </c>
      <c r="P287" s="60" t="s">
        <v>35</v>
      </c>
      <c r="Q287" s="48">
        <v>89</v>
      </c>
      <c r="R287" s="48">
        <v>437</v>
      </c>
      <c r="S287" s="48"/>
      <c r="T287" s="48"/>
      <c r="U287" s="49">
        <v>80</v>
      </c>
      <c r="V287" s="49">
        <v>8</v>
      </c>
      <c r="W287" s="50">
        <f t="shared" si="38"/>
        <v>88</v>
      </c>
      <c r="X287" s="51">
        <f>IF(A287="", "", IF(COUNTIFS(C$3:C286, C287, D$3:D286, D287, G$3:G286, G287) &gt; 0, "", "11:00"-AW287))</f>
        <v>0.30555555555555552</v>
      </c>
      <c r="Y287" s="52" t="str">
        <f t="shared" si="44"/>
        <v>1:0</v>
      </c>
      <c r="Z287" s="53"/>
      <c r="AA287" s="54"/>
      <c r="AB287" s="53"/>
      <c r="AC287" s="54"/>
      <c r="AD287" s="53"/>
      <c r="AE287" s="54"/>
      <c r="AF287" s="53"/>
      <c r="AG287" s="54"/>
      <c r="AH287" s="55">
        <v>4.1666666666666699E-2</v>
      </c>
      <c r="AI287" s="53"/>
      <c r="AJ287" s="54"/>
      <c r="AK287" s="53"/>
      <c r="AL287" s="54"/>
      <c r="AM287" s="53"/>
      <c r="AN287" s="54"/>
      <c r="AO287" s="53">
        <v>2.7777777777777776E-2</v>
      </c>
      <c r="AP287" s="54" t="s">
        <v>67</v>
      </c>
      <c r="AQ287" s="53">
        <v>4.1666666666666664E-2</v>
      </c>
      <c r="AR287" s="54" t="s">
        <v>37</v>
      </c>
      <c r="AS287" s="53">
        <v>4.1666666666666664E-2</v>
      </c>
      <c r="AT287" s="54" t="s">
        <v>37</v>
      </c>
      <c r="AU287" s="53">
        <v>4.1666666666666699E-2</v>
      </c>
      <c r="AV287" s="54" t="s">
        <v>37</v>
      </c>
      <c r="AW287" s="57">
        <f t="shared" si="41"/>
        <v>0.15277777777777779</v>
      </c>
      <c r="AX287" s="58" t="s">
        <v>96</v>
      </c>
    </row>
    <row r="288" spans="1:50" ht="28.5">
      <c r="A288" s="38" t="s">
        <v>312</v>
      </c>
      <c r="B288" s="39">
        <f t="shared" si="45"/>
        <v>284</v>
      </c>
      <c r="C288" s="40">
        <v>46031</v>
      </c>
      <c r="D288" s="40" t="s">
        <v>80</v>
      </c>
      <c r="E288" s="40" t="s">
        <v>81</v>
      </c>
      <c r="F288" s="41">
        <v>765.7</v>
      </c>
      <c r="G288" s="42" t="s">
        <v>66</v>
      </c>
      <c r="H288" s="43" t="str">
        <f>IFERROR(VLOOKUP($J288,'[9]FROM (3)'!$E$4:$F$230,2,FALSE),"")</f>
        <v>JTCS</v>
      </c>
      <c r="I288" s="44" t="str">
        <f t="shared" si="42"/>
        <v>RACK, PS</v>
      </c>
      <c r="J288" s="44" t="str">
        <f t="shared" si="43"/>
        <v>JGD10-001230-40-0</v>
      </c>
      <c r="K288" s="59" t="str">
        <f t="shared" si="39"/>
        <v>PD26010048</v>
      </c>
      <c r="L288" s="46" t="str" cm="1">
        <f t="array" ref="L288">IFERROR(_xlfn.IFS(
    LEN($A288)-LEN(SUBSTITUTE($A288,"|",""))=12, RIGHT(A288, LEN(A288)-FIND("~", SUBSTITUTE(A288,"|","~", LEN(A288)-LEN(SUBSTITUTE(A288,"|",""))))),
    LEN($A288)-LEN(SUBSTITUTE($A288,"|",""))=13, MID($A288, FIND("~", SUBSTITUTE($A288,"|","~", 11))+1, FIND("~", SUBSTITUTE($A288,"|","~", 12))-FIND("~", SUBSTITUTE($A288,"|","~", 11))-1),
    LEN($A288)-LEN(SUBSTITUTE($A288,"|",""))=14, MID($A288, FIND("~", SUBSTITUTE($A288,"|","~", 11))+1, FIND("~", SUBSTITUTE($A288,"|","~", 12))-FIND("~", SUBSTITUTE($A288,"|","~", 11))-1)
), "")</f>
        <v>E586236</v>
      </c>
      <c r="M288" s="47" t="str">
        <f t="shared" si="37"/>
        <v>SB120194/3/25</v>
      </c>
      <c r="N288" s="46" t="str">
        <f t="shared" si="40"/>
        <v/>
      </c>
      <c r="O288" s="60">
        <v>25</v>
      </c>
      <c r="P288" s="60">
        <v>890</v>
      </c>
      <c r="Q288" s="48">
        <v>175</v>
      </c>
      <c r="R288" s="48">
        <v>859</v>
      </c>
      <c r="S288" s="48"/>
      <c r="T288" s="48"/>
      <c r="U288" s="49"/>
      <c r="V288" s="49"/>
      <c r="W288" s="50">
        <f t="shared" si="38"/>
        <v>0</v>
      </c>
      <c r="X288" s="51" t="str">
        <f>IF(A288="", "", IF(COUNTIFS(C$3:C287, C288, D$3:D287, D288, G$3:G287, G288) &gt; 0, "", "11:00"-AW288))</f>
        <v/>
      </c>
      <c r="Y288" s="52" t="str">
        <f t="shared" si="44"/>
        <v/>
      </c>
      <c r="Z288" s="53"/>
      <c r="AA288" s="54"/>
      <c r="AB288" s="53"/>
      <c r="AC288" s="54"/>
      <c r="AD288" s="53"/>
      <c r="AE288" s="54"/>
      <c r="AF288" s="53"/>
      <c r="AG288" s="54"/>
      <c r="AH288" s="55">
        <v>4.1666666666666699E-2</v>
      </c>
      <c r="AI288" s="53"/>
      <c r="AJ288" s="54"/>
      <c r="AK288" s="53"/>
      <c r="AL288" s="54"/>
      <c r="AM288" s="53"/>
      <c r="AN288" s="54"/>
      <c r="AO288" s="53"/>
      <c r="AP288" s="54"/>
      <c r="AQ288" s="53"/>
      <c r="AR288" s="54"/>
      <c r="AS288" s="53"/>
      <c r="AT288" s="54"/>
      <c r="AU288" s="53">
        <v>4.1666666666666699E-2</v>
      </c>
      <c r="AV288" s="54" t="s">
        <v>37</v>
      </c>
      <c r="AW288" s="57">
        <f t="shared" si="41"/>
        <v>4.1666666666666699E-2</v>
      </c>
      <c r="AX288" s="58" t="s">
        <v>96</v>
      </c>
    </row>
    <row r="289" spans="1:50" ht="28.5">
      <c r="A289" s="38" t="s">
        <v>313</v>
      </c>
      <c r="B289" s="39">
        <f t="shared" si="45"/>
        <v>285</v>
      </c>
      <c r="C289" s="40">
        <v>46031</v>
      </c>
      <c r="D289" s="40" t="s">
        <v>80</v>
      </c>
      <c r="E289" s="40" t="s">
        <v>81</v>
      </c>
      <c r="F289" s="41">
        <v>765.7</v>
      </c>
      <c r="G289" s="42" t="s">
        <v>66</v>
      </c>
      <c r="H289" s="43" t="str">
        <f>IFERROR(VLOOKUP($J289,'[9]FROM (3)'!$E$4:$F$230,2,FALSE),"")</f>
        <v>JTCS</v>
      </c>
      <c r="I289" s="44" t="str">
        <f t="shared" si="42"/>
        <v>RACK, PS</v>
      </c>
      <c r="J289" s="44" t="str">
        <f t="shared" si="43"/>
        <v>JGD10-001230-40-0</v>
      </c>
      <c r="K289" s="59" t="str">
        <f t="shared" si="39"/>
        <v>PD26010049</v>
      </c>
      <c r="L289" s="46" t="str" cm="1">
        <f t="array" ref="L289">IFERROR(_xlfn.IFS(
    LEN($A289)-LEN(SUBSTITUTE($A289,"|",""))=12, RIGHT(A289, LEN(A289)-FIND("~", SUBSTITUTE(A289,"|","~", LEN(A289)-LEN(SUBSTITUTE(A289,"|",""))))),
    LEN($A289)-LEN(SUBSTITUTE($A289,"|",""))=13, MID($A289, FIND("~", SUBSTITUTE($A289,"|","~", 11))+1, FIND("~", SUBSTITUTE($A289,"|","~", 12))-FIND("~", SUBSTITUTE($A289,"|","~", 11))-1),
    LEN($A289)-LEN(SUBSTITUTE($A289,"|",""))=14, MID($A289, FIND("~", SUBSTITUTE($A289,"|","~", 11))+1, FIND("~", SUBSTITUTE($A289,"|","~", 12))-FIND("~", SUBSTITUTE($A289,"|","~", 11))-1)
), "")</f>
        <v>E586236</v>
      </c>
      <c r="M289" s="47" t="str">
        <f t="shared" si="37"/>
        <v>SB120194/5/25</v>
      </c>
      <c r="N289" s="46" t="str">
        <f t="shared" si="40"/>
        <v/>
      </c>
      <c r="O289" s="60">
        <v>25</v>
      </c>
      <c r="P289" s="60">
        <v>890</v>
      </c>
      <c r="Q289" s="48">
        <v>175</v>
      </c>
      <c r="R289" s="48">
        <v>859</v>
      </c>
      <c r="S289" s="48"/>
      <c r="T289" s="48"/>
      <c r="U289" s="49">
        <v>80</v>
      </c>
      <c r="V289" s="49">
        <v>8</v>
      </c>
      <c r="W289" s="50">
        <f t="shared" si="38"/>
        <v>88</v>
      </c>
      <c r="X289" s="51" t="str">
        <f>IF(A289="", "", IF(COUNTIFS(C$3:C288, C289, D$3:D288, D289, G$3:G288, G289) &gt; 0, "", "11:00"-AW289))</f>
        <v/>
      </c>
      <c r="Y289" s="52" t="str">
        <f t="shared" si="44"/>
        <v/>
      </c>
      <c r="Z289" s="53"/>
      <c r="AA289" s="54"/>
      <c r="AB289" s="53"/>
      <c r="AC289" s="54"/>
      <c r="AD289" s="53"/>
      <c r="AE289" s="54"/>
      <c r="AF289" s="53"/>
      <c r="AG289" s="54"/>
      <c r="AH289" s="55">
        <v>4.1666666666666699E-2</v>
      </c>
      <c r="AI289" s="53"/>
      <c r="AJ289" s="54"/>
      <c r="AK289" s="53"/>
      <c r="AL289" s="54"/>
      <c r="AM289" s="53"/>
      <c r="AN289" s="54"/>
      <c r="AO289" s="53"/>
      <c r="AP289" s="54"/>
      <c r="AQ289" s="53"/>
      <c r="AR289" s="54"/>
      <c r="AS289" s="53"/>
      <c r="AT289" s="54"/>
      <c r="AU289" s="53">
        <v>4.1666666666666699E-2</v>
      </c>
      <c r="AV289" s="54" t="s">
        <v>37</v>
      </c>
      <c r="AW289" s="57">
        <f t="shared" si="41"/>
        <v>4.1666666666666699E-2</v>
      </c>
      <c r="AX289" s="58" t="s">
        <v>96</v>
      </c>
    </row>
    <row r="290" spans="1:50" ht="28.5">
      <c r="A290" s="38" t="s">
        <v>314</v>
      </c>
      <c r="B290" s="39">
        <f t="shared" si="45"/>
        <v>286</v>
      </c>
      <c r="C290" s="40">
        <v>46031</v>
      </c>
      <c r="D290" s="40" t="s">
        <v>80</v>
      </c>
      <c r="E290" s="40" t="s">
        <v>81</v>
      </c>
      <c r="F290" s="41">
        <v>765.7</v>
      </c>
      <c r="G290" s="42" t="s">
        <v>66</v>
      </c>
      <c r="H290" s="43" t="str">
        <f>IFERROR(VLOOKUP($J290,'[9]FROM (3)'!$E$4:$F$230,2,FALSE),"")</f>
        <v>JTCS</v>
      </c>
      <c r="I290" s="44" t="str">
        <f t="shared" si="42"/>
        <v>RACK, PS</v>
      </c>
      <c r="J290" s="44" t="str">
        <f t="shared" si="43"/>
        <v>JGD10-001230-40-0</v>
      </c>
      <c r="K290" s="59" t="str">
        <f t="shared" si="39"/>
        <v>PD26010049</v>
      </c>
      <c r="L290" s="46" t="str" cm="1">
        <f t="array" ref="L290">IFERROR(_xlfn.IFS(
    LEN($A290)-LEN(SUBSTITUTE($A290,"|",""))=12, RIGHT(A290, LEN(A290)-FIND("~", SUBSTITUTE(A290,"|","~", LEN(A290)-LEN(SUBSTITUTE(A290,"|",""))))),
    LEN($A290)-LEN(SUBSTITUTE($A290,"|",""))=13, MID($A290, FIND("~", SUBSTITUTE($A290,"|","~", 11))+1, FIND("~", SUBSTITUTE($A290,"|","~", 12))-FIND("~", SUBSTITUTE($A290,"|","~", 11))-1),
    LEN($A290)-LEN(SUBSTITUTE($A290,"|",""))=14, MID($A290, FIND("~", SUBSTITUTE($A290,"|","~", 11))+1, FIND("~", SUBSTITUTE($A290,"|","~", 12))-FIND("~", SUBSTITUTE($A290,"|","~", 11))-1)
), "")</f>
        <v>E586236</v>
      </c>
      <c r="M290" s="47" t="str">
        <f t="shared" si="37"/>
        <v>SB120194/4/25</v>
      </c>
      <c r="N290" s="46" t="str">
        <f t="shared" si="40"/>
        <v/>
      </c>
      <c r="O290" s="60">
        <v>25</v>
      </c>
      <c r="P290" s="60">
        <v>890</v>
      </c>
      <c r="Q290" s="48">
        <v>175</v>
      </c>
      <c r="R290" s="48">
        <v>859</v>
      </c>
      <c r="S290" s="48"/>
      <c r="T290" s="48"/>
      <c r="U290" s="49"/>
      <c r="V290" s="49"/>
      <c r="W290" s="50">
        <f t="shared" si="38"/>
        <v>0</v>
      </c>
      <c r="X290" s="51" t="str">
        <f>IF(A290="", "", IF(COUNTIFS(C$3:C289, C290, D$3:D289, D290, G$3:G289, G290) &gt; 0, "", "11:00"-AW290))</f>
        <v/>
      </c>
      <c r="Y290" s="52" t="str">
        <f t="shared" si="44"/>
        <v/>
      </c>
      <c r="Z290" s="53"/>
      <c r="AA290" s="54"/>
      <c r="AB290" s="53"/>
      <c r="AC290" s="54"/>
      <c r="AD290" s="53"/>
      <c r="AE290" s="54"/>
      <c r="AF290" s="53"/>
      <c r="AG290" s="54"/>
      <c r="AH290" s="55">
        <v>4.1666666666666699E-2</v>
      </c>
      <c r="AI290" s="53"/>
      <c r="AJ290" s="54"/>
      <c r="AK290" s="53"/>
      <c r="AL290" s="54"/>
      <c r="AM290" s="53"/>
      <c r="AN290" s="54"/>
      <c r="AO290" s="53"/>
      <c r="AP290" s="54"/>
      <c r="AQ290" s="53"/>
      <c r="AR290" s="54"/>
      <c r="AS290" s="53"/>
      <c r="AT290" s="54"/>
      <c r="AU290" s="53">
        <v>4.1666666666666699E-2</v>
      </c>
      <c r="AV290" s="54" t="s">
        <v>37</v>
      </c>
      <c r="AW290" s="57">
        <f t="shared" si="41"/>
        <v>4.1666666666666699E-2</v>
      </c>
      <c r="AX290" s="58" t="s">
        <v>96</v>
      </c>
    </row>
    <row r="291" spans="1:50" ht="28.5">
      <c r="A291" s="38" t="s">
        <v>315</v>
      </c>
      <c r="B291" s="39">
        <f t="shared" si="45"/>
        <v>287</v>
      </c>
      <c r="C291" s="40">
        <v>46031</v>
      </c>
      <c r="D291" s="40" t="s">
        <v>80</v>
      </c>
      <c r="E291" s="40" t="s">
        <v>81</v>
      </c>
      <c r="F291" s="41">
        <v>765.7</v>
      </c>
      <c r="G291" s="42" t="s">
        <v>66</v>
      </c>
      <c r="H291" s="43" t="str">
        <f>IFERROR(VLOOKUP($J291,'[9]FROM (3)'!$E$4:$F$230,2,FALSE),"")</f>
        <v>JTCS</v>
      </c>
      <c r="I291" s="44" t="str">
        <f t="shared" si="42"/>
        <v>RACK, PS</v>
      </c>
      <c r="J291" s="44" t="str">
        <f t="shared" si="43"/>
        <v>JGD10-001230-40-0</v>
      </c>
      <c r="K291" s="59" t="str">
        <f t="shared" si="39"/>
        <v>PD26010049</v>
      </c>
      <c r="L291" s="46" t="str" cm="1">
        <f t="array" ref="L291">IFERROR(_xlfn.IFS(
    LEN($A291)-LEN(SUBSTITUTE($A291,"|",""))=12, RIGHT(A291, LEN(A291)-FIND("~", SUBSTITUTE(A291,"|","~", LEN(A291)-LEN(SUBSTITUTE(A291,"|",""))))),
    LEN($A291)-LEN(SUBSTITUTE($A291,"|",""))=13, MID($A291, FIND("~", SUBSTITUTE($A291,"|","~", 11))+1, FIND("~", SUBSTITUTE($A291,"|","~", 12))-FIND("~", SUBSTITUTE($A291,"|","~", 11))-1),
    LEN($A291)-LEN(SUBSTITUTE($A291,"|",""))=14, MID($A291, FIND("~", SUBSTITUTE($A291,"|","~", 11))+1, FIND("~", SUBSTITUTE($A291,"|","~", 12))-FIND("~", SUBSTITUTE($A291,"|","~", 11))-1)
), "")</f>
        <v>E586236</v>
      </c>
      <c r="M291" s="47" t="str">
        <f t="shared" si="37"/>
        <v>SB120194/6/25</v>
      </c>
      <c r="N291" s="46" t="str">
        <f t="shared" si="40"/>
        <v/>
      </c>
      <c r="O291" s="60">
        <v>25</v>
      </c>
      <c r="P291" s="60">
        <v>890</v>
      </c>
      <c r="Q291" s="48">
        <v>175</v>
      </c>
      <c r="R291" s="48">
        <v>859</v>
      </c>
      <c r="S291" s="48"/>
      <c r="T291" s="48"/>
      <c r="U291" s="49"/>
      <c r="V291" s="49"/>
      <c r="W291" s="50">
        <f t="shared" si="38"/>
        <v>0</v>
      </c>
      <c r="X291" s="51" t="str">
        <f>IF(A291="", "", IF(COUNTIFS(C$3:C290, C291, D$3:D290, D291, G$3:G290, G291) &gt; 0, "", "11:00"-AW291))</f>
        <v/>
      </c>
      <c r="Y291" s="52" t="str">
        <f t="shared" si="44"/>
        <v/>
      </c>
      <c r="Z291" s="53"/>
      <c r="AA291" s="54"/>
      <c r="AB291" s="53"/>
      <c r="AC291" s="54"/>
      <c r="AD291" s="53"/>
      <c r="AE291" s="54"/>
      <c r="AF291" s="53"/>
      <c r="AG291" s="54"/>
      <c r="AH291" s="55">
        <v>4.1666666666666699E-2</v>
      </c>
      <c r="AI291" s="53"/>
      <c r="AJ291" s="54"/>
      <c r="AK291" s="53"/>
      <c r="AL291" s="54"/>
      <c r="AM291" s="53"/>
      <c r="AN291" s="54"/>
      <c r="AO291" s="53"/>
      <c r="AP291" s="54"/>
      <c r="AQ291" s="53"/>
      <c r="AR291" s="54"/>
      <c r="AS291" s="53"/>
      <c r="AT291" s="54"/>
      <c r="AU291" s="53">
        <v>4.1666666666666699E-2</v>
      </c>
      <c r="AV291" s="54" t="s">
        <v>37</v>
      </c>
      <c r="AW291" s="57">
        <f t="shared" si="41"/>
        <v>4.1666666666666699E-2</v>
      </c>
      <c r="AX291" s="58" t="s">
        <v>96</v>
      </c>
    </row>
    <row r="292" spans="1:50" ht="28.5">
      <c r="A292" s="38" t="s">
        <v>316</v>
      </c>
      <c r="B292" s="39">
        <f t="shared" si="45"/>
        <v>288</v>
      </c>
      <c r="C292" s="40">
        <v>46031</v>
      </c>
      <c r="D292" s="40" t="s">
        <v>80</v>
      </c>
      <c r="E292" s="40" t="s">
        <v>81</v>
      </c>
      <c r="F292" s="41">
        <v>655.4</v>
      </c>
      <c r="G292" s="42" t="s">
        <v>75</v>
      </c>
      <c r="H292" s="43" t="str">
        <f>IFERROR(VLOOKUP($J292,'[9]FROM (3)'!$E$4:$F$230,2,FALSE),"")</f>
        <v>JAMY</v>
      </c>
      <c r="I292" s="44" t="str">
        <f t="shared" si="42"/>
        <v>RACK BAR</v>
      </c>
      <c r="J292" s="44" t="str">
        <f t="shared" si="43"/>
        <v>JGC10-M09008-51-0</v>
      </c>
      <c r="K292" s="59" t="str">
        <f t="shared" si="39"/>
        <v>PD26010172</v>
      </c>
      <c r="L292" s="46" t="str" cm="1">
        <f t="array" ref="L292">IFERROR(_xlfn.IFS(
    LEN($A292)-LEN(SUBSTITUTE($A292,"|",""))=12, RIGHT(A292, LEN(A292)-FIND("~", SUBSTITUTE(A292,"|","~", LEN(A292)-LEN(SUBSTITUTE(A292,"|",""))))),
    LEN($A292)-LEN(SUBSTITUTE($A292,"|",""))=13, MID($A292, FIND("~", SUBSTITUTE($A292,"|","~", 11))+1, FIND("~", SUBSTITUTE($A292,"|","~", 12))-FIND("~", SUBSTITUTE($A292,"|","~", 11))-1),
    LEN($A292)-LEN(SUBSTITUTE($A292,"|",""))=14, MID($A292, FIND("~", SUBSTITUTE($A292,"|","~", 11))+1, FIND("~", SUBSTITUTE($A292,"|","~", 12))-FIND("~", SUBSTITUTE($A292,"|","~", 11))-1)
), "")</f>
        <v>E586966</v>
      </c>
      <c r="M292" s="47" t="str">
        <f t="shared" si="37"/>
        <v>SB010005/3/26</v>
      </c>
      <c r="N292" s="46" t="str">
        <f t="shared" si="40"/>
        <v/>
      </c>
      <c r="O292" s="60">
        <v>60</v>
      </c>
      <c r="P292" s="60">
        <v>874</v>
      </c>
      <c r="Q292" s="48">
        <v>300</v>
      </c>
      <c r="R292" s="48">
        <v>819</v>
      </c>
      <c r="S292" s="48"/>
      <c r="T292" s="48"/>
      <c r="U292" s="49"/>
      <c r="V292" s="49"/>
      <c r="W292" s="50">
        <f t="shared" si="38"/>
        <v>0</v>
      </c>
      <c r="X292" s="51">
        <f>IF(A292="", "", IF(COUNTIFS(C$3:C291, C292, D$3:D291, D292, G$3:G291, G292) &gt; 0, "", "11:00"-AW292))</f>
        <v>0.33333333333333326</v>
      </c>
      <c r="Y292" s="52" t="str">
        <f t="shared" si="44"/>
        <v>1:0</v>
      </c>
      <c r="Z292" s="53"/>
      <c r="AA292" s="54"/>
      <c r="AB292" s="53"/>
      <c r="AC292" s="54"/>
      <c r="AD292" s="53"/>
      <c r="AE292" s="54"/>
      <c r="AF292" s="53"/>
      <c r="AG292" s="54"/>
      <c r="AH292" s="55">
        <v>4.1666666666666699E-2</v>
      </c>
      <c r="AI292" s="53"/>
      <c r="AJ292" s="54"/>
      <c r="AK292" s="53"/>
      <c r="AL292" s="54"/>
      <c r="AM292" s="53"/>
      <c r="AN292" s="54"/>
      <c r="AO292" s="53"/>
      <c r="AP292" s="54"/>
      <c r="AQ292" s="53">
        <v>4.1666666666666664E-2</v>
      </c>
      <c r="AR292" s="54" t="s">
        <v>37</v>
      </c>
      <c r="AS292" s="53">
        <v>4.1666666666666664E-2</v>
      </c>
      <c r="AT292" s="54" t="s">
        <v>37</v>
      </c>
      <c r="AU292" s="53">
        <v>4.1666666666666699E-2</v>
      </c>
      <c r="AV292" s="54" t="s">
        <v>37</v>
      </c>
      <c r="AW292" s="57">
        <f t="shared" si="41"/>
        <v>0.12500000000000003</v>
      </c>
      <c r="AX292" s="58" t="s">
        <v>101</v>
      </c>
    </row>
    <row r="293" spans="1:50" ht="28.5">
      <c r="A293" s="38" t="s">
        <v>317</v>
      </c>
      <c r="B293" s="39">
        <f t="shared" si="45"/>
        <v>289</v>
      </c>
      <c r="C293" s="40">
        <v>46031</v>
      </c>
      <c r="D293" s="40" t="s">
        <v>80</v>
      </c>
      <c r="E293" s="40" t="s">
        <v>81</v>
      </c>
      <c r="F293" s="41">
        <v>655.4</v>
      </c>
      <c r="G293" s="42" t="s">
        <v>75</v>
      </c>
      <c r="H293" s="43" t="str">
        <f>IFERROR(VLOOKUP($J293,'[9]FROM (3)'!$E$4:$F$230,2,FALSE),"")</f>
        <v>JAMY</v>
      </c>
      <c r="I293" s="44" t="str">
        <f t="shared" si="42"/>
        <v>RACK BAR</v>
      </c>
      <c r="J293" s="44" t="str">
        <f t="shared" si="43"/>
        <v>JGC10-M09008-51-0</v>
      </c>
      <c r="K293" s="59" t="str">
        <f t="shared" si="39"/>
        <v>PD26010172</v>
      </c>
      <c r="L293" s="46" t="str" cm="1">
        <f t="array" ref="L293">IFERROR(_xlfn.IFS(
    LEN($A293)-LEN(SUBSTITUTE($A293,"|",""))=12, RIGHT(A293, LEN(A293)-FIND("~", SUBSTITUTE(A293,"|","~", LEN(A293)-LEN(SUBSTITUTE(A293,"|",""))))),
    LEN($A293)-LEN(SUBSTITUTE($A293,"|",""))=13, MID($A293, FIND("~", SUBSTITUTE($A293,"|","~", 11))+1, FIND("~", SUBSTITUTE($A293,"|","~", 12))-FIND("~", SUBSTITUTE($A293,"|","~", 11))-1),
    LEN($A293)-LEN(SUBSTITUTE($A293,"|",""))=14, MID($A293, FIND("~", SUBSTITUTE($A293,"|","~", 11))+1, FIND("~", SUBSTITUTE($A293,"|","~", 12))-FIND("~", SUBSTITUTE($A293,"|","~", 11))-1)
), "")</f>
        <v>E586966</v>
      </c>
      <c r="M293" s="47" t="str">
        <f t="shared" si="37"/>
        <v>SB010005/4/26</v>
      </c>
      <c r="N293" s="46" t="str">
        <f t="shared" si="40"/>
        <v/>
      </c>
      <c r="O293" s="60">
        <v>60</v>
      </c>
      <c r="P293" s="60">
        <v>847</v>
      </c>
      <c r="Q293" s="48">
        <v>300</v>
      </c>
      <c r="R293" s="48">
        <v>819</v>
      </c>
      <c r="S293" s="48"/>
      <c r="T293" s="48"/>
      <c r="U293" s="49">
        <v>97</v>
      </c>
      <c r="V293" s="49">
        <v>6</v>
      </c>
      <c r="W293" s="50">
        <f t="shared" si="38"/>
        <v>103</v>
      </c>
      <c r="X293" s="51" t="str">
        <f>IF(A293="", "", IF(COUNTIFS(C$3:C292, C293, D$3:D292, D293, G$3:G292, G293) &gt; 0, "", "11:00"-AW293))</f>
        <v/>
      </c>
      <c r="Y293" s="52" t="str">
        <f t="shared" si="44"/>
        <v/>
      </c>
      <c r="Z293" s="53"/>
      <c r="AA293" s="54"/>
      <c r="AB293" s="53"/>
      <c r="AC293" s="54"/>
      <c r="AD293" s="53"/>
      <c r="AE293" s="54"/>
      <c r="AF293" s="53"/>
      <c r="AG293" s="54"/>
      <c r="AH293" s="55">
        <v>4.1666666666666699E-2</v>
      </c>
      <c r="AI293" s="53"/>
      <c r="AJ293" s="54"/>
      <c r="AK293" s="53"/>
      <c r="AL293" s="54"/>
      <c r="AM293" s="53"/>
      <c r="AN293" s="54"/>
      <c r="AO293" s="53"/>
      <c r="AP293" s="54"/>
      <c r="AQ293" s="53"/>
      <c r="AR293" s="54"/>
      <c r="AS293" s="53"/>
      <c r="AT293" s="54"/>
      <c r="AU293" s="53">
        <v>4.1666666666666699E-2</v>
      </c>
      <c r="AV293" s="54" t="s">
        <v>37</v>
      </c>
      <c r="AW293" s="57">
        <f t="shared" si="41"/>
        <v>4.1666666666666699E-2</v>
      </c>
      <c r="AX293" s="58" t="s">
        <v>101</v>
      </c>
    </row>
    <row r="294" spans="1:50" ht="28.5">
      <c r="A294" s="38" t="s">
        <v>318</v>
      </c>
      <c r="B294" s="39">
        <f t="shared" si="45"/>
        <v>290</v>
      </c>
      <c r="C294" s="40">
        <v>46031</v>
      </c>
      <c r="D294" s="40" t="s">
        <v>80</v>
      </c>
      <c r="E294" s="40" t="s">
        <v>81</v>
      </c>
      <c r="F294" s="41">
        <v>655.4</v>
      </c>
      <c r="G294" s="42" t="s">
        <v>75</v>
      </c>
      <c r="H294" s="43" t="str">
        <f>IFERROR(VLOOKUP($J294,'[9]FROM (3)'!$E$4:$F$230,2,FALSE),"")</f>
        <v>JAMY</v>
      </c>
      <c r="I294" s="44" t="str">
        <f t="shared" si="42"/>
        <v>RACK BAR</v>
      </c>
      <c r="J294" s="44" t="str">
        <f t="shared" si="43"/>
        <v>JGC10-M09008-51-0</v>
      </c>
      <c r="K294" s="59" t="str">
        <f t="shared" si="39"/>
        <v>PD26010174</v>
      </c>
      <c r="L294" s="46" t="str" cm="1">
        <f t="array" ref="L294">IFERROR(_xlfn.IFS(
    LEN($A294)-LEN(SUBSTITUTE($A294,"|",""))=12, RIGHT(A294, LEN(A294)-FIND("~", SUBSTITUTE(A294,"|","~", LEN(A294)-LEN(SUBSTITUTE(A294,"|",""))))),
    LEN($A294)-LEN(SUBSTITUTE($A294,"|",""))=13, MID($A294, FIND("~", SUBSTITUTE($A294,"|","~", 11))+1, FIND("~", SUBSTITUTE($A294,"|","~", 12))-FIND("~", SUBSTITUTE($A294,"|","~", 11))-1),
    LEN($A294)-LEN(SUBSTITUTE($A294,"|",""))=14, MID($A294, FIND("~", SUBSTITUTE($A294,"|","~", 11))+1, FIND("~", SUBSTITUTE($A294,"|","~", 12))-FIND("~", SUBSTITUTE($A294,"|","~", 11))-1)
), "")</f>
        <v>E586966</v>
      </c>
      <c r="M294" s="47" t="str">
        <f t="shared" si="37"/>
        <v>SB010008/1/26</v>
      </c>
      <c r="N294" s="46" t="str">
        <f t="shared" si="40"/>
        <v/>
      </c>
      <c r="O294" s="60">
        <v>60</v>
      </c>
      <c r="P294" s="60">
        <v>847</v>
      </c>
      <c r="Q294" s="48">
        <v>300</v>
      </c>
      <c r="R294" s="48">
        <v>819</v>
      </c>
      <c r="S294" s="48"/>
      <c r="T294" s="48"/>
      <c r="U294" s="49"/>
      <c r="V294" s="49"/>
      <c r="W294" s="50">
        <f t="shared" si="38"/>
        <v>0</v>
      </c>
      <c r="X294" s="51" t="str">
        <f>IF(A294="", "", IF(COUNTIFS(C$3:C293, C294, D$3:D293, D294, G$3:G293, G294) &gt; 0, "", "11:00"-AW294))</f>
        <v/>
      </c>
      <c r="Y294" s="52" t="str">
        <f t="shared" si="44"/>
        <v/>
      </c>
      <c r="Z294" s="53"/>
      <c r="AA294" s="54"/>
      <c r="AB294" s="53"/>
      <c r="AC294" s="54"/>
      <c r="AD294" s="53"/>
      <c r="AE294" s="54"/>
      <c r="AF294" s="53"/>
      <c r="AG294" s="54"/>
      <c r="AH294" s="55">
        <v>4.1666666666666699E-2</v>
      </c>
      <c r="AI294" s="53"/>
      <c r="AJ294" s="54"/>
      <c r="AK294" s="53"/>
      <c r="AL294" s="54"/>
      <c r="AM294" s="53"/>
      <c r="AN294" s="54"/>
      <c r="AO294" s="53"/>
      <c r="AP294" s="54"/>
      <c r="AQ294" s="53"/>
      <c r="AR294" s="54"/>
      <c r="AS294" s="53"/>
      <c r="AT294" s="54"/>
      <c r="AU294" s="53">
        <v>4.1666666666666699E-2</v>
      </c>
      <c r="AV294" s="54" t="s">
        <v>37</v>
      </c>
      <c r="AW294" s="57">
        <f t="shared" si="41"/>
        <v>4.1666666666666699E-2</v>
      </c>
      <c r="AX294" s="58" t="s">
        <v>101</v>
      </c>
    </row>
    <row r="295" spans="1:50" ht="28.5">
      <c r="A295" s="38" t="s">
        <v>319</v>
      </c>
      <c r="B295" s="39">
        <f t="shared" si="45"/>
        <v>291</v>
      </c>
      <c r="C295" s="40">
        <v>46031</v>
      </c>
      <c r="D295" s="40" t="s">
        <v>80</v>
      </c>
      <c r="E295" s="40" t="s">
        <v>81</v>
      </c>
      <c r="F295" s="41">
        <v>655.4</v>
      </c>
      <c r="G295" s="42" t="s">
        <v>75</v>
      </c>
      <c r="H295" s="43" t="str">
        <f>IFERROR(VLOOKUP($J295,'[9]FROM (3)'!$E$4:$F$230,2,FALSE),"")</f>
        <v>JAMY</v>
      </c>
      <c r="I295" s="44" t="str">
        <f t="shared" si="42"/>
        <v>RACK BAR</v>
      </c>
      <c r="J295" s="44" t="str">
        <f t="shared" si="43"/>
        <v>JGC10-M09008-51-0</v>
      </c>
      <c r="K295" s="59" t="str">
        <f t="shared" si="39"/>
        <v>PD26010174</v>
      </c>
      <c r="L295" s="46" t="str" cm="1">
        <f t="array" ref="L295">IFERROR(_xlfn.IFS(
    LEN($A295)-LEN(SUBSTITUTE($A295,"|",""))=12, RIGHT(A295, LEN(A295)-FIND("~", SUBSTITUTE(A295,"|","~", LEN(A295)-LEN(SUBSTITUTE(A295,"|",""))))),
    LEN($A295)-LEN(SUBSTITUTE($A295,"|",""))=13, MID($A295, FIND("~", SUBSTITUTE($A295,"|","~", 11))+1, FIND("~", SUBSTITUTE($A295,"|","~", 12))-FIND("~", SUBSTITUTE($A295,"|","~", 11))-1),
    LEN($A295)-LEN(SUBSTITUTE($A295,"|",""))=14, MID($A295, FIND("~", SUBSTITUTE($A295,"|","~", 11))+1, FIND("~", SUBSTITUTE($A295,"|","~", 12))-FIND("~", SUBSTITUTE($A295,"|","~", 11))-1)
), "")</f>
        <v>E586966</v>
      </c>
      <c r="M295" s="47" t="str">
        <f t="shared" si="37"/>
        <v>SB010008/2/26</v>
      </c>
      <c r="N295" s="46" t="str">
        <f t="shared" si="40"/>
        <v/>
      </c>
      <c r="O295" s="60">
        <v>60</v>
      </c>
      <c r="P295" s="60">
        <v>847</v>
      </c>
      <c r="Q295" s="48">
        <v>36</v>
      </c>
      <c r="R295" s="48">
        <v>89</v>
      </c>
      <c r="S295" s="48"/>
      <c r="T295" s="48"/>
      <c r="U295" s="49"/>
      <c r="V295" s="49"/>
      <c r="W295" s="50">
        <f t="shared" si="38"/>
        <v>0</v>
      </c>
      <c r="X295" s="51" t="str">
        <f>IF(A295="", "", IF(COUNTIFS(C$3:C294, C295, D$3:D294, D295, G$3:G294, G295) &gt; 0, "", "11:00"-AW295))</f>
        <v/>
      </c>
      <c r="Y295" s="52" t="str">
        <f t="shared" si="44"/>
        <v/>
      </c>
      <c r="Z295" s="53"/>
      <c r="AA295" s="54"/>
      <c r="AB295" s="53"/>
      <c r="AC295" s="54"/>
      <c r="AD295" s="53"/>
      <c r="AE295" s="54"/>
      <c r="AF295" s="53"/>
      <c r="AG295" s="54"/>
      <c r="AH295" s="55">
        <v>4.1666666666666699E-2</v>
      </c>
      <c r="AI295" s="53"/>
      <c r="AJ295" s="54"/>
      <c r="AK295" s="53"/>
      <c r="AL295" s="54"/>
      <c r="AM295" s="53"/>
      <c r="AN295" s="54"/>
      <c r="AO295" s="53"/>
      <c r="AP295" s="54"/>
      <c r="AQ295" s="53"/>
      <c r="AR295" s="54"/>
      <c r="AS295" s="53"/>
      <c r="AT295" s="54"/>
      <c r="AU295" s="53">
        <v>4.1666666666666699E-2</v>
      </c>
      <c r="AV295" s="54" t="s">
        <v>37</v>
      </c>
      <c r="AW295" s="57">
        <f t="shared" si="41"/>
        <v>4.1666666666666699E-2</v>
      </c>
      <c r="AX295" s="58" t="s">
        <v>101</v>
      </c>
    </row>
    <row r="296" spans="1:50" ht="28.5">
      <c r="A296" s="38" t="s">
        <v>320</v>
      </c>
      <c r="B296" s="39">
        <f t="shared" si="45"/>
        <v>292</v>
      </c>
      <c r="C296" s="40">
        <v>46031</v>
      </c>
      <c r="D296" s="40" t="s">
        <v>80</v>
      </c>
      <c r="E296" s="40" t="s">
        <v>81</v>
      </c>
      <c r="F296" s="41">
        <v>565</v>
      </c>
      <c r="G296" s="42" t="s">
        <v>54</v>
      </c>
      <c r="H296" s="43" t="str">
        <f>IFERROR(VLOOKUP($J296,'[9]FROM (3)'!$E$4:$F$230,2,FALSE),"")</f>
        <v>JTCS</v>
      </c>
      <c r="I296" s="44" t="str">
        <f t="shared" si="42"/>
        <v>Rack, MS</v>
      </c>
      <c r="J296" s="44" t="str">
        <f t="shared" si="43"/>
        <v>JGC10-003280-40-0</v>
      </c>
      <c r="K296" s="59" t="str">
        <f t="shared" si="39"/>
        <v>PD26010353</v>
      </c>
      <c r="L296" s="46" t="str" cm="1">
        <f t="array" ref="L296">IFERROR(_xlfn.IFS(
    LEN($A296)-LEN(SUBSTITUTE($A296,"|",""))=12, RIGHT(A296, LEN(A296)-FIND("~", SUBSTITUTE(A296,"|","~", LEN(A296)-LEN(SUBSTITUTE(A296,"|",""))))),
    LEN($A296)-LEN(SUBSTITUTE($A296,"|",""))=13, MID($A296, FIND("~", SUBSTITUTE($A296,"|","~", 11))+1, FIND("~", SUBSTITUTE($A296,"|","~", 12))-FIND("~", SUBSTITUTE($A296,"|","~", 11))-1),
    LEN($A296)-LEN(SUBSTITUTE($A296,"|",""))=14, MID($A296, FIND("~", SUBSTITUTE($A296,"|","~", 11))+1, FIND("~", SUBSTITUTE($A296,"|","~", 12))-FIND("~", SUBSTITUTE($A296,"|","~", 11))-1)
), "")</f>
        <v>E586613</v>
      </c>
      <c r="M296" s="47" t="str">
        <f t="shared" si="37"/>
        <v>SB010032/1/26</v>
      </c>
      <c r="N296" s="46" t="str">
        <f t="shared" si="40"/>
        <v/>
      </c>
      <c r="O296" s="60">
        <v>70</v>
      </c>
      <c r="P296" s="60">
        <v>874</v>
      </c>
      <c r="Q296" s="48">
        <v>385</v>
      </c>
      <c r="R296" s="48">
        <v>772</v>
      </c>
      <c r="S296" s="48"/>
      <c r="T296" s="48"/>
      <c r="U296" s="49"/>
      <c r="V296" s="49"/>
      <c r="W296" s="50">
        <f t="shared" si="38"/>
        <v>0</v>
      </c>
      <c r="X296" s="51">
        <f>IF(A296="", "", IF(COUNTIFS(C$3:C295, C296, D$3:D295, D296, G$3:G295, G296) &gt; 0, "", "11:00"-AW296))</f>
        <v>0.29166666666666663</v>
      </c>
      <c r="Y296" s="52" t="str">
        <f t="shared" si="44"/>
        <v>1:0</v>
      </c>
      <c r="Z296" s="53">
        <v>4.1666666666666664E-2</v>
      </c>
      <c r="AA296" s="54" t="s">
        <v>67</v>
      </c>
      <c r="AB296" s="53"/>
      <c r="AC296" s="54"/>
      <c r="AD296" s="53"/>
      <c r="AE296" s="54"/>
      <c r="AF296" s="53"/>
      <c r="AG296" s="54"/>
      <c r="AH296" s="55">
        <v>4.1666666666666699E-2</v>
      </c>
      <c r="AI296" s="53"/>
      <c r="AJ296" s="54"/>
      <c r="AK296" s="53"/>
      <c r="AL296" s="54"/>
      <c r="AM296" s="53"/>
      <c r="AN296" s="54"/>
      <c r="AO296" s="53"/>
      <c r="AP296" s="54"/>
      <c r="AQ296" s="53">
        <v>4.1666666666666664E-2</v>
      </c>
      <c r="AR296" s="54" t="s">
        <v>37</v>
      </c>
      <c r="AS296" s="53">
        <v>4.1666666666666664E-2</v>
      </c>
      <c r="AT296" s="54" t="s">
        <v>37</v>
      </c>
      <c r="AU296" s="53">
        <v>4.1666666666666699E-2</v>
      </c>
      <c r="AV296" s="54" t="s">
        <v>37</v>
      </c>
      <c r="AW296" s="57">
        <f t="shared" si="41"/>
        <v>0.16666666666666669</v>
      </c>
      <c r="AX296" s="58" t="s">
        <v>91</v>
      </c>
    </row>
    <row r="297" spans="1:50" ht="28.5">
      <c r="A297" s="38" t="s">
        <v>321</v>
      </c>
      <c r="B297" s="39">
        <f t="shared" si="45"/>
        <v>293</v>
      </c>
      <c r="C297" s="40">
        <v>46031</v>
      </c>
      <c r="D297" s="40" t="s">
        <v>80</v>
      </c>
      <c r="E297" s="40" t="s">
        <v>81</v>
      </c>
      <c r="F297" s="41">
        <v>565</v>
      </c>
      <c r="G297" s="42" t="s">
        <v>54</v>
      </c>
      <c r="H297" s="43" t="str">
        <f>IFERROR(VLOOKUP($J297,'[9]FROM (3)'!$E$4:$F$230,2,FALSE),"")</f>
        <v>JTCS</v>
      </c>
      <c r="I297" s="44" t="str">
        <f t="shared" si="42"/>
        <v>Rack, MS</v>
      </c>
      <c r="J297" s="44" t="str">
        <f t="shared" si="43"/>
        <v>JGC10-003280-40-0</v>
      </c>
      <c r="K297" s="59" t="str">
        <f t="shared" si="39"/>
        <v>PD26010353</v>
      </c>
      <c r="L297" s="46" t="str" cm="1">
        <f t="array" ref="L297">IFERROR(_xlfn.IFS(
    LEN($A297)-LEN(SUBSTITUTE($A297,"|",""))=12, RIGHT(A297, LEN(A297)-FIND("~", SUBSTITUTE(A297,"|","~", LEN(A297)-LEN(SUBSTITUTE(A297,"|",""))))),
    LEN($A297)-LEN(SUBSTITUTE($A297,"|",""))=13, MID($A297, FIND("~", SUBSTITUTE($A297,"|","~", 11))+1, FIND("~", SUBSTITUTE($A297,"|","~", 12))-FIND("~", SUBSTITUTE($A297,"|","~", 11))-1),
    LEN($A297)-LEN(SUBSTITUTE($A297,"|",""))=14, MID($A297, FIND("~", SUBSTITUTE($A297,"|","~", 11))+1, FIND("~", SUBSTITUTE($A297,"|","~", 12))-FIND("~", SUBSTITUTE($A297,"|","~", 11))-1)
), "")</f>
        <v>E586613</v>
      </c>
      <c r="M297" s="47" t="str">
        <f t="shared" si="37"/>
        <v>SB010032/2/26</v>
      </c>
      <c r="N297" s="46" t="str">
        <f t="shared" si="40"/>
        <v/>
      </c>
      <c r="O297" s="60">
        <v>70</v>
      </c>
      <c r="P297" s="60">
        <v>874</v>
      </c>
      <c r="Q297" s="48">
        <v>385</v>
      </c>
      <c r="R297" s="48">
        <v>772</v>
      </c>
      <c r="S297" s="48"/>
      <c r="T297" s="48"/>
      <c r="U297" s="49"/>
      <c r="V297" s="49"/>
      <c r="W297" s="50">
        <f t="shared" si="38"/>
        <v>0</v>
      </c>
      <c r="X297" s="51" t="str">
        <f>IF(A297="", "", IF(COUNTIFS(C$3:C296, C297, D$3:D296, D297, G$3:G296, G297) &gt; 0, "", "11:00"-AW297))</f>
        <v/>
      </c>
      <c r="Y297" s="52" t="str">
        <f t="shared" si="44"/>
        <v/>
      </c>
      <c r="Z297" s="53"/>
      <c r="AA297" s="54"/>
      <c r="AB297" s="53"/>
      <c r="AC297" s="54"/>
      <c r="AD297" s="53"/>
      <c r="AE297" s="54"/>
      <c r="AF297" s="53"/>
      <c r="AG297" s="54"/>
      <c r="AH297" s="55">
        <v>4.1666666666666699E-2</v>
      </c>
      <c r="AI297" s="53"/>
      <c r="AJ297" s="54"/>
      <c r="AK297" s="53"/>
      <c r="AL297" s="54"/>
      <c r="AM297" s="53"/>
      <c r="AN297" s="54"/>
      <c r="AO297" s="53"/>
      <c r="AP297" s="54"/>
      <c r="AQ297" s="53"/>
      <c r="AR297" s="54"/>
      <c r="AS297" s="53"/>
      <c r="AT297" s="54"/>
      <c r="AU297" s="53">
        <v>4.1666666666666699E-2</v>
      </c>
      <c r="AV297" s="54" t="s">
        <v>37</v>
      </c>
      <c r="AW297" s="57">
        <f t="shared" si="41"/>
        <v>4.1666666666666699E-2</v>
      </c>
      <c r="AX297" s="58" t="s">
        <v>91</v>
      </c>
    </row>
    <row r="298" spans="1:50" ht="28.5">
      <c r="A298" s="38" t="s">
        <v>322</v>
      </c>
      <c r="B298" s="39">
        <f t="shared" si="45"/>
        <v>294</v>
      </c>
      <c r="C298" s="40">
        <v>46031</v>
      </c>
      <c r="D298" s="40" t="s">
        <v>80</v>
      </c>
      <c r="E298" s="40" t="s">
        <v>81</v>
      </c>
      <c r="F298" s="41">
        <v>565</v>
      </c>
      <c r="G298" s="42" t="s">
        <v>54</v>
      </c>
      <c r="H298" s="43" t="str">
        <f>IFERROR(VLOOKUP($J298,'[9]FROM (3)'!$E$4:$F$230,2,FALSE),"")</f>
        <v>JTCS</v>
      </c>
      <c r="I298" s="44" t="str">
        <f t="shared" si="42"/>
        <v>Rack, MS</v>
      </c>
      <c r="J298" s="44" t="str">
        <f t="shared" si="43"/>
        <v>JGC10-003280-40-0</v>
      </c>
      <c r="K298" s="59" t="str">
        <f t="shared" si="39"/>
        <v>PD26010353</v>
      </c>
      <c r="L298" s="46" t="str" cm="1">
        <f t="array" ref="L298">IFERROR(_xlfn.IFS(
    LEN($A298)-LEN(SUBSTITUTE($A298,"|",""))=12, RIGHT(A298, LEN(A298)-FIND("~", SUBSTITUTE(A298,"|","~", LEN(A298)-LEN(SUBSTITUTE(A298,"|",""))))),
    LEN($A298)-LEN(SUBSTITUTE($A298,"|",""))=13, MID($A298, FIND("~", SUBSTITUTE($A298,"|","~", 11))+1, FIND("~", SUBSTITUTE($A298,"|","~", 12))-FIND("~", SUBSTITUTE($A298,"|","~", 11))-1),
    LEN($A298)-LEN(SUBSTITUTE($A298,"|",""))=14, MID($A298, FIND("~", SUBSTITUTE($A298,"|","~", 11))+1, FIND("~", SUBSTITUTE($A298,"|","~", 12))-FIND("~", SUBSTITUTE($A298,"|","~", 11))-1)
), "")</f>
        <v>E586613</v>
      </c>
      <c r="M298" s="47" t="str">
        <f t="shared" si="37"/>
        <v>SB010032/3/26</v>
      </c>
      <c r="N298" s="46" t="str">
        <f t="shared" si="40"/>
        <v/>
      </c>
      <c r="O298" s="60">
        <v>70</v>
      </c>
      <c r="P298" s="60">
        <v>874</v>
      </c>
      <c r="Q298" s="48">
        <v>45</v>
      </c>
      <c r="R298" s="48">
        <v>90</v>
      </c>
      <c r="S298" s="48"/>
      <c r="T298" s="48"/>
      <c r="U298" s="49"/>
      <c r="V298" s="49"/>
      <c r="W298" s="50">
        <f t="shared" si="38"/>
        <v>0</v>
      </c>
      <c r="X298" s="51" t="str">
        <f>IF(A298="", "", IF(COUNTIFS(C$3:C297, C298, D$3:D297, D298, G$3:G297, G298) &gt; 0, "", "11:00"-AW298))</f>
        <v/>
      </c>
      <c r="Y298" s="52" t="str">
        <f t="shared" si="44"/>
        <v/>
      </c>
      <c r="Z298" s="53"/>
      <c r="AA298" s="54"/>
      <c r="AB298" s="53"/>
      <c r="AC298" s="54"/>
      <c r="AD298" s="53"/>
      <c r="AE298" s="54"/>
      <c r="AF298" s="53"/>
      <c r="AG298" s="54"/>
      <c r="AH298" s="55">
        <v>4.1666666666666699E-2</v>
      </c>
      <c r="AI298" s="53"/>
      <c r="AJ298" s="54"/>
      <c r="AK298" s="53"/>
      <c r="AL298" s="54"/>
      <c r="AM298" s="53"/>
      <c r="AN298" s="54"/>
      <c r="AO298" s="53"/>
      <c r="AP298" s="54"/>
      <c r="AQ298" s="53"/>
      <c r="AR298" s="54"/>
      <c r="AS298" s="53"/>
      <c r="AT298" s="54"/>
      <c r="AU298" s="53">
        <v>4.1666666666666699E-2</v>
      </c>
      <c r="AV298" s="54" t="s">
        <v>37</v>
      </c>
      <c r="AW298" s="57">
        <f t="shared" si="41"/>
        <v>4.1666666666666699E-2</v>
      </c>
      <c r="AX298" s="58" t="s">
        <v>91</v>
      </c>
    </row>
    <row r="299" spans="1:50" ht="28.5">
      <c r="A299" s="38" t="s">
        <v>303</v>
      </c>
      <c r="B299" s="39">
        <f t="shared" si="45"/>
        <v>295</v>
      </c>
      <c r="C299" s="40">
        <v>46031</v>
      </c>
      <c r="D299" s="40" t="s">
        <v>80</v>
      </c>
      <c r="E299" s="40" t="s">
        <v>81</v>
      </c>
      <c r="F299" s="41">
        <v>721.5</v>
      </c>
      <c r="G299" s="42" t="s">
        <v>85</v>
      </c>
      <c r="H299" s="43" t="str">
        <f>IFERROR(VLOOKUP($J299,'[9]FROM (3)'!$E$4:$F$230,2,FALSE),"")</f>
        <v>JCTTH</v>
      </c>
      <c r="I299" s="44" t="str">
        <f t="shared" si="42"/>
        <v>RACK POWER STEERING</v>
      </c>
      <c r="J299" s="44" t="str">
        <f t="shared" si="43"/>
        <v>2-30JG-0711</v>
      </c>
      <c r="K299" s="59" t="str">
        <f t="shared" si="39"/>
        <v>PD25121184</v>
      </c>
      <c r="L299" s="46" t="str" cm="1">
        <f t="array" ref="L299">IFERROR(_xlfn.IFS(
    LEN($A299)-LEN(SUBSTITUTE($A299,"|",""))=12, RIGHT(A299, LEN(A299)-FIND("~", SUBSTITUTE(A299,"|","~", LEN(A299)-LEN(SUBSTITUTE(A299,"|",""))))),
    LEN($A299)-LEN(SUBSTITUTE($A299,"|",""))=13, MID($A299, FIND("~", SUBSTITUTE($A299,"|","~", 11))+1, FIND("~", SUBSTITUTE($A299,"|","~", 12))-FIND("~", SUBSTITUTE($A299,"|","~", 11))-1),
    LEN($A299)-LEN(SUBSTITUTE($A299,"|",""))=14, MID($A299, FIND("~", SUBSTITUTE($A299,"|","~", 11))+1, FIND("~", SUBSTITUTE($A299,"|","~", 12))-FIND("~", SUBSTITUTE($A299,"|","~", 11))-1)
), "")</f>
        <v>E586100</v>
      </c>
      <c r="M299" s="47" t="str">
        <f t="shared" si="37"/>
        <v>SB120150/1/25</v>
      </c>
      <c r="N299" s="46" t="str">
        <f t="shared" si="40"/>
        <v/>
      </c>
      <c r="O299" s="60" t="s">
        <v>35</v>
      </c>
      <c r="P299" s="60" t="s">
        <v>35</v>
      </c>
      <c r="Q299" s="48">
        <v>150</v>
      </c>
      <c r="R299" s="48">
        <v>615</v>
      </c>
      <c r="S299" s="48" t="s">
        <v>35</v>
      </c>
      <c r="T299" s="48"/>
      <c r="U299" s="49"/>
      <c r="V299" s="49"/>
      <c r="W299" s="50">
        <f t="shared" si="38"/>
        <v>0</v>
      </c>
      <c r="X299" s="51">
        <f>IF(A299="", "", IF(COUNTIFS(C$3:C298, C299, D$3:D298, D299, G$3:G298, G299) &gt; 0, "", "11:00"-AW299))</f>
        <v>0.29166666666666663</v>
      </c>
      <c r="Y299" s="52" t="str">
        <f t="shared" si="44"/>
        <v>1:0</v>
      </c>
      <c r="Z299" s="53"/>
      <c r="AA299" s="54"/>
      <c r="AB299" s="53"/>
      <c r="AC299" s="54"/>
      <c r="AD299" s="53"/>
      <c r="AE299" s="54"/>
      <c r="AF299" s="53">
        <v>4.1666666666666664E-2</v>
      </c>
      <c r="AG299" s="54" t="s">
        <v>67</v>
      </c>
      <c r="AH299" s="55">
        <v>4.1666666666666699E-2</v>
      </c>
      <c r="AI299" s="53"/>
      <c r="AJ299" s="54"/>
      <c r="AK299" s="53"/>
      <c r="AL299" s="54"/>
      <c r="AM299" s="53"/>
      <c r="AN299" s="54"/>
      <c r="AO299" s="53"/>
      <c r="AP299" s="54"/>
      <c r="AQ299" s="53">
        <v>4.1666666666666664E-2</v>
      </c>
      <c r="AR299" s="54" t="s">
        <v>37</v>
      </c>
      <c r="AS299" s="53">
        <v>4.1666666666666664E-2</v>
      </c>
      <c r="AT299" s="54" t="s">
        <v>37</v>
      </c>
      <c r="AU299" s="53">
        <v>4.1666666666666699E-2</v>
      </c>
      <c r="AV299" s="54" t="s">
        <v>37</v>
      </c>
      <c r="AW299" s="57">
        <f t="shared" si="41"/>
        <v>0.16666666666666669</v>
      </c>
      <c r="AX299" s="58" t="s">
        <v>86</v>
      </c>
    </row>
    <row r="300" spans="1:50" ht="28.5">
      <c r="A300" s="38" t="s">
        <v>323</v>
      </c>
      <c r="B300" s="39">
        <f t="shared" si="45"/>
        <v>296</v>
      </c>
      <c r="C300" s="40">
        <v>46031</v>
      </c>
      <c r="D300" s="40" t="s">
        <v>80</v>
      </c>
      <c r="E300" s="40" t="s">
        <v>81</v>
      </c>
      <c r="F300" s="41">
        <v>721.5</v>
      </c>
      <c r="G300" s="42" t="s">
        <v>85</v>
      </c>
      <c r="H300" s="43" t="str">
        <f>IFERROR(VLOOKUP($J300,'[9]FROM (3)'!$E$4:$F$230,2,FALSE),"")</f>
        <v>JCTTH</v>
      </c>
      <c r="I300" s="44" t="str">
        <f t="shared" si="42"/>
        <v>RACK POWER STEERING</v>
      </c>
      <c r="J300" s="44" t="str">
        <f t="shared" si="43"/>
        <v>2-30JG-0711</v>
      </c>
      <c r="K300" s="59" t="str">
        <f t="shared" si="39"/>
        <v>PD25121184</v>
      </c>
      <c r="L300" s="46" t="str" cm="1">
        <f t="array" ref="L300">IFERROR(_xlfn.IFS(
    LEN($A300)-LEN(SUBSTITUTE($A300,"|",""))=12, RIGHT(A300, LEN(A300)-FIND("~", SUBSTITUTE(A300,"|","~", LEN(A300)-LEN(SUBSTITUTE(A300,"|",""))))),
    LEN($A300)-LEN(SUBSTITUTE($A300,"|",""))=13, MID($A300, FIND("~", SUBSTITUTE($A300,"|","~", 11))+1, FIND("~", SUBSTITUTE($A300,"|","~", 12))-FIND("~", SUBSTITUTE($A300,"|","~", 11))-1),
    LEN($A300)-LEN(SUBSTITUTE($A300,"|",""))=14, MID($A300, FIND("~", SUBSTITUTE($A300,"|","~", 11))+1, FIND("~", SUBSTITUTE($A300,"|","~", 12))-FIND("~", SUBSTITUTE($A300,"|","~", 11))-1)
), "")</f>
        <v>E586100</v>
      </c>
      <c r="M300" s="47" t="str">
        <f t="shared" si="37"/>
        <v>SB120150/2/25</v>
      </c>
      <c r="N300" s="46" t="str">
        <f t="shared" si="40"/>
        <v/>
      </c>
      <c r="O300" s="60">
        <v>50</v>
      </c>
      <c r="P300" s="60">
        <v>876</v>
      </c>
      <c r="Q300" s="48">
        <v>200</v>
      </c>
      <c r="R300" s="48">
        <v>820</v>
      </c>
      <c r="S300" s="48" t="s">
        <v>35</v>
      </c>
      <c r="T300" s="48"/>
      <c r="U300" s="49">
        <v>143</v>
      </c>
      <c r="V300" s="49">
        <v>9</v>
      </c>
      <c r="W300" s="50">
        <f t="shared" si="38"/>
        <v>152</v>
      </c>
      <c r="X300" s="51" t="str">
        <f>IF(A300="", "", IF(COUNTIFS(C$3:C299, C300, D$3:D299, D300, G$3:G299, G300) &gt; 0, "", "11:00"-AW300))</f>
        <v/>
      </c>
      <c r="Y300" s="52" t="str">
        <f t="shared" si="44"/>
        <v/>
      </c>
      <c r="Z300" s="53"/>
      <c r="AA300" s="54"/>
      <c r="AB300" s="53"/>
      <c r="AC300" s="54"/>
      <c r="AD300" s="53"/>
      <c r="AE300" s="54"/>
      <c r="AF300" s="53"/>
      <c r="AG300" s="54"/>
      <c r="AH300" s="55">
        <v>4.1666666666666699E-2</v>
      </c>
      <c r="AI300" s="53"/>
      <c r="AJ300" s="54"/>
      <c r="AK300" s="53"/>
      <c r="AL300" s="54"/>
      <c r="AM300" s="53"/>
      <c r="AN300" s="54"/>
      <c r="AO300" s="53"/>
      <c r="AP300" s="54"/>
      <c r="AQ300" s="53"/>
      <c r="AR300" s="54"/>
      <c r="AS300" s="53"/>
      <c r="AT300" s="54"/>
      <c r="AU300" s="53">
        <v>4.1666666666666699E-2</v>
      </c>
      <c r="AV300" s="54" t="s">
        <v>37</v>
      </c>
      <c r="AW300" s="57">
        <f t="shared" si="41"/>
        <v>4.1666666666666699E-2</v>
      </c>
      <c r="AX300" s="58" t="s">
        <v>86</v>
      </c>
    </row>
    <row r="301" spans="1:50" ht="28.5">
      <c r="A301" s="38" t="s">
        <v>324</v>
      </c>
      <c r="B301" s="39">
        <f t="shared" si="45"/>
        <v>297</v>
      </c>
      <c r="C301" s="40">
        <v>46031</v>
      </c>
      <c r="D301" s="40" t="s">
        <v>80</v>
      </c>
      <c r="E301" s="40" t="s">
        <v>81</v>
      </c>
      <c r="F301" s="41">
        <v>548.4</v>
      </c>
      <c r="G301" s="42" t="s">
        <v>85</v>
      </c>
      <c r="H301" s="43" t="str">
        <f>IFERROR(VLOOKUP($J301,'[9]FROM (3)'!$E$4:$F$230,2,FALSE),"")</f>
        <v>JTCS</v>
      </c>
      <c r="I301" s="44" t="str">
        <f t="shared" si="42"/>
        <v>RACK BAR</v>
      </c>
      <c r="J301" s="44" t="str">
        <f t="shared" si="43"/>
        <v>JGC10S002020-B</v>
      </c>
      <c r="K301" s="59" t="str">
        <f t="shared" si="39"/>
        <v>PD26010348</v>
      </c>
      <c r="L301" s="46" t="str" cm="1">
        <f t="array" ref="L301">IFERROR(_xlfn.IFS(
    LEN($A301)-LEN(SUBSTITUTE($A301,"|",""))=12, RIGHT(A301, LEN(A301)-FIND("~", SUBSTITUTE(A301,"|","~", LEN(A301)-LEN(SUBSTITUTE(A301,"|",""))))),
    LEN($A301)-LEN(SUBSTITUTE($A301,"|",""))=13, MID($A301, FIND("~", SUBSTITUTE($A301,"|","~", 11))+1, FIND("~", SUBSTITUTE($A301,"|","~", 12))-FIND("~", SUBSTITUTE($A301,"|","~", 11))-1),
    LEN($A301)-LEN(SUBSTITUTE($A301,"|",""))=14, MID($A301, FIND("~", SUBSTITUTE($A301,"|","~", 11))+1, FIND("~", SUBSTITUTE($A301,"|","~", 12))-FIND("~", SUBSTITUTE($A301,"|","~", 11))-1)
), "")</f>
        <v>E586664</v>
      </c>
      <c r="M301" s="47" t="str">
        <f t="shared" si="37"/>
        <v>SB010029/2/26</v>
      </c>
      <c r="N301" s="46" t="str">
        <f t="shared" si="40"/>
        <v/>
      </c>
      <c r="O301" s="60">
        <v>60</v>
      </c>
      <c r="P301" s="60">
        <v>870</v>
      </c>
      <c r="Q301" s="48">
        <v>360</v>
      </c>
      <c r="R301" s="48">
        <v>823</v>
      </c>
      <c r="S301" s="48" t="s">
        <v>35</v>
      </c>
      <c r="T301" s="48"/>
      <c r="U301" s="49"/>
      <c r="V301" s="49"/>
      <c r="W301" s="50">
        <f t="shared" si="38"/>
        <v>0</v>
      </c>
      <c r="X301" s="51" t="str">
        <f>IF(A301="", "", IF(COUNTIFS(C$3:C300, C301, D$3:D300, D301, G$3:G300, G301) &gt; 0, "", "11:00"-AW301))</f>
        <v/>
      </c>
      <c r="Y301" s="52" t="str">
        <f t="shared" si="44"/>
        <v/>
      </c>
      <c r="Z301" s="53"/>
      <c r="AA301" s="54"/>
      <c r="AB301" s="53"/>
      <c r="AC301" s="54"/>
      <c r="AD301" s="53"/>
      <c r="AE301" s="54"/>
      <c r="AF301" s="53"/>
      <c r="AG301" s="54"/>
      <c r="AH301" s="55">
        <v>4.1666666666666699E-2</v>
      </c>
      <c r="AI301" s="53"/>
      <c r="AJ301" s="54"/>
      <c r="AK301" s="53"/>
      <c r="AL301" s="54"/>
      <c r="AM301" s="53"/>
      <c r="AN301" s="54"/>
      <c r="AO301" s="53"/>
      <c r="AP301" s="54"/>
      <c r="AQ301" s="53"/>
      <c r="AR301" s="54"/>
      <c r="AS301" s="53"/>
      <c r="AT301" s="54"/>
      <c r="AU301" s="53">
        <v>4.1666666666666699E-2</v>
      </c>
      <c r="AV301" s="54" t="s">
        <v>37</v>
      </c>
      <c r="AW301" s="57">
        <f t="shared" si="41"/>
        <v>4.1666666666666699E-2</v>
      </c>
      <c r="AX301" s="58" t="s">
        <v>86</v>
      </c>
    </row>
    <row r="302" spans="1:50" ht="28.5">
      <c r="A302" s="38" t="s">
        <v>325</v>
      </c>
      <c r="B302" s="39">
        <f t="shared" si="45"/>
        <v>298</v>
      </c>
      <c r="C302" s="40">
        <v>46031</v>
      </c>
      <c r="D302" s="40" t="s">
        <v>80</v>
      </c>
      <c r="E302" s="40" t="s">
        <v>81</v>
      </c>
      <c r="F302" s="41">
        <v>548.4</v>
      </c>
      <c r="G302" s="42" t="s">
        <v>85</v>
      </c>
      <c r="H302" s="43" t="str">
        <f>IFERROR(VLOOKUP($J302,'[9]FROM (3)'!$E$4:$F$230,2,FALSE),"")</f>
        <v>JTCS</v>
      </c>
      <c r="I302" s="44" t="str">
        <f t="shared" si="42"/>
        <v>RACK BAR</v>
      </c>
      <c r="J302" s="44" t="str">
        <f t="shared" si="43"/>
        <v>JGC10S002020-B</v>
      </c>
      <c r="K302" s="59" t="str">
        <f t="shared" si="39"/>
        <v>PD26010348</v>
      </c>
      <c r="L302" s="46" t="str" cm="1">
        <f t="array" ref="L302">IFERROR(_xlfn.IFS(
    LEN($A302)-LEN(SUBSTITUTE($A302,"|",""))=12, RIGHT(A302, LEN(A302)-FIND("~", SUBSTITUTE(A302,"|","~", LEN(A302)-LEN(SUBSTITUTE(A302,"|",""))))),
    LEN($A302)-LEN(SUBSTITUTE($A302,"|",""))=13, MID($A302, FIND("~", SUBSTITUTE($A302,"|","~", 11))+1, FIND("~", SUBSTITUTE($A302,"|","~", 12))-FIND("~", SUBSTITUTE($A302,"|","~", 11))-1),
    LEN($A302)-LEN(SUBSTITUTE($A302,"|",""))=14, MID($A302, FIND("~", SUBSTITUTE($A302,"|","~", 11))+1, FIND("~", SUBSTITUTE($A302,"|","~", 12))-FIND("~", SUBSTITUTE($A302,"|","~", 11))-1)
), "")</f>
        <v>E586664</v>
      </c>
      <c r="M302" s="47" t="str">
        <f t="shared" si="37"/>
        <v>SB010029/1/26</v>
      </c>
      <c r="N302" s="46" t="str">
        <f t="shared" si="40"/>
        <v/>
      </c>
      <c r="O302" s="60">
        <v>60</v>
      </c>
      <c r="P302" s="60">
        <v>870</v>
      </c>
      <c r="Q302" s="48">
        <v>109</v>
      </c>
      <c r="R302" s="48">
        <v>249</v>
      </c>
      <c r="S302" s="48" t="s">
        <v>35</v>
      </c>
      <c r="T302" s="48"/>
      <c r="U302" s="49"/>
      <c r="V302" s="49"/>
      <c r="W302" s="50">
        <f t="shared" si="38"/>
        <v>0</v>
      </c>
      <c r="X302" s="51" t="str">
        <f>IF(A302="", "", IF(COUNTIFS(C$3:C301, C302, D$3:D301, D302, G$3:G301, G302) &gt; 0, "", "11:00"-AW302))</f>
        <v/>
      </c>
      <c r="Y302" s="52" t="str">
        <f t="shared" si="44"/>
        <v/>
      </c>
      <c r="Z302" s="53"/>
      <c r="AA302" s="54"/>
      <c r="AB302" s="53"/>
      <c r="AC302" s="54"/>
      <c r="AD302" s="53"/>
      <c r="AE302" s="54"/>
      <c r="AF302" s="53"/>
      <c r="AG302" s="54"/>
      <c r="AH302" s="55">
        <v>4.1666666666666699E-2</v>
      </c>
      <c r="AI302" s="53"/>
      <c r="AJ302" s="54"/>
      <c r="AK302" s="53"/>
      <c r="AL302" s="54"/>
      <c r="AM302" s="53"/>
      <c r="AN302" s="54"/>
      <c r="AO302" s="53"/>
      <c r="AP302" s="54"/>
      <c r="AQ302" s="53"/>
      <c r="AR302" s="54"/>
      <c r="AS302" s="53"/>
      <c r="AT302" s="54"/>
      <c r="AU302" s="53">
        <v>4.1666666666666699E-2</v>
      </c>
      <c r="AV302" s="54" t="s">
        <v>37</v>
      </c>
      <c r="AW302" s="57">
        <f t="shared" si="41"/>
        <v>4.1666666666666699E-2</v>
      </c>
      <c r="AX302" s="58" t="s">
        <v>86</v>
      </c>
    </row>
    <row r="303" spans="1:50" ht="28.5">
      <c r="A303" s="38" t="s">
        <v>279</v>
      </c>
      <c r="B303" s="39">
        <f t="shared" si="45"/>
        <v>299</v>
      </c>
      <c r="C303" s="40">
        <v>46031</v>
      </c>
      <c r="D303" s="40" t="s">
        <v>80</v>
      </c>
      <c r="E303" s="40" t="s">
        <v>81</v>
      </c>
      <c r="F303" s="41">
        <v>278</v>
      </c>
      <c r="G303" s="42" t="s">
        <v>108</v>
      </c>
      <c r="H303" s="43" t="str">
        <f>IFERROR(VLOOKUP($J303,'[9]FROM (3)'!$E$4:$F$230,2,FALSE),"")</f>
        <v>SIAM NSK</v>
      </c>
      <c r="I303" s="44" t="str">
        <f t="shared" si="42"/>
        <v>SHAFT SPLINE</v>
      </c>
      <c r="J303" s="44" t="str">
        <f t="shared" si="43"/>
        <v>2550T0749P</v>
      </c>
      <c r="K303" s="59" t="str">
        <f t="shared" si="39"/>
        <v>PD25120793</v>
      </c>
      <c r="L303" s="46" t="str" cm="1">
        <f t="array" ref="L303">IFERROR(_xlfn.IFS(
    LEN($A303)-LEN(SUBSTITUTE($A303,"|",""))=12, RIGHT(A303, LEN(A303)-FIND("~", SUBSTITUTE(A303,"|","~", LEN(A303)-LEN(SUBSTITUTE(A303,"|",""))))),
    LEN($A303)-LEN(SUBSTITUTE($A303,"|",""))=13, MID($A303, FIND("~", SUBSTITUTE($A303,"|","~", 11))+1, FIND("~", SUBSTITUTE($A303,"|","~", 12))-FIND("~", SUBSTITUTE($A303,"|","~", 11))-1),
    LEN($A303)-LEN(SUBSTITUTE($A303,"|",""))=14, MID($A303, FIND("~", SUBSTITUTE($A303,"|","~", 11))+1, FIND("~", SUBSTITUTE($A303,"|","~", 12))-FIND("~", SUBSTITUTE($A303,"|","~", 11))-1)
), "")</f>
        <v>SF93402</v>
      </c>
      <c r="M303" s="47" t="str">
        <f t="shared" si="37"/>
        <v>SB120101/3/25</v>
      </c>
      <c r="N303" s="46" t="str">
        <f t="shared" si="40"/>
        <v/>
      </c>
      <c r="O303" s="60"/>
      <c r="P303" s="60"/>
      <c r="Q303" s="48">
        <v>560</v>
      </c>
      <c r="R303" s="48">
        <v>320</v>
      </c>
      <c r="S303" s="48"/>
      <c r="T303" s="48"/>
      <c r="U303" s="49"/>
      <c r="V303" s="49"/>
      <c r="W303" s="50">
        <f t="shared" si="38"/>
        <v>0</v>
      </c>
      <c r="X303" s="51">
        <f>IF(A303="", "", IF(COUNTIFS(C$3:C302, C303, D$3:D302, D303, G$3:G302, G303) &gt; 0, "", "11:00"-AW303))</f>
        <v>0.29166666666666663</v>
      </c>
      <c r="Y303" s="52" t="str">
        <f t="shared" si="44"/>
        <v>1:0</v>
      </c>
      <c r="Z303" s="53"/>
      <c r="AA303" s="54"/>
      <c r="AB303" s="53"/>
      <c r="AC303" s="54"/>
      <c r="AD303" s="53"/>
      <c r="AE303" s="54"/>
      <c r="AF303" s="53"/>
      <c r="AG303" s="54"/>
      <c r="AH303" s="55">
        <v>4.1666666666666699E-2</v>
      </c>
      <c r="AI303" s="53"/>
      <c r="AJ303" s="54"/>
      <c r="AK303" s="53"/>
      <c r="AL303" s="54"/>
      <c r="AM303" s="53"/>
      <c r="AN303" s="54"/>
      <c r="AO303" s="53">
        <v>4.1666666666666664E-2</v>
      </c>
      <c r="AP303" s="54" t="s">
        <v>129</v>
      </c>
      <c r="AQ303" s="53">
        <v>4.1666666666666664E-2</v>
      </c>
      <c r="AR303" s="54" t="s">
        <v>37</v>
      </c>
      <c r="AS303" s="53">
        <v>4.1666666666666664E-2</v>
      </c>
      <c r="AT303" s="54" t="s">
        <v>37</v>
      </c>
      <c r="AU303" s="53">
        <v>4.1666666666666664E-2</v>
      </c>
      <c r="AV303" s="54" t="s">
        <v>37</v>
      </c>
      <c r="AW303" s="57">
        <f t="shared" si="41"/>
        <v>0.16666666666666666</v>
      </c>
      <c r="AX303" s="58" t="s">
        <v>164</v>
      </c>
    </row>
    <row r="304" spans="1:50" ht="28.5">
      <c r="A304" s="38" t="s">
        <v>326</v>
      </c>
      <c r="B304" s="39">
        <f t="shared" si="45"/>
        <v>300</v>
      </c>
      <c r="C304" s="40">
        <v>46031</v>
      </c>
      <c r="D304" s="40" t="s">
        <v>80</v>
      </c>
      <c r="E304" s="40" t="s">
        <v>81</v>
      </c>
      <c r="F304" s="41">
        <v>278</v>
      </c>
      <c r="G304" s="42" t="s">
        <v>108</v>
      </c>
      <c r="H304" s="43" t="str">
        <f>IFERROR(VLOOKUP($J304,'[9]FROM (3)'!$E$4:$F$230,2,FALSE),"")</f>
        <v>SIAM NSK</v>
      </c>
      <c r="I304" s="44" t="str">
        <f t="shared" si="42"/>
        <v>SHAFT SPLINE</v>
      </c>
      <c r="J304" s="44" t="str">
        <f t="shared" si="43"/>
        <v>2550T0749P</v>
      </c>
      <c r="K304" s="59" t="str">
        <f t="shared" si="39"/>
        <v>PD25120793</v>
      </c>
      <c r="L304" s="46" t="str" cm="1">
        <f t="array" ref="L304">IFERROR(_xlfn.IFS(
    LEN($A304)-LEN(SUBSTITUTE($A304,"|",""))=12, RIGHT(A304, LEN(A304)-FIND("~", SUBSTITUTE(A304,"|","~", LEN(A304)-LEN(SUBSTITUTE(A304,"|",""))))),
    LEN($A304)-LEN(SUBSTITUTE($A304,"|",""))=13, MID($A304, FIND("~", SUBSTITUTE($A304,"|","~", 11))+1, FIND("~", SUBSTITUTE($A304,"|","~", 12))-FIND("~", SUBSTITUTE($A304,"|","~", 11))-1),
    LEN($A304)-LEN(SUBSTITUTE($A304,"|",""))=14, MID($A304, FIND("~", SUBSTITUTE($A304,"|","~", 11))+1, FIND("~", SUBSTITUTE($A304,"|","~", 12))-FIND("~", SUBSTITUTE($A304,"|","~", 11))-1)
), "")</f>
        <v>SF93402</v>
      </c>
      <c r="M304" s="47" t="str">
        <f t="shared" si="37"/>
        <v>SB120101/1/25</v>
      </c>
      <c r="N304" s="46" t="str">
        <f t="shared" si="40"/>
        <v/>
      </c>
      <c r="O304" s="60">
        <v>105</v>
      </c>
      <c r="P304" s="60">
        <v>1010</v>
      </c>
      <c r="Q304" s="48">
        <v>1679</v>
      </c>
      <c r="R304" s="48">
        <v>959</v>
      </c>
      <c r="S304" s="48"/>
      <c r="T304" s="48"/>
      <c r="U304" s="49">
        <v>117</v>
      </c>
      <c r="V304" s="49">
        <v>22</v>
      </c>
      <c r="W304" s="50">
        <f t="shared" si="38"/>
        <v>139</v>
      </c>
      <c r="X304" s="51" t="str">
        <f>IF(A304="", "", IF(COUNTIFS(C$3:C303, C304, D$3:D303, D304, G$3:G303, G304) &gt; 0, "", "11:00"-AW304))</f>
        <v/>
      </c>
      <c r="Y304" s="52" t="str">
        <f t="shared" si="44"/>
        <v/>
      </c>
      <c r="Z304" s="53"/>
      <c r="AA304" s="54"/>
      <c r="AB304" s="53"/>
      <c r="AC304" s="54"/>
      <c r="AD304" s="53"/>
      <c r="AE304" s="54"/>
      <c r="AF304" s="53"/>
      <c r="AG304" s="54"/>
      <c r="AH304" s="55">
        <v>4.1666666666666699E-2</v>
      </c>
      <c r="AI304" s="53"/>
      <c r="AJ304" s="54"/>
      <c r="AK304" s="53"/>
      <c r="AL304" s="54"/>
      <c r="AM304" s="53"/>
      <c r="AN304" s="54"/>
      <c r="AO304" s="53">
        <v>4.1666666666666664E-2</v>
      </c>
      <c r="AP304" s="54" t="s">
        <v>90</v>
      </c>
      <c r="AQ304" s="53">
        <v>4.1666666666666664E-2</v>
      </c>
      <c r="AR304" s="54" t="s">
        <v>37</v>
      </c>
      <c r="AS304" s="53">
        <v>4.1666666666666664E-2</v>
      </c>
      <c r="AT304" s="54" t="s">
        <v>37</v>
      </c>
      <c r="AU304" s="53">
        <v>4.1666666666666699E-2</v>
      </c>
      <c r="AV304" s="54" t="s">
        <v>37</v>
      </c>
      <c r="AW304" s="57">
        <f t="shared" si="41"/>
        <v>0.16666666666666669</v>
      </c>
      <c r="AX304" s="58" t="s">
        <v>164</v>
      </c>
    </row>
    <row r="305" spans="1:50" ht="28.5">
      <c r="A305" s="38" t="s">
        <v>292</v>
      </c>
      <c r="B305" s="39">
        <f t="shared" si="45"/>
        <v>301</v>
      </c>
      <c r="C305" s="40">
        <v>46031</v>
      </c>
      <c r="D305" s="40" t="s">
        <v>80</v>
      </c>
      <c r="E305" s="40" t="s">
        <v>81</v>
      </c>
      <c r="F305" s="41">
        <v>375</v>
      </c>
      <c r="G305" s="42" t="s">
        <v>172</v>
      </c>
      <c r="H305" s="43" t="str">
        <f>IFERROR(VLOOKUP($J305,'[9]FROM (3)'!$E$4:$F$230,2,FALSE),"")</f>
        <v>ATAC</v>
      </c>
      <c r="I305" s="44" t="str">
        <f t="shared" si="42"/>
        <v>SEAT,WATER PUMP PULLEY</v>
      </c>
      <c r="J305" s="44" t="str">
        <f t="shared" si="43"/>
        <v>16171-05030</v>
      </c>
      <c r="K305" s="59" t="str">
        <f t="shared" si="39"/>
        <v>PD26010246</v>
      </c>
      <c r="L305" s="46" t="str" cm="1">
        <f t="array" ref="L305">IFERROR(_xlfn.IFS(
    LEN($A305)-LEN(SUBSTITUTE($A305,"|",""))=12, RIGHT(A305, LEN(A305)-FIND("~", SUBSTITUTE(A305,"|","~", LEN(A305)-LEN(SUBSTITUTE(A305,"|",""))))),
    LEN($A305)-LEN(SUBSTITUTE($A305,"|",""))=13, MID($A305, FIND("~", SUBSTITUTE($A305,"|","~", 11))+1, FIND("~", SUBSTITUTE($A305,"|","~", 12))-FIND("~", SUBSTITUTE($A305,"|","~", 11))-1),
    LEN($A305)-LEN(SUBSTITUTE($A305,"|",""))=14, MID($A305, FIND("~", SUBSTITUTE($A305,"|","~", 11))+1, FIND("~", SUBSTITUTE($A305,"|","~", 12))-FIND("~", SUBSTITUTE($A305,"|","~", 11))-1)
), "")</f>
        <v>665898</v>
      </c>
      <c r="M305" s="47" t="str">
        <f t="shared" si="37"/>
        <v>SB010013/4/26</v>
      </c>
      <c r="N305" s="46" t="str">
        <f t="shared" si="40"/>
        <v/>
      </c>
      <c r="O305" s="60"/>
      <c r="P305" s="60"/>
      <c r="Q305" s="48">
        <v>2074</v>
      </c>
      <c r="R305" s="48">
        <v>778</v>
      </c>
      <c r="S305" s="48"/>
      <c r="T305" s="48"/>
      <c r="U305" s="49"/>
      <c r="V305" s="49"/>
      <c r="W305" s="50">
        <f t="shared" si="38"/>
        <v>0</v>
      </c>
      <c r="X305" s="51">
        <f>IF(A305="", "", IF(COUNTIFS(C$3:C304, C305, D$3:D304, D305, G$3:G304, G305) &gt; 0, "", "11:00"-AW305))</f>
        <v>0.33333333333333326</v>
      </c>
      <c r="Y305" s="52" t="str">
        <f t="shared" si="44"/>
        <v>1:0</v>
      </c>
      <c r="Z305" s="53"/>
      <c r="AA305" s="54"/>
      <c r="AB305" s="53"/>
      <c r="AC305" s="54"/>
      <c r="AD305" s="53"/>
      <c r="AE305" s="54"/>
      <c r="AF305" s="53"/>
      <c r="AG305" s="54"/>
      <c r="AH305" s="55">
        <v>4.1666666666666699E-2</v>
      </c>
      <c r="AI305" s="53"/>
      <c r="AJ305" s="54"/>
      <c r="AK305" s="53"/>
      <c r="AL305" s="54"/>
      <c r="AM305" s="53"/>
      <c r="AN305" s="54"/>
      <c r="AO305" s="53"/>
      <c r="AP305" s="54"/>
      <c r="AQ305" s="53">
        <v>4.1666666666666664E-2</v>
      </c>
      <c r="AR305" s="54" t="s">
        <v>37</v>
      </c>
      <c r="AS305" s="53">
        <v>4.1666666666666664E-2</v>
      </c>
      <c r="AT305" s="54" t="s">
        <v>37</v>
      </c>
      <c r="AU305" s="53">
        <v>4.1666666666666699E-2</v>
      </c>
      <c r="AV305" s="54" t="s">
        <v>37</v>
      </c>
      <c r="AW305" s="57">
        <f t="shared" si="41"/>
        <v>0.12500000000000003</v>
      </c>
      <c r="AX305" s="58" t="s">
        <v>164</v>
      </c>
    </row>
    <row r="306" spans="1:50" ht="28.5">
      <c r="A306" s="38" t="s">
        <v>327</v>
      </c>
      <c r="B306" s="39">
        <f t="shared" si="45"/>
        <v>302</v>
      </c>
      <c r="C306" s="40">
        <v>46031</v>
      </c>
      <c r="D306" s="40" t="s">
        <v>80</v>
      </c>
      <c r="E306" s="40" t="s">
        <v>81</v>
      </c>
      <c r="F306" s="41">
        <v>375</v>
      </c>
      <c r="G306" s="42" t="s">
        <v>172</v>
      </c>
      <c r="H306" s="43" t="str">
        <f>IFERROR(VLOOKUP($J306,'[9]FROM (3)'!$E$4:$F$230,2,FALSE),"")</f>
        <v>ATAC</v>
      </c>
      <c r="I306" s="44" t="str">
        <f t="shared" si="42"/>
        <v>SEAT,WATER PUMP PULLEY</v>
      </c>
      <c r="J306" s="44" t="str">
        <f t="shared" si="43"/>
        <v>16171-05030</v>
      </c>
      <c r="K306" s="59" t="str">
        <f t="shared" si="39"/>
        <v>PD26010246</v>
      </c>
      <c r="L306" s="46" t="str" cm="1">
        <f t="array" ref="L306">IFERROR(_xlfn.IFS(
    LEN($A306)-LEN(SUBSTITUTE($A306,"|",""))=12, RIGHT(A306, LEN(A306)-FIND("~", SUBSTITUTE(A306,"|","~", LEN(A306)-LEN(SUBSTITUTE(A306,"|",""))))),
    LEN($A306)-LEN(SUBSTITUTE($A306,"|",""))=13, MID($A306, FIND("~", SUBSTITUTE($A306,"|","~", 11))+1, FIND("~", SUBSTITUTE($A306,"|","~", 12))-FIND("~", SUBSTITUTE($A306,"|","~", 11))-1),
    LEN($A306)-LEN(SUBSTITUTE($A306,"|",""))=14, MID($A306, FIND("~", SUBSTITUTE($A306,"|","~", 11))+1, FIND("~", SUBSTITUTE($A306,"|","~", 12))-FIND("~", SUBSTITUTE($A306,"|","~", 11))-1)
), "")</f>
        <v>665898</v>
      </c>
      <c r="M306" s="47" t="str">
        <f t="shared" si="37"/>
        <v>SB010013/5/26</v>
      </c>
      <c r="N306" s="46" t="str">
        <f t="shared" si="40"/>
        <v/>
      </c>
      <c r="O306" s="60">
        <v>14</v>
      </c>
      <c r="P306" s="60">
        <v>990</v>
      </c>
      <c r="Q306" s="48">
        <v>161</v>
      </c>
      <c r="R306" s="48">
        <v>60</v>
      </c>
      <c r="S306" s="48"/>
      <c r="T306" s="48"/>
      <c r="U306" s="49"/>
      <c r="V306" s="49"/>
      <c r="W306" s="50">
        <f t="shared" si="38"/>
        <v>0</v>
      </c>
      <c r="X306" s="51" t="str">
        <f>IF(A306="", "", IF(COUNTIFS(C$3:C305, C306, D$3:D305, D306, G$3:G305, G306) &gt; 0, "", "11:00"-AW306))</f>
        <v/>
      </c>
      <c r="Y306" s="52" t="str">
        <f t="shared" si="44"/>
        <v/>
      </c>
      <c r="Z306" s="53"/>
      <c r="AA306" s="54"/>
      <c r="AB306" s="53"/>
      <c r="AC306" s="54"/>
      <c r="AD306" s="53"/>
      <c r="AE306" s="54"/>
      <c r="AF306" s="53"/>
      <c r="AG306" s="54"/>
      <c r="AH306" s="55">
        <v>4.1666666666666699E-2</v>
      </c>
      <c r="AI306" s="53"/>
      <c r="AJ306" s="54"/>
      <c r="AK306" s="53"/>
      <c r="AL306" s="54"/>
      <c r="AM306" s="53"/>
      <c r="AN306" s="54"/>
      <c r="AO306" s="53"/>
      <c r="AP306" s="54"/>
      <c r="AQ306" s="53">
        <v>4.1666666666666664E-2</v>
      </c>
      <c r="AR306" s="54" t="s">
        <v>37</v>
      </c>
      <c r="AS306" s="53">
        <v>4.1666666666666664E-2</v>
      </c>
      <c r="AT306" s="54" t="s">
        <v>37</v>
      </c>
      <c r="AU306" s="53">
        <v>4.1666666666666699E-2</v>
      </c>
      <c r="AV306" s="54" t="s">
        <v>37</v>
      </c>
      <c r="AW306" s="57">
        <f t="shared" si="41"/>
        <v>0.12500000000000003</v>
      </c>
      <c r="AX306" s="58" t="s">
        <v>164</v>
      </c>
    </row>
    <row r="307" spans="1:50" ht="28.5">
      <c r="A307" s="38" t="s">
        <v>294</v>
      </c>
      <c r="B307" s="39">
        <f t="shared" si="45"/>
        <v>303</v>
      </c>
      <c r="C307" s="40">
        <v>46031</v>
      </c>
      <c r="D307" s="40" t="s">
        <v>80</v>
      </c>
      <c r="E307" s="40" t="s">
        <v>81</v>
      </c>
      <c r="F307" s="41">
        <v>407.7</v>
      </c>
      <c r="G307" s="42" t="s">
        <v>46</v>
      </c>
      <c r="H307" s="43" t="str">
        <f>IFERROR(VLOOKUP($J307,'[9]FROM (3)'!$E$4:$F$230,2,FALSE),"")</f>
        <v>SIAM NSK</v>
      </c>
      <c r="I307" s="44" t="str">
        <f t="shared" si="42"/>
        <v>Shaft T Sensor</v>
      </c>
      <c r="J307" s="44" t="str">
        <f t="shared" si="43"/>
        <v>2590S0328P</v>
      </c>
      <c r="K307" s="59" t="str">
        <f t="shared" si="39"/>
        <v>PD26010300</v>
      </c>
      <c r="L307" s="46" t="str" cm="1">
        <f t="array" ref="L307">IFERROR(_xlfn.IFS(
    LEN($A307)-LEN(SUBSTITUTE($A307,"|",""))=12, RIGHT(A307, LEN(A307)-FIND("~", SUBSTITUTE(A307,"|","~", LEN(A307)-LEN(SUBSTITUTE(A307,"|",""))))),
    LEN($A307)-LEN(SUBSTITUTE($A307,"|",""))=13, MID($A307, FIND("~", SUBSTITUTE($A307,"|","~", 11))+1, FIND("~", SUBSTITUTE($A307,"|","~", 12))-FIND("~", SUBSTITUTE($A307,"|","~", 11))-1),
    LEN($A307)-LEN(SUBSTITUTE($A307,"|",""))=14, MID($A307, FIND("~", SUBSTITUTE($A307,"|","~", 11))+1, FIND("~", SUBSTITUTE($A307,"|","~", 12))-FIND("~", SUBSTITUTE($A307,"|","~", 11))-1)
), "")</f>
        <v>E484056</v>
      </c>
      <c r="M307" s="47" t="str">
        <f t="shared" si="37"/>
        <v>SB010020/4/26</v>
      </c>
      <c r="N307" s="46" t="str">
        <f t="shared" si="40"/>
        <v/>
      </c>
      <c r="O307" s="60"/>
      <c r="P307" s="60"/>
      <c r="Q307" s="48">
        <v>1865</v>
      </c>
      <c r="R307" s="48">
        <v>759</v>
      </c>
      <c r="S307" s="48"/>
      <c r="T307" s="48"/>
      <c r="U307" s="49">
        <v>61</v>
      </c>
      <c r="V307" s="49">
        <v>40</v>
      </c>
      <c r="W307" s="50">
        <f t="shared" si="38"/>
        <v>101</v>
      </c>
      <c r="X307" s="51">
        <f>IF(A307="", "", IF(COUNTIFS(C$3:C306, C307, D$3:D306, D307, G$3:G306, G307) &gt; 0, "", "11:00"-AW307))</f>
        <v>0.29166666666666663</v>
      </c>
      <c r="Y307" s="52" t="str">
        <f t="shared" si="44"/>
        <v>1:0</v>
      </c>
      <c r="Z307" s="53">
        <v>4.1666666666666664E-2</v>
      </c>
      <c r="AA307" s="54" t="s">
        <v>129</v>
      </c>
      <c r="AB307" s="53"/>
      <c r="AC307" s="54"/>
      <c r="AD307" s="53"/>
      <c r="AE307" s="54"/>
      <c r="AF307" s="53"/>
      <c r="AG307" s="54"/>
      <c r="AH307" s="55">
        <v>4.1666666666666699E-2</v>
      </c>
      <c r="AI307" s="53"/>
      <c r="AJ307" s="54"/>
      <c r="AK307" s="53"/>
      <c r="AL307" s="54"/>
      <c r="AM307" s="53"/>
      <c r="AN307" s="54"/>
      <c r="AO307" s="53"/>
      <c r="AP307" s="54"/>
      <c r="AQ307" s="53">
        <v>4.1666666666666664E-2</v>
      </c>
      <c r="AR307" s="54" t="s">
        <v>37</v>
      </c>
      <c r="AS307" s="53">
        <v>4.1666666666666664E-2</v>
      </c>
      <c r="AT307" s="54" t="s">
        <v>37</v>
      </c>
      <c r="AU307" s="53">
        <v>4.1666666666666699E-2</v>
      </c>
      <c r="AV307" s="54" t="s">
        <v>37</v>
      </c>
      <c r="AW307" s="57">
        <f t="shared" si="41"/>
        <v>0.16666666666666669</v>
      </c>
      <c r="AX307" s="58" t="s">
        <v>164</v>
      </c>
    </row>
    <row r="308" spans="1:50" ht="28.5">
      <c r="A308" s="38" t="s">
        <v>328</v>
      </c>
      <c r="B308" s="39">
        <f t="shared" si="45"/>
        <v>304</v>
      </c>
      <c r="C308" s="40">
        <v>46031</v>
      </c>
      <c r="D308" s="40" t="s">
        <v>80</v>
      </c>
      <c r="E308" s="40" t="s">
        <v>81</v>
      </c>
      <c r="F308" s="41">
        <v>407.7</v>
      </c>
      <c r="G308" s="42" t="s">
        <v>46</v>
      </c>
      <c r="H308" s="43" t="str">
        <f>IFERROR(VLOOKUP($J308,'[9]FROM (3)'!$E$4:$F$230,2,FALSE),"")</f>
        <v>SIAM NSK</v>
      </c>
      <c r="I308" s="44" t="str">
        <f t="shared" si="42"/>
        <v>Shaft T Sensor</v>
      </c>
      <c r="J308" s="44" t="str">
        <f t="shared" si="43"/>
        <v>2590S0328P</v>
      </c>
      <c r="K308" s="59" t="str">
        <f t="shared" si="39"/>
        <v>PD26010298</v>
      </c>
      <c r="L308" s="46" t="str" cm="1">
        <f t="array" ref="L308">IFERROR(_xlfn.IFS(
    LEN($A308)-LEN(SUBSTITUTE($A308,"|",""))=12, RIGHT(A308, LEN(A308)-FIND("~", SUBSTITUTE(A308,"|","~", LEN(A308)-LEN(SUBSTITUTE(A308,"|",""))))),
    LEN($A308)-LEN(SUBSTITUTE($A308,"|",""))=13, MID($A308, FIND("~", SUBSTITUTE($A308,"|","~", 11))+1, FIND("~", SUBSTITUTE($A308,"|","~", 12))-FIND("~", SUBSTITUTE($A308,"|","~", 11))-1),
    LEN($A308)-LEN(SUBSTITUTE($A308,"|",""))=14, MID($A308, FIND("~", SUBSTITUTE($A308,"|","~", 11))+1, FIND("~", SUBSTITUTE($A308,"|","~", 12))-FIND("~", SUBSTITUTE($A308,"|","~", 11))-1)
), "")</f>
        <v>E484056</v>
      </c>
      <c r="M308" s="47" t="str">
        <f t="shared" si="37"/>
        <v>SB010020/2/26</v>
      </c>
      <c r="N308" s="46" t="str">
        <f t="shared" si="40"/>
        <v/>
      </c>
      <c r="O308" s="60">
        <v>44</v>
      </c>
      <c r="P308" s="60">
        <v>1053</v>
      </c>
      <c r="Q308" s="48">
        <v>850</v>
      </c>
      <c r="R308" s="48">
        <v>347</v>
      </c>
      <c r="S308" s="48"/>
      <c r="T308" s="48"/>
      <c r="U308" s="49"/>
      <c r="V308" s="49"/>
      <c r="W308" s="50">
        <f t="shared" si="38"/>
        <v>0</v>
      </c>
      <c r="X308" s="51" t="str">
        <f>IF(A308="", "", IF(COUNTIFS(C$3:C307, C308, D$3:D307, D308, G$3:G307, G308) &gt; 0, "", "11:00"-AW308))</f>
        <v/>
      </c>
      <c r="Y308" s="52" t="str">
        <f t="shared" si="44"/>
        <v/>
      </c>
      <c r="Z308" s="53">
        <v>4.1666666666666664E-2</v>
      </c>
      <c r="AA308" s="54" t="s">
        <v>129</v>
      </c>
      <c r="AB308" s="53"/>
      <c r="AC308" s="54"/>
      <c r="AD308" s="53"/>
      <c r="AE308" s="54"/>
      <c r="AF308" s="53"/>
      <c r="AG308" s="54"/>
      <c r="AH308" s="55">
        <v>4.1666666666666699E-2</v>
      </c>
      <c r="AI308" s="53"/>
      <c r="AJ308" s="54"/>
      <c r="AK308" s="53"/>
      <c r="AL308" s="54"/>
      <c r="AM308" s="53"/>
      <c r="AN308" s="54"/>
      <c r="AO308" s="53"/>
      <c r="AP308" s="54"/>
      <c r="AQ308" s="53">
        <v>4.1666666666666664E-2</v>
      </c>
      <c r="AR308" s="54" t="s">
        <v>37</v>
      </c>
      <c r="AS308" s="53">
        <v>4.1666666666666664E-2</v>
      </c>
      <c r="AT308" s="54" t="s">
        <v>37</v>
      </c>
      <c r="AU308" s="53">
        <v>4.1666666666666699E-2</v>
      </c>
      <c r="AV308" s="54" t="s">
        <v>37</v>
      </c>
      <c r="AW308" s="57">
        <f t="shared" si="41"/>
        <v>0.16666666666666669</v>
      </c>
      <c r="AX308" s="58" t="s">
        <v>164</v>
      </c>
    </row>
    <row r="309" spans="1:50" ht="28.5">
      <c r="A309" s="38" t="s">
        <v>329</v>
      </c>
      <c r="B309" s="39">
        <f t="shared" si="45"/>
        <v>305</v>
      </c>
      <c r="C309" s="40">
        <v>46031</v>
      </c>
      <c r="D309" s="40" t="s">
        <v>80</v>
      </c>
      <c r="E309" s="40" t="s">
        <v>81</v>
      </c>
      <c r="F309" s="41">
        <v>262</v>
      </c>
      <c r="G309" s="42" t="s">
        <v>176</v>
      </c>
      <c r="H309" s="43" t="str">
        <f>IFERROR(VLOOKUP($J309,'[9]FROM (3)'!$E$4:$F$230,2,FALSE),"")</f>
        <v/>
      </c>
      <c r="I309" s="44" t="str">
        <f t="shared" si="42"/>
        <v>RACK</v>
      </c>
      <c r="J309" s="44" t="str">
        <f t="shared" si="43"/>
        <v>510-30149-020</v>
      </c>
      <c r="K309" s="59" t="str">
        <f t="shared" si="39"/>
        <v>PD26010110</v>
      </c>
      <c r="L309" s="46" t="str" cm="1">
        <f t="array" ref="L309">IFERROR(_xlfn.IFS(
    LEN($A309)-LEN(SUBSTITUTE($A309,"|",""))=12, RIGHT(A309, LEN(A309)-FIND("~", SUBSTITUTE(A309,"|","~", LEN(A309)-LEN(SUBSTITUTE(A309,"|",""))))),
    LEN($A309)-LEN(SUBSTITUTE($A309,"|",""))=13, MID($A309, FIND("~", SUBSTITUTE($A309,"|","~", 11))+1, FIND("~", SUBSTITUTE($A309,"|","~", 12))-FIND("~", SUBSTITUTE($A309,"|","~", 11))-1),
    LEN($A309)-LEN(SUBSTITUTE($A309,"|",""))=14, MID($A309, FIND("~", SUBSTITUTE($A309,"|","~", 11))+1, FIND("~", SUBSTITUTE($A309,"|","~", 12))-FIND("~", SUBSTITUTE($A309,"|","~", 11))-1)
), "")</f>
        <v>5C1361</v>
      </c>
      <c r="M309" s="47" t="str">
        <f t="shared" si="37"/>
        <v>FB010050/3/26</v>
      </c>
      <c r="N309" s="46" t="str">
        <f t="shared" si="40"/>
        <v>FB010050/3/26</v>
      </c>
      <c r="O309" s="60">
        <v>200</v>
      </c>
      <c r="P309" s="60">
        <v>327</v>
      </c>
      <c r="Q309" s="48">
        <v>200</v>
      </c>
      <c r="R309" s="48">
        <v>327</v>
      </c>
      <c r="S309" s="48" t="s">
        <v>35</v>
      </c>
      <c r="T309" s="48"/>
      <c r="U309" s="49"/>
      <c r="V309" s="49"/>
      <c r="W309" s="50">
        <f t="shared" si="38"/>
        <v>0</v>
      </c>
      <c r="X309" s="51">
        <f>IF(A309="", "", IF(COUNTIFS(C$3:C308, C309, D$3:D308, D309, G$3:G308, G309) &gt; 0, "", "11:00"-AW309))</f>
        <v>0.33333333333333326</v>
      </c>
      <c r="Y309" s="52" t="str">
        <f t="shared" si="44"/>
        <v>1:0</v>
      </c>
      <c r="Z309" s="53"/>
      <c r="AA309" s="54"/>
      <c r="AB309" s="53"/>
      <c r="AC309" s="54"/>
      <c r="AD309" s="53"/>
      <c r="AE309" s="54"/>
      <c r="AF309" s="53"/>
      <c r="AG309" s="54"/>
      <c r="AH309" s="55">
        <v>4.1666666666666699E-2</v>
      </c>
      <c r="AI309" s="53"/>
      <c r="AJ309" s="54"/>
      <c r="AK309" s="53"/>
      <c r="AL309" s="54"/>
      <c r="AM309" s="53"/>
      <c r="AN309" s="54"/>
      <c r="AO309" s="53"/>
      <c r="AP309" s="54"/>
      <c r="AQ309" s="53">
        <v>4.1666666666666664E-2</v>
      </c>
      <c r="AR309" s="54" t="s">
        <v>37</v>
      </c>
      <c r="AS309" s="53">
        <v>4.1666666666666664E-2</v>
      </c>
      <c r="AT309" s="54" t="s">
        <v>37</v>
      </c>
      <c r="AU309" s="53">
        <v>4.1666666666666699E-2</v>
      </c>
      <c r="AV309" s="54" t="s">
        <v>37</v>
      </c>
      <c r="AW309" s="57">
        <f t="shared" si="41"/>
        <v>0.12500000000000003</v>
      </c>
      <c r="AX309" s="58" t="s">
        <v>109</v>
      </c>
    </row>
    <row r="310" spans="1:50" ht="28.5">
      <c r="A310" s="38" t="s">
        <v>330</v>
      </c>
      <c r="B310" s="39">
        <f t="shared" si="45"/>
        <v>306</v>
      </c>
      <c r="C310" s="40">
        <v>46031</v>
      </c>
      <c r="D310" s="40" t="s">
        <v>80</v>
      </c>
      <c r="E310" s="40" t="s">
        <v>81</v>
      </c>
      <c r="F310" s="41">
        <v>262</v>
      </c>
      <c r="G310" s="42" t="s">
        <v>176</v>
      </c>
      <c r="H310" s="43" t="str">
        <f>IFERROR(VLOOKUP($J310,'[9]FROM (3)'!$E$4:$F$230,2,FALSE),"")</f>
        <v/>
      </c>
      <c r="I310" s="44" t="str">
        <f t="shared" si="42"/>
        <v>RACK</v>
      </c>
      <c r="J310" s="44" t="str">
        <f t="shared" si="43"/>
        <v>510-30149-020</v>
      </c>
      <c r="K310" s="59" t="str">
        <f t="shared" si="39"/>
        <v>PD26010110</v>
      </c>
      <c r="L310" s="46" t="str" cm="1">
        <f t="array" ref="L310">IFERROR(_xlfn.IFS(
    LEN($A310)-LEN(SUBSTITUTE($A310,"|",""))=12, RIGHT(A310, LEN(A310)-FIND("~", SUBSTITUTE(A310,"|","~", LEN(A310)-LEN(SUBSTITUTE(A310,"|",""))))),
    LEN($A310)-LEN(SUBSTITUTE($A310,"|",""))=13, MID($A310, FIND("~", SUBSTITUTE($A310,"|","~", 11))+1, FIND("~", SUBSTITUTE($A310,"|","~", 12))-FIND("~", SUBSTITUTE($A310,"|","~", 11))-1),
    LEN($A310)-LEN(SUBSTITUTE($A310,"|",""))=14, MID($A310, FIND("~", SUBSTITUTE($A310,"|","~", 11))+1, FIND("~", SUBSTITUTE($A310,"|","~", 12))-FIND("~", SUBSTITUTE($A310,"|","~", 11))-1)
), "")</f>
        <v>5C1361</v>
      </c>
      <c r="M310" s="47" t="str">
        <f t="shared" si="37"/>
        <v>FB010050/4/26</v>
      </c>
      <c r="N310" s="46" t="str">
        <f t="shared" si="40"/>
        <v>FB010050/4/26</v>
      </c>
      <c r="O310" s="60">
        <v>200</v>
      </c>
      <c r="P310" s="60">
        <v>327</v>
      </c>
      <c r="Q310" s="48">
        <v>200</v>
      </c>
      <c r="R310" s="48">
        <v>327</v>
      </c>
      <c r="S310" s="48" t="s">
        <v>35</v>
      </c>
      <c r="T310" s="48"/>
      <c r="U310" s="49"/>
      <c r="V310" s="49"/>
      <c r="W310" s="50">
        <f t="shared" si="38"/>
        <v>0</v>
      </c>
      <c r="X310" s="51" t="str">
        <f>IF(A310="", "", IF(COUNTIFS(C$3:C309, C310, D$3:D309, D310, G$3:G309, G310) &gt; 0, "", "11:00"-AW310))</f>
        <v/>
      </c>
      <c r="Y310" s="52" t="str">
        <f t="shared" si="44"/>
        <v/>
      </c>
      <c r="Z310" s="53"/>
      <c r="AA310" s="54"/>
      <c r="AB310" s="53"/>
      <c r="AC310" s="54"/>
      <c r="AD310" s="53"/>
      <c r="AE310" s="54"/>
      <c r="AF310" s="53"/>
      <c r="AG310" s="54"/>
      <c r="AH310" s="55">
        <v>4.1666666666666699E-2</v>
      </c>
      <c r="AI310" s="53"/>
      <c r="AJ310" s="54"/>
      <c r="AK310" s="53"/>
      <c r="AL310" s="54"/>
      <c r="AM310" s="53"/>
      <c r="AN310" s="54"/>
      <c r="AO310" s="53"/>
      <c r="AP310" s="54"/>
      <c r="AQ310" s="53"/>
      <c r="AR310" s="54"/>
      <c r="AS310" s="53"/>
      <c r="AT310" s="54"/>
      <c r="AU310" s="53">
        <v>4.1666666666666699E-2</v>
      </c>
      <c r="AV310" s="54" t="s">
        <v>37</v>
      </c>
      <c r="AW310" s="57">
        <f t="shared" si="41"/>
        <v>4.1666666666666699E-2</v>
      </c>
      <c r="AX310" s="58" t="s">
        <v>109</v>
      </c>
    </row>
    <row r="311" spans="1:50" ht="28.5">
      <c r="A311" s="38" t="s">
        <v>331</v>
      </c>
      <c r="B311" s="39">
        <f t="shared" si="45"/>
        <v>307</v>
      </c>
      <c r="C311" s="40">
        <v>46031</v>
      </c>
      <c r="D311" s="40" t="s">
        <v>80</v>
      </c>
      <c r="E311" s="40" t="s">
        <v>81</v>
      </c>
      <c r="F311" s="41">
        <v>262</v>
      </c>
      <c r="G311" s="42" t="s">
        <v>176</v>
      </c>
      <c r="H311" s="43" t="str">
        <f>IFERROR(VLOOKUP($J311,'[9]FROM (3)'!$E$4:$F$230,2,FALSE),"")</f>
        <v/>
      </c>
      <c r="I311" s="44" t="str">
        <f t="shared" si="42"/>
        <v>RACK</v>
      </c>
      <c r="J311" s="44" t="str">
        <f t="shared" si="43"/>
        <v>510-30149-020</v>
      </c>
      <c r="K311" s="59" t="str">
        <f t="shared" si="39"/>
        <v>PD26010110</v>
      </c>
      <c r="L311" s="46" t="str" cm="1">
        <f t="array" ref="L311">IFERROR(_xlfn.IFS(
    LEN($A311)-LEN(SUBSTITUTE($A311,"|",""))=12, RIGHT(A311, LEN(A311)-FIND("~", SUBSTITUTE(A311,"|","~", LEN(A311)-LEN(SUBSTITUTE(A311,"|",""))))),
    LEN($A311)-LEN(SUBSTITUTE($A311,"|",""))=13, MID($A311, FIND("~", SUBSTITUTE($A311,"|","~", 11))+1, FIND("~", SUBSTITUTE($A311,"|","~", 12))-FIND("~", SUBSTITUTE($A311,"|","~", 11))-1),
    LEN($A311)-LEN(SUBSTITUTE($A311,"|",""))=14, MID($A311, FIND("~", SUBSTITUTE($A311,"|","~", 11))+1, FIND("~", SUBSTITUTE($A311,"|","~", 12))-FIND("~", SUBSTITUTE($A311,"|","~", 11))-1)
), "")</f>
        <v>5C1361</v>
      </c>
      <c r="M311" s="47" t="str">
        <f t="shared" si="37"/>
        <v>FB010050/5/26</v>
      </c>
      <c r="N311" s="46" t="str">
        <f t="shared" si="40"/>
        <v>FB010050/5/26</v>
      </c>
      <c r="O311" s="60">
        <v>200</v>
      </c>
      <c r="P311" s="60">
        <v>327</v>
      </c>
      <c r="Q311" s="48">
        <v>200</v>
      </c>
      <c r="R311" s="48">
        <v>327</v>
      </c>
      <c r="S311" s="48" t="s">
        <v>35</v>
      </c>
      <c r="T311" s="48"/>
      <c r="U311" s="49"/>
      <c r="V311" s="49"/>
      <c r="W311" s="50">
        <f t="shared" si="38"/>
        <v>0</v>
      </c>
      <c r="X311" s="51" t="str">
        <f>IF(A311="", "", IF(COUNTIFS(C$3:C310, C311, D$3:D310, D311, G$3:G310, G311) &gt; 0, "", "11:00"-AW311))</f>
        <v/>
      </c>
      <c r="Y311" s="52" t="str">
        <f t="shared" si="44"/>
        <v/>
      </c>
      <c r="Z311" s="53"/>
      <c r="AA311" s="54"/>
      <c r="AB311" s="53"/>
      <c r="AC311" s="54"/>
      <c r="AD311" s="53"/>
      <c r="AE311" s="54"/>
      <c r="AF311" s="53"/>
      <c r="AG311" s="54"/>
      <c r="AH311" s="55">
        <v>4.1666666666666699E-2</v>
      </c>
      <c r="AI311" s="53"/>
      <c r="AJ311" s="54"/>
      <c r="AK311" s="53"/>
      <c r="AL311" s="54"/>
      <c r="AM311" s="53"/>
      <c r="AN311" s="54"/>
      <c r="AO311" s="53"/>
      <c r="AP311" s="54"/>
      <c r="AQ311" s="53"/>
      <c r="AR311" s="54"/>
      <c r="AS311" s="53"/>
      <c r="AT311" s="54"/>
      <c r="AU311" s="53">
        <v>4.1666666666666699E-2</v>
      </c>
      <c r="AV311" s="54" t="s">
        <v>37</v>
      </c>
      <c r="AW311" s="57">
        <f t="shared" si="41"/>
        <v>4.1666666666666699E-2</v>
      </c>
      <c r="AX311" s="58" t="s">
        <v>109</v>
      </c>
    </row>
    <row r="312" spans="1:50" ht="28.5">
      <c r="A312" s="38" t="s">
        <v>332</v>
      </c>
      <c r="B312" s="39">
        <f t="shared" si="45"/>
        <v>308</v>
      </c>
      <c r="C312" s="40">
        <v>46031</v>
      </c>
      <c r="D312" s="40" t="s">
        <v>80</v>
      </c>
      <c r="E312" s="40" t="s">
        <v>81</v>
      </c>
      <c r="F312" s="41">
        <v>262</v>
      </c>
      <c r="G312" s="42" t="s">
        <v>176</v>
      </c>
      <c r="H312" s="43" t="str">
        <f>IFERROR(VLOOKUP($J312,'[9]FROM (3)'!$E$4:$F$230,2,FALSE),"")</f>
        <v/>
      </c>
      <c r="I312" s="44" t="str">
        <f t="shared" si="42"/>
        <v>RACK</v>
      </c>
      <c r="J312" s="44" t="str">
        <f t="shared" si="43"/>
        <v>510-30149-020</v>
      </c>
      <c r="K312" s="59" t="str">
        <f t="shared" si="39"/>
        <v>PD26010110</v>
      </c>
      <c r="L312" s="46" t="str" cm="1">
        <f t="array" ref="L312">IFERROR(_xlfn.IFS(
    LEN($A312)-LEN(SUBSTITUTE($A312,"|",""))=12, RIGHT(A312, LEN(A312)-FIND("~", SUBSTITUTE(A312,"|","~", LEN(A312)-LEN(SUBSTITUTE(A312,"|",""))))),
    LEN($A312)-LEN(SUBSTITUTE($A312,"|",""))=13, MID($A312, FIND("~", SUBSTITUTE($A312,"|","~", 11))+1, FIND("~", SUBSTITUTE($A312,"|","~", 12))-FIND("~", SUBSTITUTE($A312,"|","~", 11))-1),
    LEN($A312)-LEN(SUBSTITUTE($A312,"|",""))=14, MID($A312, FIND("~", SUBSTITUTE($A312,"|","~", 11))+1, FIND("~", SUBSTITUTE($A312,"|","~", 12))-FIND("~", SUBSTITUTE($A312,"|","~", 11))-1)
), "")</f>
        <v>5C1361</v>
      </c>
      <c r="M312" s="47" t="str">
        <f t="shared" si="37"/>
        <v>FB010050/6/26</v>
      </c>
      <c r="N312" s="46" t="str">
        <f t="shared" si="40"/>
        <v>FB010050/6/26</v>
      </c>
      <c r="O312" s="60">
        <v>200</v>
      </c>
      <c r="P312" s="60">
        <v>327</v>
      </c>
      <c r="Q312" s="48">
        <v>200</v>
      </c>
      <c r="R312" s="48">
        <v>327</v>
      </c>
      <c r="S312" s="48" t="s">
        <v>35</v>
      </c>
      <c r="T312" s="48"/>
      <c r="U312" s="49"/>
      <c r="V312" s="49"/>
      <c r="W312" s="50">
        <f t="shared" si="38"/>
        <v>0</v>
      </c>
      <c r="X312" s="51" t="str">
        <f>IF(A312="", "", IF(COUNTIFS(C$3:C311, C312, D$3:D311, D312, G$3:G311, G312) &gt; 0, "", "11:00"-AW312))</f>
        <v/>
      </c>
      <c r="Y312" s="52" t="str">
        <f t="shared" si="44"/>
        <v/>
      </c>
      <c r="Z312" s="53"/>
      <c r="AA312" s="54"/>
      <c r="AB312" s="53"/>
      <c r="AC312" s="54"/>
      <c r="AD312" s="53"/>
      <c r="AE312" s="54"/>
      <c r="AF312" s="53"/>
      <c r="AG312" s="54"/>
      <c r="AH312" s="55">
        <v>4.1666666666666699E-2</v>
      </c>
      <c r="AI312" s="53"/>
      <c r="AJ312" s="54"/>
      <c r="AK312" s="53"/>
      <c r="AL312" s="54"/>
      <c r="AM312" s="53"/>
      <c r="AN312" s="54"/>
      <c r="AO312" s="53"/>
      <c r="AP312" s="54"/>
      <c r="AQ312" s="53"/>
      <c r="AR312" s="54"/>
      <c r="AS312" s="53"/>
      <c r="AT312" s="54"/>
      <c r="AU312" s="53">
        <v>4.1666666666666699E-2</v>
      </c>
      <c r="AV312" s="54" t="s">
        <v>37</v>
      </c>
      <c r="AW312" s="57">
        <f t="shared" si="41"/>
        <v>4.1666666666666699E-2</v>
      </c>
      <c r="AX312" s="58" t="s">
        <v>109</v>
      </c>
    </row>
    <row r="313" spans="1:50" ht="28.5">
      <c r="A313" s="38" t="s">
        <v>308</v>
      </c>
      <c r="B313" s="39">
        <f t="shared" si="45"/>
        <v>309</v>
      </c>
      <c r="C313" s="40">
        <v>46031</v>
      </c>
      <c r="D313" s="40" t="s">
        <v>80</v>
      </c>
      <c r="E313" s="40" t="s">
        <v>81</v>
      </c>
      <c r="F313" s="41">
        <v>69.5</v>
      </c>
      <c r="G313" s="42" t="s">
        <v>135</v>
      </c>
      <c r="H313" s="43" t="str">
        <f>IFERROR(VLOOKUP($J313,'[9]FROM (3)'!$E$4:$F$230,2,FALSE),"")</f>
        <v>DNTH</v>
      </c>
      <c r="I313" s="44" t="str">
        <f t="shared" si="42"/>
        <v>Pole Core</v>
      </c>
      <c r="J313" s="44" t="str">
        <f t="shared" si="43"/>
        <v>TG028152-5180</v>
      </c>
      <c r="K313" s="59" t="str">
        <f t="shared" si="39"/>
        <v>PD26010256</v>
      </c>
      <c r="L313" s="46" t="str" cm="1">
        <f t="array" ref="L313">IFERROR(_xlfn.IFS(
    LEN($A313)-LEN(SUBSTITUTE($A313,"|",""))=12, RIGHT(A313, LEN(A313)-FIND("~", SUBSTITUTE(A313,"|","~", LEN(A313)-LEN(SUBSTITUTE(A313,"|",""))))),
    LEN($A313)-LEN(SUBSTITUTE($A313,"|",""))=13, MID($A313, FIND("~", SUBSTITUTE($A313,"|","~", 11))+1, FIND("~", SUBSTITUTE($A313,"|","~", 12))-FIND("~", SUBSTITUTE($A313,"|","~", 11))-1),
    LEN($A313)-LEN(SUBSTITUTE($A313,"|",""))=14, MID($A313, FIND("~", SUBSTITUTE($A313,"|","~", 11))+1, FIND("~", SUBSTITUTE($A313,"|","~", 12))-FIND("~", SUBSTITUTE($A313,"|","~", 11))-1)
), "")</f>
        <v>KS005C9016</v>
      </c>
      <c r="M313" s="47" t="str">
        <f t="shared" si="37"/>
        <v>SB010017/2/26</v>
      </c>
      <c r="N313" s="46" t="str">
        <f t="shared" si="40"/>
        <v/>
      </c>
      <c r="O313" s="60"/>
      <c r="P313" s="60"/>
      <c r="Q313" s="48">
        <v>10713</v>
      </c>
      <c r="R313" s="48">
        <v>745</v>
      </c>
      <c r="S313" s="48"/>
      <c r="T313" s="48"/>
      <c r="U313" s="49"/>
      <c r="V313" s="49"/>
      <c r="W313" s="50">
        <f t="shared" si="38"/>
        <v>0</v>
      </c>
      <c r="X313" s="51">
        <f>IF(A313="", "", IF(COUNTIFS(C$3:C312, C313, D$3:D312, D313, G$3:G312, G313) &gt; 0, "", "11:00"-AW313))</f>
        <v>0.24999999999999994</v>
      </c>
      <c r="Y313" s="52" t="str">
        <f t="shared" si="44"/>
        <v>1:0</v>
      </c>
      <c r="Z313" s="53"/>
      <c r="AA313" s="54"/>
      <c r="AB313" s="53"/>
      <c r="AC313" s="54"/>
      <c r="AD313" s="53">
        <v>4.1666666666666664E-2</v>
      </c>
      <c r="AE313" s="54" t="s">
        <v>67</v>
      </c>
      <c r="AF313" s="53">
        <v>4.1666666666666664E-2</v>
      </c>
      <c r="AG313" s="54" t="s">
        <v>136</v>
      </c>
      <c r="AH313" s="55">
        <v>4.1666666666666699E-2</v>
      </c>
      <c r="AI313" s="53"/>
      <c r="AJ313" s="54"/>
      <c r="AK313" s="53"/>
      <c r="AL313" s="54"/>
      <c r="AM313" s="53"/>
      <c r="AN313" s="54"/>
      <c r="AO313" s="53"/>
      <c r="AP313" s="54"/>
      <c r="AQ313" s="53">
        <v>4.1666666666666664E-2</v>
      </c>
      <c r="AR313" s="54" t="s">
        <v>37</v>
      </c>
      <c r="AS313" s="53">
        <v>4.1666666666666664E-2</v>
      </c>
      <c r="AT313" s="54" t="s">
        <v>37</v>
      </c>
      <c r="AU313" s="53">
        <v>4.1666666666666699E-2</v>
      </c>
      <c r="AV313" s="54" t="s">
        <v>37</v>
      </c>
      <c r="AW313" s="57">
        <f t="shared" si="41"/>
        <v>0.20833333333333337</v>
      </c>
      <c r="AX313" s="58" t="s">
        <v>224</v>
      </c>
    </row>
    <row r="314" spans="1:50" ht="28.5">
      <c r="A314" s="38" t="s">
        <v>291</v>
      </c>
      <c r="B314" s="39">
        <f t="shared" si="45"/>
        <v>310</v>
      </c>
      <c r="C314" s="40">
        <v>46031</v>
      </c>
      <c r="D314" s="40" t="s">
        <v>80</v>
      </c>
      <c r="E314" s="40" t="s">
        <v>81</v>
      </c>
      <c r="F314" s="41">
        <v>167.7</v>
      </c>
      <c r="G314" s="42" t="s">
        <v>62</v>
      </c>
      <c r="H314" s="43" t="str">
        <f>IFERROR(VLOOKUP($J314,'[9]FROM (3)'!$E$4:$F$230,2,FALSE),"")</f>
        <v>DNTH</v>
      </c>
      <c r="I314" s="44" t="str">
        <f t="shared" si="42"/>
        <v>SHAFT STARTER ARMATURE, 1W</v>
      </c>
      <c r="J314" s="44" t="str">
        <f t="shared" si="43"/>
        <v>TG028993-557B</v>
      </c>
      <c r="K314" s="59" t="str">
        <f t="shared" si="39"/>
        <v>PD26010170</v>
      </c>
      <c r="L314" s="46" t="str" cm="1">
        <f t="array" ref="L314">IFERROR(_xlfn.IFS(
    LEN($A314)-LEN(SUBSTITUTE($A314,"|",""))=12, RIGHT(A314, LEN(A314)-FIND("~", SUBSTITUTE(A314,"|","~", LEN(A314)-LEN(SUBSTITUTE(A314,"|",""))))),
    LEN($A314)-LEN(SUBSTITUTE($A314,"|",""))=13, MID($A314, FIND("~", SUBSTITUTE($A314,"|","~", 11))+1, FIND("~", SUBSTITUTE($A314,"|","~", 12))-FIND("~", SUBSTITUTE($A314,"|","~", 11))-1),
    LEN($A314)-LEN(SUBSTITUTE($A314,"|",""))=14, MID($A314, FIND("~", SUBSTITUTE($A314,"|","~", 11))+1, FIND("~", SUBSTITUTE($A314,"|","~", 12))-FIND("~", SUBSTITUTE($A314,"|","~", 11))-1)
), "")</f>
        <v>E586473</v>
      </c>
      <c r="M314" s="47" t="str">
        <f t="shared" si="37"/>
        <v>SB120140/3/25</v>
      </c>
      <c r="N314" s="46" t="str">
        <f t="shared" si="40"/>
        <v/>
      </c>
      <c r="O314" s="60"/>
      <c r="P314" s="60"/>
      <c r="Q314" s="48">
        <v>200</v>
      </c>
      <c r="R314" s="48">
        <v>48</v>
      </c>
      <c r="S314" s="48"/>
      <c r="T314" s="48"/>
      <c r="U314" s="49">
        <v>41</v>
      </c>
      <c r="V314" s="49">
        <v>7</v>
      </c>
      <c r="W314" s="50">
        <f t="shared" si="38"/>
        <v>48</v>
      </c>
      <c r="X314" s="51">
        <f>IF(A314="", "", IF(COUNTIFS(C$3:C313, C314, D$3:D313, D314, G$3:G313, G314) &gt; 0, "", "11:00"-AW314))</f>
        <v>6.2499999999999944E-2</v>
      </c>
      <c r="Y314" s="52" t="str">
        <f t="shared" si="44"/>
        <v>1:0</v>
      </c>
      <c r="Z314" s="53">
        <v>2.0833333333333332E-2</v>
      </c>
      <c r="AA314" s="54" t="s">
        <v>63</v>
      </c>
      <c r="AB314" s="53"/>
      <c r="AC314" s="54"/>
      <c r="AD314" s="53">
        <v>4.1666666666666664E-2</v>
      </c>
      <c r="AE314" s="54" t="s">
        <v>129</v>
      </c>
      <c r="AF314" s="53">
        <v>4.1666666666666664E-2</v>
      </c>
      <c r="AG314" s="54" t="s">
        <v>129</v>
      </c>
      <c r="AH314" s="55">
        <v>4.1666666666666699E-2</v>
      </c>
      <c r="AI314" s="53">
        <v>4.1666666666666664E-2</v>
      </c>
      <c r="AJ314" s="54" t="s">
        <v>129</v>
      </c>
      <c r="AK314" s="53">
        <v>4.1666666666666664E-2</v>
      </c>
      <c r="AL314" s="54" t="s">
        <v>129</v>
      </c>
      <c r="AM314" s="53">
        <v>4.1666666666666664E-2</v>
      </c>
      <c r="AN314" s="54" t="s">
        <v>129</v>
      </c>
      <c r="AO314" s="53">
        <v>4.1666666666666664E-2</v>
      </c>
      <c r="AP314" s="54" t="s">
        <v>129</v>
      </c>
      <c r="AQ314" s="53">
        <v>4.1666666666666664E-2</v>
      </c>
      <c r="AR314" s="54" t="s">
        <v>37</v>
      </c>
      <c r="AS314" s="53">
        <v>4.1666666666666664E-2</v>
      </c>
      <c r="AT314" s="54" t="s">
        <v>37</v>
      </c>
      <c r="AU314" s="53">
        <v>4.1666666666666699E-2</v>
      </c>
      <c r="AV314" s="54" t="s">
        <v>37</v>
      </c>
      <c r="AW314" s="57">
        <f t="shared" si="41"/>
        <v>0.39583333333333337</v>
      </c>
      <c r="AX314" s="58" t="s">
        <v>113</v>
      </c>
    </row>
    <row r="315" spans="1:50" ht="28.5">
      <c r="A315" s="38" t="s">
        <v>333</v>
      </c>
      <c r="B315" s="39">
        <f t="shared" si="45"/>
        <v>311</v>
      </c>
      <c r="C315" s="40">
        <v>46031</v>
      </c>
      <c r="D315" s="40" t="s">
        <v>80</v>
      </c>
      <c r="E315" s="40" t="s">
        <v>81</v>
      </c>
      <c r="F315" s="41">
        <v>756.8</v>
      </c>
      <c r="G315" s="42" t="s">
        <v>192</v>
      </c>
      <c r="H315" s="43" t="str">
        <f>IFERROR(VLOOKUP($J315,'[9]FROM (3)'!$E$4:$F$230,2,FALSE),"")</f>
        <v>JATH</v>
      </c>
      <c r="I315" s="44" t="str">
        <f t="shared" si="42"/>
        <v>JGF02-002190-31-2</v>
      </c>
      <c r="J315" s="44" t="str">
        <f t="shared" si="43"/>
        <v>RACK BAR BLANK (JGF02-002190-31-2) 5K45</v>
      </c>
      <c r="K315" s="59" t="str">
        <f t="shared" si="39"/>
        <v>PD25120708</v>
      </c>
      <c r="L315" s="46" t="str" cm="1">
        <f t="array" ref="L315">IFERROR(_xlfn.IFS(
    LEN($A315)-LEN(SUBSTITUTE($A315,"|",""))=12, RIGHT(A315, LEN(A315)-FIND("~", SUBSTITUTE(A315,"|","~", LEN(A315)-LEN(SUBSTITUTE(A315,"|",""))))),
    LEN($A315)-LEN(SUBSTITUTE($A315,"|",""))=13, MID($A315, FIND("~", SUBSTITUTE($A315,"|","~", 11))+1, FIND("~", SUBSTITUTE($A315,"|","~", 12))-FIND("~", SUBSTITUTE($A315,"|","~", 11))-1),
    LEN($A315)-LEN(SUBSTITUTE($A315,"|",""))=14, MID($A315, FIND("~", SUBSTITUTE($A315,"|","~", 11))+1, FIND("~", SUBSTITUTE($A315,"|","~", 12))-FIND("~", SUBSTITUTE($A315,"|","~", 11))-1)
), "")</f>
        <v>5C1880</v>
      </c>
      <c r="M315" s="47" t="str">
        <f t="shared" si="37"/>
        <v>TSK2</v>
      </c>
      <c r="N315" s="46" t="str">
        <f t="shared" si="40"/>
        <v>FB120218/17/25</v>
      </c>
      <c r="O315" s="60">
        <v>58</v>
      </c>
      <c r="P315" s="60">
        <v>280</v>
      </c>
      <c r="Q315" s="48">
        <v>58</v>
      </c>
      <c r="R315" s="48">
        <v>280</v>
      </c>
      <c r="S315" s="48"/>
      <c r="T315" s="48"/>
      <c r="U315" s="49"/>
      <c r="V315" s="49"/>
      <c r="W315" s="50">
        <f t="shared" si="38"/>
        <v>0</v>
      </c>
      <c r="X315" s="51">
        <f>IF(A315="", "", IF(COUNTIFS(C$3:C314, C315, D$3:D314, D315, G$3:G314, G315) &gt; 0, "", "11:00"-AW315))</f>
        <v>0.24999999999999994</v>
      </c>
      <c r="Y315" s="52" t="str">
        <f t="shared" si="44"/>
        <v>1:0</v>
      </c>
      <c r="Z315" s="53">
        <v>4.1666666666666664E-2</v>
      </c>
      <c r="AA315" s="54" t="s">
        <v>90</v>
      </c>
      <c r="AB315" s="53">
        <v>4.1666666666666664E-2</v>
      </c>
      <c r="AC315" s="54" t="s">
        <v>90</v>
      </c>
      <c r="AD315" s="53"/>
      <c r="AE315" s="54"/>
      <c r="AF315" s="53"/>
      <c r="AG315" s="54"/>
      <c r="AH315" s="55">
        <v>4.1666666666666699E-2</v>
      </c>
      <c r="AI315" s="53"/>
      <c r="AJ315" s="54"/>
      <c r="AK315" s="53"/>
      <c r="AL315" s="54"/>
      <c r="AM315" s="53"/>
      <c r="AN315" s="54"/>
      <c r="AO315" s="53"/>
      <c r="AP315" s="54"/>
      <c r="AQ315" s="53">
        <v>4.1666666666666664E-2</v>
      </c>
      <c r="AR315" s="54" t="s">
        <v>37</v>
      </c>
      <c r="AS315" s="53">
        <v>4.1666666666666664E-2</v>
      </c>
      <c r="AT315" s="54" t="s">
        <v>37</v>
      </c>
      <c r="AU315" s="53">
        <v>4.1666666666666699E-2</v>
      </c>
      <c r="AV315" s="54" t="s">
        <v>37</v>
      </c>
      <c r="AW315" s="57">
        <f t="shared" si="41"/>
        <v>0.20833333333333337</v>
      </c>
      <c r="AX315" s="58" t="s">
        <v>113</v>
      </c>
    </row>
    <row r="316" spans="1:50" ht="28.5">
      <c r="A316" s="38" t="s">
        <v>334</v>
      </c>
      <c r="B316" s="39">
        <f t="shared" si="45"/>
        <v>312</v>
      </c>
      <c r="C316" s="40">
        <v>46031</v>
      </c>
      <c r="D316" s="40" t="s">
        <v>80</v>
      </c>
      <c r="E316" s="40" t="s">
        <v>81</v>
      </c>
      <c r="F316" s="41">
        <v>756.8</v>
      </c>
      <c r="G316" s="42" t="s">
        <v>192</v>
      </c>
      <c r="H316" s="43" t="str">
        <f>IFERROR(VLOOKUP($J316,'[9]FROM (3)'!$E$4:$F$230,2,FALSE),"")</f>
        <v>JATH</v>
      </c>
      <c r="I316" s="44" t="str">
        <f t="shared" si="42"/>
        <v>JGF02-002190-31-2</v>
      </c>
      <c r="J316" s="44" t="str">
        <f t="shared" si="43"/>
        <v>RACK BAR BLANK (JGF02-002190-31-2) 5K45</v>
      </c>
      <c r="K316" s="59" t="str">
        <f t="shared" si="39"/>
        <v>PD25120708</v>
      </c>
      <c r="L316" s="46" t="str" cm="1">
        <f t="array" ref="L316">IFERROR(_xlfn.IFS(
    LEN($A316)-LEN(SUBSTITUTE($A316,"|",""))=12, RIGHT(A316, LEN(A316)-FIND("~", SUBSTITUTE(A316,"|","~", LEN(A316)-LEN(SUBSTITUTE(A316,"|",""))))),
    LEN($A316)-LEN(SUBSTITUTE($A316,"|",""))=13, MID($A316, FIND("~", SUBSTITUTE($A316,"|","~", 11))+1, FIND("~", SUBSTITUTE($A316,"|","~", 12))-FIND("~", SUBSTITUTE($A316,"|","~", 11))-1),
    LEN($A316)-LEN(SUBSTITUTE($A316,"|",""))=14, MID($A316, FIND("~", SUBSTITUTE($A316,"|","~", 11))+1, FIND("~", SUBSTITUTE($A316,"|","~", 12))-FIND("~", SUBSTITUTE($A316,"|","~", 11))-1)
), "")</f>
        <v>5C1880</v>
      </c>
      <c r="M316" s="47" t="str">
        <f t="shared" si="37"/>
        <v>TSK2</v>
      </c>
      <c r="N316" s="46" t="str">
        <f t="shared" si="40"/>
        <v>FB120218/20/25</v>
      </c>
      <c r="O316" s="60">
        <v>58</v>
      </c>
      <c r="P316" s="60">
        <v>280</v>
      </c>
      <c r="Q316" s="48">
        <v>58</v>
      </c>
      <c r="R316" s="48">
        <v>280</v>
      </c>
      <c r="S316" s="48"/>
      <c r="T316" s="48"/>
      <c r="U316" s="49"/>
      <c r="V316" s="49"/>
      <c r="W316" s="50">
        <f t="shared" si="38"/>
        <v>0</v>
      </c>
      <c r="X316" s="51" t="str">
        <f>IF(A316="", "", IF(COUNTIFS(C$3:C315, C316, D$3:D315, D316, G$3:G315, G316) &gt; 0, "", "11:00"-AW316))</f>
        <v/>
      </c>
      <c r="Y316" s="52" t="str">
        <f t="shared" si="44"/>
        <v/>
      </c>
      <c r="Z316" s="53"/>
      <c r="AA316" s="54"/>
      <c r="AB316" s="53"/>
      <c r="AC316" s="54"/>
      <c r="AD316" s="53"/>
      <c r="AE316" s="54"/>
      <c r="AF316" s="53"/>
      <c r="AG316" s="54"/>
      <c r="AH316" s="55">
        <v>4.1666666666666699E-2</v>
      </c>
      <c r="AI316" s="53"/>
      <c r="AJ316" s="54"/>
      <c r="AK316" s="53"/>
      <c r="AL316" s="54"/>
      <c r="AM316" s="53"/>
      <c r="AN316" s="54"/>
      <c r="AO316" s="53"/>
      <c r="AP316" s="54"/>
      <c r="AQ316" s="53"/>
      <c r="AR316" s="54"/>
      <c r="AS316" s="53"/>
      <c r="AT316" s="54"/>
      <c r="AU316" s="53">
        <v>4.1666666666666699E-2</v>
      </c>
      <c r="AV316" s="54" t="s">
        <v>37</v>
      </c>
      <c r="AW316" s="57">
        <f t="shared" si="41"/>
        <v>4.1666666666666699E-2</v>
      </c>
      <c r="AX316" s="58" t="s">
        <v>113</v>
      </c>
    </row>
    <row r="317" spans="1:50" ht="28.5">
      <c r="A317" s="38" t="s">
        <v>335</v>
      </c>
      <c r="B317" s="39">
        <f t="shared" si="45"/>
        <v>313</v>
      </c>
      <c r="C317" s="40">
        <v>46031</v>
      </c>
      <c r="D317" s="40" t="s">
        <v>80</v>
      </c>
      <c r="E317" s="40" t="s">
        <v>81</v>
      </c>
      <c r="F317" s="41">
        <v>756.8</v>
      </c>
      <c r="G317" s="42" t="s">
        <v>192</v>
      </c>
      <c r="H317" s="43" t="str">
        <f>IFERROR(VLOOKUP($J317,'[9]FROM (3)'!$E$4:$F$230,2,FALSE),"")</f>
        <v>JATH</v>
      </c>
      <c r="I317" s="44" t="str">
        <f t="shared" si="42"/>
        <v>JGF02-002190-31-2</v>
      </c>
      <c r="J317" s="44" t="str">
        <f t="shared" si="43"/>
        <v>RACK BAR BLANK (JGF02-002190-31-2) 5K45</v>
      </c>
      <c r="K317" s="59" t="str">
        <f t="shared" si="39"/>
        <v>PD25120708</v>
      </c>
      <c r="L317" s="46" t="str" cm="1">
        <f t="array" ref="L317">IFERROR(_xlfn.IFS(
    LEN($A317)-LEN(SUBSTITUTE($A317,"|",""))=12, RIGHT(A317, LEN(A317)-FIND("~", SUBSTITUTE(A317,"|","~", LEN(A317)-LEN(SUBSTITUTE(A317,"|",""))))),
    LEN($A317)-LEN(SUBSTITUTE($A317,"|",""))=13, MID($A317, FIND("~", SUBSTITUTE($A317,"|","~", 11))+1, FIND("~", SUBSTITUTE($A317,"|","~", 12))-FIND("~", SUBSTITUTE($A317,"|","~", 11))-1),
    LEN($A317)-LEN(SUBSTITUTE($A317,"|",""))=14, MID($A317, FIND("~", SUBSTITUTE($A317,"|","~", 11))+1, FIND("~", SUBSTITUTE($A317,"|","~", 12))-FIND("~", SUBSTITUTE($A317,"|","~", 11))-1)
), "")</f>
        <v>5C1880</v>
      </c>
      <c r="M317" s="47" t="str">
        <f t="shared" si="37"/>
        <v>TSK2</v>
      </c>
      <c r="N317" s="46" t="str">
        <f t="shared" si="40"/>
        <v>FB120218/15/25</v>
      </c>
      <c r="O317" s="60">
        <v>58</v>
      </c>
      <c r="P317" s="60">
        <v>280</v>
      </c>
      <c r="Q317" s="48">
        <v>58</v>
      </c>
      <c r="R317" s="48">
        <v>280</v>
      </c>
      <c r="S317" s="48"/>
      <c r="T317" s="48"/>
      <c r="U317" s="49"/>
      <c r="V317" s="49"/>
      <c r="W317" s="50">
        <f t="shared" si="38"/>
        <v>0</v>
      </c>
      <c r="X317" s="51" t="str">
        <f>IF(A317="", "", IF(COUNTIFS(C$3:C316, C317, D$3:D316, D317, G$3:G316, G317) &gt; 0, "", "11:00"-AW317))</f>
        <v/>
      </c>
      <c r="Y317" s="52" t="str">
        <f t="shared" si="44"/>
        <v/>
      </c>
      <c r="Z317" s="53"/>
      <c r="AA317" s="54"/>
      <c r="AB317" s="53"/>
      <c r="AC317" s="54"/>
      <c r="AD317" s="53"/>
      <c r="AE317" s="54"/>
      <c r="AF317" s="53"/>
      <c r="AG317" s="54"/>
      <c r="AH317" s="55">
        <v>4.1666666666666699E-2</v>
      </c>
      <c r="AI317" s="53"/>
      <c r="AJ317" s="54"/>
      <c r="AK317" s="53"/>
      <c r="AL317" s="54"/>
      <c r="AM317" s="53"/>
      <c r="AN317" s="54"/>
      <c r="AO317" s="53"/>
      <c r="AP317" s="54"/>
      <c r="AQ317" s="53"/>
      <c r="AR317" s="54"/>
      <c r="AS317" s="53"/>
      <c r="AU317" s="53">
        <v>4.1666666666666699E-2</v>
      </c>
      <c r="AV317" s="54" t="s">
        <v>37</v>
      </c>
      <c r="AW317" s="57">
        <f t="shared" si="41"/>
        <v>4.1666666666666699E-2</v>
      </c>
      <c r="AX317" s="58" t="s">
        <v>113</v>
      </c>
    </row>
    <row r="318" spans="1:50" ht="28.5">
      <c r="A318" s="38" t="s">
        <v>336</v>
      </c>
      <c r="B318" s="39">
        <f t="shared" si="45"/>
        <v>314</v>
      </c>
      <c r="C318" s="40">
        <v>46031</v>
      </c>
      <c r="D318" s="40" t="s">
        <v>80</v>
      </c>
      <c r="E318" s="40" t="s">
        <v>81</v>
      </c>
      <c r="F318" s="41">
        <v>756.8</v>
      </c>
      <c r="G318" s="42" t="s">
        <v>192</v>
      </c>
      <c r="H318" s="43" t="str">
        <f>IFERROR(VLOOKUP($J318,'[9]FROM (3)'!$E$4:$F$230,2,FALSE),"")</f>
        <v>JATH</v>
      </c>
      <c r="I318" s="44" t="str">
        <f t="shared" si="42"/>
        <v>JGF02-002190-31-2</v>
      </c>
      <c r="J318" s="44" t="str">
        <f t="shared" si="43"/>
        <v>RACK BAR BLANK (JGF02-002190-31-2) 5K45</v>
      </c>
      <c r="K318" s="59" t="str">
        <f t="shared" si="39"/>
        <v>PD25120708</v>
      </c>
      <c r="L318" s="46" t="str" cm="1">
        <f t="array" ref="L318">IFERROR(_xlfn.IFS(
    LEN($A318)-LEN(SUBSTITUTE($A318,"|",""))=12, RIGHT(A318, LEN(A318)-FIND("~", SUBSTITUTE(A318,"|","~", LEN(A318)-LEN(SUBSTITUTE(A318,"|",""))))),
    LEN($A318)-LEN(SUBSTITUTE($A318,"|",""))=13, MID($A318, FIND("~", SUBSTITUTE($A318,"|","~", 11))+1, FIND("~", SUBSTITUTE($A318,"|","~", 12))-FIND("~", SUBSTITUTE($A318,"|","~", 11))-1),
    LEN($A318)-LEN(SUBSTITUTE($A318,"|",""))=14, MID($A318, FIND("~", SUBSTITUTE($A318,"|","~", 11))+1, FIND("~", SUBSTITUTE($A318,"|","~", 12))-FIND("~", SUBSTITUTE($A318,"|","~", 11))-1)
), "")</f>
        <v>5C1880</v>
      </c>
      <c r="M318" s="47" t="str">
        <f t="shared" si="37"/>
        <v>TSK2</v>
      </c>
      <c r="N318" s="46" t="str">
        <f t="shared" si="40"/>
        <v>FB120218/18/25</v>
      </c>
      <c r="O318" s="60">
        <v>58</v>
      </c>
      <c r="P318" s="60">
        <v>280</v>
      </c>
      <c r="Q318" s="48">
        <v>58</v>
      </c>
      <c r="R318" s="48">
        <v>280</v>
      </c>
      <c r="S318" s="48"/>
      <c r="T318" s="48"/>
      <c r="U318" s="49"/>
      <c r="V318" s="49"/>
      <c r="W318" s="50">
        <f t="shared" si="38"/>
        <v>0</v>
      </c>
      <c r="X318" s="51" t="str">
        <f>IF(A318="", "", IF(COUNTIFS(C$3:C317, C318, D$3:D317, D318, G$3:G317, G318) &gt; 0, "", "11:00"-AW318))</f>
        <v/>
      </c>
      <c r="Y318" s="52" t="str">
        <f t="shared" si="44"/>
        <v/>
      </c>
      <c r="Z318" s="53"/>
      <c r="AA318" s="54"/>
      <c r="AB318" s="53"/>
      <c r="AC318" s="54"/>
      <c r="AD318" s="53"/>
      <c r="AE318" s="54"/>
      <c r="AF318" s="53"/>
      <c r="AG318" s="54"/>
      <c r="AH318" s="55">
        <v>4.1666666666666699E-2</v>
      </c>
      <c r="AI318" s="53"/>
      <c r="AJ318" s="54"/>
      <c r="AK318" s="53"/>
      <c r="AL318" s="54"/>
      <c r="AM318" s="53"/>
      <c r="AN318" s="54"/>
      <c r="AO318" s="53"/>
      <c r="AP318" s="54"/>
      <c r="AQ318" s="53"/>
      <c r="AR318" s="54"/>
      <c r="AS318" s="53"/>
      <c r="AT318" s="54"/>
      <c r="AU318" s="53">
        <v>4.1666666666666699E-2</v>
      </c>
      <c r="AV318" s="54" t="s">
        <v>37</v>
      </c>
      <c r="AW318" s="57">
        <f t="shared" si="41"/>
        <v>4.1666666666666699E-2</v>
      </c>
      <c r="AX318" s="58" t="s">
        <v>113</v>
      </c>
    </row>
    <row r="319" spans="1:50" ht="28.5">
      <c r="A319" s="38" t="s">
        <v>337</v>
      </c>
      <c r="B319" s="39">
        <f t="shared" si="45"/>
        <v>315</v>
      </c>
      <c r="C319" s="40">
        <v>46031</v>
      </c>
      <c r="D319" s="40" t="s">
        <v>80</v>
      </c>
      <c r="E319" s="40" t="s">
        <v>81</v>
      </c>
      <c r="F319" s="41">
        <v>756.8</v>
      </c>
      <c r="G319" s="42" t="s">
        <v>192</v>
      </c>
      <c r="H319" s="43" t="str">
        <f>IFERROR(VLOOKUP($J319,'[9]FROM (3)'!$E$4:$F$230,2,FALSE),"")</f>
        <v>JATH</v>
      </c>
      <c r="I319" s="44" t="str">
        <f t="shared" si="42"/>
        <v>JGF02-002190-31-2</v>
      </c>
      <c r="J319" s="44" t="str">
        <f t="shared" si="43"/>
        <v>RACK BAR BLANK (JGF02-002190-31-2) 5K45</v>
      </c>
      <c r="K319" s="59" t="str">
        <f t="shared" si="39"/>
        <v>PD25120708</v>
      </c>
      <c r="L319" s="46" t="str" cm="1">
        <f t="array" ref="L319">IFERROR(_xlfn.IFS(
    LEN($A319)-LEN(SUBSTITUTE($A319,"|",""))=12, RIGHT(A319, LEN(A319)-FIND("~", SUBSTITUTE(A319,"|","~", LEN(A319)-LEN(SUBSTITUTE(A319,"|",""))))),
    LEN($A319)-LEN(SUBSTITUTE($A319,"|",""))=13, MID($A319, FIND("~", SUBSTITUTE($A319,"|","~", 11))+1, FIND("~", SUBSTITUTE($A319,"|","~", 12))-FIND("~", SUBSTITUTE($A319,"|","~", 11))-1),
    LEN($A319)-LEN(SUBSTITUTE($A319,"|",""))=14, MID($A319, FIND("~", SUBSTITUTE($A319,"|","~", 11))+1, FIND("~", SUBSTITUTE($A319,"|","~", 12))-FIND("~", SUBSTITUTE($A319,"|","~", 11))-1)
), "")</f>
        <v>5C1880</v>
      </c>
      <c r="M319" s="47" t="str">
        <f t="shared" si="37"/>
        <v>TSK2</v>
      </c>
      <c r="N319" s="46" t="str">
        <f t="shared" si="40"/>
        <v>FB120218/16/25</v>
      </c>
      <c r="O319" s="60">
        <v>58</v>
      </c>
      <c r="P319" s="60">
        <v>280</v>
      </c>
      <c r="Q319" s="48">
        <v>58</v>
      </c>
      <c r="R319" s="48">
        <v>280</v>
      </c>
      <c r="S319" s="48"/>
      <c r="T319" s="48"/>
      <c r="U319" s="49"/>
      <c r="V319" s="49"/>
      <c r="W319" s="50">
        <f t="shared" si="38"/>
        <v>0</v>
      </c>
      <c r="X319" s="51" t="str">
        <f>IF(A319="", "", IF(COUNTIFS(C$3:C318, C319, D$3:D318, D319, G$3:G318, G319) &gt; 0, "", "11:00"-AW319))</f>
        <v/>
      </c>
      <c r="Y319" s="52" t="str">
        <f t="shared" si="44"/>
        <v/>
      </c>
      <c r="Z319" s="53"/>
      <c r="AA319" s="54"/>
      <c r="AB319" s="53"/>
      <c r="AC319" s="54"/>
      <c r="AD319" s="53"/>
      <c r="AE319" s="54"/>
      <c r="AF319" s="53"/>
      <c r="AG319" s="54"/>
      <c r="AH319" s="55">
        <v>4.1666666666666699E-2</v>
      </c>
      <c r="AI319" s="53"/>
      <c r="AJ319" s="54"/>
      <c r="AK319" s="53"/>
      <c r="AL319" s="54"/>
      <c r="AM319" s="53"/>
      <c r="AN319" s="54"/>
      <c r="AO319" s="53"/>
      <c r="AP319" s="54"/>
      <c r="AQ319" s="53"/>
      <c r="AR319" s="54"/>
      <c r="AS319" s="53"/>
      <c r="AT319" s="54"/>
      <c r="AU319" s="53">
        <v>4.1666666666666699E-2</v>
      </c>
      <c r="AV319" s="54" t="s">
        <v>37</v>
      </c>
      <c r="AW319" s="57">
        <f t="shared" si="41"/>
        <v>4.1666666666666699E-2</v>
      </c>
      <c r="AX319" s="58" t="s">
        <v>113</v>
      </c>
    </row>
    <row r="320" spans="1:50" ht="28.5">
      <c r="A320" s="38" t="s">
        <v>338</v>
      </c>
      <c r="B320" s="39">
        <f t="shared" si="45"/>
        <v>316</v>
      </c>
      <c r="C320" s="40">
        <v>46031</v>
      </c>
      <c r="D320" s="40" t="s">
        <v>80</v>
      </c>
      <c r="E320" s="40" t="s">
        <v>81</v>
      </c>
      <c r="F320" s="41">
        <v>756.8</v>
      </c>
      <c r="G320" s="42" t="s">
        <v>192</v>
      </c>
      <c r="H320" s="43" t="str">
        <f>IFERROR(VLOOKUP($J320,'[9]FROM (3)'!$E$4:$F$230,2,FALSE),"")</f>
        <v>JATH</v>
      </c>
      <c r="I320" s="44" t="str">
        <f t="shared" si="42"/>
        <v>JGF02-002190-31-2</v>
      </c>
      <c r="J320" s="44" t="str">
        <f t="shared" si="43"/>
        <v>RACK BAR BLANK (JGF02-002190-31-2) 5K45</v>
      </c>
      <c r="K320" s="59" t="str">
        <f t="shared" si="39"/>
        <v>PD25120708</v>
      </c>
      <c r="L320" s="46" t="str" cm="1">
        <f t="array" ref="L320">IFERROR(_xlfn.IFS(
    LEN($A320)-LEN(SUBSTITUTE($A320,"|",""))=12, RIGHT(A320, LEN(A320)-FIND("~", SUBSTITUTE(A320,"|","~", LEN(A320)-LEN(SUBSTITUTE(A320,"|",""))))),
    LEN($A320)-LEN(SUBSTITUTE($A320,"|",""))=13, MID($A320, FIND("~", SUBSTITUTE($A320,"|","~", 11))+1, FIND("~", SUBSTITUTE($A320,"|","~", 12))-FIND("~", SUBSTITUTE($A320,"|","~", 11))-1),
    LEN($A320)-LEN(SUBSTITUTE($A320,"|",""))=14, MID($A320, FIND("~", SUBSTITUTE($A320,"|","~", 11))+1, FIND("~", SUBSTITUTE($A320,"|","~", 12))-FIND("~", SUBSTITUTE($A320,"|","~", 11))-1)
), "")</f>
        <v>5C1880</v>
      </c>
      <c r="M320" s="47" t="str">
        <f t="shared" si="37"/>
        <v>TSK2</v>
      </c>
      <c r="N320" s="46" t="str">
        <f t="shared" si="40"/>
        <v>FB120218/19/25</v>
      </c>
      <c r="O320" s="60">
        <v>58</v>
      </c>
      <c r="P320" s="60">
        <v>280</v>
      </c>
      <c r="Q320" s="48">
        <v>58</v>
      </c>
      <c r="R320" s="48">
        <v>280</v>
      </c>
      <c r="S320" s="48"/>
      <c r="T320" s="48"/>
      <c r="U320" s="49"/>
      <c r="V320" s="49"/>
      <c r="W320" s="50">
        <f t="shared" si="38"/>
        <v>0</v>
      </c>
      <c r="X320" s="51" t="str">
        <f>IF(A320="", "", IF(COUNTIFS(C$3:C319, C320, D$3:D319, D320, G$3:G319, G320) &gt; 0, "", "11:00"-AW320))</f>
        <v/>
      </c>
      <c r="Y320" s="52" t="str">
        <f t="shared" si="44"/>
        <v/>
      </c>
      <c r="Z320" s="53"/>
      <c r="AA320" s="54"/>
      <c r="AB320" s="53"/>
      <c r="AC320" s="54"/>
      <c r="AD320" s="53"/>
      <c r="AE320" s="54"/>
      <c r="AF320" s="53"/>
      <c r="AG320" s="54"/>
      <c r="AH320" s="55">
        <v>4.1666666666666699E-2</v>
      </c>
      <c r="AI320" s="53"/>
      <c r="AJ320" s="54"/>
      <c r="AK320" s="53"/>
      <c r="AL320" s="54"/>
      <c r="AM320" s="53"/>
      <c r="AN320" s="54"/>
      <c r="AO320" s="53"/>
      <c r="AP320" s="54"/>
      <c r="AQ320" s="53"/>
      <c r="AR320" s="54"/>
      <c r="AS320" s="53"/>
      <c r="AT320" s="54"/>
      <c r="AU320" s="53">
        <v>4.1666666666666699E-2</v>
      </c>
      <c r="AV320" s="54" t="s">
        <v>37</v>
      </c>
      <c r="AW320" s="57">
        <f t="shared" si="41"/>
        <v>4.1666666666666699E-2</v>
      </c>
      <c r="AX320" s="58" t="s">
        <v>113</v>
      </c>
    </row>
    <row r="321" spans="1:50" ht="28.5">
      <c r="A321" s="38" t="s">
        <v>236</v>
      </c>
      <c r="B321" s="39">
        <f t="shared" si="45"/>
        <v>317</v>
      </c>
      <c r="C321" s="40">
        <v>46034</v>
      </c>
      <c r="D321" s="40" t="s">
        <v>80</v>
      </c>
      <c r="E321" s="40" t="s">
        <v>33</v>
      </c>
      <c r="F321" s="41">
        <v>25.35</v>
      </c>
      <c r="G321" s="42" t="s">
        <v>44</v>
      </c>
      <c r="H321" s="43" t="str">
        <f>IFERROR(VLOOKUP($J321,'[9]FROM (3)'!$E$4:$F$230,2,FALSE),"")</f>
        <v>KYOWA NT</v>
      </c>
      <c r="I321" s="44" t="str">
        <f t="shared" si="42"/>
        <v>PIN</v>
      </c>
      <c r="J321" s="44" t="str">
        <f t="shared" si="43"/>
        <v>8306T0036</v>
      </c>
      <c r="K321" s="59" t="str">
        <f t="shared" si="39"/>
        <v>PD25121321</v>
      </c>
      <c r="L321" s="46" t="str" cm="1">
        <f t="array" ref="L321">IFERROR(_xlfn.IFS(
    LEN($A321)-LEN(SUBSTITUTE($A321,"|",""))=12, RIGHT(A321, LEN(A321)-FIND("~", SUBSTITUTE(A321,"|","~", LEN(A321)-LEN(SUBSTITUTE(A321,"|",""))))),
    LEN($A321)-LEN(SUBSTITUTE($A321,"|",""))=13, MID($A321, FIND("~", SUBSTITUTE($A321,"|","~", 11))+1, FIND("~", SUBSTITUTE($A321,"|","~", 12))-FIND("~", SUBSTITUTE($A321,"|","~", 11))-1),
    LEN($A321)-LEN(SUBSTITUTE($A321,"|",""))=14, MID($A321, FIND("~", SUBSTITUTE($A321,"|","~", 11))+1, FIND("~", SUBSTITUTE($A321,"|","~", 12))-FIND("~", SUBSTITUTE($A321,"|","~", 11))-1)
), "")</f>
        <v>665573</v>
      </c>
      <c r="M321" s="47" t="str">
        <f t="shared" si="37"/>
        <v>SB120110/2/25</v>
      </c>
      <c r="N321" s="46" t="str">
        <f t="shared" si="40"/>
        <v/>
      </c>
      <c r="O321" s="60"/>
      <c r="P321" s="60"/>
      <c r="Q321" s="48">
        <v>5811</v>
      </c>
      <c r="R321" s="48">
        <v>147</v>
      </c>
      <c r="S321" s="48"/>
      <c r="T321" s="48"/>
      <c r="U321" s="49"/>
      <c r="V321" s="49"/>
      <c r="W321" s="50">
        <f t="shared" si="38"/>
        <v>0</v>
      </c>
      <c r="X321" s="51">
        <f>IF(A321="", "", IF(COUNTIFS(C$3:C320, C321, D$3:D320, D321, G$3:G320, G321) &gt; 0, "", "11:00"-AW321))</f>
        <v>0.33333333333333326</v>
      </c>
      <c r="Y321" s="52" t="str">
        <f t="shared" si="44"/>
        <v>1:0</v>
      </c>
      <c r="Z321" s="53"/>
      <c r="AA321" s="54"/>
      <c r="AB321" s="53"/>
      <c r="AC321" s="54"/>
      <c r="AD321" s="53"/>
      <c r="AE321" s="54"/>
      <c r="AF321" s="53"/>
      <c r="AG321" s="54"/>
      <c r="AH321" s="55">
        <v>4.1666666666666699E-2</v>
      </c>
      <c r="AI321" s="53"/>
      <c r="AJ321" s="54"/>
      <c r="AK321" s="53"/>
      <c r="AL321" s="54"/>
      <c r="AM321" s="53"/>
      <c r="AN321" s="54"/>
      <c r="AO321" s="53"/>
      <c r="AP321" s="54"/>
      <c r="AQ321" s="53">
        <v>4.1666666666666664E-2</v>
      </c>
      <c r="AR321" s="54" t="s">
        <v>37</v>
      </c>
      <c r="AS321" s="53">
        <v>4.1666666666666664E-2</v>
      </c>
      <c r="AT321" s="54" t="s">
        <v>37</v>
      </c>
      <c r="AU321" s="53">
        <v>4.1666666666666699E-2</v>
      </c>
      <c r="AV321" s="54" t="s">
        <v>37</v>
      </c>
      <c r="AW321" s="57">
        <f t="shared" si="41"/>
        <v>0.12500000000000003</v>
      </c>
      <c r="AX321" s="58" t="s">
        <v>203</v>
      </c>
    </row>
    <row r="322" spans="1:50" ht="28.5">
      <c r="A322" s="38" t="s">
        <v>309</v>
      </c>
      <c r="B322" s="39">
        <f t="shared" si="45"/>
        <v>318</v>
      </c>
      <c r="C322" s="40">
        <v>46034</v>
      </c>
      <c r="D322" s="40" t="s">
        <v>80</v>
      </c>
      <c r="E322" s="40" t="s">
        <v>33</v>
      </c>
      <c r="F322" s="41">
        <v>516.5</v>
      </c>
      <c r="G322" s="42" t="s">
        <v>41</v>
      </c>
      <c r="H322" s="43" t="str">
        <f>IFERROR(VLOOKUP($J322,'[9]FROM (3)'!$E$4:$F$230,2,FALSE),"")</f>
        <v>KONSEI</v>
      </c>
      <c r="I322" s="44" t="str">
        <f t="shared" si="42"/>
        <v>Piston Disc Brake, Forging</v>
      </c>
      <c r="J322" s="44" t="str">
        <f t="shared" si="43"/>
        <v>141411-60140-20</v>
      </c>
      <c r="K322" s="59" t="str">
        <f t="shared" si="39"/>
        <v>PD26010253</v>
      </c>
      <c r="L322" s="46" t="str" cm="1">
        <f t="array" ref="L322">IFERROR(_xlfn.IFS(
    LEN($A322)-LEN(SUBSTITUTE($A322,"|",""))=12, RIGHT(A322, LEN(A322)-FIND("~", SUBSTITUTE(A322,"|","~", LEN(A322)-LEN(SUBSTITUTE(A322,"|",""))))),
    LEN($A322)-LEN(SUBSTITUTE($A322,"|",""))=13, MID($A322, FIND("~", SUBSTITUTE($A322,"|","~", 11))+1, FIND("~", SUBSTITUTE($A322,"|","~", 12))-FIND("~", SUBSTITUTE($A322,"|","~", 11))-1),
    LEN($A322)-LEN(SUBSTITUTE($A322,"|",""))=14, MID($A322, FIND("~", SUBSTITUTE($A322,"|","~", 11))+1, FIND("~", SUBSTITUTE($A322,"|","~", 12))-FIND("~", SUBSTITUTE($A322,"|","~", 11))-1)
), "")</f>
        <v>663961</v>
      </c>
      <c r="M322" s="47" t="str">
        <f t="shared" si="37"/>
        <v>2B2600079</v>
      </c>
      <c r="N322" s="46" t="str">
        <f t="shared" si="40"/>
        <v/>
      </c>
      <c r="O322" s="60"/>
      <c r="P322" s="60"/>
      <c r="Q322" s="48">
        <v>2018</v>
      </c>
      <c r="R322" s="48">
        <v>1042</v>
      </c>
      <c r="S322" s="48"/>
      <c r="T322" s="48"/>
      <c r="U322" s="49"/>
      <c r="V322" s="49"/>
      <c r="W322" s="50">
        <f t="shared" si="38"/>
        <v>0</v>
      </c>
      <c r="X322" s="51">
        <f>IF(A322="", "", IF(COUNTIFS(C$3:C321, C322, D$3:D321, D322, G$3:G321, G322) &gt; 0, "", "11:00"-AW322))</f>
        <v>0.33333333333333326</v>
      </c>
      <c r="Y322" s="52" t="str">
        <f t="shared" si="44"/>
        <v>1:0</v>
      </c>
      <c r="Z322" s="53"/>
      <c r="AA322" s="54"/>
      <c r="AB322" s="53"/>
      <c r="AC322" s="54"/>
      <c r="AD322" s="53"/>
      <c r="AE322" s="54"/>
      <c r="AF322" s="53"/>
      <c r="AG322" s="54"/>
      <c r="AH322" s="55">
        <v>4.1666666666666699E-2</v>
      </c>
      <c r="AI322" s="53"/>
      <c r="AJ322" s="54"/>
      <c r="AK322" s="53"/>
      <c r="AL322" s="54"/>
      <c r="AM322" s="53"/>
      <c r="AN322" s="54"/>
      <c r="AO322" s="53"/>
      <c r="AP322" s="54"/>
      <c r="AQ322" s="53">
        <v>4.1666666666666664E-2</v>
      </c>
      <c r="AR322" s="54" t="s">
        <v>37</v>
      </c>
      <c r="AS322" s="53">
        <v>4.1666666666666664E-2</v>
      </c>
      <c r="AT322" s="54" t="s">
        <v>37</v>
      </c>
      <c r="AU322" s="53">
        <v>4.1666666666666699E-2</v>
      </c>
      <c r="AV322" s="54" t="s">
        <v>37</v>
      </c>
      <c r="AW322" s="57">
        <f t="shared" si="41"/>
        <v>0.12500000000000003</v>
      </c>
      <c r="AX322" s="58" t="s">
        <v>203</v>
      </c>
    </row>
    <row r="323" spans="1:50" ht="28.5">
      <c r="A323" s="38" t="s">
        <v>339</v>
      </c>
      <c r="B323" s="39">
        <f t="shared" si="45"/>
        <v>319</v>
      </c>
      <c r="C323" s="40">
        <v>46034</v>
      </c>
      <c r="D323" s="40" t="s">
        <v>80</v>
      </c>
      <c r="E323" s="40" t="s">
        <v>33</v>
      </c>
      <c r="F323" s="41">
        <v>210.9</v>
      </c>
      <c r="G323" s="42" t="s">
        <v>34</v>
      </c>
      <c r="H323" s="43" t="str">
        <f>IFERROR(VLOOKUP($J323,'[9]FROM (3)'!$E$4:$F$230,2,FALSE),"")</f>
        <v>DNTH</v>
      </c>
      <c r="I323" s="44" t="str">
        <f t="shared" si="42"/>
        <v>SHAFT STARTER ARMATURE, 1W</v>
      </c>
      <c r="J323" s="44" t="str">
        <f t="shared" si="43"/>
        <v>TG028993-6160</v>
      </c>
      <c r="K323" s="59" t="str">
        <f t="shared" si="39"/>
        <v>PD25120032</v>
      </c>
      <c r="L323" s="46" t="str" cm="1">
        <f t="array" ref="L323">IFERROR(_xlfn.IFS(
    LEN($A323)-LEN(SUBSTITUTE($A323,"|",""))=12, RIGHT(A323, LEN(A323)-FIND("~", SUBSTITUTE(A323,"|","~", LEN(A323)-LEN(SUBSTITUTE(A323,"|",""))))),
    LEN($A323)-LEN(SUBSTITUTE($A323,"|",""))=13, MID($A323, FIND("~", SUBSTITUTE($A323,"|","~", 11))+1, FIND("~", SUBSTITUTE($A323,"|","~", 12))-FIND("~", SUBSTITUTE($A323,"|","~", 11))-1),
    LEN($A323)-LEN(SUBSTITUTE($A323,"|",""))=14, MID($A323, FIND("~", SUBSTITUTE($A323,"|","~", 11))+1, FIND("~", SUBSTITUTE($A323,"|","~", 12))-FIND("~", SUBSTITUTE($A323,"|","~", 11))-1)
), "")</f>
        <v>2-72446</v>
      </c>
      <c r="M323" s="47" t="str">
        <f t="shared" si="37"/>
        <v>SB110198/3/25</v>
      </c>
      <c r="N323" s="46" t="str">
        <f t="shared" si="40"/>
        <v/>
      </c>
      <c r="O323" s="60"/>
      <c r="P323" s="60"/>
      <c r="Q323" s="48">
        <v>3000</v>
      </c>
      <c r="R323" s="48">
        <v>1398</v>
      </c>
      <c r="S323" s="48"/>
      <c r="T323" s="48"/>
      <c r="U323" s="49"/>
      <c r="V323" s="49"/>
      <c r="W323" s="50">
        <f t="shared" si="38"/>
        <v>0</v>
      </c>
      <c r="X323" s="51">
        <f>IF(A323="", "", IF(COUNTIFS(C$3:C322, C323, D$3:D322, D323, G$3:G322, G323) &gt; 0, "", "11:00"-AW323))</f>
        <v>0.33333333333333326</v>
      </c>
      <c r="Y323" s="52" t="str">
        <f t="shared" si="44"/>
        <v>1:0</v>
      </c>
      <c r="Z323" s="53"/>
      <c r="AA323" s="54"/>
      <c r="AB323" s="53"/>
      <c r="AC323" s="54"/>
      <c r="AD323" s="53"/>
      <c r="AE323" s="54"/>
      <c r="AF323" s="53"/>
      <c r="AG323" s="54"/>
      <c r="AH323" s="55">
        <v>4.1666666666666699E-2</v>
      </c>
      <c r="AI323" s="53"/>
      <c r="AJ323" s="54"/>
      <c r="AK323" s="53"/>
      <c r="AL323" s="54"/>
      <c r="AM323" s="53"/>
      <c r="AN323" s="54"/>
      <c r="AO323" s="53"/>
      <c r="AP323" s="54"/>
      <c r="AQ323" s="53">
        <v>4.1666666666666664E-2</v>
      </c>
      <c r="AR323" s="54" t="s">
        <v>37</v>
      </c>
      <c r="AS323" s="53">
        <v>4.1666666666666664E-2</v>
      </c>
      <c r="AT323" s="54" t="s">
        <v>37</v>
      </c>
      <c r="AU323" s="53">
        <v>4.1666666666666699E-2</v>
      </c>
      <c r="AV323" s="54" t="s">
        <v>37</v>
      </c>
      <c r="AW323" s="57">
        <f t="shared" si="41"/>
        <v>0.12500000000000003</v>
      </c>
      <c r="AX323" s="58" t="s">
        <v>203</v>
      </c>
    </row>
    <row r="324" spans="1:50" ht="28.5">
      <c r="A324" s="38" t="s">
        <v>322</v>
      </c>
      <c r="B324" s="39">
        <f t="shared" si="45"/>
        <v>320</v>
      </c>
      <c r="C324" s="40">
        <v>46034</v>
      </c>
      <c r="D324" s="40" t="s">
        <v>80</v>
      </c>
      <c r="E324" s="40" t="s">
        <v>33</v>
      </c>
      <c r="F324" s="41">
        <v>565</v>
      </c>
      <c r="G324" s="42" t="s">
        <v>54</v>
      </c>
      <c r="H324" s="43" t="str">
        <f>IFERROR(VLOOKUP($J324,'[9]FROM (3)'!$E$4:$F$230,2,FALSE),"")</f>
        <v>JTCS</v>
      </c>
      <c r="I324" s="44" t="str">
        <f t="shared" si="42"/>
        <v>Rack, MS</v>
      </c>
      <c r="J324" s="44" t="str">
        <f t="shared" si="43"/>
        <v>JGC10-003280-40-0</v>
      </c>
      <c r="K324" s="59" t="str">
        <f t="shared" si="39"/>
        <v>PD26010353</v>
      </c>
      <c r="L324" s="46" t="str" cm="1">
        <f t="array" ref="L324">IFERROR(_xlfn.IFS(
    LEN($A324)-LEN(SUBSTITUTE($A324,"|",""))=12, RIGHT(A324, LEN(A324)-FIND("~", SUBSTITUTE(A324,"|","~", LEN(A324)-LEN(SUBSTITUTE(A324,"|",""))))),
    LEN($A324)-LEN(SUBSTITUTE($A324,"|",""))=13, MID($A324, FIND("~", SUBSTITUTE($A324,"|","~", 11))+1, FIND("~", SUBSTITUTE($A324,"|","~", 12))-FIND("~", SUBSTITUTE($A324,"|","~", 11))-1),
    LEN($A324)-LEN(SUBSTITUTE($A324,"|",""))=14, MID($A324, FIND("~", SUBSTITUTE($A324,"|","~", 11))+1, FIND("~", SUBSTITUTE($A324,"|","~", 12))-FIND("~", SUBSTITUTE($A324,"|","~", 11))-1)
), "")</f>
        <v>E586613</v>
      </c>
      <c r="M324" s="47" t="str">
        <f t="shared" si="37"/>
        <v>SB010032/3/26</v>
      </c>
      <c r="N324" s="46" t="str">
        <f t="shared" si="40"/>
        <v/>
      </c>
      <c r="O324" s="60" t="s">
        <v>35</v>
      </c>
      <c r="P324" s="60" t="s">
        <v>35</v>
      </c>
      <c r="Q324" s="48">
        <v>338</v>
      </c>
      <c r="R324" s="48">
        <v>678</v>
      </c>
      <c r="S324" s="48">
        <v>2</v>
      </c>
      <c r="T324" s="48" t="s">
        <v>167</v>
      </c>
      <c r="U324" s="49">
        <v>280</v>
      </c>
      <c r="V324" s="49">
        <v>10</v>
      </c>
      <c r="W324" s="50">
        <f t="shared" si="38"/>
        <v>290</v>
      </c>
      <c r="X324" s="51">
        <f>IF(A324="", "", IF(COUNTIFS(C$3:C323, C324, D$3:D323, D324, G$3:G323, G324) &gt; 0, "", "11:00"-AW324))</f>
        <v>0.41666666666666663</v>
      </c>
      <c r="Y324" s="52" t="str">
        <f t="shared" si="44"/>
        <v>1:40</v>
      </c>
      <c r="Z324" s="53"/>
      <c r="AA324" s="54"/>
      <c r="AB324" s="53"/>
      <c r="AC324" s="54"/>
      <c r="AD324" s="53"/>
      <c r="AE324" s="54"/>
      <c r="AF324" s="53"/>
      <c r="AG324" s="54"/>
      <c r="AH324" s="55">
        <v>4.1666666666666699E-2</v>
      </c>
      <c r="AI324" s="53"/>
      <c r="AJ324" s="54"/>
      <c r="AK324" s="53"/>
      <c r="AL324" s="54"/>
      <c r="AM324" s="53"/>
      <c r="AN324" s="54"/>
      <c r="AO324" s="53"/>
      <c r="AP324" s="54"/>
      <c r="AQ324" s="53"/>
      <c r="AR324" s="54"/>
      <c r="AS324" s="53"/>
      <c r="AT324" s="54"/>
      <c r="AU324" s="53">
        <v>4.1666666666666699E-2</v>
      </c>
      <c r="AV324" s="54" t="s">
        <v>37</v>
      </c>
      <c r="AW324" s="57">
        <f t="shared" si="41"/>
        <v>4.1666666666666699E-2</v>
      </c>
      <c r="AX324" s="58" t="s">
        <v>91</v>
      </c>
    </row>
    <row r="325" spans="1:50" ht="28.5">
      <c r="A325" s="38" t="s">
        <v>340</v>
      </c>
      <c r="B325" s="39">
        <f t="shared" si="45"/>
        <v>321</v>
      </c>
      <c r="C325" s="40">
        <v>46034</v>
      </c>
      <c r="D325" s="40" t="s">
        <v>80</v>
      </c>
      <c r="E325" s="40" t="s">
        <v>33</v>
      </c>
      <c r="F325" s="41">
        <v>565</v>
      </c>
      <c r="G325" s="42" t="s">
        <v>54</v>
      </c>
      <c r="H325" s="43" t="str">
        <f>IFERROR(VLOOKUP($J325,'[9]FROM (3)'!$E$4:$F$230,2,FALSE),"")</f>
        <v>JTCS</v>
      </c>
      <c r="I325" s="44" t="str">
        <f t="shared" si="42"/>
        <v>Rack, MS</v>
      </c>
      <c r="J325" s="44" t="str">
        <f t="shared" si="43"/>
        <v>JGC10-003280-40-0</v>
      </c>
      <c r="K325" s="59" t="str">
        <f t="shared" si="39"/>
        <v>PD26010354</v>
      </c>
      <c r="L325" s="46" t="str" cm="1">
        <f t="array" ref="L325">IFERROR(_xlfn.IFS(
    LEN($A325)-LEN(SUBSTITUTE($A325,"|",""))=12, RIGHT(A325, LEN(A325)-FIND("~", SUBSTITUTE(A325,"|","~", LEN(A325)-LEN(SUBSTITUTE(A325,"|",""))))),
    LEN($A325)-LEN(SUBSTITUTE($A325,"|",""))=13, MID($A325, FIND("~", SUBSTITUTE($A325,"|","~", 11))+1, FIND("~", SUBSTITUTE($A325,"|","~", 12))-FIND("~", SUBSTITUTE($A325,"|","~", 11))-1),
    LEN($A325)-LEN(SUBSTITUTE($A325,"|",""))=14, MID($A325, FIND("~", SUBSTITUTE($A325,"|","~", 11))+1, FIND("~", SUBSTITUTE($A325,"|","~", 12))-FIND("~", SUBSTITUTE($A325,"|","~", 11))-1)
), "")</f>
        <v>E586613</v>
      </c>
      <c r="M325" s="47" t="str">
        <f t="shared" ref="M325:M388" si="46">IFERROR(MID(A325,FIND("~",SUBSTITUTE(A325,"|","~",10))+1,FIND("~",SUBSTITUTE(A325,"|","~",11))-FIND("~",SUBSTITUTE(A325,"|","~",10))-1),"")</f>
        <v>SB010032/5/26</v>
      </c>
      <c r="N325" s="46" t="str">
        <f t="shared" si="40"/>
        <v/>
      </c>
      <c r="O325" s="60">
        <v>70</v>
      </c>
      <c r="P325" s="60">
        <v>874</v>
      </c>
      <c r="Q325" s="48">
        <v>385</v>
      </c>
      <c r="R325" s="48">
        <v>772</v>
      </c>
      <c r="S325" s="48"/>
      <c r="T325" s="48"/>
      <c r="U325" s="49"/>
      <c r="V325" s="49"/>
      <c r="W325" s="50">
        <f t="shared" ref="W325:W388" si="47">SUM(U325:V325)</f>
        <v>0</v>
      </c>
      <c r="X325" s="51" t="str">
        <f>IF(A325="", "", IF(COUNTIFS(C$3:C324, C325, D$3:D324, D325, G$3:G324, G325) &gt; 0, "", "11:00"-AW325))</f>
        <v/>
      </c>
      <c r="Y325" s="52" t="str">
        <f t="shared" si="44"/>
        <v/>
      </c>
      <c r="Z325" s="53"/>
      <c r="AA325" s="54"/>
      <c r="AB325" s="53"/>
      <c r="AC325" s="54"/>
      <c r="AD325" s="53"/>
      <c r="AE325" s="54"/>
      <c r="AF325" s="53"/>
      <c r="AG325" s="54"/>
      <c r="AH325" s="55">
        <v>4.1666666666666699E-2</v>
      </c>
      <c r="AI325" s="53"/>
      <c r="AJ325" s="54"/>
      <c r="AK325" s="53"/>
      <c r="AL325" s="54"/>
      <c r="AM325" s="53"/>
      <c r="AN325" s="54"/>
      <c r="AO325" s="53"/>
      <c r="AP325" s="54"/>
      <c r="AQ325" s="53"/>
      <c r="AR325" s="54"/>
      <c r="AS325" s="53"/>
      <c r="AT325" s="54"/>
      <c r="AU325" s="53">
        <v>4.1666666666666699E-2</v>
      </c>
      <c r="AV325" s="54" t="s">
        <v>37</v>
      </c>
      <c r="AW325" s="57">
        <f t="shared" si="41"/>
        <v>4.1666666666666699E-2</v>
      </c>
      <c r="AX325" s="58" t="s">
        <v>91</v>
      </c>
    </row>
    <row r="326" spans="1:50" ht="28.5">
      <c r="A326" s="38" t="s">
        <v>341</v>
      </c>
      <c r="B326" s="39">
        <f t="shared" si="45"/>
        <v>322</v>
      </c>
      <c r="C326" s="40">
        <v>46034</v>
      </c>
      <c r="D326" s="40" t="s">
        <v>80</v>
      </c>
      <c r="E326" s="40" t="s">
        <v>33</v>
      </c>
      <c r="F326" s="41">
        <v>565</v>
      </c>
      <c r="G326" s="42" t="s">
        <v>54</v>
      </c>
      <c r="H326" s="43" t="str">
        <f>IFERROR(VLOOKUP($J326,'[9]FROM (3)'!$E$4:$F$230,2,FALSE),"")</f>
        <v>JTCS</v>
      </c>
      <c r="I326" s="44" t="str">
        <f t="shared" si="42"/>
        <v>Rack, MS</v>
      </c>
      <c r="J326" s="44" t="str">
        <f t="shared" si="43"/>
        <v>JGC10-003280-40-0</v>
      </c>
      <c r="K326" s="59" t="str">
        <f t="shared" ref="K326:K389" si="48">IFERROR(LEFT(A326,SEARCH("|",A326)-1),"")</f>
        <v>PD26010354</v>
      </c>
      <c r="L326" s="46" t="str" cm="1">
        <f t="array" ref="L326">IFERROR(_xlfn.IFS(
    LEN($A326)-LEN(SUBSTITUTE($A326,"|",""))=12, RIGHT(A326, LEN(A326)-FIND("~", SUBSTITUTE(A326,"|","~", LEN(A326)-LEN(SUBSTITUTE(A326,"|",""))))),
    LEN($A326)-LEN(SUBSTITUTE($A326,"|",""))=13, MID($A326, FIND("~", SUBSTITUTE($A326,"|","~", 11))+1, FIND("~", SUBSTITUTE($A326,"|","~", 12))-FIND("~", SUBSTITUTE($A326,"|","~", 11))-1),
    LEN($A326)-LEN(SUBSTITUTE($A326,"|",""))=14, MID($A326, FIND("~", SUBSTITUTE($A326,"|","~", 11))+1, FIND("~", SUBSTITUTE($A326,"|","~", 12))-FIND("~", SUBSTITUTE($A326,"|","~", 11))-1)
), "")</f>
        <v>E586613</v>
      </c>
      <c r="M326" s="47" t="str">
        <f t="shared" si="46"/>
        <v>SB010032/6/26</v>
      </c>
      <c r="N326" s="46" t="str">
        <f t="shared" ref="N326:N389" si="49">IFERROR(IF(LEN($A326)-LEN(SUBSTITUTE($A326,"|",""))=12,MID($A326,FIND("~",SUBSTITUTE($A326,"|","~",11))+1,FIND("~",SUBSTITUTE($A326,"|","~",12))-FIND("~",SUBSTITUTE($A326,"|","~",11))-1),IF(LEN($A326)-LEN(SUBSTITUTE($A326,"|",""))=13,MID($A326,FIND("~",SUBSTITUTE($A326,"|","~",10))+1,FIND("~",SUBSTITUTE($A326,"|","~",11))-FIND("~",SUBSTITUTE($A326,"|","~",10))-1), "")),"")</f>
        <v/>
      </c>
      <c r="O326" s="60">
        <v>70</v>
      </c>
      <c r="P326" s="60">
        <v>874</v>
      </c>
      <c r="Q326" s="48">
        <v>385</v>
      </c>
      <c r="R326" s="48">
        <v>772</v>
      </c>
      <c r="S326" s="48"/>
      <c r="T326" s="48"/>
      <c r="U326" s="49"/>
      <c r="V326" s="49"/>
      <c r="W326" s="50">
        <f t="shared" si="47"/>
        <v>0</v>
      </c>
      <c r="X326" s="51" t="str">
        <f>IF(A326="", "", IF(COUNTIFS(C$3:C325, C326, D$3:D325, D326, G$3:G325, G326) &gt; 0, "", "11:00"-AW326))</f>
        <v/>
      </c>
      <c r="Y326" s="52" t="str">
        <f t="shared" si="44"/>
        <v/>
      </c>
      <c r="Z326" s="53"/>
      <c r="AA326" s="54"/>
      <c r="AB326" s="53"/>
      <c r="AC326" s="54"/>
      <c r="AD326" s="53"/>
      <c r="AE326" s="54"/>
      <c r="AF326" s="53"/>
      <c r="AG326" s="54"/>
      <c r="AH326" s="55">
        <v>4.1666666666666699E-2</v>
      </c>
      <c r="AI326" s="53"/>
      <c r="AJ326" s="54"/>
      <c r="AK326" s="53"/>
      <c r="AL326" s="54"/>
      <c r="AM326" s="53"/>
      <c r="AN326" s="54"/>
      <c r="AO326" s="53"/>
      <c r="AP326" s="54"/>
      <c r="AQ326" s="53"/>
      <c r="AR326" s="54"/>
      <c r="AS326" s="53"/>
      <c r="AT326" s="54"/>
      <c r="AU326" s="53">
        <v>4.1666666666666699E-2</v>
      </c>
      <c r="AV326" s="54" t="s">
        <v>37</v>
      </c>
      <c r="AW326" s="57">
        <f t="shared" ref="AW326:AW389" si="50">SUM(Z326,AB326,AD326,AF326,AI326,AK326,AM326,AO326,AQ326,AS326,AU326)</f>
        <v>4.1666666666666699E-2</v>
      </c>
      <c r="AX326" s="58" t="s">
        <v>91</v>
      </c>
    </row>
    <row r="327" spans="1:50" ht="28.5">
      <c r="A327" s="38" t="s">
        <v>342</v>
      </c>
      <c r="B327" s="39">
        <f t="shared" si="45"/>
        <v>323</v>
      </c>
      <c r="C327" s="40">
        <v>46034</v>
      </c>
      <c r="D327" s="40" t="s">
        <v>80</v>
      </c>
      <c r="E327" s="40" t="s">
        <v>33</v>
      </c>
      <c r="F327" s="41">
        <v>565</v>
      </c>
      <c r="G327" s="42" t="s">
        <v>54</v>
      </c>
      <c r="H327" s="43" t="str">
        <f>IFERROR(VLOOKUP($J327,'[9]FROM (3)'!$E$4:$F$230,2,FALSE),"")</f>
        <v>JTCS</v>
      </c>
      <c r="I327" s="44" t="str">
        <f t="shared" ref="I327:I390" si="51">IFERROR(MID(A327,FIND("~",SUBSTITUTE(A327,"|","~",4))+1,FIND("~",SUBSTITUTE(A327,"|","~",5))-FIND("~",SUBSTITUTE(A327,"|","~",4))-1),"")</f>
        <v>Rack, MS</v>
      </c>
      <c r="J327" s="44" t="str">
        <f t="shared" ref="J327:J390" si="52">IFERROR(MID(A327,FIND("~",SUBSTITUTE(A327,"|","~",3))+1,FIND("~",SUBSTITUTE(A327,"|","~",4))-FIND("~",SUBSTITUTE(A327,"|","~",3))-1),"")</f>
        <v>JGC10-003280-40-0</v>
      </c>
      <c r="K327" s="59" t="str">
        <f t="shared" si="48"/>
        <v>PD26010354</v>
      </c>
      <c r="L327" s="46" t="str" cm="1">
        <f t="array" ref="L327">IFERROR(_xlfn.IFS(
    LEN($A327)-LEN(SUBSTITUTE($A327,"|",""))=12, RIGHT(A327, LEN(A327)-FIND("~", SUBSTITUTE(A327,"|","~", LEN(A327)-LEN(SUBSTITUTE(A327,"|",""))))),
    LEN($A327)-LEN(SUBSTITUTE($A327,"|",""))=13, MID($A327, FIND("~", SUBSTITUTE($A327,"|","~", 11))+1, FIND("~", SUBSTITUTE($A327,"|","~", 12))-FIND("~", SUBSTITUTE($A327,"|","~", 11))-1),
    LEN($A327)-LEN(SUBSTITUTE($A327,"|",""))=14, MID($A327, FIND("~", SUBSTITUTE($A327,"|","~", 11))+1, FIND("~", SUBSTITUTE($A327,"|","~", 12))-FIND("~", SUBSTITUTE($A327,"|","~", 11))-1)
), "")</f>
        <v>E586613</v>
      </c>
      <c r="M327" s="47" t="str">
        <f t="shared" si="46"/>
        <v>SB010032/4/26</v>
      </c>
      <c r="N327" s="46" t="str">
        <f t="shared" si="49"/>
        <v/>
      </c>
      <c r="O327" s="60">
        <v>70</v>
      </c>
      <c r="P327" s="60">
        <v>874</v>
      </c>
      <c r="Q327" s="48">
        <v>34</v>
      </c>
      <c r="R327" s="48">
        <v>68</v>
      </c>
      <c r="S327" s="48"/>
      <c r="T327" s="48"/>
      <c r="U327" s="49"/>
      <c r="V327" s="49"/>
      <c r="W327" s="50">
        <f t="shared" si="47"/>
        <v>0</v>
      </c>
      <c r="X327" s="51" t="str">
        <f>IF(A327="", "", IF(COUNTIFS(C$3:C326, C327, D$3:D326, D327, G$3:G326, G327) &gt; 0, "", "11:00"-AW327))</f>
        <v/>
      </c>
      <c r="Y327" s="52" t="str">
        <f t="shared" ref="Y327:Y390" si="53">IF(X327="", "", IF(AND(A327&lt;&gt;"", AR327&lt;&gt;"NO OT"), "1:40", IF(AND(A327&lt;&gt;"", AR327="NO OT"), "1:0", "")))</f>
        <v/>
      </c>
      <c r="Z327" s="53"/>
      <c r="AA327" s="54"/>
      <c r="AB327" s="53"/>
      <c r="AC327" s="54"/>
      <c r="AD327" s="53"/>
      <c r="AE327" s="54"/>
      <c r="AF327" s="53"/>
      <c r="AG327" s="54"/>
      <c r="AH327" s="55">
        <v>4.1666666666666699E-2</v>
      </c>
      <c r="AI327" s="53"/>
      <c r="AJ327" s="54"/>
      <c r="AK327" s="53"/>
      <c r="AL327" s="54"/>
      <c r="AM327" s="53"/>
      <c r="AN327" s="54"/>
      <c r="AO327" s="53"/>
      <c r="AP327" s="54"/>
      <c r="AQ327" s="53"/>
      <c r="AR327" s="54"/>
      <c r="AS327" s="53"/>
      <c r="AT327" s="54"/>
      <c r="AU327" s="53">
        <v>4.1666666666666699E-2</v>
      </c>
      <c r="AV327" s="54" t="s">
        <v>37</v>
      </c>
      <c r="AW327" s="57">
        <f t="shared" si="50"/>
        <v>4.1666666666666699E-2</v>
      </c>
      <c r="AX327" s="58" t="s">
        <v>91</v>
      </c>
    </row>
    <row r="328" spans="1:50" ht="28.5">
      <c r="A328" s="38" t="s">
        <v>319</v>
      </c>
      <c r="B328" s="39">
        <f t="shared" si="45"/>
        <v>324</v>
      </c>
      <c r="C328" s="40">
        <v>46034</v>
      </c>
      <c r="D328" s="40" t="s">
        <v>80</v>
      </c>
      <c r="E328" s="40" t="s">
        <v>33</v>
      </c>
      <c r="F328" s="41">
        <v>655.4</v>
      </c>
      <c r="G328" s="42" t="s">
        <v>75</v>
      </c>
      <c r="H328" s="43" t="str">
        <f>IFERROR(VLOOKUP($J328,'[9]FROM (3)'!$E$4:$F$230,2,FALSE),"")</f>
        <v>JAMY</v>
      </c>
      <c r="I328" s="44" t="str">
        <f t="shared" si="51"/>
        <v>RACK BAR</v>
      </c>
      <c r="J328" s="44" t="str">
        <f t="shared" si="52"/>
        <v>JGC10-M09008-51-0</v>
      </c>
      <c r="K328" s="59" t="str">
        <f t="shared" si="48"/>
        <v>PD26010174</v>
      </c>
      <c r="L328" s="46" t="str" cm="1">
        <f t="array" ref="L328">IFERROR(_xlfn.IFS(
    LEN($A328)-LEN(SUBSTITUTE($A328,"|",""))=12, RIGHT(A328, LEN(A328)-FIND("~", SUBSTITUTE(A328,"|","~", LEN(A328)-LEN(SUBSTITUTE(A328,"|",""))))),
    LEN($A328)-LEN(SUBSTITUTE($A328,"|",""))=13, MID($A328, FIND("~", SUBSTITUTE($A328,"|","~", 11))+1, FIND("~", SUBSTITUTE($A328,"|","~", 12))-FIND("~", SUBSTITUTE($A328,"|","~", 11))-1),
    LEN($A328)-LEN(SUBSTITUTE($A328,"|",""))=14, MID($A328, FIND("~", SUBSTITUTE($A328,"|","~", 11))+1, FIND("~", SUBSTITUTE($A328,"|","~", 12))-FIND("~", SUBSTITUTE($A328,"|","~", 11))-1)
), "")</f>
        <v>E586966</v>
      </c>
      <c r="M328" s="47" t="str">
        <f t="shared" si="46"/>
        <v>SB010008/2/26</v>
      </c>
      <c r="N328" s="46" t="str">
        <f t="shared" si="49"/>
        <v/>
      </c>
      <c r="O328" s="60"/>
      <c r="P328" s="60"/>
      <c r="Q328" s="48">
        <v>264</v>
      </c>
      <c r="R328" s="48">
        <v>721</v>
      </c>
      <c r="S328" s="48"/>
      <c r="T328" s="48"/>
      <c r="U328" s="49"/>
      <c r="V328" s="49"/>
      <c r="W328" s="50">
        <f t="shared" si="47"/>
        <v>0</v>
      </c>
      <c r="X328" s="51">
        <f>IF(A328="", "", IF(COUNTIFS(C$3:C327, C328, D$3:D327, D328, G$3:G327, G328) &gt; 0, "", "11:00"-AW328))</f>
        <v>0.37499999999999994</v>
      </c>
      <c r="Y328" s="52" t="str">
        <f t="shared" si="53"/>
        <v>1:40</v>
      </c>
      <c r="Z328" s="53"/>
      <c r="AA328" s="54"/>
      <c r="AB328" s="53"/>
      <c r="AC328" s="54"/>
      <c r="AD328" s="53"/>
      <c r="AE328" s="54"/>
      <c r="AF328" s="53"/>
      <c r="AG328" s="54"/>
      <c r="AH328" s="55">
        <v>4.1666666666666699E-2</v>
      </c>
      <c r="AI328" s="53"/>
      <c r="AJ328" s="54"/>
      <c r="AK328" s="53">
        <v>4.1666666666666664E-2</v>
      </c>
      <c r="AL328" s="54" t="s">
        <v>67</v>
      </c>
      <c r="AM328" s="53"/>
      <c r="AN328" s="54"/>
      <c r="AO328" s="53"/>
      <c r="AP328" s="54"/>
      <c r="AQ328" s="53"/>
      <c r="AR328" s="54"/>
      <c r="AS328" s="53"/>
      <c r="AT328" s="54"/>
      <c r="AU328" s="53">
        <v>4.1666666666666699E-2</v>
      </c>
      <c r="AV328" s="54" t="s">
        <v>37</v>
      </c>
      <c r="AW328" s="57">
        <f t="shared" si="50"/>
        <v>8.333333333333337E-2</v>
      </c>
      <c r="AX328" s="58" t="s">
        <v>101</v>
      </c>
    </row>
    <row r="329" spans="1:50" ht="28.5">
      <c r="A329" s="38" t="s">
        <v>343</v>
      </c>
      <c r="B329" s="39">
        <f t="shared" si="45"/>
        <v>325</v>
      </c>
      <c r="C329" s="40">
        <v>46034</v>
      </c>
      <c r="D329" s="40" t="s">
        <v>80</v>
      </c>
      <c r="E329" s="40" t="s">
        <v>33</v>
      </c>
      <c r="F329" s="41">
        <v>655.4</v>
      </c>
      <c r="G329" s="42" t="s">
        <v>75</v>
      </c>
      <c r="H329" s="43" t="str">
        <f>IFERROR(VLOOKUP($J329,'[9]FROM (3)'!$E$4:$F$230,2,FALSE),"")</f>
        <v>JAMY</v>
      </c>
      <c r="I329" s="44" t="str">
        <f t="shared" si="51"/>
        <v>RACK BAR</v>
      </c>
      <c r="J329" s="44" t="str">
        <f t="shared" si="52"/>
        <v>JGC10-M09008-51-0</v>
      </c>
      <c r="K329" s="59" t="str">
        <f t="shared" si="48"/>
        <v>PD26010174</v>
      </c>
      <c r="L329" s="46" t="str" cm="1">
        <f t="array" ref="L329">IFERROR(_xlfn.IFS(
    LEN($A329)-LEN(SUBSTITUTE($A329,"|",""))=12, RIGHT(A329, LEN(A329)-FIND("~", SUBSTITUTE(A329,"|","~", LEN(A329)-LEN(SUBSTITUTE(A329,"|",""))))),
    LEN($A329)-LEN(SUBSTITUTE($A329,"|",""))=13, MID($A329, FIND("~", SUBSTITUTE($A329,"|","~", 11))+1, FIND("~", SUBSTITUTE($A329,"|","~", 12))-FIND("~", SUBSTITUTE($A329,"|","~", 11))-1),
    LEN($A329)-LEN(SUBSTITUTE($A329,"|",""))=14, MID($A329, FIND("~", SUBSTITUTE($A329,"|","~", 11))+1, FIND("~", SUBSTITUTE($A329,"|","~", 12))-FIND("~", SUBSTITUTE($A329,"|","~", 11))-1)
), "")</f>
        <v>E586966</v>
      </c>
      <c r="M329" s="47" t="str">
        <f t="shared" si="46"/>
        <v>SB010008/3/26</v>
      </c>
      <c r="N329" s="46" t="str">
        <f t="shared" si="49"/>
        <v/>
      </c>
      <c r="O329" s="60">
        <v>60</v>
      </c>
      <c r="P329" s="60">
        <v>874</v>
      </c>
      <c r="Q329" s="48">
        <v>289</v>
      </c>
      <c r="R329" s="48">
        <v>789</v>
      </c>
      <c r="S329" s="48">
        <v>11</v>
      </c>
      <c r="T329" s="48" t="s">
        <v>143</v>
      </c>
      <c r="U329" s="49">
        <v>144</v>
      </c>
      <c r="V329" s="49">
        <v>9</v>
      </c>
      <c r="W329" s="50">
        <f t="shared" si="47"/>
        <v>153</v>
      </c>
      <c r="X329" s="51" t="str">
        <f>IF(A329="", "", IF(COUNTIFS(C$3:C328, C329, D$3:D328, D329, G$3:G328, G329) &gt; 0, "", "11:00"-AW329))</f>
        <v/>
      </c>
      <c r="Y329" s="52" t="str">
        <f t="shared" si="53"/>
        <v/>
      </c>
      <c r="Z329" s="53"/>
      <c r="AA329" s="54"/>
      <c r="AB329" s="53"/>
      <c r="AC329" s="54"/>
      <c r="AD329" s="53"/>
      <c r="AE329" s="54"/>
      <c r="AF329" s="53"/>
      <c r="AG329" s="54"/>
      <c r="AH329" s="55">
        <v>4.1666666666666699E-2</v>
      </c>
      <c r="AI329" s="53"/>
      <c r="AJ329" s="54"/>
      <c r="AK329" s="53"/>
      <c r="AL329" s="54"/>
      <c r="AM329" s="53"/>
      <c r="AN329" s="54"/>
      <c r="AO329" s="53"/>
      <c r="AP329" s="54"/>
      <c r="AQ329" s="53"/>
      <c r="AR329" s="54"/>
      <c r="AS329" s="53"/>
      <c r="AT329" s="54"/>
      <c r="AU329" s="53">
        <v>4.1666666666666699E-2</v>
      </c>
      <c r="AV329" s="54" t="s">
        <v>37</v>
      </c>
      <c r="AW329" s="57">
        <f t="shared" si="50"/>
        <v>4.1666666666666699E-2</v>
      </c>
      <c r="AX329" s="58" t="s">
        <v>101</v>
      </c>
    </row>
    <row r="330" spans="1:50" ht="28.5">
      <c r="A330" s="38" t="s">
        <v>344</v>
      </c>
      <c r="B330" s="39">
        <f t="shared" ref="B330:B393" si="54">IF(A330="","",B329+1)</f>
        <v>326</v>
      </c>
      <c r="C330" s="40">
        <v>46034</v>
      </c>
      <c r="D330" s="40" t="s">
        <v>80</v>
      </c>
      <c r="E330" s="40" t="s">
        <v>33</v>
      </c>
      <c r="F330" s="41">
        <v>765.7</v>
      </c>
      <c r="G330" s="42" t="s">
        <v>75</v>
      </c>
      <c r="H330" s="43" t="str">
        <f>IFERROR(VLOOKUP($J330,'[9]FROM (3)'!$E$4:$F$230,2,FALSE),"")</f>
        <v>JTCS</v>
      </c>
      <c r="I330" s="44" t="str">
        <f t="shared" si="51"/>
        <v>RACK, PS</v>
      </c>
      <c r="J330" s="44" t="str">
        <f t="shared" si="52"/>
        <v>JGD10S00670-B</v>
      </c>
      <c r="K330" s="59" t="str">
        <f t="shared" si="48"/>
        <v>PD26010340</v>
      </c>
      <c r="L330" s="46" t="str" cm="1">
        <f t="array" ref="L330">IFERROR(_xlfn.IFS(
    LEN($A330)-LEN(SUBSTITUTE($A330,"|",""))=12, RIGHT(A330, LEN(A330)-FIND("~", SUBSTITUTE(A330,"|","~", LEN(A330)-LEN(SUBSTITUTE(A330,"|",""))))),
    LEN($A330)-LEN(SUBSTITUTE($A330,"|",""))=13, MID($A330, FIND("~", SUBSTITUTE($A330,"|","~", 11))+1, FIND("~", SUBSTITUTE($A330,"|","~", 12))-FIND("~", SUBSTITUTE($A330,"|","~", 11))-1),
    LEN($A330)-LEN(SUBSTITUTE($A330,"|",""))=14, MID($A330, FIND("~", SUBSTITUTE($A330,"|","~", 11))+1, FIND("~", SUBSTITUTE($A330,"|","~", 12))-FIND("~", SUBSTITUTE($A330,"|","~", 11))-1)
), "")</f>
        <v>E586447</v>
      </c>
      <c r="M330" s="47" t="str">
        <f t="shared" si="46"/>
        <v>SB010023/1/26</v>
      </c>
      <c r="N330" s="46" t="str">
        <f t="shared" si="49"/>
        <v/>
      </c>
      <c r="O330" s="60">
        <v>25</v>
      </c>
      <c r="P330" s="60">
        <v>895</v>
      </c>
      <c r="Q330" s="48">
        <v>175</v>
      </c>
      <c r="R330" s="48">
        <v>859</v>
      </c>
      <c r="S330" s="48"/>
      <c r="T330" s="48"/>
      <c r="U330" s="49"/>
      <c r="V330" s="49"/>
      <c r="W330" s="50">
        <f t="shared" si="47"/>
        <v>0</v>
      </c>
      <c r="X330" s="51" t="str">
        <f>IF(A330="", "", IF(COUNTIFS(C$3:C329, C330, D$3:D329, D330, G$3:G329, G330) &gt; 0, "", "11:00"-AW330))</f>
        <v/>
      </c>
      <c r="Y330" s="52" t="str">
        <f t="shared" si="53"/>
        <v/>
      </c>
      <c r="Z330" s="53"/>
      <c r="AA330" s="54"/>
      <c r="AB330" s="53"/>
      <c r="AC330" s="54"/>
      <c r="AD330" s="53"/>
      <c r="AE330" s="54"/>
      <c r="AF330" s="53"/>
      <c r="AG330" s="54"/>
      <c r="AH330" s="55">
        <v>4.1666666666666699E-2</v>
      </c>
      <c r="AI330" s="53"/>
      <c r="AJ330" s="54"/>
      <c r="AK330" s="53"/>
      <c r="AL330" s="54"/>
      <c r="AM330" s="53"/>
      <c r="AN330" s="54"/>
      <c r="AO330" s="53"/>
      <c r="AP330" s="54"/>
      <c r="AQ330" s="53"/>
      <c r="AR330" s="54"/>
      <c r="AS330" s="53"/>
      <c r="AT330" s="54"/>
      <c r="AU330" s="53">
        <v>4.1666666666666699E-2</v>
      </c>
      <c r="AV330" s="54" t="s">
        <v>37</v>
      </c>
      <c r="AW330" s="57">
        <f t="shared" si="50"/>
        <v>4.1666666666666699E-2</v>
      </c>
      <c r="AX330" s="58" t="s">
        <v>101</v>
      </c>
    </row>
    <row r="331" spans="1:50" ht="28.5">
      <c r="A331" s="38" t="s">
        <v>345</v>
      </c>
      <c r="B331" s="39">
        <f t="shared" si="54"/>
        <v>327</v>
      </c>
      <c r="C331" s="40">
        <v>46034</v>
      </c>
      <c r="D331" s="40" t="s">
        <v>80</v>
      </c>
      <c r="E331" s="40" t="s">
        <v>33</v>
      </c>
      <c r="F331" s="41">
        <v>765.7</v>
      </c>
      <c r="G331" s="42" t="s">
        <v>75</v>
      </c>
      <c r="H331" s="43" t="str">
        <f>IFERROR(VLOOKUP($J331,'[9]FROM (3)'!$E$4:$F$230,2,FALSE),"")</f>
        <v>JTCS</v>
      </c>
      <c r="I331" s="44" t="str">
        <f t="shared" si="51"/>
        <v>RACK, PS</v>
      </c>
      <c r="J331" s="44" t="str">
        <f t="shared" si="52"/>
        <v>JGD10S00670-B</v>
      </c>
      <c r="K331" s="59" t="str">
        <f t="shared" si="48"/>
        <v>PD26010340</v>
      </c>
      <c r="L331" s="46" t="str" cm="1">
        <f t="array" ref="L331">IFERROR(_xlfn.IFS(
    LEN($A331)-LEN(SUBSTITUTE($A331,"|",""))=12, RIGHT(A331, LEN(A331)-FIND("~", SUBSTITUTE(A331,"|","~", LEN(A331)-LEN(SUBSTITUTE(A331,"|",""))))),
    LEN($A331)-LEN(SUBSTITUTE($A331,"|",""))=13, MID($A331, FIND("~", SUBSTITUTE($A331,"|","~", 11))+1, FIND("~", SUBSTITUTE($A331,"|","~", 12))-FIND("~", SUBSTITUTE($A331,"|","~", 11))-1),
    LEN($A331)-LEN(SUBSTITUTE($A331,"|",""))=14, MID($A331, FIND("~", SUBSTITUTE($A331,"|","~", 11))+1, FIND("~", SUBSTITUTE($A331,"|","~", 12))-FIND("~", SUBSTITUTE($A331,"|","~", 11))-1)
), "")</f>
        <v>E586447</v>
      </c>
      <c r="M331" s="47" t="str">
        <f t="shared" si="46"/>
        <v>SB010023/2/26</v>
      </c>
      <c r="N331" s="46" t="str">
        <f t="shared" si="49"/>
        <v/>
      </c>
      <c r="O331" s="60">
        <v>25</v>
      </c>
      <c r="P331" s="60">
        <v>895</v>
      </c>
      <c r="Q331" s="48">
        <v>172</v>
      </c>
      <c r="R331" s="48">
        <v>845</v>
      </c>
      <c r="S331" s="48">
        <v>3</v>
      </c>
      <c r="T331" s="48" t="s">
        <v>143</v>
      </c>
      <c r="U331" s="49">
        <v>53</v>
      </c>
      <c r="V331" s="49">
        <v>5</v>
      </c>
      <c r="W331" s="50">
        <f t="shared" si="47"/>
        <v>58</v>
      </c>
      <c r="X331" s="51" t="str">
        <f>IF(A331="", "", IF(COUNTIFS(C$3:C330, C331, D$3:D330, D331, G$3:G330, G331) &gt; 0, "", "11:00"-AW331))</f>
        <v/>
      </c>
      <c r="Y331" s="52" t="str">
        <f t="shared" si="53"/>
        <v/>
      </c>
      <c r="Z331" s="53"/>
      <c r="AA331" s="54"/>
      <c r="AB331" s="53"/>
      <c r="AC331" s="54"/>
      <c r="AD331" s="53"/>
      <c r="AE331" s="54"/>
      <c r="AF331" s="53"/>
      <c r="AG331" s="54"/>
      <c r="AH331" s="55">
        <v>4.1666666666666699E-2</v>
      </c>
      <c r="AI331" s="53"/>
      <c r="AJ331" s="54"/>
      <c r="AK331" s="53"/>
      <c r="AL331" s="54"/>
      <c r="AM331" s="53"/>
      <c r="AN331" s="54"/>
      <c r="AO331" s="53"/>
      <c r="AP331" s="54"/>
      <c r="AQ331" s="53"/>
      <c r="AR331" s="54"/>
      <c r="AS331" s="53"/>
      <c r="AT331" s="54"/>
      <c r="AU331" s="53">
        <v>4.1666666666666699E-2</v>
      </c>
      <c r="AV331" s="54" t="s">
        <v>37</v>
      </c>
      <c r="AW331" s="57">
        <f t="shared" si="50"/>
        <v>4.1666666666666699E-2</v>
      </c>
      <c r="AX331" s="58" t="s">
        <v>101</v>
      </c>
    </row>
    <row r="332" spans="1:50" ht="28.5">
      <c r="A332" s="38" t="s">
        <v>346</v>
      </c>
      <c r="B332" s="39">
        <f t="shared" si="54"/>
        <v>328</v>
      </c>
      <c r="C332" s="40">
        <v>46034</v>
      </c>
      <c r="D332" s="40" t="s">
        <v>80</v>
      </c>
      <c r="E332" s="40" t="s">
        <v>33</v>
      </c>
      <c r="F332" s="41">
        <v>655.4</v>
      </c>
      <c r="G332" s="42" t="s">
        <v>66</v>
      </c>
      <c r="H332" s="43" t="str">
        <f>IFERROR(VLOOKUP($J332,'[9]FROM (3)'!$E$4:$F$230,2,FALSE),"")</f>
        <v>JAMY</v>
      </c>
      <c r="I332" s="44" t="str">
        <f t="shared" si="51"/>
        <v>RACK BAR</v>
      </c>
      <c r="J332" s="44" t="str">
        <f t="shared" si="52"/>
        <v>JGC10-M09008-51-0</v>
      </c>
      <c r="K332" s="59" t="str">
        <f t="shared" si="48"/>
        <v>PD26010351</v>
      </c>
      <c r="L332" s="46" t="str" cm="1">
        <f t="array" ref="L332">IFERROR(_xlfn.IFS(
    LEN($A332)-LEN(SUBSTITUTE($A332,"|",""))=12, RIGHT(A332, LEN(A332)-FIND("~", SUBSTITUTE(A332,"|","~", LEN(A332)-LEN(SUBSTITUTE(A332,"|",""))))),
    LEN($A332)-LEN(SUBSTITUTE($A332,"|",""))=13, MID($A332, FIND("~", SUBSTITUTE($A332,"|","~", 11))+1, FIND("~", SUBSTITUTE($A332,"|","~", 12))-FIND("~", SUBSTITUTE($A332,"|","~", 11))-1),
    LEN($A332)-LEN(SUBSTITUTE($A332,"|",""))=14, MID($A332, FIND("~", SUBSTITUTE($A332,"|","~", 11))+1, FIND("~", SUBSTITUTE($A332,"|","~", 12))-FIND("~", SUBSTITUTE($A332,"|","~", 11))-1)
), "")</f>
        <v>E586966</v>
      </c>
      <c r="M332" s="47" t="str">
        <f t="shared" si="46"/>
        <v>SB010024/1/26</v>
      </c>
      <c r="N332" s="46" t="str">
        <f t="shared" si="49"/>
        <v/>
      </c>
      <c r="O332" s="60">
        <v>60</v>
      </c>
      <c r="P332" s="60">
        <v>870</v>
      </c>
      <c r="Q332" s="48">
        <v>300</v>
      </c>
      <c r="R332" s="48">
        <v>819</v>
      </c>
      <c r="S332" s="48"/>
      <c r="T332" s="48"/>
      <c r="U332" s="49">
        <v>145</v>
      </c>
      <c r="V332" s="49">
        <v>9</v>
      </c>
      <c r="W332" s="50">
        <f t="shared" si="47"/>
        <v>154</v>
      </c>
      <c r="X332" s="51">
        <f>IF(A332="", "", IF(COUNTIFS(C$3:C331, C332, D$3:D331, D332, G$3:G331, G332) &gt; 0, "", "11:00"-AW332))</f>
        <v>0.40277777777777773</v>
      </c>
      <c r="Y332" s="52" t="str">
        <f t="shared" si="53"/>
        <v>1:40</v>
      </c>
      <c r="Z332" s="53">
        <v>1.3888888888888888E-2</v>
      </c>
      <c r="AA332" s="54" t="s">
        <v>67</v>
      </c>
      <c r="AB332" s="53"/>
      <c r="AC332" s="54"/>
      <c r="AD332" s="53"/>
      <c r="AE332" s="54"/>
      <c r="AF332" s="53"/>
      <c r="AG332" s="54"/>
      <c r="AH332" s="55">
        <v>4.1666666666666699E-2</v>
      </c>
      <c r="AI332" s="53"/>
      <c r="AJ332" s="54"/>
      <c r="AK332" s="53"/>
      <c r="AL332" s="54"/>
      <c r="AM332" s="53"/>
      <c r="AN332" s="54"/>
      <c r="AO332" s="53"/>
      <c r="AP332" s="54"/>
      <c r="AQ332" s="53"/>
      <c r="AR332" s="54"/>
      <c r="AS332" s="53"/>
      <c r="AT332" s="54"/>
      <c r="AU332" s="53">
        <v>4.1666666666666699E-2</v>
      </c>
      <c r="AV332" s="54" t="s">
        <v>37</v>
      </c>
      <c r="AW332" s="57">
        <f t="shared" si="50"/>
        <v>5.5555555555555587E-2</v>
      </c>
      <c r="AX332" s="58" t="s">
        <v>96</v>
      </c>
    </row>
    <row r="333" spans="1:50" ht="28.5">
      <c r="A333" s="38" t="s">
        <v>347</v>
      </c>
      <c r="B333" s="39">
        <f t="shared" si="54"/>
        <v>329</v>
      </c>
      <c r="C333" s="40">
        <v>46034</v>
      </c>
      <c r="D333" s="40" t="s">
        <v>80</v>
      </c>
      <c r="E333" s="40" t="s">
        <v>33</v>
      </c>
      <c r="F333" s="41">
        <v>655.4</v>
      </c>
      <c r="G333" s="42" t="s">
        <v>66</v>
      </c>
      <c r="H333" s="43" t="str">
        <f>IFERROR(VLOOKUP($J333,'[9]FROM (3)'!$E$4:$F$230,2,FALSE),"")</f>
        <v>JAMY</v>
      </c>
      <c r="I333" s="44" t="str">
        <f t="shared" si="51"/>
        <v>RACK BAR</v>
      </c>
      <c r="J333" s="44" t="str">
        <f t="shared" si="52"/>
        <v>JGC10-M09008-51-0</v>
      </c>
      <c r="K333" s="59" t="str">
        <f t="shared" si="48"/>
        <v>PD26010351</v>
      </c>
      <c r="L333" s="46" t="str" cm="1">
        <f t="array" ref="L333">IFERROR(_xlfn.IFS(
    LEN($A333)-LEN(SUBSTITUTE($A333,"|",""))=12, RIGHT(A333, LEN(A333)-FIND("~", SUBSTITUTE(A333,"|","~", LEN(A333)-LEN(SUBSTITUTE(A333,"|",""))))),
    LEN($A333)-LEN(SUBSTITUTE($A333,"|",""))=13, MID($A333, FIND("~", SUBSTITUTE($A333,"|","~", 11))+1, FIND("~", SUBSTITUTE($A333,"|","~", 12))-FIND("~", SUBSTITUTE($A333,"|","~", 11))-1),
    LEN($A333)-LEN(SUBSTITUTE($A333,"|",""))=14, MID($A333, FIND("~", SUBSTITUTE($A333,"|","~", 11))+1, FIND("~", SUBSTITUTE($A333,"|","~", 12))-FIND("~", SUBSTITUTE($A333,"|","~", 11))-1)
), "")</f>
        <v>E586966</v>
      </c>
      <c r="M333" s="47" t="str">
        <f t="shared" si="46"/>
        <v>SB010024/2/26</v>
      </c>
      <c r="N333" s="46" t="str">
        <f t="shared" si="49"/>
        <v/>
      </c>
      <c r="O333" s="60">
        <v>60</v>
      </c>
      <c r="P333" s="60">
        <v>870</v>
      </c>
      <c r="Q333" s="48">
        <v>300</v>
      </c>
      <c r="R333" s="48">
        <v>819</v>
      </c>
      <c r="S333" s="48"/>
      <c r="T333" s="48"/>
      <c r="U333" s="49"/>
      <c r="V333" s="49"/>
      <c r="W333" s="50">
        <f t="shared" si="47"/>
        <v>0</v>
      </c>
      <c r="X333" s="51" t="str">
        <f>IF(A333="", "", IF(COUNTIFS(C$3:C332, C333, D$3:D332, D333, G$3:G332, G333) &gt; 0, "", "11:00"-AW333))</f>
        <v/>
      </c>
      <c r="Y333" s="52" t="str">
        <f t="shared" si="53"/>
        <v/>
      </c>
      <c r="Z333" s="53"/>
      <c r="AA333" s="54"/>
      <c r="AB333" s="53"/>
      <c r="AC333" s="54"/>
      <c r="AD333" s="53"/>
      <c r="AE333" s="54"/>
      <c r="AF333" s="53"/>
      <c r="AG333" s="54"/>
      <c r="AH333" s="55">
        <v>4.1666666666666699E-2</v>
      </c>
      <c r="AI333" s="53"/>
      <c r="AJ333" s="54"/>
      <c r="AK333" s="53"/>
      <c r="AL333" s="54"/>
      <c r="AM333" s="53"/>
      <c r="AN333" s="54"/>
      <c r="AO333" s="53"/>
      <c r="AP333" s="54"/>
      <c r="AQ333" s="53"/>
      <c r="AR333" s="54"/>
      <c r="AS333" s="53"/>
      <c r="AT333" s="54"/>
      <c r="AU333" s="53">
        <v>4.1666666666666699E-2</v>
      </c>
      <c r="AV333" s="54" t="s">
        <v>37</v>
      </c>
      <c r="AW333" s="57">
        <f t="shared" si="50"/>
        <v>4.1666666666666699E-2</v>
      </c>
      <c r="AX333" s="58" t="s">
        <v>96</v>
      </c>
    </row>
    <row r="334" spans="1:50" ht="28.5">
      <c r="A334" s="38" t="s">
        <v>348</v>
      </c>
      <c r="B334" s="39">
        <f t="shared" si="54"/>
        <v>330</v>
      </c>
      <c r="C334" s="40">
        <v>46034</v>
      </c>
      <c r="D334" s="40" t="s">
        <v>80</v>
      </c>
      <c r="E334" s="40" t="s">
        <v>33</v>
      </c>
      <c r="F334" s="41">
        <v>655.4</v>
      </c>
      <c r="G334" s="42" t="s">
        <v>66</v>
      </c>
      <c r="H334" s="43" t="str">
        <f>IFERROR(VLOOKUP($J334,'[9]FROM (3)'!$E$4:$F$230,2,FALSE),"")</f>
        <v>JAMY</v>
      </c>
      <c r="I334" s="44" t="str">
        <f t="shared" si="51"/>
        <v>RACK BAR</v>
      </c>
      <c r="J334" s="44" t="str">
        <f t="shared" si="52"/>
        <v>JGC10-M09008-51-0</v>
      </c>
      <c r="K334" s="59" t="str">
        <f t="shared" si="48"/>
        <v>PD26010351</v>
      </c>
      <c r="L334" s="46" t="str" cm="1">
        <f t="array" ref="L334">IFERROR(_xlfn.IFS(
    LEN($A334)-LEN(SUBSTITUTE($A334,"|",""))=12, RIGHT(A334, LEN(A334)-FIND("~", SUBSTITUTE(A334,"|","~", LEN(A334)-LEN(SUBSTITUTE(A334,"|",""))))),
    LEN($A334)-LEN(SUBSTITUTE($A334,"|",""))=13, MID($A334, FIND("~", SUBSTITUTE($A334,"|","~", 11))+1, FIND("~", SUBSTITUTE($A334,"|","~", 12))-FIND("~", SUBSTITUTE($A334,"|","~", 11))-1),
    LEN($A334)-LEN(SUBSTITUTE($A334,"|",""))=14, MID($A334, FIND("~", SUBSTITUTE($A334,"|","~", 11))+1, FIND("~", SUBSTITUTE($A334,"|","~", 12))-FIND("~", SUBSTITUTE($A334,"|","~", 11))-1)
), "")</f>
        <v>E586966</v>
      </c>
      <c r="M334" s="47" t="str">
        <f t="shared" si="46"/>
        <v>SB010024/3/26</v>
      </c>
      <c r="N334" s="46" t="str">
        <f t="shared" si="49"/>
        <v/>
      </c>
      <c r="O334" s="60">
        <v>60</v>
      </c>
      <c r="P334" s="60">
        <v>870</v>
      </c>
      <c r="Q334" s="48">
        <v>300</v>
      </c>
      <c r="R334" s="48">
        <v>819</v>
      </c>
      <c r="S334" s="48"/>
      <c r="T334" s="48"/>
      <c r="U334" s="49"/>
      <c r="V334" s="49"/>
      <c r="W334" s="50">
        <f t="shared" si="47"/>
        <v>0</v>
      </c>
      <c r="X334" s="51" t="str">
        <f>IF(A334="", "", IF(COUNTIFS(C$3:C333, C334, D$3:D333, D334, G$3:G333, G334) &gt; 0, "", "11:00"-AW334))</f>
        <v/>
      </c>
      <c r="Y334" s="52" t="str">
        <f t="shared" si="53"/>
        <v/>
      </c>
      <c r="Z334" s="53"/>
      <c r="AA334" s="54"/>
      <c r="AB334" s="53"/>
      <c r="AC334" s="54"/>
      <c r="AD334" s="53"/>
      <c r="AE334" s="54"/>
      <c r="AF334" s="53"/>
      <c r="AG334" s="54"/>
      <c r="AH334" s="55">
        <v>4.1666666666666699E-2</v>
      </c>
      <c r="AI334" s="53"/>
      <c r="AJ334" s="54"/>
      <c r="AK334" s="53"/>
      <c r="AL334" s="54"/>
      <c r="AM334" s="53"/>
      <c r="AN334" s="54"/>
      <c r="AO334" s="53"/>
      <c r="AP334" s="54"/>
      <c r="AQ334" s="53"/>
      <c r="AR334" s="54"/>
      <c r="AS334" s="53"/>
      <c r="AT334" s="54"/>
      <c r="AU334" s="53">
        <v>4.1666666666666699E-2</v>
      </c>
      <c r="AV334" s="54" t="s">
        <v>37</v>
      </c>
      <c r="AW334" s="57">
        <f t="shared" si="50"/>
        <v>4.1666666666666699E-2</v>
      </c>
      <c r="AX334" s="58" t="s">
        <v>96</v>
      </c>
    </row>
    <row r="335" spans="1:50" ht="28.5">
      <c r="A335" s="38" t="s">
        <v>349</v>
      </c>
      <c r="B335" s="39">
        <f t="shared" si="54"/>
        <v>331</v>
      </c>
      <c r="C335" s="40">
        <v>46034</v>
      </c>
      <c r="D335" s="40" t="s">
        <v>80</v>
      </c>
      <c r="E335" s="40" t="s">
        <v>33</v>
      </c>
      <c r="F335" s="41">
        <v>655.4</v>
      </c>
      <c r="G335" s="42" t="s">
        <v>66</v>
      </c>
      <c r="H335" s="43" t="str">
        <f>IFERROR(VLOOKUP($J335,'[9]FROM (3)'!$E$4:$F$230,2,FALSE),"")</f>
        <v>JAMY</v>
      </c>
      <c r="I335" s="44" t="str">
        <f t="shared" si="51"/>
        <v>RACK BAR</v>
      </c>
      <c r="J335" s="44" t="str">
        <f t="shared" si="52"/>
        <v>JGC10-M09008-51-0</v>
      </c>
      <c r="K335" s="59" t="str">
        <f t="shared" si="48"/>
        <v>PD26010352</v>
      </c>
      <c r="L335" s="46" t="str" cm="1">
        <f t="array" ref="L335">IFERROR(_xlfn.IFS(
    LEN($A335)-LEN(SUBSTITUTE($A335,"|",""))=12, RIGHT(A335, LEN(A335)-FIND("~", SUBSTITUTE(A335,"|","~", LEN(A335)-LEN(SUBSTITUTE(A335,"|",""))))),
    LEN($A335)-LEN(SUBSTITUTE($A335,"|",""))=13, MID($A335, FIND("~", SUBSTITUTE($A335,"|","~", 11))+1, FIND("~", SUBSTITUTE($A335,"|","~", 12))-FIND("~", SUBSTITUTE($A335,"|","~", 11))-1),
    LEN($A335)-LEN(SUBSTITUTE($A335,"|",""))=14, MID($A335, FIND("~", SUBSTITUTE($A335,"|","~", 11))+1, FIND("~", SUBSTITUTE($A335,"|","~", 12))-FIND("~", SUBSTITUTE($A335,"|","~", 11))-1)
), "")</f>
        <v>E586966</v>
      </c>
      <c r="M335" s="47" t="str">
        <f t="shared" si="46"/>
        <v>SB010024/4/26</v>
      </c>
      <c r="N335" s="46" t="str">
        <f t="shared" si="49"/>
        <v/>
      </c>
      <c r="O335" s="60">
        <v>60</v>
      </c>
      <c r="P335" s="60">
        <v>870</v>
      </c>
      <c r="Q335" s="48">
        <v>201</v>
      </c>
      <c r="R335" s="48">
        <v>549</v>
      </c>
      <c r="S335" s="48"/>
      <c r="T335" s="48"/>
      <c r="U335" s="49"/>
      <c r="V335" s="49"/>
      <c r="W335" s="50">
        <f t="shared" si="47"/>
        <v>0</v>
      </c>
      <c r="X335" s="51" t="str">
        <f>IF(A335="", "", IF(COUNTIFS(C$3:C334, C335, D$3:D334, D335, G$3:G334, G335) &gt; 0, "", "11:00"-AW335))</f>
        <v/>
      </c>
      <c r="Y335" s="52" t="str">
        <f t="shared" si="53"/>
        <v/>
      </c>
      <c r="Z335" s="53"/>
      <c r="AA335" s="54"/>
      <c r="AB335" s="53"/>
      <c r="AC335" s="54"/>
      <c r="AD335" s="53"/>
      <c r="AE335" s="54"/>
      <c r="AF335" s="53"/>
      <c r="AG335" s="54"/>
      <c r="AH335" s="55">
        <v>4.1666666666666699E-2</v>
      </c>
      <c r="AI335" s="53"/>
      <c r="AJ335" s="54"/>
      <c r="AK335" s="53"/>
      <c r="AL335" s="54"/>
      <c r="AM335" s="53"/>
      <c r="AN335" s="54"/>
      <c r="AO335" s="53"/>
      <c r="AP335" s="54"/>
      <c r="AQ335" s="53"/>
      <c r="AR335" s="54"/>
      <c r="AS335" s="53"/>
      <c r="AT335" s="54"/>
      <c r="AU335" s="53">
        <v>4.1666666666666699E-2</v>
      </c>
      <c r="AV335" s="54" t="s">
        <v>37</v>
      </c>
      <c r="AW335" s="57">
        <f t="shared" si="50"/>
        <v>4.1666666666666699E-2</v>
      </c>
      <c r="AX335" s="58" t="s">
        <v>96</v>
      </c>
    </row>
    <row r="336" spans="1:50" ht="28.5">
      <c r="A336" s="38" t="s">
        <v>325</v>
      </c>
      <c r="B336" s="39">
        <f t="shared" si="54"/>
        <v>332</v>
      </c>
      <c r="C336" s="40">
        <v>46034</v>
      </c>
      <c r="D336" s="40" t="s">
        <v>80</v>
      </c>
      <c r="E336" s="40" t="s">
        <v>33</v>
      </c>
      <c r="F336" s="41">
        <v>548.4</v>
      </c>
      <c r="G336" s="42" t="s">
        <v>85</v>
      </c>
      <c r="H336" s="43" t="str">
        <f>IFERROR(VLOOKUP($J336,'[9]FROM (3)'!$E$4:$F$230,2,FALSE),"")</f>
        <v>JTCS</v>
      </c>
      <c r="I336" s="44" t="str">
        <f t="shared" si="51"/>
        <v>RACK BAR</v>
      </c>
      <c r="J336" s="44" t="str">
        <f t="shared" si="52"/>
        <v>JGC10S002020-B</v>
      </c>
      <c r="K336" s="59" t="str">
        <f t="shared" si="48"/>
        <v>PD26010348</v>
      </c>
      <c r="L336" s="46" t="str" cm="1">
        <f t="array" ref="L336">IFERROR(_xlfn.IFS(
    LEN($A336)-LEN(SUBSTITUTE($A336,"|",""))=12, RIGHT(A336, LEN(A336)-FIND("~", SUBSTITUTE(A336,"|","~", LEN(A336)-LEN(SUBSTITUTE(A336,"|",""))))),
    LEN($A336)-LEN(SUBSTITUTE($A336,"|",""))=13, MID($A336, FIND("~", SUBSTITUTE($A336,"|","~", 11))+1, FIND("~", SUBSTITUTE($A336,"|","~", 12))-FIND("~", SUBSTITUTE($A336,"|","~", 11))-1),
    LEN($A336)-LEN(SUBSTITUTE($A336,"|",""))=14, MID($A336, FIND("~", SUBSTITUTE($A336,"|","~", 11))+1, FIND("~", SUBSTITUTE($A336,"|","~", 12))-FIND("~", SUBSTITUTE($A336,"|","~", 11))-1)
), "")</f>
        <v>E586664</v>
      </c>
      <c r="M336" s="47" t="str">
        <f t="shared" si="46"/>
        <v>SB010029/1/26</v>
      </c>
      <c r="N336" s="46" t="str">
        <f t="shared" si="49"/>
        <v/>
      </c>
      <c r="O336" s="60" t="s">
        <v>35</v>
      </c>
      <c r="P336" s="60" t="s">
        <v>35</v>
      </c>
      <c r="Q336" s="48">
        <v>251</v>
      </c>
      <c r="R336" s="48">
        <v>574</v>
      </c>
      <c r="S336" s="48" t="s">
        <v>35</v>
      </c>
      <c r="T336" s="48"/>
      <c r="U336" s="49">
        <v>89</v>
      </c>
      <c r="V336" s="49">
        <v>7</v>
      </c>
      <c r="W336" s="50">
        <f t="shared" si="47"/>
        <v>96</v>
      </c>
      <c r="X336" s="51">
        <f>IF(A336="", "", IF(COUNTIFS(C$3:C335, C336, D$3:D335, D336, G$3:G335, G336) &gt; 0, "", "11:00"-AW336))</f>
        <v>0.34722222222222215</v>
      </c>
      <c r="Y336" s="52" t="str">
        <f t="shared" si="53"/>
        <v>1:40</v>
      </c>
      <c r="Z336" s="53"/>
      <c r="AA336" s="54"/>
      <c r="AB336" s="53"/>
      <c r="AC336" s="54"/>
      <c r="AD336" s="53"/>
      <c r="AE336" s="54"/>
      <c r="AF336" s="53"/>
      <c r="AG336" s="54"/>
      <c r="AH336" s="55">
        <v>4.1666666666666699E-2</v>
      </c>
      <c r="AI336" s="53"/>
      <c r="AJ336" s="54"/>
      <c r="AK336" s="53"/>
      <c r="AL336" s="54"/>
      <c r="AM336" s="53"/>
      <c r="AN336" s="54"/>
      <c r="AO336" s="53"/>
      <c r="AP336" s="54"/>
      <c r="AQ336" s="53">
        <v>2.7777777777777776E-2</v>
      </c>
      <c r="AR336" s="54" t="s">
        <v>90</v>
      </c>
      <c r="AS336" s="53">
        <v>4.1666666666666664E-2</v>
      </c>
      <c r="AT336" s="54" t="s">
        <v>90</v>
      </c>
      <c r="AU336" s="53">
        <v>4.1666666666666699E-2</v>
      </c>
      <c r="AV336" s="54" t="s">
        <v>37</v>
      </c>
      <c r="AW336" s="57">
        <f t="shared" si="50"/>
        <v>0.11111111111111115</v>
      </c>
      <c r="AX336" s="58" t="s">
        <v>86</v>
      </c>
    </row>
    <row r="337" spans="1:50" ht="28.5">
      <c r="A337" s="38" t="s">
        <v>350</v>
      </c>
      <c r="B337" s="39">
        <f t="shared" si="54"/>
        <v>333</v>
      </c>
      <c r="C337" s="40">
        <v>46034</v>
      </c>
      <c r="D337" s="40" t="s">
        <v>80</v>
      </c>
      <c r="E337" s="40" t="s">
        <v>33</v>
      </c>
      <c r="F337" s="41">
        <v>548.4</v>
      </c>
      <c r="G337" s="42" t="s">
        <v>85</v>
      </c>
      <c r="H337" s="43" t="str">
        <f>IFERROR(VLOOKUP($J337,'[9]FROM (3)'!$E$4:$F$230,2,FALSE),"")</f>
        <v>JTCS</v>
      </c>
      <c r="I337" s="44" t="str">
        <f t="shared" si="51"/>
        <v>RACK BAR</v>
      </c>
      <c r="J337" s="44" t="str">
        <f t="shared" si="52"/>
        <v>JGC10S002020-B</v>
      </c>
      <c r="K337" s="59" t="str">
        <f t="shared" si="48"/>
        <v>PD26010349</v>
      </c>
      <c r="L337" s="46" t="str" cm="1">
        <f t="array" ref="L337">IFERROR(_xlfn.IFS(
    LEN($A337)-LEN(SUBSTITUTE($A337,"|",""))=12, RIGHT(A337, LEN(A337)-FIND("~", SUBSTITUTE(A337,"|","~", LEN(A337)-LEN(SUBSTITUTE(A337,"|",""))))),
    LEN($A337)-LEN(SUBSTITUTE($A337,"|",""))=13, MID($A337, FIND("~", SUBSTITUTE($A337,"|","~", 11))+1, FIND("~", SUBSTITUTE($A337,"|","~", 12))-FIND("~", SUBSTITUTE($A337,"|","~", 11))-1),
    LEN($A337)-LEN(SUBSTITUTE($A337,"|",""))=14, MID($A337, FIND("~", SUBSTITUTE($A337,"|","~", 11))+1, FIND("~", SUBSTITUTE($A337,"|","~", 12))-FIND("~", SUBSTITUTE($A337,"|","~", 11))-1)
), "")</f>
        <v>E586664</v>
      </c>
      <c r="M337" s="47" t="str">
        <f t="shared" si="46"/>
        <v>SB010029/4/26</v>
      </c>
      <c r="N337" s="46" t="str">
        <f t="shared" si="49"/>
        <v/>
      </c>
      <c r="O337" s="60">
        <v>60</v>
      </c>
      <c r="P337" s="60">
        <v>870</v>
      </c>
      <c r="Q337" s="48">
        <v>360</v>
      </c>
      <c r="R337" s="48">
        <v>823</v>
      </c>
      <c r="S337" s="48" t="s">
        <v>35</v>
      </c>
      <c r="T337" s="48"/>
      <c r="U337" s="49"/>
      <c r="V337" s="49"/>
      <c r="W337" s="50">
        <f t="shared" si="47"/>
        <v>0</v>
      </c>
      <c r="X337" s="51" t="str">
        <f>IF(A337="", "", IF(COUNTIFS(C$3:C336, C337, D$3:D336, D337, G$3:G336, G337) &gt; 0, "", "11:00"-AW337))</f>
        <v/>
      </c>
      <c r="Y337" s="52" t="str">
        <f t="shared" si="53"/>
        <v/>
      </c>
      <c r="Z337" s="53"/>
      <c r="AA337" s="54"/>
      <c r="AB337" s="53"/>
      <c r="AC337" s="54"/>
      <c r="AD337" s="53"/>
      <c r="AE337" s="54"/>
      <c r="AF337" s="53"/>
      <c r="AG337" s="54"/>
      <c r="AH337" s="55">
        <v>4.1666666666666699E-2</v>
      </c>
      <c r="AI337" s="53"/>
      <c r="AJ337" s="54"/>
      <c r="AK337" s="53"/>
      <c r="AL337" s="54"/>
      <c r="AM337" s="53"/>
      <c r="AN337" s="54"/>
      <c r="AO337" s="53"/>
      <c r="AP337" s="54"/>
      <c r="AQ337" s="53"/>
      <c r="AR337" s="54"/>
      <c r="AS337" s="53"/>
      <c r="AT337" s="54"/>
      <c r="AU337" s="53">
        <v>4.1666666666666699E-2</v>
      </c>
      <c r="AV337" s="54" t="s">
        <v>37</v>
      </c>
      <c r="AW337" s="57">
        <f t="shared" si="50"/>
        <v>4.1666666666666699E-2</v>
      </c>
      <c r="AX337" s="58" t="s">
        <v>86</v>
      </c>
    </row>
    <row r="338" spans="1:50" ht="28.5">
      <c r="A338" s="38" t="s">
        <v>351</v>
      </c>
      <c r="B338" s="39">
        <f t="shared" si="54"/>
        <v>334</v>
      </c>
      <c r="C338" s="40">
        <v>46034</v>
      </c>
      <c r="D338" s="40" t="s">
        <v>80</v>
      </c>
      <c r="E338" s="40" t="s">
        <v>33</v>
      </c>
      <c r="F338" s="41">
        <v>548.4</v>
      </c>
      <c r="G338" s="42" t="s">
        <v>85</v>
      </c>
      <c r="H338" s="43" t="str">
        <f>IFERROR(VLOOKUP($J338,'[9]FROM (3)'!$E$4:$F$230,2,FALSE),"")</f>
        <v>JTCS</v>
      </c>
      <c r="I338" s="44" t="str">
        <f t="shared" si="51"/>
        <v>RACK BAR</v>
      </c>
      <c r="J338" s="44" t="str">
        <f t="shared" si="52"/>
        <v>JGC10S002020-B</v>
      </c>
      <c r="K338" s="59" t="str">
        <f t="shared" si="48"/>
        <v>PD26010349</v>
      </c>
      <c r="L338" s="46" t="str" cm="1">
        <f t="array" ref="L338">IFERROR(_xlfn.IFS(
    LEN($A338)-LEN(SUBSTITUTE($A338,"|",""))=12, RIGHT(A338, LEN(A338)-FIND("~", SUBSTITUTE(A338,"|","~", LEN(A338)-LEN(SUBSTITUTE(A338,"|",""))))),
    LEN($A338)-LEN(SUBSTITUTE($A338,"|",""))=13, MID($A338, FIND("~", SUBSTITUTE($A338,"|","~", 11))+1, FIND("~", SUBSTITUTE($A338,"|","~", 12))-FIND("~", SUBSTITUTE($A338,"|","~", 11))-1),
    LEN($A338)-LEN(SUBSTITUTE($A338,"|",""))=14, MID($A338, FIND("~", SUBSTITUTE($A338,"|","~", 11))+1, FIND("~", SUBSTITUTE($A338,"|","~", 12))-FIND("~", SUBSTITUTE($A338,"|","~", 11))-1)
), "")</f>
        <v>E586664</v>
      </c>
      <c r="M338" s="47" t="str">
        <f t="shared" si="46"/>
        <v>SB010029/3/26</v>
      </c>
      <c r="N338" s="46" t="str">
        <f t="shared" si="49"/>
        <v/>
      </c>
      <c r="O338" s="60">
        <v>60</v>
      </c>
      <c r="P338" s="60">
        <v>870</v>
      </c>
      <c r="Q338" s="48">
        <v>360</v>
      </c>
      <c r="R338" s="48">
        <v>823</v>
      </c>
      <c r="S338" s="48" t="s">
        <v>35</v>
      </c>
      <c r="T338" s="48"/>
      <c r="U338" s="49">
        <v>89</v>
      </c>
      <c r="V338" s="49">
        <v>7</v>
      </c>
      <c r="W338" s="50">
        <f t="shared" si="47"/>
        <v>96</v>
      </c>
      <c r="X338" s="51" t="str">
        <f>IF(A338="", "", IF(COUNTIFS(C$3:C337, C338, D$3:D337, D338, G$3:G337, G338) &gt; 0, "", "11:00"-AW338))</f>
        <v/>
      </c>
      <c r="Y338" s="52" t="str">
        <f t="shared" si="53"/>
        <v/>
      </c>
      <c r="Z338" s="53"/>
      <c r="AA338" s="54"/>
      <c r="AB338" s="53"/>
      <c r="AC338" s="54"/>
      <c r="AD338" s="53"/>
      <c r="AE338" s="54"/>
      <c r="AF338" s="53"/>
      <c r="AG338" s="54"/>
      <c r="AH338" s="55">
        <v>4.1666666666666699E-2</v>
      </c>
      <c r="AI338" s="53"/>
      <c r="AJ338" s="54"/>
      <c r="AK338" s="53"/>
      <c r="AL338" s="54"/>
      <c r="AM338" s="53"/>
      <c r="AN338" s="54"/>
      <c r="AO338" s="53"/>
      <c r="AP338" s="54"/>
      <c r="AQ338" s="53"/>
      <c r="AR338" s="54"/>
      <c r="AS338" s="53"/>
      <c r="AT338" s="54"/>
      <c r="AU338" s="53">
        <v>4.1666666666666699E-2</v>
      </c>
      <c r="AV338" s="54" t="s">
        <v>37</v>
      </c>
      <c r="AW338" s="57">
        <f t="shared" si="50"/>
        <v>4.1666666666666699E-2</v>
      </c>
      <c r="AX338" s="58" t="s">
        <v>86</v>
      </c>
    </row>
    <row r="339" spans="1:50" ht="28.5">
      <c r="A339" s="38" t="s">
        <v>352</v>
      </c>
      <c r="B339" s="39">
        <f t="shared" si="54"/>
        <v>335</v>
      </c>
      <c r="C339" s="40">
        <v>46034</v>
      </c>
      <c r="D339" s="40" t="s">
        <v>80</v>
      </c>
      <c r="E339" s="40" t="s">
        <v>33</v>
      </c>
      <c r="F339" s="41">
        <v>262</v>
      </c>
      <c r="G339" s="42" t="s">
        <v>176</v>
      </c>
      <c r="H339" s="43" t="str">
        <f>IFERROR(VLOOKUP($J339,'[9]FROM (3)'!$E$4:$F$230,2,FALSE),"")</f>
        <v/>
      </c>
      <c r="I339" s="44" t="str">
        <f t="shared" si="51"/>
        <v>RACK</v>
      </c>
      <c r="J339" s="44" t="str">
        <f t="shared" si="52"/>
        <v>510-30149-020</v>
      </c>
      <c r="K339" s="59" t="str">
        <f t="shared" si="48"/>
        <v>PD26010110</v>
      </c>
      <c r="L339" s="46" t="str" cm="1">
        <f t="array" ref="L339">IFERROR(_xlfn.IFS(
    LEN($A339)-LEN(SUBSTITUTE($A339,"|",""))=12, RIGHT(A339, LEN(A339)-FIND("~", SUBSTITUTE(A339,"|","~", LEN(A339)-LEN(SUBSTITUTE(A339,"|",""))))),
    LEN($A339)-LEN(SUBSTITUTE($A339,"|",""))=13, MID($A339, FIND("~", SUBSTITUTE($A339,"|","~", 11))+1, FIND("~", SUBSTITUTE($A339,"|","~", 12))-FIND("~", SUBSTITUTE($A339,"|","~", 11))-1),
    LEN($A339)-LEN(SUBSTITUTE($A339,"|",""))=14, MID($A339, FIND("~", SUBSTITUTE($A339,"|","~", 11))+1, FIND("~", SUBSTITUTE($A339,"|","~", 12))-FIND("~", SUBSTITUTE($A339,"|","~", 11))-1)
), "")</f>
        <v>5C1361</v>
      </c>
      <c r="M339" s="47" t="str">
        <f t="shared" si="46"/>
        <v>FB010050/8/26</v>
      </c>
      <c r="N339" s="46" t="str">
        <f t="shared" si="49"/>
        <v>FB010050/8/26</v>
      </c>
      <c r="O339" s="60" t="s">
        <v>35</v>
      </c>
      <c r="P339" s="60" t="s">
        <v>35</v>
      </c>
      <c r="Q339" s="48">
        <v>30</v>
      </c>
      <c r="R339" s="48">
        <v>49</v>
      </c>
      <c r="S339" s="48" t="s">
        <v>35</v>
      </c>
      <c r="T339" s="48"/>
      <c r="U339" s="49"/>
      <c r="V339" s="49"/>
      <c r="W339" s="50">
        <f t="shared" si="47"/>
        <v>0</v>
      </c>
      <c r="X339" s="51">
        <f>IF(A339="", "", IF(COUNTIFS(C$3:C338, C339, D$3:D338, D339, G$3:G338, G339) &gt; 0, "", "11:00"-AW339))</f>
        <v>0.41666666666666663</v>
      </c>
      <c r="Y339" s="52" t="str">
        <f t="shared" si="53"/>
        <v>1:40</v>
      </c>
      <c r="Z339" s="53"/>
      <c r="AA339" s="54"/>
      <c r="AB339" s="53"/>
      <c r="AC339" s="54"/>
      <c r="AD339" s="53"/>
      <c r="AE339" s="54"/>
      <c r="AF339" s="53"/>
      <c r="AG339" s="54"/>
      <c r="AH339" s="55">
        <v>4.1666666666666699E-2</v>
      </c>
      <c r="AI339" s="53"/>
      <c r="AJ339" s="54"/>
      <c r="AK339" s="53"/>
      <c r="AL339" s="54"/>
      <c r="AM339" s="53"/>
      <c r="AN339" s="54"/>
      <c r="AO339" s="53"/>
      <c r="AP339" s="54"/>
      <c r="AQ339" s="53"/>
      <c r="AR339" s="54"/>
      <c r="AS339" s="53"/>
      <c r="AT339" s="54"/>
      <c r="AU339" s="53">
        <v>4.1666666666666699E-2</v>
      </c>
      <c r="AV339" s="54" t="s">
        <v>37</v>
      </c>
      <c r="AW339" s="57">
        <f t="shared" si="50"/>
        <v>4.1666666666666699E-2</v>
      </c>
      <c r="AX339" s="58" t="s">
        <v>86</v>
      </c>
    </row>
    <row r="340" spans="1:50" ht="28.5">
      <c r="A340" s="38" t="s">
        <v>353</v>
      </c>
      <c r="B340" s="39">
        <f t="shared" si="54"/>
        <v>336</v>
      </c>
      <c r="C340" s="40">
        <v>46034</v>
      </c>
      <c r="D340" s="40" t="s">
        <v>80</v>
      </c>
      <c r="E340" s="40" t="s">
        <v>33</v>
      </c>
      <c r="F340" s="41">
        <v>262</v>
      </c>
      <c r="G340" s="42" t="s">
        <v>176</v>
      </c>
      <c r="H340" s="43" t="str">
        <f>IFERROR(VLOOKUP($J340,'[9]FROM (3)'!$E$4:$F$230,2,FALSE),"")</f>
        <v/>
      </c>
      <c r="I340" s="44" t="str">
        <f t="shared" si="51"/>
        <v>RACK</v>
      </c>
      <c r="J340" s="44" t="str">
        <f t="shared" si="52"/>
        <v>510-30149-020</v>
      </c>
      <c r="K340" s="59" t="str">
        <f t="shared" si="48"/>
        <v>PD26010111</v>
      </c>
      <c r="L340" s="46" t="str" cm="1">
        <f t="array" ref="L340">IFERROR(_xlfn.IFS(
    LEN($A340)-LEN(SUBSTITUTE($A340,"|",""))=12, RIGHT(A340, LEN(A340)-FIND("~", SUBSTITUTE(A340,"|","~", LEN(A340)-LEN(SUBSTITUTE(A340,"|",""))))),
    LEN($A340)-LEN(SUBSTITUTE($A340,"|",""))=13, MID($A340, FIND("~", SUBSTITUTE($A340,"|","~", 11))+1, FIND("~", SUBSTITUTE($A340,"|","~", 12))-FIND("~", SUBSTITUTE($A340,"|","~", 11))-1),
    LEN($A340)-LEN(SUBSTITUTE($A340,"|",""))=14, MID($A340, FIND("~", SUBSTITUTE($A340,"|","~", 11))+1, FIND("~", SUBSTITUTE($A340,"|","~", 12))-FIND("~", SUBSTITUTE($A340,"|","~", 11))-1)
), "")</f>
        <v>5C1361</v>
      </c>
      <c r="M340" s="47" t="str">
        <f t="shared" si="46"/>
        <v>FB010061/1/26</v>
      </c>
      <c r="N340" s="46" t="str">
        <f t="shared" si="49"/>
        <v>FB010061/1/26</v>
      </c>
      <c r="O340" s="60" t="s">
        <v>35</v>
      </c>
      <c r="P340" s="60" t="s">
        <v>35</v>
      </c>
      <c r="Q340" s="48">
        <v>170</v>
      </c>
      <c r="R340" s="48">
        <v>278</v>
      </c>
      <c r="S340" s="48" t="s">
        <v>35</v>
      </c>
      <c r="T340" s="48"/>
      <c r="U340" s="49"/>
      <c r="V340" s="49"/>
      <c r="W340" s="50">
        <f t="shared" si="47"/>
        <v>0</v>
      </c>
      <c r="X340" s="51" t="str">
        <f>IF(A340="", "", IF(COUNTIFS(C$3:C339, C340, D$3:D339, D340, G$3:G339, G340) &gt; 0, "", "11:00"-AW340))</f>
        <v/>
      </c>
      <c r="Y340" s="52" t="str">
        <f t="shared" si="53"/>
        <v/>
      </c>
      <c r="Z340" s="53"/>
      <c r="AA340" s="54"/>
      <c r="AB340" s="53"/>
      <c r="AC340" s="54"/>
      <c r="AD340" s="53"/>
      <c r="AE340" s="54"/>
      <c r="AF340" s="53"/>
      <c r="AG340" s="54"/>
      <c r="AH340" s="55">
        <v>4.1666666666666699E-2</v>
      </c>
      <c r="AI340" s="53"/>
      <c r="AJ340" s="54"/>
      <c r="AK340" s="53"/>
      <c r="AL340" s="54"/>
      <c r="AM340" s="53"/>
      <c r="AN340" s="54"/>
      <c r="AO340" s="53"/>
      <c r="AP340" s="54"/>
      <c r="AQ340" s="53"/>
      <c r="AR340" s="54"/>
      <c r="AS340" s="53"/>
      <c r="AT340" s="54"/>
      <c r="AU340" s="53">
        <v>4.1666666666666699E-2</v>
      </c>
      <c r="AV340" s="54" t="s">
        <v>37</v>
      </c>
      <c r="AW340" s="57">
        <f t="shared" si="50"/>
        <v>4.1666666666666699E-2</v>
      </c>
      <c r="AX340" s="58" t="s">
        <v>86</v>
      </c>
    </row>
    <row r="341" spans="1:50" ht="28.5">
      <c r="A341" s="38" t="s">
        <v>354</v>
      </c>
      <c r="B341" s="39">
        <f t="shared" si="54"/>
        <v>337</v>
      </c>
      <c r="C341" s="40">
        <v>46034</v>
      </c>
      <c r="D341" s="40" t="s">
        <v>80</v>
      </c>
      <c r="E341" s="40" t="s">
        <v>33</v>
      </c>
      <c r="F341" s="41">
        <v>262</v>
      </c>
      <c r="G341" s="42" t="s">
        <v>176</v>
      </c>
      <c r="H341" s="43" t="str">
        <f>IFERROR(VLOOKUP($J341,'[9]FROM (3)'!$E$4:$F$230,2,FALSE),"")</f>
        <v/>
      </c>
      <c r="I341" s="44" t="str">
        <f t="shared" si="51"/>
        <v>RACK</v>
      </c>
      <c r="J341" s="44" t="str">
        <f t="shared" si="52"/>
        <v>510-30149-020</v>
      </c>
      <c r="K341" s="59" t="str">
        <f t="shared" si="48"/>
        <v>PD26010111</v>
      </c>
      <c r="L341" s="46" t="str" cm="1">
        <f t="array" ref="L341">IFERROR(_xlfn.IFS(
    LEN($A341)-LEN(SUBSTITUTE($A341,"|",""))=12, RIGHT(A341, LEN(A341)-FIND("~", SUBSTITUTE(A341,"|","~", LEN(A341)-LEN(SUBSTITUTE(A341,"|",""))))),
    LEN($A341)-LEN(SUBSTITUTE($A341,"|",""))=13, MID($A341, FIND("~", SUBSTITUTE($A341,"|","~", 11))+1, FIND("~", SUBSTITUTE($A341,"|","~", 12))-FIND("~", SUBSTITUTE($A341,"|","~", 11))-1),
    LEN($A341)-LEN(SUBSTITUTE($A341,"|",""))=14, MID($A341, FIND("~", SUBSTITUTE($A341,"|","~", 11))+1, FIND("~", SUBSTITUTE($A341,"|","~", 12))-FIND("~", SUBSTITUTE($A341,"|","~", 11))-1)
), "")</f>
        <v>5C1361</v>
      </c>
      <c r="M341" s="47" t="str">
        <f t="shared" si="46"/>
        <v>FB010061/4/26</v>
      </c>
      <c r="N341" s="46" t="str">
        <f t="shared" si="49"/>
        <v>FB010061/4/26</v>
      </c>
      <c r="O341" s="60" t="s">
        <v>35</v>
      </c>
      <c r="P341" s="60" t="s">
        <v>35</v>
      </c>
      <c r="Q341" s="48">
        <v>200</v>
      </c>
      <c r="R341" s="48">
        <v>327</v>
      </c>
      <c r="S341" s="48" t="s">
        <v>35</v>
      </c>
      <c r="T341" s="48"/>
      <c r="U341" s="49"/>
      <c r="V341" s="49"/>
      <c r="W341" s="50">
        <f t="shared" si="47"/>
        <v>0</v>
      </c>
      <c r="X341" s="51" t="str">
        <f>IF(A341="", "", IF(COUNTIFS(C$3:C340, C341, D$3:D340, D341, G$3:G340, G341) &gt; 0, "", "11:00"-AW341))</f>
        <v/>
      </c>
      <c r="Y341" s="52" t="str">
        <f t="shared" si="53"/>
        <v/>
      </c>
      <c r="Z341" s="53"/>
      <c r="AA341" s="54"/>
      <c r="AB341" s="53"/>
      <c r="AC341" s="54"/>
      <c r="AD341" s="53"/>
      <c r="AE341" s="54"/>
      <c r="AF341" s="53"/>
      <c r="AG341" s="54"/>
      <c r="AH341" s="55">
        <v>4.1666666666666699E-2</v>
      </c>
      <c r="AI341" s="53"/>
      <c r="AJ341" s="54"/>
      <c r="AK341" s="53"/>
      <c r="AL341" s="54"/>
      <c r="AM341" s="53"/>
      <c r="AN341" s="54"/>
      <c r="AO341" s="53"/>
      <c r="AP341" s="54"/>
      <c r="AQ341" s="53"/>
      <c r="AR341" s="54"/>
      <c r="AS341" s="53"/>
      <c r="AT341" s="54"/>
      <c r="AU341" s="53">
        <v>4.1666666666666699E-2</v>
      </c>
      <c r="AV341" s="54" t="s">
        <v>37</v>
      </c>
      <c r="AW341" s="57">
        <f t="shared" si="50"/>
        <v>4.1666666666666699E-2</v>
      </c>
      <c r="AX341" s="58" t="s">
        <v>86</v>
      </c>
    </row>
    <row r="342" spans="1:50" ht="28.5">
      <c r="A342" s="38" t="s">
        <v>355</v>
      </c>
      <c r="B342" s="39">
        <f t="shared" si="54"/>
        <v>338</v>
      </c>
      <c r="C342" s="40">
        <v>46034</v>
      </c>
      <c r="D342" s="40" t="s">
        <v>80</v>
      </c>
      <c r="E342" s="40" t="s">
        <v>33</v>
      </c>
      <c r="F342" s="41">
        <v>262</v>
      </c>
      <c r="G342" s="42" t="s">
        <v>176</v>
      </c>
      <c r="H342" s="43" t="str">
        <f>IFERROR(VLOOKUP($J342,'[9]FROM (3)'!$E$4:$F$230,2,FALSE),"")</f>
        <v/>
      </c>
      <c r="I342" s="44" t="str">
        <f t="shared" si="51"/>
        <v>RACK</v>
      </c>
      <c r="J342" s="44" t="str">
        <f t="shared" si="52"/>
        <v>510-30149-020</v>
      </c>
      <c r="K342" s="59" t="str">
        <f t="shared" si="48"/>
        <v>PD26010110</v>
      </c>
      <c r="L342" s="46" t="str" cm="1">
        <f t="array" ref="L342">IFERROR(_xlfn.IFS(
    LEN($A342)-LEN(SUBSTITUTE($A342,"|",""))=12, RIGHT(A342, LEN(A342)-FIND("~", SUBSTITUTE(A342,"|","~", LEN(A342)-LEN(SUBSTITUTE(A342,"|",""))))),
    LEN($A342)-LEN(SUBSTITUTE($A342,"|",""))=13, MID($A342, FIND("~", SUBSTITUTE($A342,"|","~", 11))+1, FIND("~", SUBSTITUTE($A342,"|","~", 12))-FIND("~", SUBSTITUTE($A342,"|","~", 11))-1),
    LEN($A342)-LEN(SUBSTITUTE($A342,"|",""))=14, MID($A342, FIND("~", SUBSTITUTE($A342,"|","~", 11))+1, FIND("~", SUBSTITUTE($A342,"|","~", 12))-FIND("~", SUBSTITUTE($A342,"|","~", 11))-1)
), "")</f>
        <v>5C1361</v>
      </c>
      <c r="M342" s="47" t="str">
        <f t="shared" si="46"/>
        <v>FB010050/7/26</v>
      </c>
      <c r="N342" s="46" t="str">
        <f t="shared" si="49"/>
        <v>FB010050/7/26</v>
      </c>
      <c r="O342" s="60" t="s">
        <v>35</v>
      </c>
      <c r="P342" s="60" t="s">
        <v>35</v>
      </c>
      <c r="Q342" s="48">
        <v>200</v>
      </c>
      <c r="R342" s="48">
        <v>327</v>
      </c>
      <c r="S342" s="48" t="s">
        <v>35</v>
      </c>
      <c r="T342" s="48"/>
      <c r="U342" s="49"/>
      <c r="V342" s="49"/>
      <c r="W342" s="50">
        <f t="shared" si="47"/>
        <v>0</v>
      </c>
      <c r="X342" s="51" t="str">
        <f>IF(A342="", "", IF(COUNTIFS(C$3:C341, C342, D$3:D341, D342, G$3:G341, G342) &gt; 0, "", "11:00"-AW342))</f>
        <v/>
      </c>
      <c r="Y342" s="52" t="str">
        <f t="shared" si="53"/>
        <v/>
      </c>
      <c r="Z342" s="53"/>
      <c r="AA342" s="54"/>
      <c r="AB342" s="53"/>
      <c r="AC342" s="54"/>
      <c r="AD342" s="53"/>
      <c r="AE342" s="54"/>
      <c r="AF342" s="53"/>
      <c r="AG342" s="54"/>
      <c r="AH342" s="55">
        <v>4.1666666666666699E-2</v>
      </c>
      <c r="AI342" s="53"/>
      <c r="AJ342" s="54"/>
      <c r="AK342" s="53"/>
      <c r="AL342" s="54"/>
      <c r="AM342" s="53"/>
      <c r="AN342" s="54"/>
      <c r="AO342" s="53"/>
      <c r="AP342" s="54"/>
      <c r="AQ342" s="53"/>
      <c r="AR342" s="54"/>
      <c r="AS342" s="53"/>
      <c r="AT342" s="54"/>
      <c r="AU342" s="53">
        <v>4.1666666666666699E-2</v>
      </c>
      <c r="AV342" s="54" t="s">
        <v>37</v>
      </c>
      <c r="AW342" s="57">
        <f t="shared" si="50"/>
        <v>4.1666666666666699E-2</v>
      </c>
      <c r="AX342" s="58" t="s">
        <v>86</v>
      </c>
    </row>
    <row r="343" spans="1:50" ht="28.5">
      <c r="A343" s="38" t="s">
        <v>356</v>
      </c>
      <c r="B343" s="39">
        <f t="shared" si="54"/>
        <v>339</v>
      </c>
      <c r="C343" s="40">
        <v>46034</v>
      </c>
      <c r="D343" s="40" t="s">
        <v>80</v>
      </c>
      <c r="E343" s="40" t="s">
        <v>33</v>
      </c>
      <c r="F343" s="41">
        <v>278</v>
      </c>
      <c r="G343" s="42" t="s">
        <v>108</v>
      </c>
      <c r="H343" s="43" t="str">
        <f>IFERROR(VLOOKUP($J343,'[9]FROM (3)'!$E$4:$F$230,2,FALSE),"")</f>
        <v>SIAM NSK</v>
      </c>
      <c r="I343" s="44" t="str">
        <f t="shared" si="51"/>
        <v>SHAFT SPLINE</v>
      </c>
      <c r="J343" s="44" t="str">
        <f t="shared" si="52"/>
        <v>2550T0749P</v>
      </c>
      <c r="K343" s="59" t="str">
        <f t="shared" si="48"/>
        <v>PD25120355</v>
      </c>
      <c r="L343" s="46" t="str" cm="1">
        <f t="array" ref="L343">IFERROR(_xlfn.IFS(
    LEN($A343)-LEN(SUBSTITUTE($A343,"|",""))=12, RIGHT(A343, LEN(A343)-FIND("~", SUBSTITUTE(A343,"|","~", LEN(A343)-LEN(SUBSTITUTE(A343,"|",""))))),
    LEN($A343)-LEN(SUBSTITUTE($A343,"|",""))=13, MID($A343, FIND("~", SUBSTITUTE($A343,"|","~", 11))+1, FIND("~", SUBSTITUTE($A343,"|","~", 12))-FIND("~", SUBSTITUTE($A343,"|","~", 11))-1),
    LEN($A343)-LEN(SUBSTITUTE($A343,"|",""))=14, MID($A343, FIND("~", SUBSTITUTE($A343,"|","~", 11))+1, FIND("~", SUBSTITUTE($A343,"|","~", 12))-FIND("~", SUBSTITUTE($A343,"|","~", 11))-1)
), "")</f>
        <v>SF93402</v>
      </c>
      <c r="M343" s="47" t="str">
        <f t="shared" si="46"/>
        <v>SB120044/3/25</v>
      </c>
      <c r="N343" s="46" t="str">
        <f t="shared" si="49"/>
        <v/>
      </c>
      <c r="O343" s="60">
        <v>103</v>
      </c>
      <c r="P343" s="60">
        <v>990</v>
      </c>
      <c r="Q343" s="48">
        <v>1664</v>
      </c>
      <c r="R343" s="48">
        <v>951</v>
      </c>
      <c r="S343" s="48" t="s">
        <v>35</v>
      </c>
      <c r="T343" s="48"/>
      <c r="U343" s="49"/>
      <c r="V343" s="49"/>
      <c r="W343" s="50">
        <f t="shared" si="47"/>
        <v>0</v>
      </c>
      <c r="X343" s="51">
        <f>IF(A343="", "", IF(COUNTIFS(C$3:C342, C343, D$3:D342, D343, G$3:G342, G343) &gt; 0, "", "11:00"-AW343))</f>
        <v>0.41666666666666663</v>
      </c>
      <c r="Y343" s="52" t="str">
        <f t="shared" si="53"/>
        <v>1:40</v>
      </c>
      <c r="Z343" s="53"/>
      <c r="AA343" s="54"/>
      <c r="AB343" s="53"/>
      <c r="AC343" s="54"/>
      <c r="AD343" s="53"/>
      <c r="AE343" s="54"/>
      <c r="AF343" s="53"/>
      <c r="AG343" s="54"/>
      <c r="AH343" s="55">
        <v>4.1666666666666699E-2</v>
      </c>
      <c r="AI343" s="53"/>
      <c r="AJ343" s="54"/>
      <c r="AK343" s="53"/>
      <c r="AL343" s="54"/>
      <c r="AM343" s="53"/>
      <c r="AN343" s="54"/>
      <c r="AO343" s="53"/>
      <c r="AP343" s="54"/>
      <c r="AQ343" s="53"/>
      <c r="AR343" s="54"/>
      <c r="AS343" s="53"/>
      <c r="AT343" s="54"/>
      <c r="AU343" s="53">
        <v>4.1666666666666699E-2</v>
      </c>
      <c r="AV343" s="54" t="s">
        <v>37</v>
      </c>
      <c r="AW343" s="57">
        <f t="shared" si="50"/>
        <v>4.1666666666666699E-2</v>
      </c>
      <c r="AX343" s="58" t="s">
        <v>109</v>
      </c>
    </row>
    <row r="344" spans="1:50" ht="28.5">
      <c r="A344" s="38" t="s">
        <v>357</v>
      </c>
      <c r="B344" s="39">
        <f t="shared" si="54"/>
        <v>340</v>
      </c>
      <c r="C344" s="40">
        <v>46034</v>
      </c>
      <c r="D344" s="40" t="s">
        <v>80</v>
      </c>
      <c r="E344" s="40" t="s">
        <v>33</v>
      </c>
      <c r="F344" s="41">
        <v>278</v>
      </c>
      <c r="G344" s="42" t="s">
        <v>108</v>
      </c>
      <c r="H344" s="43" t="str">
        <f>IFERROR(VLOOKUP($J344,'[9]FROM (3)'!$E$4:$F$230,2,FALSE),"")</f>
        <v>SIAM NSK</v>
      </c>
      <c r="I344" s="44" t="str">
        <f t="shared" si="51"/>
        <v>SHAFT SPLINE</v>
      </c>
      <c r="J344" s="44" t="str">
        <f t="shared" si="52"/>
        <v>2550T0749P</v>
      </c>
      <c r="K344" s="59" t="str">
        <f t="shared" si="48"/>
        <v>PD25120355</v>
      </c>
      <c r="L344" s="46" t="str" cm="1">
        <f t="array" ref="L344">IFERROR(_xlfn.IFS(
    LEN($A344)-LEN(SUBSTITUTE($A344,"|",""))=12, RIGHT(A344, LEN(A344)-FIND("~", SUBSTITUTE(A344,"|","~", LEN(A344)-LEN(SUBSTITUTE(A344,"|",""))))),
    LEN($A344)-LEN(SUBSTITUTE($A344,"|",""))=13, MID($A344, FIND("~", SUBSTITUTE($A344,"|","~", 11))+1, FIND("~", SUBSTITUTE($A344,"|","~", 12))-FIND("~", SUBSTITUTE($A344,"|","~", 11))-1),
    LEN($A344)-LEN(SUBSTITUTE($A344,"|",""))=14, MID($A344, FIND("~", SUBSTITUTE($A344,"|","~", 11))+1, FIND("~", SUBSTITUTE($A344,"|","~", 12))-FIND("~", SUBSTITUTE($A344,"|","~", 11))-1)
), "")</f>
        <v>SF93402</v>
      </c>
      <c r="M344" s="47" t="str">
        <f t="shared" si="46"/>
        <v>SB120044/4/25</v>
      </c>
      <c r="N344" s="46" t="str">
        <f t="shared" si="49"/>
        <v/>
      </c>
      <c r="O344" s="60">
        <v>108</v>
      </c>
      <c r="P344" s="60">
        <v>1036</v>
      </c>
      <c r="Q344" s="48">
        <v>1664</v>
      </c>
      <c r="R344" s="48">
        <v>951</v>
      </c>
      <c r="S344" s="48" t="s">
        <v>35</v>
      </c>
      <c r="T344" s="48"/>
      <c r="U344" s="49">
        <v>76</v>
      </c>
      <c r="V344" s="49">
        <v>14</v>
      </c>
      <c r="W344" s="50">
        <f t="shared" si="47"/>
        <v>90</v>
      </c>
      <c r="X344" s="51" t="str">
        <f>IF(A344="", "", IF(COUNTIFS(C$3:C343, C344, D$3:D343, D344, G$3:G343, G344) &gt; 0, "", "11:00"-AW344))</f>
        <v/>
      </c>
      <c r="Y344" s="52" t="str">
        <f t="shared" si="53"/>
        <v/>
      </c>
      <c r="Z344" s="53"/>
      <c r="AA344" s="54"/>
      <c r="AB344" s="53"/>
      <c r="AC344" s="54"/>
      <c r="AD344" s="53"/>
      <c r="AE344" s="54"/>
      <c r="AF344" s="53"/>
      <c r="AG344" s="54"/>
      <c r="AH344" s="55">
        <v>4.1666666666666699E-2</v>
      </c>
      <c r="AI344" s="53"/>
      <c r="AJ344" s="54"/>
      <c r="AK344" s="53"/>
      <c r="AL344" s="54"/>
      <c r="AM344" s="53"/>
      <c r="AN344" s="54"/>
      <c r="AO344" s="53"/>
      <c r="AP344" s="54"/>
      <c r="AQ344" s="53"/>
      <c r="AR344" s="54"/>
      <c r="AS344" s="53"/>
      <c r="AT344" s="54"/>
      <c r="AU344" s="53">
        <v>4.1666666666666699E-2</v>
      </c>
      <c r="AV344" s="54" t="s">
        <v>37</v>
      </c>
      <c r="AW344" s="57">
        <f t="shared" si="50"/>
        <v>4.1666666666666699E-2</v>
      </c>
      <c r="AX344" s="58" t="s">
        <v>109</v>
      </c>
    </row>
    <row r="345" spans="1:50" ht="28.5">
      <c r="A345" s="38" t="s">
        <v>327</v>
      </c>
      <c r="B345" s="39">
        <f t="shared" si="54"/>
        <v>341</v>
      </c>
      <c r="C345" s="40">
        <v>46034</v>
      </c>
      <c r="D345" s="40" t="s">
        <v>80</v>
      </c>
      <c r="E345" s="40" t="s">
        <v>33</v>
      </c>
      <c r="F345" s="41">
        <v>375</v>
      </c>
      <c r="G345" s="42" t="s">
        <v>172</v>
      </c>
      <c r="H345" s="43" t="str">
        <f>IFERROR(VLOOKUP($J345,'[9]FROM (3)'!$E$4:$F$230,2,FALSE),"")</f>
        <v>ATAC</v>
      </c>
      <c r="I345" s="44" t="str">
        <f t="shared" si="51"/>
        <v>SEAT,WATER PUMP PULLEY</v>
      </c>
      <c r="J345" s="44" t="str">
        <f t="shared" si="52"/>
        <v>16171-05030</v>
      </c>
      <c r="K345" s="59" t="str">
        <f t="shared" si="48"/>
        <v>PD26010246</v>
      </c>
      <c r="L345" s="46" t="str" cm="1">
        <f t="array" ref="L345">IFERROR(_xlfn.IFS(
    LEN($A345)-LEN(SUBSTITUTE($A345,"|",""))=12, RIGHT(A345, LEN(A345)-FIND("~", SUBSTITUTE(A345,"|","~", LEN(A345)-LEN(SUBSTITUTE(A345,"|",""))))),
    LEN($A345)-LEN(SUBSTITUTE($A345,"|",""))=13, MID($A345, FIND("~", SUBSTITUTE($A345,"|","~", 11))+1, FIND("~", SUBSTITUTE($A345,"|","~", 12))-FIND("~", SUBSTITUTE($A345,"|","~", 11))-1),
    LEN($A345)-LEN(SUBSTITUTE($A345,"|",""))=14, MID($A345, FIND("~", SUBSTITUTE($A345,"|","~", 11))+1, FIND("~", SUBSTITUTE($A345,"|","~", 12))-FIND("~", SUBSTITUTE($A345,"|","~", 11))-1)
), "")</f>
        <v>665898</v>
      </c>
      <c r="M345" s="47" t="str">
        <f t="shared" si="46"/>
        <v>SB010013/5/26</v>
      </c>
      <c r="N345" s="46" t="str">
        <f t="shared" si="49"/>
        <v/>
      </c>
      <c r="O345" s="60" t="s">
        <v>35</v>
      </c>
      <c r="P345" s="60" t="s">
        <v>35</v>
      </c>
      <c r="Q345" s="48">
        <v>2244</v>
      </c>
      <c r="R345" s="48">
        <v>842</v>
      </c>
      <c r="S345" s="48" t="s">
        <v>35</v>
      </c>
      <c r="T345" s="48"/>
      <c r="U345" s="49"/>
      <c r="V345" s="49"/>
      <c r="W345" s="50">
        <f t="shared" si="47"/>
        <v>0</v>
      </c>
      <c r="X345" s="51">
        <f>IF(A345="", "", IF(COUNTIFS(C$3:C344, C345, D$3:D344, D345, G$3:G344, G345) &gt; 0, "", "11:00"-AW345))</f>
        <v>0.41666666666666663</v>
      </c>
      <c r="Y345" s="52" t="str">
        <f t="shared" si="53"/>
        <v>1:40</v>
      </c>
      <c r="Z345" s="53"/>
      <c r="AA345" s="54"/>
      <c r="AB345" s="53"/>
      <c r="AC345" s="54"/>
      <c r="AD345" s="53"/>
      <c r="AE345" s="54"/>
      <c r="AF345" s="53"/>
      <c r="AG345" s="54"/>
      <c r="AH345" s="55">
        <v>4.1666666666666699E-2</v>
      </c>
      <c r="AI345" s="53"/>
      <c r="AJ345" s="54"/>
      <c r="AK345" s="53"/>
      <c r="AL345" s="54"/>
      <c r="AM345" s="53"/>
      <c r="AN345" s="54"/>
      <c r="AO345" s="53"/>
      <c r="AP345" s="54"/>
      <c r="AQ345" s="53"/>
      <c r="AR345" s="54"/>
      <c r="AS345" s="53"/>
      <c r="AT345" s="54"/>
      <c r="AU345" s="53">
        <v>4.1666666666666699E-2</v>
      </c>
      <c r="AV345" s="54" t="s">
        <v>37</v>
      </c>
      <c r="AW345" s="57">
        <f t="shared" si="50"/>
        <v>4.1666666666666699E-2</v>
      </c>
      <c r="AX345" s="58" t="s">
        <v>109</v>
      </c>
    </row>
    <row r="346" spans="1:50" ht="28.5">
      <c r="A346" s="38" t="s">
        <v>358</v>
      </c>
      <c r="B346" s="39">
        <f t="shared" si="54"/>
        <v>342</v>
      </c>
      <c r="C346" s="40">
        <v>46034</v>
      </c>
      <c r="D346" s="40" t="s">
        <v>80</v>
      </c>
      <c r="E346" s="40" t="s">
        <v>33</v>
      </c>
      <c r="F346" s="41">
        <v>375</v>
      </c>
      <c r="G346" s="42" t="s">
        <v>172</v>
      </c>
      <c r="H346" s="43" t="str">
        <f>IFERROR(VLOOKUP($J346,'[9]FROM (3)'!$E$4:$F$230,2,FALSE),"")</f>
        <v>ATAC</v>
      </c>
      <c r="I346" s="44" t="str">
        <f t="shared" si="51"/>
        <v>SEAT,WATER PUMP PULLEY</v>
      </c>
      <c r="J346" s="44" t="str">
        <f t="shared" si="52"/>
        <v>16171-05030</v>
      </c>
      <c r="K346" s="59" t="str">
        <f t="shared" si="48"/>
        <v>PD26010246</v>
      </c>
      <c r="L346" s="46" t="str" cm="1">
        <f t="array" ref="L346">IFERROR(_xlfn.IFS(
    LEN($A346)-LEN(SUBSTITUTE($A346,"|",""))=12, RIGHT(A346, LEN(A346)-FIND("~", SUBSTITUTE(A346,"|","~", LEN(A346)-LEN(SUBSTITUTE(A346,"|",""))))),
    LEN($A346)-LEN(SUBSTITUTE($A346,"|",""))=13, MID($A346, FIND("~", SUBSTITUTE($A346,"|","~", 11))+1, FIND("~", SUBSTITUTE($A346,"|","~", 12))-FIND("~", SUBSTITUTE($A346,"|","~", 11))-1),
    LEN($A346)-LEN(SUBSTITUTE($A346,"|",""))=14, MID($A346, FIND("~", SUBSTITUTE($A346,"|","~", 11))+1, FIND("~", SUBSTITUTE($A346,"|","~", 12))-FIND("~", SUBSTITUTE($A346,"|","~", 11))-1)
), "")</f>
        <v>665898</v>
      </c>
      <c r="M346" s="47" t="str">
        <f t="shared" si="46"/>
        <v>SB010013/6/26</v>
      </c>
      <c r="N346" s="46" t="str">
        <f t="shared" si="49"/>
        <v/>
      </c>
      <c r="O346" s="60">
        <v>14</v>
      </c>
      <c r="P346" s="60">
        <v>990</v>
      </c>
      <c r="Q346" s="48">
        <v>574</v>
      </c>
      <c r="R346" s="48">
        <v>215</v>
      </c>
      <c r="S346" s="48" t="s">
        <v>35</v>
      </c>
      <c r="T346" s="48"/>
      <c r="U346" s="49"/>
      <c r="V346" s="49"/>
      <c r="W346" s="50">
        <f t="shared" si="47"/>
        <v>0</v>
      </c>
      <c r="X346" s="51" t="str">
        <f>IF(A346="", "", IF(COUNTIFS(C$3:C345, C346, D$3:D345, D346, G$3:G345, G346) &gt; 0, "", "11:00"-AW346))</f>
        <v/>
      </c>
      <c r="Y346" s="52" t="str">
        <f t="shared" si="53"/>
        <v/>
      </c>
      <c r="Z346" s="53"/>
      <c r="AA346" s="54"/>
      <c r="AB346" s="53"/>
      <c r="AC346" s="54"/>
      <c r="AD346" s="53"/>
      <c r="AE346" s="54"/>
      <c r="AF346" s="53"/>
      <c r="AG346" s="54"/>
      <c r="AH346" s="55">
        <v>4.1666666666666699E-2</v>
      </c>
      <c r="AI346" s="53"/>
      <c r="AJ346" s="54"/>
      <c r="AK346" s="53"/>
      <c r="AL346" s="54"/>
      <c r="AM346" s="53"/>
      <c r="AN346" s="54"/>
      <c r="AO346" s="53"/>
      <c r="AP346" s="54"/>
      <c r="AQ346" s="53"/>
      <c r="AR346" s="54"/>
      <c r="AS346" s="53"/>
      <c r="AT346" s="54"/>
      <c r="AU346" s="53">
        <v>4.1666666666666699E-2</v>
      </c>
      <c r="AV346" s="54" t="s">
        <v>37</v>
      </c>
      <c r="AW346" s="57">
        <f t="shared" si="50"/>
        <v>4.1666666666666699E-2</v>
      </c>
      <c r="AX346" s="58" t="s">
        <v>109</v>
      </c>
    </row>
    <row r="347" spans="1:50" ht="28.5">
      <c r="A347" s="38" t="s">
        <v>328</v>
      </c>
      <c r="B347" s="39">
        <f t="shared" si="54"/>
        <v>343</v>
      </c>
      <c r="C347" s="40">
        <v>46034</v>
      </c>
      <c r="D347" s="40" t="s">
        <v>80</v>
      </c>
      <c r="E347" s="40" t="s">
        <v>33</v>
      </c>
      <c r="F347" s="41">
        <v>407.7</v>
      </c>
      <c r="G347" s="42" t="s">
        <v>46</v>
      </c>
      <c r="H347" s="43" t="str">
        <f>IFERROR(VLOOKUP($J347,'[9]FROM (3)'!$E$4:$F$230,2,FALSE),"")</f>
        <v>SIAM NSK</v>
      </c>
      <c r="I347" s="44" t="str">
        <f t="shared" si="51"/>
        <v>Shaft T Sensor</v>
      </c>
      <c r="J347" s="44" t="str">
        <f t="shared" si="52"/>
        <v>2590S0328P</v>
      </c>
      <c r="K347" s="59" t="str">
        <f t="shared" si="48"/>
        <v>PD26010298</v>
      </c>
      <c r="L347" s="46" t="str" cm="1">
        <f t="array" ref="L347">IFERROR(_xlfn.IFS(
    LEN($A347)-LEN(SUBSTITUTE($A347,"|",""))=12, RIGHT(A347, LEN(A347)-FIND("~", SUBSTITUTE(A347,"|","~", LEN(A347)-LEN(SUBSTITUTE(A347,"|",""))))),
    LEN($A347)-LEN(SUBSTITUTE($A347,"|",""))=13, MID($A347, FIND("~", SUBSTITUTE($A347,"|","~", 11))+1, FIND("~", SUBSTITUTE($A347,"|","~", 12))-FIND("~", SUBSTITUTE($A347,"|","~", 11))-1),
    LEN($A347)-LEN(SUBSTITUTE($A347,"|",""))=14, MID($A347, FIND("~", SUBSTITUTE($A347,"|","~", 11))+1, FIND("~", SUBSTITUTE($A347,"|","~", 12))-FIND("~", SUBSTITUTE($A347,"|","~", 11))-1)
), "")</f>
        <v>E484056</v>
      </c>
      <c r="M347" s="47" t="str">
        <f t="shared" si="46"/>
        <v>SB010020/2/26</v>
      </c>
      <c r="N347" s="46" t="str">
        <f t="shared" si="49"/>
        <v/>
      </c>
      <c r="O347" s="60" t="s">
        <v>35</v>
      </c>
      <c r="P347" s="60" t="s">
        <v>35</v>
      </c>
      <c r="Q347" s="48">
        <v>1570</v>
      </c>
      <c r="R347" s="48">
        <v>640</v>
      </c>
      <c r="S347" s="48" t="s">
        <v>35</v>
      </c>
      <c r="T347" s="48"/>
      <c r="U347" s="49"/>
      <c r="V347" s="49"/>
      <c r="W347" s="50">
        <f t="shared" si="47"/>
        <v>0</v>
      </c>
      <c r="X347" s="51">
        <f>IF(A347="", "", IF(COUNTIFS(C$3:C346, C347, D$3:D346, D347, G$3:G346, G347) &gt; 0, "", "11:00"-AW347))</f>
        <v>0.41666666666666663</v>
      </c>
      <c r="Y347" s="52" t="str">
        <f t="shared" si="53"/>
        <v>1:40</v>
      </c>
      <c r="Z347" s="53"/>
      <c r="AA347" s="54"/>
      <c r="AB347" s="53"/>
      <c r="AC347" s="54"/>
      <c r="AD347" s="53"/>
      <c r="AE347" s="54"/>
      <c r="AF347" s="53"/>
      <c r="AG347" s="54"/>
      <c r="AH347" s="55">
        <v>4.1666666666666699E-2</v>
      </c>
      <c r="AI347" s="53"/>
      <c r="AJ347" s="54"/>
      <c r="AK347" s="53"/>
      <c r="AL347" s="54"/>
      <c r="AM347" s="53"/>
      <c r="AN347" s="54"/>
      <c r="AO347" s="53"/>
      <c r="AP347" s="54"/>
      <c r="AQ347" s="53"/>
      <c r="AR347" s="54"/>
      <c r="AS347" s="53"/>
      <c r="AT347" s="54"/>
      <c r="AU347" s="53">
        <v>4.1666666666666699E-2</v>
      </c>
      <c r="AV347" s="54" t="s">
        <v>37</v>
      </c>
      <c r="AW347" s="57">
        <f t="shared" si="50"/>
        <v>4.1666666666666699E-2</v>
      </c>
      <c r="AX347" s="58" t="s">
        <v>109</v>
      </c>
    </row>
    <row r="348" spans="1:50" ht="28.5">
      <c r="A348" s="38" t="s">
        <v>359</v>
      </c>
      <c r="B348" s="39">
        <f t="shared" si="54"/>
        <v>344</v>
      </c>
      <c r="C348" s="40">
        <v>46034</v>
      </c>
      <c r="D348" s="40" t="s">
        <v>80</v>
      </c>
      <c r="E348" s="40" t="s">
        <v>33</v>
      </c>
      <c r="F348" s="41">
        <v>407.7</v>
      </c>
      <c r="G348" s="42" t="s">
        <v>46</v>
      </c>
      <c r="H348" s="43" t="str">
        <f>IFERROR(VLOOKUP($J348,'[9]FROM (3)'!$E$4:$F$230,2,FALSE),"")</f>
        <v>SIAM NSK</v>
      </c>
      <c r="I348" s="44" t="str">
        <f t="shared" si="51"/>
        <v>Shaft T Sensor</v>
      </c>
      <c r="J348" s="44" t="str">
        <f t="shared" si="52"/>
        <v>2590S0328P</v>
      </c>
      <c r="K348" s="59" t="str">
        <f t="shared" si="48"/>
        <v>PD26010298</v>
      </c>
      <c r="L348" s="46" t="str" cm="1">
        <f t="array" ref="L348">IFERROR(_xlfn.IFS(
    LEN($A348)-LEN(SUBSTITUTE($A348,"|",""))=12, RIGHT(A348, LEN(A348)-FIND("~", SUBSTITUTE(A348,"|","~", LEN(A348)-LEN(SUBSTITUTE(A348,"|",""))))),
    LEN($A348)-LEN(SUBSTITUTE($A348,"|",""))=13, MID($A348, FIND("~", SUBSTITUTE($A348,"|","~", 11))+1, FIND("~", SUBSTITUTE($A348,"|","~", 12))-FIND("~", SUBSTITUTE($A348,"|","~", 11))-1),
    LEN($A348)-LEN(SUBSTITUTE($A348,"|",""))=14, MID($A348, FIND("~", SUBSTITUTE($A348,"|","~", 11))+1, FIND("~", SUBSTITUTE($A348,"|","~", 12))-FIND("~", SUBSTITUTE($A348,"|","~", 11))-1)
), "")</f>
        <v>E484056</v>
      </c>
      <c r="M348" s="47" t="str">
        <f t="shared" si="46"/>
        <v>SB010020/1/26</v>
      </c>
      <c r="N348" s="46" t="str">
        <f t="shared" si="49"/>
        <v/>
      </c>
      <c r="O348" s="60">
        <v>42</v>
      </c>
      <c r="P348" s="60">
        <v>1013</v>
      </c>
      <c r="Q348" s="48">
        <v>2402</v>
      </c>
      <c r="R348" s="48">
        <v>979</v>
      </c>
      <c r="S348" s="48" t="s">
        <v>35</v>
      </c>
      <c r="T348" s="48"/>
      <c r="U348" s="49">
        <v>61</v>
      </c>
      <c r="V348" s="49">
        <v>39</v>
      </c>
      <c r="W348" s="50">
        <f t="shared" si="47"/>
        <v>100</v>
      </c>
      <c r="X348" s="51" t="str">
        <f>IF(A348="", "", IF(COUNTIFS(C$3:C347, C348, D$3:D347, D348, G$3:G347, G348) &gt; 0, "", "11:00"-AW348))</f>
        <v/>
      </c>
      <c r="Y348" s="52" t="str">
        <f t="shared" si="53"/>
        <v/>
      </c>
      <c r="Z348" s="53"/>
      <c r="AA348" s="54"/>
      <c r="AB348" s="53"/>
      <c r="AC348" s="54"/>
      <c r="AD348" s="53"/>
      <c r="AE348" s="54"/>
      <c r="AF348" s="53"/>
      <c r="AG348" s="54"/>
      <c r="AH348" s="55">
        <v>4.1666666666666699E-2</v>
      </c>
      <c r="AI348" s="53"/>
      <c r="AJ348" s="54"/>
      <c r="AK348" s="53"/>
      <c r="AL348" s="54"/>
      <c r="AM348" s="53"/>
      <c r="AN348" s="54"/>
      <c r="AO348" s="53"/>
      <c r="AP348" s="54"/>
      <c r="AQ348" s="53"/>
      <c r="AR348" s="54"/>
      <c r="AS348" s="53"/>
      <c r="AT348" s="54"/>
      <c r="AU348" s="53">
        <v>4.1666666666666699E-2</v>
      </c>
      <c r="AV348" s="54" t="s">
        <v>37</v>
      </c>
      <c r="AW348" s="57">
        <f t="shared" si="50"/>
        <v>4.1666666666666699E-2</v>
      </c>
      <c r="AX348" s="58" t="s">
        <v>109</v>
      </c>
    </row>
    <row r="349" spans="1:50" ht="28.5">
      <c r="A349" s="38" t="s">
        <v>308</v>
      </c>
      <c r="B349" s="39">
        <f t="shared" si="54"/>
        <v>345</v>
      </c>
      <c r="C349" s="40">
        <v>46034</v>
      </c>
      <c r="D349" s="40" t="s">
        <v>80</v>
      </c>
      <c r="E349" s="40" t="s">
        <v>33</v>
      </c>
      <c r="F349" s="41">
        <v>69.5</v>
      </c>
      <c r="G349" s="42" t="s">
        <v>135</v>
      </c>
      <c r="H349" s="43" t="str">
        <f>IFERROR(VLOOKUP($J349,'[9]FROM (3)'!$E$4:$F$230,2,FALSE),"")</f>
        <v>DNTH</v>
      </c>
      <c r="I349" s="44" t="str">
        <f t="shared" si="51"/>
        <v>Pole Core</v>
      </c>
      <c r="J349" s="44" t="str">
        <f t="shared" si="52"/>
        <v>TG028152-5180</v>
      </c>
      <c r="K349" s="59" t="str">
        <f t="shared" si="48"/>
        <v>PD26010256</v>
      </c>
      <c r="L349" s="46" t="str" cm="1">
        <f t="array" ref="L349">IFERROR(_xlfn.IFS(
    LEN($A349)-LEN(SUBSTITUTE($A349,"|",""))=12, RIGHT(A349, LEN(A349)-FIND("~", SUBSTITUTE(A349,"|","~", LEN(A349)-LEN(SUBSTITUTE(A349,"|",""))))),
    LEN($A349)-LEN(SUBSTITUTE($A349,"|",""))=13, MID($A349, FIND("~", SUBSTITUTE($A349,"|","~", 11))+1, FIND("~", SUBSTITUTE($A349,"|","~", 12))-FIND("~", SUBSTITUTE($A349,"|","~", 11))-1),
    LEN($A349)-LEN(SUBSTITUTE($A349,"|",""))=14, MID($A349, FIND("~", SUBSTITUTE($A349,"|","~", 11))+1, FIND("~", SUBSTITUTE($A349,"|","~", 12))-FIND("~", SUBSTITUTE($A349,"|","~", 11))-1)
), "")</f>
        <v>KS005C9016</v>
      </c>
      <c r="M349" s="47" t="str">
        <f t="shared" si="46"/>
        <v>SB010017/2/26</v>
      </c>
      <c r="N349" s="46" t="str">
        <f t="shared" si="49"/>
        <v/>
      </c>
      <c r="O349" s="60"/>
      <c r="P349" s="60"/>
      <c r="Q349" s="48">
        <v>2825</v>
      </c>
      <c r="R349" s="48">
        <v>196</v>
      </c>
      <c r="S349" s="48"/>
      <c r="T349" s="48"/>
      <c r="U349" s="49"/>
      <c r="V349" s="49"/>
      <c r="W349" s="50">
        <f t="shared" si="47"/>
        <v>0</v>
      </c>
      <c r="X349" s="51">
        <f>IF(A349="", "", IF(COUNTIFS(C$3:C348, C349, D$3:D348, D349, G$3:G348, G349) &gt; 0, "", "11:00"-AW349))</f>
        <v>0.41666666666666663</v>
      </c>
      <c r="Y349" s="52" t="str">
        <f t="shared" si="53"/>
        <v>1:40</v>
      </c>
      <c r="Z349" s="53"/>
      <c r="AA349" s="54"/>
      <c r="AB349" s="53"/>
      <c r="AC349" s="54"/>
      <c r="AD349" s="53"/>
      <c r="AE349" s="54"/>
      <c r="AF349" s="53"/>
      <c r="AG349" s="54"/>
      <c r="AH349" s="55">
        <v>4.1666666666666699E-2</v>
      </c>
      <c r="AI349" s="53"/>
      <c r="AJ349" s="54"/>
      <c r="AK349" s="53"/>
      <c r="AM349" s="53"/>
      <c r="AN349" s="54"/>
      <c r="AO349" s="53"/>
      <c r="AP349" s="54"/>
      <c r="AQ349" s="53"/>
      <c r="AR349" s="54"/>
      <c r="AS349" s="53"/>
      <c r="AT349" s="54"/>
      <c r="AU349" s="53">
        <v>4.1666666666666699E-2</v>
      </c>
      <c r="AV349" s="54" t="s">
        <v>37</v>
      </c>
      <c r="AW349" s="57">
        <f t="shared" si="50"/>
        <v>4.1666666666666699E-2</v>
      </c>
      <c r="AX349" s="58" t="s">
        <v>224</v>
      </c>
    </row>
    <row r="350" spans="1:50" ht="28.5">
      <c r="A350" s="38" t="s">
        <v>360</v>
      </c>
      <c r="B350" s="39">
        <f t="shared" si="54"/>
        <v>346</v>
      </c>
      <c r="C350" s="40">
        <v>46034</v>
      </c>
      <c r="D350" s="40" t="s">
        <v>80</v>
      </c>
      <c r="E350" s="40" t="s">
        <v>33</v>
      </c>
      <c r="F350" s="41">
        <v>69.5</v>
      </c>
      <c r="G350" s="42" t="s">
        <v>135</v>
      </c>
      <c r="H350" s="43" t="str">
        <f>IFERROR(VLOOKUP($J350,'[9]FROM (3)'!$E$4:$F$230,2,FALSE),"")</f>
        <v>DNTH</v>
      </c>
      <c r="I350" s="44" t="str">
        <f t="shared" si="51"/>
        <v>Pole Core</v>
      </c>
      <c r="J350" s="44" t="str">
        <f t="shared" si="52"/>
        <v>TG028152-5180</v>
      </c>
      <c r="K350" s="59" t="str">
        <f t="shared" si="48"/>
        <v>PD26010256</v>
      </c>
      <c r="L350" s="46" t="str" cm="1">
        <f t="array" ref="L350">IFERROR(_xlfn.IFS(
    LEN($A350)-LEN(SUBSTITUTE($A350,"|",""))=12, RIGHT(A350, LEN(A350)-FIND("~", SUBSTITUTE(A350,"|","~", LEN(A350)-LEN(SUBSTITUTE(A350,"|",""))))),
    LEN($A350)-LEN(SUBSTITUTE($A350,"|",""))=13, MID($A350, FIND("~", SUBSTITUTE($A350,"|","~", 11))+1, FIND("~", SUBSTITUTE($A350,"|","~", 12))-FIND("~", SUBSTITUTE($A350,"|","~", 11))-1),
    LEN($A350)-LEN(SUBSTITUTE($A350,"|",""))=14, MID($A350, FIND("~", SUBSTITUTE($A350,"|","~", 11))+1, FIND("~", SUBSTITUTE($A350,"|","~", 12))-FIND("~", SUBSTITUTE($A350,"|","~", 11))-1)
), "")</f>
        <v>KS005C9016</v>
      </c>
      <c r="M350" s="47" t="str">
        <f t="shared" si="46"/>
        <v>SB010017/1/26</v>
      </c>
      <c r="N350" s="46" t="str">
        <f t="shared" si="49"/>
        <v/>
      </c>
      <c r="O350" s="60">
        <v>132</v>
      </c>
      <c r="P350" s="60">
        <v>1024</v>
      </c>
      <c r="Q350" s="48">
        <v>14417</v>
      </c>
      <c r="R350" s="48">
        <v>1002</v>
      </c>
      <c r="S350" s="48"/>
      <c r="T350" s="48"/>
      <c r="U350" s="49"/>
      <c r="V350" s="49"/>
      <c r="W350" s="50">
        <f t="shared" si="47"/>
        <v>0</v>
      </c>
      <c r="X350" s="51" t="str">
        <f>IF(A350="", "", IF(COUNTIFS(C$3:C349, C350, D$3:D349, D350, G$3:G349, G350) &gt; 0, "", "11:00"-AW350))</f>
        <v/>
      </c>
      <c r="Y350" s="52" t="str">
        <f t="shared" si="53"/>
        <v/>
      </c>
      <c r="Z350" s="53"/>
      <c r="AA350" s="54"/>
      <c r="AB350" s="53"/>
      <c r="AC350" s="54"/>
      <c r="AD350" s="53"/>
      <c r="AE350" s="54"/>
      <c r="AF350" s="53"/>
      <c r="AG350" s="54"/>
      <c r="AH350" s="55">
        <v>4.1666666666666699E-2</v>
      </c>
      <c r="AI350" s="53"/>
      <c r="AJ350" s="54"/>
      <c r="AK350" s="53"/>
      <c r="AL350" s="54"/>
      <c r="AM350" s="53"/>
      <c r="AN350" s="54"/>
      <c r="AO350" s="53"/>
      <c r="AP350" s="54"/>
      <c r="AQ350" s="53"/>
      <c r="AR350" s="54"/>
      <c r="AS350" s="53"/>
      <c r="AT350" s="54"/>
      <c r="AU350" s="53">
        <v>4.1666666666666699E-2</v>
      </c>
      <c r="AV350" s="54" t="s">
        <v>37</v>
      </c>
      <c r="AW350" s="57">
        <f t="shared" si="50"/>
        <v>4.1666666666666699E-2</v>
      </c>
      <c r="AX350" s="58" t="s">
        <v>224</v>
      </c>
    </row>
    <row r="351" spans="1:50" ht="28.5">
      <c r="A351" s="38" t="s">
        <v>361</v>
      </c>
      <c r="B351" s="39">
        <f t="shared" si="54"/>
        <v>347</v>
      </c>
      <c r="C351" s="40">
        <v>46034</v>
      </c>
      <c r="D351" s="40" t="s">
        <v>80</v>
      </c>
      <c r="E351" s="40" t="s">
        <v>33</v>
      </c>
      <c r="F351" s="41">
        <v>69.5</v>
      </c>
      <c r="G351" s="42" t="s">
        <v>135</v>
      </c>
      <c r="H351" s="43" t="str">
        <f>IFERROR(VLOOKUP($J351,'[9]FROM (3)'!$E$4:$F$230,2,FALSE),"")</f>
        <v>DNTH</v>
      </c>
      <c r="I351" s="44" t="str">
        <f t="shared" si="51"/>
        <v>Pole Core</v>
      </c>
      <c r="J351" s="44" t="str">
        <f t="shared" si="52"/>
        <v>TG028152-5180</v>
      </c>
      <c r="K351" s="59" t="str">
        <f t="shared" si="48"/>
        <v>PD26010422</v>
      </c>
      <c r="L351" s="46" t="str" cm="1">
        <f t="array" ref="L351">IFERROR(_xlfn.IFS(
    LEN($A351)-LEN(SUBSTITUTE($A351,"|",""))=12, RIGHT(A351, LEN(A351)-FIND("~", SUBSTITUTE(A351,"|","~", LEN(A351)-LEN(SUBSTITUTE(A351,"|",""))))),
    LEN($A351)-LEN(SUBSTITUTE($A351,"|",""))=13, MID($A351, FIND("~", SUBSTITUTE($A351,"|","~", 11))+1, FIND("~", SUBSTITUTE($A351,"|","~", 12))-FIND("~", SUBSTITUTE($A351,"|","~", 11))-1),
    LEN($A351)-LEN(SUBSTITUTE($A351,"|",""))=14, MID($A351, FIND("~", SUBSTITUTE($A351,"|","~", 11))+1, FIND("~", SUBSTITUTE($A351,"|","~", 12))-FIND("~", SUBSTITUTE($A351,"|","~", 11))-1)
), "")</f>
        <v>KS005C9016</v>
      </c>
      <c r="M351" s="47" t="str">
        <f t="shared" si="46"/>
        <v>SB010017/4/26</v>
      </c>
      <c r="N351" s="46" t="str">
        <f t="shared" si="49"/>
        <v/>
      </c>
      <c r="O351" s="60">
        <v>131</v>
      </c>
      <c r="P351" s="60">
        <v>1016</v>
      </c>
      <c r="Q351" s="48">
        <v>513</v>
      </c>
      <c r="R351" s="48">
        <v>36</v>
      </c>
      <c r="S351" s="48"/>
      <c r="T351" s="48"/>
      <c r="U351" s="49"/>
      <c r="V351" s="49"/>
      <c r="W351" s="50">
        <f t="shared" si="47"/>
        <v>0</v>
      </c>
      <c r="X351" s="51" t="str">
        <f>IF(A351="", "", IF(COUNTIFS(C$3:C350, C351, D$3:D350, D351, G$3:G350, G351) &gt; 0, "", "11:00"-AW351))</f>
        <v/>
      </c>
      <c r="Y351" s="52" t="str">
        <f t="shared" si="53"/>
        <v/>
      </c>
      <c r="Z351" s="53"/>
      <c r="AA351" s="54"/>
      <c r="AB351" s="53"/>
      <c r="AC351" s="54"/>
      <c r="AD351" s="53"/>
      <c r="AE351" s="54"/>
      <c r="AF351" s="53"/>
      <c r="AG351" s="54"/>
      <c r="AH351" s="55">
        <v>4.1666666666666699E-2</v>
      </c>
      <c r="AI351" s="53"/>
      <c r="AJ351" s="54"/>
      <c r="AK351" s="53"/>
      <c r="AL351" s="54"/>
      <c r="AM351" s="53"/>
      <c r="AN351" s="54"/>
      <c r="AO351" s="53"/>
      <c r="AP351" s="54"/>
      <c r="AQ351" s="53"/>
      <c r="AR351" s="54"/>
      <c r="AS351" s="53"/>
      <c r="AT351" s="54"/>
      <c r="AU351" s="53">
        <v>4.1666666666666699E-2</v>
      </c>
      <c r="AV351" s="54" t="s">
        <v>37</v>
      </c>
      <c r="AW351" s="57">
        <f t="shared" si="50"/>
        <v>4.1666666666666699E-2</v>
      </c>
      <c r="AX351" s="58" t="s">
        <v>224</v>
      </c>
    </row>
    <row r="352" spans="1:50" ht="28.5">
      <c r="A352" s="38" t="s">
        <v>362</v>
      </c>
      <c r="B352" s="39">
        <f t="shared" si="54"/>
        <v>348</v>
      </c>
      <c r="C352" s="40">
        <v>46034</v>
      </c>
      <c r="D352" s="40" t="s">
        <v>80</v>
      </c>
      <c r="E352" s="40" t="s">
        <v>33</v>
      </c>
      <c r="F352" s="41">
        <v>765.8</v>
      </c>
      <c r="G352" s="42" t="s">
        <v>192</v>
      </c>
      <c r="H352" s="43" t="str">
        <f>IFERROR(VLOOKUP($J352,'[9]FROM (3)'!$E$4:$F$230,2,FALSE),"")</f>
        <v>JATH</v>
      </c>
      <c r="I352" s="44" t="str">
        <f t="shared" si="51"/>
        <v>JGF02-002190-31-2</v>
      </c>
      <c r="J352" s="44" t="str">
        <f t="shared" si="52"/>
        <v>RACK BAR BLANK (JGF02-002190-31-2) 5K45</v>
      </c>
      <c r="K352" s="59" t="str">
        <f t="shared" si="48"/>
        <v>PD25120708</v>
      </c>
      <c r="L352" s="46" t="str" cm="1">
        <f t="array" ref="L352">IFERROR(_xlfn.IFS(
    LEN($A352)-LEN(SUBSTITUTE($A352,"|",""))=12, RIGHT(A352, LEN(A352)-FIND("~", SUBSTITUTE(A352,"|","~", LEN(A352)-LEN(SUBSTITUTE(A352,"|",""))))),
    LEN($A352)-LEN(SUBSTITUTE($A352,"|",""))=13, MID($A352, FIND("~", SUBSTITUTE($A352,"|","~", 11))+1, FIND("~", SUBSTITUTE($A352,"|","~", 12))-FIND("~", SUBSTITUTE($A352,"|","~", 11))-1),
    LEN($A352)-LEN(SUBSTITUTE($A352,"|",""))=14, MID($A352, FIND("~", SUBSTITUTE($A352,"|","~", 11))+1, FIND("~", SUBSTITUTE($A352,"|","~", 12))-FIND("~", SUBSTITUTE($A352,"|","~", 11))-1)
), "")</f>
        <v>5C1880</v>
      </c>
      <c r="M352" s="47" t="str">
        <f t="shared" si="46"/>
        <v>TSK2</v>
      </c>
      <c r="N352" s="46" t="str">
        <f t="shared" si="49"/>
        <v>FB120218/21/25</v>
      </c>
      <c r="O352" s="60">
        <v>48</v>
      </c>
      <c r="P352" s="60">
        <v>232</v>
      </c>
      <c r="Q352" s="48">
        <v>48</v>
      </c>
      <c r="R352" s="48">
        <v>232</v>
      </c>
      <c r="S352" s="48"/>
      <c r="T352" s="48"/>
      <c r="U352" s="49"/>
      <c r="V352" s="49"/>
      <c r="W352" s="50">
        <f t="shared" si="47"/>
        <v>0</v>
      </c>
      <c r="X352" s="51">
        <f>IF(A352="", "", IF(COUNTIFS(C$3:C351, C352, D$3:D351, D352, G$3:G351, G352) &gt; 0, "", "11:00"-AW352))</f>
        <v>0.24999999999999994</v>
      </c>
      <c r="Y352" s="52" t="str">
        <f t="shared" si="53"/>
        <v>1:40</v>
      </c>
      <c r="Z352" s="53">
        <v>4.1666666666666664E-2</v>
      </c>
      <c r="AA352" s="54" t="s">
        <v>90</v>
      </c>
      <c r="AB352" s="53">
        <v>4.1666666666666664E-2</v>
      </c>
      <c r="AC352" s="54" t="s">
        <v>90</v>
      </c>
      <c r="AD352" s="53">
        <v>4.1666666666666664E-2</v>
      </c>
      <c r="AE352" s="54" t="s">
        <v>90</v>
      </c>
      <c r="AF352" s="53">
        <v>4.1666666666666664E-2</v>
      </c>
      <c r="AG352" s="54" t="s">
        <v>90</v>
      </c>
      <c r="AH352" s="55">
        <v>4.1666666666666699E-2</v>
      </c>
      <c r="AI352" s="53"/>
      <c r="AJ352" s="54"/>
      <c r="AK352" s="53"/>
      <c r="AL352" s="54"/>
      <c r="AM352" s="53"/>
      <c r="AN352" s="54"/>
      <c r="AO352" s="53"/>
      <c r="AP352" s="54"/>
      <c r="AQ352" s="53"/>
      <c r="AR352" s="54"/>
      <c r="AS352" s="53"/>
      <c r="AT352" s="54"/>
      <c r="AU352" s="53">
        <v>4.1666666666666699E-2</v>
      </c>
      <c r="AV352" s="54" t="s">
        <v>37</v>
      </c>
      <c r="AW352" s="57">
        <f t="shared" si="50"/>
        <v>0.20833333333333337</v>
      </c>
      <c r="AX352" s="58" t="s">
        <v>113</v>
      </c>
    </row>
    <row r="353" spans="1:50" ht="21" customHeight="1">
      <c r="A353" s="38" t="s">
        <v>363</v>
      </c>
      <c r="B353" s="39">
        <f t="shared" si="54"/>
        <v>349</v>
      </c>
      <c r="C353" s="40">
        <v>46034</v>
      </c>
      <c r="D353" s="40" t="s">
        <v>80</v>
      </c>
      <c r="E353" s="40" t="s">
        <v>33</v>
      </c>
      <c r="F353" s="41">
        <v>765.8</v>
      </c>
      <c r="G353" s="42" t="s">
        <v>192</v>
      </c>
      <c r="H353" s="43" t="str">
        <f>IFERROR(VLOOKUP($J353,'[9]FROM (3)'!$E$4:$F$230,2,FALSE),"")</f>
        <v>JATH</v>
      </c>
      <c r="I353" s="44" t="str">
        <f t="shared" si="51"/>
        <v>JGF02-002190-31-2</v>
      </c>
      <c r="J353" s="44" t="str">
        <f t="shared" si="52"/>
        <v>RACK BAR BLANK (JGF02-002190-31-2) 5K45</v>
      </c>
      <c r="K353" s="59" t="str">
        <f t="shared" si="48"/>
        <v>PD25121210</v>
      </c>
      <c r="L353" s="46" t="str" cm="1">
        <f t="array" ref="L353">IFERROR(_xlfn.IFS(
    LEN($A353)-LEN(SUBSTITUTE($A353,"|",""))=12, RIGHT(A353, LEN(A353)-FIND("~", SUBSTITUTE(A353,"|","~", LEN(A353)-LEN(SUBSTITUTE(A353,"|",""))))),
    LEN($A353)-LEN(SUBSTITUTE($A353,"|",""))=13, MID($A353, FIND("~", SUBSTITUTE($A353,"|","~", 11))+1, FIND("~", SUBSTITUTE($A353,"|","~", 12))-FIND("~", SUBSTITUTE($A353,"|","~", 11))-1),
    LEN($A353)-LEN(SUBSTITUTE($A353,"|",""))=14, MID($A353, FIND("~", SUBSTITUTE($A353,"|","~", 11))+1, FIND("~", SUBSTITUTE($A353,"|","~", 12))-FIND("~", SUBSTITUTE($A353,"|","~", 11))-1)
), "")</f>
        <v>5A5658</v>
      </c>
      <c r="M353" s="47" t="str">
        <f t="shared" si="46"/>
        <v>TSK2</v>
      </c>
      <c r="N353" s="46" t="str">
        <f t="shared" si="49"/>
        <v>FB120343/9/25</v>
      </c>
      <c r="O353" s="60">
        <v>58</v>
      </c>
      <c r="P353" s="60">
        <v>280</v>
      </c>
      <c r="Q353" s="48">
        <v>58</v>
      </c>
      <c r="R353" s="48">
        <v>280</v>
      </c>
      <c r="S353" s="48"/>
      <c r="T353" s="48"/>
      <c r="U353" s="49"/>
      <c r="V353" s="49"/>
      <c r="W353" s="50">
        <f t="shared" si="47"/>
        <v>0</v>
      </c>
      <c r="X353" s="51" t="str">
        <f>IF(A353="", "", IF(COUNTIFS(C$3:C352, C353, D$3:D352, D353, G$3:G352, G353) &gt; 0, "", "11:00"-AW353))</f>
        <v/>
      </c>
      <c r="Y353" s="52" t="str">
        <f t="shared" si="53"/>
        <v/>
      </c>
      <c r="Z353" s="53"/>
      <c r="AA353" s="54"/>
      <c r="AB353" s="53"/>
      <c r="AC353" s="54"/>
      <c r="AD353" s="53"/>
      <c r="AE353" s="54"/>
      <c r="AF353" s="53"/>
      <c r="AG353" s="54"/>
      <c r="AH353" s="55">
        <v>4.1666666666666699E-2</v>
      </c>
      <c r="AI353" s="53"/>
      <c r="AJ353" s="54"/>
      <c r="AK353" s="53"/>
      <c r="AL353" s="54"/>
      <c r="AM353" s="53"/>
      <c r="AN353" s="54"/>
      <c r="AO353" s="53"/>
      <c r="AP353" s="54"/>
      <c r="AQ353" s="53"/>
      <c r="AR353" s="54"/>
      <c r="AS353" s="53"/>
      <c r="AT353" s="54"/>
      <c r="AU353" s="53">
        <v>4.1666666666666699E-2</v>
      </c>
      <c r="AV353" s="54" t="s">
        <v>37</v>
      </c>
      <c r="AW353" s="57">
        <f t="shared" si="50"/>
        <v>4.1666666666666699E-2</v>
      </c>
      <c r="AX353" s="58" t="s">
        <v>113</v>
      </c>
    </row>
    <row r="354" spans="1:50" ht="21" customHeight="1">
      <c r="A354" s="38" t="s">
        <v>364</v>
      </c>
      <c r="B354" s="39">
        <f t="shared" si="54"/>
        <v>350</v>
      </c>
      <c r="C354" s="40">
        <v>46034</v>
      </c>
      <c r="D354" s="40" t="s">
        <v>80</v>
      </c>
      <c r="E354" s="40" t="s">
        <v>33</v>
      </c>
      <c r="F354" s="41">
        <v>765.8</v>
      </c>
      <c r="G354" s="42" t="s">
        <v>192</v>
      </c>
      <c r="H354" s="43" t="str">
        <f>IFERROR(VLOOKUP($J354,'[9]FROM (3)'!$E$4:$F$230,2,FALSE),"")</f>
        <v>JATH</v>
      </c>
      <c r="I354" s="44" t="str">
        <f t="shared" si="51"/>
        <v>JGF02-002190-31-2</v>
      </c>
      <c r="J354" s="44" t="str">
        <f t="shared" si="52"/>
        <v>RACK BAR BLANK (JGF02-002190-31-2) 5K45</v>
      </c>
      <c r="K354" s="59" t="str">
        <f t="shared" si="48"/>
        <v>PD25121210</v>
      </c>
      <c r="L354" s="46" t="str" cm="1">
        <f t="array" ref="L354">IFERROR(_xlfn.IFS(
    LEN($A354)-LEN(SUBSTITUTE($A354,"|",""))=12, RIGHT(A354, LEN(A354)-FIND("~", SUBSTITUTE(A354,"|","~", LEN(A354)-LEN(SUBSTITUTE(A354,"|",""))))),
    LEN($A354)-LEN(SUBSTITUTE($A354,"|",""))=13, MID($A354, FIND("~", SUBSTITUTE($A354,"|","~", 11))+1, FIND("~", SUBSTITUTE($A354,"|","~", 12))-FIND("~", SUBSTITUTE($A354,"|","~", 11))-1),
    LEN($A354)-LEN(SUBSTITUTE($A354,"|",""))=14, MID($A354, FIND("~", SUBSTITUTE($A354,"|","~", 11))+1, FIND("~", SUBSTITUTE($A354,"|","~", 12))-FIND("~", SUBSTITUTE($A354,"|","~", 11))-1)
), "")</f>
        <v>5A5658</v>
      </c>
      <c r="M354" s="47" t="str">
        <f t="shared" si="46"/>
        <v>TSK2</v>
      </c>
      <c r="N354" s="46" t="str">
        <f t="shared" si="49"/>
        <v>FB120343/8/25</v>
      </c>
      <c r="O354" s="60">
        <v>58</v>
      </c>
      <c r="P354" s="60">
        <v>280</v>
      </c>
      <c r="Q354" s="48">
        <v>58</v>
      </c>
      <c r="R354" s="48">
        <v>280</v>
      </c>
      <c r="S354" s="48"/>
      <c r="T354" s="48"/>
      <c r="U354" s="49"/>
      <c r="V354" s="49"/>
      <c r="W354" s="50">
        <f t="shared" si="47"/>
        <v>0</v>
      </c>
      <c r="X354" s="51" t="str">
        <f>IF(A354="", "", IF(COUNTIFS(C$3:C353, C354, D$3:D353, D354, G$3:G353, G354) &gt; 0, "", "11:00"-AW354))</f>
        <v/>
      </c>
      <c r="Y354" s="52" t="str">
        <f t="shared" si="53"/>
        <v/>
      </c>
      <c r="Z354" s="53"/>
      <c r="AA354" s="54"/>
      <c r="AB354" s="53"/>
      <c r="AC354" s="54"/>
      <c r="AD354" s="53"/>
      <c r="AE354" s="54"/>
      <c r="AF354" s="53"/>
      <c r="AG354" s="54"/>
      <c r="AH354" s="55">
        <v>4.1666666666666699E-2</v>
      </c>
      <c r="AI354" s="53"/>
      <c r="AJ354" s="54"/>
      <c r="AK354" s="53"/>
      <c r="AL354" s="54"/>
      <c r="AM354" s="53"/>
      <c r="AN354" s="54"/>
      <c r="AO354" s="53"/>
      <c r="AP354" s="54"/>
      <c r="AQ354" s="53"/>
      <c r="AR354" s="54"/>
      <c r="AS354" s="53"/>
      <c r="AT354" s="54"/>
      <c r="AU354" s="53">
        <v>4.1666666666666699E-2</v>
      </c>
      <c r="AV354" s="54" t="s">
        <v>37</v>
      </c>
      <c r="AW354" s="57">
        <f t="shared" si="50"/>
        <v>4.1666666666666699E-2</v>
      </c>
      <c r="AX354" s="58" t="s">
        <v>113</v>
      </c>
    </row>
    <row r="355" spans="1:50" ht="21" customHeight="1">
      <c r="A355" s="38" t="s">
        <v>365</v>
      </c>
      <c r="B355" s="39">
        <f t="shared" si="54"/>
        <v>351</v>
      </c>
      <c r="C355" s="40">
        <v>46034</v>
      </c>
      <c r="D355" s="40" t="s">
        <v>80</v>
      </c>
      <c r="E355" s="40" t="s">
        <v>33</v>
      </c>
      <c r="F355" s="41">
        <v>765.8</v>
      </c>
      <c r="G355" s="42" t="s">
        <v>192</v>
      </c>
      <c r="H355" s="43" t="str">
        <f>IFERROR(VLOOKUP($J355,'[9]FROM (3)'!$E$4:$F$230,2,FALSE),"")</f>
        <v>JATH</v>
      </c>
      <c r="I355" s="44" t="str">
        <f t="shared" si="51"/>
        <v>JGF02-002190-31-2</v>
      </c>
      <c r="J355" s="44" t="str">
        <f t="shared" si="52"/>
        <v>RACK BAR BLANK (JGF02-002190-31-2) 5K45</v>
      </c>
      <c r="K355" s="59" t="str">
        <f t="shared" si="48"/>
        <v>PD25121210</v>
      </c>
      <c r="L355" s="46" t="str" cm="1">
        <f t="array" ref="L355">IFERROR(_xlfn.IFS(
    LEN($A355)-LEN(SUBSTITUTE($A355,"|",""))=12, RIGHT(A355, LEN(A355)-FIND("~", SUBSTITUTE(A355,"|","~", LEN(A355)-LEN(SUBSTITUTE(A355,"|",""))))),
    LEN($A355)-LEN(SUBSTITUTE($A355,"|",""))=13, MID($A355, FIND("~", SUBSTITUTE($A355,"|","~", 11))+1, FIND("~", SUBSTITUTE($A355,"|","~", 12))-FIND("~", SUBSTITUTE($A355,"|","~", 11))-1),
    LEN($A355)-LEN(SUBSTITUTE($A355,"|",""))=14, MID($A355, FIND("~", SUBSTITUTE($A355,"|","~", 11))+1, FIND("~", SUBSTITUTE($A355,"|","~", 12))-FIND("~", SUBSTITUTE($A355,"|","~", 11))-1)
), "")</f>
        <v>5A5658</v>
      </c>
      <c r="M355" s="47" t="str">
        <f t="shared" si="46"/>
        <v>TSK2</v>
      </c>
      <c r="N355" s="46" t="str">
        <f t="shared" si="49"/>
        <v>FB120343/11/25</v>
      </c>
      <c r="O355" s="60">
        <v>58</v>
      </c>
      <c r="P355" s="60">
        <v>280</v>
      </c>
      <c r="Q355" s="48">
        <v>58</v>
      </c>
      <c r="R355" s="48">
        <v>280</v>
      </c>
      <c r="S355" s="48"/>
      <c r="T355" s="48"/>
      <c r="U355" s="49"/>
      <c r="V355" s="49"/>
      <c r="W355" s="50">
        <f t="shared" si="47"/>
        <v>0</v>
      </c>
      <c r="X355" s="51" t="str">
        <f>IF(A355="", "", IF(COUNTIFS(C$3:C354, C355, D$3:D354, D355, G$3:G354, G355) &gt; 0, "", "11:00"-AW355))</f>
        <v/>
      </c>
      <c r="Y355" s="52" t="str">
        <f t="shared" si="53"/>
        <v/>
      </c>
      <c r="Z355" s="53"/>
      <c r="AA355" s="54"/>
      <c r="AB355" s="53"/>
      <c r="AC355" s="54"/>
      <c r="AD355" s="53"/>
      <c r="AE355" s="54"/>
      <c r="AF355" s="53"/>
      <c r="AG355" s="54"/>
      <c r="AH355" s="55">
        <v>4.1666666666666699E-2</v>
      </c>
      <c r="AI355" s="53"/>
      <c r="AJ355" s="54"/>
      <c r="AK355" s="53"/>
      <c r="AL355" s="54"/>
      <c r="AM355" s="53"/>
      <c r="AN355" s="54"/>
      <c r="AO355" s="53"/>
      <c r="AP355" s="54"/>
      <c r="AQ355" s="53"/>
      <c r="AR355" s="54"/>
      <c r="AS355" s="53"/>
      <c r="AT355" s="54"/>
      <c r="AU355" s="53">
        <v>4.1666666666666699E-2</v>
      </c>
      <c r="AV355" s="54" t="s">
        <v>37</v>
      </c>
      <c r="AW355" s="57">
        <f t="shared" si="50"/>
        <v>4.1666666666666699E-2</v>
      </c>
      <c r="AX355" s="58" t="s">
        <v>113</v>
      </c>
    </row>
    <row r="356" spans="1:50" ht="21" customHeight="1">
      <c r="A356" s="38" t="s">
        <v>342</v>
      </c>
      <c r="B356" s="39">
        <f t="shared" si="54"/>
        <v>352</v>
      </c>
      <c r="C356" s="40">
        <v>46034</v>
      </c>
      <c r="D356" s="40" t="s">
        <v>32</v>
      </c>
      <c r="E356" s="40" t="s">
        <v>33</v>
      </c>
      <c r="F356" s="41">
        <v>698.5</v>
      </c>
      <c r="G356" s="42" t="s">
        <v>54</v>
      </c>
      <c r="H356" s="43" t="str">
        <f>IFERROR(VLOOKUP($J356,'[9]FROM (3)'!$E$4:$F$230,2,FALSE),"")</f>
        <v>JTCS</v>
      </c>
      <c r="I356" s="44" t="str">
        <f t="shared" si="51"/>
        <v>Rack, MS</v>
      </c>
      <c r="J356" s="44" t="str">
        <f t="shared" si="52"/>
        <v>JGC10-003280-40-0</v>
      </c>
      <c r="K356" s="59" t="str">
        <f t="shared" si="48"/>
        <v>PD26010354</v>
      </c>
      <c r="L356" s="46" t="str" cm="1">
        <f t="array" ref="L356">IFERROR(_xlfn.IFS(
    LEN($A356)-LEN(SUBSTITUTE($A356,"|",""))=12, RIGHT(A356, LEN(A356)-FIND("~", SUBSTITUTE(A356,"|","~", LEN(A356)-LEN(SUBSTITUTE(A356,"|",""))))),
    LEN($A356)-LEN(SUBSTITUTE($A356,"|",""))=13, MID($A356, FIND("~", SUBSTITUTE($A356,"|","~", 11))+1, FIND("~", SUBSTITUTE($A356,"|","~", 12))-FIND("~", SUBSTITUTE($A356,"|","~", 11))-1),
    LEN($A356)-LEN(SUBSTITUTE($A356,"|",""))=14, MID($A356, FIND("~", SUBSTITUTE($A356,"|","~", 11))+1, FIND("~", SUBSTITUTE($A356,"|","~", 12))-FIND("~", SUBSTITUTE($A356,"|","~", 11))-1)
), "")</f>
        <v>E586613</v>
      </c>
      <c r="M356" s="47" t="str">
        <f t="shared" si="46"/>
        <v>SB010032/4/26</v>
      </c>
      <c r="N356" s="46" t="str">
        <f t="shared" si="49"/>
        <v/>
      </c>
      <c r="O356" s="60"/>
      <c r="P356" s="60"/>
      <c r="Q356" s="48">
        <v>349</v>
      </c>
      <c r="R356" s="48">
        <v>700</v>
      </c>
      <c r="S356" s="48">
        <v>2</v>
      </c>
      <c r="T356" s="48" t="s">
        <v>167</v>
      </c>
      <c r="U356" s="49">
        <v>280</v>
      </c>
      <c r="V356" s="49">
        <v>10</v>
      </c>
      <c r="W356" s="50">
        <f t="shared" si="47"/>
        <v>290</v>
      </c>
      <c r="X356" s="51">
        <f>IF(A356="", "", IF(COUNTIFS(C$3:C355, C356, D$3:D355, D356, G$3:G355, G356) &gt; 0, "", "11:00"-AW356))</f>
        <v>0.37499999999999994</v>
      </c>
      <c r="Y356" s="52" t="str">
        <f t="shared" si="53"/>
        <v>1:40</v>
      </c>
      <c r="Z356" s="53"/>
      <c r="AA356" s="54"/>
      <c r="AB356" s="53"/>
      <c r="AC356" s="54"/>
      <c r="AD356" s="53"/>
      <c r="AE356" s="54"/>
      <c r="AF356" s="53">
        <v>4.1666666666666664E-2</v>
      </c>
      <c r="AG356" s="54" t="s">
        <v>67</v>
      </c>
      <c r="AH356" s="55">
        <v>4.1666666666666699E-2</v>
      </c>
      <c r="AI356" s="53"/>
      <c r="AJ356" s="54"/>
      <c r="AK356" s="53"/>
      <c r="AL356" s="54"/>
      <c r="AM356" s="53"/>
      <c r="AN356" s="54"/>
      <c r="AO356" s="53"/>
      <c r="AP356" s="54"/>
      <c r="AQ356" s="53"/>
      <c r="AR356" s="54"/>
      <c r="AS356" s="53"/>
      <c r="AT356" s="54"/>
      <c r="AU356" s="53">
        <v>4.1666666666666699E-2</v>
      </c>
      <c r="AV356" s="54" t="s">
        <v>37</v>
      </c>
      <c r="AW356" s="57">
        <f t="shared" si="50"/>
        <v>8.333333333333337E-2</v>
      </c>
      <c r="AX356" s="58" t="s">
        <v>56</v>
      </c>
    </row>
    <row r="357" spans="1:50" ht="21" customHeight="1">
      <c r="A357" s="38" t="s">
        <v>366</v>
      </c>
      <c r="B357" s="39">
        <f t="shared" si="54"/>
        <v>353</v>
      </c>
      <c r="C357" s="40">
        <v>46034</v>
      </c>
      <c r="D357" s="40" t="s">
        <v>32</v>
      </c>
      <c r="E357" s="40" t="s">
        <v>33</v>
      </c>
      <c r="F357" s="41">
        <v>698.5</v>
      </c>
      <c r="G357" s="42" t="s">
        <v>54</v>
      </c>
      <c r="H357" s="43" t="str">
        <f>IFERROR(VLOOKUP($J357,'[9]FROM (3)'!$E$4:$F$230,2,FALSE),"")</f>
        <v>JCTTH</v>
      </c>
      <c r="I357" s="44" t="str">
        <f t="shared" si="51"/>
        <v>RACK BAR</v>
      </c>
      <c r="J357" s="44" t="str">
        <f t="shared" si="52"/>
        <v>JGD10-000751/000761-A</v>
      </c>
      <c r="K357" s="59" t="str">
        <f t="shared" si="48"/>
        <v>PD26010257</v>
      </c>
      <c r="L357" s="46" t="str" cm="1">
        <f t="array" ref="L357">IFERROR(_xlfn.IFS(
    LEN($A357)-LEN(SUBSTITUTE($A357,"|",""))=12, RIGHT(A357, LEN(A357)-FIND("~", SUBSTITUTE(A357,"|","~", LEN(A357)-LEN(SUBSTITUTE(A357,"|",""))))),
    LEN($A357)-LEN(SUBSTITUTE($A357,"|",""))=13, MID($A357, FIND("~", SUBSTITUTE($A357,"|","~", 11))+1, FIND("~", SUBSTITUTE($A357,"|","~", 12))-FIND("~", SUBSTITUTE($A357,"|","~", 11))-1),
    LEN($A357)-LEN(SUBSTITUTE($A357,"|",""))=14, MID($A357, FIND("~", SUBSTITUTE($A357,"|","~", 11))+1, FIND("~", SUBSTITUTE($A357,"|","~", 12))-FIND("~", SUBSTITUTE($A357,"|","~", 11))-1)
), "")</f>
        <v>665076</v>
      </c>
      <c r="M357" s="47" t="str">
        <f t="shared" si="46"/>
        <v>SB010010/1/26</v>
      </c>
      <c r="N357" s="46" t="str">
        <f t="shared" si="49"/>
        <v/>
      </c>
      <c r="O357" s="60">
        <v>51</v>
      </c>
      <c r="P357" s="60">
        <v>986</v>
      </c>
      <c r="Q357" s="48">
        <v>204</v>
      </c>
      <c r="R357" s="48">
        <v>913</v>
      </c>
      <c r="S357" s="48"/>
      <c r="T357" s="48"/>
      <c r="U357" s="49"/>
      <c r="V357" s="49"/>
      <c r="W357" s="50">
        <f t="shared" si="47"/>
        <v>0</v>
      </c>
      <c r="X357" s="51" t="str">
        <f>IF(A357="", "", IF(COUNTIFS(C$3:C356, C357, D$3:D356, D357, G$3:G356, G357) &gt; 0, "", "11:00"-AW357))</f>
        <v/>
      </c>
      <c r="Y357" s="52" t="str">
        <f t="shared" si="53"/>
        <v/>
      </c>
      <c r="Z357" s="53"/>
      <c r="AA357" s="54"/>
      <c r="AB357" s="53"/>
      <c r="AC357" s="54"/>
      <c r="AD357" s="53"/>
      <c r="AE357" s="54"/>
      <c r="AF357" s="53"/>
      <c r="AG357" s="54"/>
      <c r="AH357" s="55">
        <v>4.1666666666666699E-2</v>
      </c>
      <c r="AI357" s="53"/>
      <c r="AJ357" s="54"/>
      <c r="AK357" s="53"/>
      <c r="AL357" s="54"/>
      <c r="AM357" s="53"/>
      <c r="AN357" s="54"/>
      <c r="AO357" s="53"/>
      <c r="AP357" s="54"/>
      <c r="AQ357" s="53"/>
      <c r="AR357" s="54"/>
      <c r="AS357" s="53"/>
      <c r="AT357" s="54"/>
      <c r="AU357" s="53">
        <v>4.1666666666666699E-2</v>
      </c>
      <c r="AV357" s="54" t="s">
        <v>37</v>
      </c>
      <c r="AW357" s="57">
        <f t="shared" si="50"/>
        <v>4.1666666666666699E-2</v>
      </c>
      <c r="AX357" s="58" t="s">
        <v>56</v>
      </c>
    </row>
    <row r="358" spans="1:50" ht="21" customHeight="1">
      <c r="A358" s="38" t="s">
        <v>367</v>
      </c>
      <c r="B358" s="39">
        <f t="shared" si="54"/>
        <v>354</v>
      </c>
      <c r="C358" s="40">
        <v>46034</v>
      </c>
      <c r="D358" s="40" t="s">
        <v>32</v>
      </c>
      <c r="E358" s="40" t="s">
        <v>33</v>
      </c>
      <c r="F358" s="41">
        <v>698.5</v>
      </c>
      <c r="G358" s="42" t="s">
        <v>54</v>
      </c>
      <c r="H358" s="43" t="str">
        <f>IFERROR(VLOOKUP($J358,'[9]FROM (3)'!$E$4:$F$230,2,FALSE),"")</f>
        <v>JCTTH</v>
      </c>
      <c r="I358" s="44" t="str">
        <f t="shared" si="51"/>
        <v>RACK BAR</v>
      </c>
      <c r="J358" s="44" t="str">
        <f t="shared" si="52"/>
        <v>JGD10-000751/000761-A</v>
      </c>
      <c r="K358" s="59" t="str">
        <f t="shared" si="48"/>
        <v>PD26010257</v>
      </c>
      <c r="L358" s="46" t="str" cm="1">
        <f t="array" ref="L358">IFERROR(_xlfn.IFS(
    LEN($A358)-LEN(SUBSTITUTE($A358,"|",""))=12, RIGHT(A358, LEN(A358)-FIND("~", SUBSTITUTE(A358,"|","~", LEN(A358)-LEN(SUBSTITUTE(A358,"|",""))))),
    LEN($A358)-LEN(SUBSTITUTE($A358,"|",""))=13, MID($A358, FIND("~", SUBSTITUTE($A358,"|","~", 11))+1, FIND("~", SUBSTITUTE($A358,"|","~", 12))-FIND("~", SUBSTITUTE($A358,"|","~", 11))-1),
    LEN($A358)-LEN(SUBSTITUTE($A358,"|",""))=14, MID($A358, FIND("~", SUBSTITUTE($A358,"|","~", 11))+1, FIND("~", SUBSTITUTE($A358,"|","~", 12))-FIND("~", SUBSTITUTE($A358,"|","~", 11))-1)
), "")</f>
        <v>665076</v>
      </c>
      <c r="M358" s="47" t="str">
        <f t="shared" si="46"/>
        <v>SB010010/2/26</v>
      </c>
      <c r="N358" s="46" t="str">
        <f t="shared" si="49"/>
        <v/>
      </c>
      <c r="O358" s="60">
        <v>51</v>
      </c>
      <c r="P358" s="60">
        <v>986</v>
      </c>
      <c r="Q358" s="48">
        <v>204</v>
      </c>
      <c r="R358" s="48">
        <v>913</v>
      </c>
      <c r="S358" s="48"/>
      <c r="T358" s="48"/>
      <c r="U358" s="49"/>
      <c r="V358" s="49"/>
      <c r="W358" s="50">
        <f t="shared" si="47"/>
        <v>0</v>
      </c>
      <c r="X358" s="51" t="str">
        <f>IF(A358="", "", IF(COUNTIFS(C$3:C357, C358, D$3:D357, D358, G$3:G357, G358) &gt; 0, "", "11:00"-AW358))</f>
        <v/>
      </c>
      <c r="Y358" s="52" t="str">
        <f t="shared" si="53"/>
        <v/>
      </c>
      <c r="Z358" s="53"/>
      <c r="AA358" s="54"/>
      <c r="AB358" s="53"/>
      <c r="AC358" s="54"/>
      <c r="AD358" s="53"/>
      <c r="AE358" s="54"/>
      <c r="AF358" s="53"/>
      <c r="AG358" s="54"/>
      <c r="AH358" s="55">
        <v>4.1666666666666699E-2</v>
      </c>
      <c r="AI358" s="53"/>
      <c r="AJ358" s="54"/>
      <c r="AK358" s="53"/>
      <c r="AL358" s="54"/>
      <c r="AM358" s="53"/>
      <c r="AN358" s="54"/>
      <c r="AO358" s="53"/>
      <c r="AP358" s="54"/>
      <c r="AQ358" s="53"/>
      <c r="AR358" s="54"/>
      <c r="AS358" s="53"/>
      <c r="AT358" s="54"/>
      <c r="AU358" s="53">
        <v>4.1666666666666699E-2</v>
      </c>
      <c r="AV358" s="54" t="s">
        <v>37</v>
      </c>
      <c r="AW358" s="57">
        <f t="shared" si="50"/>
        <v>4.1666666666666699E-2</v>
      </c>
      <c r="AX358" s="58" t="s">
        <v>56</v>
      </c>
    </row>
    <row r="359" spans="1:50" ht="21" customHeight="1">
      <c r="A359" s="38" t="s">
        <v>368</v>
      </c>
      <c r="B359" s="39">
        <f t="shared" si="54"/>
        <v>355</v>
      </c>
      <c r="C359" s="40">
        <v>46034</v>
      </c>
      <c r="D359" s="40" t="s">
        <v>32</v>
      </c>
      <c r="E359" s="40" t="s">
        <v>33</v>
      </c>
      <c r="F359" s="41">
        <v>698.5</v>
      </c>
      <c r="G359" s="42" t="s">
        <v>54</v>
      </c>
      <c r="H359" s="43" t="str">
        <f>IFERROR(VLOOKUP($J359,'[9]FROM (3)'!$E$4:$F$230,2,FALSE),"")</f>
        <v>JCTTH</v>
      </c>
      <c r="I359" s="44" t="str">
        <f t="shared" si="51"/>
        <v>RACK BAR</v>
      </c>
      <c r="J359" s="44" t="str">
        <f t="shared" si="52"/>
        <v>JGD10-000751/000761-A</v>
      </c>
      <c r="K359" s="59" t="str">
        <f t="shared" si="48"/>
        <v>PD26010257</v>
      </c>
      <c r="L359" s="46" t="str" cm="1">
        <f t="array" ref="L359">IFERROR(_xlfn.IFS(
    LEN($A359)-LEN(SUBSTITUTE($A359,"|",""))=12, RIGHT(A359, LEN(A359)-FIND("~", SUBSTITUTE(A359,"|","~", LEN(A359)-LEN(SUBSTITUTE(A359,"|",""))))),
    LEN($A359)-LEN(SUBSTITUTE($A359,"|",""))=13, MID($A359, FIND("~", SUBSTITUTE($A359,"|","~", 11))+1, FIND("~", SUBSTITUTE($A359,"|","~", 12))-FIND("~", SUBSTITUTE($A359,"|","~", 11))-1),
    LEN($A359)-LEN(SUBSTITUTE($A359,"|",""))=14, MID($A359, FIND("~", SUBSTITUTE($A359,"|","~", 11))+1, FIND("~", SUBSTITUTE($A359,"|","~", 12))-FIND("~", SUBSTITUTE($A359,"|","~", 11))-1)
), "")</f>
        <v>665076</v>
      </c>
      <c r="M359" s="47" t="str">
        <f t="shared" si="46"/>
        <v>SB010010/3/26</v>
      </c>
      <c r="N359" s="46" t="str">
        <f t="shared" si="49"/>
        <v/>
      </c>
      <c r="O359" s="60">
        <v>51</v>
      </c>
      <c r="P359" s="60">
        <v>986</v>
      </c>
      <c r="Q359" s="48">
        <v>204</v>
      </c>
      <c r="R359" s="48">
        <v>913</v>
      </c>
      <c r="S359" s="48"/>
      <c r="T359" s="48"/>
      <c r="U359" s="49">
        <v>195</v>
      </c>
      <c r="V359" s="49">
        <v>10</v>
      </c>
      <c r="W359" s="50">
        <f t="shared" si="47"/>
        <v>205</v>
      </c>
      <c r="X359" s="51" t="str">
        <f>IF(A359="", "", IF(COUNTIFS(C$3:C358, C359, D$3:D358, D359, G$3:G358, G359) &gt; 0, "", "11:00"-AW359))</f>
        <v/>
      </c>
      <c r="Y359" s="52" t="str">
        <f t="shared" si="53"/>
        <v/>
      </c>
      <c r="Z359" s="53"/>
      <c r="AA359" s="54"/>
      <c r="AB359" s="53"/>
      <c r="AC359" s="54"/>
      <c r="AD359" s="53"/>
      <c r="AE359" s="54"/>
      <c r="AF359" s="53"/>
      <c r="AG359" s="54"/>
      <c r="AH359" s="55">
        <v>4.1666666666666699E-2</v>
      </c>
      <c r="AI359" s="53"/>
      <c r="AJ359" s="54"/>
      <c r="AK359" s="53"/>
      <c r="AL359" s="54"/>
      <c r="AM359" s="53"/>
      <c r="AN359" s="54"/>
      <c r="AO359" s="53"/>
      <c r="AP359" s="54"/>
      <c r="AQ359" s="53"/>
      <c r="AR359" s="54"/>
      <c r="AS359" s="53"/>
      <c r="AT359" s="54"/>
      <c r="AU359" s="53">
        <v>4.1666666666666699E-2</v>
      </c>
      <c r="AV359" s="54" t="s">
        <v>37</v>
      </c>
      <c r="AW359" s="57">
        <f t="shared" si="50"/>
        <v>4.1666666666666699E-2</v>
      </c>
      <c r="AX359" s="58" t="s">
        <v>56</v>
      </c>
    </row>
    <row r="360" spans="1:50" ht="21" customHeight="1">
      <c r="A360" s="38" t="s">
        <v>369</v>
      </c>
      <c r="B360" s="39">
        <f t="shared" si="54"/>
        <v>356</v>
      </c>
      <c r="C360" s="40">
        <v>46034</v>
      </c>
      <c r="D360" s="40" t="s">
        <v>32</v>
      </c>
      <c r="E360" s="40" t="s">
        <v>81</v>
      </c>
      <c r="F360" s="41">
        <v>765.7</v>
      </c>
      <c r="G360" s="42" t="s">
        <v>75</v>
      </c>
      <c r="H360" s="43" t="str">
        <f>IFERROR(VLOOKUP($J360,'[9]FROM (3)'!$E$4:$F$230,2,FALSE),"")</f>
        <v>JTCS</v>
      </c>
      <c r="I360" s="44" t="str">
        <f t="shared" si="51"/>
        <v>RACK, PS</v>
      </c>
      <c r="J360" s="44" t="str">
        <f t="shared" si="52"/>
        <v>JGD10S00670-B</v>
      </c>
      <c r="K360" s="59" t="str">
        <f t="shared" si="48"/>
        <v>PD26010341</v>
      </c>
      <c r="L360" s="46" t="str" cm="1">
        <f t="array" ref="L360">IFERROR(_xlfn.IFS(
    LEN($A360)-LEN(SUBSTITUTE($A360,"|",""))=12, RIGHT(A360, LEN(A360)-FIND("~", SUBSTITUTE(A360,"|","~", LEN(A360)-LEN(SUBSTITUTE(A360,"|",""))))),
    LEN($A360)-LEN(SUBSTITUTE($A360,"|",""))=13, MID($A360, FIND("~", SUBSTITUTE($A360,"|","~", 11))+1, FIND("~", SUBSTITUTE($A360,"|","~", 12))-FIND("~", SUBSTITUTE($A360,"|","~", 11))-1),
    LEN($A360)-LEN(SUBSTITUTE($A360,"|",""))=14, MID($A360, FIND("~", SUBSTITUTE($A360,"|","~", 11))+1, FIND("~", SUBSTITUTE($A360,"|","~", 12))-FIND("~", SUBSTITUTE($A360,"|","~", 11))-1)
), "")</f>
        <v>E586447</v>
      </c>
      <c r="M360" s="47" t="str">
        <f t="shared" si="46"/>
        <v>SB010023/3/26</v>
      </c>
      <c r="N360" s="46" t="str">
        <f t="shared" si="49"/>
        <v/>
      </c>
      <c r="O360" s="60">
        <v>25</v>
      </c>
      <c r="P360" s="60">
        <v>895</v>
      </c>
      <c r="Q360" s="48">
        <v>175</v>
      </c>
      <c r="R360" s="48">
        <v>859</v>
      </c>
      <c r="S360" s="48"/>
      <c r="T360" s="48"/>
      <c r="U360" s="49"/>
      <c r="V360" s="49"/>
      <c r="W360" s="50">
        <f t="shared" si="47"/>
        <v>0</v>
      </c>
      <c r="X360" s="51">
        <f>IF(A360="", "", IF(COUNTIFS(C$3:C359, C360, D$3:D359, D360, G$3:G359, G360) &gt; 0, "", "11:00"-AW360))</f>
        <v>0.37499999999999994</v>
      </c>
      <c r="Y360" s="52" t="str">
        <f t="shared" si="53"/>
        <v>1:40</v>
      </c>
      <c r="Z360" s="53"/>
      <c r="AA360" s="54" t="s">
        <v>122</v>
      </c>
      <c r="AB360" s="53"/>
      <c r="AC360" s="54"/>
      <c r="AD360" s="53"/>
      <c r="AE360" s="54"/>
      <c r="AF360" s="53"/>
      <c r="AG360" s="54" t="s">
        <v>122</v>
      </c>
      <c r="AH360" s="55">
        <v>4.1666666666666699E-2</v>
      </c>
      <c r="AI360" s="53"/>
      <c r="AJ360" s="54"/>
      <c r="AK360" s="53"/>
      <c r="AL360" s="54"/>
      <c r="AM360" s="53">
        <v>2.0833333333333332E-2</v>
      </c>
      <c r="AN360" s="54" t="s">
        <v>67</v>
      </c>
      <c r="AO360" s="53">
        <v>2.0833333333333332E-2</v>
      </c>
      <c r="AP360" s="54" t="s">
        <v>67</v>
      </c>
      <c r="AQ360" s="53"/>
      <c r="AR360" s="54"/>
      <c r="AS360" s="53"/>
      <c r="AT360" s="54"/>
      <c r="AU360" s="53">
        <v>4.1666666666666699E-2</v>
      </c>
      <c r="AV360" s="54" t="s">
        <v>37</v>
      </c>
      <c r="AW360" s="57">
        <f t="shared" si="50"/>
        <v>8.333333333333337E-2</v>
      </c>
      <c r="AX360" s="58" t="s">
        <v>77</v>
      </c>
    </row>
    <row r="361" spans="1:50" ht="21" customHeight="1">
      <c r="A361" s="38" t="s">
        <v>370</v>
      </c>
      <c r="B361" s="39">
        <f t="shared" si="54"/>
        <v>357</v>
      </c>
      <c r="C361" s="40">
        <v>46034</v>
      </c>
      <c r="D361" s="40" t="s">
        <v>32</v>
      </c>
      <c r="E361" s="40" t="s">
        <v>81</v>
      </c>
      <c r="F361" s="41">
        <v>765.7</v>
      </c>
      <c r="G361" s="42" t="s">
        <v>75</v>
      </c>
      <c r="H361" s="43" t="str">
        <f>IFERROR(VLOOKUP($J361,'[9]FROM (3)'!$E$4:$F$230,2,FALSE),"")</f>
        <v>JTCS</v>
      </c>
      <c r="I361" s="44" t="str">
        <f t="shared" si="51"/>
        <v>RACK, PS</v>
      </c>
      <c r="J361" s="44" t="str">
        <f t="shared" si="52"/>
        <v>JGD10S00670-B</v>
      </c>
      <c r="K361" s="59" t="str">
        <f t="shared" si="48"/>
        <v>PD26010341</v>
      </c>
      <c r="L361" s="46" t="str" cm="1">
        <f t="array" ref="L361">IFERROR(_xlfn.IFS(
    LEN($A361)-LEN(SUBSTITUTE($A361,"|",""))=12, RIGHT(A361, LEN(A361)-FIND("~", SUBSTITUTE(A361,"|","~", LEN(A361)-LEN(SUBSTITUTE(A361,"|",""))))),
    LEN($A361)-LEN(SUBSTITUTE($A361,"|",""))=13, MID($A361, FIND("~", SUBSTITUTE($A361,"|","~", 11))+1, FIND("~", SUBSTITUTE($A361,"|","~", 12))-FIND("~", SUBSTITUTE($A361,"|","~", 11))-1),
    LEN($A361)-LEN(SUBSTITUTE($A361,"|",""))=14, MID($A361, FIND("~", SUBSTITUTE($A361,"|","~", 11))+1, FIND("~", SUBSTITUTE($A361,"|","~", 12))-FIND("~", SUBSTITUTE($A361,"|","~", 11))-1)
), "")</f>
        <v>E586447</v>
      </c>
      <c r="M361" s="47" t="str">
        <f t="shared" si="46"/>
        <v>SB010023/4/26</v>
      </c>
      <c r="N361" s="46" t="str">
        <f t="shared" si="49"/>
        <v/>
      </c>
      <c r="O361" s="60">
        <v>25</v>
      </c>
      <c r="P361" s="60">
        <v>895</v>
      </c>
      <c r="Q361" s="48">
        <v>174</v>
      </c>
      <c r="R361" s="48">
        <v>854</v>
      </c>
      <c r="S361" s="48">
        <v>1</v>
      </c>
      <c r="T361" s="48" t="s">
        <v>167</v>
      </c>
      <c r="U361" s="49">
        <v>54</v>
      </c>
      <c r="V361" s="49">
        <v>5</v>
      </c>
      <c r="W361" s="50">
        <f t="shared" si="47"/>
        <v>59</v>
      </c>
      <c r="X361" s="51" t="str">
        <f>IF(A361="", "", IF(COUNTIFS(C$3:C360, C361, D$3:D360, D361, G$3:G360, G361) &gt; 0, "", "11:00"-AW361))</f>
        <v/>
      </c>
      <c r="Y361" s="52" t="str">
        <f t="shared" si="53"/>
        <v/>
      </c>
      <c r="Z361" s="53"/>
      <c r="AA361" s="54"/>
      <c r="AB361" s="53"/>
      <c r="AC361" s="54"/>
      <c r="AD361" s="53"/>
      <c r="AE361" s="54"/>
      <c r="AF361" s="53"/>
      <c r="AG361" s="54"/>
      <c r="AH361" s="55">
        <v>4.1666666666666699E-2</v>
      </c>
      <c r="AI361" s="53"/>
      <c r="AJ361" s="54"/>
      <c r="AK361" s="53"/>
      <c r="AL361" s="54"/>
      <c r="AM361" s="53"/>
      <c r="AN361" s="54"/>
      <c r="AO361" s="53"/>
      <c r="AP361" s="54"/>
      <c r="AQ361" s="53"/>
      <c r="AR361" s="54"/>
      <c r="AS361" s="53"/>
      <c r="AT361" s="54"/>
      <c r="AU361" s="53">
        <v>4.1666666666666699E-2</v>
      </c>
      <c r="AV361" s="54" t="s">
        <v>37</v>
      </c>
      <c r="AW361" s="57">
        <f t="shared" si="50"/>
        <v>4.1666666666666699E-2</v>
      </c>
      <c r="AX361" s="58" t="s">
        <v>77</v>
      </c>
    </row>
    <row r="362" spans="1:50" ht="21" customHeight="1">
      <c r="A362" s="38" t="s">
        <v>371</v>
      </c>
      <c r="B362" s="39">
        <f t="shared" si="54"/>
        <v>358</v>
      </c>
      <c r="C362" s="40">
        <v>46034</v>
      </c>
      <c r="D362" s="40" t="s">
        <v>32</v>
      </c>
      <c r="E362" s="40" t="s">
        <v>81</v>
      </c>
      <c r="F362" s="41">
        <v>765.7</v>
      </c>
      <c r="G362" s="42" t="s">
        <v>75</v>
      </c>
      <c r="H362" s="43" t="str">
        <f>IFERROR(VLOOKUP($J362,'[9]FROM (3)'!$E$4:$F$230,2,FALSE),"")</f>
        <v>JTCS</v>
      </c>
      <c r="I362" s="44" t="str">
        <f t="shared" si="51"/>
        <v>RACK, PS</v>
      </c>
      <c r="J362" s="44" t="str">
        <f t="shared" si="52"/>
        <v>JGD10S00670-B</v>
      </c>
      <c r="K362" s="59" t="str">
        <f t="shared" si="48"/>
        <v>PD26010342</v>
      </c>
      <c r="L362" s="46" t="str" cm="1">
        <f t="array" ref="L362">IFERROR(_xlfn.IFS(
    LEN($A362)-LEN(SUBSTITUTE($A362,"|",""))=12, RIGHT(A362, LEN(A362)-FIND("~", SUBSTITUTE(A362,"|","~", LEN(A362)-LEN(SUBSTITUTE(A362,"|",""))))),
    LEN($A362)-LEN(SUBSTITUTE($A362,"|",""))=13, MID($A362, FIND("~", SUBSTITUTE($A362,"|","~", 11))+1, FIND("~", SUBSTITUTE($A362,"|","~", 12))-FIND("~", SUBSTITUTE($A362,"|","~", 11))-1),
    LEN($A362)-LEN(SUBSTITUTE($A362,"|",""))=14, MID($A362, FIND("~", SUBSTITUTE($A362,"|","~", 11))+1, FIND("~", SUBSTITUTE($A362,"|","~", 12))-FIND("~", SUBSTITUTE($A362,"|","~", 11))-1)
), "")</f>
        <v>E586447</v>
      </c>
      <c r="M362" s="47" t="str">
        <f t="shared" si="46"/>
        <v>SB010023/6/26</v>
      </c>
      <c r="N362" s="46" t="str">
        <f t="shared" si="49"/>
        <v/>
      </c>
      <c r="O362" s="60">
        <v>24</v>
      </c>
      <c r="P362" s="60">
        <v>860</v>
      </c>
      <c r="Q362" s="48">
        <v>168</v>
      </c>
      <c r="R362" s="48">
        <v>825</v>
      </c>
      <c r="S362" s="48"/>
      <c r="T362" s="48"/>
      <c r="U362" s="49"/>
      <c r="V362" s="49"/>
      <c r="W362" s="50">
        <f t="shared" si="47"/>
        <v>0</v>
      </c>
      <c r="X362" s="51" t="str">
        <f>IF(A362="", "", IF(COUNTIFS(C$3:C361, C362, D$3:D361, D362, G$3:G361, G362) &gt; 0, "", "11:00"-AW362))</f>
        <v/>
      </c>
      <c r="Y362" s="52" t="str">
        <f t="shared" si="53"/>
        <v/>
      </c>
      <c r="Z362" s="53"/>
      <c r="AA362" s="54"/>
      <c r="AB362" s="53"/>
      <c r="AC362" s="54"/>
      <c r="AD362" s="53"/>
      <c r="AE362" s="54"/>
      <c r="AF362" s="53"/>
      <c r="AG362" s="54"/>
      <c r="AH362" s="55">
        <v>4.1666666666666699E-2</v>
      </c>
      <c r="AI362" s="53"/>
      <c r="AJ362" s="54"/>
      <c r="AK362" s="53"/>
      <c r="AL362" s="54"/>
      <c r="AM362" s="53"/>
      <c r="AN362" s="54"/>
      <c r="AO362" s="53"/>
      <c r="AP362" s="54"/>
      <c r="AQ362" s="53"/>
      <c r="AR362" s="54"/>
      <c r="AS362" s="53"/>
      <c r="AT362" s="54"/>
      <c r="AU362" s="53">
        <v>4.1666666666666699E-2</v>
      </c>
      <c r="AV362" s="54" t="s">
        <v>37</v>
      </c>
      <c r="AW362" s="57">
        <f t="shared" si="50"/>
        <v>4.1666666666666699E-2</v>
      </c>
      <c r="AX362" s="58" t="s">
        <v>77</v>
      </c>
    </row>
    <row r="363" spans="1:50" ht="21" customHeight="1">
      <c r="A363" s="38" t="s">
        <v>372</v>
      </c>
      <c r="B363" s="39">
        <f t="shared" si="54"/>
        <v>359</v>
      </c>
      <c r="C363" s="40">
        <v>46034</v>
      </c>
      <c r="D363" s="40" t="s">
        <v>32</v>
      </c>
      <c r="E363" s="40" t="s">
        <v>81</v>
      </c>
      <c r="F363" s="41">
        <v>765.7</v>
      </c>
      <c r="G363" s="42" t="s">
        <v>75</v>
      </c>
      <c r="H363" s="43" t="str">
        <f>IFERROR(VLOOKUP($J363,'[9]FROM (3)'!$E$4:$F$230,2,FALSE),"")</f>
        <v>JTCS</v>
      </c>
      <c r="I363" s="44" t="str">
        <f t="shared" si="51"/>
        <v>RACK, PS</v>
      </c>
      <c r="J363" s="44" t="str">
        <f t="shared" si="52"/>
        <v>JGD10S00670-B</v>
      </c>
      <c r="K363" s="59" t="str">
        <f t="shared" si="48"/>
        <v>PD26010342</v>
      </c>
      <c r="L363" s="46" t="str" cm="1">
        <f t="array" ref="L363">IFERROR(_xlfn.IFS(
    LEN($A363)-LEN(SUBSTITUTE($A363,"|",""))=12, RIGHT(A363, LEN(A363)-FIND("~", SUBSTITUTE(A363,"|","~", LEN(A363)-LEN(SUBSTITUTE(A363,"|",""))))),
    LEN($A363)-LEN(SUBSTITUTE($A363,"|",""))=13, MID($A363, FIND("~", SUBSTITUTE($A363,"|","~", 11))+1, FIND("~", SUBSTITUTE($A363,"|","~", 12))-FIND("~", SUBSTITUTE($A363,"|","~", 11))-1),
    LEN($A363)-LEN(SUBSTITUTE($A363,"|",""))=14, MID($A363, FIND("~", SUBSTITUTE($A363,"|","~", 11))+1, FIND("~", SUBSTITUTE($A363,"|","~", 12))-FIND("~", SUBSTITUTE($A363,"|","~", 11))-1)
), "")</f>
        <v>E586447</v>
      </c>
      <c r="M363" s="47" t="str">
        <f t="shared" si="46"/>
        <v>SB010023/7/26</v>
      </c>
      <c r="N363" s="46" t="str">
        <f t="shared" si="49"/>
        <v/>
      </c>
      <c r="O363" s="60">
        <v>1</v>
      </c>
      <c r="P363" s="60">
        <v>35</v>
      </c>
      <c r="Q363" s="48">
        <v>6</v>
      </c>
      <c r="R363" s="48">
        <v>29</v>
      </c>
      <c r="S363" s="48">
        <v>1</v>
      </c>
      <c r="T363" s="48" t="s">
        <v>167</v>
      </c>
      <c r="U363" s="49"/>
      <c r="V363" s="49"/>
      <c r="W363" s="50">
        <f t="shared" si="47"/>
        <v>0</v>
      </c>
      <c r="X363" s="51" t="str">
        <f>IF(A363="", "", IF(COUNTIFS(C$3:C362, C363, D$3:D362, D363, G$3:G362, G363) &gt; 0, "", "11:00"-AW363))</f>
        <v/>
      </c>
      <c r="Y363" s="52" t="str">
        <f t="shared" si="53"/>
        <v/>
      </c>
      <c r="Z363" s="53"/>
      <c r="AA363" s="54"/>
      <c r="AB363" s="53"/>
      <c r="AC363" s="54"/>
      <c r="AD363" s="53"/>
      <c r="AE363" s="54"/>
      <c r="AF363" s="53"/>
      <c r="AG363" s="54"/>
      <c r="AH363" s="55">
        <v>4.1666666666666699E-2</v>
      </c>
      <c r="AI363" s="53"/>
      <c r="AJ363" s="54"/>
      <c r="AK363" s="53"/>
      <c r="AL363" s="54"/>
      <c r="AM363" s="53"/>
      <c r="AN363" s="54"/>
      <c r="AO363" s="53"/>
      <c r="AP363" s="54"/>
      <c r="AQ363" s="53"/>
      <c r="AR363" s="54"/>
      <c r="AS363" s="53"/>
      <c r="AT363" s="54"/>
      <c r="AU363" s="53">
        <v>4.1666666666666699E-2</v>
      </c>
      <c r="AV363" s="54" t="s">
        <v>37</v>
      </c>
      <c r="AW363" s="57">
        <f t="shared" si="50"/>
        <v>4.1666666666666699E-2</v>
      </c>
      <c r="AX363" s="58" t="s">
        <v>77</v>
      </c>
    </row>
    <row r="364" spans="1:50" ht="21" customHeight="1">
      <c r="A364" s="38" t="s">
        <v>373</v>
      </c>
      <c r="B364" s="39">
        <f t="shared" si="54"/>
        <v>360</v>
      </c>
      <c r="C364" s="40">
        <v>46034</v>
      </c>
      <c r="D364" s="40" t="s">
        <v>32</v>
      </c>
      <c r="E364" s="40" t="s">
        <v>81</v>
      </c>
      <c r="F364" s="41">
        <v>765.7</v>
      </c>
      <c r="G364" s="42" t="s">
        <v>75</v>
      </c>
      <c r="H364" s="43" t="str">
        <f>IFERROR(VLOOKUP($J364,'[9]FROM (3)'!$E$4:$F$230,2,FALSE),"")</f>
        <v>JTCS</v>
      </c>
      <c r="I364" s="44" t="str">
        <f t="shared" si="51"/>
        <v>RACK, PS</v>
      </c>
      <c r="J364" s="44" t="str">
        <f t="shared" si="52"/>
        <v>JGD10S00670-B</v>
      </c>
      <c r="K364" s="59" t="str">
        <f t="shared" si="48"/>
        <v>PD26010342</v>
      </c>
      <c r="L364" s="46" t="str" cm="1">
        <f t="array" ref="L364">IFERROR(_xlfn.IFS(
    LEN($A364)-LEN(SUBSTITUTE($A364,"|",""))=12, RIGHT(A364, LEN(A364)-FIND("~", SUBSTITUTE(A364,"|","~", LEN(A364)-LEN(SUBSTITUTE(A364,"|",""))))),
    LEN($A364)-LEN(SUBSTITUTE($A364,"|",""))=13, MID($A364, FIND("~", SUBSTITUTE($A364,"|","~", 11))+1, FIND("~", SUBSTITUTE($A364,"|","~", 12))-FIND("~", SUBSTITUTE($A364,"|","~", 11))-1),
    LEN($A364)-LEN(SUBSTITUTE($A364,"|",""))=14, MID($A364, FIND("~", SUBSTITUTE($A364,"|","~", 11))+1, FIND("~", SUBSTITUTE($A364,"|","~", 12))-FIND("~", SUBSTITUTE($A364,"|","~", 11))-1)
), "")</f>
        <v>E586447</v>
      </c>
      <c r="M364" s="47" t="str">
        <f t="shared" si="46"/>
        <v>SB010023/5/26</v>
      </c>
      <c r="N364" s="46" t="str">
        <f t="shared" si="49"/>
        <v/>
      </c>
      <c r="O364" s="60">
        <v>25</v>
      </c>
      <c r="P364" s="60">
        <v>895</v>
      </c>
      <c r="Q364" s="48">
        <v>175</v>
      </c>
      <c r="R364" s="48">
        <v>859</v>
      </c>
      <c r="S364" s="48"/>
      <c r="T364" s="48"/>
      <c r="U364" s="49">
        <v>54</v>
      </c>
      <c r="V364" s="49">
        <v>5</v>
      </c>
      <c r="W364" s="50">
        <f t="shared" si="47"/>
        <v>59</v>
      </c>
      <c r="X364" s="51" t="str">
        <f>IF(A364="", "", IF(COUNTIFS(C$3:C363, C364, D$3:D363, D364, G$3:G363, G364) &gt; 0, "", "11:00"-AW364))</f>
        <v/>
      </c>
      <c r="Y364" s="52" t="str">
        <f t="shared" si="53"/>
        <v/>
      </c>
      <c r="Z364" s="53"/>
      <c r="AA364" s="54"/>
      <c r="AB364" s="53"/>
      <c r="AC364" s="54"/>
      <c r="AD364" s="53"/>
      <c r="AE364" s="54"/>
      <c r="AF364" s="53"/>
      <c r="AG364" s="54"/>
      <c r="AH364" s="55">
        <v>4.1666666666666699E-2</v>
      </c>
      <c r="AI364" s="53"/>
      <c r="AJ364" s="54"/>
      <c r="AK364" s="53"/>
      <c r="AL364" s="54"/>
      <c r="AM364" s="53"/>
      <c r="AN364" s="54"/>
      <c r="AO364" s="53"/>
      <c r="AP364" s="54"/>
      <c r="AQ364" s="53"/>
      <c r="AR364" s="54"/>
      <c r="AS364" s="53"/>
      <c r="AT364" s="54"/>
      <c r="AU364" s="53">
        <v>4.1666666666666699E-2</v>
      </c>
      <c r="AV364" s="54" t="s">
        <v>37</v>
      </c>
      <c r="AW364" s="57">
        <f t="shared" si="50"/>
        <v>4.1666666666666699E-2</v>
      </c>
      <c r="AX364" s="58" t="s">
        <v>77</v>
      </c>
    </row>
    <row r="365" spans="1:50" ht="21" customHeight="1">
      <c r="A365" s="38" t="s">
        <v>374</v>
      </c>
      <c r="B365" s="39">
        <f t="shared" si="54"/>
        <v>361</v>
      </c>
      <c r="C365" s="40">
        <v>46034</v>
      </c>
      <c r="D365" s="40" t="s">
        <v>32</v>
      </c>
      <c r="E365" s="40" t="s">
        <v>81</v>
      </c>
      <c r="F365" s="41">
        <v>765.7</v>
      </c>
      <c r="G365" s="42" t="s">
        <v>75</v>
      </c>
      <c r="H365" s="43" t="str">
        <f>IFERROR(VLOOKUP($J365,'[9]FROM (3)'!$E$4:$F$230,2,FALSE),"")</f>
        <v>JTCS</v>
      </c>
      <c r="I365" s="44" t="str">
        <f t="shared" si="51"/>
        <v>RACK, MS</v>
      </c>
      <c r="J365" s="44" t="str">
        <f t="shared" si="52"/>
        <v>JGC10-001180-S</v>
      </c>
      <c r="K365" s="59" t="str">
        <f t="shared" si="48"/>
        <v>PD26010414</v>
      </c>
      <c r="L365" s="46" t="str" cm="1">
        <f t="array" ref="L365">IFERROR(_xlfn.IFS(
    LEN($A365)-LEN(SUBSTITUTE($A365,"|",""))=12, RIGHT(A365, LEN(A365)-FIND("~", SUBSTITUTE(A365,"|","~", LEN(A365)-LEN(SUBSTITUTE(A365,"|",""))))),
    LEN($A365)-LEN(SUBSTITUTE($A365,"|",""))=13, MID($A365, FIND("~", SUBSTITUTE($A365,"|","~", 11))+1, FIND("~", SUBSTITUTE($A365,"|","~", 12))-FIND("~", SUBSTITUTE($A365,"|","~", 11))-1),
    LEN($A365)-LEN(SUBSTITUTE($A365,"|",""))=14, MID($A365, FIND("~", SUBSTITUTE($A365,"|","~", 11))+1, FIND("~", SUBSTITUTE($A365,"|","~", 12))-FIND("~", SUBSTITUTE($A365,"|","~", 11))-1)
), "")</f>
        <v>E585970</v>
      </c>
      <c r="M365" s="47" t="str">
        <f t="shared" si="46"/>
        <v>SB010036/2/26</v>
      </c>
      <c r="N365" s="46" t="str">
        <f t="shared" si="49"/>
        <v/>
      </c>
      <c r="O365" s="60">
        <v>80</v>
      </c>
      <c r="P365" s="60">
        <v>902</v>
      </c>
      <c r="Q365" s="48">
        <v>265</v>
      </c>
      <c r="R365" s="48">
        <v>563</v>
      </c>
      <c r="S365" s="48"/>
      <c r="T365" s="48"/>
      <c r="U365" s="49"/>
      <c r="V365" s="49"/>
      <c r="W365" s="50">
        <f t="shared" si="47"/>
        <v>0</v>
      </c>
      <c r="X365" s="51" t="str">
        <f>IF(A365="", "", IF(COUNTIFS(C$3:C364, C365, D$3:D364, D365, G$3:G364, G365) &gt; 0, "", "11:00"-AW365))</f>
        <v/>
      </c>
      <c r="Y365" s="52" t="str">
        <f t="shared" si="53"/>
        <v/>
      </c>
      <c r="Z365" s="53"/>
      <c r="AA365" s="54"/>
      <c r="AB365" s="53"/>
      <c r="AC365" s="54"/>
      <c r="AD365" s="53"/>
      <c r="AE365" s="54"/>
      <c r="AF365" s="53"/>
      <c r="AG365" s="54"/>
      <c r="AH365" s="55">
        <v>4.1666666666666699E-2</v>
      </c>
      <c r="AI365" s="53"/>
      <c r="AJ365" s="54"/>
      <c r="AK365" s="53"/>
      <c r="AL365" s="54"/>
      <c r="AM365" s="53"/>
      <c r="AN365" s="54"/>
      <c r="AO365" s="53"/>
      <c r="AP365" s="54"/>
      <c r="AQ365" s="53"/>
      <c r="AR365" s="54"/>
      <c r="AS365" s="53"/>
      <c r="AT365" s="54"/>
      <c r="AU365" s="53">
        <v>4.1666666666666699E-2</v>
      </c>
      <c r="AV365" s="54" t="s">
        <v>37</v>
      </c>
      <c r="AW365" s="57">
        <f t="shared" si="50"/>
        <v>4.1666666666666699E-2</v>
      </c>
      <c r="AX365" s="58" t="s">
        <v>77</v>
      </c>
    </row>
    <row r="366" spans="1:50" ht="21" customHeight="1">
      <c r="A366" s="38" t="s">
        <v>361</v>
      </c>
      <c r="B366" s="39">
        <f t="shared" si="54"/>
        <v>362</v>
      </c>
      <c r="C366" s="40">
        <v>46034</v>
      </c>
      <c r="D366" s="40" t="s">
        <v>32</v>
      </c>
      <c r="E366" s="40" t="s">
        <v>81</v>
      </c>
      <c r="F366" s="41">
        <v>69.5</v>
      </c>
      <c r="G366" s="42" t="s">
        <v>135</v>
      </c>
      <c r="H366" s="43" t="str">
        <f>IFERROR(VLOOKUP($J366,'[9]FROM (3)'!$E$4:$F$230,2,FALSE),"")</f>
        <v>DNTH</v>
      </c>
      <c r="I366" s="44" t="str">
        <f t="shared" si="51"/>
        <v>Pole Core</v>
      </c>
      <c r="J366" s="44" t="str">
        <f t="shared" si="52"/>
        <v>TG028152-5180</v>
      </c>
      <c r="K366" s="59" t="str">
        <f t="shared" si="48"/>
        <v>PD26010422</v>
      </c>
      <c r="L366" s="46" t="str" cm="1">
        <f t="array" ref="L366">IFERROR(_xlfn.IFS(
    LEN($A366)-LEN(SUBSTITUTE($A366,"|",""))=12, RIGHT(A366, LEN(A366)-FIND("~", SUBSTITUTE(A366,"|","~", LEN(A366)-LEN(SUBSTITUTE(A366,"|",""))))),
    LEN($A366)-LEN(SUBSTITUTE($A366,"|",""))=13, MID($A366, FIND("~", SUBSTITUTE($A366,"|","~", 11))+1, FIND("~", SUBSTITUTE($A366,"|","~", 12))-FIND("~", SUBSTITUTE($A366,"|","~", 11))-1),
    LEN($A366)-LEN(SUBSTITUTE($A366,"|",""))=14, MID($A366, FIND("~", SUBSTITUTE($A366,"|","~", 11))+1, FIND("~", SUBSTITUTE($A366,"|","~", 12))-FIND("~", SUBSTITUTE($A366,"|","~", 11))-1)
), "")</f>
        <v>KS005C9016</v>
      </c>
      <c r="M366" s="47" t="str">
        <f t="shared" si="46"/>
        <v>SB010017/4/26</v>
      </c>
      <c r="N366" s="46" t="str">
        <f t="shared" si="49"/>
        <v/>
      </c>
      <c r="O366" s="60">
        <v>0</v>
      </c>
      <c r="P366" s="60">
        <v>0</v>
      </c>
      <c r="Q366" s="48">
        <v>14220</v>
      </c>
      <c r="R366" s="48">
        <v>988</v>
      </c>
      <c r="S366" s="48"/>
      <c r="T366" s="48"/>
      <c r="U366" s="49">
        <v>0</v>
      </c>
      <c r="V366" s="49">
        <v>0</v>
      </c>
      <c r="W366" s="50">
        <f t="shared" si="47"/>
        <v>0</v>
      </c>
      <c r="X366" s="51">
        <f>IF(A366="", "", IF(COUNTIFS(C$3:C365, C366, D$3:D365, D366, G$3:G365, G366) &gt; 0, "", "11:00"-AW366))</f>
        <v>0.41666666666666663</v>
      </c>
      <c r="Y366" s="52" t="str">
        <f t="shared" si="53"/>
        <v>1:40</v>
      </c>
      <c r="Z366" s="53"/>
      <c r="AA366" s="54"/>
      <c r="AB366" s="53"/>
      <c r="AC366" s="54"/>
      <c r="AD366" s="53"/>
      <c r="AE366" s="54"/>
      <c r="AF366" s="53"/>
      <c r="AG366" s="54"/>
      <c r="AH366" s="55">
        <v>4.1666666666666699E-2</v>
      </c>
      <c r="AI366" s="53"/>
      <c r="AJ366" s="54"/>
      <c r="AK366" s="53"/>
      <c r="AL366" s="54"/>
      <c r="AM366" s="53"/>
      <c r="AN366" s="54"/>
      <c r="AO366" s="53"/>
      <c r="AP366" s="54"/>
      <c r="AQ366" s="53"/>
      <c r="AR366" s="54"/>
      <c r="AS366" s="53"/>
      <c r="AT366" s="54"/>
      <c r="AU366" s="53">
        <v>4.1666666666666699E-2</v>
      </c>
      <c r="AV366" s="54" t="s">
        <v>37</v>
      </c>
      <c r="AW366" s="57">
        <f t="shared" si="50"/>
        <v>4.1666666666666699E-2</v>
      </c>
      <c r="AX366" s="58" t="s">
        <v>64</v>
      </c>
    </row>
    <row r="367" spans="1:50" ht="21" customHeight="1">
      <c r="A367" s="38" t="s">
        <v>375</v>
      </c>
      <c r="B367" s="39">
        <f t="shared" si="54"/>
        <v>363</v>
      </c>
      <c r="C367" s="40">
        <v>46034</v>
      </c>
      <c r="D367" s="40" t="s">
        <v>32</v>
      </c>
      <c r="E367" s="40" t="s">
        <v>81</v>
      </c>
      <c r="F367" s="41">
        <v>69.5</v>
      </c>
      <c r="G367" s="42" t="s">
        <v>135</v>
      </c>
      <c r="H367" s="43" t="str">
        <f>IFERROR(VLOOKUP($J367,'[9]FROM (3)'!$E$4:$F$230,2,FALSE),"")</f>
        <v>DNTH</v>
      </c>
      <c r="I367" s="44" t="str">
        <f t="shared" si="51"/>
        <v>Pole Core</v>
      </c>
      <c r="J367" s="44" t="str">
        <f t="shared" si="52"/>
        <v>TG028152-5180</v>
      </c>
      <c r="K367" s="59" t="str">
        <f t="shared" si="48"/>
        <v>PD26010422</v>
      </c>
      <c r="L367" s="46" t="str" cm="1">
        <f t="array" ref="L367">IFERROR(_xlfn.IFS(
    LEN($A367)-LEN(SUBSTITUTE($A367,"|",""))=12, RIGHT(A367, LEN(A367)-FIND("~", SUBSTITUTE(A367,"|","~", LEN(A367)-LEN(SUBSTITUTE(A367,"|",""))))),
    LEN($A367)-LEN(SUBSTITUTE($A367,"|",""))=13, MID($A367, FIND("~", SUBSTITUTE($A367,"|","~", 11))+1, FIND("~", SUBSTITUTE($A367,"|","~", 12))-FIND("~", SUBSTITUTE($A367,"|","~", 11))-1),
    LEN($A367)-LEN(SUBSTITUTE($A367,"|",""))=14, MID($A367, FIND("~", SUBSTITUTE($A367,"|","~", 11))+1, FIND("~", SUBSTITUTE($A367,"|","~", 12))-FIND("~", SUBSTITUTE($A367,"|","~", 11))-1)
), "")</f>
        <v>KS005C9016</v>
      </c>
      <c r="M367" s="47" t="str">
        <f t="shared" si="46"/>
        <v>SB010017/3/26</v>
      </c>
      <c r="N367" s="46" t="str">
        <f t="shared" si="49"/>
        <v/>
      </c>
      <c r="O367" s="60">
        <v>131</v>
      </c>
      <c r="P367" s="60">
        <v>1016</v>
      </c>
      <c r="Q367" s="48">
        <v>3535</v>
      </c>
      <c r="R367" s="48">
        <v>246</v>
      </c>
      <c r="S367" s="48">
        <v>32</v>
      </c>
      <c r="T367" s="48" t="s">
        <v>167</v>
      </c>
      <c r="U367" s="49">
        <v>0</v>
      </c>
      <c r="V367" s="49">
        <v>0</v>
      </c>
      <c r="W367" s="50">
        <f t="shared" si="47"/>
        <v>0</v>
      </c>
      <c r="X367" s="51" t="str">
        <f>IF(A367="", "", IF(COUNTIFS(C$3:C366, C367, D$3:D366, D367, G$3:G366, G367) &gt; 0, "", "11:00"-AW367))</f>
        <v/>
      </c>
      <c r="Y367" s="52" t="str">
        <f t="shared" si="53"/>
        <v/>
      </c>
      <c r="Z367" s="53"/>
      <c r="AA367" s="54"/>
      <c r="AB367" s="53"/>
      <c r="AC367" s="54"/>
      <c r="AD367" s="53"/>
      <c r="AE367" s="54"/>
      <c r="AF367" s="53"/>
      <c r="AG367" s="54"/>
      <c r="AH367" s="55">
        <v>4.1666666666666699E-2</v>
      </c>
      <c r="AI367" s="53"/>
      <c r="AJ367" s="54"/>
      <c r="AK367" s="53"/>
      <c r="AL367" s="54"/>
      <c r="AM367" s="53"/>
      <c r="AN367" s="54"/>
      <c r="AO367" s="53"/>
      <c r="AP367" s="54"/>
      <c r="AQ367" s="53"/>
      <c r="AR367" s="54"/>
      <c r="AS367" s="53"/>
      <c r="AT367" s="54"/>
      <c r="AU367" s="53">
        <v>4.1666666666666699E-2</v>
      </c>
      <c r="AV367" s="54" t="s">
        <v>37</v>
      </c>
      <c r="AW367" s="57">
        <f t="shared" si="50"/>
        <v>4.1666666666666699E-2</v>
      </c>
      <c r="AX367" s="58" t="s">
        <v>64</v>
      </c>
    </row>
    <row r="368" spans="1:50" ht="21" customHeight="1">
      <c r="A368" s="38" t="s">
        <v>339</v>
      </c>
      <c r="B368" s="39">
        <f t="shared" si="54"/>
        <v>364</v>
      </c>
      <c r="C368" s="40">
        <v>46034</v>
      </c>
      <c r="D368" s="40" t="s">
        <v>32</v>
      </c>
      <c r="E368" s="40" t="s">
        <v>81</v>
      </c>
      <c r="F368" s="41">
        <v>210.9</v>
      </c>
      <c r="G368" s="42" t="s">
        <v>34</v>
      </c>
      <c r="H368" s="43" t="str">
        <f>IFERROR(VLOOKUP($J368,'[9]FROM (3)'!$E$4:$F$230,2,FALSE),"")</f>
        <v>DNTH</v>
      </c>
      <c r="I368" s="44" t="str">
        <f t="shared" si="51"/>
        <v>SHAFT STARTER ARMATURE, 1W</v>
      </c>
      <c r="J368" s="44" t="str">
        <f t="shared" si="52"/>
        <v>TG028993-6160</v>
      </c>
      <c r="K368" s="59" t="str">
        <f t="shared" si="48"/>
        <v>PD25120032</v>
      </c>
      <c r="L368" s="46" t="str" cm="1">
        <f t="array" ref="L368">IFERROR(_xlfn.IFS(
    LEN($A368)-LEN(SUBSTITUTE($A368,"|",""))=12, RIGHT(A368, LEN(A368)-FIND("~", SUBSTITUTE(A368,"|","~", LEN(A368)-LEN(SUBSTITUTE(A368,"|",""))))),
    LEN($A368)-LEN(SUBSTITUTE($A368,"|",""))=13, MID($A368, FIND("~", SUBSTITUTE($A368,"|","~", 11))+1, FIND("~", SUBSTITUTE($A368,"|","~", 12))-FIND("~", SUBSTITUTE($A368,"|","~", 11))-1),
    LEN($A368)-LEN(SUBSTITUTE($A368,"|",""))=14, MID($A368, FIND("~", SUBSTITUTE($A368,"|","~", 11))+1, FIND("~", SUBSTITUTE($A368,"|","~", 12))-FIND("~", SUBSTITUTE($A368,"|","~", 11))-1)
), "")</f>
        <v>2-72446</v>
      </c>
      <c r="M368" s="47" t="str">
        <f t="shared" si="46"/>
        <v>SB110198/3/25</v>
      </c>
      <c r="N368" s="46" t="str">
        <f t="shared" si="49"/>
        <v/>
      </c>
      <c r="O368" s="60" t="s">
        <v>35</v>
      </c>
      <c r="P368" s="60" t="s">
        <v>35</v>
      </c>
      <c r="Q368" s="48">
        <v>1465</v>
      </c>
      <c r="R368" s="48">
        <v>683</v>
      </c>
      <c r="S368" s="48"/>
      <c r="T368" s="48"/>
      <c r="U368" s="49">
        <v>115</v>
      </c>
      <c r="V368" s="49">
        <v>23</v>
      </c>
      <c r="W368" s="50">
        <f t="shared" si="47"/>
        <v>138</v>
      </c>
      <c r="X368" s="51">
        <f>IF(A368="", "", IF(COUNTIFS(C$3:C367, C368, D$3:D367, D368, G$3:G367, G368) &gt; 0, "", "11:00"-AW368))</f>
        <v>0.39583333333333326</v>
      </c>
      <c r="Y368" s="52" t="str">
        <f t="shared" si="53"/>
        <v>1:40</v>
      </c>
      <c r="Z368" s="53"/>
      <c r="AA368" s="54"/>
      <c r="AB368" s="53"/>
      <c r="AC368" s="54"/>
      <c r="AD368" s="53"/>
      <c r="AE368" s="54"/>
      <c r="AF368" s="53">
        <v>2.0833333333333332E-2</v>
      </c>
      <c r="AG368" s="54" t="s">
        <v>67</v>
      </c>
      <c r="AH368" s="55">
        <v>4.1666666666666699E-2</v>
      </c>
      <c r="AI368" s="53"/>
      <c r="AJ368" s="54"/>
      <c r="AK368" s="53"/>
      <c r="AL368" s="54"/>
      <c r="AM368" s="53"/>
      <c r="AN368" s="54"/>
      <c r="AO368" s="53"/>
      <c r="AP368" s="54"/>
      <c r="AQ368" s="53"/>
      <c r="AR368" s="54"/>
      <c r="AS368" s="53"/>
      <c r="AT368" s="54"/>
      <c r="AU368" s="53">
        <v>4.1666666666666699E-2</v>
      </c>
      <c r="AV368" s="54" t="s">
        <v>37</v>
      </c>
      <c r="AW368" s="57">
        <f t="shared" si="50"/>
        <v>6.2500000000000028E-2</v>
      </c>
      <c r="AX368" s="58" t="s">
        <v>48</v>
      </c>
    </row>
    <row r="369" spans="1:50" ht="21" customHeight="1">
      <c r="A369" s="38" t="s">
        <v>376</v>
      </c>
      <c r="B369" s="39">
        <f t="shared" si="54"/>
        <v>365</v>
      </c>
      <c r="C369" s="40">
        <v>46034</v>
      </c>
      <c r="D369" s="62" t="s">
        <v>32</v>
      </c>
      <c r="E369" s="40" t="s">
        <v>81</v>
      </c>
      <c r="F369" s="41">
        <v>23.4</v>
      </c>
      <c r="G369" s="42" t="s">
        <v>34</v>
      </c>
      <c r="H369" s="43" t="str">
        <f>IFERROR(VLOOKUP($J369,'[9]FROM (3)'!$E$4:$F$230,2,FALSE),"")</f>
        <v/>
      </c>
      <c r="I369" s="44" t="str">
        <f t="shared" si="51"/>
        <v>FLANGE-13 SLUG</v>
      </c>
      <c r="J369" s="44" t="str">
        <f t="shared" si="52"/>
        <v>ZZ2B7401TX1</v>
      </c>
      <c r="K369" s="59" t="str">
        <f t="shared" si="48"/>
        <v>PD26010473</v>
      </c>
      <c r="L369" s="46" t="str" cm="1">
        <f t="array" ref="L369">IFERROR(_xlfn.IFS(
    LEN($A369)-LEN(SUBSTITUTE($A369,"|",""))=12, RIGHT(A369, LEN(A369)-FIND("~", SUBSTITUTE(A369,"|","~", LEN(A369)-LEN(SUBSTITUTE(A369,"|",""))))),
    LEN($A369)-LEN(SUBSTITUTE($A369,"|",""))=13, MID($A369, FIND("~", SUBSTITUTE($A369,"|","~", 11))+1, FIND("~", SUBSTITUTE($A369,"|","~", 12))-FIND("~", SUBSTITUTE($A369,"|","~", 11))-1),
    LEN($A369)-LEN(SUBSTITUTE($A369,"|",""))=14, MID($A369, FIND("~", SUBSTITUTE($A369,"|","~", 11))+1, FIND("~", SUBSTITUTE($A369,"|","~", 12))-FIND("~", SUBSTITUTE($A369,"|","~", 11))-1)
), "")</f>
        <v>2-73052</v>
      </c>
      <c r="M369" s="47" t="str">
        <f t="shared" si="46"/>
        <v>2B2600090</v>
      </c>
      <c r="N369" s="46" t="str">
        <f t="shared" si="49"/>
        <v/>
      </c>
      <c r="O369" s="60">
        <v>36</v>
      </c>
      <c r="P369" s="60">
        <v>1955</v>
      </c>
      <c r="Q369" s="48">
        <v>2305</v>
      </c>
      <c r="R369" s="48">
        <v>532</v>
      </c>
      <c r="S369" s="48"/>
      <c r="T369" s="48"/>
      <c r="U369" s="49"/>
      <c r="V369" s="49"/>
      <c r="W369" s="50">
        <f t="shared" si="47"/>
        <v>0</v>
      </c>
      <c r="X369" s="51" t="str">
        <f>IF(A369="", "", IF(COUNTIFS(C$3:C368, C369, D$3:D368, D369, G$3:G368, G369) &gt; 0, "", "11:00"-AW369))</f>
        <v/>
      </c>
      <c r="Y369" s="52" t="str">
        <f t="shared" si="53"/>
        <v/>
      </c>
      <c r="Z369" s="53"/>
      <c r="AA369" s="54"/>
      <c r="AB369" s="53"/>
      <c r="AC369" s="54"/>
      <c r="AD369" s="53"/>
      <c r="AE369" s="54"/>
      <c r="AF369" s="53"/>
      <c r="AG369" s="54"/>
      <c r="AH369" s="55">
        <v>4.1666666666666699E-2</v>
      </c>
      <c r="AI369" s="53"/>
      <c r="AJ369" s="54"/>
      <c r="AK369" s="53"/>
      <c r="AL369" s="54"/>
      <c r="AM369" s="53"/>
      <c r="AN369" s="54"/>
      <c r="AO369" s="53"/>
      <c r="AP369" s="54"/>
      <c r="AQ369" s="53"/>
      <c r="AR369" s="54"/>
      <c r="AS369" s="53"/>
      <c r="AT369" s="54"/>
      <c r="AU369" s="53">
        <v>4.1666666666666699E-2</v>
      </c>
      <c r="AV369" s="54" t="s">
        <v>37</v>
      </c>
      <c r="AW369" s="57">
        <f t="shared" si="50"/>
        <v>4.1666666666666699E-2</v>
      </c>
      <c r="AX369" s="58" t="s">
        <v>48</v>
      </c>
    </row>
    <row r="370" spans="1:50" ht="21" customHeight="1">
      <c r="A370" s="38" t="s">
        <v>309</v>
      </c>
      <c r="B370" s="39">
        <f t="shared" si="54"/>
        <v>366</v>
      </c>
      <c r="C370" s="40">
        <v>46034</v>
      </c>
      <c r="D370" s="40" t="s">
        <v>32</v>
      </c>
      <c r="E370" s="40" t="s">
        <v>81</v>
      </c>
      <c r="F370" s="41">
        <v>516.5</v>
      </c>
      <c r="G370" s="42" t="s">
        <v>41</v>
      </c>
      <c r="H370" s="43" t="str">
        <f>IFERROR(VLOOKUP($J370,'[9]FROM (3)'!$E$4:$F$230,2,FALSE),"")</f>
        <v>KONSEI</v>
      </c>
      <c r="I370" s="44" t="str">
        <f t="shared" si="51"/>
        <v>Piston Disc Brake, Forging</v>
      </c>
      <c r="J370" s="44" t="str">
        <f t="shared" si="52"/>
        <v>141411-60140-20</v>
      </c>
      <c r="K370" s="59" t="str">
        <f t="shared" si="48"/>
        <v>PD26010253</v>
      </c>
      <c r="L370" s="46" t="str" cm="1">
        <f t="array" ref="L370">IFERROR(_xlfn.IFS(
    LEN($A370)-LEN(SUBSTITUTE($A370,"|",""))=12, RIGHT(A370, LEN(A370)-FIND("~", SUBSTITUTE(A370,"|","~", LEN(A370)-LEN(SUBSTITUTE(A370,"|",""))))),
    LEN($A370)-LEN(SUBSTITUTE($A370,"|",""))=13, MID($A370, FIND("~", SUBSTITUTE($A370,"|","~", 11))+1, FIND("~", SUBSTITUTE($A370,"|","~", 12))-FIND("~", SUBSTITUTE($A370,"|","~", 11))-1),
    LEN($A370)-LEN(SUBSTITUTE($A370,"|",""))=14, MID($A370, FIND("~", SUBSTITUTE($A370,"|","~", 11))+1, FIND("~", SUBSTITUTE($A370,"|","~", 12))-FIND("~", SUBSTITUTE($A370,"|","~", 11))-1)
), "")</f>
        <v>663961</v>
      </c>
      <c r="M370" s="47" t="str">
        <f t="shared" si="46"/>
        <v>2B2600079</v>
      </c>
      <c r="N370" s="46" t="str">
        <f t="shared" si="49"/>
        <v/>
      </c>
      <c r="O370" s="60" t="s">
        <v>35</v>
      </c>
      <c r="P370" s="60" t="s">
        <v>35</v>
      </c>
      <c r="Q370" s="48">
        <v>456</v>
      </c>
      <c r="R370" s="48">
        <v>236</v>
      </c>
      <c r="S370" s="48"/>
      <c r="T370" s="48"/>
      <c r="U370" s="49">
        <v>180</v>
      </c>
      <c r="V370" s="49">
        <v>455</v>
      </c>
      <c r="W370" s="50">
        <f t="shared" si="47"/>
        <v>635</v>
      </c>
      <c r="X370" s="51">
        <f>IF(A370="", "", IF(COUNTIFS(C$3:C369, C370, D$3:D369, D370, G$3:G369, G370) &gt; 0, "", "11:00"-AW370))</f>
        <v>0.39583333333333326</v>
      </c>
      <c r="Y370" s="52" t="str">
        <f t="shared" si="53"/>
        <v>1:40</v>
      </c>
      <c r="Z370" s="53"/>
      <c r="AA370" s="54"/>
      <c r="AB370" s="53">
        <v>2.0833333333333332E-2</v>
      </c>
      <c r="AC370" s="54" t="s">
        <v>67</v>
      </c>
      <c r="AD370" s="53"/>
      <c r="AE370" s="54"/>
      <c r="AF370" s="53"/>
      <c r="AG370" s="54"/>
      <c r="AH370" s="55">
        <v>4.1666666666666699E-2</v>
      </c>
      <c r="AI370" s="53"/>
      <c r="AJ370" s="54"/>
      <c r="AK370" s="53"/>
      <c r="AL370" s="54"/>
      <c r="AM370" s="53"/>
      <c r="AN370" s="54"/>
      <c r="AO370" s="53"/>
      <c r="AP370" s="54"/>
      <c r="AQ370" s="53"/>
      <c r="AR370" s="54"/>
      <c r="AS370" s="53"/>
      <c r="AT370" s="54"/>
      <c r="AU370" s="53">
        <v>4.1666666666666699E-2</v>
      </c>
      <c r="AV370" s="54" t="s">
        <v>37</v>
      </c>
      <c r="AW370" s="57">
        <f t="shared" si="50"/>
        <v>6.2500000000000028E-2</v>
      </c>
      <c r="AX370" s="58" t="s">
        <v>48</v>
      </c>
    </row>
    <row r="371" spans="1:50" ht="21" customHeight="1">
      <c r="A371" s="38" t="s">
        <v>377</v>
      </c>
      <c r="B371" s="39">
        <f t="shared" si="54"/>
        <v>367</v>
      </c>
      <c r="C371" s="40">
        <v>46034</v>
      </c>
      <c r="D371" s="40" t="s">
        <v>32</v>
      </c>
      <c r="E371" s="40" t="s">
        <v>81</v>
      </c>
      <c r="F371" s="41">
        <v>14</v>
      </c>
      <c r="G371" s="42" t="s">
        <v>41</v>
      </c>
      <c r="H371" s="43" t="str">
        <f>IFERROR(VLOOKUP($J371,'[9]FROM (3)'!$E$4:$F$230,2,FALSE),"")</f>
        <v>DNTH</v>
      </c>
      <c r="I371" s="44" t="str">
        <f t="shared" si="51"/>
        <v>Pinion Starter 2 W</v>
      </c>
      <c r="J371" s="44" t="str">
        <f t="shared" si="52"/>
        <v>TGY28987-0060</v>
      </c>
      <c r="K371" s="59" t="str">
        <f t="shared" si="48"/>
        <v>PD26010423</v>
      </c>
      <c r="L371" s="46" t="str" cm="1">
        <f t="array" ref="L371">IFERROR(_xlfn.IFS(
    LEN($A371)-LEN(SUBSTITUTE($A371,"|",""))=12, RIGHT(A371, LEN(A371)-FIND("~", SUBSTITUTE(A371,"|","~", LEN(A371)-LEN(SUBSTITUTE(A371,"|",""))))),
    LEN($A371)-LEN(SUBSTITUTE($A371,"|",""))=13, MID($A371, FIND("~", SUBSTITUTE($A371,"|","~", 11))+1, FIND("~", SUBSTITUTE($A371,"|","~", 12))-FIND("~", SUBSTITUTE($A371,"|","~", 11))-1),
    LEN($A371)-LEN(SUBSTITUTE($A371,"|",""))=14, MID($A371, FIND("~", SUBSTITUTE($A371,"|","~", 11))+1, FIND("~", SUBSTITUTE($A371,"|","~", 12))-FIND("~", SUBSTITUTE($A371,"|","~", 11))-1)
), "")</f>
        <v>E586056</v>
      </c>
      <c r="M371" s="47" t="str">
        <f t="shared" si="46"/>
        <v>SB010037/3/26</v>
      </c>
      <c r="N371" s="46" t="str">
        <f t="shared" si="49"/>
        <v/>
      </c>
      <c r="O371" s="60">
        <v>16</v>
      </c>
      <c r="P371" s="60">
        <v>1092</v>
      </c>
      <c r="Q371" s="48">
        <v>2522</v>
      </c>
      <c r="R371" s="48">
        <v>421</v>
      </c>
      <c r="S371" s="48"/>
      <c r="T371" s="48"/>
      <c r="U371" s="49"/>
      <c r="V371" s="49"/>
      <c r="W371" s="50">
        <f t="shared" si="47"/>
        <v>0</v>
      </c>
      <c r="X371" s="51" t="str">
        <f>IF(A371="", "", IF(COUNTIFS(C$3:C370, C371, D$3:D370, D371, G$3:G370, G371) &gt; 0, "", "11:00"-AW371))</f>
        <v/>
      </c>
      <c r="Y371" s="52" t="str">
        <f t="shared" si="53"/>
        <v/>
      </c>
      <c r="Z371" s="53"/>
      <c r="AA371" s="54"/>
      <c r="AB371" s="53"/>
      <c r="AC371" s="54"/>
      <c r="AD371" s="53"/>
      <c r="AE371" s="54"/>
      <c r="AF371" s="53"/>
      <c r="AG371" s="54"/>
      <c r="AH371" s="55">
        <v>4.1666666666666699E-2</v>
      </c>
      <c r="AI371" s="53"/>
      <c r="AJ371" s="54"/>
      <c r="AK371" s="53"/>
      <c r="AL371" s="54"/>
      <c r="AM371" s="53"/>
      <c r="AN371" s="54"/>
      <c r="AO371" s="53"/>
      <c r="AP371" s="54"/>
      <c r="AQ371" s="53"/>
      <c r="AR371" s="54"/>
      <c r="AS371" s="53"/>
      <c r="AT371" s="54"/>
      <c r="AU371" s="53">
        <v>4.1666666666666699E-2</v>
      </c>
      <c r="AV371" s="54" t="s">
        <v>37</v>
      </c>
      <c r="AW371" s="57">
        <f t="shared" si="50"/>
        <v>4.1666666666666699E-2</v>
      </c>
      <c r="AX371" s="58" t="s">
        <v>48</v>
      </c>
    </row>
    <row r="372" spans="1:50" ht="21" customHeight="1">
      <c r="A372" s="38" t="s">
        <v>236</v>
      </c>
      <c r="B372" s="39">
        <f t="shared" si="54"/>
        <v>368</v>
      </c>
      <c r="C372" s="40">
        <v>46034</v>
      </c>
      <c r="D372" s="40" t="s">
        <v>32</v>
      </c>
      <c r="E372" s="40" t="s">
        <v>81</v>
      </c>
      <c r="F372" s="41">
        <v>25.35</v>
      </c>
      <c r="G372" s="42" t="s">
        <v>44</v>
      </c>
      <c r="H372" s="43" t="str">
        <f>IFERROR(VLOOKUP($J372,'[9]FROM (3)'!$E$4:$F$230,2,FALSE),"")</f>
        <v>KYOWA NT</v>
      </c>
      <c r="I372" s="44" t="str">
        <f t="shared" si="51"/>
        <v>PIN</v>
      </c>
      <c r="J372" s="44" t="str">
        <f t="shared" si="52"/>
        <v>8306T0036</v>
      </c>
      <c r="K372" s="59" t="str">
        <f t="shared" si="48"/>
        <v>PD25121321</v>
      </c>
      <c r="L372" s="46" t="str" cm="1">
        <f t="array" ref="L372">IFERROR(_xlfn.IFS(
    LEN($A372)-LEN(SUBSTITUTE($A372,"|",""))=12, RIGHT(A372, LEN(A372)-FIND("~", SUBSTITUTE(A372,"|","~", LEN(A372)-LEN(SUBSTITUTE(A372,"|",""))))),
    LEN($A372)-LEN(SUBSTITUTE($A372,"|",""))=13, MID($A372, FIND("~", SUBSTITUTE($A372,"|","~", 11))+1, FIND("~", SUBSTITUTE($A372,"|","~", 12))-FIND("~", SUBSTITUTE($A372,"|","~", 11))-1),
    LEN($A372)-LEN(SUBSTITUTE($A372,"|",""))=14, MID($A372, FIND("~", SUBSTITUTE($A372,"|","~", 11))+1, FIND("~", SUBSTITUTE($A372,"|","~", 12))-FIND("~", SUBSTITUTE($A372,"|","~", 11))-1)
), "")</f>
        <v>665573</v>
      </c>
      <c r="M372" s="47" t="str">
        <f t="shared" si="46"/>
        <v>SB120110/2/25</v>
      </c>
      <c r="N372" s="46" t="str">
        <f t="shared" si="49"/>
        <v/>
      </c>
      <c r="O372" s="60" t="s">
        <v>35</v>
      </c>
      <c r="P372" s="60" t="s">
        <v>35</v>
      </c>
      <c r="Q372" s="48">
        <v>8000</v>
      </c>
      <c r="R372" s="48">
        <v>203</v>
      </c>
      <c r="S372" s="48"/>
      <c r="T372" s="48"/>
      <c r="U372" s="49">
        <v>67</v>
      </c>
      <c r="V372" s="49">
        <v>133</v>
      </c>
      <c r="W372" s="50">
        <f t="shared" si="47"/>
        <v>200</v>
      </c>
      <c r="X372" s="51">
        <f>IF(A372="", "", IF(COUNTIFS(C$3:C371, C372, D$3:D371, D372, G$3:G371, G372) &gt; 0, "", "11:00"-AW372))</f>
        <v>0.41666666666666663</v>
      </c>
      <c r="Y372" s="52" t="str">
        <f t="shared" si="53"/>
        <v>1:40</v>
      </c>
      <c r="Z372" s="53"/>
      <c r="AA372" s="54"/>
      <c r="AB372" s="53"/>
      <c r="AC372" s="54"/>
      <c r="AD372" s="53"/>
      <c r="AE372" s="54"/>
      <c r="AF372" s="53"/>
      <c r="AG372" s="54"/>
      <c r="AH372" s="55">
        <v>4.1666666666666699E-2</v>
      </c>
      <c r="AI372" s="53"/>
      <c r="AJ372" s="54"/>
      <c r="AK372" s="53"/>
      <c r="AL372" s="54"/>
      <c r="AM372" s="53"/>
      <c r="AN372" s="54"/>
      <c r="AO372" s="53"/>
      <c r="AP372" s="54"/>
      <c r="AQ372" s="53"/>
      <c r="AR372" s="54"/>
      <c r="AS372" s="53"/>
      <c r="AT372" s="54"/>
      <c r="AU372" s="53">
        <v>4.1666666666666699E-2</v>
      </c>
      <c r="AV372" s="54" t="s">
        <v>37</v>
      </c>
      <c r="AW372" s="57">
        <f t="shared" si="50"/>
        <v>4.1666666666666699E-2</v>
      </c>
      <c r="AX372" s="58" t="s">
        <v>48</v>
      </c>
    </row>
    <row r="373" spans="1:50" ht="21" customHeight="1">
      <c r="A373" s="38" t="s">
        <v>378</v>
      </c>
      <c r="B373" s="39">
        <f t="shared" si="54"/>
        <v>369</v>
      </c>
      <c r="C373" s="40">
        <v>46034</v>
      </c>
      <c r="D373" s="40" t="s">
        <v>32</v>
      </c>
      <c r="E373" s="40" t="s">
        <v>81</v>
      </c>
      <c r="F373" s="41">
        <v>85</v>
      </c>
      <c r="G373" s="42" t="s">
        <v>85</v>
      </c>
      <c r="H373" s="43" t="str">
        <f>IFERROR(VLOOKUP($J373,'[9]FROM (3)'!$E$4:$F$230,2,FALSE),"")</f>
        <v>DNTH</v>
      </c>
      <c r="I373" s="44" t="str">
        <f t="shared" si="51"/>
        <v>Barrel</v>
      </c>
      <c r="J373" s="44" t="str">
        <f t="shared" si="52"/>
        <v>TG028986-0050</v>
      </c>
      <c r="K373" s="59" t="str">
        <f t="shared" si="48"/>
        <v>PD26010421</v>
      </c>
      <c r="L373" s="46" t="str" cm="1">
        <f t="array" ref="L373">IFERROR(_xlfn.IFS(
    LEN($A373)-LEN(SUBSTITUTE($A373,"|",""))=12, RIGHT(A373, LEN(A373)-FIND("~", SUBSTITUTE(A373,"|","~", LEN(A373)-LEN(SUBSTITUTE(A373,"|",""))))),
    LEN($A373)-LEN(SUBSTITUTE($A373,"|",""))=13, MID($A373, FIND("~", SUBSTITUTE($A373,"|","~", 11))+1, FIND("~", SUBSTITUTE($A373,"|","~", 12))-FIND("~", SUBSTITUTE($A373,"|","~", 11))-1),
    LEN($A373)-LEN(SUBSTITUTE($A373,"|",""))=14, MID($A373, FIND("~", SUBSTITUTE($A373,"|","~", 11))+1, FIND("~", SUBSTITUTE($A373,"|","~", 12))-FIND("~", SUBSTITUTE($A373,"|","~", 11))-1)
), "")</f>
        <v>E484264</v>
      </c>
      <c r="M373" s="47" t="str">
        <f t="shared" si="46"/>
        <v>SB010035/1/26</v>
      </c>
      <c r="N373" s="46" t="str">
        <f t="shared" si="49"/>
        <v/>
      </c>
      <c r="O373" s="60">
        <v>76</v>
      </c>
      <c r="P373" s="60">
        <v>1034</v>
      </c>
      <c r="Q373" s="48">
        <v>4299</v>
      </c>
      <c r="R373" s="48">
        <v>365</v>
      </c>
      <c r="S373" s="48"/>
      <c r="T373" s="48"/>
      <c r="U373" s="49"/>
      <c r="V373" s="49"/>
      <c r="W373" s="50">
        <f t="shared" si="47"/>
        <v>0</v>
      </c>
      <c r="X373" s="51">
        <f>IF(A373="", "", IF(COUNTIFS(C$3:C372, C373, D$3:D372, D373, G$3:G372, G373) &gt; 0, "", "11:00"-AW373))</f>
        <v>0.37499999999999994</v>
      </c>
      <c r="Y373" s="52" t="str">
        <f t="shared" si="53"/>
        <v>1:40</v>
      </c>
      <c r="Z373" s="53">
        <v>4.1666666666666664E-2</v>
      </c>
      <c r="AA373" s="54" t="s">
        <v>237</v>
      </c>
      <c r="AB373" s="53"/>
      <c r="AC373" s="54"/>
      <c r="AD373" s="53"/>
      <c r="AE373" s="54"/>
      <c r="AF373" s="53"/>
      <c r="AG373" s="54"/>
      <c r="AH373" s="55">
        <v>4.1666666666666699E-2</v>
      </c>
      <c r="AI373" s="53"/>
      <c r="AJ373" s="54"/>
      <c r="AK373" s="53"/>
      <c r="AL373" s="54"/>
      <c r="AM373" s="53"/>
      <c r="AN373" s="54"/>
      <c r="AO373" s="53"/>
      <c r="AP373" s="54"/>
      <c r="AQ373" s="53"/>
      <c r="AR373" s="54"/>
      <c r="AS373" s="53"/>
      <c r="AT373" s="54"/>
      <c r="AU373" s="53">
        <v>4.1666666666666699E-2</v>
      </c>
      <c r="AV373" s="54" t="s">
        <v>37</v>
      </c>
      <c r="AW373" s="57">
        <f t="shared" si="50"/>
        <v>8.333333333333337E-2</v>
      </c>
      <c r="AX373" s="58" t="s">
        <v>48</v>
      </c>
    </row>
    <row r="374" spans="1:50" ht="21" customHeight="1">
      <c r="A374" s="38" t="s">
        <v>379</v>
      </c>
      <c r="B374" s="39">
        <f t="shared" si="54"/>
        <v>370</v>
      </c>
      <c r="C374" s="40">
        <v>46034</v>
      </c>
      <c r="D374" s="40" t="s">
        <v>32</v>
      </c>
      <c r="E374" s="40" t="s">
        <v>81</v>
      </c>
      <c r="F374" s="41">
        <v>699</v>
      </c>
      <c r="G374" s="42" t="s">
        <v>108</v>
      </c>
      <c r="H374" s="43" t="str">
        <f>IFERROR(VLOOKUP($J374,'[9]FROM (3)'!$E$4:$F$230,2,FALSE),"")</f>
        <v>SIAM NSK</v>
      </c>
      <c r="I374" s="44" t="str">
        <f t="shared" si="51"/>
        <v>SHAFT SPLINE</v>
      </c>
      <c r="J374" s="44" t="str">
        <f t="shared" si="52"/>
        <v>2550S0666P</v>
      </c>
      <c r="K374" s="59" t="str">
        <f t="shared" si="48"/>
        <v>PD26010539</v>
      </c>
      <c r="L374" s="46" t="str" cm="1">
        <f t="array" ref="L374">IFERROR(_xlfn.IFS(
    LEN($A374)-LEN(SUBSTITUTE($A374,"|",""))=12, RIGHT(A374, LEN(A374)-FIND("~", SUBSTITUTE(A374,"|","~", LEN(A374)-LEN(SUBSTITUTE(A374,"|",""))))),
    LEN($A374)-LEN(SUBSTITUTE($A374,"|",""))=13, MID($A374, FIND("~", SUBSTITUTE($A374,"|","~", 11))+1, FIND("~", SUBSTITUTE($A374,"|","~", 12))-FIND("~", SUBSTITUTE($A374,"|","~", 11))-1),
    LEN($A374)-LEN(SUBSTITUTE($A374,"|",""))=14, MID($A374, FIND("~", SUBSTITUTE($A374,"|","~", 11))+1, FIND("~", SUBSTITUTE($A374,"|","~", 12))-FIND("~", SUBSTITUTE($A374,"|","~", 11))-1)
), "")</f>
        <v>E484056</v>
      </c>
      <c r="M374" s="47" t="str">
        <f t="shared" si="46"/>
        <v>SB010031/3/26</v>
      </c>
      <c r="N374" s="46" t="str">
        <f t="shared" si="49"/>
        <v/>
      </c>
      <c r="O374" s="60">
        <v>64</v>
      </c>
      <c r="P374" s="60">
        <v>1040</v>
      </c>
      <c r="Q374" s="48">
        <v>1428</v>
      </c>
      <c r="R374" s="48">
        <v>998</v>
      </c>
      <c r="S374" s="48"/>
      <c r="T374" s="48"/>
      <c r="U374" s="49"/>
      <c r="V374" s="49"/>
      <c r="W374" s="50">
        <f t="shared" si="47"/>
        <v>0</v>
      </c>
      <c r="X374" s="51">
        <f>IF(A374="", "", IF(COUNTIFS(C$3:C373, C374, D$3:D373, D374, G$3:G373, G374) &gt; 0, "", "11:00"-AW374))</f>
        <v>0.33333333333333326</v>
      </c>
      <c r="Y374" s="52" t="str">
        <f t="shared" si="53"/>
        <v>1:40</v>
      </c>
      <c r="Z374" s="53">
        <v>4.1666666666666664E-2</v>
      </c>
      <c r="AA374" s="54" t="s">
        <v>129</v>
      </c>
      <c r="AB374" s="53">
        <v>4.1666666666666664E-2</v>
      </c>
      <c r="AC374" s="54" t="s">
        <v>237</v>
      </c>
      <c r="AD374" s="53"/>
      <c r="AE374" s="54"/>
      <c r="AF374" s="53"/>
      <c r="AG374" s="54"/>
      <c r="AH374" s="55">
        <v>4.1666666666666699E-2</v>
      </c>
      <c r="AI374" s="53"/>
      <c r="AJ374" s="54"/>
      <c r="AK374" s="53"/>
      <c r="AL374" s="54"/>
      <c r="AM374" s="53"/>
      <c r="AN374" s="54"/>
      <c r="AO374" s="53"/>
      <c r="AP374" s="54"/>
      <c r="AQ374" s="53"/>
      <c r="AR374" s="54"/>
      <c r="AS374" s="53"/>
      <c r="AT374" s="54"/>
      <c r="AU374" s="53">
        <v>4.1666666666666699E-2</v>
      </c>
      <c r="AV374" s="54" t="s">
        <v>37</v>
      </c>
      <c r="AW374" s="57">
        <f t="shared" si="50"/>
        <v>0.12500000000000003</v>
      </c>
      <c r="AX374" s="58" t="s">
        <v>380</v>
      </c>
    </row>
    <row r="375" spans="1:50" ht="21" customHeight="1">
      <c r="A375" s="38" t="s">
        <v>381</v>
      </c>
      <c r="B375" s="39">
        <f t="shared" si="54"/>
        <v>371</v>
      </c>
      <c r="C375" s="40">
        <v>46034</v>
      </c>
      <c r="D375" s="40" t="s">
        <v>32</v>
      </c>
      <c r="E375" s="40" t="s">
        <v>81</v>
      </c>
      <c r="F375" s="41">
        <v>699</v>
      </c>
      <c r="G375" s="42" t="s">
        <v>108</v>
      </c>
      <c r="H375" s="43" t="str">
        <f>IFERROR(VLOOKUP($J375,'[9]FROM (3)'!$E$4:$F$230,2,FALSE),"")</f>
        <v>SIAM NSK</v>
      </c>
      <c r="I375" s="44" t="str">
        <f t="shared" si="51"/>
        <v>SHAFT SPLINE</v>
      </c>
      <c r="J375" s="44" t="str">
        <f t="shared" si="52"/>
        <v>2550S0666P</v>
      </c>
      <c r="K375" s="59" t="str">
        <f t="shared" si="48"/>
        <v>PD26010539</v>
      </c>
      <c r="L375" s="46" t="str" cm="1">
        <f t="array" ref="L375">IFERROR(_xlfn.IFS(
    LEN($A375)-LEN(SUBSTITUTE($A375,"|",""))=12, RIGHT(A375, LEN(A375)-FIND("~", SUBSTITUTE(A375,"|","~", LEN(A375)-LEN(SUBSTITUTE(A375,"|",""))))),
    LEN($A375)-LEN(SUBSTITUTE($A375,"|",""))=13, MID($A375, FIND("~", SUBSTITUTE($A375,"|","~", 11))+1, FIND("~", SUBSTITUTE($A375,"|","~", 12))-FIND("~", SUBSTITUTE($A375,"|","~", 11))-1),
    LEN($A375)-LEN(SUBSTITUTE($A375,"|",""))=14, MID($A375, FIND("~", SUBSTITUTE($A375,"|","~", 11))+1, FIND("~", SUBSTITUTE($A375,"|","~", 12))-FIND("~", SUBSTITUTE($A375,"|","~", 11))-1)
), "")</f>
        <v>E484056</v>
      </c>
      <c r="M375" s="47" t="str">
        <f t="shared" si="46"/>
        <v>SB010031/4/26</v>
      </c>
      <c r="N375" s="46" t="str">
        <f t="shared" si="49"/>
        <v/>
      </c>
      <c r="O375" s="60">
        <v>64</v>
      </c>
      <c r="P375" s="60">
        <v>1040</v>
      </c>
      <c r="Q375" s="48">
        <v>1430</v>
      </c>
      <c r="R375" s="48">
        <v>1000</v>
      </c>
      <c r="S375" s="48"/>
      <c r="T375" s="48"/>
      <c r="U375" s="49">
        <v>58</v>
      </c>
      <c r="V375" s="49">
        <v>18</v>
      </c>
      <c r="W375" s="50">
        <f t="shared" si="47"/>
        <v>76</v>
      </c>
      <c r="X375" s="51" t="str">
        <f>IF(A375="", "", IF(COUNTIFS(C$3:C374, C375, D$3:D374, D375, G$3:G374, G375) &gt; 0, "", "11:00"-AW375))</f>
        <v/>
      </c>
      <c r="Y375" s="52" t="str">
        <f t="shared" si="53"/>
        <v/>
      </c>
      <c r="Z375" s="53"/>
      <c r="AA375" s="54"/>
      <c r="AB375" s="53"/>
      <c r="AC375" s="54"/>
      <c r="AD375" s="53"/>
      <c r="AE375" s="54"/>
      <c r="AF375" s="53"/>
      <c r="AG375" s="54"/>
      <c r="AH375" s="55">
        <v>4.1666666666666699E-2</v>
      </c>
      <c r="AI375" s="53"/>
      <c r="AJ375" s="54"/>
      <c r="AK375" s="53"/>
      <c r="AL375" s="54"/>
      <c r="AM375" s="53"/>
      <c r="AN375" s="54"/>
      <c r="AO375" s="53"/>
      <c r="AP375" s="54"/>
      <c r="AQ375" s="53"/>
      <c r="AR375" s="54"/>
      <c r="AS375" s="53"/>
      <c r="AT375" s="54"/>
      <c r="AU375" s="53">
        <v>4.1666666666666699E-2</v>
      </c>
      <c r="AV375" s="54" t="s">
        <v>37</v>
      </c>
      <c r="AW375" s="57">
        <f t="shared" si="50"/>
        <v>4.1666666666666699E-2</v>
      </c>
      <c r="AX375" s="58" t="s">
        <v>380</v>
      </c>
    </row>
    <row r="376" spans="1:50" ht="21" customHeight="1">
      <c r="A376" s="38" t="s">
        <v>358</v>
      </c>
      <c r="B376" s="39">
        <f t="shared" si="54"/>
        <v>372</v>
      </c>
      <c r="C376" s="40">
        <v>46034</v>
      </c>
      <c r="D376" s="40" t="s">
        <v>32</v>
      </c>
      <c r="E376" s="40" t="s">
        <v>33</v>
      </c>
      <c r="F376" s="41">
        <v>375</v>
      </c>
      <c r="G376" s="42" t="s">
        <v>172</v>
      </c>
      <c r="H376" s="43" t="str">
        <f>IFERROR(VLOOKUP($J376,'[9]FROM (3)'!$E$4:$F$230,2,FALSE),"")</f>
        <v>ATAC</v>
      </c>
      <c r="I376" s="44" t="str">
        <f t="shared" si="51"/>
        <v>SEAT,WATER PUMP PULLEY</v>
      </c>
      <c r="J376" s="44" t="str">
        <f t="shared" si="52"/>
        <v>16171-05030</v>
      </c>
      <c r="K376" s="59" t="str">
        <f t="shared" si="48"/>
        <v>PD26010246</v>
      </c>
      <c r="L376" s="46" t="str" cm="1">
        <f t="array" ref="L376">IFERROR(_xlfn.IFS(
    LEN($A376)-LEN(SUBSTITUTE($A376,"|",""))=12, RIGHT(A376, LEN(A376)-FIND("~", SUBSTITUTE(A376,"|","~", LEN(A376)-LEN(SUBSTITUTE(A376,"|",""))))),
    LEN($A376)-LEN(SUBSTITUTE($A376,"|",""))=13, MID($A376, FIND("~", SUBSTITUTE($A376,"|","~", 11))+1, FIND("~", SUBSTITUTE($A376,"|","~", 12))-FIND("~", SUBSTITUTE($A376,"|","~", 11))-1),
    LEN($A376)-LEN(SUBSTITUTE($A376,"|",""))=14, MID($A376, FIND("~", SUBSTITUTE($A376,"|","~", 11))+1, FIND("~", SUBSTITUTE($A376,"|","~", 12))-FIND("~", SUBSTITUTE($A376,"|","~", 11))-1)
), "")</f>
        <v>665898</v>
      </c>
      <c r="M376" s="47" t="str">
        <f t="shared" si="46"/>
        <v>SB010013/6/26</v>
      </c>
      <c r="N376" s="46" t="str">
        <f t="shared" si="49"/>
        <v/>
      </c>
      <c r="O376" s="60" t="s">
        <v>35</v>
      </c>
      <c r="P376" s="60" t="s">
        <v>35</v>
      </c>
      <c r="Q376" s="48">
        <v>1853</v>
      </c>
      <c r="R376" s="48">
        <v>695</v>
      </c>
      <c r="S376" s="48"/>
      <c r="T376" s="48"/>
      <c r="U376" s="49">
        <v>43</v>
      </c>
      <c r="V376" s="49">
        <v>169</v>
      </c>
      <c r="W376" s="50">
        <f t="shared" si="47"/>
        <v>212</v>
      </c>
      <c r="X376" s="51">
        <f>IF(A376="", "", IF(COUNTIFS(C$3:C375, C376, D$3:D375, D376, G$3:G375, G376) &gt; 0, "", "11:00"-AW376))</f>
        <v>0.41666666666666663</v>
      </c>
      <c r="Y376" s="52" t="str">
        <f t="shared" si="53"/>
        <v>1:40</v>
      </c>
      <c r="Z376" s="53"/>
      <c r="AA376" s="54"/>
      <c r="AB376" s="53"/>
      <c r="AC376" s="54"/>
      <c r="AD376" s="53"/>
      <c r="AE376" s="54"/>
      <c r="AF376" s="53"/>
      <c r="AG376" s="54"/>
      <c r="AH376" s="55">
        <v>4.1666666666666699E-2</v>
      </c>
      <c r="AI376" s="53"/>
      <c r="AJ376" s="54"/>
      <c r="AK376" s="53"/>
      <c r="AL376" s="54"/>
      <c r="AM376" s="53"/>
      <c r="AN376" s="54"/>
      <c r="AO376" s="53"/>
      <c r="AP376" s="54"/>
      <c r="AQ376" s="53"/>
      <c r="AR376" s="54"/>
      <c r="AS376" s="53"/>
      <c r="AT376" s="54"/>
      <c r="AU376" s="53">
        <v>4.1666666666666699E-2</v>
      </c>
      <c r="AV376" s="54" t="s">
        <v>37</v>
      </c>
      <c r="AW376" s="57">
        <f t="shared" si="50"/>
        <v>4.1666666666666699E-2</v>
      </c>
      <c r="AX376" s="58" t="s">
        <v>380</v>
      </c>
    </row>
    <row r="377" spans="1:50" ht="21" customHeight="1">
      <c r="A377" s="38" t="s">
        <v>382</v>
      </c>
      <c r="B377" s="39">
        <f t="shared" si="54"/>
        <v>373</v>
      </c>
      <c r="C377" s="40">
        <v>46034</v>
      </c>
      <c r="D377" s="40" t="s">
        <v>32</v>
      </c>
      <c r="E377" s="40" t="s">
        <v>33</v>
      </c>
      <c r="F377" s="41">
        <v>375</v>
      </c>
      <c r="G377" s="42" t="s">
        <v>172</v>
      </c>
      <c r="H377" s="43" t="str">
        <f>IFERROR(VLOOKUP($J377,'[9]FROM (3)'!$E$4:$F$230,2,FALSE),"")</f>
        <v>ATAC</v>
      </c>
      <c r="I377" s="44" t="str">
        <f t="shared" si="51"/>
        <v>SEAT,WATER PUMP PULLEY</v>
      </c>
      <c r="J377" s="44" t="str">
        <f t="shared" si="52"/>
        <v>16171-05030</v>
      </c>
      <c r="K377" s="59" t="str">
        <f t="shared" si="48"/>
        <v>PD26010245</v>
      </c>
      <c r="L377" s="46" t="str" cm="1">
        <f t="array" ref="L377">IFERROR(_xlfn.IFS(
    LEN($A377)-LEN(SUBSTITUTE($A377,"|",""))=12, RIGHT(A377, LEN(A377)-FIND("~", SUBSTITUTE(A377,"|","~", LEN(A377)-LEN(SUBSTITUTE(A377,"|",""))))),
    LEN($A377)-LEN(SUBSTITUTE($A377,"|",""))=13, MID($A377, FIND("~", SUBSTITUTE($A377,"|","~", 11))+1, FIND("~", SUBSTITUTE($A377,"|","~", 12))-FIND("~", SUBSTITUTE($A377,"|","~", 11))-1),
    LEN($A377)-LEN(SUBSTITUTE($A377,"|",""))=14, MID($A377, FIND("~", SUBSTITUTE($A377,"|","~", 11))+1, FIND("~", SUBSTITUTE($A377,"|","~", 12))-FIND("~", SUBSTITUTE($A377,"|","~", 11))-1)
), "")</f>
        <v>665898</v>
      </c>
      <c r="M377" s="47" t="str">
        <f t="shared" si="46"/>
        <v>SB010013/2/26</v>
      </c>
      <c r="N377" s="46" t="str">
        <f t="shared" si="49"/>
        <v/>
      </c>
      <c r="O377" s="60">
        <v>14</v>
      </c>
      <c r="P377" s="60">
        <v>990</v>
      </c>
      <c r="Q377" s="48">
        <v>965</v>
      </c>
      <c r="R377" s="48">
        <v>362</v>
      </c>
      <c r="S377" s="48"/>
      <c r="T377" s="48"/>
      <c r="U377" s="49"/>
      <c r="V377" s="49"/>
      <c r="W377" s="50">
        <f t="shared" si="47"/>
        <v>0</v>
      </c>
      <c r="X377" s="51" t="str">
        <f>IF(A377="", "", IF(COUNTIFS(C$3:C376, C377, D$3:D376, D377, G$3:G376, G377) &gt; 0, "", "11:00"-AW377))</f>
        <v/>
      </c>
      <c r="Y377" s="52" t="str">
        <f t="shared" si="53"/>
        <v/>
      </c>
      <c r="Z377" s="53"/>
      <c r="AA377" s="54"/>
      <c r="AB377" s="53"/>
      <c r="AC377" s="54"/>
      <c r="AD377" s="53"/>
      <c r="AE377" s="54"/>
      <c r="AF377" s="53"/>
      <c r="AG377" s="54"/>
      <c r="AH377" s="55">
        <v>4.1666666666666699E-2</v>
      </c>
      <c r="AI377" s="53"/>
      <c r="AJ377" s="54"/>
      <c r="AK377" s="53"/>
      <c r="AL377" s="54"/>
      <c r="AM377" s="53"/>
      <c r="AN377" s="54"/>
      <c r="AO377" s="53"/>
      <c r="AP377" s="54"/>
      <c r="AQ377" s="53"/>
      <c r="AR377" s="54"/>
      <c r="AS377" s="53"/>
      <c r="AT377" s="54"/>
      <c r="AU377" s="53">
        <v>4.1666666666666699E-2</v>
      </c>
      <c r="AV377" s="54" t="s">
        <v>37</v>
      </c>
      <c r="AW377" s="57">
        <f t="shared" si="50"/>
        <v>4.1666666666666699E-2</v>
      </c>
      <c r="AX377" s="58" t="s">
        <v>380</v>
      </c>
    </row>
    <row r="378" spans="1:50" ht="21" customHeight="1">
      <c r="A378" s="38" t="s">
        <v>383</v>
      </c>
      <c r="B378" s="39">
        <f t="shared" si="54"/>
        <v>374</v>
      </c>
      <c r="C378" s="40">
        <v>46034</v>
      </c>
      <c r="D378" s="40" t="s">
        <v>32</v>
      </c>
      <c r="E378" s="40" t="s">
        <v>33</v>
      </c>
      <c r="F378" s="41">
        <v>191</v>
      </c>
      <c r="G378" s="42" t="s">
        <v>46</v>
      </c>
      <c r="H378" s="43" t="str">
        <f>IFERROR(VLOOKUP($J378,'[9]FROM (3)'!$E$4:$F$230,2,FALSE),"")</f>
        <v>SIAM NSK</v>
      </c>
      <c r="I378" s="44" t="str">
        <f t="shared" si="51"/>
        <v>STG.SHAFT</v>
      </c>
      <c r="J378" s="44" t="str">
        <f t="shared" si="52"/>
        <v>2528S0250C</v>
      </c>
      <c r="K378" s="59" t="str">
        <f t="shared" si="48"/>
        <v>PD26010425</v>
      </c>
      <c r="L378" s="46" t="str" cm="1">
        <f t="array" ref="L378">IFERROR(_xlfn.IFS(
    LEN($A378)-LEN(SUBSTITUTE($A378,"|",""))=12, RIGHT(A378, LEN(A378)-FIND("~", SUBSTITUTE(A378,"|","~", LEN(A378)-LEN(SUBSTITUTE(A378,"|",""))))),
    LEN($A378)-LEN(SUBSTITUTE($A378,"|",""))=13, MID($A378, FIND("~", SUBSTITUTE($A378,"|","~", 11))+1, FIND("~", SUBSTITUTE($A378,"|","~", 12))-FIND("~", SUBSTITUTE($A378,"|","~", 11))-1),
    LEN($A378)-LEN(SUBSTITUTE($A378,"|",""))=14, MID($A378, FIND("~", SUBSTITUTE($A378,"|","~", 11))+1, FIND("~", SUBSTITUTE($A378,"|","~", 12))-FIND("~", SUBSTITUTE($A378,"|","~", 11))-1)
), "")</f>
        <v>E484056</v>
      </c>
      <c r="M378" s="47" t="str">
        <f t="shared" si="46"/>
        <v>SB010038/3/26</v>
      </c>
      <c r="N378" s="46" t="str">
        <f t="shared" si="49"/>
        <v/>
      </c>
      <c r="O378" s="60">
        <v>82</v>
      </c>
      <c r="P378" s="60">
        <v>1000</v>
      </c>
      <c r="Q378" s="48">
        <v>2141</v>
      </c>
      <c r="R378" s="48">
        <v>910</v>
      </c>
      <c r="S378" s="48"/>
      <c r="T378" s="48"/>
      <c r="U378" s="49"/>
      <c r="V378" s="49"/>
      <c r="W378" s="50">
        <f t="shared" si="47"/>
        <v>0</v>
      </c>
      <c r="X378" s="51">
        <f>IF(A378="", "", IF(COUNTIFS(C$3:C377, C378, D$3:D377, D378, G$3:G377, G378) &gt; 0, "", "11:00"-AW378))</f>
        <v>0.41666666666666663</v>
      </c>
      <c r="Y378" s="52" t="str">
        <f t="shared" si="53"/>
        <v>1:40</v>
      </c>
      <c r="Z378" s="53"/>
      <c r="AA378" s="54"/>
      <c r="AB378" s="53"/>
      <c r="AC378" s="54"/>
      <c r="AD378" s="53"/>
      <c r="AE378" s="54"/>
      <c r="AF378" s="53"/>
      <c r="AG378" s="54"/>
      <c r="AH378" s="55">
        <v>4.1666666666666699E-2</v>
      </c>
      <c r="AI378" s="53"/>
      <c r="AJ378" s="54"/>
      <c r="AK378" s="53"/>
      <c r="AL378" s="54"/>
      <c r="AM378" s="53"/>
      <c r="AN378" s="54"/>
      <c r="AO378" s="53"/>
      <c r="AP378" s="54"/>
      <c r="AQ378" s="53"/>
      <c r="AR378" s="54"/>
      <c r="AS378" s="53"/>
      <c r="AT378" s="54"/>
      <c r="AU378" s="53">
        <v>4.1666666666666699E-2</v>
      </c>
      <c r="AV378" s="54" t="s">
        <v>37</v>
      </c>
      <c r="AW378" s="57">
        <f t="shared" si="50"/>
        <v>4.1666666666666699E-2</v>
      </c>
      <c r="AX378" s="58" t="s">
        <v>380</v>
      </c>
    </row>
    <row r="379" spans="1:50" ht="21" customHeight="1">
      <c r="A379" s="38" t="s">
        <v>384</v>
      </c>
      <c r="B379" s="39">
        <f t="shared" si="54"/>
        <v>375</v>
      </c>
      <c r="C379" s="40">
        <v>46034</v>
      </c>
      <c r="D379" s="40" t="s">
        <v>32</v>
      </c>
      <c r="E379" s="40" t="s">
        <v>33</v>
      </c>
      <c r="F379" s="41">
        <v>191</v>
      </c>
      <c r="G379" s="42" t="s">
        <v>46</v>
      </c>
      <c r="H379" s="43" t="str">
        <f>IFERROR(VLOOKUP($J379,'[9]FROM (3)'!$E$4:$F$230,2,FALSE),"")</f>
        <v>SIAM NSK</v>
      </c>
      <c r="I379" s="44" t="str">
        <f t="shared" si="51"/>
        <v>STG.SHAFT</v>
      </c>
      <c r="J379" s="44" t="str">
        <f t="shared" si="52"/>
        <v>2528S0250C</v>
      </c>
      <c r="K379" s="59" t="str">
        <f t="shared" si="48"/>
        <v>PD26010425</v>
      </c>
      <c r="L379" s="46" t="str" cm="1">
        <f t="array" ref="L379">IFERROR(_xlfn.IFS(
    LEN($A379)-LEN(SUBSTITUTE($A379,"|",""))=12, RIGHT(A379, LEN(A379)-FIND("~", SUBSTITUTE(A379,"|","~", LEN(A379)-LEN(SUBSTITUTE(A379,"|",""))))),
    LEN($A379)-LEN(SUBSTITUTE($A379,"|",""))=13, MID($A379, FIND("~", SUBSTITUTE($A379,"|","~", 11))+1, FIND("~", SUBSTITUTE($A379,"|","~", 12))-FIND("~", SUBSTITUTE($A379,"|","~", 11))-1),
    LEN($A379)-LEN(SUBSTITUTE($A379,"|",""))=14, MID($A379, FIND("~", SUBSTITUTE($A379,"|","~", 11))+1, FIND("~", SUBSTITUTE($A379,"|","~", 12))-FIND("~", SUBSTITUTE($A379,"|","~", 11))-1)
), "")</f>
        <v>E484056</v>
      </c>
      <c r="M379" s="47" t="str">
        <f t="shared" si="46"/>
        <v>SB010038/4/26</v>
      </c>
      <c r="N379" s="46" t="str">
        <f t="shared" si="49"/>
        <v/>
      </c>
      <c r="O379" s="60">
        <v>85</v>
      </c>
      <c r="P379" s="60">
        <v>1027</v>
      </c>
      <c r="Q379" s="48"/>
      <c r="R379" s="48"/>
      <c r="S379" s="48"/>
      <c r="T379" s="48"/>
      <c r="U379" s="49"/>
      <c r="V379" s="49"/>
      <c r="W379" s="50">
        <f t="shared" si="47"/>
        <v>0</v>
      </c>
      <c r="X379" s="51" t="str">
        <f>IF(A379="", "", IF(COUNTIFS(C$3:C378, C379, D$3:D378, D379, G$3:G378, G379) &gt; 0, "", "11:00"-AW379))</f>
        <v/>
      </c>
      <c r="Y379" s="52" t="str">
        <f t="shared" si="53"/>
        <v/>
      </c>
      <c r="Z379" s="53"/>
      <c r="AA379" s="54"/>
      <c r="AB379" s="53"/>
      <c r="AC379" s="54"/>
      <c r="AD379" s="53"/>
      <c r="AE379" s="54"/>
      <c r="AF379" s="53"/>
      <c r="AG379" s="54"/>
      <c r="AH379" s="55">
        <v>4.1666666666666699E-2</v>
      </c>
      <c r="AI379" s="53"/>
      <c r="AJ379" s="54"/>
      <c r="AK379" s="53"/>
      <c r="AL379" s="54"/>
      <c r="AM379" s="53"/>
      <c r="AN379" s="54"/>
      <c r="AO379" s="53"/>
      <c r="AP379" s="54"/>
      <c r="AQ379" s="53"/>
      <c r="AR379" s="54"/>
      <c r="AS379" s="53"/>
      <c r="AT379" s="54"/>
      <c r="AU379" s="53">
        <v>4.1666666666666699E-2</v>
      </c>
      <c r="AV379" s="54" t="s">
        <v>37</v>
      </c>
      <c r="AW379" s="57">
        <f t="shared" si="50"/>
        <v>4.1666666666666699E-2</v>
      </c>
      <c r="AX379" s="58" t="s">
        <v>380</v>
      </c>
    </row>
    <row r="380" spans="1:50" ht="21" customHeight="1">
      <c r="A380" s="38" t="s">
        <v>385</v>
      </c>
      <c r="B380" s="39">
        <f t="shared" si="54"/>
        <v>376</v>
      </c>
      <c r="C380" s="40">
        <v>46034</v>
      </c>
      <c r="D380" s="40" t="s">
        <v>32</v>
      </c>
      <c r="E380" s="40" t="s">
        <v>33</v>
      </c>
      <c r="F380" s="41">
        <v>655.4</v>
      </c>
      <c r="G380" s="42" t="s">
        <v>66</v>
      </c>
      <c r="H380" s="43" t="str">
        <f>IFERROR(VLOOKUP($J380,'[9]FROM (3)'!$E$4:$F$230,2,FALSE),"")</f>
        <v>JAMY</v>
      </c>
      <c r="I380" s="44" t="str">
        <f t="shared" si="51"/>
        <v>RACK BAR</v>
      </c>
      <c r="J380" s="44" t="str">
        <f t="shared" si="52"/>
        <v>JGC10-M09008-51-0</v>
      </c>
      <c r="K380" s="59" t="str">
        <f t="shared" si="48"/>
        <v>PD26010352</v>
      </c>
      <c r="L380" s="46" t="str" cm="1">
        <f t="array" ref="L380">IFERROR(_xlfn.IFS(
    LEN($A380)-LEN(SUBSTITUTE($A380,"|",""))=12, RIGHT(A380, LEN(A380)-FIND("~", SUBSTITUTE(A380,"|","~", LEN(A380)-LEN(SUBSTITUTE(A380,"|",""))))),
    LEN($A380)-LEN(SUBSTITUTE($A380,"|",""))=13, MID($A380, FIND("~", SUBSTITUTE($A380,"|","~", 11))+1, FIND("~", SUBSTITUTE($A380,"|","~", 12))-FIND("~", SUBSTITUTE($A380,"|","~", 11))-1),
    LEN($A380)-LEN(SUBSTITUTE($A380,"|",""))=14, MID($A380, FIND("~", SUBSTITUTE($A380,"|","~", 11))+1, FIND("~", SUBSTITUTE($A380,"|","~", 12))-FIND("~", SUBSTITUTE($A380,"|","~", 11))-1)
), "")</f>
        <v>E586966</v>
      </c>
      <c r="M380" s="47" t="str">
        <f t="shared" si="46"/>
        <v>SB010024/5/26</v>
      </c>
      <c r="N380" s="46" t="str">
        <f t="shared" si="49"/>
        <v/>
      </c>
      <c r="O380" s="60">
        <v>88</v>
      </c>
      <c r="P380" s="60">
        <v>1274</v>
      </c>
      <c r="Q380" s="48">
        <v>437</v>
      </c>
      <c r="R380" s="48">
        <v>1193</v>
      </c>
      <c r="S380" s="48"/>
      <c r="T380" s="48"/>
      <c r="U380" s="49">
        <v>103</v>
      </c>
      <c r="V380" s="49">
        <v>6</v>
      </c>
      <c r="W380" s="50">
        <f t="shared" si="47"/>
        <v>109</v>
      </c>
      <c r="X380" s="51">
        <f>IF(A380="", "", IF(COUNTIFS(C$3:C379, C380, D$3:D379, D380, G$3:G379, G380) &gt; 0, "", "11:00"-AW380))</f>
        <v>0.37499999999999994</v>
      </c>
      <c r="Y380" s="52" t="str">
        <f t="shared" si="53"/>
        <v>1:40</v>
      </c>
      <c r="Z380" s="53">
        <v>4.1666666666666664E-2</v>
      </c>
      <c r="AA380" s="54" t="s">
        <v>67</v>
      </c>
      <c r="AB380" s="53"/>
      <c r="AC380" s="54"/>
      <c r="AD380" s="53"/>
      <c r="AE380" s="54"/>
      <c r="AF380" s="53"/>
      <c r="AG380" s="54"/>
      <c r="AH380" s="55">
        <v>4.1666666666666699E-2</v>
      </c>
      <c r="AI380" s="53"/>
      <c r="AJ380" s="54"/>
      <c r="AK380" s="53"/>
      <c r="AL380" s="54"/>
      <c r="AM380" s="53"/>
      <c r="AN380" s="54"/>
      <c r="AO380" s="53"/>
      <c r="AP380" s="54"/>
      <c r="AQ380" s="53"/>
      <c r="AR380" s="54"/>
      <c r="AS380" s="53"/>
      <c r="AT380" s="54"/>
      <c r="AU380" s="53">
        <v>4.1666666666666699E-2</v>
      </c>
      <c r="AV380" s="54" t="s">
        <v>37</v>
      </c>
      <c r="AW380" s="57">
        <f t="shared" si="50"/>
        <v>8.333333333333337E-2</v>
      </c>
      <c r="AX380" s="58" t="s">
        <v>68</v>
      </c>
    </row>
    <row r="381" spans="1:50" ht="21" customHeight="1">
      <c r="A381" s="38" t="s">
        <v>386</v>
      </c>
      <c r="B381" s="39">
        <f t="shared" si="54"/>
        <v>377</v>
      </c>
      <c r="C381" s="40">
        <v>46034</v>
      </c>
      <c r="D381" s="40" t="s">
        <v>32</v>
      </c>
      <c r="E381" s="40" t="s">
        <v>33</v>
      </c>
      <c r="F381" s="41">
        <v>597.4</v>
      </c>
      <c r="G381" s="42" t="s">
        <v>66</v>
      </c>
      <c r="H381" s="43" t="str">
        <f>IFERROR(VLOOKUP($J381,'[9]FROM (3)'!$E$4:$F$230,2,FALSE),"")</f>
        <v>JTCS</v>
      </c>
      <c r="I381" s="44" t="str">
        <f t="shared" si="51"/>
        <v>Rack, MS</v>
      </c>
      <c r="J381" s="44" t="str">
        <f t="shared" si="52"/>
        <v>JGC10-003770-40-0</v>
      </c>
      <c r="K381" s="59" t="str">
        <f t="shared" si="48"/>
        <v>PD26010413</v>
      </c>
      <c r="L381" s="46" t="str" cm="1">
        <f t="array" ref="L381">IFERROR(_xlfn.IFS(
    LEN($A381)-LEN(SUBSTITUTE($A381,"|",""))=12, RIGHT(A381, LEN(A381)-FIND("~", SUBSTITUTE(A381,"|","~", LEN(A381)-LEN(SUBSTITUTE(A381,"|",""))))),
    LEN($A381)-LEN(SUBSTITUTE($A381,"|",""))=13, MID($A381, FIND("~", SUBSTITUTE($A381,"|","~", 11))+1, FIND("~", SUBSTITUTE($A381,"|","~", 12))-FIND("~", SUBSTITUTE($A381,"|","~", 11))-1),
    LEN($A381)-LEN(SUBSTITUTE($A381,"|",""))=14, MID($A381, FIND("~", SUBSTITUTE($A381,"|","~", 11))+1, FIND("~", SUBSTITUTE($A381,"|","~", 12))-FIND("~", SUBSTITUTE($A381,"|","~", 11))-1)
), "")</f>
        <v>E585970</v>
      </c>
      <c r="M381" s="47" t="str">
        <f t="shared" si="46"/>
        <v>SB010034/5/26</v>
      </c>
      <c r="N381" s="46" t="str">
        <f t="shared" si="49"/>
        <v/>
      </c>
      <c r="O381" s="60">
        <v>80</v>
      </c>
      <c r="P381" s="60">
        <v>902</v>
      </c>
      <c r="Q381" s="48">
        <v>400</v>
      </c>
      <c r="R381" s="48">
        <v>848</v>
      </c>
      <c r="S381" s="48"/>
      <c r="T381" s="48"/>
      <c r="U381" s="49"/>
      <c r="V381" s="49"/>
      <c r="W381" s="50">
        <f t="shared" si="47"/>
        <v>0</v>
      </c>
      <c r="X381" s="51" t="str">
        <f>IF(A381="", "", IF(COUNTIFS(C$3:C380, C381, D$3:D380, D381, G$3:G380, G381) &gt; 0, "", "11:00"-AW381))</f>
        <v/>
      </c>
      <c r="Y381" s="52" t="str">
        <f t="shared" si="53"/>
        <v/>
      </c>
      <c r="Z381" s="53"/>
      <c r="AA381" s="54"/>
      <c r="AB381" s="53"/>
      <c r="AC381" s="54"/>
      <c r="AD381" s="53"/>
      <c r="AE381" s="54"/>
      <c r="AF381" s="53"/>
      <c r="AG381" s="54"/>
      <c r="AH381" s="55">
        <v>4.1666666666666699E-2</v>
      </c>
      <c r="AI381" s="53"/>
      <c r="AJ381" s="54"/>
      <c r="AK381" s="53"/>
      <c r="AL381" s="54"/>
      <c r="AM381" s="53"/>
      <c r="AN381" s="54"/>
      <c r="AO381" s="53"/>
      <c r="AP381" s="54"/>
      <c r="AQ381" s="53"/>
      <c r="AR381" s="54"/>
      <c r="AS381" s="53"/>
      <c r="AT381" s="54"/>
      <c r="AU381" s="53">
        <v>4.1666666666666699E-2</v>
      </c>
      <c r="AV381" s="54" t="s">
        <v>37</v>
      </c>
      <c r="AW381" s="57">
        <f t="shared" si="50"/>
        <v>4.1666666666666699E-2</v>
      </c>
      <c r="AX381" s="58" t="s">
        <v>68</v>
      </c>
    </row>
    <row r="382" spans="1:50" ht="21" customHeight="1">
      <c r="A382" s="38" t="s">
        <v>387</v>
      </c>
      <c r="B382" s="39">
        <f t="shared" si="54"/>
        <v>378</v>
      </c>
      <c r="C382" s="40">
        <v>46034</v>
      </c>
      <c r="D382" s="40" t="s">
        <v>32</v>
      </c>
      <c r="E382" s="40" t="s">
        <v>33</v>
      </c>
      <c r="F382" s="41">
        <v>597.4</v>
      </c>
      <c r="G382" s="42" t="s">
        <v>66</v>
      </c>
      <c r="H382" s="43" t="str">
        <f>IFERROR(VLOOKUP($J382,'[9]FROM (3)'!$E$4:$F$230,2,FALSE),"")</f>
        <v>JTCS</v>
      </c>
      <c r="I382" s="44" t="str">
        <f t="shared" si="51"/>
        <v>Rack, MS</v>
      </c>
      <c r="J382" s="44" t="str">
        <f t="shared" si="52"/>
        <v>JGC10-003770-40-0</v>
      </c>
      <c r="K382" s="59" t="str">
        <f t="shared" si="48"/>
        <v>PD26010413</v>
      </c>
      <c r="L382" s="46" t="str" cm="1">
        <f t="array" ref="L382">IFERROR(_xlfn.IFS(
    LEN($A382)-LEN(SUBSTITUTE($A382,"|",""))=12, RIGHT(A382, LEN(A382)-FIND("~", SUBSTITUTE(A382,"|","~", LEN(A382)-LEN(SUBSTITUTE(A382,"|",""))))),
    LEN($A382)-LEN(SUBSTITUTE($A382,"|",""))=13, MID($A382, FIND("~", SUBSTITUTE($A382,"|","~", 11))+1, FIND("~", SUBSTITUTE($A382,"|","~", 12))-FIND("~", SUBSTITUTE($A382,"|","~", 11))-1),
    LEN($A382)-LEN(SUBSTITUTE($A382,"|",""))=14, MID($A382, FIND("~", SUBSTITUTE($A382,"|","~", 11))+1, FIND("~", SUBSTITUTE($A382,"|","~", 12))-FIND("~", SUBSTITUTE($A382,"|","~", 11))-1)
), "")</f>
        <v>E585970</v>
      </c>
      <c r="M382" s="47" t="str">
        <f t="shared" si="46"/>
        <v>SB010034/6/26</v>
      </c>
      <c r="N382" s="46" t="str">
        <f t="shared" si="49"/>
        <v/>
      </c>
      <c r="O382" s="60">
        <v>37</v>
      </c>
      <c r="P382" s="60">
        <v>417</v>
      </c>
      <c r="Q382" s="48">
        <v>183</v>
      </c>
      <c r="R382" s="48">
        <v>388</v>
      </c>
      <c r="S382" s="48"/>
      <c r="T382" s="48"/>
      <c r="U382" s="49"/>
      <c r="V382" s="49"/>
      <c r="W382" s="50">
        <f t="shared" si="47"/>
        <v>0</v>
      </c>
      <c r="X382" s="51" t="str">
        <f>IF(A382="", "", IF(COUNTIFS(C$3:C381, C382, D$3:D381, D382, G$3:G381, G382) &gt; 0, "", "11:00"-AW382))</f>
        <v/>
      </c>
      <c r="Y382" s="52" t="str">
        <f t="shared" si="53"/>
        <v/>
      </c>
      <c r="Z382" s="53"/>
      <c r="AA382" s="54"/>
      <c r="AB382" s="53"/>
      <c r="AC382" s="54"/>
      <c r="AD382" s="53"/>
      <c r="AE382" s="54"/>
      <c r="AF382" s="53"/>
      <c r="AG382" s="54"/>
      <c r="AH382" s="55">
        <v>4.1666666666666699E-2</v>
      </c>
      <c r="AI382" s="53"/>
      <c r="AJ382" s="54"/>
      <c r="AK382" s="53"/>
      <c r="AL382" s="54"/>
      <c r="AM382" s="53"/>
      <c r="AN382" s="54"/>
      <c r="AO382" s="53"/>
      <c r="AP382" s="54"/>
      <c r="AQ382" s="53"/>
      <c r="AR382" s="54"/>
      <c r="AS382" s="53"/>
      <c r="AT382" s="54"/>
      <c r="AU382" s="53">
        <v>4.1666666666666699E-2</v>
      </c>
      <c r="AV382" s="54" t="s">
        <v>37</v>
      </c>
      <c r="AW382" s="57">
        <f t="shared" si="50"/>
        <v>4.1666666666666699E-2</v>
      </c>
      <c r="AX382" s="58" t="s">
        <v>68</v>
      </c>
    </row>
    <row r="383" spans="1:50" ht="21" customHeight="1">
      <c r="A383" s="38" t="s">
        <v>388</v>
      </c>
      <c r="B383" s="39">
        <f t="shared" si="54"/>
        <v>379</v>
      </c>
      <c r="C383" s="40">
        <v>46034</v>
      </c>
      <c r="D383" s="40" t="s">
        <v>32</v>
      </c>
      <c r="E383" s="40" t="s">
        <v>81</v>
      </c>
      <c r="F383" s="41">
        <v>262</v>
      </c>
      <c r="G383" s="42" t="s">
        <v>176</v>
      </c>
      <c r="H383" s="43" t="str">
        <f>IFERROR(VLOOKUP($J383,'[9]FROM (3)'!$E$4:$F$230,2,FALSE),"")</f>
        <v>Astemo (Thailand)</v>
      </c>
      <c r="I383" s="44" t="str">
        <f t="shared" si="51"/>
        <v>510-30149-020</v>
      </c>
      <c r="J383" s="44" t="str">
        <f t="shared" si="52"/>
        <v>RACK (510-30149-020)</v>
      </c>
      <c r="K383" s="59" t="str">
        <f t="shared" si="48"/>
        <v>PD26010111</v>
      </c>
      <c r="L383" s="46" t="str" cm="1">
        <f t="array" ref="L383">IFERROR(_xlfn.IFS(
    LEN($A383)-LEN(SUBSTITUTE($A383,"|",""))=12, RIGHT(A383, LEN(A383)-FIND("~", SUBSTITUTE(A383,"|","~", LEN(A383)-LEN(SUBSTITUTE(A383,"|",""))))),
    LEN($A383)-LEN(SUBSTITUTE($A383,"|",""))=13, MID($A383, FIND("~", SUBSTITUTE($A383,"|","~", 11))+1, FIND("~", SUBSTITUTE($A383,"|","~", 12))-FIND("~", SUBSTITUTE($A383,"|","~", 11))-1),
    LEN($A383)-LEN(SUBSTITUTE($A383,"|",""))=14, MID($A383, FIND("~", SUBSTITUTE($A383,"|","~", 11))+1, FIND("~", SUBSTITUTE($A383,"|","~", 12))-FIND("~", SUBSTITUTE($A383,"|","~", 11))-1)
), "")</f>
        <v>5C1361</v>
      </c>
      <c r="M383" s="47" t="str">
        <f t="shared" si="46"/>
        <v>TSK2</v>
      </c>
      <c r="N383" s="46" t="str">
        <f t="shared" si="49"/>
        <v>FB010061/3/26</v>
      </c>
      <c r="O383" s="60">
        <v>200</v>
      </c>
      <c r="P383" s="60">
        <v>327</v>
      </c>
      <c r="Q383" s="48">
        <v>200</v>
      </c>
      <c r="R383" s="48">
        <v>327</v>
      </c>
      <c r="S383" s="48"/>
      <c r="T383" s="48"/>
      <c r="U383" s="49"/>
      <c r="V383" s="49"/>
      <c r="W383" s="50">
        <f t="shared" si="47"/>
        <v>0</v>
      </c>
      <c r="X383" s="51">
        <f>IF(A383="", "", IF(COUNTIFS(C$3:C382, C383, D$3:D382, D383, G$3:G382, G383) &gt; 0, "", "11:00"-AW383))</f>
        <v>0.41666666666666663</v>
      </c>
      <c r="Y383" s="52" t="str">
        <f t="shared" si="53"/>
        <v>1:40</v>
      </c>
      <c r="Z383" s="53"/>
      <c r="AA383" s="54"/>
      <c r="AB383" s="53"/>
      <c r="AC383" s="54"/>
      <c r="AD383" s="53"/>
      <c r="AE383" s="54"/>
      <c r="AF383" s="53"/>
      <c r="AG383" s="54"/>
      <c r="AH383" s="55">
        <v>4.1666666666666699E-2</v>
      </c>
      <c r="AI383" s="53"/>
      <c r="AJ383" s="54"/>
      <c r="AK383" s="53"/>
      <c r="AL383" s="54"/>
      <c r="AM383" s="53"/>
      <c r="AN383" s="54"/>
      <c r="AO383" s="53"/>
      <c r="AP383" s="54"/>
      <c r="AQ383" s="53"/>
      <c r="AR383" s="54"/>
      <c r="AS383" s="53"/>
      <c r="AT383" s="54"/>
      <c r="AU383" s="53">
        <v>4.1666666666666699E-2</v>
      </c>
      <c r="AV383" s="54" t="s">
        <v>37</v>
      </c>
      <c r="AW383" s="57">
        <f t="shared" si="50"/>
        <v>4.1666666666666699E-2</v>
      </c>
      <c r="AX383" s="58" t="s">
        <v>117</v>
      </c>
    </row>
    <row r="384" spans="1:50" ht="21" customHeight="1">
      <c r="A384" s="38" t="s">
        <v>389</v>
      </c>
      <c r="B384" s="39">
        <f t="shared" si="54"/>
        <v>380</v>
      </c>
      <c r="C384" s="40">
        <v>46034</v>
      </c>
      <c r="D384" s="40" t="s">
        <v>32</v>
      </c>
      <c r="E384" s="40" t="s">
        <v>81</v>
      </c>
      <c r="F384" s="41">
        <v>262</v>
      </c>
      <c r="G384" s="42" t="s">
        <v>176</v>
      </c>
      <c r="H384" s="43" t="str">
        <f>IFERROR(VLOOKUP($J384,'[9]FROM (3)'!$E$4:$F$230,2,FALSE),"")</f>
        <v>Astemo (Thailand)</v>
      </c>
      <c r="I384" s="44" t="str">
        <f t="shared" si="51"/>
        <v>510-30149-020</v>
      </c>
      <c r="J384" s="44" t="str">
        <f t="shared" si="52"/>
        <v>RACK (510-30149-020)</v>
      </c>
      <c r="K384" s="59" t="str">
        <f t="shared" si="48"/>
        <v>PD26010111</v>
      </c>
      <c r="L384" s="46" t="str" cm="1">
        <f t="array" ref="L384">IFERROR(_xlfn.IFS(
    LEN($A384)-LEN(SUBSTITUTE($A384,"|",""))=12, RIGHT(A384, LEN(A384)-FIND("~", SUBSTITUTE(A384,"|","~", LEN(A384)-LEN(SUBSTITUTE(A384,"|",""))))),
    LEN($A384)-LEN(SUBSTITUTE($A384,"|",""))=13, MID($A384, FIND("~", SUBSTITUTE($A384,"|","~", 11))+1, FIND("~", SUBSTITUTE($A384,"|","~", 12))-FIND("~", SUBSTITUTE($A384,"|","~", 11))-1),
    LEN($A384)-LEN(SUBSTITUTE($A384,"|",""))=14, MID($A384, FIND("~", SUBSTITUTE($A384,"|","~", 11))+1, FIND("~", SUBSTITUTE($A384,"|","~", 12))-FIND("~", SUBSTITUTE($A384,"|","~", 11))-1)
), "")</f>
        <v>5C1361</v>
      </c>
      <c r="M384" s="47" t="str">
        <f t="shared" si="46"/>
        <v>TSK2</v>
      </c>
      <c r="N384" s="46" t="str">
        <f t="shared" si="49"/>
        <v>FB010061/6/26</v>
      </c>
      <c r="O384" s="60">
        <v>200</v>
      </c>
      <c r="P384" s="60">
        <v>327</v>
      </c>
      <c r="Q384" s="48">
        <v>200</v>
      </c>
      <c r="R384" s="48">
        <v>327</v>
      </c>
      <c r="S384" s="48"/>
      <c r="T384" s="48"/>
      <c r="U384" s="49"/>
      <c r="V384" s="49"/>
      <c r="W384" s="50">
        <f t="shared" si="47"/>
        <v>0</v>
      </c>
      <c r="X384" s="51" t="str">
        <f>IF(A384="", "", IF(COUNTIFS(C$3:C383, C384, D$3:D383, D384, G$3:G383, G384) &gt; 0, "", "11:00"-AW384))</f>
        <v/>
      </c>
      <c r="Y384" s="52" t="str">
        <f t="shared" si="53"/>
        <v/>
      </c>
      <c r="Z384" s="53"/>
      <c r="AA384" s="54"/>
      <c r="AB384" s="53"/>
      <c r="AC384" s="54"/>
      <c r="AD384" s="53"/>
      <c r="AE384" s="54"/>
      <c r="AF384" s="53"/>
      <c r="AG384" s="54"/>
      <c r="AH384" s="55">
        <v>4.1666666666666699E-2</v>
      </c>
      <c r="AI384" s="53"/>
      <c r="AJ384" s="54"/>
      <c r="AK384" s="53"/>
      <c r="AL384" s="54"/>
      <c r="AM384" s="53"/>
      <c r="AN384" s="54"/>
      <c r="AO384" s="53"/>
      <c r="AP384" s="54"/>
      <c r="AQ384" s="53"/>
      <c r="AR384" s="54"/>
      <c r="AS384" s="53"/>
      <c r="AT384" s="54"/>
      <c r="AU384" s="53">
        <v>4.1666666666666699E-2</v>
      </c>
      <c r="AV384" s="54" t="s">
        <v>37</v>
      </c>
      <c r="AW384" s="57">
        <f t="shared" si="50"/>
        <v>4.1666666666666699E-2</v>
      </c>
      <c r="AX384" s="58" t="s">
        <v>117</v>
      </c>
    </row>
    <row r="385" spans="1:50" ht="21" customHeight="1">
      <c r="A385" s="38" t="s">
        <v>390</v>
      </c>
      <c r="B385" s="39">
        <f t="shared" si="54"/>
        <v>381</v>
      </c>
      <c r="C385" s="40">
        <v>46034</v>
      </c>
      <c r="D385" s="40" t="s">
        <v>32</v>
      </c>
      <c r="E385" s="40" t="s">
        <v>81</v>
      </c>
      <c r="F385" s="41">
        <v>262</v>
      </c>
      <c r="G385" s="42" t="s">
        <v>176</v>
      </c>
      <c r="H385" s="43" t="str">
        <f>IFERROR(VLOOKUP($J385,'[9]FROM (3)'!$E$4:$F$230,2,FALSE),"")</f>
        <v>Astemo (Thailand)</v>
      </c>
      <c r="I385" s="44" t="str">
        <f t="shared" si="51"/>
        <v>510-30149-020</v>
      </c>
      <c r="J385" s="44" t="str">
        <f t="shared" si="52"/>
        <v>RACK (510-30149-020)</v>
      </c>
      <c r="K385" s="59" t="str">
        <f t="shared" si="48"/>
        <v>PD26010111</v>
      </c>
      <c r="L385" s="46" t="str" cm="1">
        <f t="array" ref="L385">IFERROR(_xlfn.IFS(
    LEN($A385)-LEN(SUBSTITUTE($A385,"|",""))=12, RIGHT(A385, LEN(A385)-FIND("~", SUBSTITUTE(A385,"|","~", LEN(A385)-LEN(SUBSTITUTE(A385,"|",""))))),
    LEN($A385)-LEN(SUBSTITUTE($A385,"|",""))=13, MID($A385, FIND("~", SUBSTITUTE($A385,"|","~", 11))+1, FIND("~", SUBSTITUTE($A385,"|","~", 12))-FIND("~", SUBSTITUTE($A385,"|","~", 11))-1),
    LEN($A385)-LEN(SUBSTITUTE($A385,"|",""))=14, MID($A385, FIND("~", SUBSTITUTE($A385,"|","~", 11))+1, FIND("~", SUBSTITUTE($A385,"|","~", 12))-FIND("~", SUBSTITUTE($A385,"|","~", 11))-1)
), "")</f>
        <v>5C1361</v>
      </c>
      <c r="M385" s="47" t="str">
        <f t="shared" si="46"/>
        <v>TSK2</v>
      </c>
      <c r="N385" s="46" t="str">
        <f t="shared" si="49"/>
        <v>FB010061/2/26</v>
      </c>
      <c r="O385" s="60">
        <v>200</v>
      </c>
      <c r="P385" s="60">
        <v>327</v>
      </c>
      <c r="Q385" s="48">
        <v>200</v>
      </c>
      <c r="R385" s="48">
        <v>327</v>
      </c>
      <c r="S385" s="48"/>
      <c r="T385" s="48"/>
      <c r="U385" s="49"/>
      <c r="V385" s="49"/>
      <c r="W385" s="50">
        <f t="shared" si="47"/>
        <v>0</v>
      </c>
      <c r="X385" s="51" t="str">
        <f>IF(A385="", "", IF(COUNTIFS(C$3:C384, C385, D$3:D384, D385, G$3:G384, G385) &gt; 0, "", "11:00"-AW385))</f>
        <v/>
      </c>
      <c r="Y385" s="52" t="str">
        <f t="shared" si="53"/>
        <v/>
      </c>
      <c r="Z385" s="53"/>
      <c r="AA385" s="54"/>
      <c r="AB385" s="53"/>
      <c r="AC385" s="54"/>
      <c r="AD385" s="53"/>
      <c r="AE385" s="54"/>
      <c r="AF385" s="53"/>
      <c r="AG385" s="54"/>
      <c r="AH385" s="55">
        <v>4.1666666666666699E-2</v>
      </c>
      <c r="AI385" s="53"/>
      <c r="AJ385" s="54"/>
      <c r="AK385" s="53"/>
      <c r="AL385" s="54"/>
      <c r="AM385" s="53"/>
      <c r="AN385" s="54"/>
      <c r="AO385" s="53"/>
      <c r="AP385" s="54"/>
      <c r="AQ385" s="53"/>
      <c r="AR385" s="54"/>
      <c r="AS385" s="53"/>
      <c r="AT385" s="54"/>
      <c r="AU385" s="53">
        <v>4.1666666666666699E-2</v>
      </c>
      <c r="AV385" s="54" t="s">
        <v>37</v>
      </c>
      <c r="AW385" s="57">
        <f t="shared" si="50"/>
        <v>4.1666666666666699E-2</v>
      </c>
      <c r="AX385" s="58" t="s">
        <v>117</v>
      </c>
    </row>
    <row r="386" spans="1:50" ht="21" customHeight="1">
      <c r="A386" s="38" t="s">
        <v>391</v>
      </c>
      <c r="B386" s="39">
        <f t="shared" si="54"/>
        <v>382</v>
      </c>
      <c r="C386" s="40">
        <v>46034</v>
      </c>
      <c r="D386" s="40" t="s">
        <v>32</v>
      </c>
      <c r="E386" s="40" t="s">
        <v>81</v>
      </c>
      <c r="F386" s="41">
        <v>262</v>
      </c>
      <c r="G386" s="42" t="s">
        <v>176</v>
      </c>
      <c r="H386" s="43" t="str">
        <f>IFERROR(VLOOKUP($J386,'[9]FROM (3)'!$E$4:$F$230,2,FALSE),"")</f>
        <v>Astemo (Thailand)</v>
      </c>
      <c r="I386" s="44" t="str">
        <f t="shared" si="51"/>
        <v>510-30149-020</v>
      </c>
      <c r="J386" s="44" t="str">
        <f t="shared" si="52"/>
        <v>RACK (510-30149-020)</v>
      </c>
      <c r="K386" s="59" t="str">
        <f t="shared" si="48"/>
        <v>PD26010111</v>
      </c>
      <c r="L386" s="46" t="str" cm="1">
        <f t="array" ref="L386">IFERROR(_xlfn.IFS(
    LEN($A386)-LEN(SUBSTITUTE($A386,"|",""))=12, RIGHT(A386, LEN(A386)-FIND("~", SUBSTITUTE(A386,"|","~", LEN(A386)-LEN(SUBSTITUTE(A386,"|",""))))),
    LEN($A386)-LEN(SUBSTITUTE($A386,"|",""))=13, MID($A386, FIND("~", SUBSTITUTE($A386,"|","~", 11))+1, FIND("~", SUBSTITUTE($A386,"|","~", 12))-FIND("~", SUBSTITUTE($A386,"|","~", 11))-1),
    LEN($A386)-LEN(SUBSTITUTE($A386,"|",""))=14, MID($A386, FIND("~", SUBSTITUTE($A386,"|","~", 11))+1, FIND("~", SUBSTITUTE($A386,"|","~", 12))-FIND("~", SUBSTITUTE($A386,"|","~", 11))-1)
), "")</f>
        <v>5C1361</v>
      </c>
      <c r="M386" s="47" t="str">
        <f t="shared" si="46"/>
        <v>TSK2</v>
      </c>
      <c r="N386" s="46" t="str">
        <f t="shared" si="49"/>
        <v>FB010061/5/26</v>
      </c>
      <c r="O386" s="60">
        <v>200</v>
      </c>
      <c r="P386" s="60">
        <v>327</v>
      </c>
      <c r="Q386" s="48">
        <v>200</v>
      </c>
      <c r="R386" s="48">
        <v>327</v>
      </c>
      <c r="S386" s="48"/>
      <c r="T386" s="48"/>
      <c r="U386" s="49"/>
      <c r="V386" s="49"/>
      <c r="W386" s="50">
        <f t="shared" si="47"/>
        <v>0</v>
      </c>
      <c r="X386" s="51" t="str">
        <f>IF(A386="", "", IF(COUNTIFS(C$3:C385, C386, D$3:D385, D386, G$3:G385, G386) &gt; 0, "", "11:00"-AW386))</f>
        <v/>
      </c>
      <c r="Y386" s="52" t="str">
        <f t="shared" si="53"/>
        <v/>
      </c>
      <c r="Z386" s="53"/>
      <c r="AA386" s="54"/>
      <c r="AB386" s="53"/>
      <c r="AC386" s="54"/>
      <c r="AD386" s="53"/>
      <c r="AE386" s="54"/>
      <c r="AF386" s="53"/>
      <c r="AG386" s="54"/>
      <c r="AH386" s="55">
        <v>4.1666666666666699E-2</v>
      </c>
      <c r="AI386" s="53"/>
      <c r="AJ386" s="54"/>
      <c r="AK386" s="53"/>
      <c r="AL386" s="54"/>
      <c r="AM386" s="53"/>
      <c r="AN386" s="54"/>
      <c r="AO386" s="53"/>
      <c r="AP386" s="54"/>
      <c r="AQ386" s="53"/>
      <c r="AR386" s="54"/>
      <c r="AS386" s="53"/>
      <c r="AT386" s="54"/>
      <c r="AU386" s="53">
        <v>4.1666666666666699E-2</v>
      </c>
      <c r="AV386" s="54" t="s">
        <v>37</v>
      </c>
      <c r="AW386" s="57">
        <f t="shared" si="50"/>
        <v>4.1666666666666699E-2</v>
      </c>
      <c r="AX386" s="58" t="s">
        <v>117</v>
      </c>
    </row>
    <row r="387" spans="1:50" ht="21" customHeight="1">
      <c r="A387" s="38" t="s">
        <v>392</v>
      </c>
      <c r="B387" s="39">
        <f t="shared" si="54"/>
        <v>383</v>
      </c>
      <c r="C387" s="40">
        <v>46034</v>
      </c>
      <c r="D387" s="40" t="s">
        <v>32</v>
      </c>
      <c r="E387" s="40" t="s">
        <v>81</v>
      </c>
      <c r="F387" s="41">
        <v>756.8</v>
      </c>
      <c r="G387" s="42" t="s">
        <v>192</v>
      </c>
      <c r="H387" s="43" t="str">
        <f>IFERROR(VLOOKUP($J387,'[9]FROM (3)'!$E$4:$F$230,2,FALSE),"")</f>
        <v>JATH</v>
      </c>
      <c r="I387" s="44" t="str">
        <f t="shared" si="51"/>
        <v>JGF02-002190-31-2</v>
      </c>
      <c r="J387" s="44" t="str">
        <f t="shared" si="52"/>
        <v>RACK BAR BLANK (JGF02-002190-31-2) 5K45</v>
      </c>
      <c r="K387" s="59" t="str">
        <f t="shared" si="48"/>
        <v>PD25121210</v>
      </c>
      <c r="L387" s="46" t="str" cm="1">
        <f t="array" ref="L387">IFERROR(_xlfn.IFS(
    LEN($A387)-LEN(SUBSTITUTE($A387,"|",""))=12, RIGHT(A387, LEN(A387)-FIND("~", SUBSTITUTE(A387,"|","~", LEN(A387)-LEN(SUBSTITUTE(A387,"|",""))))),
    LEN($A387)-LEN(SUBSTITUTE($A387,"|",""))=13, MID($A387, FIND("~", SUBSTITUTE($A387,"|","~", 11))+1, FIND("~", SUBSTITUTE($A387,"|","~", 12))-FIND("~", SUBSTITUTE($A387,"|","~", 11))-1),
    LEN($A387)-LEN(SUBSTITUTE($A387,"|",""))=14, MID($A387, FIND("~", SUBSTITUTE($A387,"|","~", 11))+1, FIND("~", SUBSTITUTE($A387,"|","~", 12))-FIND("~", SUBSTITUTE($A387,"|","~", 11))-1)
), "")</f>
        <v>5A5658</v>
      </c>
      <c r="M387" s="47" t="str">
        <f t="shared" si="46"/>
        <v>TSK2</v>
      </c>
      <c r="N387" s="46" t="str">
        <f t="shared" si="49"/>
        <v>FB120343/10/25</v>
      </c>
      <c r="O387" s="60">
        <v>58</v>
      </c>
      <c r="P387" s="60">
        <v>280</v>
      </c>
      <c r="Q387" s="48">
        <v>58</v>
      </c>
      <c r="R387" s="48">
        <v>280</v>
      </c>
      <c r="S387" s="48"/>
      <c r="T387" s="48"/>
      <c r="U387" s="49"/>
      <c r="V387" s="49"/>
      <c r="W387" s="50">
        <f t="shared" si="47"/>
        <v>0</v>
      </c>
      <c r="X387" s="51">
        <f>IF(A387="", "", IF(COUNTIFS(C$3:C386, C387, D$3:D386, D387, G$3:G386, G387) &gt; 0, "", "11:00"-AW387))</f>
        <v>0.33333333333333326</v>
      </c>
      <c r="Y387" s="52" t="str">
        <f t="shared" si="53"/>
        <v>1:40</v>
      </c>
      <c r="Z387" s="53">
        <v>4.1666666666666664E-2</v>
      </c>
      <c r="AA387" s="54" t="s">
        <v>129</v>
      </c>
      <c r="AB387" s="53">
        <v>4.1666666666666664E-2</v>
      </c>
      <c r="AC387" s="54" t="s">
        <v>129</v>
      </c>
      <c r="AD387" s="53"/>
      <c r="AE387" s="54"/>
      <c r="AF387" s="53"/>
      <c r="AG387" s="54"/>
      <c r="AH387" s="55">
        <v>4.1666666666666699E-2</v>
      </c>
      <c r="AI387" s="53"/>
      <c r="AJ387" s="54"/>
      <c r="AK387" s="53"/>
      <c r="AL387" s="54"/>
      <c r="AM387" s="53"/>
      <c r="AN387" s="54"/>
      <c r="AO387" s="53"/>
      <c r="AP387" s="54"/>
      <c r="AQ387" s="53"/>
      <c r="AR387" s="54"/>
      <c r="AS387" s="53"/>
      <c r="AT387" s="54"/>
      <c r="AU387" s="53">
        <v>4.1666666666666699E-2</v>
      </c>
      <c r="AV387" s="54" t="s">
        <v>37</v>
      </c>
      <c r="AW387" s="57">
        <f t="shared" si="50"/>
        <v>0.12500000000000003</v>
      </c>
      <c r="AX387" s="58" t="s">
        <v>260</v>
      </c>
    </row>
    <row r="388" spans="1:50" ht="21" customHeight="1">
      <c r="A388" s="38" t="s">
        <v>393</v>
      </c>
      <c r="B388" s="39">
        <f t="shared" si="54"/>
        <v>384</v>
      </c>
      <c r="C388" s="40">
        <v>46034</v>
      </c>
      <c r="D388" s="40" t="s">
        <v>32</v>
      </c>
      <c r="E388" s="40" t="s">
        <v>81</v>
      </c>
      <c r="F388" s="41">
        <v>756.8</v>
      </c>
      <c r="G388" s="42" t="s">
        <v>192</v>
      </c>
      <c r="H388" s="43" t="str">
        <f>IFERROR(VLOOKUP($J388,'[9]FROM (3)'!$E$4:$F$230,2,FALSE),"")</f>
        <v>JATH</v>
      </c>
      <c r="I388" s="44" t="str">
        <f t="shared" si="51"/>
        <v>JGF02-002190-31-2</v>
      </c>
      <c r="J388" s="44" t="str">
        <f t="shared" si="52"/>
        <v>RACK BAR BLANK (JGF02-002190-31-2) 5K45</v>
      </c>
      <c r="K388" s="59" t="str">
        <f t="shared" si="48"/>
        <v>PD25121210</v>
      </c>
      <c r="L388" s="46" t="str" cm="1">
        <f t="array" ref="L388">IFERROR(_xlfn.IFS(
    LEN($A388)-LEN(SUBSTITUTE($A388,"|",""))=12, RIGHT(A388, LEN(A388)-FIND("~", SUBSTITUTE(A388,"|","~", LEN(A388)-LEN(SUBSTITUTE(A388,"|",""))))),
    LEN($A388)-LEN(SUBSTITUTE($A388,"|",""))=13, MID($A388, FIND("~", SUBSTITUTE($A388,"|","~", 11))+1, FIND("~", SUBSTITUTE($A388,"|","~", 12))-FIND("~", SUBSTITUTE($A388,"|","~", 11))-1),
    LEN($A388)-LEN(SUBSTITUTE($A388,"|",""))=14, MID($A388, FIND("~", SUBSTITUTE($A388,"|","~", 11))+1, FIND("~", SUBSTITUTE($A388,"|","~", 12))-FIND("~", SUBSTITUTE($A388,"|","~", 11))-1)
), "")</f>
        <v>5A5658</v>
      </c>
      <c r="M388" s="47" t="str">
        <f t="shared" si="46"/>
        <v>TSK2</v>
      </c>
      <c r="N388" s="46" t="str">
        <f t="shared" si="49"/>
        <v>FB120343/5/25</v>
      </c>
      <c r="O388" s="60">
        <v>58</v>
      </c>
      <c r="P388" s="60">
        <v>280</v>
      </c>
      <c r="Q388" s="48">
        <v>58</v>
      </c>
      <c r="R388" s="48">
        <v>280</v>
      </c>
      <c r="S388" s="48"/>
      <c r="T388" s="48"/>
      <c r="U388" s="49"/>
      <c r="V388" s="49"/>
      <c r="W388" s="50">
        <f t="shared" si="47"/>
        <v>0</v>
      </c>
      <c r="X388" s="51" t="str">
        <f>IF(A388="", "", IF(COUNTIFS(C$3:C387, C388, D$3:D387, D388, G$3:G387, G388) &gt; 0, "", "11:00"-AW388))</f>
        <v/>
      </c>
      <c r="Y388" s="52" t="str">
        <f t="shared" si="53"/>
        <v/>
      </c>
      <c r="Z388" s="53"/>
      <c r="AA388" s="54"/>
      <c r="AB388" s="53"/>
      <c r="AC388" s="54"/>
      <c r="AD388" s="53"/>
      <c r="AE388" s="54"/>
      <c r="AF388" s="53"/>
      <c r="AG388" s="54"/>
      <c r="AH388" s="55">
        <v>4.1666666666666699E-2</v>
      </c>
      <c r="AI388" s="53"/>
      <c r="AJ388" s="54"/>
      <c r="AK388" s="53"/>
      <c r="AL388" s="54"/>
      <c r="AM388" s="53"/>
      <c r="AN388" s="54"/>
      <c r="AO388" s="53"/>
      <c r="AP388" s="54"/>
      <c r="AQ388" s="53"/>
      <c r="AR388" s="54"/>
      <c r="AS388" s="53"/>
      <c r="AT388" s="54"/>
      <c r="AU388" s="53">
        <v>4.1666666666666699E-2</v>
      </c>
      <c r="AV388" s="54" t="s">
        <v>37</v>
      </c>
      <c r="AW388" s="57">
        <f t="shared" si="50"/>
        <v>4.1666666666666699E-2</v>
      </c>
      <c r="AX388" s="58" t="s">
        <v>260</v>
      </c>
    </row>
    <row r="389" spans="1:50" ht="21.75" customHeight="1">
      <c r="A389" s="38" t="s">
        <v>394</v>
      </c>
      <c r="B389" s="39">
        <f t="shared" si="54"/>
        <v>385</v>
      </c>
      <c r="C389" s="40">
        <v>46034</v>
      </c>
      <c r="D389" s="40" t="s">
        <v>32</v>
      </c>
      <c r="E389" s="40" t="s">
        <v>81</v>
      </c>
      <c r="F389" s="41">
        <v>756.8</v>
      </c>
      <c r="G389" s="42" t="s">
        <v>192</v>
      </c>
      <c r="H389" s="43" t="str">
        <f>IFERROR(VLOOKUP($J389,'[9]FROM (3)'!$E$4:$F$230,2,FALSE),"")</f>
        <v>JATH</v>
      </c>
      <c r="I389" s="44" t="str">
        <f t="shared" si="51"/>
        <v>JGF02-002190-31-2</v>
      </c>
      <c r="J389" s="44" t="str">
        <f t="shared" si="52"/>
        <v>RACK BAR BLANK (JGF02-002190-31-2) 5K45</v>
      </c>
      <c r="K389" s="59" t="str">
        <f t="shared" si="48"/>
        <v>PD25121210</v>
      </c>
      <c r="L389" s="46" t="str" cm="1">
        <f t="array" ref="L389">IFERROR(_xlfn.IFS(
    LEN($A389)-LEN(SUBSTITUTE($A389,"|",""))=12, RIGHT(A389, LEN(A389)-FIND("~", SUBSTITUTE(A389,"|","~", LEN(A389)-LEN(SUBSTITUTE(A389,"|",""))))),
    LEN($A389)-LEN(SUBSTITUTE($A389,"|",""))=13, MID($A389, FIND("~", SUBSTITUTE($A389,"|","~", 11))+1, FIND("~", SUBSTITUTE($A389,"|","~", 12))-FIND("~", SUBSTITUTE($A389,"|","~", 11))-1),
    LEN($A389)-LEN(SUBSTITUTE($A389,"|",""))=14, MID($A389, FIND("~", SUBSTITUTE($A389,"|","~", 11))+1, FIND("~", SUBSTITUTE($A389,"|","~", 12))-FIND("~", SUBSTITUTE($A389,"|","~", 11))-1)
), "")</f>
        <v>5A5658</v>
      </c>
      <c r="M389" s="47" t="str">
        <f t="shared" ref="M389:M452" si="55">IFERROR(MID(A389,FIND("~",SUBSTITUTE(A389,"|","~",10))+1,FIND("~",SUBSTITUTE(A389,"|","~",11))-FIND("~",SUBSTITUTE(A389,"|","~",10))-1),"")</f>
        <v>TSK2</v>
      </c>
      <c r="N389" s="46" t="str">
        <f t="shared" si="49"/>
        <v>FB120343/4/25</v>
      </c>
      <c r="O389" s="60">
        <v>58</v>
      </c>
      <c r="P389" s="60">
        <v>280</v>
      </c>
      <c r="Q389" s="48">
        <v>58</v>
      </c>
      <c r="R389" s="48">
        <v>280</v>
      </c>
      <c r="S389" s="48"/>
      <c r="T389" s="48"/>
      <c r="U389" s="49"/>
      <c r="V389" s="49"/>
      <c r="W389" s="50">
        <f t="shared" ref="W389:W452" si="56">SUM(U389:V389)</f>
        <v>0</v>
      </c>
      <c r="X389" s="51" t="str">
        <f>IF(A389="", "", IF(COUNTIFS(C$3:C388, C389, D$3:D388, D389, G$3:G388, G389) &gt; 0, "", "11:00"-AW389))</f>
        <v/>
      </c>
      <c r="Y389" s="52" t="str">
        <f t="shared" si="53"/>
        <v/>
      </c>
      <c r="Z389" s="53"/>
      <c r="AA389" s="54"/>
      <c r="AB389" s="53"/>
      <c r="AC389" s="54"/>
      <c r="AD389" s="53"/>
      <c r="AE389" s="54"/>
      <c r="AF389" s="53"/>
      <c r="AG389" s="54"/>
      <c r="AH389" s="55">
        <v>4.1666666666666699E-2</v>
      </c>
      <c r="AI389" s="53"/>
      <c r="AJ389" s="54"/>
      <c r="AK389" s="53"/>
      <c r="AL389" s="54"/>
      <c r="AM389" s="53"/>
      <c r="AN389" s="54"/>
      <c r="AO389" s="53"/>
      <c r="AP389" s="54"/>
      <c r="AQ389" s="53"/>
      <c r="AR389" s="54"/>
      <c r="AS389" s="53"/>
      <c r="AT389" s="54"/>
      <c r="AU389" s="53">
        <v>4.1666666666666699E-2</v>
      </c>
      <c r="AV389" s="54" t="s">
        <v>37</v>
      </c>
      <c r="AW389" s="57">
        <f t="shared" si="50"/>
        <v>4.1666666666666699E-2</v>
      </c>
      <c r="AX389" s="58" t="s">
        <v>260</v>
      </c>
    </row>
    <row r="390" spans="1:50" ht="21.75" customHeight="1">
      <c r="A390" s="38" t="s">
        <v>395</v>
      </c>
      <c r="B390" s="39">
        <f t="shared" si="54"/>
        <v>386</v>
      </c>
      <c r="C390" s="40">
        <v>46034</v>
      </c>
      <c r="D390" s="40" t="s">
        <v>32</v>
      </c>
      <c r="E390" s="40" t="s">
        <v>81</v>
      </c>
      <c r="F390" s="41">
        <v>756.8</v>
      </c>
      <c r="G390" s="42" t="s">
        <v>192</v>
      </c>
      <c r="H390" s="43" t="str">
        <f>IFERROR(VLOOKUP($J390,'[9]FROM (3)'!$E$4:$F$230,2,FALSE),"")</f>
        <v>JATH</v>
      </c>
      <c r="I390" s="44" t="str">
        <f t="shared" si="51"/>
        <v>JGF02-002190-31-2</v>
      </c>
      <c r="J390" s="44" t="str">
        <f t="shared" si="52"/>
        <v>RACK BAR BLANK (JGF02-002190-31-2) 5K45</v>
      </c>
      <c r="K390" s="59" t="str">
        <f t="shared" ref="K390:K453" si="57">IFERROR(LEFT(A390,SEARCH("|",A390)-1),"")</f>
        <v>PD25121210</v>
      </c>
      <c r="L390" s="46" t="str" cm="1">
        <f t="array" ref="L390">IFERROR(_xlfn.IFS(
    LEN($A390)-LEN(SUBSTITUTE($A390,"|",""))=12, RIGHT(A390, LEN(A390)-FIND("~", SUBSTITUTE(A390,"|","~", LEN(A390)-LEN(SUBSTITUTE(A390,"|",""))))),
    LEN($A390)-LEN(SUBSTITUTE($A390,"|",""))=13, MID($A390, FIND("~", SUBSTITUTE($A390,"|","~", 11))+1, FIND("~", SUBSTITUTE($A390,"|","~", 12))-FIND("~", SUBSTITUTE($A390,"|","~", 11))-1),
    LEN($A390)-LEN(SUBSTITUTE($A390,"|",""))=14, MID($A390, FIND("~", SUBSTITUTE($A390,"|","~", 11))+1, FIND("~", SUBSTITUTE($A390,"|","~", 12))-FIND("~", SUBSTITUTE($A390,"|","~", 11))-1)
), "")</f>
        <v>5A5658</v>
      </c>
      <c r="M390" s="47" t="str">
        <f t="shared" si="55"/>
        <v>TSK2</v>
      </c>
      <c r="N390" s="46" t="str">
        <f t="shared" ref="N390:N453" si="58">IFERROR(IF(LEN($A390)-LEN(SUBSTITUTE($A390,"|",""))=12,MID($A390,FIND("~",SUBSTITUTE($A390,"|","~",11))+1,FIND("~",SUBSTITUTE($A390,"|","~",12))-FIND("~",SUBSTITUTE($A390,"|","~",11))-1),IF(LEN($A390)-LEN(SUBSTITUTE($A390,"|",""))=13,MID($A390,FIND("~",SUBSTITUTE($A390,"|","~",10))+1,FIND("~",SUBSTITUTE($A390,"|","~",11))-FIND("~",SUBSTITUTE($A390,"|","~",10))-1), "")),"")</f>
        <v>FB120343/17/25</v>
      </c>
      <c r="O390" s="60">
        <v>58</v>
      </c>
      <c r="P390" s="60">
        <v>280</v>
      </c>
      <c r="Q390" s="48">
        <v>58</v>
      </c>
      <c r="R390" s="48">
        <v>280</v>
      </c>
      <c r="S390" s="48"/>
      <c r="T390" s="48"/>
      <c r="U390" s="49"/>
      <c r="V390" s="49"/>
      <c r="W390" s="50">
        <f t="shared" si="56"/>
        <v>0</v>
      </c>
      <c r="X390" s="51" t="str">
        <f>IF(A390="", "", IF(COUNTIFS(C$3:C389, C390, D$3:D389, D390, G$3:G389, G390) &gt; 0, "", "11:00"-AW390))</f>
        <v/>
      </c>
      <c r="Y390" s="52" t="str">
        <f t="shared" si="53"/>
        <v/>
      </c>
      <c r="Z390" s="53"/>
      <c r="AA390" s="54"/>
      <c r="AB390" s="53"/>
      <c r="AC390" s="54"/>
      <c r="AD390" s="53"/>
      <c r="AE390" s="54"/>
      <c r="AF390" s="53"/>
      <c r="AG390" s="54"/>
      <c r="AH390" s="55">
        <v>4.1666666666666699E-2</v>
      </c>
      <c r="AI390" s="53"/>
      <c r="AJ390" s="54"/>
      <c r="AK390" s="53"/>
      <c r="AL390" s="54"/>
      <c r="AM390" s="53"/>
      <c r="AN390" s="54"/>
      <c r="AO390" s="53"/>
      <c r="AP390" s="54"/>
      <c r="AQ390" s="53"/>
      <c r="AR390" s="54"/>
      <c r="AS390" s="53"/>
      <c r="AT390" s="54"/>
      <c r="AU390" s="53">
        <v>4.1666666666666699E-2</v>
      </c>
      <c r="AV390" s="54" t="s">
        <v>37</v>
      </c>
      <c r="AW390" s="57">
        <f t="shared" ref="AW390:AW412" si="59">SUM(Z390,AB390,AD390,AF390,AI390,AK390,AM390,AO390,AQ390,AS390,AU390)</f>
        <v>4.1666666666666699E-2</v>
      </c>
      <c r="AX390" s="58" t="s">
        <v>260</v>
      </c>
    </row>
    <row r="391" spans="1:50" ht="21.75" customHeight="1">
      <c r="A391" s="38" t="s">
        <v>396</v>
      </c>
      <c r="B391" s="39">
        <f t="shared" si="54"/>
        <v>387</v>
      </c>
      <c r="C391" s="40">
        <v>46034</v>
      </c>
      <c r="D391" s="40" t="s">
        <v>32</v>
      </c>
      <c r="E391" s="40" t="s">
        <v>81</v>
      </c>
      <c r="F391" s="41">
        <v>756.8</v>
      </c>
      <c r="G391" s="42" t="s">
        <v>192</v>
      </c>
      <c r="H391" s="43" t="str">
        <f>IFERROR(VLOOKUP($J391,'[9]FROM (3)'!$E$4:$F$230,2,FALSE),"")</f>
        <v>JATH</v>
      </c>
      <c r="I391" s="44" t="str">
        <f t="shared" ref="I391:I454" si="60">IFERROR(MID(A391,FIND("~",SUBSTITUTE(A391,"|","~",4))+1,FIND("~",SUBSTITUTE(A391,"|","~",5))-FIND("~",SUBSTITUTE(A391,"|","~",4))-1),"")</f>
        <v>JGF02-002190-31-2</v>
      </c>
      <c r="J391" s="44" t="str">
        <f t="shared" ref="J391:J454" si="61">IFERROR(MID(A391,FIND("~",SUBSTITUTE(A391,"|","~",3))+1,FIND("~",SUBSTITUTE(A391,"|","~",4))-FIND("~",SUBSTITUTE(A391,"|","~",3))-1),"")</f>
        <v>RACK BAR BLANK (JGF02-002190-31-2) 5K45</v>
      </c>
      <c r="K391" s="59" t="str">
        <f t="shared" si="57"/>
        <v>PD25121210</v>
      </c>
      <c r="L391" s="46" t="str" cm="1">
        <f t="array" ref="L391">IFERROR(_xlfn.IFS(
    LEN($A391)-LEN(SUBSTITUTE($A391,"|",""))=12, RIGHT(A391, LEN(A391)-FIND("~", SUBSTITUTE(A391,"|","~", LEN(A391)-LEN(SUBSTITUTE(A391,"|",""))))),
    LEN($A391)-LEN(SUBSTITUTE($A391,"|",""))=13, MID($A391, FIND("~", SUBSTITUTE($A391,"|","~", 11))+1, FIND("~", SUBSTITUTE($A391,"|","~", 12))-FIND("~", SUBSTITUTE($A391,"|","~", 11))-1),
    LEN($A391)-LEN(SUBSTITUTE($A391,"|",""))=14, MID($A391, FIND("~", SUBSTITUTE($A391,"|","~", 11))+1, FIND("~", SUBSTITUTE($A391,"|","~", 12))-FIND("~", SUBSTITUTE($A391,"|","~", 11))-1)
), "")</f>
        <v>5A5658</v>
      </c>
      <c r="M391" s="47" t="str">
        <f t="shared" si="55"/>
        <v>TSK2</v>
      </c>
      <c r="N391" s="46" t="str">
        <f t="shared" si="58"/>
        <v>FB120343/16/25</v>
      </c>
      <c r="O391" s="60">
        <v>58</v>
      </c>
      <c r="P391" s="60">
        <v>280</v>
      </c>
      <c r="Q391" s="48">
        <v>58</v>
      </c>
      <c r="R391" s="48">
        <v>280</v>
      </c>
      <c r="S391" s="48"/>
      <c r="T391" s="48"/>
      <c r="U391" s="49"/>
      <c r="V391" s="49"/>
      <c r="W391" s="50">
        <f t="shared" si="56"/>
        <v>0</v>
      </c>
      <c r="X391" s="51" t="str">
        <f>IF(A391="", "", IF(COUNTIFS(C$3:C390, C391, D$3:D390, D391, G$3:G390, G391) &gt; 0, "", "11:00"-AW391))</f>
        <v/>
      </c>
      <c r="Y391" s="52" t="str">
        <f t="shared" ref="Y391:Y454" si="62">IF(X391="", "", IF(AND(A391&lt;&gt;"", AR391&lt;&gt;"NO OT"), "1:40", IF(AND(A391&lt;&gt;"", AR391="NO OT"), "1:0", "")))</f>
        <v/>
      </c>
      <c r="Z391" s="53"/>
      <c r="AA391" s="54"/>
      <c r="AB391" s="53"/>
      <c r="AC391" s="54"/>
      <c r="AD391" s="53"/>
      <c r="AE391" s="54"/>
      <c r="AF391" s="53"/>
      <c r="AG391" s="54"/>
      <c r="AH391" s="55">
        <v>4.1666666666666699E-2</v>
      </c>
      <c r="AI391" s="53"/>
      <c r="AJ391" s="54"/>
      <c r="AK391" s="53"/>
      <c r="AL391" s="54"/>
      <c r="AM391" s="53"/>
      <c r="AN391" s="54"/>
      <c r="AO391" s="53"/>
      <c r="AP391" s="54"/>
      <c r="AQ391" s="53"/>
      <c r="AR391" s="54"/>
      <c r="AS391" s="53"/>
      <c r="AT391" s="54"/>
      <c r="AU391" s="53">
        <v>4.1666666666666699E-2</v>
      </c>
      <c r="AV391" s="54" t="s">
        <v>37</v>
      </c>
      <c r="AW391" s="57">
        <f t="shared" si="59"/>
        <v>4.1666666666666699E-2</v>
      </c>
      <c r="AX391" s="58" t="s">
        <v>260</v>
      </c>
    </row>
    <row r="392" spans="1:50" ht="21.75" customHeight="1">
      <c r="A392" s="38" t="s">
        <v>397</v>
      </c>
      <c r="B392" s="39">
        <f t="shared" si="54"/>
        <v>388</v>
      </c>
      <c r="C392" s="40">
        <v>46034</v>
      </c>
      <c r="D392" s="40" t="s">
        <v>32</v>
      </c>
      <c r="E392" s="40" t="s">
        <v>81</v>
      </c>
      <c r="F392" s="41">
        <v>756.8</v>
      </c>
      <c r="G392" s="42" t="s">
        <v>192</v>
      </c>
      <c r="H392" s="43" t="str">
        <f>IFERROR(VLOOKUP($J392,'[9]FROM (3)'!$E$4:$F$230,2,FALSE),"")</f>
        <v>JATH</v>
      </c>
      <c r="I392" s="44" t="str">
        <f t="shared" si="60"/>
        <v>JGF02-002190-31-2</v>
      </c>
      <c r="J392" s="44" t="str">
        <f t="shared" si="61"/>
        <v>RACK BAR BLANK (JGF02-002190-31-2) 5K45</v>
      </c>
      <c r="K392" s="59" t="str">
        <f t="shared" si="57"/>
        <v>PD25121210</v>
      </c>
      <c r="L392" s="46" t="str" cm="1">
        <f t="array" ref="L392">IFERROR(_xlfn.IFS(
    LEN($A392)-LEN(SUBSTITUTE($A392,"|",""))=12, RIGHT(A392, LEN(A392)-FIND("~", SUBSTITUTE(A392,"|","~", LEN(A392)-LEN(SUBSTITUTE(A392,"|",""))))),
    LEN($A392)-LEN(SUBSTITUTE($A392,"|",""))=13, MID($A392, FIND("~", SUBSTITUTE($A392,"|","~", 11))+1, FIND("~", SUBSTITUTE($A392,"|","~", 12))-FIND("~", SUBSTITUTE($A392,"|","~", 11))-1),
    LEN($A392)-LEN(SUBSTITUTE($A392,"|",""))=14, MID($A392, FIND("~", SUBSTITUTE($A392,"|","~", 11))+1, FIND("~", SUBSTITUTE($A392,"|","~", 12))-FIND("~", SUBSTITUTE($A392,"|","~", 11))-1)
), "")</f>
        <v>5A5658</v>
      </c>
      <c r="M392" s="47" t="str">
        <f t="shared" si="55"/>
        <v>TSK2</v>
      </c>
      <c r="N392" s="46" t="str">
        <f t="shared" si="58"/>
        <v>FB120343/13/25</v>
      </c>
      <c r="O392" s="60">
        <v>58</v>
      </c>
      <c r="P392" s="60">
        <v>280</v>
      </c>
      <c r="Q392" s="48">
        <v>58</v>
      </c>
      <c r="R392" s="48">
        <v>280</v>
      </c>
      <c r="S392" s="48"/>
      <c r="T392" s="48"/>
      <c r="U392" s="49"/>
      <c r="V392" s="49"/>
      <c r="W392" s="50">
        <f t="shared" si="56"/>
        <v>0</v>
      </c>
      <c r="X392" s="51" t="str">
        <f>IF(A392="", "", IF(COUNTIFS(C$3:C391, C392, D$3:D391, D392, G$3:G391, G392) &gt; 0, "", "11:00"-AW392))</f>
        <v/>
      </c>
      <c r="Y392" s="52" t="str">
        <f t="shared" si="62"/>
        <v/>
      </c>
      <c r="Z392" s="53"/>
      <c r="AA392" s="54"/>
      <c r="AB392" s="53"/>
      <c r="AC392" s="54"/>
      <c r="AD392" s="53"/>
      <c r="AE392" s="54"/>
      <c r="AF392" s="53"/>
      <c r="AG392" s="54"/>
      <c r="AH392" s="55">
        <v>4.1666666666666699E-2</v>
      </c>
      <c r="AI392" s="53"/>
      <c r="AJ392" s="54"/>
      <c r="AK392" s="53"/>
      <c r="AL392" s="54"/>
      <c r="AM392" s="53"/>
      <c r="AN392" s="54"/>
      <c r="AO392" s="53"/>
      <c r="AP392" s="54"/>
      <c r="AQ392" s="53"/>
      <c r="AR392" s="54"/>
      <c r="AS392" s="53"/>
      <c r="AT392" s="54"/>
      <c r="AU392" s="53">
        <v>4.1666666666666699E-2</v>
      </c>
      <c r="AV392" s="54" t="s">
        <v>37</v>
      </c>
      <c r="AW392" s="57">
        <f t="shared" si="59"/>
        <v>4.1666666666666699E-2</v>
      </c>
      <c r="AX392" s="58" t="s">
        <v>260</v>
      </c>
    </row>
    <row r="393" spans="1:50" ht="21.75" customHeight="1">
      <c r="A393" s="38" t="s">
        <v>398</v>
      </c>
      <c r="B393" s="39">
        <f t="shared" si="54"/>
        <v>389</v>
      </c>
      <c r="C393" s="40">
        <v>46034</v>
      </c>
      <c r="D393" s="40" t="s">
        <v>32</v>
      </c>
      <c r="E393" s="40" t="s">
        <v>81</v>
      </c>
      <c r="F393" s="41">
        <v>756.8</v>
      </c>
      <c r="G393" s="42" t="s">
        <v>192</v>
      </c>
      <c r="H393" s="43" t="str">
        <f>IFERROR(VLOOKUP($J393,'[9]FROM (3)'!$E$4:$F$230,2,FALSE),"")</f>
        <v>JATH</v>
      </c>
      <c r="I393" s="44" t="str">
        <f t="shared" si="60"/>
        <v>JGF02-002190-31-2</v>
      </c>
      <c r="J393" s="44" t="str">
        <f t="shared" si="61"/>
        <v>RACK BAR BLANK (JGF02-002190-31-2) 5K45</v>
      </c>
      <c r="K393" s="59" t="str">
        <f t="shared" si="57"/>
        <v>PD25121210</v>
      </c>
      <c r="L393" s="46" t="str" cm="1">
        <f t="array" ref="L393">IFERROR(_xlfn.IFS(
    LEN($A393)-LEN(SUBSTITUTE($A393,"|",""))=12, RIGHT(A393, LEN(A393)-FIND("~", SUBSTITUTE(A393,"|","~", LEN(A393)-LEN(SUBSTITUTE(A393,"|",""))))),
    LEN($A393)-LEN(SUBSTITUTE($A393,"|",""))=13, MID($A393, FIND("~", SUBSTITUTE($A393,"|","~", 11))+1, FIND("~", SUBSTITUTE($A393,"|","~", 12))-FIND("~", SUBSTITUTE($A393,"|","~", 11))-1),
    LEN($A393)-LEN(SUBSTITUTE($A393,"|",""))=14, MID($A393, FIND("~", SUBSTITUTE($A393,"|","~", 11))+1, FIND("~", SUBSTITUTE($A393,"|","~", 12))-FIND("~", SUBSTITUTE($A393,"|","~", 11))-1)
), "")</f>
        <v>5A5658</v>
      </c>
      <c r="M393" s="47" t="str">
        <f t="shared" si="55"/>
        <v>TSK2</v>
      </c>
      <c r="N393" s="46" t="str">
        <f t="shared" si="58"/>
        <v>FB120343/12/25</v>
      </c>
      <c r="O393" s="60">
        <v>58</v>
      </c>
      <c r="P393" s="60">
        <v>280</v>
      </c>
      <c r="Q393" s="48">
        <v>58</v>
      </c>
      <c r="R393" s="48">
        <v>280</v>
      </c>
      <c r="S393" s="48"/>
      <c r="T393" s="48"/>
      <c r="U393" s="49"/>
      <c r="V393" s="49"/>
      <c r="W393" s="50">
        <f t="shared" si="56"/>
        <v>0</v>
      </c>
      <c r="X393" s="51" t="str">
        <f>IF(A393="", "", IF(COUNTIFS(C$3:C392, C393, D$3:D392, D393, G$3:G392, G393) &gt; 0, "", "11:00"-AW393))</f>
        <v/>
      </c>
      <c r="Y393" s="52" t="str">
        <f t="shared" si="62"/>
        <v/>
      </c>
      <c r="Z393" s="53"/>
      <c r="AA393" s="54"/>
      <c r="AB393" s="53"/>
      <c r="AC393" s="54"/>
      <c r="AD393" s="53"/>
      <c r="AE393" s="54"/>
      <c r="AF393" s="53"/>
      <c r="AG393" s="54"/>
      <c r="AH393" s="55">
        <v>4.1666666666666699E-2</v>
      </c>
      <c r="AI393" s="53"/>
      <c r="AJ393" s="54"/>
      <c r="AK393" s="53"/>
      <c r="AL393" s="54"/>
      <c r="AM393" s="53"/>
      <c r="AN393" s="54"/>
      <c r="AO393" s="53"/>
      <c r="AP393" s="54"/>
      <c r="AQ393" s="53"/>
      <c r="AR393" s="54"/>
      <c r="AS393" s="53"/>
      <c r="AT393" s="54"/>
      <c r="AU393" s="53">
        <v>4.1666666666666699E-2</v>
      </c>
      <c r="AV393" s="54" t="s">
        <v>37</v>
      </c>
      <c r="AW393" s="57">
        <f t="shared" si="59"/>
        <v>4.1666666666666699E-2</v>
      </c>
      <c r="AX393" s="58" t="s">
        <v>260</v>
      </c>
    </row>
    <row r="394" spans="1:50" ht="21.75" customHeight="1">
      <c r="A394" s="38" t="s">
        <v>399</v>
      </c>
      <c r="B394" s="39">
        <f t="shared" ref="B394:B457" si="63">IF(A394="","",B393+1)</f>
        <v>390</v>
      </c>
      <c r="C394" s="40">
        <v>46034</v>
      </c>
      <c r="D394" s="40" t="s">
        <v>32</v>
      </c>
      <c r="E394" s="40" t="s">
        <v>81</v>
      </c>
      <c r="F394" s="41">
        <v>756.8</v>
      </c>
      <c r="G394" s="42" t="s">
        <v>192</v>
      </c>
      <c r="H394" s="43" t="str">
        <f>IFERROR(VLOOKUP($J394,'[9]FROM (3)'!$E$4:$F$230,2,FALSE),"")</f>
        <v>JATH</v>
      </c>
      <c r="I394" s="44" t="str">
        <f t="shared" si="60"/>
        <v>JGF02-002190-31-2</v>
      </c>
      <c r="J394" s="44" t="str">
        <f t="shared" si="61"/>
        <v>RACK BAR BLANK (JGF02-002190-31-2) 5K45</v>
      </c>
      <c r="K394" s="59" t="str">
        <f t="shared" si="57"/>
        <v>PD25121210</v>
      </c>
      <c r="L394" s="46" t="str" cm="1">
        <f t="array" ref="L394">IFERROR(_xlfn.IFS(
    LEN($A394)-LEN(SUBSTITUTE($A394,"|",""))=12, RIGHT(A394, LEN(A394)-FIND("~", SUBSTITUTE(A394,"|","~", LEN(A394)-LEN(SUBSTITUTE(A394,"|",""))))),
    LEN($A394)-LEN(SUBSTITUTE($A394,"|",""))=13, MID($A394, FIND("~", SUBSTITUTE($A394,"|","~", 11))+1, FIND("~", SUBSTITUTE($A394,"|","~", 12))-FIND("~", SUBSTITUTE($A394,"|","~", 11))-1),
    LEN($A394)-LEN(SUBSTITUTE($A394,"|",""))=14, MID($A394, FIND("~", SUBSTITUTE($A394,"|","~", 11))+1, FIND("~", SUBSTITUTE($A394,"|","~", 12))-FIND("~", SUBSTITUTE($A394,"|","~", 11))-1)
), "")</f>
        <v>5A5658</v>
      </c>
      <c r="M394" s="47" t="str">
        <f t="shared" si="55"/>
        <v>TSK2</v>
      </c>
      <c r="N394" s="46" t="str">
        <f t="shared" si="58"/>
        <v>FB120343/3/25</v>
      </c>
      <c r="O394" s="60">
        <v>58</v>
      </c>
      <c r="P394" s="60">
        <v>280</v>
      </c>
      <c r="Q394" s="48">
        <v>58</v>
      </c>
      <c r="R394" s="48">
        <v>280</v>
      </c>
      <c r="S394" s="48"/>
      <c r="T394" s="48"/>
      <c r="U394" s="49"/>
      <c r="V394" s="49"/>
      <c r="W394" s="50">
        <f t="shared" si="56"/>
        <v>0</v>
      </c>
      <c r="X394" s="51" t="str">
        <f>IF(A394="", "", IF(COUNTIFS(C$3:C393, C394, D$3:D393, D394, G$3:G393, G394) &gt; 0, "", "11:00"-AW394))</f>
        <v/>
      </c>
      <c r="Y394" s="52" t="str">
        <f t="shared" si="62"/>
        <v/>
      </c>
      <c r="Z394" s="53"/>
      <c r="AA394" s="54"/>
      <c r="AB394" s="53"/>
      <c r="AC394" s="54"/>
      <c r="AD394" s="53"/>
      <c r="AE394" s="54"/>
      <c r="AF394" s="53"/>
      <c r="AG394" s="54"/>
      <c r="AH394" s="55">
        <v>4.1666666666666699E-2</v>
      </c>
      <c r="AI394" s="53"/>
      <c r="AJ394" s="54"/>
      <c r="AK394" s="53"/>
      <c r="AL394" s="54"/>
      <c r="AM394" s="53"/>
      <c r="AN394" s="54"/>
      <c r="AO394" s="53"/>
      <c r="AP394" s="54"/>
      <c r="AQ394" s="53"/>
      <c r="AR394" s="54"/>
      <c r="AS394" s="53"/>
      <c r="AT394" s="54"/>
      <c r="AU394" s="53">
        <v>4.1666666666666699E-2</v>
      </c>
      <c r="AV394" s="54" t="s">
        <v>37</v>
      </c>
      <c r="AW394" s="57">
        <f t="shared" si="59"/>
        <v>4.1666666666666699E-2</v>
      </c>
      <c r="AX394" s="58" t="s">
        <v>260</v>
      </c>
    </row>
    <row r="395" spans="1:50" ht="21.75" customHeight="1">
      <c r="A395" s="38" t="s">
        <v>376</v>
      </c>
      <c r="B395" s="39">
        <f t="shared" si="63"/>
        <v>391</v>
      </c>
      <c r="C395" s="40">
        <v>46035</v>
      </c>
      <c r="D395" s="40" t="s">
        <v>80</v>
      </c>
      <c r="E395" s="40" t="s">
        <v>33</v>
      </c>
      <c r="F395" s="41">
        <v>23.4</v>
      </c>
      <c r="G395" s="42" t="s">
        <v>34</v>
      </c>
      <c r="H395" s="43" t="str">
        <f>IFERROR(VLOOKUP($J395,'[9]FROM (3)'!$E$4:$F$230,2,FALSE),"")</f>
        <v/>
      </c>
      <c r="I395" s="44" t="str">
        <f t="shared" si="60"/>
        <v>FLANGE-13 SLUG</v>
      </c>
      <c r="J395" s="44" t="str">
        <f t="shared" si="61"/>
        <v>ZZ2B7401TX1</v>
      </c>
      <c r="K395" s="59" t="str">
        <f t="shared" si="57"/>
        <v>PD26010473</v>
      </c>
      <c r="L395" s="46" t="str" cm="1">
        <f t="array" ref="L395">IFERROR(_xlfn.IFS(
    LEN($A395)-LEN(SUBSTITUTE($A395,"|",""))=12, RIGHT(A395, LEN(A395)-FIND("~", SUBSTITUTE(A395,"|","~", LEN(A395)-LEN(SUBSTITUTE(A395,"|",""))))),
    LEN($A395)-LEN(SUBSTITUTE($A395,"|",""))=13, MID($A395, FIND("~", SUBSTITUTE($A395,"|","~", 11))+1, FIND("~", SUBSTITUTE($A395,"|","~", 12))-FIND("~", SUBSTITUTE($A395,"|","~", 11))-1),
    LEN($A395)-LEN(SUBSTITUTE($A395,"|",""))=14, MID($A395, FIND("~", SUBSTITUTE($A395,"|","~", 11))+1, FIND("~", SUBSTITUTE($A395,"|","~", 12))-FIND("~", SUBSTITUTE($A395,"|","~", 11))-1)
), "")</f>
        <v>2-73052</v>
      </c>
      <c r="M395" s="47" t="str">
        <f t="shared" si="55"/>
        <v>2B2600090</v>
      </c>
      <c r="N395" s="46" t="str">
        <f t="shared" si="58"/>
        <v/>
      </c>
      <c r="O395" s="60"/>
      <c r="P395" s="60"/>
      <c r="Q395" s="48">
        <v>3820</v>
      </c>
      <c r="R395" s="48">
        <v>881</v>
      </c>
      <c r="S395" s="48"/>
      <c r="T395" s="48"/>
      <c r="U395" s="49"/>
      <c r="V395" s="49"/>
      <c r="W395" s="50">
        <f t="shared" si="56"/>
        <v>0</v>
      </c>
      <c r="X395" s="51">
        <f>IF(A395="", "", IF(COUNTIFS(C$3:C394, C395, D$3:D394, D395, G$3:G394, G395) &gt; 0, "", "11:00"-AW395))</f>
        <v>0.41666666666666663</v>
      </c>
      <c r="Y395" s="52" t="str">
        <f t="shared" si="62"/>
        <v>1:40</v>
      </c>
      <c r="Z395" s="53"/>
      <c r="AA395" s="54"/>
      <c r="AB395" s="53"/>
      <c r="AC395" s="54"/>
      <c r="AD395" s="53"/>
      <c r="AE395" s="54"/>
      <c r="AF395" s="53"/>
      <c r="AG395" s="54"/>
      <c r="AH395" s="55">
        <v>4.1666666666666699E-2</v>
      </c>
      <c r="AI395" s="53"/>
      <c r="AJ395" s="54"/>
      <c r="AK395" s="53"/>
      <c r="AL395" s="54"/>
      <c r="AM395" s="53"/>
      <c r="AN395" s="54"/>
      <c r="AO395" s="53"/>
      <c r="AP395" s="54"/>
      <c r="AQ395" s="53"/>
      <c r="AR395" s="54"/>
      <c r="AS395" s="53"/>
      <c r="AT395" s="54"/>
      <c r="AU395" s="53">
        <v>4.1666666666666699E-2</v>
      </c>
      <c r="AV395" s="54" t="s">
        <v>37</v>
      </c>
      <c r="AW395" s="57">
        <f t="shared" si="59"/>
        <v>4.1666666666666699E-2</v>
      </c>
      <c r="AX395" s="58" t="s">
        <v>203</v>
      </c>
    </row>
    <row r="396" spans="1:50" ht="21.75" customHeight="1">
      <c r="A396" s="38" t="s">
        <v>377</v>
      </c>
      <c r="B396" s="39">
        <f t="shared" si="63"/>
        <v>392</v>
      </c>
      <c r="C396" s="40">
        <v>46035</v>
      </c>
      <c r="D396" s="40" t="s">
        <v>80</v>
      </c>
      <c r="E396" s="40" t="s">
        <v>33</v>
      </c>
      <c r="F396" s="41">
        <v>14</v>
      </c>
      <c r="G396" s="42" t="s">
        <v>41</v>
      </c>
      <c r="H396" s="43" t="str">
        <f>IFERROR(VLOOKUP($J396,'[9]FROM (3)'!$E$4:$F$230,2,FALSE),"")</f>
        <v>DNTH</v>
      </c>
      <c r="I396" s="44" t="str">
        <f t="shared" si="60"/>
        <v>Pinion Starter 2 W</v>
      </c>
      <c r="J396" s="44" t="str">
        <f t="shared" si="61"/>
        <v>TGY28987-0060</v>
      </c>
      <c r="K396" s="59" t="str">
        <f t="shared" si="57"/>
        <v>PD26010423</v>
      </c>
      <c r="L396" s="46" t="str" cm="1">
        <f t="array" ref="L396">IFERROR(_xlfn.IFS(
    LEN($A396)-LEN(SUBSTITUTE($A396,"|",""))=12, RIGHT(A396, LEN(A396)-FIND("~", SUBSTITUTE(A396,"|","~", LEN(A396)-LEN(SUBSTITUTE(A396,"|",""))))),
    LEN($A396)-LEN(SUBSTITUTE($A396,"|",""))=13, MID($A396, FIND("~", SUBSTITUTE($A396,"|","~", 11))+1, FIND("~", SUBSTITUTE($A396,"|","~", 12))-FIND("~", SUBSTITUTE($A396,"|","~", 11))-1),
    LEN($A396)-LEN(SUBSTITUTE($A396,"|",""))=14, MID($A396, FIND("~", SUBSTITUTE($A396,"|","~", 11))+1, FIND("~", SUBSTITUTE($A396,"|","~", 12))-FIND("~", SUBSTITUTE($A396,"|","~", 11))-1)
), "")</f>
        <v>E586056</v>
      </c>
      <c r="M396" s="47" t="str">
        <f t="shared" si="55"/>
        <v>SB010037/3/26</v>
      </c>
      <c r="N396" s="46" t="str">
        <f t="shared" si="58"/>
        <v/>
      </c>
      <c r="O396" s="60"/>
      <c r="P396" s="60"/>
      <c r="Q396" s="48">
        <v>3181</v>
      </c>
      <c r="R396" s="48">
        <v>531</v>
      </c>
      <c r="S396" s="48"/>
      <c r="T396" s="48"/>
      <c r="U396" s="49"/>
      <c r="V396" s="49"/>
      <c r="W396" s="50">
        <f t="shared" si="56"/>
        <v>0</v>
      </c>
      <c r="X396" s="51">
        <f>IF(A396="", "", IF(COUNTIFS(C$3:C395, C396, D$3:D395, D396, G$3:G395, G396) &gt; 0, "", "11:00"-AW396))</f>
        <v>0.41666666666666663</v>
      </c>
      <c r="Y396" s="52" t="str">
        <f t="shared" si="62"/>
        <v>1:40</v>
      </c>
      <c r="Z396" s="53"/>
      <c r="AA396" s="54"/>
      <c r="AB396" s="53"/>
      <c r="AC396" s="54"/>
      <c r="AD396" s="53"/>
      <c r="AE396" s="54"/>
      <c r="AF396" s="53"/>
      <c r="AG396" s="54"/>
      <c r="AH396" s="55">
        <v>4.1666666666666699E-2</v>
      </c>
      <c r="AI396" s="53"/>
      <c r="AJ396" s="54"/>
      <c r="AK396" s="53"/>
      <c r="AL396" s="54"/>
      <c r="AM396" s="53"/>
      <c r="AN396" s="54"/>
      <c r="AO396" s="53"/>
      <c r="AP396" s="54"/>
      <c r="AQ396" s="53"/>
      <c r="AR396" s="54"/>
      <c r="AS396" s="53"/>
      <c r="AT396" s="54"/>
      <c r="AU396" s="53">
        <v>4.1666666666666699E-2</v>
      </c>
      <c r="AV396" s="54" t="s">
        <v>37</v>
      </c>
      <c r="AW396" s="57">
        <f t="shared" si="59"/>
        <v>4.1666666666666699E-2</v>
      </c>
      <c r="AX396" s="58" t="s">
        <v>203</v>
      </c>
    </row>
    <row r="397" spans="1:50" ht="21.75" customHeight="1">
      <c r="A397" s="38" t="s">
        <v>378</v>
      </c>
      <c r="B397" s="39">
        <f t="shared" si="63"/>
        <v>393</v>
      </c>
      <c r="C397" s="40">
        <v>46035</v>
      </c>
      <c r="D397" s="40" t="s">
        <v>80</v>
      </c>
      <c r="E397" s="40" t="s">
        <v>33</v>
      </c>
      <c r="F397" s="41">
        <v>85</v>
      </c>
      <c r="G397" s="42" t="s">
        <v>85</v>
      </c>
      <c r="H397" s="43" t="str">
        <f>IFERROR(VLOOKUP($J397,'[9]FROM (3)'!$E$4:$F$230,2,FALSE),"")</f>
        <v>DNTH</v>
      </c>
      <c r="I397" s="44" t="str">
        <f t="shared" si="60"/>
        <v>Barrel</v>
      </c>
      <c r="J397" s="44" t="str">
        <f t="shared" si="61"/>
        <v>TG028986-0050</v>
      </c>
      <c r="K397" s="59" t="str">
        <f t="shared" si="57"/>
        <v>PD26010421</v>
      </c>
      <c r="L397" s="46" t="str" cm="1">
        <f t="array" ref="L397">IFERROR(_xlfn.IFS(
    LEN($A397)-LEN(SUBSTITUTE($A397,"|",""))=12, RIGHT(A397, LEN(A397)-FIND("~", SUBSTITUTE(A397,"|","~", LEN(A397)-LEN(SUBSTITUTE(A397,"|",""))))),
    LEN($A397)-LEN(SUBSTITUTE($A397,"|",""))=13, MID($A397, FIND("~", SUBSTITUTE($A397,"|","~", 11))+1, FIND("~", SUBSTITUTE($A397,"|","~", 12))-FIND("~", SUBSTITUTE($A397,"|","~", 11))-1),
    LEN($A397)-LEN(SUBSTITUTE($A397,"|",""))=14, MID($A397, FIND("~", SUBSTITUTE($A397,"|","~", 11))+1, FIND("~", SUBSTITUTE($A397,"|","~", 12))-FIND("~", SUBSTITUTE($A397,"|","~", 11))-1)
), "")</f>
        <v>E484264</v>
      </c>
      <c r="M397" s="47" t="str">
        <f t="shared" si="55"/>
        <v>SB010035/1/26</v>
      </c>
      <c r="N397" s="46" t="str">
        <f t="shared" si="58"/>
        <v/>
      </c>
      <c r="O397" s="60"/>
      <c r="P397" s="60"/>
      <c r="Q397" s="48">
        <v>5088</v>
      </c>
      <c r="R397" s="48">
        <v>432</v>
      </c>
      <c r="S397" s="48"/>
      <c r="T397" s="48"/>
      <c r="U397" s="49"/>
      <c r="V397" s="49"/>
      <c r="W397" s="50">
        <f t="shared" si="56"/>
        <v>0</v>
      </c>
      <c r="X397" s="51">
        <f>IF(A397="", "", IF(COUNTIFS(C$3:C396, C397, D$3:D396, D397, G$3:G396, G397) &gt; 0, "", "11:00"-AW397))</f>
        <v>0.41666666666666663</v>
      </c>
      <c r="Y397" s="52" t="str">
        <f t="shared" si="62"/>
        <v>1:40</v>
      </c>
      <c r="Z397" s="53"/>
      <c r="AA397" s="54"/>
      <c r="AB397" s="53"/>
      <c r="AC397" s="54"/>
      <c r="AD397" s="53"/>
      <c r="AE397" s="54"/>
      <c r="AF397" s="53"/>
      <c r="AG397" s="54"/>
      <c r="AH397" s="55">
        <v>4.1666666666666699E-2</v>
      </c>
      <c r="AI397" s="53"/>
      <c r="AJ397" s="54"/>
      <c r="AK397" s="53"/>
      <c r="AL397" s="54"/>
      <c r="AM397" s="53"/>
      <c r="AN397" s="54"/>
      <c r="AO397" s="53"/>
      <c r="AP397" s="54"/>
      <c r="AQ397" s="53"/>
      <c r="AR397" s="54"/>
      <c r="AS397" s="53"/>
      <c r="AT397" s="54"/>
      <c r="AU397" s="53">
        <v>4.1666666666666699E-2</v>
      </c>
      <c r="AV397" s="54" t="s">
        <v>37</v>
      </c>
      <c r="AW397" s="57">
        <f t="shared" si="59"/>
        <v>4.1666666666666699E-2</v>
      </c>
      <c r="AX397" s="58" t="s">
        <v>203</v>
      </c>
    </row>
    <row r="398" spans="1:50" ht="21.75" customHeight="1">
      <c r="A398" s="38" t="s">
        <v>374</v>
      </c>
      <c r="B398" s="39">
        <f t="shared" si="63"/>
        <v>394</v>
      </c>
      <c r="C398" s="40">
        <v>46035</v>
      </c>
      <c r="D398" s="40" t="s">
        <v>80</v>
      </c>
      <c r="E398" s="40" t="s">
        <v>33</v>
      </c>
      <c r="F398" s="41">
        <v>598.79999999999995</v>
      </c>
      <c r="G398" s="42" t="s">
        <v>75</v>
      </c>
      <c r="H398" s="43" t="str">
        <f>IFERROR(VLOOKUP($J398,'[9]FROM (3)'!$E$4:$F$230,2,FALSE),"")</f>
        <v>JTCS</v>
      </c>
      <c r="I398" s="44" t="str">
        <f t="shared" si="60"/>
        <v>RACK, MS</v>
      </c>
      <c r="J398" s="44" t="str">
        <f t="shared" si="61"/>
        <v>JGC10-001180-S</v>
      </c>
      <c r="K398" s="59" t="str">
        <f t="shared" si="57"/>
        <v>PD26010414</v>
      </c>
      <c r="L398" s="46" t="str" cm="1">
        <f t="array" ref="L398">IFERROR(_xlfn.IFS(
    LEN($A398)-LEN(SUBSTITUTE($A398,"|",""))=12, RIGHT(A398, LEN(A398)-FIND("~", SUBSTITUTE(A398,"|","~", LEN(A398)-LEN(SUBSTITUTE(A398,"|",""))))),
    LEN($A398)-LEN(SUBSTITUTE($A398,"|",""))=13, MID($A398, FIND("~", SUBSTITUTE($A398,"|","~", 11))+1, FIND("~", SUBSTITUTE($A398,"|","~", 12))-FIND("~", SUBSTITUTE($A398,"|","~", 11))-1),
    LEN($A398)-LEN(SUBSTITUTE($A398,"|",""))=14, MID($A398, FIND("~", SUBSTITUTE($A398,"|","~", 11))+1, FIND("~", SUBSTITUTE($A398,"|","~", 12))-FIND("~", SUBSTITUTE($A398,"|","~", 11))-1)
), "")</f>
        <v>E585970</v>
      </c>
      <c r="M398" s="47" t="str">
        <f t="shared" si="55"/>
        <v>SB010036/2/26</v>
      </c>
      <c r="N398" s="46" t="str">
        <f t="shared" si="58"/>
        <v/>
      </c>
      <c r="O398" s="60"/>
      <c r="P398" s="60"/>
      <c r="Q398" s="48">
        <v>135</v>
      </c>
      <c r="R398" s="48">
        <v>287</v>
      </c>
      <c r="S398" s="48"/>
      <c r="T398" s="48"/>
      <c r="U398" s="49"/>
      <c r="V398" s="49"/>
      <c r="W398" s="50">
        <f t="shared" si="56"/>
        <v>0</v>
      </c>
      <c r="X398" s="51">
        <f>IF(A398="", "", IF(COUNTIFS(C$3:C397, C398, D$3:D397, D398, G$3:G397, G398) &gt; 0, "", "11:00"-AW398))</f>
        <v>0.41666666666666663</v>
      </c>
      <c r="Y398" s="52" t="str">
        <f t="shared" si="62"/>
        <v>1:40</v>
      </c>
      <c r="Z398" s="53"/>
      <c r="AA398" s="54"/>
      <c r="AB398" s="53"/>
      <c r="AC398" s="54"/>
      <c r="AD398" s="53"/>
      <c r="AE398" s="54"/>
      <c r="AF398" s="53"/>
      <c r="AG398" s="54"/>
      <c r="AH398" s="55">
        <v>4.1666666666666699E-2</v>
      </c>
      <c r="AI398" s="53"/>
      <c r="AJ398" s="54"/>
      <c r="AK398" s="53"/>
      <c r="AL398" s="54"/>
      <c r="AM398" s="53"/>
      <c r="AN398" s="54"/>
      <c r="AO398" s="53"/>
      <c r="AP398" s="54"/>
      <c r="AQ398" s="53"/>
      <c r="AR398" s="54"/>
      <c r="AS398" s="53"/>
      <c r="AT398" s="54"/>
      <c r="AU398" s="53">
        <v>4.1666666666666699E-2</v>
      </c>
      <c r="AV398" s="54" t="s">
        <v>37</v>
      </c>
      <c r="AW398" s="57">
        <f t="shared" si="59"/>
        <v>4.1666666666666699E-2</v>
      </c>
      <c r="AX398" s="58" t="s">
        <v>101</v>
      </c>
    </row>
    <row r="399" spans="1:50" ht="21.75" customHeight="1">
      <c r="A399" s="38" t="s">
        <v>400</v>
      </c>
      <c r="B399" s="39">
        <f t="shared" si="63"/>
        <v>395</v>
      </c>
      <c r="C399" s="40">
        <v>46035</v>
      </c>
      <c r="D399" s="40" t="s">
        <v>80</v>
      </c>
      <c r="E399" s="40" t="s">
        <v>33</v>
      </c>
      <c r="F399" s="41">
        <v>598.79999999999995</v>
      </c>
      <c r="G399" s="42" t="s">
        <v>75</v>
      </c>
      <c r="H399" s="43" t="str">
        <f>IFERROR(VLOOKUP($J399,'[9]FROM (3)'!$E$4:$F$230,2,FALSE),"")</f>
        <v>JTCS</v>
      </c>
      <c r="I399" s="44" t="str">
        <f t="shared" si="60"/>
        <v>RACK, MS</v>
      </c>
      <c r="J399" s="44" t="str">
        <f t="shared" si="61"/>
        <v>JGC10-001180-S</v>
      </c>
      <c r="K399" s="59" t="str">
        <f t="shared" si="57"/>
        <v>PD26010414</v>
      </c>
      <c r="L399" s="46" t="str" cm="1">
        <f t="array" ref="L399">IFERROR(_xlfn.IFS(
    LEN($A399)-LEN(SUBSTITUTE($A399,"|",""))=12, RIGHT(A399, LEN(A399)-FIND("~", SUBSTITUTE(A399,"|","~", LEN(A399)-LEN(SUBSTITUTE(A399,"|",""))))),
    LEN($A399)-LEN(SUBSTITUTE($A399,"|",""))=13, MID($A399, FIND("~", SUBSTITUTE($A399,"|","~", 11))+1, FIND("~", SUBSTITUTE($A399,"|","~", 12))-FIND("~", SUBSTITUTE($A399,"|","~", 11))-1),
    LEN($A399)-LEN(SUBSTITUTE($A399,"|",""))=14, MID($A399, FIND("~", SUBSTITUTE($A399,"|","~", 11))+1, FIND("~", SUBSTITUTE($A399,"|","~", 12))-FIND("~", SUBSTITUTE($A399,"|","~", 11))-1)
), "")</f>
        <v>E585970</v>
      </c>
      <c r="M399" s="47" t="str">
        <f t="shared" si="55"/>
        <v>SB010036/1/26</v>
      </c>
      <c r="N399" s="46" t="str">
        <f t="shared" si="58"/>
        <v/>
      </c>
      <c r="O399" s="60">
        <v>80</v>
      </c>
      <c r="P399" s="60">
        <v>902</v>
      </c>
      <c r="Q399" s="48">
        <v>400</v>
      </c>
      <c r="R399" s="48">
        <v>850</v>
      </c>
      <c r="S399" s="48"/>
      <c r="T399" s="48"/>
      <c r="U399" s="49"/>
      <c r="V399" s="49"/>
      <c r="W399" s="50">
        <f t="shared" si="56"/>
        <v>0</v>
      </c>
      <c r="X399" s="51" t="str">
        <f>IF(A399="", "", IF(COUNTIFS(C$3:C398, C399, D$3:D398, D399, G$3:G398, G399) &gt; 0, "", "11:00"-AW399))</f>
        <v/>
      </c>
      <c r="Y399" s="52" t="str">
        <f t="shared" si="62"/>
        <v/>
      </c>
      <c r="Z399" s="53"/>
      <c r="AA399" s="54"/>
      <c r="AB399" s="53"/>
      <c r="AC399" s="54"/>
      <c r="AD399" s="53"/>
      <c r="AE399" s="54"/>
      <c r="AF399" s="53"/>
      <c r="AG399" s="54"/>
      <c r="AH399" s="55">
        <v>4.1666666666666699E-2</v>
      </c>
      <c r="AI399" s="53"/>
      <c r="AJ399" s="54"/>
      <c r="AK399" s="53"/>
      <c r="AL399" s="54"/>
      <c r="AM399" s="53"/>
      <c r="AN399" s="54"/>
      <c r="AO399" s="53"/>
      <c r="AP399" s="54"/>
      <c r="AQ399" s="53"/>
      <c r="AR399" s="54"/>
      <c r="AS399" s="53"/>
      <c r="AT399" s="54"/>
      <c r="AU399" s="53">
        <v>4.1666666666666699E-2</v>
      </c>
      <c r="AV399" s="54" t="s">
        <v>37</v>
      </c>
      <c r="AW399" s="57">
        <f t="shared" si="59"/>
        <v>4.1666666666666699E-2</v>
      </c>
      <c r="AX399" s="58" t="s">
        <v>101</v>
      </c>
    </row>
    <row r="400" spans="1:50" ht="21.75" customHeight="1">
      <c r="A400" s="38" t="s">
        <v>401</v>
      </c>
      <c r="B400" s="39">
        <f t="shared" si="63"/>
        <v>396</v>
      </c>
      <c r="C400" s="40">
        <v>46035</v>
      </c>
      <c r="D400" s="40" t="s">
        <v>80</v>
      </c>
      <c r="E400" s="40" t="s">
        <v>33</v>
      </c>
      <c r="F400" s="41">
        <v>598.79999999999995</v>
      </c>
      <c r="G400" s="42" t="s">
        <v>75</v>
      </c>
      <c r="H400" s="43" t="str">
        <f>IFERROR(VLOOKUP($J400,'[9]FROM (3)'!$E$4:$F$230,2,FALSE),"")</f>
        <v>JTCS</v>
      </c>
      <c r="I400" s="44" t="str">
        <f t="shared" si="60"/>
        <v>RACK, MS</v>
      </c>
      <c r="J400" s="44" t="str">
        <f t="shared" si="61"/>
        <v>JGC10-001180-S</v>
      </c>
      <c r="K400" s="59" t="str">
        <f t="shared" si="57"/>
        <v>PD26010414</v>
      </c>
      <c r="L400" s="46" t="str" cm="1">
        <f t="array" ref="L400">IFERROR(_xlfn.IFS(
    LEN($A400)-LEN(SUBSTITUTE($A400,"|",""))=12, RIGHT(A400, LEN(A400)-FIND("~", SUBSTITUTE(A400,"|","~", LEN(A400)-LEN(SUBSTITUTE(A400,"|",""))))),
    LEN($A400)-LEN(SUBSTITUTE($A400,"|",""))=13, MID($A400, FIND("~", SUBSTITUTE($A400,"|","~", 11))+1, FIND("~", SUBSTITUTE($A400,"|","~", 12))-FIND("~", SUBSTITUTE($A400,"|","~", 11))-1),
    LEN($A400)-LEN(SUBSTITUTE($A400,"|",""))=14, MID($A400, FIND("~", SUBSTITUTE($A400,"|","~", 11))+1, FIND("~", SUBSTITUTE($A400,"|","~", 12))-FIND("~", SUBSTITUTE($A400,"|","~", 11))-1)
), "")</f>
        <v>E585970</v>
      </c>
      <c r="M400" s="47" t="str">
        <f t="shared" si="55"/>
        <v>SB010036/3/26</v>
      </c>
      <c r="N400" s="46" t="str">
        <f t="shared" si="58"/>
        <v/>
      </c>
      <c r="O400" s="60">
        <v>80</v>
      </c>
      <c r="P400" s="60">
        <v>902</v>
      </c>
      <c r="Q400" s="48">
        <v>400</v>
      </c>
      <c r="R400" s="48">
        <v>850</v>
      </c>
      <c r="S400" s="48"/>
      <c r="T400" s="48"/>
      <c r="U400" s="49">
        <v>142</v>
      </c>
      <c r="V400" s="49">
        <v>10</v>
      </c>
      <c r="W400" s="50">
        <f t="shared" si="56"/>
        <v>152</v>
      </c>
      <c r="X400" s="51" t="str">
        <f>IF(A400="", "", IF(COUNTIFS(C$3:C399, C400, D$3:D399, D400, G$3:G399, G400) &gt; 0, "", "11:00"-AW400))</f>
        <v/>
      </c>
      <c r="Y400" s="52" t="str">
        <f t="shared" si="62"/>
        <v/>
      </c>
      <c r="Z400" s="53"/>
      <c r="AA400" s="54"/>
      <c r="AB400" s="53"/>
      <c r="AC400" s="54"/>
      <c r="AD400" s="53"/>
      <c r="AE400" s="54"/>
      <c r="AF400" s="53"/>
      <c r="AG400" s="54"/>
      <c r="AH400" s="55">
        <v>4.1666666666666699E-2</v>
      </c>
      <c r="AI400" s="53"/>
      <c r="AJ400" s="54"/>
      <c r="AK400" s="53"/>
      <c r="AL400" s="54"/>
      <c r="AM400" s="53"/>
      <c r="AN400" s="54"/>
      <c r="AO400" s="53"/>
      <c r="AP400" s="54"/>
      <c r="AQ400" s="53"/>
      <c r="AR400" s="54"/>
      <c r="AS400" s="53"/>
      <c r="AT400" s="54"/>
      <c r="AU400" s="53">
        <v>4.1666666666666699E-2</v>
      </c>
      <c r="AV400" s="54" t="s">
        <v>37</v>
      </c>
      <c r="AW400" s="57">
        <f t="shared" si="59"/>
        <v>4.1666666666666699E-2</v>
      </c>
      <c r="AX400" s="58" t="s">
        <v>101</v>
      </c>
    </row>
    <row r="401" spans="1:50" ht="21.75" customHeight="1">
      <c r="A401" s="38" t="s">
        <v>402</v>
      </c>
      <c r="B401" s="39">
        <f t="shared" si="63"/>
        <v>397</v>
      </c>
      <c r="C401" s="40">
        <v>46035</v>
      </c>
      <c r="D401" s="40" t="s">
        <v>80</v>
      </c>
      <c r="E401" s="40" t="s">
        <v>33</v>
      </c>
      <c r="F401" s="41">
        <v>598.79999999999995</v>
      </c>
      <c r="G401" s="42" t="s">
        <v>75</v>
      </c>
      <c r="H401" s="43" t="str">
        <f>IFERROR(VLOOKUP($J401,'[9]FROM (3)'!$E$4:$F$230,2,FALSE),"")</f>
        <v>JTCS</v>
      </c>
      <c r="I401" s="44" t="str">
        <f t="shared" si="60"/>
        <v>RACK, MS</v>
      </c>
      <c r="J401" s="44" t="str">
        <f t="shared" si="61"/>
        <v>JGC10-001180-S</v>
      </c>
      <c r="K401" s="59" t="str">
        <f t="shared" si="57"/>
        <v>PD26010415</v>
      </c>
      <c r="L401" s="46" t="str" cm="1">
        <f t="array" ref="L401">IFERROR(_xlfn.IFS(
    LEN($A401)-LEN(SUBSTITUTE($A401,"|",""))=12, RIGHT(A401, LEN(A401)-FIND("~", SUBSTITUTE(A401,"|","~", LEN(A401)-LEN(SUBSTITUTE(A401,"|",""))))),
    LEN($A401)-LEN(SUBSTITUTE($A401,"|",""))=13, MID($A401, FIND("~", SUBSTITUTE($A401,"|","~", 11))+1, FIND("~", SUBSTITUTE($A401,"|","~", 12))-FIND("~", SUBSTITUTE($A401,"|","~", 11))-1),
    LEN($A401)-LEN(SUBSTITUTE($A401,"|",""))=14, MID($A401, FIND("~", SUBSTITUTE($A401,"|","~", 11))+1, FIND("~", SUBSTITUTE($A401,"|","~", 12))-FIND("~", SUBSTITUTE($A401,"|","~", 11))-1)
), "")</f>
        <v>E585970</v>
      </c>
      <c r="M401" s="47" t="str">
        <f t="shared" si="55"/>
        <v>SB010036/4/26</v>
      </c>
      <c r="N401" s="46" t="str">
        <f t="shared" si="58"/>
        <v/>
      </c>
      <c r="O401" s="60">
        <v>80</v>
      </c>
      <c r="P401" s="60">
        <v>902</v>
      </c>
      <c r="Q401" s="48">
        <v>204</v>
      </c>
      <c r="R401" s="48">
        <v>434</v>
      </c>
      <c r="S401" s="48">
        <v>2</v>
      </c>
      <c r="T401" s="48" t="s">
        <v>143</v>
      </c>
      <c r="U401" s="49"/>
      <c r="V401" s="49"/>
      <c r="W401" s="50">
        <f t="shared" si="56"/>
        <v>0</v>
      </c>
      <c r="X401" s="51" t="str">
        <f>IF(A401="", "", IF(COUNTIFS(C$3:C400, C401, D$3:D400, D401, G$3:G400, G401) &gt; 0, "", "11:00"-AW401))</f>
        <v/>
      </c>
      <c r="Y401" s="52" t="str">
        <f t="shared" si="62"/>
        <v/>
      </c>
      <c r="Z401" s="53"/>
      <c r="AA401" s="54"/>
      <c r="AB401" s="53"/>
      <c r="AC401" s="54"/>
      <c r="AD401" s="53"/>
      <c r="AE401" s="54"/>
      <c r="AF401" s="53"/>
      <c r="AG401" s="54"/>
      <c r="AH401" s="55">
        <v>4.1666666666666699E-2</v>
      </c>
      <c r="AI401" s="53"/>
      <c r="AJ401" s="54"/>
      <c r="AK401" s="53"/>
      <c r="AL401" s="54"/>
      <c r="AM401" s="53"/>
      <c r="AN401" s="54"/>
      <c r="AO401" s="53"/>
      <c r="AP401" s="54"/>
      <c r="AQ401" s="53"/>
      <c r="AR401" s="54"/>
      <c r="AS401" s="53"/>
      <c r="AT401" s="54"/>
      <c r="AU401" s="53">
        <v>4.1666666666666699E-2</v>
      </c>
      <c r="AV401" s="54" t="s">
        <v>37</v>
      </c>
      <c r="AW401" s="57">
        <f t="shared" si="59"/>
        <v>4.1666666666666699E-2</v>
      </c>
      <c r="AX401" s="58" t="s">
        <v>101</v>
      </c>
    </row>
    <row r="402" spans="1:50" ht="21.75" customHeight="1">
      <c r="A402" s="38" t="s">
        <v>375</v>
      </c>
      <c r="B402" s="39">
        <f t="shared" si="63"/>
        <v>398</v>
      </c>
      <c r="C402" s="40">
        <v>46035</v>
      </c>
      <c r="D402" s="40" t="s">
        <v>80</v>
      </c>
      <c r="E402" s="40" t="s">
        <v>33</v>
      </c>
      <c r="F402" s="41">
        <v>69.5</v>
      </c>
      <c r="G402" s="42" t="s">
        <v>135</v>
      </c>
      <c r="H402" s="43" t="str">
        <f>IFERROR(VLOOKUP($J402,'[9]FROM (3)'!$E$4:$F$230,2,FALSE),"")</f>
        <v>DNTH</v>
      </c>
      <c r="I402" s="44" t="str">
        <f t="shared" si="60"/>
        <v>Pole Core</v>
      </c>
      <c r="J402" s="44" t="str">
        <f t="shared" si="61"/>
        <v>TG028152-5180</v>
      </c>
      <c r="K402" s="59" t="str">
        <f t="shared" si="57"/>
        <v>PD26010422</v>
      </c>
      <c r="L402" s="46" t="str" cm="1">
        <f t="array" ref="L402">IFERROR(_xlfn.IFS(
    LEN($A402)-LEN(SUBSTITUTE($A402,"|",""))=12, RIGHT(A402, LEN(A402)-FIND("~", SUBSTITUTE(A402,"|","~", LEN(A402)-LEN(SUBSTITUTE(A402,"|",""))))),
    LEN($A402)-LEN(SUBSTITUTE($A402,"|",""))=13, MID($A402, FIND("~", SUBSTITUTE($A402,"|","~", 11))+1, FIND("~", SUBSTITUTE($A402,"|","~", 12))-FIND("~", SUBSTITUTE($A402,"|","~", 11))-1),
    LEN($A402)-LEN(SUBSTITUTE($A402,"|",""))=14, MID($A402, FIND("~", SUBSTITUTE($A402,"|","~", 11))+1, FIND("~", SUBSTITUTE($A402,"|","~", 12))-FIND("~", SUBSTITUTE($A402,"|","~", 11))-1)
), "")</f>
        <v>KS005C9016</v>
      </c>
      <c r="M402" s="47" t="str">
        <f t="shared" si="55"/>
        <v>SB010017/3/26</v>
      </c>
      <c r="N402" s="46" t="str">
        <f t="shared" si="58"/>
        <v/>
      </c>
      <c r="O402" s="60"/>
      <c r="P402" s="60"/>
      <c r="Q402" s="48">
        <v>10004</v>
      </c>
      <c r="R402" s="48">
        <v>695</v>
      </c>
      <c r="S402" s="48"/>
      <c r="T402" s="48"/>
      <c r="U402" s="49"/>
      <c r="V402" s="49"/>
      <c r="W402" s="50">
        <f t="shared" si="56"/>
        <v>0</v>
      </c>
      <c r="X402" s="51">
        <f>IF(A402="", "", IF(COUNTIFS(C$3:C401, C402, D$3:D401, D402, G$3:G401, G402) &gt; 0, "", "11:00"-AW402))</f>
        <v>0.24999999999999994</v>
      </c>
      <c r="Y402" s="52" t="str">
        <f t="shared" si="62"/>
        <v>1:40</v>
      </c>
      <c r="Z402" s="53"/>
      <c r="AA402" s="54"/>
      <c r="AB402" s="53"/>
      <c r="AC402" s="54"/>
      <c r="AD402" s="53"/>
      <c r="AE402" s="54"/>
      <c r="AF402" s="53"/>
      <c r="AG402" s="54"/>
      <c r="AH402" s="55">
        <v>4.1666666666666699E-2</v>
      </c>
      <c r="AI402" s="53"/>
      <c r="AJ402" s="54"/>
      <c r="AK402" s="53"/>
      <c r="AL402" s="54"/>
      <c r="AM402" s="53">
        <v>4.1666666666666664E-2</v>
      </c>
      <c r="AN402" s="54" t="s">
        <v>76</v>
      </c>
      <c r="AO402" s="53">
        <v>4.1666666666666664E-2</v>
      </c>
      <c r="AP402" s="54" t="s">
        <v>76</v>
      </c>
      <c r="AQ402" s="53">
        <v>4.1666666666666664E-2</v>
      </c>
      <c r="AR402" s="54" t="s">
        <v>76</v>
      </c>
      <c r="AS402" s="53">
        <v>4.1666666666666664E-2</v>
      </c>
      <c r="AT402" s="54" t="s">
        <v>76</v>
      </c>
      <c r="AU402" s="53">
        <v>4.1666666666666699E-2</v>
      </c>
      <c r="AV402" s="54" t="s">
        <v>37</v>
      </c>
      <c r="AW402" s="57">
        <f t="shared" si="59"/>
        <v>0.20833333333333337</v>
      </c>
      <c r="AX402" s="58" t="s">
        <v>224</v>
      </c>
    </row>
    <row r="403" spans="1:50" ht="21.75" customHeight="1">
      <c r="A403" s="38" t="s">
        <v>403</v>
      </c>
      <c r="B403" s="39">
        <f t="shared" si="63"/>
        <v>399</v>
      </c>
      <c r="C403" s="40">
        <v>46035</v>
      </c>
      <c r="D403" s="40" t="s">
        <v>80</v>
      </c>
      <c r="E403" s="40" t="s">
        <v>33</v>
      </c>
      <c r="F403" s="41" t="s">
        <v>404</v>
      </c>
      <c r="G403" s="42" t="s">
        <v>44</v>
      </c>
      <c r="H403" s="43" t="str">
        <f>IFERROR(VLOOKUP($J403,'[9]FROM (3)'!$E$4:$F$230,2,FALSE),"")</f>
        <v>DNTH</v>
      </c>
      <c r="I403" s="44" t="str">
        <f t="shared" si="60"/>
        <v>SLUG VALVE ROTARY</v>
      </c>
      <c r="J403" s="44" t="str">
        <f t="shared" si="61"/>
        <v>TGY95613-0020</v>
      </c>
      <c r="K403" s="59" t="str">
        <f t="shared" si="57"/>
        <v>PD26010428</v>
      </c>
      <c r="L403" s="46" t="str" cm="1">
        <f t="array" ref="L403">IFERROR(_xlfn.IFS(
    LEN($A403)-LEN(SUBSTITUTE($A403,"|",""))=12, RIGHT(A403, LEN(A403)-FIND("~", SUBSTITUTE(A403,"|","~", LEN(A403)-LEN(SUBSTITUTE(A403,"|",""))))),
    LEN($A403)-LEN(SUBSTITUTE($A403,"|",""))=13, MID($A403, FIND("~", SUBSTITUTE($A403,"|","~", 11))+1, FIND("~", SUBSTITUTE($A403,"|","~", 12))-FIND("~", SUBSTITUTE($A403,"|","~", 11))-1),
    LEN($A403)-LEN(SUBSTITUTE($A403,"|",""))=14, MID($A403, FIND("~", SUBSTITUTE($A403,"|","~", 11))+1, FIND("~", SUBSTITUTE($A403,"|","~", 12))-FIND("~", SUBSTITUTE($A403,"|","~", 11))-1)
), "")</f>
        <v>E585734</v>
      </c>
      <c r="M403" s="47" t="str">
        <f t="shared" si="55"/>
        <v>SB010040/5/26</v>
      </c>
      <c r="N403" s="46" t="str">
        <f t="shared" si="58"/>
        <v/>
      </c>
      <c r="O403" s="60">
        <v>66</v>
      </c>
      <c r="P403" s="60">
        <v>2864</v>
      </c>
      <c r="Q403" s="48">
        <v>4015</v>
      </c>
      <c r="R403" s="48">
        <v>796</v>
      </c>
      <c r="S403" s="48"/>
      <c r="T403" s="48"/>
      <c r="U403" s="49"/>
      <c r="V403" s="49"/>
      <c r="W403" s="50">
        <f t="shared" si="56"/>
        <v>0</v>
      </c>
      <c r="X403" s="51">
        <f>IF(A403="", "", IF(COUNTIFS(C$3:C402, C403, D$3:D402, D403, G$3:G402, G403) &gt; 0, "", "11:00"-AW403))</f>
        <v>0.39583333333333326</v>
      </c>
      <c r="Y403" s="52" t="str">
        <f t="shared" si="62"/>
        <v>1:40</v>
      </c>
      <c r="Z403" s="53">
        <v>2.0833333333333332E-2</v>
      </c>
      <c r="AA403" s="54" t="s">
        <v>67</v>
      </c>
      <c r="AB403" s="53"/>
      <c r="AC403" s="54"/>
      <c r="AD403" s="53"/>
      <c r="AE403" s="54"/>
      <c r="AF403" s="53"/>
      <c r="AG403" s="54"/>
      <c r="AH403" s="55">
        <v>4.1666666666666699E-2</v>
      </c>
      <c r="AI403" s="53"/>
      <c r="AJ403" s="54"/>
      <c r="AK403" s="53"/>
      <c r="AL403" s="54"/>
      <c r="AM403" s="53"/>
      <c r="AN403" s="54"/>
      <c r="AO403" s="53"/>
      <c r="AP403" s="54"/>
      <c r="AQ403" s="53"/>
      <c r="AR403" s="54"/>
      <c r="AS403" s="53"/>
      <c r="AT403" s="54"/>
      <c r="AU403" s="53">
        <v>4.1666666666666699E-2</v>
      </c>
      <c r="AV403" s="54" t="s">
        <v>37</v>
      </c>
      <c r="AW403" s="57">
        <f t="shared" si="59"/>
        <v>6.2500000000000028E-2</v>
      </c>
      <c r="AX403" s="58" t="s">
        <v>203</v>
      </c>
    </row>
    <row r="404" spans="1:50" ht="21.75" customHeight="1">
      <c r="A404" s="38" t="s">
        <v>387</v>
      </c>
      <c r="B404" s="39">
        <f t="shared" si="63"/>
        <v>400</v>
      </c>
      <c r="C404" s="40">
        <v>46035</v>
      </c>
      <c r="D404" s="40" t="s">
        <v>80</v>
      </c>
      <c r="E404" s="40" t="s">
        <v>33</v>
      </c>
      <c r="F404" s="41">
        <v>597.4</v>
      </c>
      <c r="G404" s="42" t="s">
        <v>66</v>
      </c>
      <c r="H404" s="43" t="str">
        <f>IFERROR(VLOOKUP($J404,'[9]FROM (3)'!$E$4:$F$230,2,FALSE),"")</f>
        <v>JTCS</v>
      </c>
      <c r="I404" s="44" t="str">
        <f t="shared" si="60"/>
        <v>Rack, MS</v>
      </c>
      <c r="J404" s="44" t="str">
        <f t="shared" si="61"/>
        <v>JGC10-003770-40-0</v>
      </c>
      <c r="K404" s="59" t="str">
        <f t="shared" si="57"/>
        <v>PD26010413</v>
      </c>
      <c r="L404" s="46" t="str" cm="1">
        <f t="array" ref="L404">IFERROR(_xlfn.IFS(
    LEN($A404)-LEN(SUBSTITUTE($A404,"|",""))=12, RIGHT(A404, LEN(A404)-FIND("~", SUBSTITUTE(A404,"|","~", LEN(A404)-LEN(SUBSTITUTE(A404,"|",""))))),
    LEN($A404)-LEN(SUBSTITUTE($A404,"|",""))=13, MID($A404, FIND("~", SUBSTITUTE($A404,"|","~", 11))+1, FIND("~", SUBSTITUTE($A404,"|","~", 12))-FIND("~", SUBSTITUTE($A404,"|","~", 11))-1),
    LEN($A404)-LEN(SUBSTITUTE($A404,"|",""))=14, MID($A404, FIND("~", SUBSTITUTE($A404,"|","~", 11))+1, FIND("~", SUBSTITUTE($A404,"|","~", 12))-FIND("~", SUBSTITUTE($A404,"|","~", 11))-1)
), "")</f>
        <v>E585970</v>
      </c>
      <c r="M404" s="47" t="str">
        <f t="shared" si="55"/>
        <v>SB010034/6/26</v>
      </c>
      <c r="N404" s="46" t="str">
        <f t="shared" si="58"/>
        <v/>
      </c>
      <c r="O404" s="60" t="s">
        <v>35</v>
      </c>
      <c r="P404" s="60" t="s">
        <v>35</v>
      </c>
      <c r="Q404" s="48">
        <v>217</v>
      </c>
      <c r="R404" s="48">
        <v>460</v>
      </c>
      <c r="S404" s="48"/>
      <c r="T404" s="48"/>
      <c r="U404" s="49">
        <v>136</v>
      </c>
      <c r="V404" s="49">
        <v>9</v>
      </c>
      <c r="W404" s="50">
        <f t="shared" si="56"/>
        <v>145</v>
      </c>
      <c r="X404" s="51">
        <f>IF(A404="", "", IF(COUNTIFS(C$3:C403, C404, D$3:D403, D404, G$3:G403, G404) &gt; 0, "", "11:00"-AW404))</f>
        <v>0.41666666666666663</v>
      </c>
      <c r="Y404" s="52" t="str">
        <f t="shared" si="62"/>
        <v>1:40</v>
      </c>
      <c r="Z404" s="53"/>
      <c r="AA404" s="54"/>
      <c r="AB404" s="53"/>
      <c r="AC404" s="54"/>
      <c r="AD404" s="53"/>
      <c r="AE404" s="54"/>
      <c r="AF404" s="53"/>
      <c r="AG404" s="54"/>
      <c r="AH404" s="55">
        <v>4.1666666666666699E-2</v>
      </c>
      <c r="AI404" s="53"/>
      <c r="AJ404" s="54"/>
      <c r="AK404" s="53"/>
      <c r="AL404" s="54"/>
      <c r="AM404" s="53"/>
      <c r="AN404" s="54"/>
      <c r="AO404" s="53"/>
      <c r="AP404" s="54"/>
      <c r="AQ404" s="53"/>
      <c r="AR404" s="54"/>
      <c r="AS404" s="53"/>
      <c r="AT404" s="54"/>
      <c r="AU404" s="53">
        <v>4.1666666666666699E-2</v>
      </c>
      <c r="AV404" s="54" t="s">
        <v>37</v>
      </c>
      <c r="AW404" s="57">
        <f t="shared" si="59"/>
        <v>4.1666666666666699E-2</v>
      </c>
      <c r="AX404" s="58" t="s">
        <v>96</v>
      </c>
    </row>
    <row r="405" spans="1:50" ht="21.75" customHeight="1">
      <c r="A405" s="38" t="s">
        <v>405</v>
      </c>
      <c r="B405" s="39">
        <f t="shared" si="63"/>
        <v>401</v>
      </c>
      <c r="C405" s="40">
        <v>46035</v>
      </c>
      <c r="D405" s="40" t="s">
        <v>80</v>
      </c>
      <c r="E405" s="40" t="s">
        <v>33</v>
      </c>
      <c r="F405" s="41">
        <v>597.4</v>
      </c>
      <c r="G405" s="42" t="s">
        <v>66</v>
      </c>
      <c r="H405" s="43" t="str">
        <f>IFERROR(VLOOKUP($J405,'[9]FROM (3)'!$E$4:$F$230,2,FALSE),"")</f>
        <v>JTCS</v>
      </c>
      <c r="I405" s="44" t="str">
        <f t="shared" si="60"/>
        <v>Rack, MS</v>
      </c>
      <c r="J405" s="44" t="str">
        <f t="shared" si="61"/>
        <v>JGC10-003770-40-0</v>
      </c>
      <c r="K405" s="59" t="str">
        <f t="shared" si="57"/>
        <v>PD26010413</v>
      </c>
      <c r="L405" s="46" t="str" cm="1">
        <f t="array" ref="L405">IFERROR(_xlfn.IFS(
    LEN($A405)-LEN(SUBSTITUTE($A405,"|",""))=12, RIGHT(A405, LEN(A405)-FIND("~", SUBSTITUTE(A405,"|","~", LEN(A405)-LEN(SUBSTITUTE(A405,"|",""))))),
    LEN($A405)-LEN(SUBSTITUTE($A405,"|",""))=13, MID($A405, FIND("~", SUBSTITUTE($A405,"|","~", 11))+1, FIND("~", SUBSTITUTE($A405,"|","~", 12))-FIND("~", SUBSTITUTE($A405,"|","~", 11))-1),
    LEN($A405)-LEN(SUBSTITUTE($A405,"|",""))=14, MID($A405, FIND("~", SUBSTITUTE($A405,"|","~", 11))+1, FIND("~", SUBSTITUTE($A405,"|","~", 12))-FIND("~", SUBSTITUTE($A405,"|","~", 11))-1)
), "")</f>
        <v>E585970</v>
      </c>
      <c r="M405" s="47" t="str">
        <f t="shared" si="55"/>
        <v>SB010034/4/26</v>
      </c>
      <c r="N405" s="46" t="str">
        <f t="shared" si="58"/>
        <v/>
      </c>
      <c r="O405" s="60">
        <v>80</v>
      </c>
      <c r="P405" s="60">
        <v>902</v>
      </c>
      <c r="Q405" s="48">
        <v>400</v>
      </c>
      <c r="R405" s="48">
        <v>848</v>
      </c>
      <c r="S405" s="48"/>
      <c r="T405" s="48"/>
      <c r="U405" s="49"/>
      <c r="V405" s="49"/>
      <c r="W405" s="50">
        <f t="shared" si="56"/>
        <v>0</v>
      </c>
      <c r="X405" s="51" t="str">
        <f>IF(A405="", "", IF(COUNTIFS(C$3:C404, C405, D$3:D404, D405, G$3:G404, G405) &gt; 0, "", "11:00"-AW405))</f>
        <v/>
      </c>
      <c r="Y405" s="52" t="str">
        <f t="shared" si="62"/>
        <v/>
      </c>
      <c r="Z405" s="53"/>
      <c r="AA405" s="54"/>
      <c r="AB405" s="53"/>
      <c r="AC405" s="54"/>
      <c r="AD405" s="53"/>
      <c r="AE405" s="54"/>
      <c r="AF405" s="53"/>
      <c r="AG405" s="54"/>
      <c r="AH405" s="55">
        <v>4.1666666666666699E-2</v>
      </c>
      <c r="AI405" s="53"/>
      <c r="AJ405" s="54"/>
      <c r="AK405" s="53"/>
      <c r="AL405" s="54"/>
      <c r="AM405" s="53"/>
      <c r="AN405" s="54"/>
      <c r="AO405" s="53"/>
      <c r="AP405" s="54"/>
      <c r="AQ405" s="53"/>
      <c r="AR405" s="54"/>
      <c r="AS405" s="53"/>
      <c r="AT405" s="54"/>
      <c r="AU405" s="53">
        <v>4.1666666666666699E-2</v>
      </c>
      <c r="AV405" s="54" t="s">
        <v>37</v>
      </c>
      <c r="AW405" s="57">
        <f t="shared" si="59"/>
        <v>4.1666666666666699E-2</v>
      </c>
      <c r="AX405" s="58" t="s">
        <v>96</v>
      </c>
    </row>
    <row r="406" spans="1:50" ht="21.75" customHeight="1">
      <c r="A406" s="38" t="s">
        <v>406</v>
      </c>
      <c r="B406" s="39">
        <f t="shared" si="63"/>
        <v>402</v>
      </c>
      <c r="C406" s="40">
        <v>46035</v>
      </c>
      <c r="D406" s="40" t="s">
        <v>80</v>
      </c>
      <c r="E406" s="40" t="s">
        <v>33</v>
      </c>
      <c r="F406" s="41">
        <v>597.4</v>
      </c>
      <c r="G406" s="42" t="s">
        <v>66</v>
      </c>
      <c r="H406" s="43" t="str">
        <f>IFERROR(VLOOKUP($J406,'[9]FROM (3)'!$E$4:$F$230,2,FALSE),"")</f>
        <v>JTCS</v>
      </c>
      <c r="I406" s="44" t="str">
        <f t="shared" si="60"/>
        <v>Rack, MS</v>
      </c>
      <c r="J406" s="44" t="str">
        <f t="shared" si="61"/>
        <v>JGC10-003770-40-0</v>
      </c>
      <c r="K406" s="59" t="str">
        <f t="shared" si="57"/>
        <v>PD26010412</v>
      </c>
      <c r="L406" s="46" t="str" cm="1">
        <f t="array" ref="L406">IFERROR(_xlfn.IFS(
    LEN($A406)-LEN(SUBSTITUTE($A406,"|",""))=12, RIGHT(A406, LEN(A406)-FIND("~", SUBSTITUTE(A406,"|","~", LEN(A406)-LEN(SUBSTITUTE(A406,"|",""))))),
    LEN($A406)-LEN(SUBSTITUTE($A406,"|",""))=13, MID($A406, FIND("~", SUBSTITUTE($A406,"|","~", 11))+1, FIND("~", SUBSTITUTE($A406,"|","~", 12))-FIND("~", SUBSTITUTE($A406,"|","~", 11))-1),
    LEN($A406)-LEN(SUBSTITUTE($A406,"|",""))=14, MID($A406, FIND("~", SUBSTITUTE($A406,"|","~", 11))+1, FIND("~", SUBSTITUTE($A406,"|","~", 12))-FIND("~", SUBSTITUTE($A406,"|","~", 11))-1)
), "")</f>
        <v>E585970</v>
      </c>
      <c r="M406" s="47" t="str">
        <f t="shared" si="55"/>
        <v>SB010034/3/26</v>
      </c>
      <c r="N406" s="46" t="str">
        <f t="shared" si="58"/>
        <v/>
      </c>
      <c r="O406" s="60">
        <v>80</v>
      </c>
      <c r="P406" s="60">
        <v>902</v>
      </c>
      <c r="Q406" s="48">
        <v>400</v>
      </c>
      <c r="R406" s="48">
        <v>848</v>
      </c>
      <c r="S406" s="48"/>
      <c r="T406" s="48"/>
      <c r="U406" s="49"/>
      <c r="V406" s="49"/>
      <c r="W406" s="50">
        <f t="shared" si="56"/>
        <v>0</v>
      </c>
      <c r="X406" s="51" t="str">
        <f>IF(A406="", "", IF(COUNTIFS(C$3:C405, C406, D$3:D405, D406, G$3:G405, G406) &gt; 0, "", "11:00"-AW406))</f>
        <v/>
      </c>
      <c r="Y406" s="52" t="str">
        <f t="shared" si="62"/>
        <v/>
      </c>
      <c r="Z406" s="53"/>
      <c r="AA406" s="54"/>
      <c r="AB406" s="53"/>
      <c r="AC406" s="54"/>
      <c r="AD406" s="53"/>
      <c r="AE406" s="54"/>
      <c r="AF406" s="53"/>
      <c r="AG406" s="54"/>
      <c r="AH406" s="55">
        <v>4.1666666666666699E-2</v>
      </c>
      <c r="AI406" s="53"/>
      <c r="AJ406" s="54"/>
      <c r="AK406" s="53"/>
      <c r="AL406" s="54"/>
      <c r="AM406" s="53"/>
      <c r="AN406" s="54"/>
      <c r="AO406" s="53"/>
      <c r="AP406" s="54"/>
      <c r="AQ406" s="53"/>
      <c r="AR406" s="54"/>
      <c r="AS406" s="53"/>
      <c r="AT406" s="54"/>
      <c r="AU406" s="53">
        <v>4.1666666666666699E-2</v>
      </c>
      <c r="AV406" s="54" t="s">
        <v>37</v>
      </c>
      <c r="AW406" s="57">
        <f t="shared" si="59"/>
        <v>4.1666666666666699E-2</v>
      </c>
      <c r="AX406" s="58" t="s">
        <v>96</v>
      </c>
    </row>
    <row r="407" spans="1:50" ht="21.75" customHeight="1">
      <c r="A407" s="38" t="s">
        <v>407</v>
      </c>
      <c r="B407" s="39">
        <f t="shared" si="63"/>
        <v>403</v>
      </c>
      <c r="C407" s="40">
        <v>46035</v>
      </c>
      <c r="D407" s="40" t="s">
        <v>80</v>
      </c>
      <c r="E407" s="40" t="s">
        <v>33</v>
      </c>
      <c r="F407" s="41">
        <v>597.4</v>
      </c>
      <c r="G407" s="42" t="s">
        <v>66</v>
      </c>
      <c r="H407" s="43" t="str">
        <f>IFERROR(VLOOKUP($J407,'[9]FROM (3)'!$E$4:$F$230,2,FALSE),"")</f>
        <v>JTCS</v>
      </c>
      <c r="I407" s="44" t="str">
        <f t="shared" si="60"/>
        <v>Rack, MS</v>
      </c>
      <c r="J407" s="44" t="str">
        <f t="shared" si="61"/>
        <v>JGC10-003770-40-0</v>
      </c>
      <c r="K407" s="59" t="str">
        <f t="shared" si="57"/>
        <v>PD26010412</v>
      </c>
      <c r="L407" s="46" t="str" cm="1">
        <f t="array" ref="L407">IFERROR(_xlfn.IFS(
    LEN($A407)-LEN(SUBSTITUTE($A407,"|",""))=12, RIGHT(A407, LEN(A407)-FIND("~", SUBSTITUTE(A407,"|","~", LEN(A407)-LEN(SUBSTITUTE(A407,"|",""))))),
    LEN($A407)-LEN(SUBSTITUTE($A407,"|",""))=13, MID($A407, FIND("~", SUBSTITUTE($A407,"|","~", 11))+1, FIND("~", SUBSTITUTE($A407,"|","~", 12))-FIND("~", SUBSTITUTE($A407,"|","~", 11))-1),
    LEN($A407)-LEN(SUBSTITUTE($A407,"|",""))=14, MID($A407, FIND("~", SUBSTITUTE($A407,"|","~", 11))+1, FIND("~", SUBSTITUTE($A407,"|","~", 12))-FIND("~", SUBSTITUTE($A407,"|","~", 11))-1)
), "")</f>
        <v>E585970</v>
      </c>
      <c r="M407" s="47" t="str">
        <f t="shared" si="55"/>
        <v>SB010034/1/26</v>
      </c>
      <c r="N407" s="46" t="str">
        <f t="shared" si="58"/>
        <v/>
      </c>
      <c r="O407" s="60">
        <v>80</v>
      </c>
      <c r="P407" s="60">
        <v>902</v>
      </c>
      <c r="Q407" s="48">
        <v>125</v>
      </c>
      <c r="R407" s="48">
        <v>265</v>
      </c>
      <c r="S407" s="48"/>
      <c r="T407" s="48"/>
      <c r="U407" s="49"/>
      <c r="V407" s="49"/>
      <c r="W407" s="50">
        <f t="shared" si="56"/>
        <v>0</v>
      </c>
      <c r="X407" s="51" t="str">
        <f>IF(A407="", "", IF(COUNTIFS(C$3:C406, C407, D$3:D406, D407, G$3:G406, G407) &gt; 0, "", "11:00"-AW407))</f>
        <v/>
      </c>
      <c r="Y407" s="52" t="str">
        <f t="shared" si="62"/>
        <v/>
      </c>
      <c r="Z407" s="53"/>
      <c r="AA407" s="54"/>
      <c r="AB407" s="53"/>
      <c r="AC407" s="54"/>
      <c r="AD407" s="53"/>
      <c r="AE407" s="54"/>
      <c r="AF407" s="53"/>
      <c r="AG407" s="54"/>
      <c r="AH407" s="55">
        <v>4.1666666666666699E-2</v>
      </c>
      <c r="AI407" s="53"/>
      <c r="AJ407" s="54"/>
      <c r="AK407" s="53"/>
      <c r="AL407" s="54"/>
      <c r="AM407" s="53"/>
      <c r="AN407" s="54"/>
      <c r="AO407" s="53"/>
      <c r="AP407" s="54"/>
      <c r="AQ407" s="53"/>
      <c r="AR407" s="54"/>
      <c r="AS407" s="53"/>
      <c r="AT407" s="54"/>
      <c r="AU407" s="53">
        <v>4.1666666666666699E-2</v>
      </c>
      <c r="AV407" s="54" t="s">
        <v>37</v>
      </c>
      <c r="AW407" s="57">
        <f t="shared" si="59"/>
        <v>4.1666666666666699E-2</v>
      </c>
      <c r="AX407" s="58" t="s">
        <v>96</v>
      </c>
    </row>
    <row r="408" spans="1:50" ht="21.75" customHeight="1">
      <c r="A408" s="38" t="s">
        <v>408</v>
      </c>
      <c r="B408" s="39">
        <f t="shared" si="63"/>
        <v>404</v>
      </c>
      <c r="C408" s="40">
        <v>46035</v>
      </c>
      <c r="D408" s="40" t="s">
        <v>80</v>
      </c>
      <c r="E408" s="40" t="s">
        <v>33</v>
      </c>
      <c r="F408" s="41">
        <v>698.5</v>
      </c>
      <c r="G408" s="42" t="s">
        <v>54</v>
      </c>
      <c r="H408" s="43" t="str">
        <f>IFERROR(VLOOKUP($J408,'[9]FROM (3)'!$E$4:$F$230,2,FALSE),"")</f>
        <v>JCTTH</v>
      </c>
      <c r="I408" s="44" t="str">
        <f t="shared" si="60"/>
        <v>RACK BAR</v>
      </c>
      <c r="J408" s="44" t="str">
        <f t="shared" si="61"/>
        <v>JGD10-000751/000761-A</v>
      </c>
      <c r="K408" s="59" t="str">
        <f t="shared" si="57"/>
        <v xml:space="preserve"> PD26010258</v>
      </c>
      <c r="L408" s="46" t="str" cm="1">
        <f t="array" ref="L408">IFERROR(_xlfn.IFS(
    LEN($A408)-LEN(SUBSTITUTE($A408,"|",""))=12, RIGHT(A408, LEN(A408)-FIND("~", SUBSTITUTE(A408,"|","~", LEN(A408)-LEN(SUBSTITUTE(A408,"|",""))))),
    LEN($A408)-LEN(SUBSTITUTE($A408,"|",""))=13, MID($A408, FIND("~", SUBSTITUTE($A408,"|","~", 11))+1, FIND("~", SUBSTITUTE($A408,"|","~", 12))-FIND("~", SUBSTITUTE($A408,"|","~", 11))-1),
    LEN($A408)-LEN(SUBSTITUTE($A408,"|",""))=14, MID($A408, FIND("~", SUBSTITUTE($A408,"|","~", 11))+1, FIND("~", SUBSTITUTE($A408,"|","~", 12))-FIND("~", SUBSTITUTE($A408,"|","~", 11))-1)
), "")</f>
        <v>665076</v>
      </c>
      <c r="M408" s="47" t="str">
        <f t="shared" si="55"/>
        <v>SB010010/4/26</v>
      </c>
      <c r="N408" s="46" t="str">
        <f t="shared" si="58"/>
        <v/>
      </c>
      <c r="O408" s="60">
        <v>51</v>
      </c>
      <c r="P408" s="60">
        <v>986</v>
      </c>
      <c r="Q408" s="48">
        <v>204</v>
      </c>
      <c r="R408" s="48">
        <v>913</v>
      </c>
      <c r="S408" s="48"/>
      <c r="T408" s="48"/>
      <c r="U408" s="49"/>
      <c r="V408" s="49"/>
      <c r="W408" s="50">
        <f t="shared" si="56"/>
        <v>0</v>
      </c>
      <c r="X408" s="51">
        <f>IF(A408="", "", IF(COUNTIFS(C$3:C407, C408, D$3:D407, D408, G$3:G407, G408) &gt; 0, "", "11:00"-AW408))</f>
        <v>0.40277777777777773</v>
      </c>
      <c r="Y408" s="52" t="str">
        <f t="shared" si="62"/>
        <v>1:40</v>
      </c>
      <c r="Z408" s="53">
        <v>1.3888888888888888E-2</v>
      </c>
      <c r="AA408" s="54" t="s">
        <v>82</v>
      </c>
      <c r="AB408" s="53"/>
      <c r="AC408" s="54"/>
      <c r="AD408" s="53"/>
      <c r="AE408" s="54"/>
      <c r="AF408" s="53"/>
      <c r="AG408" s="54"/>
      <c r="AH408" s="55">
        <v>4.1666666666666699E-2</v>
      </c>
      <c r="AI408" s="53"/>
      <c r="AJ408" s="54"/>
      <c r="AK408" s="53"/>
      <c r="AL408" s="54"/>
      <c r="AM408" s="53"/>
      <c r="AN408" s="54"/>
      <c r="AO408" s="53"/>
      <c r="AP408" s="54"/>
      <c r="AQ408" s="53"/>
      <c r="AR408" s="54"/>
      <c r="AS408" s="53"/>
      <c r="AT408" s="54"/>
      <c r="AU408" s="53">
        <v>4.1666666666666699E-2</v>
      </c>
      <c r="AV408" s="54" t="s">
        <v>37</v>
      </c>
      <c r="AW408" s="57">
        <f t="shared" si="59"/>
        <v>5.5555555555555587E-2</v>
      </c>
      <c r="AX408" s="58" t="s">
        <v>91</v>
      </c>
    </row>
    <row r="409" spans="1:50" ht="21.75" customHeight="1">
      <c r="A409" s="38" t="s">
        <v>409</v>
      </c>
      <c r="B409" s="39">
        <f t="shared" si="63"/>
        <v>405</v>
      </c>
      <c r="C409" s="40">
        <v>46035</v>
      </c>
      <c r="D409" s="40" t="s">
        <v>80</v>
      </c>
      <c r="E409" s="40" t="s">
        <v>33</v>
      </c>
      <c r="F409" s="41">
        <v>698.5</v>
      </c>
      <c r="G409" s="42" t="s">
        <v>54</v>
      </c>
      <c r="H409" s="43" t="str">
        <f>IFERROR(VLOOKUP($J409,'[9]FROM (3)'!$E$4:$F$230,2,FALSE),"")</f>
        <v>JCTTH</v>
      </c>
      <c r="I409" s="44" t="str">
        <f t="shared" si="60"/>
        <v>RACK BAR</v>
      </c>
      <c r="J409" s="44" t="str">
        <f t="shared" si="61"/>
        <v>JGD10-000751/000761-A</v>
      </c>
      <c r="K409" s="59" t="str">
        <f t="shared" si="57"/>
        <v>PD26010258</v>
      </c>
      <c r="L409" s="46" t="str" cm="1">
        <f t="array" ref="L409">IFERROR(_xlfn.IFS(
    LEN($A409)-LEN(SUBSTITUTE($A409,"|",""))=12, RIGHT(A409, LEN(A409)-FIND("~", SUBSTITUTE(A409,"|","~", LEN(A409)-LEN(SUBSTITUTE(A409,"|",""))))),
    LEN($A409)-LEN(SUBSTITUTE($A409,"|",""))=13, MID($A409, FIND("~", SUBSTITUTE($A409,"|","~", 11))+1, FIND("~", SUBSTITUTE($A409,"|","~", 12))-FIND("~", SUBSTITUTE($A409,"|","~", 11))-1),
    LEN($A409)-LEN(SUBSTITUTE($A409,"|",""))=14, MID($A409, FIND("~", SUBSTITUTE($A409,"|","~", 11))+1, FIND("~", SUBSTITUTE($A409,"|","~", 12))-FIND("~", SUBSTITUTE($A409,"|","~", 11))-1)
), "")</f>
        <v>665076</v>
      </c>
      <c r="M409" s="47" t="str">
        <f t="shared" si="55"/>
        <v>SB010010/6/26</v>
      </c>
      <c r="N409" s="46" t="str">
        <f t="shared" si="58"/>
        <v/>
      </c>
      <c r="O409" s="60">
        <v>51</v>
      </c>
      <c r="P409" s="60">
        <v>986</v>
      </c>
      <c r="Q409" s="48">
        <v>204</v>
      </c>
      <c r="R409" s="48">
        <v>913</v>
      </c>
      <c r="S409" s="48"/>
      <c r="T409" s="48"/>
      <c r="U409" s="49"/>
      <c r="V409" s="49"/>
      <c r="W409" s="50">
        <f t="shared" si="56"/>
        <v>0</v>
      </c>
      <c r="X409" s="51" t="str">
        <f>IF(A409="", "", IF(COUNTIFS(C$3:C408, C409, D$3:D408, D409, G$3:G408, G409) &gt; 0, "", "11:00"-AW409))</f>
        <v/>
      </c>
      <c r="Y409" s="52" t="str">
        <f t="shared" si="62"/>
        <v/>
      </c>
      <c r="Z409" s="53"/>
      <c r="AA409" s="54"/>
      <c r="AB409" s="53"/>
      <c r="AC409" s="54"/>
      <c r="AD409" s="53"/>
      <c r="AE409" s="54"/>
      <c r="AF409" s="53"/>
      <c r="AG409" s="54"/>
      <c r="AH409" s="55">
        <v>4.1666666666666699E-2</v>
      </c>
      <c r="AI409" s="53"/>
      <c r="AJ409" s="54"/>
      <c r="AK409" s="53"/>
      <c r="AL409" s="54"/>
      <c r="AM409" s="53"/>
      <c r="AN409" s="54"/>
      <c r="AO409" s="53"/>
      <c r="AP409" s="54"/>
      <c r="AQ409" s="53"/>
      <c r="AR409" s="54"/>
      <c r="AS409" s="53"/>
      <c r="AT409" s="54"/>
      <c r="AU409" s="53">
        <v>4.1666666666666699E-2</v>
      </c>
      <c r="AV409" s="54" t="s">
        <v>37</v>
      </c>
      <c r="AW409" s="57">
        <f t="shared" si="59"/>
        <v>4.1666666666666699E-2</v>
      </c>
      <c r="AX409" s="58" t="s">
        <v>91</v>
      </c>
    </row>
    <row r="410" spans="1:50" ht="21.75" customHeight="1">
      <c r="A410" s="38" t="s">
        <v>410</v>
      </c>
      <c r="B410" s="39">
        <f t="shared" si="63"/>
        <v>406</v>
      </c>
      <c r="C410" s="40">
        <v>46035</v>
      </c>
      <c r="D410" s="40" t="s">
        <v>80</v>
      </c>
      <c r="E410" s="40" t="s">
        <v>33</v>
      </c>
      <c r="F410" s="41">
        <v>698.5</v>
      </c>
      <c r="G410" s="42" t="s">
        <v>54</v>
      </c>
      <c r="H410" s="43" t="str">
        <f>IFERROR(VLOOKUP($J410,'[9]FROM (3)'!$E$4:$F$230,2,FALSE),"")</f>
        <v>JCTTH</v>
      </c>
      <c r="I410" s="44" t="str">
        <f t="shared" si="60"/>
        <v>RACK BAR</v>
      </c>
      <c r="J410" s="44" t="str">
        <f t="shared" si="61"/>
        <v>JGD10-000751/000761-A</v>
      </c>
      <c r="K410" s="59" t="str">
        <f t="shared" si="57"/>
        <v>PD26010258</v>
      </c>
      <c r="L410" s="46" t="str" cm="1">
        <f t="array" ref="L410">IFERROR(_xlfn.IFS(
    LEN($A410)-LEN(SUBSTITUTE($A410,"|",""))=12, RIGHT(A410, LEN(A410)-FIND("~", SUBSTITUTE(A410,"|","~", LEN(A410)-LEN(SUBSTITUTE(A410,"|",""))))),
    LEN($A410)-LEN(SUBSTITUTE($A410,"|",""))=13, MID($A410, FIND("~", SUBSTITUTE($A410,"|","~", 11))+1, FIND("~", SUBSTITUTE($A410,"|","~", 12))-FIND("~", SUBSTITUTE($A410,"|","~", 11))-1),
    LEN($A410)-LEN(SUBSTITUTE($A410,"|",""))=14, MID($A410, FIND("~", SUBSTITUTE($A410,"|","~", 11))+1, FIND("~", SUBSTITUTE($A410,"|","~", 12))-FIND("~", SUBSTITUTE($A410,"|","~", 11))-1)
), "")</f>
        <v>665076</v>
      </c>
      <c r="M410" s="47" t="str">
        <f t="shared" si="55"/>
        <v>SB010010/5/26</v>
      </c>
      <c r="N410" s="46" t="str">
        <f t="shared" si="58"/>
        <v/>
      </c>
      <c r="O410" s="60">
        <v>51</v>
      </c>
      <c r="P410" s="60">
        <v>986</v>
      </c>
      <c r="Q410" s="48">
        <v>203</v>
      </c>
      <c r="R410" s="48">
        <v>908</v>
      </c>
      <c r="S410" s="48"/>
      <c r="T410" s="48"/>
      <c r="U410" s="49">
        <v>195</v>
      </c>
      <c r="V410" s="49">
        <v>10</v>
      </c>
      <c r="W410" s="50">
        <f t="shared" si="56"/>
        <v>205</v>
      </c>
      <c r="X410" s="51" t="str">
        <f>IF(A410="", "", IF(COUNTIFS(C$3:C409, C410, D$3:D409, D410, G$3:G409, G410) &gt; 0, "", "11:00"-AW410))</f>
        <v/>
      </c>
      <c r="Y410" s="52" t="str">
        <f t="shared" si="62"/>
        <v/>
      </c>
      <c r="Z410" s="53"/>
      <c r="AA410" s="54"/>
      <c r="AB410" s="53"/>
      <c r="AC410" s="54"/>
      <c r="AD410" s="53"/>
      <c r="AE410" s="54"/>
      <c r="AF410" s="53"/>
      <c r="AG410" s="54"/>
      <c r="AH410" s="55">
        <v>4.1666666666666699E-2</v>
      </c>
      <c r="AI410" s="53"/>
      <c r="AJ410" s="54"/>
      <c r="AK410" s="53"/>
      <c r="AL410" s="54"/>
      <c r="AM410" s="53"/>
      <c r="AN410" s="54"/>
      <c r="AO410" s="53"/>
      <c r="AP410" s="54"/>
      <c r="AQ410" s="53"/>
      <c r="AR410" s="54"/>
      <c r="AS410" s="53"/>
      <c r="AT410" s="54"/>
      <c r="AU410" s="53">
        <v>4.1666666666666699E-2</v>
      </c>
      <c r="AV410" s="54" t="s">
        <v>37</v>
      </c>
      <c r="AW410" s="57">
        <f t="shared" si="59"/>
        <v>4.1666666666666699E-2</v>
      </c>
      <c r="AX410" s="58" t="s">
        <v>91</v>
      </c>
    </row>
    <row r="411" spans="1:50" ht="21.75" customHeight="1">
      <c r="A411" s="38" t="s">
        <v>411</v>
      </c>
      <c r="B411" s="39">
        <f t="shared" si="63"/>
        <v>407</v>
      </c>
      <c r="C411" s="40">
        <v>46035</v>
      </c>
      <c r="D411" s="40" t="s">
        <v>80</v>
      </c>
      <c r="E411" s="40" t="s">
        <v>33</v>
      </c>
      <c r="F411" s="41">
        <v>698.5</v>
      </c>
      <c r="G411" s="42" t="s">
        <v>54</v>
      </c>
      <c r="H411" s="43" t="str">
        <f>IFERROR(VLOOKUP($J411,'[9]FROM (3)'!$E$4:$F$230,2,FALSE),"")</f>
        <v>JCTTH</v>
      </c>
      <c r="I411" s="44" t="str">
        <f t="shared" si="60"/>
        <v>RACK BAR</v>
      </c>
      <c r="J411" s="44" t="str">
        <f t="shared" si="61"/>
        <v>JGD10-000751/000761-A</v>
      </c>
      <c r="K411" s="59" t="str">
        <f t="shared" si="57"/>
        <v>PD26010259</v>
      </c>
      <c r="L411" s="46" t="str" cm="1">
        <f t="array" ref="L411">IFERROR(_xlfn.IFS(
    LEN($A411)-LEN(SUBSTITUTE($A411,"|",""))=12, RIGHT(A411, LEN(A411)-FIND("~", SUBSTITUTE(A411,"|","~", LEN(A411)-LEN(SUBSTITUTE(A411,"|",""))))),
    LEN($A411)-LEN(SUBSTITUTE($A411,"|",""))=13, MID($A411, FIND("~", SUBSTITUTE($A411,"|","~", 11))+1, FIND("~", SUBSTITUTE($A411,"|","~", 12))-FIND("~", SUBSTITUTE($A411,"|","~", 11))-1),
    LEN($A411)-LEN(SUBSTITUTE($A411,"|",""))=14, MID($A411, FIND("~", SUBSTITUTE($A411,"|","~", 11))+1, FIND("~", SUBSTITUTE($A411,"|","~", 12))-FIND("~", SUBSTITUTE($A411,"|","~", 11))-1)
), "")</f>
        <v>665076</v>
      </c>
      <c r="M411" s="47" t="str">
        <f t="shared" si="55"/>
        <v>SB010011/2/26</v>
      </c>
      <c r="N411" s="46" t="str">
        <f t="shared" si="58"/>
        <v/>
      </c>
      <c r="O411" s="60">
        <v>51</v>
      </c>
      <c r="P411" s="60">
        <v>986</v>
      </c>
      <c r="Q411" s="48">
        <v>204</v>
      </c>
      <c r="R411" s="48">
        <v>913</v>
      </c>
      <c r="S411" s="48"/>
      <c r="T411" s="48"/>
      <c r="U411" s="49"/>
      <c r="V411" s="49"/>
      <c r="W411" s="50">
        <f t="shared" si="56"/>
        <v>0</v>
      </c>
      <c r="X411" s="51" t="str">
        <f>IF(A411="", "", IF(COUNTIFS(C$3:C410, C411, D$3:D410, D411, G$3:G410, G411) &gt; 0, "", "11:00"-AW411))</f>
        <v/>
      </c>
      <c r="Y411" s="52" t="str">
        <f t="shared" si="62"/>
        <v/>
      </c>
      <c r="Z411" s="53"/>
      <c r="AA411" s="54"/>
      <c r="AB411" s="53"/>
      <c r="AC411" s="54"/>
      <c r="AD411" s="53"/>
      <c r="AE411" s="54"/>
      <c r="AF411" s="53"/>
      <c r="AG411" s="54"/>
      <c r="AH411" s="55">
        <v>4.1666666666666699E-2</v>
      </c>
      <c r="AI411" s="53"/>
      <c r="AJ411" s="54"/>
      <c r="AK411" s="53"/>
      <c r="AL411" s="54"/>
      <c r="AM411" s="53"/>
      <c r="AN411" s="54"/>
      <c r="AO411" s="53"/>
      <c r="AP411" s="54"/>
      <c r="AQ411" s="53"/>
      <c r="AR411" s="54"/>
      <c r="AS411" s="53"/>
      <c r="AT411" s="54"/>
      <c r="AU411" s="53">
        <v>4.1666666666666699E-2</v>
      </c>
      <c r="AV411" s="54" t="s">
        <v>37</v>
      </c>
      <c r="AW411" s="57">
        <f t="shared" si="59"/>
        <v>4.1666666666666699E-2</v>
      </c>
      <c r="AX411" s="58" t="s">
        <v>91</v>
      </c>
    </row>
    <row r="412" spans="1:50" ht="21.75" customHeight="1">
      <c r="A412" s="38" t="s">
        <v>412</v>
      </c>
      <c r="B412" s="39">
        <f t="shared" si="63"/>
        <v>408</v>
      </c>
      <c r="C412" s="40">
        <v>46035</v>
      </c>
      <c r="D412" s="40" t="s">
        <v>80</v>
      </c>
      <c r="E412" s="40" t="s">
        <v>33</v>
      </c>
      <c r="F412" s="41">
        <v>698.5</v>
      </c>
      <c r="G412" s="42" t="s">
        <v>54</v>
      </c>
      <c r="H412" s="43" t="str">
        <f>IFERROR(VLOOKUP($J412,'[9]FROM (3)'!$E$4:$F$230,2,FALSE),"")</f>
        <v>JCTTH</v>
      </c>
      <c r="I412" s="44" t="str">
        <f t="shared" si="60"/>
        <v>RACK BAR</v>
      </c>
      <c r="J412" s="44" t="str">
        <f t="shared" si="61"/>
        <v>JGD10-000751/000761-A</v>
      </c>
      <c r="K412" s="59" t="str">
        <f t="shared" si="57"/>
        <v>PD26010259</v>
      </c>
      <c r="L412" s="46" t="str" cm="1">
        <f t="array" ref="L412">IFERROR(_xlfn.IFS(
    LEN($A412)-LEN(SUBSTITUTE($A412,"|",""))=12, RIGHT(A412, LEN(A412)-FIND("~", SUBSTITUTE(A412,"|","~", LEN(A412)-LEN(SUBSTITUTE(A412,"|",""))))),
    LEN($A412)-LEN(SUBSTITUTE($A412,"|",""))=13, MID($A412, FIND("~", SUBSTITUTE($A412,"|","~", 11))+1, FIND("~", SUBSTITUTE($A412,"|","~", 12))-FIND("~", SUBSTITUTE($A412,"|","~", 11))-1),
    LEN($A412)-LEN(SUBSTITUTE($A412,"|",""))=14, MID($A412, FIND("~", SUBSTITUTE($A412,"|","~", 11))+1, FIND("~", SUBSTITUTE($A412,"|","~", 12))-FIND("~", SUBSTITUTE($A412,"|","~", 11))-1)
), "")</f>
        <v>665076</v>
      </c>
      <c r="M412" s="47" t="str">
        <f t="shared" si="55"/>
        <v>SB010011/1/26</v>
      </c>
      <c r="N412" s="46" t="str">
        <f t="shared" si="58"/>
        <v/>
      </c>
      <c r="O412" s="60">
        <v>51</v>
      </c>
      <c r="P412" s="60">
        <v>986</v>
      </c>
      <c r="Q412" s="48">
        <v>193</v>
      </c>
      <c r="R412" s="48">
        <v>864</v>
      </c>
      <c r="S412" s="48"/>
      <c r="T412" s="48"/>
      <c r="U412" s="49"/>
      <c r="V412" s="49"/>
      <c r="W412" s="50">
        <f t="shared" si="56"/>
        <v>0</v>
      </c>
      <c r="X412" s="51" t="str">
        <f>IF(A412="", "", IF(COUNTIFS(C$3:C411, C412, D$3:D411, D412, G$3:G411, G412) &gt; 0, "", "11:00"-AW412))</f>
        <v/>
      </c>
      <c r="Y412" s="52" t="str">
        <f t="shared" si="62"/>
        <v/>
      </c>
      <c r="Z412" s="53"/>
      <c r="AA412" s="54"/>
      <c r="AB412" s="53"/>
      <c r="AC412" s="54"/>
      <c r="AD412" s="53"/>
      <c r="AE412" s="54"/>
      <c r="AF412" s="53"/>
      <c r="AG412" s="54"/>
      <c r="AH412" s="55">
        <v>4.1666666666666699E-2</v>
      </c>
      <c r="AI412" s="53"/>
      <c r="AJ412" s="54"/>
      <c r="AK412" s="53"/>
      <c r="AL412" s="54"/>
      <c r="AM412" s="53"/>
      <c r="AN412" s="54"/>
      <c r="AO412" s="53"/>
      <c r="AP412" s="54"/>
      <c r="AQ412" s="53"/>
      <c r="AR412" s="54"/>
      <c r="AS412" s="53"/>
      <c r="AT412" s="54"/>
      <c r="AU412" s="53">
        <v>4.1666666666666699E-2</v>
      </c>
      <c r="AV412" s="54" t="s">
        <v>37</v>
      </c>
      <c r="AW412" s="57">
        <f t="shared" si="59"/>
        <v>4.1666666666666699E-2</v>
      </c>
      <c r="AX412" s="58" t="s">
        <v>91</v>
      </c>
    </row>
    <row r="413" spans="1:50" ht="21.75" customHeight="1">
      <c r="A413" s="38" t="s">
        <v>413</v>
      </c>
      <c r="B413" s="39">
        <f t="shared" si="63"/>
        <v>409</v>
      </c>
      <c r="C413" s="40">
        <v>46035</v>
      </c>
      <c r="D413" s="40" t="s">
        <v>80</v>
      </c>
      <c r="E413" s="40" t="s">
        <v>33</v>
      </c>
      <c r="F413" s="41">
        <v>756.4</v>
      </c>
      <c r="G413" s="42" t="s">
        <v>46</v>
      </c>
      <c r="H413" s="43" t="str">
        <f>IFERROR(VLOOKUP($J413,'[9]FROM (3)'!$E$4:$F$230,2,FALSE),"")</f>
        <v>JATH</v>
      </c>
      <c r="I413" s="44" t="str">
        <f t="shared" si="60"/>
        <v>RACK BAR BLANK</v>
      </c>
      <c r="J413" s="44" t="str">
        <f t="shared" si="61"/>
        <v>JGF02-002190-31-2</v>
      </c>
      <c r="K413" s="59" t="str">
        <f t="shared" si="57"/>
        <v>PD25121246</v>
      </c>
      <c r="L413" s="46" t="str" cm="1">
        <f t="array" ref="L413">IFERROR(_xlfn.IFS(
    LEN($A413)-LEN(SUBSTITUTE($A413,"|",""))=12, RIGHT(A413, LEN(A413)-FIND("~", SUBSTITUTE(A413,"|","~", LEN(A413)-LEN(SUBSTITUTE(A413,"|",""))))),
    LEN($A413)-LEN(SUBSTITUTE($A413,"|",""))=13, MID($A413, FIND("~", SUBSTITUTE($A413,"|","~", 11))+1, FIND("~", SUBSTITUTE($A413,"|","~", 12))-FIND("~", SUBSTITUTE($A413,"|","~", 11))-1),
    LEN($A413)-LEN(SUBSTITUTE($A413,"|",""))=14, MID($A413, FIND("~", SUBSTITUTE($A413,"|","~", 11))+1, FIND("~", SUBSTITUTE($A413,"|","~", 12))-FIND("~", SUBSTITUTE($A413,"|","~", 11))-1)
), "")</f>
        <v>5A5913</v>
      </c>
      <c r="M413" s="47" t="str">
        <f t="shared" si="55"/>
        <v>SB120176/6/25</v>
      </c>
      <c r="N413" s="46" t="str">
        <f t="shared" si="58"/>
        <v/>
      </c>
      <c r="O413" s="60">
        <v>27</v>
      </c>
      <c r="P413" s="60">
        <v>963</v>
      </c>
      <c r="Q413" s="48">
        <v>189</v>
      </c>
      <c r="R413" s="48">
        <v>912</v>
      </c>
      <c r="S413" s="48" t="s">
        <v>35</v>
      </c>
      <c r="T413" s="48"/>
      <c r="U413" s="49">
        <v>201</v>
      </c>
      <c r="V413" s="49">
        <v>17</v>
      </c>
      <c r="W413" s="50">
        <f t="shared" si="56"/>
        <v>218</v>
      </c>
      <c r="X413" s="51">
        <f>IF(A413="", "", IF(COUNTIFS(C$3:C412, C413, D$3:D412, D413, G$3:G412, G413) &gt; 0, "", "11:00"-AW413))</f>
        <v>0.20833333333333331</v>
      </c>
      <c r="Y413" s="52" t="str">
        <f t="shared" si="62"/>
        <v>1:40</v>
      </c>
      <c r="Z413" s="53">
        <v>4.1666666666666664E-2</v>
      </c>
      <c r="AA413" s="54" t="s">
        <v>90</v>
      </c>
      <c r="AB413" s="53">
        <v>4.1666666666666664E-2</v>
      </c>
      <c r="AC413" s="54" t="s">
        <v>90</v>
      </c>
      <c r="AD413" s="53">
        <v>4.1666666666666664E-2</v>
      </c>
      <c r="AE413" s="54" t="s">
        <v>90</v>
      </c>
      <c r="AF413" s="53">
        <v>4.1666666666666664E-2</v>
      </c>
      <c r="AG413" s="54" t="s">
        <v>90</v>
      </c>
      <c r="AH413" s="55">
        <v>4.1666666666666699E-2</v>
      </c>
      <c r="AI413" s="53"/>
      <c r="AJ413" s="54"/>
      <c r="AK413" s="53"/>
      <c r="AL413" s="54"/>
      <c r="AM413" s="53">
        <v>4.1666666666666664E-2</v>
      </c>
      <c r="AN413" s="54" t="s">
        <v>67</v>
      </c>
      <c r="AO413" s="53"/>
      <c r="AP413" s="54"/>
      <c r="AQ413" s="53"/>
      <c r="AR413" s="54"/>
      <c r="AS413" s="53"/>
      <c r="AT413" s="54"/>
      <c r="AU413" s="53">
        <v>4.1666666666666699E-2</v>
      </c>
      <c r="AV413" s="54" t="s">
        <v>37</v>
      </c>
      <c r="AW413" s="57">
        <f>SUM(Z413,AB413,AD413,AF413,AI413,AK413,AM413,AO413,AQ413,AS413,AU413)</f>
        <v>0.25</v>
      </c>
      <c r="AX413" s="58"/>
    </row>
    <row r="414" spans="1:50" ht="21.75" customHeight="1">
      <c r="A414" s="38" t="s">
        <v>414</v>
      </c>
      <c r="B414" s="39">
        <f t="shared" si="63"/>
        <v>410</v>
      </c>
      <c r="C414" s="40">
        <v>46035</v>
      </c>
      <c r="D414" s="40" t="s">
        <v>80</v>
      </c>
      <c r="E414" s="40" t="s">
        <v>33</v>
      </c>
      <c r="F414" s="41">
        <v>732.4</v>
      </c>
      <c r="G414" s="42" t="s">
        <v>46</v>
      </c>
      <c r="H414" s="43" t="str">
        <f>IFERROR(VLOOKUP($J414,'[9]FROM (3)'!$E$4:$F$230,2,FALSE),"")</f>
        <v>JATH</v>
      </c>
      <c r="I414" s="44" t="str">
        <f t="shared" si="60"/>
        <v>RACK BAR BLANK</v>
      </c>
      <c r="J414" s="44" t="str">
        <f t="shared" si="61"/>
        <v>JGF02-002060-31-3</v>
      </c>
      <c r="K414" s="59" t="str">
        <f t="shared" si="57"/>
        <v>PD25120570</v>
      </c>
      <c r="L414" s="46" t="str" cm="1">
        <f t="array" ref="L414">IFERROR(_xlfn.IFS(
    LEN($A414)-LEN(SUBSTITUTE($A414,"|",""))=12, RIGHT(A414, LEN(A414)-FIND("~", SUBSTITUTE(A414,"|","~", LEN(A414)-LEN(SUBSTITUTE(A414,"|",""))))),
    LEN($A414)-LEN(SUBSTITUTE($A414,"|",""))=13, MID($A414, FIND("~", SUBSTITUTE($A414,"|","~", 11))+1, FIND("~", SUBSTITUTE($A414,"|","~", 12))-FIND("~", SUBSTITUTE($A414,"|","~", 11))-1),
    LEN($A414)-LEN(SUBSTITUTE($A414,"|",""))=14, MID($A414, FIND("~", SUBSTITUTE($A414,"|","~", 11))+1, FIND("~", SUBSTITUTE($A414,"|","~", 12))-FIND("~", SUBSTITUTE($A414,"|","~", 11))-1)
), "")</f>
        <v>5B9507</v>
      </c>
      <c r="M414" s="47" t="str">
        <f t="shared" si="55"/>
        <v>SB120082/4/25</v>
      </c>
      <c r="N414" s="46" t="str">
        <f t="shared" si="58"/>
        <v/>
      </c>
      <c r="O414" s="60">
        <v>27</v>
      </c>
      <c r="P414" s="60">
        <v>932</v>
      </c>
      <c r="Q414" s="48">
        <v>189</v>
      </c>
      <c r="R414" s="48">
        <v>883</v>
      </c>
      <c r="S414" s="48" t="s">
        <v>35</v>
      </c>
      <c r="T414" s="48"/>
      <c r="U414" s="49"/>
      <c r="V414" s="49"/>
      <c r="W414" s="50">
        <f t="shared" si="56"/>
        <v>0</v>
      </c>
      <c r="X414" s="51" t="str">
        <f>IF(A414="", "", IF(COUNTIFS(C$3:C413, C414, D$3:D413, D414, G$3:G413, G414) &gt; 0, "", "11:00"-AW414))</f>
        <v/>
      </c>
      <c r="Y414" s="52" t="str">
        <f t="shared" si="62"/>
        <v/>
      </c>
      <c r="Z414" s="53"/>
      <c r="AA414" s="54"/>
      <c r="AB414" s="53"/>
      <c r="AC414" s="54"/>
      <c r="AD414" s="53"/>
      <c r="AE414" s="54"/>
      <c r="AF414" s="53"/>
      <c r="AG414" s="54"/>
      <c r="AH414" s="55">
        <v>4.1666666666666699E-2</v>
      </c>
      <c r="AI414" s="53"/>
      <c r="AJ414" s="54"/>
      <c r="AK414" s="53"/>
      <c r="AL414" s="54"/>
      <c r="AM414" s="53"/>
      <c r="AN414" s="54"/>
      <c r="AO414" s="53"/>
      <c r="AP414" s="54"/>
      <c r="AQ414" s="53"/>
      <c r="AR414" s="54"/>
      <c r="AS414" s="53"/>
      <c r="AT414" s="54"/>
      <c r="AU414" s="53">
        <v>4.1666666666666699E-2</v>
      </c>
      <c r="AV414" s="54" t="s">
        <v>37</v>
      </c>
      <c r="AW414" s="57">
        <f t="shared" ref="AW414:AW477" si="64">SUM(Z414,AB414,AD414,AF414,AI414,AK414,AM414,AO414,AQ414,AS414,AU414)</f>
        <v>4.1666666666666699E-2</v>
      </c>
      <c r="AX414" s="58"/>
    </row>
    <row r="415" spans="1:50" ht="21.75" customHeight="1">
      <c r="A415" s="38" t="s">
        <v>415</v>
      </c>
      <c r="B415" s="39">
        <f t="shared" si="63"/>
        <v>411</v>
      </c>
      <c r="C415" s="40">
        <v>46035</v>
      </c>
      <c r="D415" s="40" t="s">
        <v>80</v>
      </c>
      <c r="E415" s="40" t="s">
        <v>33</v>
      </c>
      <c r="F415" s="41">
        <v>732.4</v>
      </c>
      <c r="G415" s="42" t="s">
        <v>46</v>
      </c>
      <c r="H415" s="43" t="str">
        <f>IFERROR(VLOOKUP($J415,'[9]FROM (3)'!$E$4:$F$230,2,FALSE),"")</f>
        <v>JATH</v>
      </c>
      <c r="I415" s="44" t="str">
        <f t="shared" si="60"/>
        <v>RACK BAR BLANK</v>
      </c>
      <c r="J415" s="44" t="str">
        <f t="shared" si="61"/>
        <v>JGF02-002060-31-3</v>
      </c>
      <c r="K415" s="59" t="str">
        <f t="shared" si="57"/>
        <v>PD25120570</v>
      </c>
      <c r="L415" s="46" t="str" cm="1">
        <f t="array" ref="L415">IFERROR(_xlfn.IFS(
    LEN($A415)-LEN(SUBSTITUTE($A415,"|",""))=12, RIGHT(A415, LEN(A415)-FIND("~", SUBSTITUTE(A415,"|","~", LEN(A415)-LEN(SUBSTITUTE(A415,"|",""))))),
    LEN($A415)-LEN(SUBSTITUTE($A415,"|",""))=13, MID($A415, FIND("~", SUBSTITUTE($A415,"|","~", 11))+1, FIND("~", SUBSTITUTE($A415,"|","~", 12))-FIND("~", SUBSTITUTE($A415,"|","~", 11))-1),
    LEN($A415)-LEN(SUBSTITUTE($A415,"|",""))=14, MID($A415, FIND("~", SUBSTITUTE($A415,"|","~", 11))+1, FIND("~", SUBSTITUTE($A415,"|","~", 12))-FIND("~", SUBSTITUTE($A415,"|","~", 11))-1)
), "")</f>
        <v>5B9507</v>
      </c>
      <c r="M415" s="47" t="str">
        <f t="shared" si="55"/>
        <v>SB120082/3/25</v>
      </c>
      <c r="N415" s="46" t="str">
        <f t="shared" si="58"/>
        <v/>
      </c>
      <c r="O415" s="60">
        <v>29</v>
      </c>
      <c r="P415" s="60">
        <v>1001</v>
      </c>
      <c r="Q415" s="48">
        <v>69</v>
      </c>
      <c r="R415" s="48">
        <v>322</v>
      </c>
      <c r="S415" s="48" t="s">
        <v>35</v>
      </c>
      <c r="T415" s="48"/>
      <c r="U415" s="49"/>
      <c r="V415" s="49"/>
      <c r="W415" s="50">
        <f t="shared" si="56"/>
        <v>0</v>
      </c>
      <c r="X415" s="51" t="str">
        <f>IF(A415="", "", IF(COUNTIFS(C$3:C414, C415, D$3:D414, D415, G$3:G414, G415) &gt; 0, "", "11:00"-AW415))</f>
        <v/>
      </c>
      <c r="Y415" s="52" t="str">
        <f t="shared" si="62"/>
        <v/>
      </c>
      <c r="Z415" s="53"/>
      <c r="AA415" s="54"/>
      <c r="AB415" s="53"/>
      <c r="AC415" s="54"/>
      <c r="AD415" s="53"/>
      <c r="AE415" s="54"/>
      <c r="AF415" s="53"/>
      <c r="AG415" s="54"/>
      <c r="AH415" s="55">
        <v>4.1666666666666699E-2</v>
      </c>
      <c r="AI415" s="53"/>
      <c r="AJ415" s="54"/>
      <c r="AK415" s="53"/>
      <c r="AL415" s="54"/>
      <c r="AM415" s="53"/>
      <c r="AN415" s="54"/>
      <c r="AO415" s="53"/>
      <c r="AP415" s="54"/>
      <c r="AQ415" s="53"/>
      <c r="AR415" s="54"/>
      <c r="AS415" s="53"/>
      <c r="AT415" s="54"/>
      <c r="AU415" s="53">
        <v>4.1666666666666699E-2</v>
      </c>
      <c r="AV415" s="54" t="s">
        <v>37</v>
      </c>
      <c r="AW415" s="57">
        <f t="shared" si="64"/>
        <v>4.1666666666666699E-2</v>
      </c>
      <c r="AX415" s="58"/>
    </row>
    <row r="416" spans="1:50" ht="21.75" customHeight="1">
      <c r="A416" s="38" t="s">
        <v>416</v>
      </c>
      <c r="B416" s="39">
        <f t="shared" si="63"/>
        <v>412</v>
      </c>
      <c r="C416" s="40">
        <v>46035</v>
      </c>
      <c r="D416" s="40" t="s">
        <v>80</v>
      </c>
      <c r="E416" s="40" t="s">
        <v>33</v>
      </c>
      <c r="F416" s="41">
        <v>699</v>
      </c>
      <c r="G416" s="42" t="s">
        <v>108</v>
      </c>
      <c r="H416" s="43" t="str">
        <f>IFERROR(VLOOKUP($J416,'[9]FROM (3)'!$E$4:$F$230,2,FALSE),"")</f>
        <v>SIAM NSK</v>
      </c>
      <c r="I416" s="44" t="str">
        <f t="shared" si="60"/>
        <v>SHAFT SPLINE</v>
      </c>
      <c r="J416" s="44" t="str">
        <f t="shared" si="61"/>
        <v>2550S0666P</v>
      </c>
      <c r="K416" s="59" t="str">
        <f t="shared" si="57"/>
        <v>PD26010534</v>
      </c>
      <c r="L416" s="46" t="str" cm="1">
        <f t="array" ref="L416">IFERROR(_xlfn.IFS(
    LEN($A416)-LEN(SUBSTITUTE($A416,"|",""))=12, RIGHT(A416, LEN(A416)-FIND("~", SUBSTITUTE(A416,"|","~", LEN(A416)-LEN(SUBSTITUTE(A416,"|",""))))),
    LEN($A416)-LEN(SUBSTITUTE($A416,"|",""))=13, MID($A416, FIND("~", SUBSTITUTE($A416,"|","~", 11))+1, FIND("~", SUBSTITUTE($A416,"|","~", 12))-FIND("~", SUBSTITUTE($A416,"|","~", 11))-1),
    LEN($A416)-LEN(SUBSTITUTE($A416,"|",""))=14, MID($A416, FIND("~", SUBSTITUTE($A416,"|","~", 11))+1, FIND("~", SUBSTITUTE($A416,"|","~", 12))-FIND("~", SUBSTITUTE($A416,"|","~", 11))-1)
), "")</f>
        <v>E484056</v>
      </c>
      <c r="M416" s="47" t="str">
        <f t="shared" si="55"/>
        <v>SB010031/1/26</v>
      </c>
      <c r="N416" s="46" t="str">
        <f t="shared" si="58"/>
        <v/>
      </c>
      <c r="O416" s="60">
        <v>64</v>
      </c>
      <c r="P416" s="60">
        <v>1040</v>
      </c>
      <c r="Q416" s="48">
        <v>1430</v>
      </c>
      <c r="R416" s="48">
        <v>1000</v>
      </c>
      <c r="S416" s="48" t="s">
        <v>35</v>
      </c>
      <c r="T416" s="48"/>
      <c r="U416" s="49"/>
      <c r="V416" s="49"/>
      <c r="W416" s="50">
        <f t="shared" si="56"/>
        <v>0</v>
      </c>
      <c r="X416" s="51">
        <f>IF(A416="", "", IF(COUNTIFS(C$3:C415, C416, D$3:D415, D416, G$3:G415, G416) &gt; 0, "", "11:00"-AW416))</f>
        <v>0.33333333333333326</v>
      </c>
      <c r="Y416" s="52" t="str">
        <f t="shared" si="62"/>
        <v>1:40</v>
      </c>
      <c r="Z416" s="53">
        <v>4.1666666666666664E-2</v>
      </c>
      <c r="AA416" s="54" t="s">
        <v>129</v>
      </c>
      <c r="AB416" s="53">
        <v>4.1666666666666664E-2</v>
      </c>
      <c r="AC416" s="54" t="s">
        <v>129</v>
      </c>
      <c r="AD416" s="53"/>
      <c r="AE416" s="54"/>
      <c r="AF416" s="53"/>
      <c r="AG416" s="54"/>
      <c r="AH416" s="55">
        <v>4.1666666666666699E-2</v>
      </c>
      <c r="AI416" s="53"/>
      <c r="AJ416" s="54"/>
      <c r="AK416" s="53"/>
      <c r="AL416" s="54"/>
      <c r="AM416" s="53"/>
      <c r="AN416" s="54"/>
      <c r="AO416" s="53"/>
      <c r="AP416" s="54"/>
      <c r="AQ416" s="53"/>
      <c r="AR416" s="54"/>
      <c r="AS416" s="53"/>
      <c r="AT416" s="54"/>
      <c r="AU416" s="53">
        <v>4.1666666666666699E-2</v>
      </c>
      <c r="AV416" s="54" t="s">
        <v>37</v>
      </c>
      <c r="AW416" s="57">
        <f t="shared" si="64"/>
        <v>0.12500000000000003</v>
      </c>
      <c r="AX416" s="58" t="s">
        <v>109</v>
      </c>
    </row>
    <row r="417" spans="1:50" ht="21.75" customHeight="1">
      <c r="A417" s="38" t="s">
        <v>417</v>
      </c>
      <c r="B417" s="39">
        <f t="shared" si="63"/>
        <v>413</v>
      </c>
      <c r="C417" s="40">
        <v>46035</v>
      </c>
      <c r="D417" s="40" t="s">
        <v>80</v>
      </c>
      <c r="E417" s="40" t="s">
        <v>33</v>
      </c>
      <c r="F417" s="41">
        <v>699</v>
      </c>
      <c r="G417" s="42" t="s">
        <v>108</v>
      </c>
      <c r="H417" s="43" t="str">
        <f>IFERROR(VLOOKUP($J417,'[9]FROM (3)'!$E$4:$F$230,2,FALSE),"")</f>
        <v>SIAM NSK</v>
      </c>
      <c r="I417" s="44" t="str">
        <f t="shared" si="60"/>
        <v>SHAFT SPLINE</v>
      </c>
      <c r="J417" s="44" t="str">
        <f t="shared" si="61"/>
        <v>2550S0666P</v>
      </c>
      <c r="K417" s="59" t="str">
        <f t="shared" si="57"/>
        <v>PD26010534</v>
      </c>
      <c r="L417" s="46" t="str" cm="1">
        <f t="array" ref="L417">IFERROR(_xlfn.IFS(
    LEN($A417)-LEN(SUBSTITUTE($A417,"|",""))=12, RIGHT(A417, LEN(A417)-FIND("~", SUBSTITUTE(A417,"|","~", LEN(A417)-LEN(SUBSTITUTE(A417,"|",""))))),
    LEN($A417)-LEN(SUBSTITUTE($A417,"|",""))=13, MID($A417, FIND("~", SUBSTITUTE($A417,"|","~", 11))+1, FIND("~", SUBSTITUTE($A417,"|","~", 12))-FIND("~", SUBSTITUTE($A417,"|","~", 11))-1),
    LEN($A417)-LEN(SUBSTITUTE($A417,"|",""))=14, MID($A417, FIND("~", SUBSTITUTE($A417,"|","~", 11))+1, FIND("~", SUBSTITUTE($A417,"|","~", 12))-FIND("~", SUBSTITUTE($A417,"|","~", 11))-1)
), "")</f>
        <v>E484056</v>
      </c>
      <c r="M417" s="47" t="str">
        <f t="shared" si="55"/>
        <v>SB010031/2/26</v>
      </c>
      <c r="N417" s="46" t="str">
        <f t="shared" si="58"/>
        <v/>
      </c>
      <c r="O417" s="60">
        <v>64</v>
      </c>
      <c r="P417" s="60">
        <v>1040</v>
      </c>
      <c r="Q417" s="48">
        <v>1430</v>
      </c>
      <c r="R417" s="48">
        <v>1000</v>
      </c>
      <c r="S417" s="48" t="s">
        <v>35</v>
      </c>
      <c r="T417" s="48"/>
      <c r="U417" s="49">
        <v>58</v>
      </c>
      <c r="V417" s="49">
        <v>18</v>
      </c>
      <c r="W417" s="50">
        <f t="shared" si="56"/>
        <v>76</v>
      </c>
      <c r="X417" s="51" t="str">
        <f>IF(A417="", "", IF(COUNTIFS(C$3:C416, C417, D$3:D416, D417, G$3:G416, G417) &gt; 0, "", "11:00"-AW417))</f>
        <v/>
      </c>
      <c r="Y417" s="52" t="str">
        <f t="shared" si="62"/>
        <v/>
      </c>
      <c r="Z417" s="53"/>
      <c r="AA417" s="54"/>
      <c r="AB417" s="53"/>
      <c r="AC417" s="54"/>
      <c r="AD417" s="53"/>
      <c r="AE417" s="54"/>
      <c r="AF417" s="53"/>
      <c r="AG417" s="54"/>
      <c r="AH417" s="55">
        <v>4.1666666666666699E-2</v>
      </c>
      <c r="AI417" s="53"/>
      <c r="AJ417" s="54"/>
      <c r="AK417" s="53"/>
      <c r="AL417" s="54"/>
      <c r="AM417" s="53"/>
      <c r="AN417" s="54"/>
      <c r="AO417" s="53"/>
      <c r="AP417" s="54"/>
      <c r="AQ417" s="53"/>
      <c r="AR417" s="54"/>
      <c r="AS417" s="53"/>
      <c r="AT417" s="54"/>
      <c r="AU417" s="53">
        <v>4.1666666666666699E-2</v>
      </c>
      <c r="AV417" s="54" t="s">
        <v>37</v>
      </c>
      <c r="AW417" s="57">
        <f t="shared" si="64"/>
        <v>4.1666666666666699E-2</v>
      </c>
      <c r="AX417" s="58" t="s">
        <v>109</v>
      </c>
    </row>
    <row r="418" spans="1:50" ht="21.75" customHeight="1">
      <c r="A418" s="38" t="s">
        <v>382</v>
      </c>
      <c r="B418" s="39">
        <f t="shared" si="63"/>
        <v>414</v>
      </c>
      <c r="C418" s="40">
        <v>46035</v>
      </c>
      <c r="D418" s="40" t="s">
        <v>80</v>
      </c>
      <c r="E418" s="40" t="s">
        <v>33</v>
      </c>
      <c r="F418" s="41">
        <v>375</v>
      </c>
      <c r="G418" s="42" t="s">
        <v>172</v>
      </c>
      <c r="H418" s="43" t="str">
        <f>IFERROR(VLOOKUP($J418,'[9]FROM (3)'!$E$4:$F$230,2,FALSE),"")</f>
        <v>ATAC</v>
      </c>
      <c r="I418" s="44" t="str">
        <f t="shared" si="60"/>
        <v>SEAT,WATER PUMP PULLEY</v>
      </c>
      <c r="J418" s="44" t="str">
        <f t="shared" si="61"/>
        <v>16171-05030</v>
      </c>
      <c r="K418" s="59" t="str">
        <f t="shared" si="57"/>
        <v>PD26010245</v>
      </c>
      <c r="L418" s="46" t="str" cm="1">
        <f t="array" ref="L418">IFERROR(_xlfn.IFS(
    LEN($A418)-LEN(SUBSTITUTE($A418,"|",""))=12, RIGHT(A418, LEN(A418)-FIND("~", SUBSTITUTE(A418,"|","~", LEN(A418)-LEN(SUBSTITUTE(A418,"|",""))))),
    LEN($A418)-LEN(SUBSTITUTE($A418,"|",""))=13, MID($A418, FIND("~", SUBSTITUTE($A418,"|","~", 11))+1, FIND("~", SUBSTITUTE($A418,"|","~", 12))-FIND("~", SUBSTITUTE($A418,"|","~", 11))-1),
    LEN($A418)-LEN(SUBSTITUTE($A418,"|",""))=14, MID($A418, FIND("~", SUBSTITUTE($A418,"|","~", 11))+1, FIND("~", SUBSTITUTE($A418,"|","~", 12))-FIND("~", SUBSTITUTE($A418,"|","~", 11))-1)
), "")</f>
        <v>665898</v>
      </c>
      <c r="M418" s="47" t="str">
        <f t="shared" si="55"/>
        <v>SB010013/2/26</v>
      </c>
      <c r="N418" s="46" t="str">
        <f t="shared" si="58"/>
        <v/>
      </c>
      <c r="O418" s="60" t="s">
        <v>35</v>
      </c>
      <c r="P418" s="60" t="s">
        <v>35</v>
      </c>
      <c r="Q418" s="48">
        <v>1457</v>
      </c>
      <c r="R418" s="48">
        <v>546</v>
      </c>
      <c r="S418" s="48" t="s">
        <v>35</v>
      </c>
      <c r="T418" s="48"/>
      <c r="U418" s="49"/>
      <c r="V418" s="49"/>
      <c r="W418" s="50">
        <f t="shared" si="56"/>
        <v>0</v>
      </c>
      <c r="X418" s="51">
        <f>IF(A418="", "", IF(COUNTIFS(C$3:C417, C418, D$3:D417, D418, G$3:G417, G418) &gt; 0, "", "11:00"-AW418))</f>
        <v>0.41666666666666663</v>
      </c>
      <c r="Y418" s="52" t="str">
        <f t="shared" si="62"/>
        <v>1:40</v>
      </c>
      <c r="Z418" s="53"/>
      <c r="AA418" s="54"/>
      <c r="AB418" s="53"/>
      <c r="AC418" s="54"/>
      <c r="AD418" s="53"/>
      <c r="AE418" s="54"/>
      <c r="AF418" s="53"/>
      <c r="AG418" s="54"/>
      <c r="AH418" s="55">
        <v>4.1666666666666699E-2</v>
      </c>
      <c r="AI418" s="53"/>
      <c r="AJ418" s="54"/>
      <c r="AK418" s="53"/>
      <c r="AL418" s="54"/>
      <c r="AM418" s="53"/>
      <c r="AN418" s="54"/>
      <c r="AO418" s="53"/>
      <c r="AP418" s="54"/>
      <c r="AQ418" s="53"/>
      <c r="AR418" s="54"/>
      <c r="AS418" s="53"/>
      <c r="AT418" s="54"/>
      <c r="AU418" s="53">
        <v>4.1666666666666699E-2</v>
      </c>
      <c r="AV418" s="54" t="s">
        <v>37</v>
      </c>
      <c r="AW418" s="57">
        <f t="shared" si="64"/>
        <v>4.1666666666666699E-2</v>
      </c>
      <c r="AX418" s="58" t="s">
        <v>109</v>
      </c>
    </row>
    <row r="419" spans="1:50" ht="21.75" customHeight="1">
      <c r="A419" s="38" t="s">
        <v>418</v>
      </c>
      <c r="B419" s="39">
        <f t="shared" si="63"/>
        <v>415</v>
      </c>
      <c r="C419" s="40">
        <v>46035</v>
      </c>
      <c r="D419" s="40" t="s">
        <v>80</v>
      </c>
      <c r="E419" s="40" t="s">
        <v>33</v>
      </c>
      <c r="F419" s="41">
        <v>375</v>
      </c>
      <c r="G419" s="42" t="s">
        <v>172</v>
      </c>
      <c r="H419" s="43" t="str">
        <f>IFERROR(VLOOKUP($J419,'[9]FROM (3)'!$E$4:$F$230,2,FALSE),"")</f>
        <v>ATAC</v>
      </c>
      <c r="I419" s="44" t="str">
        <f t="shared" si="60"/>
        <v>SEAT,WATER PUMP PULLEY</v>
      </c>
      <c r="J419" s="44" t="str">
        <f t="shared" si="61"/>
        <v>16171-05030</v>
      </c>
      <c r="K419" s="59" t="str">
        <f t="shared" si="57"/>
        <v>PD26010245</v>
      </c>
      <c r="L419" s="46" t="str" cm="1">
        <f t="array" ref="L419">IFERROR(_xlfn.IFS(
    LEN($A419)-LEN(SUBSTITUTE($A419,"|",""))=12, RIGHT(A419, LEN(A419)-FIND("~", SUBSTITUTE(A419,"|","~", LEN(A419)-LEN(SUBSTITUTE(A419,"|",""))))),
    LEN($A419)-LEN(SUBSTITUTE($A419,"|",""))=13, MID($A419, FIND("~", SUBSTITUTE($A419,"|","~", 11))+1, FIND("~", SUBSTITUTE($A419,"|","~", 12))-FIND("~", SUBSTITUTE($A419,"|","~", 11))-1),
    LEN($A419)-LEN(SUBSTITUTE($A419,"|",""))=14, MID($A419, FIND("~", SUBSTITUTE($A419,"|","~", 11))+1, FIND("~", SUBSTITUTE($A419,"|","~", 12))-FIND("~", SUBSTITUTE($A419,"|","~", 11))-1)
), "")</f>
        <v>665898</v>
      </c>
      <c r="M419" s="47" t="str">
        <f t="shared" si="55"/>
        <v>SB010013/3/26</v>
      </c>
      <c r="N419" s="46" t="str">
        <f t="shared" si="58"/>
        <v/>
      </c>
      <c r="O419" s="60">
        <v>14</v>
      </c>
      <c r="P419" s="60">
        <v>990</v>
      </c>
      <c r="Q419" s="48">
        <v>1178</v>
      </c>
      <c r="R419" s="48">
        <v>442</v>
      </c>
      <c r="S419" s="48" t="s">
        <v>35</v>
      </c>
      <c r="T419" s="48"/>
      <c r="U419" s="49"/>
      <c r="V419" s="49"/>
      <c r="W419" s="50">
        <f t="shared" si="56"/>
        <v>0</v>
      </c>
      <c r="X419" s="51" t="str">
        <f>IF(A419="", "", IF(COUNTIFS(C$3:C418, C419, D$3:D418, D419, G$3:G418, G419) &gt; 0, "", "11:00"-AW419))</f>
        <v/>
      </c>
      <c r="Y419" s="52" t="str">
        <f t="shared" si="62"/>
        <v/>
      </c>
      <c r="Z419" s="53"/>
      <c r="AA419" s="54"/>
      <c r="AB419" s="53"/>
      <c r="AC419" s="54"/>
      <c r="AD419" s="53"/>
      <c r="AE419" s="54"/>
      <c r="AF419" s="53"/>
      <c r="AG419" s="54"/>
      <c r="AH419" s="55">
        <v>4.1666666666666699E-2</v>
      </c>
      <c r="AI419" s="53"/>
      <c r="AJ419" s="54"/>
      <c r="AK419" s="53"/>
      <c r="AL419" s="54"/>
      <c r="AM419" s="53"/>
      <c r="AN419" s="54"/>
      <c r="AO419" s="53"/>
      <c r="AP419" s="54"/>
      <c r="AQ419" s="53"/>
      <c r="AR419" s="54"/>
      <c r="AS419" s="53"/>
      <c r="AT419" s="54"/>
      <c r="AU419" s="53">
        <v>4.1666666666666699E-2</v>
      </c>
      <c r="AV419" s="54" t="s">
        <v>37</v>
      </c>
      <c r="AW419" s="57">
        <f t="shared" si="64"/>
        <v>4.1666666666666699E-2</v>
      </c>
      <c r="AX419" s="58" t="s">
        <v>109</v>
      </c>
    </row>
    <row r="420" spans="1:50" ht="21.75" customHeight="1">
      <c r="A420" s="38" t="s">
        <v>384</v>
      </c>
      <c r="B420" s="39">
        <f t="shared" si="63"/>
        <v>416</v>
      </c>
      <c r="C420" s="40">
        <v>46035</v>
      </c>
      <c r="D420" s="40" t="s">
        <v>80</v>
      </c>
      <c r="E420" s="40" t="s">
        <v>33</v>
      </c>
      <c r="F420" s="41">
        <v>191</v>
      </c>
      <c r="G420" s="42" t="s">
        <v>46</v>
      </c>
      <c r="H420" s="43" t="str">
        <f>IFERROR(VLOOKUP($J420,'[9]FROM (3)'!$E$4:$F$230,2,FALSE),"")</f>
        <v>SIAM NSK</v>
      </c>
      <c r="I420" s="44" t="str">
        <f t="shared" si="60"/>
        <v>STG.SHAFT</v>
      </c>
      <c r="J420" s="44" t="str">
        <f t="shared" si="61"/>
        <v>2528S0250C</v>
      </c>
      <c r="K420" s="59" t="str">
        <f t="shared" si="57"/>
        <v>PD26010425</v>
      </c>
      <c r="L420" s="46" t="str" cm="1">
        <f t="array" ref="L420">IFERROR(_xlfn.IFS(
    LEN($A420)-LEN(SUBSTITUTE($A420,"|",""))=12, RIGHT(A420, LEN(A420)-FIND("~", SUBSTITUTE(A420,"|","~", LEN(A420)-LEN(SUBSTITUTE(A420,"|",""))))),
    LEN($A420)-LEN(SUBSTITUTE($A420,"|",""))=13, MID($A420, FIND("~", SUBSTITUTE($A420,"|","~", 11))+1, FIND("~", SUBSTITUTE($A420,"|","~", 12))-FIND("~", SUBSTITUTE($A420,"|","~", 11))-1),
    LEN($A420)-LEN(SUBSTITUTE($A420,"|",""))=14, MID($A420, FIND("~", SUBSTITUTE($A420,"|","~", 11))+1, FIND("~", SUBSTITUTE($A420,"|","~", 12))-FIND("~", SUBSTITUTE($A420,"|","~", 11))-1)
), "")</f>
        <v>E484056</v>
      </c>
      <c r="M420" s="47" t="str">
        <f t="shared" si="55"/>
        <v>SB010038/4/26</v>
      </c>
      <c r="N420" s="46" t="str">
        <f t="shared" si="58"/>
        <v/>
      </c>
      <c r="O420" s="60" t="s">
        <v>35</v>
      </c>
      <c r="P420" s="60" t="s">
        <v>35</v>
      </c>
      <c r="Q420" s="48">
        <v>934</v>
      </c>
      <c r="R420" s="48">
        <v>397</v>
      </c>
      <c r="S420" s="48" t="s">
        <v>35</v>
      </c>
      <c r="T420" s="48"/>
      <c r="U420" s="49">
        <v>103</v>
      </c>
      <c r="V420" s="49">
        <v>6</v>
      </c>
      <c r="W420" s="50">
        <f t="shared" si="56"/>
        <v>109</v>
      </c>
      <c r="X420" s="51" t="str">
        <f>IF(A420="", "", IF(COUNTIFS(C$3:C419, C420, D$3:D419, D420, G$3:G419, G420) &gt; 0, "", "11:00"-AW420))</f>
        <v/>
      </c>
      <c r="Y420" s="52" t="str">
        <f t="shared" si="62"/>
        <v/>
      </c>
      <c r="Z420" s="53"/>
      <c r="AA420" s="54"/>
      <c r="AB420" s="53"/>
      <c r="AC420" s="54"/>
      <c r="AD420" s="53"/>
      <c r="AE420" s="54"/>
      <c r="AF420" s="53">
        <v>4.1666666666666664E-2</v>
      </c>
      <c r="AG420" s="54" t="s">
        <v>129</v>
      </c>
      <c r="AH420" s="55">
        <v>4.1666666666666699E-2</v>
      </c>
      <c r="AI420" s="53"/>
      <c r="AJ420" s="54"/>
      <c r="AK420" s="53"/>
      <c r="AL420" s="54"/>
      <c r="AM420" s="53"/>
      <c r="AN420" s="54"/>
      <c r="AO420" s="53"/>
      <c r="AP420" s="54"/>
      <c r="AQ420" s="53"/>
      <c r="AR420" s="54"/>
      <c r="AS420" s="53"/>
      <c r="AT420" s="54"/>
      <c r="AU420" s="53">
        <v>4.1666666666666699E-2</v>
      </c>
      <c r="AV420" s="54" t="s">
        <v>37</v>
      </c>
      <c r="AW420" s="57">
        <f t="shared" si="64"/>
        <v>8.333333333333337E-2</v>
      </c>
      <c r="AX420" s="58" t="s">
        <v>109</v>
      </c>
    </row>
    <row r="421" spans="1:50" ht="21.75" customHeight="1">
      <c r="A421" s="38" t="s">
        <v>419</v>
      </c>
      <c r="B421" s="39">
        <f t="shared" si="63"/>
        <v>417</v>
      </c>
      <c r="C421" s="40">
        <v>46035</v>
      </c>
      <c r="D421" s="40" t="s">
        <v>80</v>
      </c>
      <c r="E421" s="40" t="s">
        <v>33</v>
      </c>
      <c r="F421" s="41">
        <v>756.8</v>
      </c>
      <c r="G421" s="42" t="s">
        <v>192</v>
      </c>
      <c r="H421" s="43" t="str">
        <f>IFERROR(VLOOKUP($J421,'[9]FROM (3)'!$E$4:$F$230,2,FALSE),"")</f>
        <v>JATH</v>
      </c>
      <c r="I421" s="44" t="str">
        <f t="shared" si="60"/>
        <v>JGF02-002190-31-2</v>
      </c>
      <c r="J421" s="44" t="str">
        <f t="shared" si="61"/>
        <v>RACK BAR BLANK (JGF02-002190-31-2) 5K45</v>
      </c>
      <c r="K421" s="59" t="str">
        <f t="shared" si="57"/>
        <v>PD25121210</v>
      </c>
      <c r="L421" s="46" t="str" cm="1">
        <f t="array" ref="L421">IFERROR(_xlfn.IFS(
    LEN($A421)-LEN(SUBSTITUTE($A421,"|",""))=12, RIGHT(A421, LEN(A421)-FIND("~", SUBSTITUTE(A421,"|","~", LEN(A421)-LEN(SUBSTITUTE(A421,"|",""))))),
    LEN($A421)-LEN(SUBSTITUTE($A421,"|",""))=13, MID($A421, FIND("~", SUBSTITUTE($A421,"|","~", 11))+1, FIND("~", SUBSTITUTE($A421,"|","~", 12))-FIND("~", SUBSTITUTE($A421,"|","~", 11))-1),
    LEN($A421)-LEN(SUBSTITUTE($A421,"|",""))=14, MID($A421, FIND("~", SUBSTITUTE($A421,"|","~", 11))+1, FIND("~", SUBSTITUTE($A421,"|","~", 12))-FIND("~", SUBSTITUTE($A421,"|","~", 11))-1)
), "")</f>
        <v>5A5658</v>
      </c>
      <c r="M421" s="47" t="str">
        <f t="shared" si="55"/>
        <v>TSK2</v>
      </c>
      <c r="N421" s="46" t="str">
        <f t="shared" si="58"/>
        <v>FB120343/6/25</v>
      </c>
      <c r="O421" s="60">
        <v>58</v>
      </c>
      <c r="P421" s="60">
        <v>280</v>
      </c>
      <c r="Q421" s="48">
        <v>58</v>
      </c>
      <c r="R421" s="48">
        <v>280</v>
      </c>
      <c r="S421" s="48"/>
      <c r="T421" s="48"/>
      <c r="U421" s="49"/>
      <c r="V421" s="49"/>
      <c r="W421" s="50">
        <f t="shared" si="56"/>
        <v>0</v>
      </c>
      <c r="X421" s="51">
        <f>IF(A421="", "", IF(COUNTIFS(C$3:C420, C421, D$3:D420, D421, G$3:G420, G421) &gt; 0, "", "11:00"-AW421))</f>
        <v>0.24999999999999994</v>
      </c>
      <c r="Y421" s="52" t="str">
        <f t="shared" si="62"/>
        <v>1:40</v>
      </c>
      <c r="Z421" s="53">
        <v>4.1666666666666664E-2</v>
      </c>
      <c r="AA421" s="54" t="s">
        <v>90</v>
      </c>
      <c r="AB421" s="53">
        <v>4.1666666666666664E-2</v>
      </c>
      <c r="AC421" s="54" t="s">
        <v>90</v>
      </c>
      <c r="AD421" s="53">
        <v>4.1666666666666664E-2</v>
      </c>
      <c r="AE421" s="54" t="s">
        <v>90</v>
      </c>
      <c r="AF421" s="53">
        <v>4.1666666666666664E-2</v>
      </c>
      <c r="AG421" s="54" t="s">
        <v>90</v>
      </c>
      <c r="AH421" s="55">
        <v>4.1666666666666699E-2</v>
      </c>
      <c r="AI421" s="53"/>
      <c r="AJ421" s="54"/>
      <c r="AK421" s="53"/>
      <c r="AL421" s="54"/>
      <c r="AM421" s="53"/>
      <c r="AN421" s="54"/>
      <c r="AO421" s="53"/>
      <c r="AP421" s="54"/>
      <c r="AQ421" s="53"/>
      <c r="AR421" s="54"/>
      <c r="AS421" s="53"/>
      <c r="AT421" s="54"/>
      <c r="AU421" s="53">
        <v>4.1666666666666699E-2</v>
      </c>
      <c r="AV421" s="54" t="s">
        <v>37</v>
      </c>
      <c r="AW421" s="57">
        <f t="shared" si="64"/>
        <v>0.20833333333333337</v>
      </c>
      <c r="AX421" s="58" t="s">
        <v>166</v>
      </c>
    </row>
    <row r="422" spans="1:50" ht="21.75" customHeight="1">
      <c r="A422" s="38" t="s">
        <v>420</v>
      </c>
      <c r="B422" s="39">
        <f t="shared" si="63"/>
        <v>418</v>
      </c>
      <c r="C422" s="40">
        <v>46035</v>
      </c>
      <c r="D422" s="40" t="s">
        <v>80</v>
      </c>
      <c r="E422" s="40" t="s">
        <v>33</v>
      </c>
      <c r="F422" s="41">
        <v>756.8</v>
      </c>
      <c r="G422" s="42" t="s">
        <v>192</v>
      </c>
      <c r="H422" s="43" t="str">
        <f>IFERROR(VLOOKUP($J422,'[9]FROM (3)'!$E$4:$F$230,2,FALSE),"")</f>
        <v>JATH</v>
      </c>
      <c r="I422" s="44" t="str">
        <f t="shared" si="60"/>
        <v>JGF02-002190-31-2</v>
      </c>
      <c r="J422" s="44" t="str">
        <f t="shared" si="61"/>
        <v>RACK BAR BLANK (JGF02-002190-31-2) 5K45</v>
      </c>
      <c r="K422" s="59" t="str">
        <f t="shared" si="57"/>
        <v>PD25121210</v>
      </c>
      <c r="L422" s="46" t="str" cm="1">
        <f t="array" ref="L422">IFERROR(_xlfn.IFS(
    LEN($A422)-LEN(SUBSTITUTE($A422,"|",""))=12, RIGHT(A422, LEN(A422)-FIND("~", SUBSTITUTE(A422,"|","~", LEN(A422)-LEN(SUBSTITUTE(A422,"|",""))))),
    LEN($A422)-LEN(SUBSTITUTE($A422,"|",""))=13, MID($A422, FIND("~", SUBSTITUTE($A422,"|","~", 11))+1, FIND("~", SUBSTITUTE($A422,"|","~", 12))-FIND("~", SUBSTITUTE($A422,"|","~", 11))-1),
    LEN($A422)-LEN(SUBSTITUTE($A422,"|",""))=14, MID($A422, FIND("~", SUBSTITUTE($A422,"|","~", 11))+1, FIND("~", SUBSTITUTE($A422,"|","~", 12))-FIND("~", SUBSTITUTE($A422,"|","~", 11))-1)
), "")</f>
        <v>5A5658</v>
      </c>
      <c r="M422" s="47" t="str">
        <f t="shared" si="55"/>
        <v>TSK2</v>
      </c>
      <c r="N422" s="46" t="str">
        <f t="shared" si="58"/>
        <v>FB120343/19/25</v>
      </c>
      <c r="O422" s="60">
        <v>58</v>
      </c>
      <c r="P422" s="60">
        <v>280</v>
      </c>
      <c r="Q422" s="48">
        <v>58</v>
      </c>
      <c r="R422" s="48">
        <v>280</v>
      </c>
      <c r="S422" s="48"/>
      <c r="T422" s="48"/>
      <c r="U422" s="49"/>
      <c r="V422" s="49"/>
      <c r="W422" s="50">
        <f t="shared" si="56"/>
        <v>0</v>
      </c>
      <c r="X422" s="51" t="str">
        <f>IF(A422="", "", IF(COUNTIFS(C$3:C421, C422, D$3:D421, D422, G$3:G421, G422) &gt; 0, "", "11:00"-AW422))</f>
        <v/>
      </c>
      <c r="Y422" s="52" t="str">
        <f t="shared" si="62"/>
        <v/>
      </c>
      <c r="Z422" s="53"/>
      <c r="AA422" s="54"/>
      <c r="AB422" s="53"/>
      <c r="AC422" s="54"/>
      <c r="AD422" s="53"/>
      <c r="AE422" s="54"/>
      <c r="AF422" s="53"/>
      <c r="AG422" s="54"/>
      <c r="AH422" s="55">
        <v>4.1666666666666699E-2</v>
      </c>
      <c r="AI422" s="53"/>
      <c r="AJ422" s="54"/>
      <c r="AK422" s="53"/>
      <c r="AL422" s="54"/>
      <c r="AM422" s="53"/>
      <c r="AN422" s="54"/>
      <c r="AO422" s="53"/>
      <c r="AP422" s="54"/>
      <c r="AQ422" s="53"/>
      <c r="AR422" s="54"/>
      <c r="AS422" s="53"/>
      <c r="AT422" s="54"/>
      <c r="AU422" s="53">
        <v>4.1666666666666699E-2</v>
      </c>
      <c r="AV422" s="54" t="s">
        <v>37</v>
      </c>
      <c r="AW422" s="57">
        <f t="shared" si="64"/>
        <v>4.1666666666666699E-2</v>
      </c>
      <c r="AX422" s="58" t="s">
        <v>166</v>
      </c>
    </row>
    <row r="423" spans="1:50" ht="21.75" customHeight="1">
      <c r="A423" s="38" t="s">
        <v>421</v>
      </c>
      <c r="B423" s="39">
        <f t="shared" si="63"/>
        <v>419</v>
      </c>
      <c r="C423" s="40">
        <v>46035</v>
      </c>
      <c r="D423" s="40" t="s">
        <v>80</v>
      </c>
      <c r="E423" s="40" t="s">
        <v>33</v>
      </c>
      <c r="F423" s="41">
        <v>756.8</v>
      </c>
      <c r="G423" s="42" t="s">
        <v>192</v>
      </c>
      <c r="H423" s="43" t="str">
        <f>IFERROR(VLOOKUP($J423,'[9]FROM (3)'!$E$4:$F$230,2,FALSE),"")</f>
        <v>JATH</v>
      </c>
      <c r="I423" s="44" t="str">
        <f t="shared" si="60"/>
        <v>JGF02-002190-31-2</v>
      </c>
      <c r="J423" s="44" t="str">
        <f t="shared" si="61"/>
        <v>RACK BAR BLANK (JGF02-002190-31-2) 5K45</v>
      </c>
      <c r="K423" s="59" t="str">
        <f t="shared" si="57"/>
        <v>PD25121210</v>
      </c>
      <c r="L423" s="46" t="str" cm="1">
        <f t="array" ref="L423">IFERROR(_xlfn.IFS(
    LEN($A423)-LEN(SUBSTITUTE($A423,"|",""))=12, RIGHT(A423, LEN(A423)-FIND("~", SUBSTITUTE(A423,"|","~", LEN(A423)-LEN(SUBSTITUTE(A423,"|",""))))),
    LEN($A423)-LEN(SUBSTITUTE($A423,"|",""))=13, MID($A423, FIND("~", SUBSTITUTE($A423,"|","~", 11))+1, FIND("~", SUBSTITUTE($A423,"|","~", 12))-FIND("~", SUBSTITUTE($A423,"|","~", 11))-1),
    LEN($A423)-LEN(SUBSTITUTE($A423,"|",""))=14, MID($A423, FIND("~", SUBSTITUTE($A423,"|","~", 11))+1, FIND("~", SUBSTITUTE($A423,"|","~", 12))-FIND("~", SUBSTITUTE($A423,"|","~", 11))-1)
), "")</f>
        <v>5A56</v>
      </c>
      <c r="M423" s="47" t="str">
        <f t="shared" si="55"/>
        <v>TSK2</v>
      </c>
      <c r="N423" s="46" t="str">
        <f t="shared" si="58"/>
        <v>FB120343/7/25</v>
      </c>
      <c r="O423" s="60">
        <v>58</v>
      </c>
      <c r="P423" s="60">
        <v>280</v>
      </c>
      <c r="Q423" s="48">
        <v>58</v>
      </c>
      <c r="R423" s="48">
        <v>280</v>
      </c>
      <c r="S423" s="48"/>
      <c r="T423" s="48"/>
      <c r="U423" s="49"/>
      <c r="V423" s="49"/>
      <c r="W423" s="50">
        <f t="shared" si="56"/>
        <v>0</v>
      </c>
      <c r="X423" s="51" t="str">
        <f>IF(A423="", "", IF(COUNTIFS(C$3:C422, C423, D$3:D422, D423, G$3:G422, G423) &gt; 0, "", "11:00"-AW423))</f>
        <v/>
      </c>
      <c r="Y423" s="52" t="str">
        <f t="shared" si="62"/>
        <v/>
      </c>
      <c r="Z423" s="53"/>
      <c r="AA423" s="54"/>
      <c r="AB423" s="53"/>
      <c r="AC423" s="54"/>
      <c r="AD423" s="53"/>
      <c r="AE423" s="54"/>
      <c r="AF423" s="53"/>
      <c r="AG423" s="54"/>
      <c r="AH423" s="55">
        <v>4.1666666666666699E-2</v>
      </c>
      <c r="AI423" s="53"/>
      <c r="AJ423" s="54"/>
      <c r="AK423" s="53"/>
      <c r="AL423" s="54"/>
      <c r="AM423" s="53"/>
      <c r="AN423" s="54"/>
      <c r="AO423" s="53"/>
      <c r="AP423" s="54"/>
      <c r="AQ423" s="53"/>
      <c r="AR423" s="54"/>
      <c r="AS423" s="53"/>
      <c r="AT423" s="54"/>
      <c r="AU423" s="53">
        <v>4.1666666666666699E-2</v>
      </c>
      <c r="AV423" s="54" t="s">
        <v>37</v>
      </c>
      <c r="AW423" s="57">
        <f t="shared" si="64"/>
        <v>4.1666666666666699E-2</v>
      </c>
      <c r="AX423" s="58" t="s">
        <v>166</v>
      </c>
    </row>
    <row r="424" spans="1:50" ht="21.75" customHeight="1">
      <c r="A424" s="38" t="s">
        <v>422</v>
      </c>
      <c r="B424" s="39">
        <f t="shared" si="63"/>
        <v>420</v>
      </c>
      <c r="C424" s="40">
        <v>46035</v>
      </c>
      <c r="D424" s="40" t="s">
        <v>80</v>
      </c>
      <c r="E424" s="40" t="s">
        <v>33</v>
      </c>
      <c r="F424" s="41">
        <v>756.8</v>
      </c>
      <c r="G424" s="42" t="s">
        <v>192</v>
      </c>
      <c r="H424" s="43" t="str">
        <f>IFERROR(VLOOKUP($J424,'[9]FROM (3)'!$E$4:$F$230,2,FALSE),"")</f>
        <v>JATH</v>
      </c>
      <c r="I424" s="44" t="str">
        <f t="shared" si="60"/>
        <v>JGF02-002190-31-2</v>
      </c>
      <c r="J424" s="44" t="str">
        <f t="shared" si="61"/>
        <v>RACK BAR BLANK (JGF02-002190-31-2) 5K45</v>
      </c>
      <c r="K424" s="59" t="str">
        <f t="shared" si="57"/>
        <v>PD25121210</v>
      </c>
      <c r="L424" s="46" t="str" cm="1">
        <f t="array" ref="L424">IFERROR(_xlfn.IFS(
    LEN($A424)-LEN(SUBSTITUTE($A424,"|",""))=12, RIGHT(A424, LEN(A424)-FIND("~", SUBSTITUTE(A424,"|","~", LEN(A424)-LEN(SUBSTITUTE(A424,"|",""))))),
    LEN($A424)-LEN(SUBSTITUTE($A424,"|",""))=13, MID($A424, FIND("~", SUBSTITUTE($A424,"|","~", 11))+1, FIND("~", SUBSTITUTE($A424,"|","~", 12))-FIND("~", SUBSTITUTE($A424,"|","~", 11))-1),
    LEN($A424)-LEN(SUBSTITUTE($A424,"|",""))=14, MID($A424, FIND("~", SUBSTITUTE($A424,"|","~", 11))+1, FIND("~", SUBSTITUTE($A424,"|","~", 12))-FIND("~", SUBSTITUTE($A424,"|","~", 11))-1)
), "")</f>
        <v>5A5658</v>
      </c>
      <c r="M424" s="47" t="str">
        <f t="shared" si="55"/>
        <v>TSK2</v>
      </c>
      <c r="N424" s="46" t="str">
        <f t="shared" si="58"/>
        <v>FB120343/2/25</v>
      </c>
      <c r="O424" s="60">
        <v>58</v>
      </c>
      <c r="P424" s="60">
        <v>280</v>
      </c>
      <c r="Q424" s="48">
        <v>58</v>
      </c>
      <c r="R424" s="48">
        <v>280</v>
      </c>
      <c r="S424" s="48"/>
      <c r="T424" s="48"/>
      <c r="U424" s="49"/>
      <c r="V424" s="49"/>
      <c r="W424" s="50">
        <f t="shared" si="56"/>
        <v>0</v>
      </c>
      <c r="X424" s="51" t="str">
        <f>IF(A424="", "", IF(COUNTIFS(C$3:C423, C424, D$3:D423, D424, G$3:G423, G424) &gt; 0, "", "11:00"-AW424))</f>
        <v/>
      </c>
      <c r="Y424" s="52" t="str">
        <f t="shared" si="62"/>
        <v/>
      </c>
      <c r="Z424" s="53"/>
      <c r="AA424" s="54"/>
      <c r="AB424" s="53"/>
      <c r="AC424" s="54"/>
      <c r="AD424" s="53"/>
      <c r="AE424" s="54"/>
      <c r="AF424" s="53"/>
      <c r="AG424" s="54"/>
      <c r="AH424" s="55">
        <v>4.1666666666666699E-2</v>
      </c>
      <c r="AI424" s="53"/>
      <c r="AJ424" s="54"/>
      <c r="AK424" s="53"/>
      <c r="AL424" s="54"/>
      <c r="AM424" s="53"/>
      <c r="AN424" s="54"/>
      <c r="AO424" s="53"/>
      <c r="AP424" s="54"/>
      <c r="AQ424" s="53"/>
      <c r="AR424" s="54"/>
      <c r="AS424" s="53"/>
      <c r="AT424" s="54"/>
      <c r="AU424" s="53">
        <v>4.1666666666666699E-2</v>
      </c>
      <c r="AV424" s="54" t="s">
        <v>37</v>
      </c>
      <c r="AW424" s="57">
        <f t="shared" si="64"/>
        <v>4.1666666666666699E-2</v>
      </c>
      <c r="AX424" s="58" t="s">
        <v>166</v>
      </c>
    </row>
    <row r="425" spans="1:50" ht="21.75" customHeight="1">
      <c r="A425" s="38" t="s">
        <v>423</v>
      </c>
      <c r="B425" s="39">
        <f t="shared" si="63"/>
        <v>421</v>
      </c>
      <c r="C425" s="40">
        <v>46035</v>
      </c>
      <c r="D425" s="40" t="s">
        <v>80</v>
      </c>
      <c r="E425" s="40" t="s">
        <v>33</v>
      </c>
      <c r="F425" s="41">
        <v>756.8</v>
      </c>
      <c r="G425" s="42" t="s">
        <v>192</v>
      </c>
      <c r="H425" s="43" t="str">
        <f>IFERROR(VLOOKUP($J425,'[9]FROM (3)'!$E$4:$F$230,2,FALSE),"")</f>
        <v>JATH</v>
      </c>
      <c r="I425" s="44" t="str">
        <f t="shared" si="60"/>
        <v>JGF02-002190-31-2</v>
      </c>
      <c r="J425" s="44" t="str">
        <f t="shared" si="61"/>
        <v>RACK BAR BLANK (JGF02-002190-31-2) 5K45</v>
      </c>
      <c r="K425" s="59" t="str">
        <f t="shared" si="57"/>
        <v>PD25121210</v>
      </c>
      <c r="L425" s="46" t="str" cm="1">
        <f t="array" ref="L425">IFERROR(_xlfn.IFS(
    LEN($A425)-LEN(SUBSTITUTE($A425,"|",""))=12, RIGHT(A425, LEN(A425)-FIND("~", SUBSTITUTE(A425,"|","~", LEN(A425)-LEN(SUBSTITUTE(A425,"|",""))))),
    LEN($A425)-LEN(SUBSTITUTE($A425,"|",""))=13, MID($A425, FIND("~", SUBSTITUTE($A425,"|","~", 11))+1, FIND("~", SUBSTITUTE($A425,"|","~", 12))-FIND("~", SUBSTITUTE($A425,"|","~", 11))-1),
    LEN($A425)-LEN(SUBSTITUTE($A425,"|",""))=14, MID($A425, FIND("~", SUBSTITUTE($A425,"|","~", 11))+1, FIND("~", SUBSTITUTE($A425,"|","~", 12))-FIND("~", SUBSTITUTE($A425,"|","~", 11))-1)
), "")</f>
        <v>5A5658</v>
      </c>
      <c r="M425" s="47" t="str">
        <f t="shared" si="55"/>
        <v>TSK2</v>
      </c>
      <c r="N425" s="46" t="str">
        <f t="shared" si="58"/>
        <v>FB120343/18/25</v>
      </c>
      <c r="O425" s="60">
        <v>58</v>
      </c>
      <c r="P425" s="60">
        <v>280</v>
      </c>
      <c r="Q425" s="48">
        <v>58</v>
      </c>
      <c r="R425" s="48">
        <v>280</v>
      </c>
      <c r="S425" s="48"/>
      <c r="T425" s="48"/>
      <c r="U425" s="49"/>
      <c r="V425" s="49"/>
      <c r="W425" s="50">
        <f t="shared" si="56"/>
        <v>0</v>
      </c>
      <c r="X425" s="51" t="str">
        <f>IF(A425="", "", IF(COUNTIFS(C$3:C424, C425, D$3:D424, D425, G$3:G424, G425) &gt; 0, "", "11:00"-AW425))</f>
        <v/>
      </c>
      <c r="Y425" s="52" t="str">
        <f t="shared" si="62"/>
        <v/>
      </c>
      <c r="Z425" s="53"/>
      <c r="AA425" s="54"/>
      <c r="AB425" s="53"/>
      <c r="AC425" s="54"/>
      <c r="AD425" s="53"/>
      <c r="AE425" s="54"/>
      <c r="AF425" s="53"/>
      <c r="AG425" s="54"/>
      <c r="AH425" s="55">
        <v>4.1666666666666699E-2</v>
      </c>
      <c r="AI425" s="53"/>
      <c r="AJ425" s="54"/>
      <c r="AK425" s="53"/>
      <c r="AL425" s="54"/>
      <c r="AM425" s="53"/>
      <c r="AN425" s="54"/>
      <c r="AO425" s="53"/>
      <c r="AP425" s="54"/>
      <c r="AQ425" s="53"/>
      <c r="AR425" s="54"/>
      <c r="AS425" s="53"/>
      <c r="AT425" s="54"/>
      <c r="AU425" s="53">
        <v>4.1666666666666699E-2</v>
      </c>
      <c r="AV425" s="54" t="s">
        <v>37</v>
      </c>
      <c r="AW425" s="57">
        <f t="shared" si="64"/>
        <v>4.1666666666666699E-2</v>
      </c>
      <c r="AX425" s="58" t="s">
        <v>166</v>
      </c>
    </row>
    <row r="426" spans="1:50" ht="21.75" customHeight="1">
      <c r="A426" s="38" t="s">
        <v>424</v>
      </c>
      <c r="B426" s="39">
        <f t="shared" si="63"/>
        <v>422</v>
      </c>
      <c r="C426" s="40">
        <v>46035</v>
      </c>
      <c r="D426" s="40" t="s">
        <v>32</v>
      </c>
      <c r="E426" s="40" t="s">
        <v>81</v>
      </c>
      <c r="F426" s="41">
        <v>198.2</v>
      </c>
      <c r="G426" s="42" t="s">
        <v>44</v>
      </c>
      <c r="H426" s="43" t="str">
        <f>IFERROR(VLOOKUP($J426,'[9]FROM (3)'!$E$4:$F$230,2,FALSE),"")</f>
        <v>DNTH</v>
      </c>
      <c r="I426" s="44" t="str">
        <f t="shared" si="60"/>
        <v>SLUG VALVE ROTARY</v>
      </c>
      <c r="J426" s="44" t="str">
        <f t="shared" si="61"/>
        <v>TGY95613-0020</v>
      </c>
      <c r="K426" s="59" t="str">
        <f t="shared" si="57"/>
        <v>PD26010428</v>
      </c>
      <c r="L426" s="46" t="str" cm="1">
        <f t="array" ref="L426">IFERROR(_xlfn.IFS(
    LEN($A426)-LEN(SUBSTITUTE($A426,"|",""))=12, RIGHT(A426, LEN(A426)-FIND("~", SUBSTITUTE(A426,"|","~", LEN(A426)-LEN(SUBSTITUTE(A426,"|",""))))),
    LEN($A426)-LEN(SUBSTITUTE($A426,"|",""))=13, MID($A426, FIND("~", SUBSTITUTE($A426,"|","~", 11))+1, FIND("~", SUBSTITUTE($A426,"|","~", 12))-FIND("~", SUBSTITUTE($A426,"|","~", 11))-1),
    LEN($A426)-LEN(SUBSTITUTE($A426,"|",""))=14, MID($A426, FIND("~", SUBSTITUTE($A426,"|","~", 11))+1, FIND("~", SUBSTITUTE($A426,"|","~", 12))-FIND("~", SUBSTITUTE($A426,"|","~", 11))-1)
), "")</f>
        <v>E585734</v>
      </c>
      <c r="M426" s="47" t="str">
        <f t="shared" si="55"/>
        <v>SB010040/6/26</v>
      </c>
      <c r="N426" s="46" t="str">
        <f t="shared" si="58"/>
        <v/>
      </c>
      <c r="O426" s="60"/>
      <c r="P426" s="60"/>
      <c r="Q426" s="48">
        <v>185</v>
      </c>
      <c r="R426" s="48">
        <v>37</v>
      </c>
      <c r="S426" s="48"/>
      <c r="T426" s="48"/>
      <c r="U426" s="49"/>
      <c r="V426" s="49"/>
      <c r="W426" s="50">
        <f t="shared" si="56"/>
        <v>0</v>
      </c>
      <c r="X426" s="51">
        <f>IF(A426="", "", IF(COUNTIFS(C$3:C425, C426, D$3:D425, D426, G$3:G425, G426) &gt; 0, "", "11:00"-AW426))</f>
        <v>0.37499999999999994</v>
      </c>
      <c r="Y426" s="52" t="str">
        <f t="shared" si="62"/>
        <v>1:40</v>
      </c>
      <c r="Z426" s="53"/>
      <c r="AA426" s="54"/>
      <c r="AB426" s="53"/>
      <c r="AC426" s="54"/>
      <c r="AD426" s="53"/>
      <c r="AE426" s="54"/>
      <c r="AF426" s="53"/>
      <c r="AG426" s="54"/>
      <c r="AH426" s="55">
        <v>4.1666666666666699E-2</v>
      </c>
      <c r="AI426" s="53"/>
      <c r="AJ426" s="54"/>
      <c r="AK426" s="53"/>
      <c r="AL426" s="54"/>
      <c r="AM426" s="53"/>
      <c r="AN426" s="54"/>
      <c r="AO426" s="53"/>
      <c r="AP426" s="54"/>
      <c r="AQ426" s="53"/>
      <c r="AR426" s="54"/>
      <c r="AS426" s="53">
        <v>4.1666666666666664E-2</v>
      </c>
      <c r="AT426" s="54" t="s">
        <v>147</v>
      </c>
      <c r="AU426" s="53">
        <v>4.1666666666666699E-2</v>
      </c>
      <c r="AV426" s="54" t="s">
        <v>37</v>
      </c>
      <c r="AW426" s="57">
        <f t="shared" si="64"/>
        <v>8.333333333333337E-2</v>
      </c>
      <c r="AX426" s="58" t="s">
        <v>117</v>
      </c>
    </row>
    <row r="427" spans="1:50" ht="21.75" customHeight="1">
      <c r="A427" s="38" t="s">
        <v>403</v>
      </c>
      <c r="B427" s="39">
        <f t="shared" si="63"/>
        <v>423</v>
      </c>
      <c r="C427" s="40">
        <v>46035</v>
      </c>
      <c r="D427" s="40" t="s">
        <v>32</v>
      </c>
      <c r="E427" s="40" t="s">
        <v>81</v>
      </c>
      <c r="F427" s="41">
        <v>198.2</v>
      </c>
      <c r="G427" s="42" t="s">
        <v>44</v>
      </c>
      <c r="H427" s="43" t="str">
        <f>IFERROR(VLOOKUP($J427,'[9]FROM (3)'!$E$4:$F$230,2,FALSE),"")</f>
        <v>DNTH</v>
      </c>
      <c r="I427" s="44" t="str">
        <f t="shared" si="60"/>
        <v>SLUG VALVE ROTARY</v>
      </c>
      <c r="J427" s="44" t="str">
        <f t="shared" si="61"/>
        <v>TGY95613-0020</v>
      </c>
      <c r="K427" s="59" t="str">
        <f t="shared" si="57"/>
        <v>PD26010428</v>
      </c>
      <c r="L427" s="46" t="str" cm="1">
        <f t="array" ref="L427">IFERROR(_xlfn.IFS(
    LEN($A427)-LEN(SUBSTITUTE($A427,"|",""))=12, RIGHT(A427, LEN(A427)-FIND("~", SUBSTITUTE(A427,"|","~", LEN(A427)-LEN(SUBSTITUTE(A427,"|",""))))),
    LEN($A427)-LEN(SUBSTITUTE($A427,"|",""))=13, MID($A427, FIND("~", SUBSTITUTE($A427,"|","~", 11))+1, FIND("~", SUBSTITUTE($A427,"|","~", 12))-FIND("~", SUBSTITUTE($A427,"|","~", 11))-1),
    LEN($A427)-LEN(SUBSTITUTE($A427,"|",""))=14, MID($A427, FIND("~", SUBSTITUTE($A427,"|","~", 11))+1, FIND("~", SUBSTITUTE($A427,"|","~", 12))-FIND("~", SUBSTITUTE($A427,"|","~", 11))-1)
), "")</f>
        <v>E585734</v>
      </c>
      <c r="M427" s="47" t="str">
        <f t="shared" si="55"/>
        <v>SB010040/5/26</v>
      </c>
      <c r="N427" s="46" t="str">
        <f t="shared" si="58"/>
        <v/>
      </c>
      <c r="O427" s="60">
        <v>23</v>
      </c>
      <c r="P427" s="60">
        <v>984</v>
      </c>
      <c r="Q427" s="48">
        <v>3611</v>
      </c>
      <c r="R427" s="48">
        <v>716</v>
      </c>
      <c r="S427" s="48"/>
      <c r="T427" s="48"/>
      <c r="U427" s="49"/>
      <c r="V427" s="49"/>
      <c r="W427" s="50">
        <f t="shared" si="56"/>
        <v>0</v>
      </c>
      <c r="X427" s="51" t="str">
        <f>IF(A427="", "", IF(COUNTIFS(C$3:C426, C427, D$3:D426, D427, G$3:G426, G427) &gt; 0, "", "11:00"-AW427))</f>
        <v/>
      </c>
      <c r="Y427" s="52" t="str">
        <f t="shared" si="62"/>
        <v/>
      </c>
      <c r="Z427" s="53"/>
      <c r="AA427" s="54"/>
      <c r="AB427" s="53"/>
      <c r="AC427" s="54"/>
      <c r="AD427" s="53"/>
      <c r="AE427" s="54"/>
      <c r="AF427" s="53"/>
      <c r="AG427" s="54"/>
      <c r="AH427" s="55">
        <v>4.1666666666666699E-2</v>
      </c>
      <c r="AI427" s="53"/>
      <c r="AJ427" s="54"/>
      <c r="AK427" s="53"/>
      <c r="AL427" s="54"/>
      <c r="AM427" s="53"/>
      <c r="AN427" s="54"/>
      <c r="AO427" s="53"/>
      <c r="AP427" s="54"/>
      <c r="AQ427" s="53"/>
      <c r="AR427" s="54"/>
      <c r="AS427" s="53">
        <v>4.1666666666666664E-2</v>
      </c>
      <c r="AT427" s="54" t="s">
        <v>147</v>
      </c>
      <c r="AU427" s="53">
        <v>4.1666666666666699E-2</v>
      </c>
      <c r="AV427" s="54" t="s">
        <v>37</v>
      </c>
      <c r="AW427" s="57">
        <f t="shared" si="64"/>
        <v>8.333333333333337E-2</v>
      </c>
      <c r="AX427" s="58" t="s">
        <v>117</v>
      </c>
    </row>
    <row r="428" spans="1:50" ht="21.75" customHeight="1">
      <c r="A428" s="38" t="s">
        <v>425</v>
      </c>
      <c r="B428" s="39">
        <f t="shared" si="63"/>
        <v>424</v>
      </c>
      <c r="C428" s="40">
        <v>46035</v>
      </c>
      <c r="D428" s="40" t="s">
        <v>32</v>
      </c>
      <c r="E428" s="40" t="s">
        <v>81</v>
      </c>
      <c r="F428" s="41">
        <v>14</v>
      </c>
      <c r="G428" s="42" t="s">
        <v>41</v>
      </c>
      <c r="H428" s="43" t="str">
        <f>IFERROR(VLOOKUP($J428,'[9]FROM (3)'!$E$4:$F$230,2,FALSE),"")</f>
        <v>DNTH</v>
      </c>
      <c r="I428" s="44" t="str">
        <f t="shared" si="60"/>
        <v>Pinion Starter 2 W</v>
      </c>
      <c r="J428" s="44" t="str">
        <f t="shared" si="61"/>
        <v>TGY28987-0060</v>
      </c>
      <c r="K428" s="59" t="str">
        <f t="shared" si="57"/>
        <v>PD26010423</v>
      </c>
      <c r="L428" s="46" t="str" cm="1">
        <f t="array" ref="L428">IFERROR(_xlfn.IFS(
    LEN($A428)-LEN(SUBSTITUTE($A428,"|",""))=12, RIGHT(A428, LEN(A428)-FIND("~", SUBSTITUTE(A428,"|","~", LEN(A428)-LEN(SUBSTITUTE(A428,"|",""))))),
    LEN($A428)-LEN(SUBSTITUTE($A428,"|",""))=13, MID($A428, FIND("~", SUBSTITUTE($A428,"|","~", 11))+1, FIND("~", SUBSTITUTE($A428,"|","~", 12))-FIND("~", SUBSTITUTE($A428,"|","~", 11))-1),
    LEN($A428)-LEN(SUBSTITUTE($A428,"|",""))=14, MID($A428, FIND("~", SUBSTITUTE($A428,"|","~", 11))+1, FIND("~", SUBSTITUTE($A428,"|","~", 12))-FIND("~", SUBSTITUTE($A428,"|","~", 11))-1)
), "")</f>
        <v>E586056</v>
      </c>
      <c r="M428" s="47" t="str">
        <f t="shared" si="55"/>
        <v>SB010037/1/26</v>
      </c>
      <c r="N428" s="46" t="str">
        <f t="shared" si="58"/>
        <v/>
      </c>
      <c r="O428" s="60"/>
      <c r="P428" s="60"/>
      <c r="Q428" s="48">
        <v>2852</v>
      </c>
      <c r="R428" s="48">
        <v>476</v>
      </c>
      <c r="S428" s="48"/>
      <c r="T428" s="48"/>
      <c r="U428" s="49"/>
      <c r="V428" s="49"/>
      <c r="W428" s="50">
        <f t="shared" si="56"/>
        <v>0</v>
      </c>
      <c r="X428" s="51">
        <f>IF(A428="", "", IF(COUNTIFS(C$3:C427, C428, D$3:D427, D428, G$3:G427, G428) &gt; 0, "", "11:00"-AW428))</f>
        <v>0.37499999999999994</v>
      </c>
      <c r="Y428" s="52" t="str">
        <f t="shared" si="62"/>
        <v>1:40</v>
      </c>
      <c r="Z428" s="53"/>
      <c r="AA428" s="54"/>
      <c r="AB428" s="53"/>
      <c r="AC428" s="54"/>
      <c r="AD428" s="53"/>
      <c r="AE428" s="54"/>
      <c r="AF428" s="53"/>
      <c r="AG428" s="54"/>
      <c r="AH428" s="55">
        <v>4.1666666666666699E-2</v>
      </c>
      <c r="AI428" s="53"/>
      <c r="AJ428" s="54"/>
      <c r="AK428" s="53"/>
      <c r="AL428" s="54"/>
      <c r="AM428" s="53"/>
      <c r="AN428" s="54"/>
      <c r="AO428" s="53"/>
      <c r="AP428" s="54"/>
      <c r="AQ428" s="53"/>
      <c r="AR428" s="54"/>
      <c r="AS428" s="53">
        <v>4.1666666666666664E-2</v>
      </c>
      <c r="AT428" s="54" t="s">
        <v>147</v>
      </c>
      <c r="AU428" s="53">
        <v>4.1666666666666699E-2</v>
      </c>
      <c r="AV428" s="54" t="s">
        <v>37</v>
      </c>
      <c r="AW428" s="57">
        <f t="shared" si="64"/>
        <v>8.333333333333337E-2</v>
      </c>
      <c r="AX428" s="58" t="s">
        <v>117</v>
      </c>
    </row>
    <row r="429" spans="1:50" ht="21.75" customHeight="1">
      <c r="A429" s="38" t="s">
        <v>426</v>
      </c>
      <c r="B429" s="39">
        <f t="shared" si="63"/>
        <v>425</v>
      </c>
      <c r="C429" s="40">
        <v>46035</v>
      </c>
      <c r="D429" s="40" t="s">
        <v>32</v>
      </c>
      <c r="E429" s="40" t="s">
        <v>81</v>
      </c>
      <c r="F429" s="41">
        <v>23.4</v>
      </c>
      <c r="G429" s="42" t="s">
        <v>34</v>
      </c>
      <c r="H429" s="43" t="str">
        <f>IFERROR(VLOOKUP($J429,'[9]FROM (3)'!$E$4:$F$230,2,FALSE),"")</f>
        <v/>
      </c>
      <c r="I429" s="44" t="str">
        <f t="shared" si="60"/>
        <v>FLANGE-13 SLUG</v>
      </c>
      <c r="J429" s="44" t="str">
        <f t="shared" si="61"/>
        <v>ZZ2B7401TX1</v>
      </c>
      <c r="K429" s="59" t="str">
        <f t="shared" si="57"/>
        <v>PD26010473</v>
      </c>
      <c r="L429" s="46" t="str" cm="1">
        <f t="array" ref="L429">IFERROR(_xlfn.IFS(
    LEN($A429)-LEN(SUBSTITUTE($A429,"|",""))=12, RIGHT(A429, LEN(A429)-FIND("~", SUBSTITUTE(A429,"|","~", LEN(A429)-LEN(SUBSTITUTE(A429,"|",""))))),
    LEN($A429)-LEN(SUBSTITUTE($A429,"|",""))=13, MID($A429, FIND("~", SUBSTITUTE($A429,"|","~", 11))+1, FIND("~", SUBSTITUTE($A429,"|","~", 12))-FIND("~", SUBSTITUTE($A429,"|","~", 11))-1),
    LEN($A429)-LEN(SUBSTITUTE($A429,"|",""))=14, MID($A429, FIND("~", SUBSTITUTE($A429,"|","~", 11))+1, FIND("~", SUBSTITUTE($A429,"|","~", 12))-FIND("~", SUBSTITUTE($A429,"|","~", 11))-1)
), "")</f>
        <v>2-73052</v>
      </c>
      <c r="M429" s="47" t="str">
        <f t="shared" si="55"/>
        <v>2B2600091</v>
      </c>
      <c r="N429" s="46" t="str">
        <f t="shared" si="58"/>
        <v/>
      </c>
      <c r="O429" s="60"/>
      <c r="P429" s="60"/>
      <c r="Q429" s="48">
        <v>3425</v>
      </c>
      <c r="R429" s="48">
        <v>790</v>
      </c>
      <c r="S429" s="48"/>
      <c r="T429" s="48"/>
      <c r="U429" s="49"/>
      <c r="V429" s="49"/>
      <c r="W429" s="50">
        <f t="shared" si="56"/>
        <v>0</v>
      </c>
      <c r="X429" s="51">
        <f>IF(A429="", "", IF(COUNTIFS(C$3:C428, C429, D$3:D428, D429, G$3:G428, G429) &gt; 0, "", "11:00"-AW429))</f>
        <v>0.37499999999999994</v>
      </c>
      <c r="Y429" s="52" t="str">
        <f t="shared" si="62"/>
        <v>1:40</v>
      </c>
      <c r="Z429" s="53"/>
      <c r="AA429" s="54"/>
      <c r="AB429" s="53"/>
      <c r="AC429" s="54"/>
      <c r="AD429" s="53"/>
      <c r="AE429" s="54"/>
      <c r="AF429" s="53"/>
      <c r="AG429" s="54"/>
      <c r="AH429" s="55">
        <v>4.1666666666666699E-2</v>
      </c>
      <c r="AI429" s="53"/>
      <c r="AJ429" s="54"/>
      <c r="AK429" s="53"/>
      <c r="AL429" s="54"/>
      <c r="AM429" s="53"/>
      <c r="AN429" s="54"/>
      <c r="AO429" s="53"/>
      <c r="AP429" s="54"/>
      <c r="AQ429" s="53"/>
      <c r="AR429" s="54"/>
      <c r="AS429" s="53">
        <v>4.1666666666666664E-2</v>
      </c>
      <c r="AT429" s="54" t="s">
        <v>147</v>
      </c>
      <c r="AU429" s="53">
        <v>4.1666666666666699E-2</v>
      </c>
      <c r="AV429" s="54" t="s">
        <v>37</v>
      </c>
      <c r="AW429" s="57">
        <f t="shared" si="64"/>
        <v>8.333333333333337E-2</v>
      </c>
      <c r="AX429" s="58" t="s">
        <v>117</v>
      </c>
    </row>
    <row r="430" spans="1:50" ht="21.75" customHeight="1">
      <c r="A430" s="38" t="s">
        <v>418</v>
      </c>
      <c r="B430" s="39">
        <f t="shared" si="63"/>
        <v>426</v>
      </c>
      <c r="C430" s="40">
        <v>46035</v>
      </c>
      <c r="D430" s="40" t="s">
        <v>32</v>
      </c>
      <c r="E430" s="40" t="s">
        <v>81</v>
      </c>
      <c r="F430" s="41">
        <v>375</v>
      </c>
      <c r="G430" s="42" t="s">
        <v>172</v>
      </c>
      <c r="H430" s="43" t="str">
        <f>IFERROR(VLOOKUP($J430,'[9]FROM (3)'!$E$4:$F$230,2,FALSE),"")</f>
        <v>ATAC</v>
      </c>
      <c r="I430" s="44" t="str">
        <f t="shared" si="60"/>
        <v>SEAT,WATER PUMP PULLEY</v>
      </c>
      <c r="J430" s="44" t="str">
        <f t="shared" si="61"/>
        <v>16171-05030</v>
      </c>
      <c r="K430" s="59" t="str">
        <f t="shared" si="57"/>
        <v>PD26010245</v>
      </c>
      <c r="L430" s="46" t="str" cm="1">
        <f t="array" ref="L430">IFERROR(_xlfn.IFS(
    LEN($A430)-LEN(SUBSTITUTE($A430,"|",""))=12, RIGHT(A430, LEN(A430)-FIND("~", SUBSTITUTE(A430,"|","~", LEN(A430)-LEN(SUBSTITUTE(A430,"|",""))))),
    LEN($A430)-LEN(SUBSTITUTE($A430,"|",""))=13, MID($A430, FIND("~", SUBSTITUTE($A430,"|","~", 11))+1, FIND("~", SUBSTITUTE($A430,"|","~", 12))-FIND("~", SUBSTITUTE($A430,"|","~", 11))-1),
    LEN($A430)-LEN(SUBSTITUTE($A430,"|",""))=14, MID($A430, FIND("~", SUBSTITUTE($A430,"|","~", 11))+1, FIND("~", SUBSTITUTE($A430,"|","~", 12))-FIND("~", SUBSTITUTE($A430,"|","~", 11))-1)
), "")</f>
        <v>665898</v>
      </c>
      <c r="M430" s="47" t="str">
        <f t="shared" si="55"/>
        <v>SB010013/3/26</v>
      </c>
      <c r="N430" s="46" t="str">
        <f t="shared" si="58"/>
        <v/>
      </c>
      <c r="O430" s="60" t="s">
        <v>35</v>
      </c>
      <c r="P430" s="60" t="s">
        <v>35</v>
      </c>
      <c r="Q430" s="48">
        <v>1231</v>
      </c>
      <c r="R430" s="48">
        <v>462</v>
      </c>
      <c r="S430" s="48"/>
      <c r="T430" s="48"/>
      <c r="U430" s="49"/>
      <c r="V430" s="49"/>
      <c r="W430" s="50">
        <f t="shared" si="56"/>
        <v>0</v>
      </c>
      <c r="X430" s="51">
        <f>IF(A430="", "", IF(COUNTIFS(C$3:C429, C430, D$3:D429, D430, G$3:G429, G430) &gt; 0, "", "11:00"-AW430))</f>
        <v>0.37499999999999994</v>
      </c>
      <c r="Y430" s="52" t="str">
        <f t="shared" si="62"/>
        <v>1:40</v>
      </c>
      <c r="Z430" s="53"/>
      <c r="AA430" s="54"/>
      <c r="AB430" s="53"/>
      <c r="AC430" s="54"/>
      <c r="AD430" s="53"/>
      <c r="AE430" s="54"/>
      <c r="AF430" s="53"/>
      <c r="AG430" s="54"/>
      <c r="AH430" s="55">
        <v>4.1666666666666699E-2</v>
      </c>
      <c r="AI430" s="53"/>
      <c r="AJ430" s="54"/>
      <c r="AK430" s="53"/>
      <c r="AL430" s="54"/>
      <c r="AM430" s="53"/>
      <c r="AN430" s="54"/>
      <c r="AO430" s="53"/>
      <c r="AP430" s="54"/>
      <c r="AQ430" s="53"/>
      <c r="AR430" s="54"/>
      <c r="AS430" s="53">
        <v>4.1666666666666664E-2</v>
      </c>
      <c r="AT430" s="54" t="s">
        <v>147</v>
      </c>
      <c r="AU430" s="53">
        <v>4.1666666666666699E-2</v>
      </c>
      <c r="AV430" s="54" t="s">
        <v>37</v>
      </c>
      <c r="AW430" s="57">
        <f t="shared" si="64"/>
        <v>8.333333333333337E-2</v>
      </c>
      <c r="AX430" s="58" t="s">
        <v>380</v>
      </c>
    </row>
    <row r="431" spans="1:50" ht="21.75" customHeight="1">
      <c r="A431" s="38" t="s">
        <v>427</v>
      </c>
      <c r="B431" s="39">
        <f t="shared" si="63"/>
        <v>427</v>
      </c>
      <c r="C431" s="40">
        <v>46035</v>
      </c>
      <c r="D431" s="40" t="s">
        <v>32</v>
      </c>
      <c r="E431" s="40" t="s">
        <v>81</v>
      </c>
      <c r="F431" s="41">
        <v>375</v>
      </c>
      <c r="G431" s="42" t="s">
        <v>172</v>
      </c>
      <c r="H431" s="43" t="str">
        <f>IFERROR(VLOOKUP($J431,'[9]FROM (3)'!$E$4:$F$230,2,FALSE),"")</f>
        <v>ATAC</v>
      </c>
      <c r="I431" s="44" t="str">
        <f t="shared" si="60"/>
        <v>SEAT,WATER PUMP PULLEY</v>
      </c>
      <c r="J431" s="44" t="str">
        <f t="shared" si="61"/>
        <v>16171-05030</v>
      </c>
      <c r="K431" s="59" t="str">
        <f t="shared" si="57"/>
        <v>PD26010245</v>
      </c>
      <c r="L431" s="46" t="str" cm="1">
        <f t="array" ref="L431">IFERROR(_xlfn.IFS(
    LEN($A431)-LEN(SUBSTITUTE($A431,"|",""))=12, RIGHT(A431, LEN(A431)-FIND("~", SUBSTITUTE(A431,"|","~", LEN(A431)-LEN(SUBSTITUTE(A431,"|",""))))),
    LEN($A431)-LEN(SUBSTITUTE($A431,"|",""))=13, MID($A431, FIND("~", SUBSTITUTE($A431,"|","~", 11))+1, FIND("~", SUBSTITUTE($A431,"|","~", 12))-FIND("~", SUBSTITUTE($A431,"|","~", 11))-1),
    LEN($A431)-LEN(SUBSTITUTE($A431,"|",""))=14, MID($A431, FIND("~", SUBSTITUTE($A431,"|","~", 11))+1, FIND("~", SUBSTITUTE($A431,"|","~", 12))-FIND("~", SUBSTITUTE($A431,"|","~", 11))-1)
), "")</f>
        <v>665898</v>
      </c>
      <c r="M431" s="47" t="str">
        <f t="shared" si="55"/>
        <v>SB010013/1/26</v>
      </c>
      <c r="N431" s="46" t="str">
        <f t="shared" si="58"/>
        <v/>
      </c>
      <c r="O431" s="60">
        <v>14</v>
      </c>
      <c r="P431" s="60">
        <v>990</v>
      </c>
      <c r="Q431" s="48">
        <v>1295</v>
      </c>
      <c r="R431" s="48">
        <v>486</v>
      </c>
      <c r="S431" s="48"/>
      <c r="T431" s="48"/>
      <c r="U431" s="49"/>
      <c r="V431" s="49"/>
      <c r="W431" s="50">
        <f t="shared" si="56"/>
        <v>0</v>
      </c>
      <c r="X431" s="51" t="str">
        <f>IF(A431="", "", IF(COUNTIFS(C$3:C430, C431, D$3:D430, D431, G$3:G430, G431) &gt; 0, "", "11:00"-AW431))</f>
        <v/>
      </c>
      <c r="Y431" s="52" t="str">
        <f t="shared" si="62"/>
        <v/>
      </c>
      <c r="Z431" s="53"/>
      <c r="AA431" s="54"/>
      <c r="AB431" s="53"/>
      <c r="AC431" s="54"/>
      <c r="AD431" s="53"/>
      <c r="AE431" s="54"/>
      <c r="AF431" s="53"/>
      <c r="AG431" s="54"/>
      <c r="AH431" s="55">
        <v>4.1666666666666699E-2</v>
      </c>
      <c r="AI431" s="53"/>
      <c r="AJ431" s="54"/>
      <c r="AK431" s="53"/>
      <c r="AL431" s="54"/>
      <c r="AM431" s="53"/>
      <c r="AN431" s="54"/>
      <c r="AO431" s="53"/>
      <c r="AP431" s="54"/>
      <c r="AQ431" s="53"/>
      <c r="AR431" s="54"/>
      <c r="AS431" s="53">
        <v>4.1666666666666664E-2</v>
      </c>
      <c r="AT431" s="54" t="s">
        <v>147</v>
      </c>
      <c r="AU431" s="53">
        <v>4.1666666666666699E-2</v>
      </c>
      <c r="AV431" s="54" t="s">
        <v>37</v>
      </c>
      <c r="AW431" s="57">
        <f t="shared" si="64"/>
        <v>8.333333333333337E-2</v>
      </c>
      <c r="AX431" s="58" t="s">
        <v>380</v>
      </c>
    </row>
    <row r="432" spans="1:50" ht="21.75" customHeight="1">
      <c r="A432" s="38" t="s">
        <v>378</v>
      </c>
      <c r="B432" s="39">
        <f t="shared" si="63"/>
        <v>428</v>
      </c>
      <c r="C432" s="40">
        <v>46035</v>
      </c>
      <c r="D432" s="40" t="s">
        <v>32</v>
      </c>
      <c r="E432" s="40" t="s">
        <v>81</v>
      </c>
      <c r="F432" s="41">
        <v>85</v>
      </c>
      <c r="G432" s="42" t="s">
        <v>85</v>
      </c>
      <c r="H432" s="43" t="str">
        <f>IFERROR(VLOOKUP($J432,'[9]FROM (3)'!$E$4:$F$230,2,FALSE),"")</f>
        <v>DNTH</v>
      </c>
      <c r="I432" s="44" t="str">
        <f t="shared" si="60"/>
        <v>Barrel</v>
      </c>
      <c r="J432" s="44" t="str">
        <f t="shared" si="61"/>
        <v>TG028986-0050</v>
      </c>
      <c r="K432" s="59" t="str">
        <f t="shared" si="57"/>
        <v>PD26010421</v>
      </c>
      <c r="L432" s="46" t="str" cm="1">
        <f t="array" ref="L432">IFERROR(_xlfn.IFS(
    LEN($A432)-LEN(SUBSTITUTE($A432,"|",""))=12, RIGHT(A432, LEN(A432)-FIND("~", SUBSTITUTE(A432,"|","~", LEN(A432)-LEN(SUBSTITUTE(A432,"|",""))))),
    LEN($A432)-LEN(SUBSTITUTE($A432,"|",""))=13, MID($A432, FIND("~", SUBSTITUTE($A432,"|","~", 11))+1, FIND("~", SUBSTITUTE($A432,"|","~", 12))-FIND("~", SUBSTITUTE($A432,"|","~", 11))-1),
    LEN($A432)-LEN(SUBSTITUTE($A432,"|",""))=14, MID($A432, FIND("~", SUBSTITUTE($A432,"|","~", 11))+1, FIND("~", SUBSTITUTE($A432,"|","~", 12))-FIND("~", SUBSTITUTE($A432,"|","~", 11))-1)
), "")</f>
        <v>E484264</v>
      </c>
      <c r="M432" s="47" t="str">
        <f t="shared" si="55"/>
        <v>SB010035/1/26</v>
      </c>
      <c r="N432" s="46" t="str">
        <f t="shared" si="58"/>
        <v/>
      </c>
      <c r="O432" s="60"/>
      <c r="P432" s="60"/>
      <c r="Q432" s="48">
        <v>1704</v>
      </c>
      <c r="R432" s="48">
        <v>145</v>
      </c>
      <c r="S432" s="48"/>
      <c r="T432" s="48"/>
      <c r="U432" s="49"/>
      <c r="V432" s="49"/>
      <c r="W432" s="50">
        <f t="shared" si="56"/>
        <v>0</v>
      </c>
      <c r="X432" s="51">
        <f>IF(A432="", "", IF(COUNTIFS(C$3:C431, C432, D$3:D431, D432, G$3:G431, G432) &gt; 0, "", "11:00"-AW432))</f>
        <v>0.37499999999999994</v>
      </c>
      <c r="Y432" s="52" t="str">
        <f t="shared" si="62"/>
        <v>1:40</v>
      </c>
      <c r="Z432" s="53"/>
      <c r="AA432" s="54"/>
      <c r="AB432" s="53"/>
      <c r="AC432" s="54"/>
      <c r="AD432" s="53"/>
      <c r="AE432" s="54"/>
      <c r="AF432" s="53"/>
      <c r="AG432" s="54"/>
      <c r="AH432" s="55">
        <v>4.1666666666666699E-2</v>
      </c>
      <c r="AI432" s="53"/>
      <c r="AJ432" s="54"/>
      <c r="AK432" s="53"/>
      <c r="AL432" s="54"/>
      <c r="AM432" s="53"/>
      <c r="AN432" s="54"/>
      <c r="AO432" s="53"/>
      <c r="AP432" s="54"/>
      <c r="AQ432" s="53"/>
      <c r="AR432" s="54"/>
      <c r="AS432" s="53">
        <v>4.1666666666666664E-2</v>
      </c>
      <c r="AT432" s="54" t="s">
        <v>147</v>
      </c>
      <c r="AU432" s="53">
        <v>4.1666666666666699E-2</v>
      </c>
      <c r="AV432" s="54" t="s">
        <v>37</v>
      </c>
      <c r="AW432" s="57">
        <f t="shared" si="64"/>
        <v>8.333333333333337E-2</v>
      </c>
      <c r="AX432" s="58" t="s">
        <v>117</v>
      </c>
    </row>
    <row r="433" spans="1:50" ht="21.75" customHeight="1">
      <c r="A433" s="38" t="s">
        <v>428</v>
      </c>
      <c r="B433" s="39">
        <f t="shared" si="63"/>
        <v>429</v>
      </c>
      <c r="C433" s="40">
        <v>46035</v>
      </c>
      <c r="D433" s="40" t="s">
        <v>32</v>
      </c>
      <c r="E433" s="40" t="s">
        <v>81</v>
      </c>
      <c r="F433" s="41">
        <v>85</v>
      </c>
      <c r="G433" s="42" t="s">
        <v>85</v>
      </c>
      <c r="H433" s="43" t="str">
        <f>IFERROR(VLOOKUP($J433,'[9]FROM (3)'!$E$4:$F$230,2,FALSE),"")</f>
        <v>DNTH</v>
      </c>
      <c r="I433" s="44" t="str">
        <f t="shared" si="60"/>
        <v>Barrel</v>
      </c>
      <c r="J433" s="44" t="str">
        <f t="shared" si="61"/>
        <v>TG028986-0050</v>
      </c>
      <c r="K433" s="59" t="str">
        <f t="shared" si="57"/>
        <v>PD26010421</v>
      </c>
      <c r="L433" s="46" t="str" cm="1">
        <f t="array" ref="L433">IFERROR(_xlfn.IFS(
    LEN($A433)-LEN(SUBSTITUTE($A433,"|",""))=12, RIGHT(A433, LEN(A433)-FIND("~", SUBSTITUTE(A433,"|","~", LEN(A433)-LEN(SUBSTITUTE(A433,"|",""))))),
    LEN($A433)-LEN(SUBSTITUTE($A433,"|",""))=13, MID($A433, FIND("~", SUBSTITUTE($A433,"|","~", 11))+1, FIND("~", SUBSTITUTE($A433,"|","~", 12))-FIND("~", SUBSTITUTE($A433,"|","~", 11))-1),
    LEN($A433)-LEN(SUBSTITUTE($A433,"|",""))=14, MID($A433, FIND("~", SUBSTITUTE($A433,"|","~", 11))+1, FIND("~", SUBSTITUTE($A433,"|","~", 12))-FIND("~", SUBSTITUTE($A433,"|","~", 11))-1)
), "")</f>
        <v>E484264</v>
      </c>
      <c r="M433" s="47" t="str">
        <f t="shared" si="55"/>
        <v>SB010035/2/26</v>
      </c>
      <c r="N433" s="46" t="str">
        <f t="shared" si="58"/>
        <v/>
      </c>
      <c r="O433" s="60">
        <v>76</v>
      </c>
      <c r="P433" s="60">
        <v>1034</v>
      </c>
      <c r="Q433" s="48">
        <v>2857</v>
      </c>
      <c r="R433" s="48">
        <v>243</v>
      </c>
      <c r="S433" s="48"/>
      <c r="T433" s="48"/>
      <c r="U433" s="49"/>
      <c r="V433" s="49"/>
      <c r="W433" s="50">
        <f t="shared" si="56"/>
        <v>0</v>
      </c>
      <c r="X433" s="51" t="str">
        <f>IF(A433="", "", IF(COUNTIFS(C$3:C432, C433, D$3:D432, D433, G$3:G432, G433) &gt; 0, "", "11:00"-AW433))</f>
        <v/>
      </c>
      <c r="Y433" s="52" t="str">
        <f t="shared" si="62"/>
        <v/>
      </c>
      <c r="Z433" s="53"/>
      <c r="AA433" s="54"/>
      <c r="AB433" s="53"/>
      <c r="AC433" s="54"/>
      <c r="AD433" s="53"/>
      <c r="AE433" s="54"/>
      <c r="AF433" s="53"/>
      <c r="AG433" s="54"/>
      <c r="AH433" s="55">
        <v>4.1666666666666699E-2</v>
      </c>
      <c r="AI433" s="53"/>
      <c r="AJ433" s="54"/>
      <c r="AK433" s="53"/>
      <c r="AL433" s="54"/>
      <c r="AM433" s="53"/>
      <c r="AN433" s="54"/>
      <c r="AO433" s="53"/>
      <c r="AP433" s="54"/>
      <c r="AQ433" s="53"/>
      <c r="AR433" s="54"/>
      <c r="AS433" s="53">
        <v>4.1666666666666664E-2</v>
      </c>
      <c r="AT433" s="54" t="s">
        <v>147</v>
      </c>
      <c r="AU433" s="53">
        <v>4.1666666666666699E-2</v>
      </c>
      <c r="AV433" s="54" t="s">
        <v>37</v>
      </c>
      <c r="AW433" s="57">
        <f t="shared" si="64"/>
        <v>8.333333333333337E-2</v>
      </c>
      <c r="AX433" s="58" t="s">
        <v>117</v>
      </c>
    </row>
    <row r="434" spans="1:50" ht="21.75" customHeight="1">
      <c r="A434" s="38" t="s">
        <v>402</v>
      </c>
      <c r="B434" s="39">
        <f t="shared" si="63"/>
        <v>430</v>
      </c>
      <c r="C434" s="40">
        <v>46035</v>
      </c>
      <c r="D434" s="40" t="s">
        <v>32</v>
      </c>
      <c r="E434" s="40" t="s">
        <v>81</v>
      </c>
      <c r="F434" s="41">
        <v>598.79999999999995</v>
      </c>
      <c r="G434" s="42" t="s">
        <v>75</v>
      </c>
      <c r="H434" s="43" t="str">
        <f>IFERROR(VLOOKUP($J434,'[9]FROM (3)'!$E$4:$F$230,2,FALSE),"")</f>
        <v>JTCS</v>
      </c>
      <c r="I434" s="44" t="str">
        <f t="shared" si="60"/>
        <v>RACK, MS</v>
      </c>
      <c r="J434" s="44" t="str">
        <f t="shared" si="61"/>
        <v>JGC10-001180-S</v>
      </c>
      <c r="K434" s="59" t="str">
        <f t="shared" si="57"/>
        <v>PD26010415</v>
      </c>
      <c r="L434" s="46" t="str" cm="1">
        <f t="array" ref="L434">IFERROR(_xlfn.IFS(
    LEN($A434)-LEN(SUBSTITUTE($A434,"|",""))=12, RIGHT(A434, LEN(A434)-FIND("~", SUBSTITUTE(A434,"|","~", LEN(A434)-LEN(SUBSTITUTE(A434,"|",""))))),
    LEN($A434)-LEN(SUBSTITUTE($A434,"|",""))=13, MID($A434, FIND("~", SUBSTITUTE($A434,"|","~", 11))+1, FIND("~", SUBSTITUTE($A434,"|","~", 12))-FIND("~", SUBSTITUTE($A434,"|","~", 11))-1),
    LEN($A434)-LEN(SUBSTITUTE($A434,"|",""))=14, MID($A434, FIND("~", SUBSTITUTE($A434,"|","~", 11))+1, FIND("~", SUBSTITUTE($A434,"|","~", 12))-FIND("~", SUBSTITUTE($A434,"|","~", 11))-1)
), "")</f>
        <v>E585970</v>
      </c>
      <c r="M434" s="47" t="str">
        <f t="shared" si="55"/>
        <v>SB010036/4/26</v>
      </c>
      <c r="N434" s="46" t="str">
        <f t="shared" si="58"/>
        <v/>
      </c>
      <c r="O434" s="60">
        <v>0</v>
      </c>
      <c r="P434" s="60">
        <v>0</v>
      </c>
      <c r="Q434" s="48">
        <v>196</v>
      </c>
      <c r="R434" s="48">
        <v>416</v>
      </c>
      <c r="S434" s="48"/>
      <c r="T434" s="48"/>
      <c r="U434" s="49"/>
      <c r="V434" s="49"/>
      <c r="W434" s="50">
        <f t="shared" si="56"/>
        <v>0</v>
      </c>
      <c r="X434" s="51">
        <f>IF(A434="", "", IF(COUNTIFS(C$3:C433, C434, D$3:D433, D434, G$3:G433, G434) &gt; 0, "", "11:00"-AW434))</f>
        <v>0.37499999999999994</v>
      </c>
      <c r="Y434" s="52" t="str">
        <f t="shared" si="62"/>
        <v>1:40</v>
      </c>
      <c r="Z434" s="53"/>
      <c r="AA434" s="54"/>
      <c r="AB434" s="53"/>
      <c r="AC434" s="54"/>
      <c r="AD434" s="53"/>
      <c r="AE434" s="54"/>
      <c r="AF434" s="53"/>
      <c r="AG434" s="54"/>
      <c r="AH434" s="55">
        <v>4.1666666666666699E-2</v>
      </c>
      <c r="AI434" s="53"/>
      <c r="AJ434" s="54"/>
      <c r="AK434" s="53"/>
      <c r="AL434" s="54"/>
      <c r="AM434" s="53"/>
      <c r="AN434" s="54"/>
      <c r="AO434" s="53"/>
      <c r="AP434" s="54"/>
      <c r="AQ434" s="53"/>
      <c r="AR434" s="54"/>
      <c r="AS434" s="53">
        <v>4.1666666666666664E-2</v>
      </c>
      <c r="AT434" s="54" t="s">
        <v>147</v>
      </c>
      <c r="AU434" s="53">
        <v>4.1666666666666699E-2</v>
      </c>
      <c r="AV434" s="54" t="s">
        <v>37</v>
      </c>
      <c r="AW434" s="57">
        <f t="shared" si="64"/>
        <v>8.333333333333337E-2</v>
      </c>
      <c r="AX434" s="58" t="s">
        <v>77</v>
      </c>
    </row>
    <row r="435" spans="1:50" ht="21.75" customHeight="1">
      <c r="A435" s="38" t="s">
        <v>429</v>
      </c>
      <c r="B435" s="39">
        <f t="shared" si="63"/>
        <v>431</v>
      </c>
      <c r="C435" s="40">
        <v>46035</v>
      </c>
      <c r="D435" s="40" t="s">
        <v>32</v>
      </c>
      <c r="E435" s="40" t="s">
        <v>81</v>
      </c>
      <c r="F435" s="41">
        <v>598.79999999999995</v>
      </c>
      <c r="G435" s="42" t="s">
        <v>75</v>
      </c>
      <c r="H435" s="43" t="str">
        <f>IFERROR(VLOOKUP($J435,'[9]FROM (3)'!$E$4:$F$230,2,FALSE),"")</f>
        <v>JTCS</v>
      </c>
      <c r="I435" s="44" t="str">
        <f t="shared" si="60"/>
        <v>RACK, MS</v>
      </c>
      <c r="J435" s="44" t="str">
        <f t="shared" si="61"/>
        <v>JGC10-001180-S</v>
      </c>
      <c r="K435" s="59" t="str">
        <f t="shared" si="57"/>
        <v>PD26010415</v>
      </c>
      <c r="L435" s="46" t="str" cm="1">
        <f t="array" ref="L435">IFERROR(_xlfn.IFS(
    LEN($A435)-LEN(SUBSTITUTE($A435,"|",""))=12, RIGHT(A435, LEN(A435)-FIND("~", SUBSTITUTE(A435,"|","~", LEN(A435)-LEN(SUBSTITUTE(A435,"|",""))))),
    LEN($A435)-LEN(SUBSTITUTE($A435,"|",""))=13, MID($A435, FIND("~", SUBSTITUTE($A435,"|","~", 11))+1, FIND("~", SUBSTITUTE($A435,"|","~", 12))-FIND("~", SUBSTITUTE($A435,"|","~", 11))-1),
    LEN($A435)-LEN(SUBSTITUTE($A435,"|",""))=14, MID($A435, FIND("~", SUBSTITUTE($A435,"|","~", 11))+1, FIND("~", SUBSTITUTE($A435,"|","~", 12))-FIND("~", SUBSTITUTE($A435,"|","~", 11))-1)
), "")</f>
        <v>E585970</v>
      </c>
      <c r="M435" s="47" t="str">
        <f t="shared" si="55"/>
        <v>SB010036/6/26</v>
      </c>
      <c r="N435" s="46" t="str">
        <f t="shared" si="58"/>
        <v/>
      </c>
      <c r="O435" s="60">
        <v>80</v>
      </c>
      <c r="P435" s="60">
        <v>902</v>
      </c>
      <c r="Q435" s="48">
        <v>400</v>
      </c>
      <c r="R435" s="48">
        <v>850</v>
      </c>
      <c r="S435" s="48"/>
      <c r="T435" s="48"/>
      <c r="U435" s="49"/>
      <c r="V435" s="49"/>
      <c r="W435" s="50">
        <f t="shared" si="56"/>
        <v>0</v>
      </c>
      <c r="X435" s="51" t="str">
        <f>IF(A435="", "", IF(COUNTIFS(C$3:C434, C435, D$3:D434, D435, G$3:G434, G435) &gt; 0, "", "11:00"-AW435))</f>
        <v/>
      </c>
      <c r="Y435" s="52" t="str">
        <f t="shared" si="62"/>
        <v/>
      </c>
      <c r="Z435" s="53"/>
      <c r="AA435" s="54"/>
      <c r="AB435" s="53"/>
      <c r="AC435" s="54"/>
      <c r="AD435" s="53"/>
      <c r="AE435" s="54"/>
      <c r="AF435" s="53"/>
      <c r="AG435" s="54"/>
      <c r="AH435" s="55">
        <v>4.1666666666666699E-2</v>
      </c>
      <c r="AI435" s="53"/>
      <c r="AJ435" s="54"/>
      <c r="AK435" s="53"/>
      <c r="AL435" s="54"/>
      <c r="AM435" s="53"/>
      <c r="AN435" s="54"/>
      <c r="AO435" s="53"/>
      <c r="AP435" s="54"/>
      <c r="AQ435" s="53"/>
      <c r="AR435" s="54"/>
      <c r="AS435" s="53">
        <v>4.1666666666666664E-2</v>
      </c>
      <c r="AT435" s="54" t="s">
        <v>147</v>
      </c>
      <c r="AU435" s="53">
        <v>4.1666666666666699E-2</v>
      </c>
      <c r="AV435" s="54" t="s">
        <v>37</v>
      </c>
      <c r="AW435" s="57">
        <f t="shared" si="64"/>
        <v>8.333333333333337E-2</v>
      </c>
      <c r="AX435" s="58" t="s">
        <v>77</v>
      </c>
    </row>
    <row r="436" spans="1:50" ht="21.75" customHeight="1">
      <c r="A436" s="38" t="s">
        <v>430</v>
      </c>
      <c r="B436" s="39">
        <f t="shared" si="63"/>
        <v>432</v>
      </c>
      <c r="C436" s="40">
        <v>46035</v>
      </c>
      <c r="D436" s="40" t="s">
        <v>32</v>
      </c>
      <c r="E436" s="40" t="s">
        <v>81</v>
      </c>
      <c r="F436" s="41">
        <v>598.79999999999995</v>
      </c>
      <c r="G436" s="42" t="s">
        <v>75</v>
      </c>
      <c r="H436" s="43" t="str">
        <f>IFERROR(VLOOKUP($J436,'[9]FROM (3)'!$E$4:$F$230,2,FALSE),"")</f>
        <v>JTCS</v>
      </c>
      <c r="I436" s="44" t="str">
        <f t="shared" si="60"/>
        <v>RACK, MS</v>
      </c>
      <c r="J436" s="44" t="str">
        <f t="shared" si="61"/>
        <v>JGC10-001180-S</v>
      </c>
      <c r="K436" s="59" t="str">
        <f t="shared" si="57"/>
        <v>PD26010415</v>
      </c>
      <c r="L436" s="46" t="str" cm="1">
        <f t="array" ref="L436">IFERROR(_xlfn.IFS(
    LEN($A436)-LEN(SUBSTITUTE($A436,"|",""))=12, RIGHT(A436, LEN(A436)-FIND("~", SUBSTITUTE(A436,"|","~", LEN(A436)-LEN(SUBSTITUTE(A436,"|",""))))),
    LEN($A436)-LEN(SUBSTITUTE($A436,"|",""))=13, MID($A436, FIND("~", SUBSTITUTE($A436,"|","~", 11))+1, FIND("~", SUBSTITUTE($A436,"|","~", 12))-FIND("~", SUBSTITUTE($A436,"|","~", 11))-1),
    LEN($A436)-LEN(SUBSTITUTE($A436,"|",""))=14, MID($A436, FIND("~", SUBSTITUTE($A436,"|","~", 11))+1, FIND("~", SUBSTITUTE($A436,"|","~", 12))-FIND("~", SUBSTITUTE($A436,"|","~", 11))-1)
), "")</f>
        <v>E585970</v>
      </c>
      <c r="M436" s="47" t="str">
        <f t="shared" si="55"/>
        <v>SB010036/5/26</v>
      </c>
      <c r="N436" s="46" t="str">
        <f t="shared" si="58"/>
        <v/>
      </c>
      <c r="O436" s="60">
        <v>80</v>
      </c>
      <c r="P436" s="60">
        <v>902</v>
      </c>
      <c r="Q436" s="48">
        <v>397</v>
      </c>
      <c r="R436" s="48">
        <v>844</v>
      </c>
      <c r="S436" s="48">
        <v>3</v>
      </c>
      <c r="T436" s="48" t="s">
        <v>167</v>
      </c>
      <c r="U436" s="49">
        <v>141</v>
      </c>
      <c r="V436" s="49">
        <v>10</v>
      </c>
      <c r="W436" s="50">
        <f t="shared" si="56"/>
        <v>151</v>
      </c>
      <c r="X436" s="51" t="str">
        <f>IF(A436="", "", IF(COUNTIFS(C$3:C435, C436, D$3:D435, D436, G$3:G435, G436) &gt; 0, "", "11:00"-AW436))</f>
        <v/>
      </c>
      <c r="Y436" s="52" t="str">
        <f t="shared" si="62"/>
        <v/>
      </c>
      <c r="Z436" s="53"/>
      <c r="AA436" s="54"/>
      <c r="AB436" s="53"/>
      <c r="AC436" s="54"/>
      <c r="AD436" s="53"/>
      <c r="AE436" s="54"/>
      <c r="AF436" s="53"/>
      <c r="AG436" s="54"/>
      <c r="AH436" s="55">
        <v>4.1666666666666699E-2</v>
      </c>
      <c r="AI436" s="53"/>
      <c r="AJ436" s="54"/>
      <c r="AK436" s="53"/>
      <c r="AL436" s="54"/>
      <c r="AM436" s="53"/>
      <c r="AN436" s="54"/>
      <c r="AO436" s="53"/>
      <c r="AP436" s="54"/>
      <c r="AQ436" s="53"/>
      <c r="AR436" s="54"/>
      <c r="AS436" s="53">
        <v>4.1666666666666664E-2</v>
      </c>
      <c r="AT436" s="54" t="s">
        <v>147</v>
      </c>
      <c r="AU436" s="53">
        <v>4.1666666666666699E-2</v>
      </c>
      <c r="AV436" s="54" t="s">
        <v>37</v>
      </c>
      <c r="AW436" s="57">
        <f t="shared" si="64"/>
        <v>8.333333333333337E-2</v>
      </c>
      <c r="AX436" s="58" t="s">
        <v>77</v>
      </c>
    </row>
    <row r="437" spans="1:50" ht="21.75" customHeight="1">
      <c r="A437" s="38" t="s">
        <v>431</v>
      </c>
      <c r="B437" s="39">
        <f t="shared" si="63"/>
        <v>433</v>
      </c>
      <c r="C437" s="40">
        <v>46035</v>
      </c>
      <c r="D437" s="40" t="s">
        <v>32</v>
      </c>
      <c r="E437" s="40" t="s">
        <v>81</v>
      </c>
      <c r="F437" s="41">
        <v>167.8</v>
      </c>
      <c r="G437" s="42" t="s">
        <v>108</v>
      </c>
      <c r="H437" s="43" t="str">
        <f>IFERROR(VLOOKUP($J437,'[9]FROM (3)'!$E$4:$F$230,2,FALSE),"")</f>
        <v>SIAM NSK</v>
      </c>
      <c r="I437" s="44" t="str">
        <f t="shared" si="60"/>
        <v>SHAFT SPLINE</v>
      </c>
      <c r="J437" s="44" t="str">
        <f t="shared" si="61"/>
        <v>2550S0593P</v>
      </c>
      <c r="K437" s="59" t="str">
        <f t="shared" si="57"/>
        <v>PD26010396</v>
      </c>
      <c r="L437" s="46" t="str" cm="1">
        <f t="array" ref="L437">IFERROR(_xlfn.IFS(
    LEN($A437)-LEN(SUBSTITUTE($A437,"|",""))=12, RIGHT(A437, LEN(A437)-FIND("~", SUBSTITUTE(A437,"|","~", LEN(A437)-LEN(SUBSTITUTE(A437,"|",""))))),
    LEN($A437)-LEN(SUBSTITUTE($A437,"|",""))=13, MID($A437, FIND("~", SUBSTITUTE($A437,"|","~", 11))+1, FIND("~", SUBSTITUTE($A437,"|","~", 12))-FIND("~", SUBSTITUTE($A437,"|","~", 11))-1),
    LEN($A437)-LEN(SUBSTITUTE($A437,"|",""))=14, MID($A437, FIND("~", SUBSTITUTE($A437,"|","~", 11))+1, FIND("~", SUBSTITUTE($A437,"|","~", 12))-FIND("~", SUBSTITUTE($A437,"|","~", 11))-1)
), "")</f>
        <v>E484056</v>
      </c>
      <c r="M437" s="47" t="str">
        <f t="shared" si="55"/>
        <v>SB010026/2/26</v>
      </c>
      <c r="N437" s="46" t="str">
        <f t="shared" si="58"/>
        <v/>
      </c>
      <c r="O437" s="60">
        <v>86</v>
      </c>
      <c r="P437" s="60">
        <v>980</v>
      </c>
      <c r="Q437" s="48">
        <v>2783</v>
      </c>
      <c r="R437" s="48">
        <v>933</v>
      </c>
      <c r="S437" s="48"/>
      <c r="T437" s="48"/>
      <c r="U437" s="49"/>
      <c r="V437" s="49"/>
      <c r="W437" s="50">
        <f t="shared" si="56"/>
        <v>0</v>
      </c>
      <c r="X437" s="51">
        <f>IF(A437="", "", IF(COUNTIFS(C$3:C436, C437, D$3:D436, D437, G$3:G436, G437) &gt; 0, "", "11:00"-AW437))</f>
        <v>0.35416666666666663</v>
      </c>
      <c r="Y437" s="52" t="str">
        <f t="shared" si="62"/>
        <v>1:40</v>
      </c>
      <c r="Z437" s="53">
        <v>2.0833333333333332E-2</v>
      </c>
      <c r="AA437" s="54" t="s">
        <v>67</v>
      </c>
      <c r="AB437" s="53"/>
      <c r="AC437" s="54"/>
      <c r="AD437" s="53"/>
      <c r="AE437" s="54"/>
      <c r="AF437" s="53"/>
      <c r="AG437" s="54"/>
      <c r="AH437" s="55">
        <v>4.1666666666666699E-2</v>
      </c>
      <c r="AI437" s="53"/>
      <c r="AJ437" s="54"/>
      <c r="AK437" s="53"/>
      <c r="AL437" s="54"/>
      <c r="AM437" s="53"/>
      <c r="AN437" s="54"/>
      <c r="AO437" s="53"/>
      <c r="AP437" s="54"/>
      <c r="AQ437" s="53"/>
      <c r="AR437" s="54"/>
      <c r="AS437" s="53">
        <v>4.1666666666666664E-2</v>
      </c>
      <c r="AT437" s="54" t="s">
        <v>147</v>
      </c>
      <c r="AU437" s="53">
        <v>4.1666666666666699E-2</v>
      </c>
      <c r="AV437" s="54" t="s">
        <v>37</v>
      </c>
      <c r="AW437" s="57">
        <f t="shared" si="64"/>
        <v>0.1041666666666667</v>
      </c>
      <c r="AX437" s="58" t="s">
        <v>380</v>
      </c>
    </row>
    <row r="438" spans="1:50" ht="21.75" customHeight="1">
      <c r="A438" s="38" t="s">
        <v>432</v>
      </c>
      <c r="B438" s="39">
        <f t="shared" si="63"/>
        <v>434</v>
      </c>
      <c r="C438" s="40">
        <v>46035</v>
      </c>
      <c r="D438" s="40" t="s">
        <v>32</v>
      </c>
      <c r="E438" s="40" t="s">
        <v>81</v>
      </c>
      <c r="F438" s="41">
        <v>167.8</v>
      </c>
      <c r="G438" s="42" t="s">
        <v>108</v>
      </c>
      <c r="H438" s="43" t="str">
        <f>IFERROR(VLOOKUP($J438,'[9]FROM (3)'!$E$4:$F$230,2,FALSE),"")</f>
        <v>SIAM NSK</v>
      </c>
      <c r="I438" s="44" t="str">
        <f t="shared" si="60"/>
        <v>SHAFT SPLINE</v>
      </c>
      <c r="J438" s="44" t="str">
        <f t="shared" si="61"/>
        <v>2550S0593P</v>
      </c>
      <c r="K438" s="59" t="str">
        <f t="shared" si="57"/>
        <v>PD26010396</v>
      </c>
      <c r="L438" s="46" t="str" cm="1">
        <f t="array" ref="L438">IFERROR(_xlfn.IFS(
    LEN($A438)-LEN(SUBSTITUTE($A438,"|",""))=12, RIGHT(A438, LEN(A438)-FIND("~", SUBSTITUTE(A438,"|","~", LEN(A438)-LEN(SUBSTITUTE(A438,"|",""))))),
    LEN($A438)-LEN(SUBSTITUTE($A438,"|",""))=13, MID($A438, FIND("~", SUBSTITUTE($A438,"|","~", 11))+1, FIND("~", SUBSTITUTE($A438,"|","~", 12))-FIND("~", SUBSTITUTE($A438,"|","~", 11))-1),
    LEN($A438)-LEN(SUBSTITUTE($A438,"|",""))=14, MID($A438, FIND("~", SUBSTITUTE($A438,"|","~", 11))+1, FIND("~", SUBSTITUTE($A438,"|","~", 12))-FIND("~", SUBSTITUTE($A438,"|","~", 11))-1)
), "")</f>
        <v>E484056</v>
      </c>
      <c r="M438" s="47" t="str">
        <f t="shared" si="55"/>
        <v>SB010026/1/26</v>
      </c>
      <c r="N438" s="46" t="str">
        <f t="shared" si="58"/>
        <v/>
      </c>
      <c r="O438" s="60">
        <v>88</v>
      </c>
      <c r="P438" s="60">
        <v>993</v>
      </c>
      <c r="Q438" s="48">
        <v>543</v>
      </c>
      <c r="R438" s="48">
        <v>182</v>
      </c>
      <c r="S438" s="48"/>
      <c r="T438" s="48"/>
      <c r="U438" s="49"/>
      <c r="V438" s="49"/>
      <c r="W438" s="50">
        <f t="shared" si="56"/>
        <v>0</v>
      </c>
      <c r="X438" s="51" t="str">
        <f>IF(A438="", "", IF(COUNTIFS(C$3:C437, C438, D$3:D437, D438, G$3:G437, G438) &gt; 0, "", "11:00"-AW438))</f>
        <v/>
      </c>
      <c r="Y438" s="52" t="str">
        <f t="shared" si="62"/>
        <v/>
      </c>
      <c r="Z438" s="53"/>
      <c r="AA438" s="54"/>
      <c r="AB438" s="53"/>
      <c r="AC438" s="54"/>
      <c r="AD438" s="53"/>
      <c r="AE438" s="54"/>
      <c r="AF438" s="53"/>
      <c r="AG438" s="54"/>
      <c r="AH438" s="55">
        <v>4.1666666666666699E-2</v>
      </c>
      <c r="AI438" s="53"/>
      <c r="AJ438" s="54"/>
      <c r="AK438" s="53"/>
      <c r="AL438" s="54"/>
      <c r="AM438" s="53"/>
      <c r="AN438" s="54"/>
      <c r="AO438" s="53"/>
      <c r="AP438" s="54"/>
      <c r="AQ438" s="53"/>
      <c r="AR438" s="54"/>
      <c r="AS438" s="53">
        <v>4.1666666666666664E-2</v>
      </c>
      <c r="AT438" s="54" t="s">
        <v>147</v>
      </c>
      <c r="AU438" s="53">
        <v>4.1666666666666699E-2</v>
      </c>
      <c r="AV438" s="54" t="s">
        <v>37</v>
      </c>
      <c r="AW438" s="57">
        <f t="shared" si="64"/>
        <v>8.333333333333337E-2</v>
      </c>
      <c r="AX438" s="58" t="s">
        <v>380</v>
      </c>
    </row>
    <row r="439" spans="1:50" ht="21.75" customHeight="1">
      <c r="A439" s="38" t="s">
        <v>433</v>
      </c>
      <c r="B439" s="39">
        <f t="shared" si="63"/>
        <v>435</v>
      </c>
      <c r="C439" s="40">
        <v>46035</v>
      </c>
      <c r="D439" s="40" t="s">
        <v>32</v>
      </c>
      <c r="E439" s="40" t="s">
        <v>81</v>
      </c>
      <c r="F439" s="41">
        <v>167.7</v>
      </c>
      <c r="G439" s="42" t="s">
        <v>62</v>
      </c>
      <c r="H439" s="43" t="str">
        <f>IFERROR(VLOOKUP($J439,'[9]FROM (3)'!$E$4:$F$230,2,FALSE),"")</f>
        <v>DNTH</v>
      </c>
      <c r="I439" s="44" t="str">
        <f t="shared" si="60"/>
        <v>SHAFT STARTER ARMATURE, 1W</v>
      </c>
      <c r="J439" s="44" t="str">
        <f t="shared" si="61"/>
        <v>TG028993-557B</v>
      </c>
      <c r="K439" s="59" t="str">
        <f t="shared" si="57"/>
        <v>PD26010511</v>
      </c>
      <c r="L439" s="46" t="str" cm="1">
        <f t="array" ref="L439">IFERROR(_xlfn.IFS(
    LEN($A439)-LEN(SUBSTITUTE($A439,"|",""))=12, RIGHT(A439, LEN(A439)-FIND("~", SUBSTITUTE(A439,"|","~", LEN(A439)-LEN(SUBSTITUTE(A439,"|",""))))),
    LEN($A439)-LEN(SUBSTITUTE($A439,"|",""))=13, MID($A439, FIND("~", SUBSTITUTE($A439,"|","~", 11))+1, FIND("~", SUBSTITUTE($A439,"|","~", 12))-FIND("~", SUBSTITUTE($A439,"|","~", 11))-1),
    LEN($A439)-LEN(SUBSTITUTE($A439,"|",""))=14, MID($A439, FIND("~", SUBSTITUTE($A439,"|","~", 11))+1, FIND("~", SUBSTITUTE($A439,"|","~", 12))-FIND("~", SUBSTITUTE($A439,"|","~", 11))-1)
), "")</f>
        <v>E586473</v>
      </c>
      <c r="M439" s="47" t="str">
        <f t="shared" si="55"/>
        <v>SB120140/6/25</v>
      </c>
      <c r="N439" s="46" t="str">
        <f t="shared" si="58"/>
        <v/>
      </c>
      <c r="O439" s="60">
        <v>35</v>
      </c>
      <c r="P439" s="60">
        <v>205</v>
      </c>
      <c r="Q439" s="48">
        <v>720</v>
      </c>
      <c r="R439" s="48">
        <v>172</v>
      </c>
      <c r="S439" s="48"/>
      <c r="T439" s="48"/>
      <c r="U439" s="49"/>
      <c r="V439" s="49"/>
      <c r="W439" s="50">
        <f t="shared" si="56"/>
        <v>0</v>
      </c>
      <c r="X439" s="51">
        <f>IF(A439="", "", IF(COUNTIFS(C$3:C438, C439, D$3:D438, D439, G$3:G438, G439) &gt; 0, "", "11:00"-AW439))</f>
        <v>0.35416666666666663</v>
      </c>
      <c r="Y439" s="52" t="str">
        <f t="shared" si="62"/>
        <v>1:40</v>
      </c>
      <c r="Z439" s="53">
        <v>2.0833333333333332E-2</v>
      </c>
      <c r="AA439" s="54" t="s">
        <v>63</v>
      </c>
      <c r="AB439" s="53"/>
      <c r="AC439" s="54"/>
      <c r="AD439" s="53"/>
      <c r="AE439" s="54"/>
      <c r="AF439" s="53"/>
      <c r="AG439" s="54"/>
      <c r="AH439" s="55">
        <v>4.1666666666666699E-2</v>
      </c>
      <c r="AI439" s="53"/>
      <c r="AJ439" s="54"/>
      <c r="AK439" s="53"/>
      <c r="AL439" s="54"/>
      <c r="AM439" s="53"/>
      <c r="AN439" s="54"/>
      <c r="AO439" s="53"/>
      <c r="AP439" s="54"/>
      <c r="AQ439" s="53"/>
      <c r="AR439" s="54"/>
      <c r="AS439" s="53">
        <v>4.1666666666666664E-2</v>
      </c>
      <c r="AT439" s="54" t="s">
        <v>147</v>
      </c>
      <c r="AU439" s="53">
        <v>4.1666666666666699E-2</v>
      </c>
      <c r="AV439" s="54" t="s">
        <v>37</v>
      </c>
      <c r="AW439" s="57">
        <f t="shared" si="64"/>
        <v>0.1041666666666667</v>
      </c>
      <c r="AX439" s="58" t="s">
        <v>64</v>
      </c>
    </row>
    <row r="440" spans="1:50" ht="21.75" customHeight="1">
      <c r="A440" s="38" t="s">
        <v>434</v>
      </c>
      <c r="B440" s="39">
        <f t="shared" si="63"/>
        <v>436</v>
      </c>
      <c r="C440" s="40">
        <v>46035</v>
      </c>
      <c r="D440" s="40" t="s">
        <v>32</v>
      </c>
      <c r="E440" s="40" t="s">
        <v>81</v>
      </c>
      <c r="F440" s="41">
        <v>167.7</v>
      </c>
      <c r="G440" s="42" t="s">
        <v>62</v>
      </c>
      <c r="H440" s="43" t="str">
        <f>IFERROR(VLOOKUP($J440,'[9]FROM (3)'!$E$4:$F$230,2,FALSE),"")</f>
        <v>DNTH</v>
      </c>
      <c r="I440" s="44" t="str">
        <f t="shared" si="60"/>
        <v>SHAFT STARTER ARMATURE, 1W</v>
      </c>
      <c r="J440" s="44" t="str">
        <f t="shared" si="61"/>
        <v>TG028993-557B</v>
      </c>
      <c r="K440" s="59" t="str">
        <f t="shared" si="57"/>
        <v>PD26010511</v>
      </c>
      <c r="L440" s="46" t="str" cm="1">
        <f t="array" ref="L440">IFERROR(_xlfn.IFS(
    LEN($A440)-LEN(SUBSTITUTE($A440,"|",""))=12, RIGHT(A440, LEN(A440)-FIND("~", SUBSTITUTE(A440,"|","~", LEN(A440)-LEN(SUBSTITUTE(A440,"|",""))))),
    LEN($A440)-LEN(SUBSTITUTE($A440,"|",""))=13, MID($A440, FIND("~", SUBSTITUTE($A440,"|","~", 11))+1, FIND("~", SUBSTITUTE($A440,"|","~", 12))-FIND("~", SUBSTITUTE($A440,"|","~", 11))-1),
    LEN($A440)-LEN(SUBSTITUTE($A440,"|",""))=14, MID($A440, FIND("~", SUBSTITUTE($A440,"|","~", 11))+1, FIND("~", SUBSTITUTE($A440,"|","~", 12))-FIND("~", SUBSTITUTE($A440,"|","~", 11))-1)
), "")</f>
        <v>E586473</v>
      </c>
      <c r="M440" s="47" t="str">
        <f t="shared" si="55"/>
        <v>SB120140/7/25</v>
      </c>
      <c r="N440" s="46" t="str">
        <f t="shared" si="58"/>
        <v/>
      </c>
      <c r="O440" s="60">
        <v>35</v>
      </c>
      <c r="P440" s="60">
        <v>205</v>
      </c>
      <c r="Q440" s="48">
        <v>293</v>
      </c>
      <c r="R440" s="48">
        <v>70</v>
      </c>
      <c r="S440" s="48"/>
      <c r="T440" s="48"/>
      <c r="U440" s="49"/>
      <c r="V440" s="49"/>
      <c r="W440" s="50">
        <f t="shared" si="56"/>
        <v>0</v>
      </c>
      <c r="X440" s="51" t="str">
        <f>IF(A440="", "", IF(COUNTIFS(C$3:C439, C440, D$3:D439, D440, G$3:G439, G440) &gt; 0, "", "11:00"-AW440))</f>
        <v/>
      </c>
      <c r="Y440" s="52" t="str">
        <f t="shared" si="62"/>
        <v/>
      </c>
      <c r="Z440" s="53"/>
      <c r="AA440" s="54"/>
      <c r="AB440" s="53"/>
      <c r="AC440" s="54"/>
      <c r="AD440" s="53"/>
      <c r="AE440" s="54"/>
      <c r="AF440" s="53"/>
      <c r="AG440" s="54"/>
      <c r="AH440" s="55">
        <v>4.1666666666666699E-2</v>
      </c>
      <c r="AI440" s="53"/>
      <c r="AJ440" s="54"/>
      <c r="AK440" s="53"/>
      <c r="AL440" s="54"/>
      <c r="AM440" s="53"/>
      <c r="AN440" s="54"/>
      <c r="AO440" s="53"/>
      <c r="AP440" s="54"/>
      <c r="AQ440" s="53"/>
      <c r="AR440" s="54"/>
      <c r="AS440" s="53"/>
      <c r="AT440" s="54"/>
      <c r="AU440" s="53">
        <v>4.1666666666666699E-2</v>
      </c>
      <c r="AV440" s="54" t="s">
        <v>37</v>
      </c>
      <c r="AW440" s="57">
        <f t="shared" si="64"/>
        <v>4.1666666666666699E-2</v>
      </c>
      <c r="AX440" s="58" t="s">
        <v>64</v>
      </c>
    </row>
    <row r="441" spans="1:50" ht="21.75" customHeight="1">
      <c r="A441" s="38" t="s">
        <v>415</v>
      </c>
      <c r="B441" s="39">
        <f t="shared" si="63"/>
        <v>437</v>
      </c>
      <c r="C441" s="40">
        <v>46035</v>
      </c>
      <c r="D441" s="40" t="s">
        <v>32</v>
      </c>
      <c r="E441" s="40" t="s">
        <v>81</v>
      </c>
      <c r="F441" s="41">
        <v>732.4</v>
      </c>
      <c r="G441" s="42" t="s">
        <v>46</v>
      </c>
      <c r="H441" s="43" t="str">
        <f>IFERROR(VLOOKUP($J441,'[9]FROM (3)'!$E$4:$F$230,2,FALSE),"")</f>
        <v>JATH</v>
      </c>
      <c r="I441" s="44" t="str">
        <f t="shared" si="60"/>
        <v>RACK BAR BLANK</v>
      </c>
      <c r="J441" s="44" t="str">
        <f t="shared" si="61"/>
        <v>JGF02-002060-31-3</v>
      </c>
      <c r="K441" s="59" t="str">
        <f t="shared" si="57"/>
        <v>PD25120570</v>
      </c>
      <c r="L441" s="46" t="str" cm="1">
        <f t="array" ref="L441">IFERROR(_xlfn.IFS(
    LEN($A441)-LEN(SUBSTITUTE($A441,"|",""))=12, RIGHT(A441, LEN(A441)-FIND("~", SUBSTITUTE(A441,"|","~", LEN(A441)-LEN(SUBSTITUTE(A441,"|",""))))),
    LEN($A441)-LEN(SUBSTITUTE($A441,"|",""))=13, MID($A441, FIND("~", SUBSTITUTE($A441,"|","~", 11))+1, FIND("~", SUBSTITUTE($A441,"|","~", 12))-FIND("~", SUBSTITUTE($A441,"|","~", 11))-1),
    LEN($A441)-LEN(SUBSTITUTE($A441,"|",""))=14, MID($A441, FIND("~", SUBSTITUTE($A441,"|","~", 11))+1, FIND("~", SUBSTITUTE($A441,"|","~", 12))-FIND("~", SUBSTITUTE($A441,"|","~", 11))-1)
), "")</f>
        <v>5B9507</v>
      </c>
      <c r="M441" s="47" t="str">
        <f t="shared" si="55"/>
        <v>SB120082/3/25</v>
      </c>
      <c r="N441" s="46" t="str">
        <f t="shared" si="58"/>
        <v/>
      </c>
      <c r="O441" s="60" t="s">
        <v>35</v>
      </c>
      <c r="P441" s="60" t="s">
        <v>35</v>
      </c>
      <c r="Q441" s="48">
        <v>134</v>
      </c>
      <c r="R441" s="48">
        <v>626</v>
      </c>
      <c r="S441" s="48"/>
      <c r="T441" s="48"/>
      <c r="U441" s="49">
        <v>151</v>
      </c>
      <c r="V441" s="49">
        <v>12</v>
      </c>
      <c r="W441" s="50">
        <f t="shared" si="56"/>
        <v>163</v>
      </c>
      <c r="X441" s="51">
        <f>IF(A441="", "", IF(COUNTIFS(C$3:C440, C441, D$3:D440, D441, G$3:G440, G441) &gt; 0, "", "11:00"-AW441))</f>
        <v>0.37499999999999994</v>
      </c>
      <c r="Y441" s="52" t="str">
        <f t="shared" si="62"/>
        <v>1:40</v>
      </c>
      <c r="Z441" s="53"/>
      <c r="AA441" s="54"/>
      <c r="AB441" s="53"/>
      <c r="AC441" s="54"/>
      <c r="AD441" s="53"/>
      <c r="AE441" s="54"/>
      <c r="AF441" s="53"/>
      <c r="AG441" s="54"/>
      <c r="AH441" s="55">
        <v>4.1666666666666699E-2</v>
      </c>
      <c r="AI441" s="53"/>
      <c r="AJ441" s="54"/>
      <c r="AK441" s="53"/>
      <c r="AL441" s="54"/>
      <c r="AM441" s="53"/>
      <c r="AN441" s="54"/>
      <c r="AO441" s="53"/>
      <c r="AP441" s="54"/>
      <c r="AQ441" s="53"/>
      <c r="AR441" s="54"/>
      <c r="AS441" s="53">
        <v>4.1666666666666664E-2</v>
      </c>
      <c r="AT441" s="54" t="s">
        <v>147</v>
      </c>
      <c r="AU441" s="53">
        <v>4.1666666666666699E-2</v>
      </c>
      <c r="AV441" s="54" t="s">
        <v>37</v>
      </c>
      <c r="AW441" s="57">
        <f t="shared" si="64"/>
        <v>8.333333333333337E-2</v>
      </c>
      <c r="AX441" s="58" t="s">
        <v>48</v>
      </c>
    </row>
    <row r="442" spans="1:50" ht="21.75" customHeight="1">
      <c r="A442" s="38" t="s">
        <v>435</v>
      </c>
      <c r="B442" s="39">
        <f t="shared" si="63"/>
        <v>438</v>
      </c>
      <c r="C442" s="40">
        <v>46035</v>
      </c>
      <c r="D442" s="40" t="s">
        <v>32</v>
      </c>
      <c r="E442" s="40" t="s">
        <v>81</v>
      </c>
      <c r="F442" s="41">
        <v>732.4</v>
      </c>
      <c r="G442" s="42" t="s">
        <v>46</v>
      </c>
      <c r="H442" s="43" t="str">
        <f>IFERROR(VLOOKUP($J442,'[9]FROM (3)'!$E$4:$F$230,2,FALSE),"")</f>
        <v>JATH</v>
      </c>
      <c r="I442" s="44" t="str">
        <f t="shared" si="60"/>
        <v>RACK BAR BLANK</v>
      </c>
      <c r="J442" s="44" t="str">
        <f t="shared" si="61"/>
        <v>JGF02-002060-31-3</v>
      </c>
      <c r="K442" s="59" t="str">
        <f t="shared" si="57"/>
        <v>PD25120570</v>
      </c>
      <c r="L442" s="46" t="str" cm="1">
        <f t="array" ref="L442">IFERROR(_xlfn.IFS(
    LEN($A442)-LEN(SUBSTITUTE($A442,"|",""))=12, RIGHT(A442, LEN(A442)-FIND("~", SUBSTITUTE(A442,"|","~", LEN(A442)-LEN(SUBSTITUTE(A442,"|",""))))),
    LEN($A442)-LEN(SUBSTITUTE($A442,"|",""))=13, MID($A442, FIND("~", SUBSTITUTE($A442,"|","~", 11))+1, FIND("~", SUBSTITUTE($A442,"|","~", 12))-FIND("~", SUBSTITUTE($A442,"|","~", 11))-1),
    LEN($A442)-LEN(SUBSTITUTE($A442,"|",""))=14, MID($A442, FIND("~", SUBSTITUTE($A442,"|","~", 11))+1, FIND("~", SUBSTITUTE($A442,"|","~", 12))-FIND("~", SUBSTITUTE($A442,"|","~", 11))-1)
), "")</f>
        <v>5B9507</v>
      </c>
      <c r="M442" s="47" t="str">
        <f t="shared" si="55"/>
        <v>SB120082/1/25</v>
      </c>
      <c r="N442" s="46" t="str">
        <f t="shared" si="58"/>
        <v/>
      </c>
      <c r="O442" s="60">
        <v>28</v>
      </c>
      <c r="P442" s="60">
        <v>967</v>
      </c>
      <c r="Q442" s="48">
        <v>196</v>
      </c>
      <c r="R442" s="48">
        <v>916</v>
      </c>
      <c r="S442" s="48"/>
      <c r="T442" s="48"/>
      <c r="U442" s="49"/>
      <c r="V442" s="49"/>
      <c r="W442" s="50">
        <f t="shared" si="56"/>
        <v>0</v>
      </c>
      <c r="X442" s="51" t="str">
        <f>IF(A442="", "", IF(COUNTIFS(C$3:C441, C442, D$3:D441, D442, G$3:G441, G442) &gt; 0, "", "11:00"-AW442))</f>
        <v/>
      </c>
      <c r="Y442" s="52" t="str">
        <f t="shared" si="62"/>
        <v/>
      </c>
      <c r="Z442" s="53"/>
      <c r="AA442" s="54"/>
      <c r="AB442" s="53"/>
      <c r="AC442" s="54"/>
      <c r="AD442" s="53"/>
      <c r="AE442" s="54"/>
      <c r="AF442" s="53"/>
      <c r="AG442" s="54"/>
      <c r="AH442" s="55">
        <v>4.1666666666666699E-2</v>
      </c>
      <c r="AI442" s="53"/>
      <c r="AJ442" s="54"/>
      <c r="AK442" s="53"/>
      <c r="AL442" s="54"/>
      <c r="AM442" s="53"/>
      <c r="AN442" s="54"/>
      <c r="AO442" s="53"/>
      <c r="AP442" s="54"/>
      <c r="AQ442" s="53"/>
      <c r="AR442" s="54"/>
      <c r="AS442" s="53">
        <v>4.1666666666666664E-2</v>
      </c>
      <c r="AT442" s="54" t="s">
        <v>147</v>
      </c>
      <c r="AU442" s="53">
        <v>4.1666666666666699E-2</v>
      </c>
      <c r="AV442" s="54" t="s">
        <v>37</v>
      </c>
      <c r="AW442" s="57">
        <f t="shared" si="64"/>
        <v>8.333333333333337E-2</v>
      </c>
      <c r="AX442" s="58" t="s">
        <v>48</v>
      </c>
    </row>
    <row r="443" spans="1:50" ht="21.75" customHeight="1">
      <c r="A443" s="38" t="s">
        <v>436</v>
      </c>
      <c r="B443" s="39">
        <f t="shared" si="63"/>
        <v>439</v>
      </c>
      <c r="C443" s="40">
        <v>46035</v>
      </c>
      <c r="D443" s="40" t="s">
        <v>32</v>
      </c>
      <c r="E443" s="40" t="s">
        <v>81</v>
      </c>
      <c r="F443" s="41">
        <v>732.4</v>
      </c>
      <c r="G443" s="42" t="s">
        <v>46</v>
      </c>
      <c r="H443" s="43" t="str">
        <f>IFERROR(VLOOKUP($J443,'[9]FROM (3)'!$E$4:$F$230,2,FALSE),"")</f>
        <v>JATH</v>
      </c>
      <c r="I443" s="44" t="str">
        <f t="shared" si="60"/>
        <v>RACK BAR BLANK</v>
      </c>
      <c r="J443" s="44" t="str">
        <f t="shared" si="61"/>
        <v>JGF02-002060-31-3</v>
      </c>
      <c r="K443" s="59" t="str">
        <f t="shared" si="57"/>
        <v>PD25120570</v>
      </c>
      <c r="L443" s="46" t="str" cm="1">
        <f t="array" ref="L443">IFERROR(_xlfn.IFS(
    LEN($A443)-LEN(SUBSTITUTE($A443,"|",""))=12, RIGHT(A443, LEN(A443)-FIND("~", SUBSTITUTE(A443,"|","~", LEN(A443)-LEN(SUBSTITUTE(A443,"|",""))))),
    LEN($A443)-LEN(SUBSTITUTE($A443,"|",""))=13, MID($A443, FIND("~", SUBSTITUTE($A443,"|","~", 11))+1, FIND("~", SUBSTITUTE($A443,"|","~", 12))-FIND("~", SUBSTITUTE($A443,"|","~", 11))-1),
    LEN($A443)-LEN(SUBSTITUTE($A443,"|",""))=14, MID($A443, FIND("~", SUBSTITUTE($A443,"|","~", 11))+1, FIND("~", SUBSTITUTE($A443,"|","~", 12))-FIND("~", SUBSTITUTE($A443,"|","~", 11))-1)
), "")</f>
        <v>5B9507</v>
      </c>
      <c r="M443" s="47" t="str">
        <f t="shared" si="55"/>
        <v>SB120082/2/25</v>
      </c>
      <c r="N443" s="46" t="str">
        <f t="shared" si="58"/>
        <v/>
      </c>
      <c r="O443" s="60">
        <v>28</v>
      </c>
      <c r="P443" s="60">
        <v>967</v>
      </c>
      <c r="Q443" s="48">
        <v>196</v>
      </c>
      <c r="R443" s="48">
        <v>916</v>
      </c>
      <c r="S443" s="48"/>
      <c r="T443" s="48"/>
      <c r="U443" s="49"/>
      <c r="V443" s="49"/>
      <c r="W443" s="50">
        <f t="shared" si="56"/>
        <v>0</v>
      </c>
      <c r="X443" s="51" t="str">
        <f>IF(A443="", "", IF(COUNTIFS(C$3:C442, C443, D$3:D442, D443, G$3:G442, G443) &gt; 0, "", "11:00"-AW443))</f>
        <v/>
      </c>
      <c r="Y443" s="52" t="str">
        <f t="shared" si="62"/>
        <v/>
      </c>
      <c r="Z443" s="53"/>
      <c r="AA443" s="54"/>
      <c r="AB443" s="53"/>
      <c r="AC443" s="54"/>
      <c r="AD443" s="53"/>
      <c r="AE443" s="54"/>
      <c r="AF443" s="53"/>
      <c r="AG443" s="54"/>
      <c r="AH443" s="55">
        <v>4.1666666666666699E-2</v>
      </c>
      <c r="AI443" s="53"/>
      <c r="AJ443" s="54"/>
      <c r="AK443" s="53"/>
      <c r="AL443" s="54"/>
      <c r="AM443" s="53"/>
      <c r="AN443" s="54"/>
      <c r="AO443" s="53"/>
      <c r="AP443" s="54"/>
      <c r="AQ443" s="53"/>
      <c r="AR443" s="54"/>
      <c r="AS443" s="53">
        <v>4.1666666666666664E-2</v>
      </c>
      <c r="AT443" s="54" t="s">
        <v>147</v>
      </c>
      <c r="AU443" s="53">
        <v>4.1666666666666699E-2</v>
      </c>
      <c r="AV443" s="54" t="s">
        <v>37</v>
      </c>
      <c r="AW443" s="57">
        <f t="shared" si="64"/>
        <v>8.333333333333337E-2</v>
      </c>
      <c r="AX443" s="58" t="s">
        <v>48</v>
      </c>
    </row>
    <row r="444" spans="1:50" ht="21.75" customHeight="1">
      <c r="A444" s="38" t="s">
        <v>437</v>
      </c>
      <c r="B444" s="39">
        <f t="shared" si="63"/>
        <v>440</v>
      </c>
      <c r="C444" s="40">
        <v>46035</v>
      </c>
      <c r="D444" s="40" t="s">
        <v>32</v>
      </c>
      <c r="E444" s="40" t="s">
        <v>81</v>
      </c>
      <c r="F444" s="41">
        <v>732.4</v>
      </c>
      <c r="G444" s="42" t="s">
        <v>46</v>
      </c>
      <c r="H444" s="43" t="str">
        <f>IFERROR(VLOOKUP($J444,'[9]FROM (3)'!$E$4:$F$230,2,FALSE),"")</f>
        <v>JATH</v>
      </c>
      <c r="I444" s="44" t="str">
        <f t="shared" si="60"/>
        <v>RACK BAR BLANK</v>
      </c>
      <c r="J444" s="44" t="str">
        <f t="shared" si="61"/>
        <v>JGF02-002060-31-3</v>
      </c>
      <c r="K444" s="59" t="str">
        <f t="shared" si="57"/>
        <v>PD25120622</v>
      </c>
      <c r="L444" s="46" t="str" cm="1">
        <f t="array" ref="L444">IFERROR(_xlfn.IFS(
    LEN($A444)-LEN(SUBSTITUTE($A444,"|",""))=12, RIGHT(A444, LEN(A444)-FIND("~", SUBSTITUTE(A444,"|","~", LEN(A444)-LEN(SUBSTITUTE(A444,"|",""))))),
    LEN($A444)-LEN(SUBSTITUTE($A444,"|",""))=13, MID($A444, FIND("~", SUBSTITUTE($A444,"|","~", 11))+1, FIND("~", SUBSTITUTE($A444,"|","~", 12))-FIND("~", SUBSTITUTE($A444,"|","~", 11))-1),
    LEN($A444)-LEN(SUBSTITUTE($A444,"|",""))=14, MID($A444, FIND("~", SUBSTITUTE($A444,"|","~", 11))+1, FIND("~", SUBSTITUTE($A444,"|","~", 12))-FIND("~", SUBSTITUTE($A444,"|","~", 11))-1)
), "")</f>
        <v>5B0230</v>
      </c>
      <c r="M444" s="47" t="str">
        <f t="shared" si="55"/>
        <v>SB120085/1/25</v>
      </c>
      <c r="N444" s="46" t="str">
        <f t="shared" si="58"/>
        <v/>
      </c>
      <c r="O444" s="60">
        <v>28</v>
      </c>
      <c r="P444" s="60">
        <v>967</v>
      </c>
      <c r="Q444" s="48">
        <v>196</v>
      </c>
      <c r="R444" s="48">
        <v>916</v>
      </c>
      <c r="S444" s="48"/>
      <c r="T444" s="48"/>
      <c r="U444" s="49"/>
      <c r="V444" s="49"/>
      <c r="W444" s="50">
        <f t="shared" si="56"/>
        <v>0</v>
      </c>
      <c r="X444" s="51" t="str">
        <f>IF(A444="", "", IF(COUNTIFS(C$3:C443, C444, D$3:D443, D444, G$3:G443, G444) &gt; 0, "", "11:00"-AW444))</f>
        <v/>
      </c>
      <c r="Y444" s="52" t="str">
        <f t="shared" si="62"/>
        <v/>
      </c>
      <c r="Z444" s="53"/>
      <c r="AA444" s="54"/>
      <c r="AB444" s="53"/>
      <c r="AC444" s="54"/>
      <c r="AD444" s="53"/>
      <c r="AE444" s="54"/>
      <c r="AF444" s="53"/>
      <c r="AG444" s="54"/>
      <c r="AH444" s="55">
        <v>4.1666666666666699E-2</v>
      </c>
      <c r="AI444" s="53"/>
      <c r="AJ444" s="54"/>
      <c r="AK444" s="53"/>
      <c r="AL444" s="54"/>
      <c r="AM444" s="53"/>
      <c r="AN444" s="54"/>
      <c r="AO444" s="53"/>
      <c r="AP444" s="54"/>
      <c r="AQ444" s="53"/>
      <c r="AR444" s="54"/>
      <c r="AS444" s="53">
        <v>4.1666666666666664E-2</v>
      </c>
      <c r="AT444" s="54" t="s">
        <v>147</v>
      </c>
      <c r="AU444" s="53">
        <v>4.1666666666666699E-2</v>
      </c>
      <c r="AV444" s="54" t="s">
        <v>37</v>
      </c>
      <c r="AW444" s="57">
        <f t="shared" si="64"/>
        <v>8.333333333333337E-2</v>
      </c>
      <c r="AX444" s="58" t="s">
        <v>48</v>
      </c>
    </row>
    <row r="445" spans="1:50" ht="21.75" customHeight="1">
      <c r="A445" s="38" t="s">
        <v>438</v>
      </c>
      <c r="B445" s="39">
        <f t="shared" si="63"/>
        <v>441</v>
      </c>
      <c r="C445" s="40">
        <v>46035</v>
      </c>
      <c r="D445" s="40" t="s">
        <v>32</v>
      </c>
      <c r="E445" s="40" t="s">
        <v>81</v>
      </c>
      <c r="F445" s="41">
        <v>732.4</v>
      </c>
      <c r="G445" s="42" t="s">
        <v>46</v>
      </c>
      <c r="H445" s="43" t="str">
        <f>IFERROR(VLOOKUP($J445,'[9]FROM (3)'!$E$4:$F$230,2,FALSE),"")</f>
        <v>JATH</v>
      </c>
      <c r="I445" s="44" t="str">
        <f t="shared" si="60"/>
        <v>RACK BAR BLANK</v>
      </c>
      <c r="J445" s="44" t="str">
        <f t="shared" si="61"/>
        <v>JGF02-002060-31-3</v>
      </c>
      <c r="K445" s="59" t="str">
        <f t="shared" si="57"/>
        <v>PD25120622</v>
      </c>
      <c r="L445" s="46" t="str" cm="1">
        <f t="array" ref="L445">IFERROR(_xlfn.IFS(
    LEN($A445)-LEN(SUBSTITUTE($A445,"|",""))=12, RIGHT(A445, LEN(A445)-FIND("~", SUBSTITUTE(A445,"|","~", LEN(A445)-LEN(SUBSTITUTE(A445,"|",""))))),
    LEN($A445)-LEN(SUBSTITUTE($A445,"|",""))=13, MID($A445, FIND("~", SUBSTITUTE($A445,"|","~", 11))+1, FIND("~", SUBSTITUTE($A445,"|","~", 12))-FIND("~", SUBSTITUTE($A445,"|","~", 11))-1),
    LEN($A445)-LEN(SUBSTITUTE($A445,"|",""))=14, MID($A445, FIND("~", SUBSTITUTE($A445,"|","~", 11))+1, FIND("~", SUBSTITUTE($A445,"|","~", 12))-FIND("~", SUBSTITUTE($A445,"|","~", 11))-1)
), "")</f>
        <v>5B0230</v>
      </c>
      <c r="M445" s="47" t="str">
        <f t="shared" si="55"/>
        <v>SB120085/2/25</v>
      </c>
      <c r="N445" s="46" t="str">
        <f t="shared" si="58"/>
        <v/>
      </c>
      <c r="O445" s="60">
        <v>28</v>
      </c>
      <c r="P445" s="60">
        <v>967</v>
      </c>
      <c r="Q445" s="48">
        <v>67</v>
      </c>
      <c r="R445" s="48">
        <v>313</v>
      </c>
      <c r="S445" s="48"/>
      <c r="T445" s="48"/>
      <c r="U445" s="49"/>
      <c r="V445" s="49"/>
      <c r="W445" s="50">
        <f t="shared" si="56"/>
        <v>0</v>
      </c>
      <c r="X445" s="51" t="str">
        <f>IF(A445="", "", IF(COUNTIFS(C$3:C444, C445, D$3:D444, D445, G$3:G444, G445) &gt; 0, "", "11:00"-AW445))</f>
        <v/>
      </c>
      <c r="Y445" s="52" t="str">
        <f t="shared" si="62"/>
        <v/>
      </c>
      <c r="Z445" s="53"/>
      <c r="AA445" s="54"/>
      <c r="AB445" s="53"/>
      <c r="AC445" s="54"/>
      <c r="AD445" s="53"/>
      <c r="AE445" s="54"/>
      <c r="AF445" s="53"/>
      <c r="AG445" s="54"/>
      <c r="AH445" s="55">
        <v>4.1666666666666699E-2</v>
      </c>
      <c r="AI445" s="53"/>
      <c r="AJ445" s="54"/>
      <c r="AK445" s="53"/>
      <c r="AL445" s="54"/>
      <c r="AM445" s="53"/>
      <c r="AN445" s="54"/>
      <c r="AO445" s="53"/>
      <c r="AP445" s="54"/>
      <c r="AQ445" s="53"/>
      <c r="AR445" s="54"/>
      <c r="AS445" s="53">
        <v>4.1666666666666664E-2</v>
      </c>
      <c r="AT445" s="54" t="s">
        <v>147</v>
      </c>
      <c r="AU445" s="53">
        <v>4.1666666666666699E-2</v>
      </c>
      <c r="AV445" s="54" t="s">
        <v>37</v>
      </c>
      <c r="AW445" s="57">
        <f t="shared" si="64"/>
        <v>8.333333333333337E-2</v>
      </c>
      <c r="AX445" s="58" t="s">
        <v>48</v>
      </c>
    </row>
    <row r="446" spans="1:50" ht="21.75" customHeight="1">
      <c r="A446" s="38" t="s">
        <v>412</v>
      </c>
      <c r="B446" s="39">
        <f t="shared" si="63"/>
        <v>442</v>
      </c>
      <c r="C446" s="40">
        <v>46035</v>
      </c>
      <c r="D446" s="40" t="s">
        <v>32</v>
      </c>
      <c r="E446" s="40" t="s">
        <v>81</v>
      </c>
      <c r="F446" s="41">
        <v>698.5</v>
      </c>
      <c r="G446" s="42" t="s">
        <v>54</v>
      </c>
      <c r="H446" s="43" t="str">
        <f>IFERROR(VLOOKUP($J446,'[9]FROM (3)'!$E$4:$F$230,2,FALSE),"")</f>
        <v>JCTTH</v>
      </c>
      <c r="I446" s="44" t="str">
        <f t="shared" si="60"/>
        <v>RACK BAR</v>
      </c>
      <c r="J446" s="44" t="str">
        <f t="shared" si="61"/>
        <v>JGD10-000751/000761-A</v>
      </c>
      <c r="K446" s="59" t="str">
        <f t="shared" si="57"/>
        <v>PD26010259</v>
      </c>
      <c r="L446" s="46" t="str" cm="1">
        <f t="array" ref="L446">IFERROR(_xlfn.IFS(
    LEN($A446)-LEN(SUBSTITUTE($A446,"|",""))=12, RIGHT(A446, LEN(A446)-FIND("~", SUBSTITUTE(A446,"|","~", LEN(A446)-LEN(SUBSTITUTE(A446,"|",""))))),
    LEN($A446)-LEN(SUBSTITUTE($A446,"|",""))=13, MID($A446, FIND("~", SUBSTITUTE($A446,"|","~", 11))+1, FIND("~", SUBSTITUTE($A446,"|","~", 12))-FIND("~", SUBSTITUTE($A446,"|","~", 11))-1),
    LEN($A446)-LEN(SUBSTITUTE($A446,"|",""))=14, MID($A446, FIND("~", SUBSTITUTE($A446,"|","~", 11))+1, FIND("~", SUBSTITUTE($A446,"|","~", 12))-FIND("~", SUBSTITUTE($A446,"|","~", 11))-1)
), "")</f>
        <v>665076</v>
      </c>
      <c r="M446" s="47" t="str">
        <f t="shared" si="55"/>
        <v>SB010011/1/26</v>
      </c>
      <c r="N446" s="46" t="str">
        <f t="shared" si="58"/>
        <v/>
      </c>
      <c r="O446" s="60"/>
      <c r="P446" s="60"/>
      <c r="Q446" s="48">
        <v>11</v>
      </c>
      <c r="R446" s="48">
        <v>49</v>
      </c>
      <c r="S446" s="48"/>
      <c r="T446" s="48"/>
      <c r="U446" s="49"/>
      <c r="V446" s="49"/>
      <c r="W446" s="50">
        <f t="shared" si="56"/>
        <v>0</v>
      </c>
      <c r="X446" s="51">
        <f>IF(A446="", "", IF(COUNTIFS(C$3:C445, C446, D$3:D445, D446, G$3:G445, G446) &gt; 0, "", "11:00"-AW446))</f>
        <v>0.37499999999999994</v>
      </c>
      <c r="Y446" s="52" t="str">
        <f t="shared" si="62"/>
        <v>1:40</v>
      </c>
      <c r="Z446" s="53"/>
      <c r="AA446" s="54"/>
      <c r="AB446" s="53"/>
      <c r="AC446" s="54" t="s">
        <v>122</v>
      </c>
      <c r="AD446" s="53"/>
      <c r="AE446" s="54"/>
      <c r="AF446" s="53"/>
      <c r="AG446" s="54"/>
      <c r="AH446" s="55">
        <v>4.1666666666666699E-2</v>
      </c>
      <c r="AI446" s="53"/>
      <c r="AJ446" s="54"/>
      <c r="AK446" s="53"/>
      <c r="AL446" s="54"/>
      <c r="AM446" s="53"/>
      <c r="AN446" s="54"/>
      <c r="AO446" s="53"/>
      <c r="AP446" s="54" t="s">
        <v>122</v>
      </c>
      <c r="AQ446" s="53"/>
      <c r="AR446" s="54"/>
      <c r="AS446" s="53">
        <v>4.1666666666666664E-2</v>
      </c>
      <c r="AT446" s="54" t="s">
        <v>147</v>
      </c>
      <c r="AU446" s="53">
        <v>4.1666666666666699E-2</v>
      </c>
      <c r="AV446" s="54" t="s">
        <v>37</v>
      </c>
      <c r="AW446" s="57">
        <f t="shared" si="64"/>
        <v>8.333333333333337E-2</v>
      </c>
      <c r="AX446" s="58" t="s">
        <v>56</v>
      </c>
    </row>
    <row r="447" spans="1:50" ht="21.75" customHeight="1">
      <c r="A447" s="38" t="s">
        <v>439</v>
      </c>
      <c r="B447" s="39">
        <f t="shared" si="63"/>
        <v>443</v>
      </c>
      <c r="C447" s="40">
        <v>46035</v>
      </c>
      <c r="D447" s="40" t="s">
        <v>32</v>
      </c>
      <c r="E447" s="40" t="s">
        <v>81</v>
      </c>
      <c r="F447" s="41">
        <v>698.5</v>
      </c>
      <c r="G447" s="42" t="s">
        <v>54</v>
      </c>
      <c r="H447" s="43" t="str">
        <f>IFERROR(VLOOKUP($J447,'[9]FROM (3)'!$E$4:$F$230,2,FALSE),"")</f>
        <v>JCTTH</v>
      </c>
      <c r="I447" s="44" t="str">
        <f t="shared" si="60"/>
        <v>RACK BAR</v>
      </c>
      <c r="J447" s="44" t="str">
        <f t="shared" si="61"/>
        <v>JGD10-000751/000761-A</v>
      </c>
      <c r="K447" s="59" t="str">
        <f t="shared" si="57"/>
        <v>PD26010259</v>
      </c>
      <c r="L447" s="46" t="str" cm="1">
        <f t="array" ref="L447">IFERROR(_xlfn.IFS(
    LEN($A447)-LEN(SUBSTITUTE($A447,"|",""))=12, RIGHT(A447, LEN(A447)-FIND("~", SUBSTITUTE(A447,"|","~", LEN(A447)-LEN(SUBSTITUTE(A447,"|",""))))),
    LEN($A447)-LEN(SUBSTITUTE($A447,"|",""))=13, MID($A447, FIND("~", SUBSTITUTE($A447,"|","~", 11))+1, FIND("~", SUBSTITUTE($A447,"|","~", 12))-FIND("~", SUBSTITUTE($A447,"|","~", 11))-1),
    LEN($A447)-LEN(SUBSTITUTE($A447,"|",""))=14, MID($A447, FIND("~", SUBSTITUTE($A447,"|","~", 11))+1, FIND("~", SUBSTITUTE($A447,"|","~", 12))-FIND("~", SUBSTITUTE($A447,"|","~", 11))-1)
), "")</f>
        <v>665076</v>
      </c>
      <c r="M447" s="47" t="str">
        <f t="shared" si="55"/>
        <v>SB010011/3/26</v>
      </c>
      <c r="N447" s="46" t="str">
        <f t="shared" si="58"/>
        <v/>
      </c>
      <c r="O447" s="60">
        <v>51</v>
      </c>
      <c r="P447" s="60">
        <v>986</v>
      </c>
      <c r="Q447" s="48">
        <v>204</v>
      </c>
      <c r="R447" s="48">
        <v>913</v>
      </c>
      <c r="S447" s="48"/>
      <c r="T447" s="48"/>
      <c r="U447" s="49">
        <v>195</v>
      </c>
      <c r="V447" s="49">
        <v>10</v>
      </c>
      <c r="W447" s="50">
        <f t="shared" si="56"/>
        <v>205</v>
      </c>
      <c r="X447" s="51" t="str">
        <f>IF(A447="", "", IF(COUNTIFS(C$3:C446, C447, D$3:D446, D447, G$3:G446, G447) &gt; 0, "", "11:00"-AW447))</f>
        <v/>
      </c>
      <c r="Y447" s="52" t="str">
        <f t="shared" si="62"/>
        <v/>
      </c>
      <c r="Z447" s="53"/>
      <c r="AA447" s="54"/>
      <c r="AB447" s="53"/>
      <c r="AC447" s="54"/>
      <c r="AD447" s="53"/>
      <c r="AE447" s="54"/>
      <c r="AF447" s="53"/>
      <c r="AG447" s="54"/>
      <c r="AH447" s="55">
        <v>4.1666666666666699E-2</v>
      </c>
      <c r="AI447" s="53"/>
      <c r="AJ447" s="54"/>
      <c r="AK447" s="53"/>
      <c r="AL447" s="54"/>
      <c r="AM447" s="53"/>
      <c r="AN447" s="54"/>
      <c r="AO447" s="53"/>
      <c r="AP447" s="54"/>
      <c r="AQ447" s="53"/>
      <c r="AR447" s="54"/>
      <c r="AS447" s="53"/>
      <c r="AT447" s="54"/>
      <c r="AU447" s="53">
        <v>4.1666666666666699E-2</v>
      </c>
      <c r="AV447" s="54" t="s">
        <v>37</v>
      </c>
      <c r="AW447" s="57">
        <f t="shared" si="64"/>
        <v>4.1666666666666699E-2</v>
      </c>
      <c r="AX447" s="58" t="s">
        <v>56</v>
      </c>
    </row>
    <row r="448" spans="1:50" ht="21.75" customHeight="1">
      <c r="A448" s="38" t="s">
        <v>440</v>
      </c>
      <c r="B448" s="39">
        <f t="shared" si="63"/>
        <v>444</v>
      </c>
      <c r="C448" s="40">
        <v>46035</v>
      </c>
      <c r="D448" s="40" t="s">
        <v>32</v>
      </c>
      <c r="E448" s="40" t="s">
        <v>81</v>
      </c>
      <c r="F448" s="41">
        <v>698.5</v>
      </c>
      <c r="G448" s="42" t="s">
        <v>54</v>
      </c>
      <c r="H448" s="43" t="str">
        <f>IFERROR(VLOOKUP($J448,'[9]FROM (3)'!$E$4:$F$230,2,FALSE),"")</f>
        <v>JCTTH</v>
      </c>
      <c r="I448" s="44" t="str">
        <f t="shared" si="60"/>
        <v>RACK BAR</v>
      </c>
      <c r="J448" s="44" t="str">
        <f t="shared" si="61"/>
        <v>JGD10-000751/000761-A</v>
      </c>
      <c r="K448" s="59" t="str">
        <f t="shared" si="57"/>
        <v>PD26010261</v>
      </c>
      <c r="L448" s="46" t="str" cm="1">
        <f t="array" ref="L448">IFERROR(_xlfn.IFS(
    LEN($A448)-LEN(SUBSTITUTE($A448,"|",""))=12, RIGHT(A448, LEN(A448)-FIND("~", SUBSTITUTE(A448,"|","~", LEN(A448)-LEN(SUBSTITUTE(A448,"|",""))))),
    LEN($A448)-LEN(SUBSTITUTE($A448,"|",""))=13, MID($A448, FIND("~", SUBSTITUTE($A448,"|","~", 11))+1, FIND("~", SUBSTITUTE($A448,"|","~", 12))-FIND("~", SUBSTITUTE($A448,"|","~", 11))-1),
    LEN($A448)-LEN(SUBSTITUTE($A448,"|",""))=14, MID($A448, FIND("~", SUBSTITUTE($A448,"|","~", 11))+1, FIND("~", SUBSTITUTE($A448,"|","~", 12))-FIND("~", SUBSTITUTE($A448,"|","~", 11))-1)
), "")</f>
        <v>665076</v>
      </c>
      <c r="M448" s="47" t="str">
        <f t="shared" si="55"/>
        <v>SB010016/1/26</v>
      </c>
      <c r="N448" s="46" t="str">
        <f t="shared" si="58"/>
        <v/>
      </c>
      <c r="O448" s="60">
        <v>51</v>
      </c>
      <c r="P448" s="60">
        <v>986</v>
      </c>
      <c r="Q448" s="48">
        <v>203</v>
      </c>
      <c r="R448" s="48">
        <v>908</v>
      </c>
      <c r="S448" s="48"/>
      <c r="T448" s="48"/>
      <c r="U448" s="49"/>
      <c r="V448" s="49"/>
      <c r="W448" s="50">
        <f t="shared" si="56"/>
        <v>0</v>
      </c>
      <c r="X448" s="51" t="str">
        <f>IF(A448="", "", IF(COUNTIFS(C$3:C447, C448, D$3:D447, D448, G$3:G447, G448) &gt; 0, "", "11:00"-AW448))</f>
        <v/>
      </c>
      <c r="Y448" s="52" t="str">
        <f t="shared" si="62"/>
        <v/>
      </c>
      <c r="Z448" s="53"/>
      <c r="AA448" s="54"/>
      <c r="AB448" s="53"/>
      <c r="AC448" s="54"/>
      <c r="AD448" s="53"/>
      <c r="AE448" s="54"/>
      <c r="AF448" s="53"/>
      <c r="AG448" s="54"/>
      <c r="AH448" s="55">
        <v>4.1666666666666699E-2</v>
      </c>
      <c r="AI448" s="53"/>
      <c r="AJ448" s="54"/>
      <c r="AK448" s="53"/>
      <c r="AL448" s="54"/>
      <c r="AM448" s="53"/>
      <c r="AN448" s="54"/>
      <c r="AO448" s="53"/>
      <c r="AP448" s="54"/>
      <c r="AQ448" s="53"/>
      <c r="AR448" s="54"/>
      <c r="AS448" s="53"/>
      <c r="AT448" s="54"/>
      <c r="AU448" s="53">
        <v>4.1666666666666699E-2</v>
      </c>
      <c r="AV448" s="54" t="s">
        <v>37</v>
      </c>
      <c r="AW448" s="57">
        <f t="shared" si="64"/>
        <v>4.1666666666666699E-2</v>
      </c>
      <c r="AX448" s="58" t="s">
        <v>56</v>
      </c>
    </row>
    <row r="449" spans="1:50" ht="21.75" customHeight="1">
      <c r="A449" s="38" t="s">
        <v>441</v>
      </c>
      <c r="B449" s="39">
        <f t="shared" si="63"/>
        <v>445</v>
      </c>
      <c r="C449" s="40">
        <v>46035</v>
      </c>
      <c r="D449" s="40" t="s">
        <v>32</v>
      </c>
      <c r="E449" s="40" t="s">
        <v>81</v>
      </c>
      <c r="F449" s="41">
        <v>698.5</v>
      </c>
      <c r="G449" s="42" t="s">
        <v>54</v>
      </c>
      <c r="H449" s="43" t="str">
        <f>IFERROR(VLOOKUP($J449,'[9]FROM (3)'!$E$4:$F$230,2,FALSE),"")</f>
        <v>JCTTH</v>
      </c>
      <c r="I449" s="44" t="str">
        <f t="shared" si="60"/>
        <v>RACK BAR</v>
      </c>
      <c r="J449" s="44" t="str">
        <f t="shared" si="61"/>
        <v>JGD10-000751/000761-A</v>
      </c>
      <c r="K449" s="59" t="str">
        <f t="shared" si="57"/>
        <v>PD26010261</v>
      </c>
      <c r="L449" s="46" t="str" cm="1">
        <f t="array" ref="L449">IFERROR(_xlfn.IFS(
    LEN($A449)-LEN(SUBSTITUTE($A449,"|",""))=12, RIGHT(A449, LEN(A449)-FIND("~", SUBSTITUTE(A449,"|","~", LEN(A449)-LEN(SUBSTITUTE(A449,"|",""))))),
    LEN($A449)-LEN(SUBSTITUTE($A449,"|",""))=13, MID($A449, FIND("~", SUBSTITUTE($A449,"|","~", 11))+1, FIND("~", SUBSTITUTE($A449,"|","~", 12))-FIND("~", SUBSTITUTE($A449,"|","~", 11))-1),
    LEN($A449)-LEN(SUBSTITUTE($A449,"|",""))=14, MID($A449, FIND("~", SUBSTITUTE($A449,"|","~", 11))+1, FIND("~", SUBSTITUTE($A449,"|","~", 12))-FIND("~", SUBSTITUTE($A449,"|","~", 11))-1)
), "")</f>
        <v>665076</v>
      </c>
      <c r="M449" s="47" t="str">
        <f t="shared" si="55"/>
        <v>SB010016/3/26</v>
      </c>
      <c r="N449" s="46" t="str">
        <f t="shared" si="58"/>
        <v/>
      </c>
      <c r="O449" s="60">
        <v>51</v>
      </c>
      <c r="P449" s="60">
        <v>986</v>
      </c>
      <c r="Q449" s="48">
        <v>204</v>
      </c>
      <c r="R449" s="48">
        <v>913</v>
      </c>
      <c r="S449" s="48"/>
      <c r="T449" s="48"/>
      <c r="U449" s="49"/>
      <c r="V449" s="49"/>
      <c r="W449" s="50">
        <f t="shared" si="56"/>
        <v>0</v>
      </c>
      <c r="X449" s="51" t="str">
        <f>IF(A449="", "", IF(COUNTIFS(C$3:C448, C449, D$3:D448, D449, G$3:G448, G449) &gt; 0, "", "11:00"-AW449))</f>
        <v/>
      </c>
      <c r="Y449" s="52" t="str">
        <f t="shared" si="62"/>
        <v/>
      </c>
      <c r="Z449" s="53"/>
      <c r="AA449" s="54"/>
      <c r="AB449" s="53"/>
      <c r="AC449" s="54"/>
      <c r="AD449" s="53"/>
      <c r="AE449" s="54"/>
      <c r="AF449" s="53"/>
      <c r="AG449" s="54"/>
      <c r="AH449" s="55">
        <v>4.1666666666666699E-2</v>
      </c>
      <c r="AI449" s="53"/>
      <c r="AJ449" s="54"/>
      <c r="AK449" s="53"/>
      <c r="AL449" s="54"/>
      <c r="AM449" s="53"/>
      <c r="AN449" s="54"/>
      <c r="AO449" s="53"/>
      <c r="AP449" s="54"/>
      <c r="AQ449" s="53"/>
      <c r="AR449" s="54"/>
      <c r="AS449" s="53"/>
      <c r="AT449" s="54"/>
      <c r="AU449" s="53">
        <v>4.1666666666666699E-2</v>
      </c>
      <c r="AV449" s="54" t="s">
        <v>37</v>
      </c>
      <c r="AW449" s="57">
        <f t="shared" si="64"/>
        <v>4.1666666666666699E-2</v>
      </c>
      <c r="AX449" s="58" t="s">
        <v>56</v>
      </c>
    </row>
    <row r="450" spans="1:50" ht="21.75" customHeight="1">
      <c r="A450" s="38" t="s">
        <v>442</v>
      </c>
      <c r="B450" s="39">
        <f t="shared" si="63"/>
        <v>446</v>
      </c>
      <c r="C450" s="40">
        <v>46035</v>
      </c>
      <c r="D450" s="40" t="s">
        <v>32</v>
      </c>
      <c r="E450" s="40" t="s">
        <v>81</v>
      </c>
      <c r="F450" s="41">
        <v>698.5</v>
      </c>
      <c r="G450" s="42" t="s">
        <v>54</v>
      </c>
      <c r="H450" s="43" t="str">
        <f>IFERROR(VLOOKUP($J450,'[9]FROM (3)'!$E$4:$F$230,2,FALSE),"")</f>
        <v>JCTTH</v>
      </c>
      <c r="I450" s="44" t="str">
        <f t="shared" si="60"/>
        <v>RACK BAR</v>
      </c>
      <c r="J450" s="44" t="str">
        <f t="shared" si="61"/>
        <v>JGD10-000751/000761-A</v>
      </c>
      <c r="K450" s="59" t="str">
        <f t="shared" si="57"/>
        <v>PD26010261</v>
      </c>
      <c r="L450" s="46" t="str" cm="1">
        <f t="array" ref="L450">IFERROR(_xlfn.IFS(
    LEN($A450)-LEN(SUBSTITUTE($A450,"|",""))=12, RIGHT(A450, LEN(A450)-FIND("~", SUBSTITUTE(A450,"|","~", LEN(A450)-LEN(SUBSTITUTE(A450,"|",""))))),
    LEN($A450)-LEN(SUBSTITUTE($A450,"|",""))=13, MID($A450, FIND("~", SUBSTITUTE($A450,"|","~", 11))+1, FIND("~", SUBSTITUTE($A450,"|","~", 12))-FIND("~", SUBSTITUTE($A450,"|","~", 11))-1),
    LEN($A450)-LEN(SUBSTITUTE($A450,"|",""))=14, MID($A450, FIND("~", SUBSTITUTE($A450,"|","~", 11))+1, FIND("~", SUBSTITUTE($A450,"|","~", 12))-FIND("~", SUBSTITUTE($A450,"|","~", 11))-1)
), "")</f>
        <v>665076</v>
      </c>
      <c r="M450" s="47" t="str">
        <f t="shared" si="55"/>
        <v>SB010016/2/26</v>
      </c>
      <c r="N450" s="46" t="str">
        <f t="shared" si="58"/>
        <v/>
      </c>
      <c r="O450" s="60">
        <v>51</v>
      </c>
      <c r="P450" s="60">
        <v>986</v>
      </c>
      <c r="Q450" s="48">
        <v>204</v>
      </c>
      <c r="R450" s="48">
        <v>913</v>
      </c>
      <c r="S450" s="48"/>
      <c r="T450" s="48"/>
      <c r="U450" s="49">
        <v>195</v>
      </c>
      <c r="V450" s="49">
        <v>10</v>
      </c>
      <c r="W450" s="50">
        <f t="shared" si="56"/>
        <v>205</v>
      </c>
      <c r="X450" s="51" t="str">
        <f>IF(A450="", "", IF(COUNTIFS(C$3:C449, C450, D$3:D449, D450, G$3:G449, G450) &gt; 0, "", "11:00"-AW450))</f>
        <v/>
      </c>
      <c r="Y450" s="52" t="str">
        <f t="shared" si="62"/>
        <v/>
      </c>
      <c r="Z450" s="53"/>
      <c r="AA450" s="54"/>
      <c r="AB450" s="53"/>
      <c r="AC450" s="54"/>
      <c r="AD450" s="53"/>
      <c r="AE450" s="54"/>
      <c r="AF450" s="53"/>
      <c r="AG450" s="54"/>
      <c r="AH450" s="55">
        <v>4.1666666666666699E-2</v>
      </c>
      <c r="AI450" s="53"/>
      <c r="AJ450" s="54"/>
      <c r="AK450" s="53"/>
      <c r="AL450" s="54"/>
      <c r="AM450" s="53"/>
      <c r="AN450" s="54"/>
      <c r="AO450" s="53"/>
      <c r="AP450" s="54"/>
      <c r="AQ450" s="53"/>
      <c r="AR450" s="54"/>
      <c r="AS450" s="53"/>
      <c r="AT450" s="54"/>
      <c r="AU450" s="53">
        <v>4.1666666666666699E-2</v>
      </c>
      <c r="AV450" s="54" t="s">
        <v>37</v>
      </c>
      <c r="AW450" s="57">
        <f t="shared" si="64"/>
        <v>4.1666666666666699E-2</v>
      </c>
      <c r="AX450" s="58" t="s">
        <v>56</v>
      </c>
    </row>
    <row r="451" spans="1:50" ht="21.75" customHeight="1">
      <c r="A451" s="38" t="s">
        <v>443</v>
      </c>
      <c r="B451" s="39">
        <f t="shared" si="63"/>
        <v>447</v>
      </c>
      <c r="C451" s="40">
        <v>46035</v>
      </c>
      <c r="D451" s="40" t="s">
        <v>32</v>
      </c>
      <c r="E451" s="40" t="s">
        <v>81</v>
      </c>
      <c r="F451" s="41">
        <v>698.5</v>
      </c>
      <c r="G451" s="42" t="s">
        <v>54</v>
      </c>
      <c r="H451" s="43" t="str">
        <f>IFERROR(VLOOKUP($J451,'[9]FROM (3)'!$E$4:$F$230,2,FALSE),"")</f>
        <v>JCTTH</v>
      </c>
      <c r="I451" s="44" t="str">
        <f t="shared" si="60"/>
        <v>RACK BAR</v>
      </c>
      <c r="J451" s="44" t="str">
        <f t="shared" si="61"/>
        <v>JGD10-000751/000761-A</v>
      </c>
      <c r="K451" s="59" t="str">
        <f t="shared" si="57"/>
        <v>PD26010260</v>
      </c>
      <c r="L451" s="46" t="str" cm="1">
        <f t="array" ref="L451">IFERROR(_xlfn.IFS(
    LEN($A451)-LEN(SUBSTITUTE($A451,"|",""))=12, RIGHT(A451, LEN(A451)-FIND("~", SUBSTITUTE(A451,"|","~", LEN(A451)-LEN(SUBSTITUTE(A451,"|",""))))),
    LEN($A451)-LEN(SUBSTITUTE($A451,"|",""))=13, MID($A451, FIND("~", SUBSTITUTE($A451,"|","~", 11))+1, FIND("~", SUBSTITUTE($A451,"|","~", 12))-FIND("~", SUBSTITUTE($A451,"|","~", 11))-1),
    LEN($A451)-LEN(SUBSTITUTE($A451,"|",""))=14, MID($A451, FIND("~", SUBSTITUTE($A451,"|","~", 11))+1, FIND("~", SUBSTITUTE($A451,"|","~", 12))-FIND("~", SUBSTITUTE($A451,"|","~", 11))-1)
), "")</f>
        <v>665076</v>
      </c>
      <c r="M451" s="47" t="str">
        <f t="shared" si="55"/>
        <v>SB010011/4/26</v>
      </c>
      <c r="N451" s="46" t="str">
        <f t="shared" si="58"/>
        <v/>
      </c>
      <c r="O451" s="60">
        <v>51</v>
      </c>
      <c r="P451" s="60">
        <v>986</v>
      </c>
      <c r="Q451" s="48">
        <v>107</v>
      </c>
      <c r="R451" s="48">
        <v>479</v>
      </c>
      <c r="S451" s="48"/>
      <c r="T451" s="48"/>
      <c r="U451" s="49"/>
      <c r="V451" s="49"/>
      <c r="W451" s="50">
        <f t="shared" si="56"/>
        <v>0</v>
      </c>
      <c r="X451" s="51" t="str">
        <f>IF(A451="", "", IF(COUNTIFS(C$3:C450, C451, D$3:D450, D451, G$3:G450, G451) &gt; 0, "", "11:00"-AW451))</f>
        <v/>
      </c>
      <c r="Y451" s="52" t="str">
        <f t="shared" si="62"/>
        <v/>
      </c>
      <c r="Z451" s="53"/>
      <c r="AA451" s="54"/>
      <c r="AB451" s="53"/>
      <c r="AC451" s="54"/>
      <c r="AD451" s="53"/>
      <c r="AE451" s="54"/>
      <c r="AF451" s="53"/>
      <c r="AG451" s="54"/>
      <c r="AH451" s="55">
        <v>4.1666666666666699E-2</v>
      </c>
      <c r="AI451" s="53"/>
      <c r="AJ451" s="54"/>
      <c r="AK451" s="53"/>
      <c r="AL451" s="54"/>
      <c r="AM451" s="53"/>
      <c r="AN451" s="54"/>
      <c r="AO451" s="53"/>
      <c r="AP451" s="54"/>
      <c r="AQ451" s="53"/>
      <c r="AR451" s="54"/>
      <c r="AS451" s="53"/>
      <c r="AT451" s="54"/>
      <c r="AU451" s="53">
        <v>4.1666666666666699E-2</v>
      </c>
      <c r="AV451" s="54" t="s">
        <v>37</v>
      </c>
      <c r="AW451" s="57">
        <f t="shared" si="64"/>
        <v>4.1666666666666699E-2</v>
      </c>
      <c r="AX451" s="58" t="s">
        <v>56</v>
      </c>
    </row>
    <row r="452" spans="1:50" ht="21.75" customHeight="1">
      <c r="A452" s="38" t="s">
        <v>444</v>
      </c>
      <c r="B452" s="39">
        <f t="shared" si="63"/>
        <v>448</v>
      </c>
      <c r="C452" s="40">
        <v>46035</v>
      </c>
      <c r="D452" s="40" t="s">
        <v>32</v>
      </c>
      <c r="E452" s="40" t="s">
        <v>81</v>
      </c>
      <c r="F452" s="41">
        <v>756.8</v>
      </c>
      <c r="G452" s="42" t="s">
        <v>192</v>
      </c>
      <c r="H452" s="43" t="str">
        <f>IFERROR(VLOOKUP($J452,'[9]FROM (3)'!$E$4:$F$230,2,FALSE),"")</f>
        <v>JATH</v>
      </c>
      <c r="I452" s="44" t="str">
        <f t="shared" si="60"/>
        <v>JGF02-002190-31-2</v>
      </c>
      <c r="J452" s="44" t="str">
        <f t="shared" si="61"/>
        <v>RACK BAR BLANK (JGF02-002190-31-2) 5K45</v>
      </c>
      <c r="K452" s="59" t="str">
        <f t="shared" si="57"/>
        <v>PD25121210</v>
      </c>
      <c r="L452" s="46" t="str" cm="1">
        <f t="array" ref="L452">IFERROR(_xlfn.IFS(
    LEN($A452)-LEN(SUBSTITUTE($A452,"|",""))=12, RIGHT(A452, LEN(A452)-FIND("~", SUBSTITUTE(A452,"|","~", LEN(A452)-LEN(SUBSTITUTE(A452,"|",""))))),
    LEN($A452)-LEN(SUBSTITUTE($A452,"|",""))=13, MID($A452, FIND("~", SUBSTITUTE($A452,"|","~", 11))+1, FIND("~", SUBSTITUTE($A452,"|","~", 12))-FIND("~", SUBSTITUTE($A452,"|","~", 11))-1),
    LEN($A452)-LEN(SUBSTITUTE($A452,"|",""))=14, MID($A452, FIND("~", SUBSTITUTE($A452,"|","~", 11))+1, FIND("~", SUBSTITUTE($A452,"|","~", 12))-FIND("~", SUBSTITUTE($A452,"|","~", 11))-1)
), "")</f>
        <v>5A5658</v>
      </c>
      <c r="M452" s="47" t="str">
        <f t="shared" si="55"/>
        <v>TSK2</v>
      </c>
      <c r="N452" s="46" t="str">
        <f t="shared" si="58"/>
        <v>FB120343/15/25</v>
      </c>
      <c r="O452" s="60">
        <v>58</v>
      </c>
      <c r="P452" s="60">
        <v>280</v>
      </c>
      <c r="Q452" s="48">
        <v>58</v>
      </c>
      <c r="R452" s="48">
        <v>280</v>
      </c>
      <c r="S452" s="48"/>
      <c r="T452" s="48"/>
      <c r="U452" s="49"/>
      <c r="V452" s="49"/>
      <c r="W452" s="50">
        <f t="shared" si="56"/>
        <v>0</v>
      </c>
      <c r="X452" s="51">
        <f>IF(A452="", "", IF(COUNTIFS(C$3:C451, C452, D$3:D451, D452, G$3:G451, G452) &gt; 0, "", "11:00"-AW452))</f>
        <v>0.41666666666666663</v>
      </c>
      <c r="Y452" s="52" t="str">
        <f t="shared" si="62"/>
        <v>1:40</v>
      </c>
      <c r="Z452" s="53"/>
      <c r="AA452" s="54"/>
      <c r="AB452" s="53"/>
      <c r="AC452" s="54"/>
      <c r="AD452" s="53"/>
      <c r="AE452" s="54"/>
      <c r="AF452" s="53"/>
      <c r="AG452" s="54"/>
      <c r="AH452" s="55">
        <v>4.1666666666666699E-2</v>
      </c>
      <c r="AI452" s="53"/>
      <c r="AJ452" s="54"/>
      <c r="AK452" s="53"/>
      <c r="AL452" s="54"/>
      <c r="AM452" s="53"/>
      <c r="AN452" s="54"/>
      <c r="AO452" s="53"/>
      <c r="AP452" s="54"/>
      <c r="AQ452" s="53"/>
      <c r="AR452" s="54"/>
      <c r="AS452" s="53"/>
      <c r="AT452" s="54"/>
      <c r="AU452" s="53">
        <v>4.1666666666666699E-2</v>
      </c>
      <c r="AV452" s="54" t="s">
        <v>37</v>
      </c>
      <c r="AW452" s="57">
        <f t="shared" si="64"/>
        <v>4.1666666666666699E-2</v>
      </c>
      <c r="AX452" s="58" t="s">
        <v>260</v>
      </c>
    </row>
    <row r="453" spans="1:50" ht="21.75" customHeight="1">
      <c r="A453" s="38" t="s">
        <v>445</v>
      </c>
      <c r="B453" s="39">
        <f t="shared" si="63"/>
        <v>449</v>
      </c>
      <c r="C453" s="40">
        <v>46035</v>
      </c>
      <c r="D453" s="40" t="s">
        <v>32</v>
      </c>
      <c r="E453" s="40" t="s">
        <v>81</v>
      </c>
      <c r="F453" s="41">
        <v>756.8</v>
      </c>
      <c r="G453" s="42" t="s">
        <v>192</v>
      </c>
      <c r="H453" s="43" t="str">
        <f>IFERROR(VLOOKUP($J453,'[9]FROM (3)'!$E$4:$F$230,2,FALSE),"")</f>
        <v>JATH</v>
      </c>
      <c r="I453" s="44" t="str">
        <f t="shared" si="60"/>
        <v>JGF02-002190-31-2</v>
      </c>
      <c r="J453" s="44" t="str">
        <f t="shared" si="61"/>
        <v>RACK BAR BLANK (JGF02-002190-31-2) 5K45</v>
      </c>
      <c r="K453" s="59" t="str">
        <f t="shared" si="57"/>
        <v>PD25121210</v>
      </c>
      <c r="L453" s="46" t="str" cm="1">
        <f t="array" ref="L453">IFERROR(_xlfn.IFS(
    LEN($A453)-LEN(SUBSTITUTE($A453,"|",""))=12, RIGHT(A453, LEN(A453)-FIND("~", SUBSTITUTE(A453,"|","~", LEN(A453)-LEN(SUBSTITUTE(A453,"|",""))))),
    LEN($A453)-LEN(SUBSTITUTE($A453,"|",""))=13, MID($A453, FIND("~", SUBSTITUTE($A453,"|","~", 11))+1, FIND("~", SUBSTITUTE($A453,"|","~", 12))-FIND("~", SUBSTITUTE($A453,"|","~", 11))-1),
    LEN($A453)-LEN(SUBSTITUTE($A453,"|",""))=14, MID($A453, FIND("~", SUBSTITUTE($A453,"|","~", 11))+1, FIND("~", SUBSTITUTE($A453,"|","~", 12))-FIND("~", SUBSTITUTE($A453,"|","~", 11))-1)
), "")</f>
        <v>5A5658</v>
      </c>
      <c r="M453" s="47" t="str">
        <f t="shared" ref="M453:M516" si="65">IFERROR(MID(A453,FIND("~",SUBSTITUTE(A453,"|","~",10))+1,FIND("~",SUBSTITUTE(A453,"|","~",11))-FIND("~",SUBSTITUTE(A453,"|","~",10))-1),"")</f>
        <v>TSK2</v>
      </c>
      <c r="N453" s="46" t="str">
        <f t="shared" si="58"/>
        <v>FB120343/14/25</v>
      </c>
      <c r="O453" s="60">
        <v>58</v>
      </c>
      <c r="P453" s="60">
        <v>280</v>
      </c>
      <c r="Q453" s="48">
        <v>58</v>
      </c>
      <c r="R453" s="48">
        <v>280</v>
      </c>
      <c r="S453" s="48"/>
      <c r="T453" s="48"/>
      <c r="U453" s="49"/>
      <c r="V453" s="49"/>
      <c r="W453" s="50">
        <f t="shared" ref="W453:W516" si="66">SUM(U453:V453)</f>
        <v>0</v>
      </c>
      <c r="X453" s="51" t="str">
        <f>IF(A453="", "", IF(COUNTIFS(C$3:C452, C453, D$3:D452, D453, G$3:G452, G453) &gt; 0, "", "11:00"-AW453))</f>
        <v/>
      </c>
      <c r="Y453" s="52" t="str">
        <f t="shared" si="62"/>
        <v/>
      </c>
      <c r="Z453" s="53"/>
      <c r="AA453" s="54"/>
      <c r="AB453" s="53"/>
      <c r="AC453" s="54"/>
      <c r="AD453" s="53"/>
      <c r="AE453" s="54"/>
      <c r="AF453" s="53"/>
      <c r="AG453" s="54"/>
      <c r="AH453" s="55">
        <v>4.1666666666666699E-2</v>
      </c>
      <c r="AI453" s="53"/>
      <c r="AJ453" s="54"/>
      <c r="AK453" s="53"/>
      <c r="AL453" s="54"/>
      <c r="AM453" s="53"/>
      <c r="AN453" s="54"/>
      <c r="AO453" s="53"/>
      <c r="AP453" s="54"/>
      <c r="AQ453" s="53"/>
      <c r="AR453" s="54"/>
      <c r="AS453" s="53"/>
      <c r="AT453" s="54"/>
      <c r="AU453" s="53">
        <v>4.1666666666666699E-2</v>
      </c>
      <c r="AV453" s="54" t="s">
        <v>37</v>
      </c>
      <c r="AW453" s="57">
        <f t="shared" si="64"/>
        <v>4.1666666666666699E-2</v>
      </c>
      <c r="AX453" s="58" t="s">
        <v>260</v>
      </c>
    </row>
    <row r="454" spans="1:50" ht="21.75" customHeight="1">
      <c r="A454" s="38" t="s">
        <v>446</v>
      </c>
      <c r="B454" s="39">
        <f t="shared" si="63"/>
        <v>450</v>
      </c>
      <c r="C454" s="40">
        <v>46035</v>
      </c>
      <c r="D454" s="40" t="s">
        <v>32</v>
      </c>
      <c r="E454" s="40" t="s">
        <v>81</v>
      </c>
      <c r="F454" s="41">
        <v>756.8</v>
      </c>
      <c r="G454" s="42" t="s">
        <v>192</v>
      </c>
      <c r="H454" s="43" t="str">
        <f>IFERROR(VLOOKUP($J454,'[9]FROM (3)'!$E$4:$F$230,2,FALSE),"")</f>
        <v>JATH</v>
      </c>
      <c r="I454" s="44" t="str">
        <f t="shared" si="60"/>
        <v>JGF02-002190-31-2</v>
      </c>
      <c r="J454" s="44" t="str">
        <f t="shared" si="61"/>
        <v>RACK BAR BLANK (JGF02-002190-31-2) 5K45</v>
      </c>
      <c r="K454" s="59" t="str">
        <f t="shared" ref="K454:K517" si="67">IFERROR(LEFT(A454,SEARCH("|",A454)-1),"")</f>
        <v>PD25121210</v>
      </c>
      <c r="L454" s="46" t="str" cm="1">
        <f t="array" ref="L454">IFERROR(_xlfn.IFS(
    LEN($A454)-LEN(SUBSTITUTE($A454,"|",""))=12, RIGHT(A454, LEN(A454)-FIND("~", SUBSTITUTE(A454,"|","~", LEN(A454)-LEN(SUBSTITUTE(A454,"|",""))))),
    LEN($A454)-LEN(SUBSTITUTE($A454,"|",""))=13, MID($A454, FIND("~", SUBSTITUTE($A454,"|","~", 11))+1, FIND("~", SUBSTITUTE($A454,"|","~", 12))-FIND("~", SUBSTITUTE($A454,"|","~", 11))-1),
    LEN($A454)-LEN(SUBSTITUTE($A454,"|",""))=14, MID($A454, FIND("~", SUBSTITUTE($A454,"|","~", 11))+1, FIND("~", SUBSTITUTE($A454,"|","~", 12))-FIND("~", SUBSTITUTE($A454,"|","~", 11))-1)
), "")</f>
        <v>5A5658</v>
      </c>
      <c r="M454" s="47" t="str">
        <f t="shared" si="65"/>
        <v>TSK2</v>
      </c>
      <c r="N454" s="46" t="str">
        <f t="shared" ref="N454:N517" si="68">IFERROR(IF(LEN($A454)-LEN(SUBSTITUTE($A454,"|",""))=12,MID($A454,FIND("~",SUBSTITUTE($A454,"|","~",11))+1,FIND("~",SUBSTITUTE($A454,"|","~",12))-FIND("~",SUBSTITUTE($A454,"|","~",11))-1),IF(LEN($A454)-LEN(SUBSTITUTE($A454,"|",""))=13,MID($A454,FIND("~",SUBSTITUTE($A454,"|","~",10))+1,FIND("~",SUBSTITUTE($A454,"|","~",11))-FIND("~",SUBSTITUTE($A454,"|","~",10))-1), "")),"")</f>
        <v>FB120343/1/25</v>
      </c>
      <c r="O454" s="60">
        <v>58</v>
      </c>
      <c r="P454" s="60">
        <v>280</v>
      </c>
      <c r="Q454" s="48">
        <v>58</v>
      </c>
      <c r="R454" s="48">
        <v>280</v>
      </c>
      <c r="S454" s="48"/>
      <c r="T454" s="48"/>
      <c r="U454" s="49"/>
      <c r="V454" s="49"/>
      <c r="W454" s="50">
        <f t="shared" si="66"/>
        <v>0</v>
      </c>
      <c r="X454" s="51" t="str">
        <f>IF(A454="", "", IF(COUNTIFS(C$3:C453, C454, D$3:D453, D454, G$3:G453, G454) &gt; 0, "", "11:00"-AW454))</f>
        <v/>
      </c>
      <c r="Y454" s="52" t="str">
        <f t="shared" si="62"/>
        <v/>
      </c>
      <c r="Z454" s="53"/>
      <c r="AA454" s="54"/>
      <c r="AB454" s="53"/>
      <c r="AC454" s="54"/>
      <c r="AD454" s="53"/>
      <c r="AE454" s="54"/>
      <c r="AF454" s="53"/>
      <c r="AG454" s="54"/>
      <c r="AH454" s="55">
        <v>4.1666666666666699E-2</v>
      </c>
      <c r="AI454" s="53"/>
      <c r="AJ454" s="54"/>
      <c r="AK454" s="53"/>
      <c r="AL454" s="54"/>
      <c r="AM454" s="53"/>
      <c r="AN454" s="54"/>
      <c r="AO454" s="53"/>
      <c r="AP454" s="54"/>
      <c r="AQ454" s="53"/>
      <c r="AR454" s="54"/>
      <c r="AS454" s="53"/>
      <c r="AT454" s="54"/>
      <c r="AU454" s="53">
        <v>4.1666666666666699E-2</v>
      </c>
      <c r="AV454" s="54" t="s">
        <v>37</v>
      </c>
      <c r="AW454" s="57">
        <f t="shared" si="64"/>
        <v>4.1666666666666699E-2</v>
      </c>
      <c r="AX454" s="58" t="s">
        <v>260</v>
      </c>
    </row>
    <row r="455" spans="1:50" ht="21.75" customHeight="1">
      <c r="A455" s="38" t="s">
        <v>447</v>
      </c>
      <c r="B455" s="39">
        <f t="shared" si="63"/>
        <v>451</v>
      </c>
      <c r="C455" s="40">
        <v>46035</v>
      </c>
      <c r="D455" s="40" t="s">
        <v>32</v>
      </c>
      <c r="E455" s="40" t="s">
        <v>81</v>
      </c>
      <c r="F455" s="41">
        <v>756.8</v>
      </c>
      <c r="G455" s="42" t="s">
        <v>192</v>
      </c>
      <c r="H455" s="43" t="str">
        <f>IFERROR(VLOOKUP($J455,'[9]FROM (3)'!$E$4:$F$230,2,FALSE),"")</f>
        <v>JATH</v>
      </c>
      <c r="I455" s="44" t="str">
        <f t="shared" ref="I455:I518" si="69">IFERROR(MID(A455,FIND("~",SUBSTITUTE(A455,"|","~",4))+1,FIND("~",SUBSTITUTE(A455,"|","~",5))-FIND("~",SUBSTITUTE(A455,"|","~",4))-1),"")</f>
        <v>JGF02-002190-31-2</v>
      </c>
      <c r="J455" s="44" t="str">
        <f t="shared" ref="J455:J518" si="70">IFERROR(MID(A455,FIND("~",SUBSTITUTE(A455,"|","~",3))+1,FIND("~",SUBSTITUTE(A455,"|","~",4))-FIND("~",SUBSTITUTE(A455,"|","~",3))-1),"")</f>
        <v>RACK BAR BLANK (JGF02-002190-31-2) 5K45</v>
      </c>
      <c r="K455" s="59" t="str">
        <f t="shared" si="67"/>
        <v>PD25121210</v>
      </c>
      <c r="L455" s="46" t="str" cm="1">
        <f t="array" ref="L455">IFERROR(_xlfn.IFS(
    LEN($A455)-LEN(SUBSTITUTE($A455,"|",""))=12, RIGHT(A455, LEN(A455)-FIND("~", SUBSTITUTE(A455,"|","~", LEN(A455)-LEN(SUBSTITUTE(A455,"|",""))))),
    LEN($A455)-LEN(SUBSTITUTE($A455,"|",""))=13, MID($A455, FIND("~", SUBSTITUTE($A455,"|","~", 11))+1, FIND("~", SUBSTITUTE($A455,"|","~", 12))-FIND("~", SUBSTITUTE($A455,"|","~", 11))-1),
    LEN($A455)-LEN(SUBSTITUTE($A455,"|",""))=14, MID($A455, FIND("~", SUBSTITUTE($A455,"|","~", 11))+1, FIND("~", SUBSTITUTE($A455,"|","~", 12))-FIND("~", SUBSTITUTE($A455,"|","~", 11))-1)
), "")</f>
        <v>5A5658</v>
      </c>
      <c r="M455" s="47" t="str">
        <f t="shared" si="65"/>
        <v>TSK2</v>
      </c>
      <c r="N455" s="46" t="str">
        <f t="shared" si="68"/>
        <v>FB120343/20/25</v>
      </c>
      <c r="O455" s="60">
        <v>32</v>
      </c>
      <c r="P455" s="60">
        <v>154</v>
      </c>
      <c r="Q455" s="48">
        <v>32</v>
      </c>
      <c r="R455" s="48">
        <v>154</v>
      </c>
      <c r="S455" s="48"/>
      <c r="T455" s="48"/>
      <c r="U455" s="49"/>
      <c r="V455" s="49"/>
      <c r="W455" s="50">
        <f t="shared" si="66"/>
        <v>0</v>
      </c>
      <c r="X455" s="51" t="str">
        <f>IF(A455="", "", IF(COUNTIFS(C$3:C454, C455, D$3:D454, D455, G$3:G454, G455) &gt; 0, "", "11:00"-AW455))</f>
        <v/>
      </c>
      <c r="Y455" s="52" t="str">
        <f t="shared" ref="Y455:Y518" si="71">IF(X455="", "", IF(AND(A455&lt;&gt;"", AR455&lt;&gt;"NO OT"), "1:40", IF(AND(A455&lt;&gt;"", AR455="NO OT"), "1:0", "")))</f>
        <v/>
      </c>
      <c r="Z455" s="53"/>
      <c r="AA455" s="54"/>
      <c r="AB455" s="53"/>
      <c r="AC455" s="54"/>
      <c r="AD455" s="53"/>
      <c r="AE455" s="54"/>
      <c r="AF455" s="53"/>
      <c r="AG455" s="54"/>
      <c r="AH455" s="55">
        <v>4.1666666666666699E-2</v>
      </c>
      <c r="AI455" s="53"/>
      <c r="AJ455" s="54"/>
      <c r="AK455" s="53"/>
      <c r="AL455" s="54"/>
      <c r="AM455" s="53"/>
      <c r="AN455" s="54"/>
      <c r="AO455" s="53"/>
      <c r="AP455" s="54"/>
      <c r="AQ455" s="53"/>
      <c r="AR455" s="54"/>
      <c r="AS455" s="53"/>
      <c r="AT455" s="54"/>
      <c r="AU455" s="53">
        <v>4.1666666666666699E-2</v>
      </c>
      <c r="AV455" s="54" t="s">
        <v>37</v>
      </c>
      <c r="AW455" s="57">
        <f t="shared" si="64"/>
        <v>4.1666666666666699E-2</v>
      </c>
      <c r="AX455" s="58" t="s">
        <v>260</v>
      </c>
    </row>
    <row r="456" spans="1:50" ht="21.75" customHeight="1">
      <c r="A456" s="38" t="s">
        <v>448</v>
      </c>
      <c r="B456" s="39">
        <f t="shared" si="63"/>
        <v>452</v>
      </c>
      <c r="C456" s="40">
        <v>46035</v>
      </c>
      <c r="D456" s="40" t="s">
        <v>32</v>
      </c>
      <c r="E456" s="40" t="s">
        <v>81</v>
      </c>
      <c r="F456" s="41">
        <v>756.8</v>
      </c>
      <c r="G456" s="42" t="s">
        <v>192</v>
      </c>
      <c r="H456" s="43" t="str">
        <f>IFERROR(VLOOKUP($J456,'[9]FROM (3)'!$E$4:$F$230,2,FALSE),"")</f>
        <v>JATH</v>
      </c>
      <c r="I456" s="44" t="str">
        <f t="shared" si="69"/>
        <v>JGF02-002190-31-2</v>
      </c>
      <c r="J456" s="44" t="str">
        <f t="shared" si="70"/>
        <v>RACK BAR BLANK (JGF02-002190-31-2) 5K45</v>
      </c>
      <c r="K456" s="59" t="str">
        <f t="shared" si="67"/>
        <v>PD25121243</v>
      </c>
      <c r="L456" s="46" t="str" cm="1">
        <f t="array" ref="L456">IFERROR(_xlfn.IFS(
    LEN($A456)-LEN(SUBSTITUTE($A456,"|",""))=12, RIGHT(A456, LEN(A456)-FIND("~", SUBSTITUTE(A456,"|","~", LEN(A456)-LEN(SUBSTITUTE(A456,"|",""))))),
    LEN($A456)-LEN(SUBSTITUTE($A456,"|",""))=13, MID($A456, FIND("~", SUBSTITUTE($A456,"|","~", 11))+1, FIND("~", SUBSTITUTE($A456,"|","~", 12))-FIND("~", SUBSTITUTE($A456,"|","~", 11))-1),
    LEN($A456)-LEN(SUBSTITUTE($A456,"|",""))=14, MID($A456, FIND("~", SUBSTITUTE($A456,"|","~", 11))+1, FIND("~", SUBSTITUTE($A456,"|","~", 12))-FIND("~", SUBSTITUTE($A456,"|","~", 11))-1)
), "")</f>
        <v>5A5658</v>
      </c>
      <c r="M456" s="47" t="str">
        <f t="shared" si="65"/>
        <v>TSK2</v>
      </c>
      <c r="N456" s="46" t="str">
        <f t="shared" si="68"/>
        <v>FB120351/1/25</v>
      </c>
      <c r="O456" s="60">
        <v>26</v>
      </c>
      <c r="P456" s="60">
        <v>126</v>
      </c>
      <c r="Q456" s="48">
        <v>26</v>
      </c>
      <c r="R456" s="48">
        <v>126</v>
      </c>
      <c r="S456" s="48"/>
      <c r="T456" s="48"/>
      <c r="U456" s="49"/>
      <c r="V456" s="49"/>
      <c r="W456" s="50">
        <f t="shared" si="66"/>
        <v>0</v>
      </c>
      <c r="X456" s="51" t="str">
        <f>IF(A456="", "", IF(COUNTIFS(C$3:C455, C456, D$3:D455, D456, G$3:G455, G456) &gt; 0, "", "11:00"-AW456))</f>
        <v/>
      </c>
      <c r="Y456" s="52" t="str">
        <f t="shared" si="71"/>
        <v/>
      </c>
      <c r="Z456" s="53"/>
      <c r="AA456" s="54"/>
      <c r="AB456" s="53"/>
      <c r="AC456" s="54"/>
      <c r="AD456" s="53"/>
      <c r="AE456" s="54"/>
      <c r="AF456" s="53"/>
      <c r="AG456" s="54"/>
      <c r="AH456" s="55">
        <v>4.1666666666666699E-2</v>
      </c>
      <c r="AI456" s="53"/>
      <c r="AJ456" s="54"/>
      <c r="AK456" s="53"/>
      <c r="AL456" s="54"/>
      <c r="AM456" s="53"/>
      <c r="AN456" s="54"/>
      <c r="AO456" s="53"/>
      <c r="AP456" s="54"/>
      <c r="AQ456" s="53"/>
      <c r="AR456" s="54"/>
      <c r="AS456" s="53"/>
      <c r="AT456" s="54"/>
      <c r="AU456" s="53">
        <v>4.1666666666666699E-2</v>
      </c>
      <c r="AV456" s="54" t="s">
        <v>37</v>
      </c>
      <c r="AW456" s="57">
        <f t="shared" si="64"/>
        <v>4.1666666666666699E-2</v>
      </c>
      <c r="AX456" s="58" t="s">
        <v>260</v>
      </c>
    </row>
    <row r="457" spans="1:50" ht="21.75" customHeight="1">
      <c r="A457" s="38" t="s">
        <v>449</v>
      </c>
      <c r="B457" s="39">
        <f t="shared" si="63"/>
        <v>453</v>
      </c>
      <c r="C457" s="40">
        <v>46035</v>
      </c>
      <c r="D457" s="40" t="s">
        <v>32</v>
      </c>
      <c r="E457" s="40" t="s">
        <v>81</v>
      </c>
      <c r="F457" s="41">
        <v>756.8</v>
      </c>
      <c r="G457" s="42" t="s">
        <v>192</v>
      </c>
      <c r="H457" s="43" t="str">
        <f>IFERROR(VLOOKUP($J457,'[9]FROM (3)'!$E$4:$F$230,2,FALSE),"")</f>
        <v>JATH</v>
      </c>
      <c r="I457" s="44" t="str">
        <f t="shared" si="69"/>
        <v>JGF02-002190-31-2</v>
      </c>
      <c r="J457" s="44" t="str">
        <f t="shared" si="70"/>
        <v>RACK BAR BLANK (JGF02-002190-31-2) 5K45</v>
      </c>
      <c r="K457" s="59" t="str">
        <f t="shared" si="67"/>
        <v>PD25121243</v>
      </c>
      <c r="L457" s="46" t="str" cm="1">
        <f t="array" ref="L457">IFERROR(_xlfn.IFS(
    LEN($A457)-LEN(SUBSTITUTE($A457,"|",""))=12, RIGHT(A457, LEN(A457)-FIND("~", SUBSTITUTE(A457,"|","~", LEN(A457)-LEN(SUBSTITUTE(A457,"|",""))))),
    LEN($A457)-LEN(SUBSTITUTE($A457,"|",""))=13, MID($A457, FIND("~", SUBSTITUTE($A457,"|","~", 11))+1, FIND("~", SUBSTITUTE($A457,"|","~", 12))-FIND("~", SUBSTITUTE($A457,"|","~", 11))-1),
    LEN($A457)-LEN(SUBSTITUTE($A457,"|",""))=14, MID($A457, FIND("~", SUBSTITUTE($A457,"|","~", 11))+1, FIND("~", SUBSTITUTE($A457,"|","~", 12))-FIND("~", SUBSTITUTE($A457,"|","~", 11))-1)
), "")</f>
        <v>5A5658</v>
      </c>
      <c r="M457" s="47" t="str">
        <f t="shared" si="65"/>
        <v>TSK2</v>
      </c>
      <c r="N457" s="46" t="str">
        <f t="shared" si="68"/>
        <v>FB120351/3/25</v>
      </c>
      <c r="O457" s="60">
        <v>58</v>
      </c>
      <c r="P457" s="60">
        <v>280</v>
      </c>
      <c r="Q457" s="48">
        <v>58</v>
      </c>
      <c r="R457" s="48">
        <v>280</v>
      </c>
      <c r="S457" s="48"/>
      <c r="T457" s="48"/>
      <c r="U457" s="49"/>
      <c r="V457" s="49"/>
      <c r="W457" s="50">
        <f t="shared" si="66"/>
        <v>0</v>
      </c>
      <c r="X457" s="51" t="str">
        <f>IF(A457="", "", IF(COUNTIFS(C$3:C456, C457, D$3:D456, D457, G$3:G456, G457) &gt; 0, "", "11:00"-AW457))</f>
        <v/>
      </c>
      <c r="Y457" s="52" t="str">
        <f t="shared" si="71"/>
        <v/>
      </c>
      <c r="Z457" s="53"/>
      <c r="AA457" s="54"/>
      <c r="AB457" s="53"/>
      <c r="AC457" s="54"/>
      <c r="AD457" s="53"/>
      <c r="AE457" s="54"/>
      <c r="AF457" s="53"/>
      <c r="AG457" s="54"/>
      <c r="AH457" s="55">
        <v>4.1666666666666699E-2</v>
      </c>
      <c r="AI457" s="53"/>
      <c r="AJ457" s="54"/>
      <c r="AK457" s="53"/>
      <c r="AL457" s="54"/>
      <c r="AM457" s="53"/>
      <c r="AN457" s="54"/>
      <c r="AO457" s="53"/>
      <c r="AP457" s="54"/>
      <c r="AQ457" s="53"/>
      <c r="AR457" s="54"/>
      <c r="AS457" s="53"/>
      <c r="AT457" s="54"/>
      <c r="AU457" s="53">
        <v>4.1666666666666699E-2</v>
      </c>
      <c r="AV457" s="54" t="s">
        <v>37</v>
      </c>
      <c r="AW457" s="57">
        <f t="shared" si="64"/>
        <v>4.1666666666666699E-2</v>
      </c>
      <c r="AX457" s="58" t="s">
        <v>260</v>
      </c>
    </row>
    <row r="458" spans="1:50" ht="21.75" customHeight="1">
      <c r="A458" s="38" t="s">
        <v>450</v>
      </c>
      <c r="B458" s="39">
        <f t="shared" ref="B458:B521" si="72">IF(A458="","",B457+1)</f>
        <v>454</v>
      </c>
      <c r="C458" s="40">
        <v>46035</v>
      </c>
      <c r="D458" s="40" t="s">
        <v>32</v>
      </c>
      <c r="E458" s="40" t="s">
        <v>81</v>
      </c>
      <c r="F458" s="41">
        <v>756.8</v>
      </c>
      <c r="G458" s="42" t="s">
        <v>192</v>
      </c>
      <c r="H458" s="43" t="str">
        <f>IFERROR(VLOOKUP($J458,'[9]FROM (3)'!$E$4:$F$230,2,FALSE),"")</f>
        <v>JATH</v>
      </c>
      <c r="I458" s="44" t="str">
        <f t="shared" si="69"/>
        <v>JGF02-002190-31-2</v>
      </c>
      <c r="J458" s="44" t="str">
        <f t="shared" si="70"/>
        <v>RACK BAR BLANK (JGF02-002190-31-2) 5K45</v>
      </c>
      <c r="K458" s="59" t="str">
        <f t="shared" si="67"/>
        <v>PD25121243</v>
      </c>
      <c r="L458" s="46" t="str" cm="1">
        <f t="array" ref="L458">IFERROR(_xlfn.IFS(
    LEN($A458)-LEN(SUBSTITUTE($A458,"|",""))=12, RIGHT(A458, LEN(A458)-FIND("~", SUBSTITUTE(A458,"|","~", LEN(A458)-LEN(SUBSTITUTE(A458,"|",""))))),
    LEN($A458)-LEN(SUBSTITUTE($A458,"|",""))=13, MID($A458, FIND("~", SUBSTITUTE($A458,"|","~", 11))+1, FIND("~", SUBSTITUTE($A458,"|","~", 12))-FIND("~", SUBSTITUTE($A458,"|","~", 11))-1),
    LEN($A458)-LEN(SUBSTITUTE($A458,"|",""))=14, MID($A458, FIND("~", SUBSTITUTE($A458,"|","~", 11))+1, FIND("~", SUBSTITUTE($A458,"|","~", 12))-FIND("~", SUBSTITUTE($A458,"|","~", 11))-1)
), "")</f>
        <v>5A5658</v>
      </c>
      <c r="M458" s="47" t="str">
        <f t="shared" si="65"/>
        <v>TSK2</v>
      </c>
      <c r="N458" s="46" t="str">
        <f t="shared" si="68"/>
        <v>FB120351/9/25</v>
      </c>
      <c r="O458" s="60">
        <v>58</v>
      </c>
      <c r="P458" s="60">
        <v>280</v>
      </c>
      <c r="Q458" s="48">
        <v>58</v>
      </c>
      <c r="R458" s="48">
        <v>280</v>
      </c>
      <c r="S458" s="48"/>
      <c r="T458" s="48"/>
      <c r="U458" s="49"/>
      <c r="V458" s="49"/>
      <c r="W458" s="50">
        <f t="shared" si="66"/>
        <v>0</v>
      </c>
      <c r="X458" s="51" t="str">
        <f>IF(A458="", "", IF(COUNTIFS(C$3:C457, C458, D$3:D457, D458, G$3:G457, G458) &gt; 0, "", "11:00"-AW458))</f>
        <v/>
      </c>
      <c r="Y458" s="52" t="str">
        <f t="shared" si="71"/>
        <v/>
      </c>
      <c r="Z458" s="53"/>
      <c r="AA458" s="54"/>
      <c r="AB458" s="53"/>
      <c r="AC458" s="54"/>
      <c r="AD458" s="53"/>
      <c r="AE458" s="54"/>
      <c r="AF458" s="53"/>
      <c r="AG458" s="54"/>
      <c r="AH458" s="55">
        <v>4.1666666666666699E-2</v>
      </c>
      <c r="AI458" s="53"/>
      <c r="AJ458" s="54"/>
      <c r="AK458" s="53"/>
      <c r="AL458" s="54"/>
      <c r="AM458" s="53"/>
      <c r="AN458" s="54"/>
      <c r="AO458" s="53"/>
      <c r="AP458" s="54"/>
      <c r="AQ458" s="53"/>
      <c r="AR458" s="54"/>
      <c r="AS458" s="53"/>
      <c r="AT458" s="54"/>
      <c r="AU458" s="53">
        <v>4.1666666666666699E-2</v>
      </c>
      <c r="AV458" s="54" t="s">
        <v>37</v>
      </c>
      <c r="AW458" s="57">
        <f t="shared" si="64"/>
        <v>4.1666666666666699E-2</v>
      </c>
      <c r="AX458" s="58" t="s">
        <v>260</v>
      </c>
    </row>
    <row r="459" spans="1:50" ht="21.75" customHeight="1">
      <c r="A459" s="38" t="s">
        <v>451</v>
      </c>
      <c r="B459" s="39">
        <f t="shared" si="72"/>
        <v>455</v>
      </c>
      <c r="C459" s="40">
        <v>46035</v>
      </c>
      <c r="D459" s="40" t="s">
        <v>32</v>
      </c>
      <c r="E459" s="40" t="s">
        <v>81</v>
      </c>
      <c r="F459" s="41">
        <v>756.8</v>
      </c>
      <c r="G459" s="42" t="s">
        <v>192</v>
      </c>
      <c r="H459" s="43" t="str">
        <f>IFERROR(VLOOKUP($J459,'[9]FROM (3)'!$E$4:$F$230,2,FALSE),"")</f>
        <v>JATH</v>
      </c>
      <c r="I459" s="44" t="str">
        <f t="shared" si="69"/>
        <v>JGF02-002190-31-2</v>
      </c>
      <c r="J459" s="44" t="str">
        <f t="shared" si="70"/>
        <v>RACK BAR BLANK (JGF02-002190-31-2) 5K45</v>
      </c>
      <c r="K459" s="59" t="str">
        <f t="shared" si="67"/>
        <v>PD25121243</v>
      </c>
      <c r="L459" s="46" t="str" cm="1">
        <f t="array" ref="L459">IFERROR(_xlfn.IFS(
    LEN($A459)-LEN(SUBSTITUTE($A459,"|",""))=12, RIGHT(A459, LEN(A459)-FIND("~", SUBSTITUTE(A459,"|","~", LEN(A459)-LEN(SUBSTITUTE(A459,"|",""))))),
    LEN($A459)-LEN(SUBSTITUTE($A459,"|",""))=13, MID($A459, FIND("~", SUBSTITUTE($A459,"|","~", 11))+1, FIND("~", SUBSTITUTE($A459,"|","~", 12))-FIND("~", SUBSTITUTE($A459,"|","~", 11))-1),
    LEN($A459)-LEN(SUBSTITUTE($A459,"|",""))=14, MID($A459, FIND("~", SUBSTITUTE($A459,"|","~", 11))+1, FIND("~", SUBSTITUTE($A459,"|","~", 12))-FIND("~", SUBSTITUTE($A459,"|","~", 11))-1)
), "")</f>
        <v>5A5658</v>
      </c>
      <c r="M459" s="47" t="str">
        <f t="shared" si="65"/>
        <v>TSK2</v>
      </c>
      <c r="N459" s="46" t="str">
        <f t="shared" si="68"/>
        <v>FB120351/7/25</v>
      </c>
      <c r="O459" s="60">
        <v>58</v>
      </c>
      <c r="P459" s="60">
        <v>280</v>
      </c>
      <c r="Q459" s="48">
        <v>58</v>
      </c>
      <c r="R459" s="48">
        <v>280</v>
      </c>
      <c r="S459" s="48"/>
      <c r="T459" s="48"/>
      <c r="U459" s="49"/>
      <c r="V459" s="49"/>
      <c r="W459" s="50">
        <f t="shared" si="66"/>
        <v>0</v>
      </c>
      <c r="X459" s="51" t="str">
        <f>IF(A459="", "", IF(COUNTIFS(C$3:C458, C459, D$3:D458, D459, G$3:G458, G459) &gt; 0, "", "11:00"-AW459))</f>
        <v/>
      </c>
      <c r="Y459" s="52" t="str">
        <f t="shared" si="71"/>
        <v/>
      </c>
      <c r="Z459" s="53"/>
      <c r="AA459" s="54"/>
      <c r="AB459" s="53"/>
      <c r="AC459" s="54"/>
      <c r="AD459" s="53"/>
      <c r="AE459" s="54"/>
      <c r="AF459" s="53"/>
      <c r="AG459" s="54"/>
      <c r="AH459" s="55">
        <v>4.1666666666666699E-2</v>
      </c>
      <c r="AI459" s="53"/>
      <c r="AJ459" s="54"/>
      <c r="AK459" s="53"/>
      <c r="AL459" s="54"/>
      <c r="AM459" s="53"/>
      <c r="AN459" s="54"/>
      <c r="AO459" s="53"/>
      <c r="AP459" s="54"/>
      <c r="AQ459" s="53"/>
      <c r="AR459" s="54"/>
      <c r="AS459" s="53"/>
      <c r="AT459" s="54"/>
      <c r="AU459" s="53">
        <v>4.1666666666666699E-2</v>
      </c>
      <c r="AV459" s="54" t="s">
        <v>37</v>
      </c>
      <c r="AW459" s="57">
        <f t="shared" si="64"/>
        <v>4.1666666666666699E-2</v>
      </c>
      <c r="AX459" s="58" t="s">
        <v>260</v>
      </c>
    </row>
    <row r="460" spans="1:50" ht="21.75" customHeight="1">
      <c r="A460" s="38" t="s">
        <v>452</v>
      </c>
      <c r="B460" s="39">
        <f t="shared" si="72"/>
        <v>456</v>
      </c>
      <c r="C460" s="40">
        <v>46035</v>
      </c>
      <c r="D460" s="40" t="s">
        <v>32</v>
      </c>
      <c r="E460" s="40" t="s">
        <v>81</v>
      </c>
      <c r="F460" s="41">
        <v>756.8</v>
      </c>
      <c r="G460" s="42" t="s">
        <v>192</v>
      </c>
      <c r="H460" s="43" t="str">
        <f>IFERROR(VLOOKUP($J460,'[9]FROM (3)'!$E$4:$F$230,2,FALSE),"")</f>
        <v>JATH</v>
      </c>
      <c r="I460" s="44" t="str">
        <f t="shared" si="69"/>
        <v>JGF02-002190-31-2</v>
      </c>
      <c r="J460" s="44" t="str">
        <f t="shared" si="70"/>
        <v>RACK BAR BLANK (JGF02-002190-31-2) 5K45</v>
      </c>
      <c r="K460" s="59" t="str">
        <f t="shared" si="67"/>
        <v>PD25121243</v>
      </c>
      <c r="L460" s="46" t="str" cm="1">
        <f t="array" ref="L460">IFERROR(_xlfn.IFS(
    LEN($A460)-LEN(SUBSTITUTE($A460,"|",""))=12, RIGHT(A460, LEN(A460)-FIND("~", SUBSTITUTE(A460,"|","~", LEN(A460)-LEN(SUBSTITUTE(A460,"|",""))))),
    LEN($A460)-LEN(SUBSTITUTE($A460,"|",""))=13, MID($A460, FIND("~", SUBSTITUTE($A460,"|","~", 11))+1, FIND("~", SUBSTITUTE($A460,"|","~", 12))-FIND("~", SUBSTITUTE($A460,"|","~", 11))-1),
    LEN($A460)-LEN(SUBSTITUTE($A460,"|",""))=14, MID($A460, FIND("~", SUBSTITUTE($A460,"|","~", 11))+1, FIND("~", SUBSTITUTE($A460,"|","~", 12))-FIND("~", SUBSTITUTE($A460,"|","~", 11))-1)
), "")</f>
        <v>5A5658</v>
      </c>
      <c r="M460" s="47" t="str">
        <f t="shared" si="65"/>
        <v>TSK2</v>
      </c>
      <c r="N460" s="46" t="str">
        <f t="shared" si="68"/>
        <v>FB120351/8/25</v>
      </c>
      <c r="O460" s="60">
        <v>58</v>
      </c>
      <c r="P460" s="60">
        <v>280</v>
      </c>
      <c r="Q460" s="48">
        <v>58</v>
      </c>
      <c r="R460" s="48">
        <v>280</v>
      </c>
      <c r="S460" s="48"/>
      <c r="T460" s="48"/>
      <c r="U460" s="49"/>
      <c r="V460" s="49"/>
      <c r="W460" s="50">
        <f t="shared" si="66"/>
        <v>0</v>
      </c>
      <c r="X460" s="51" t="str">
        <f>IF(A460="", "", IF(COUNTIFS(C$3:C459, C460, D$3:D459, D460, G$3:G459, G460) &gt; 0, "", "11:00"-AW460))</f>
        <v/>
      </c>
      <c r="Y460" s="52" t="str">
        <f t="shared" si="71"/>
        <v/>
      </c>
      <c r="Z460" s="53"/>
      <c r="AA460" s="54"/>
      <c r="AB460" s="53"/>
      <c r="AC460" s="54"/>
      <c r="AD460" s="53"/>
      <c r="AE460" s="54"/>
      <c r="AF460" s="53"/>
      <c r="AG460" s="54"/>
      <c r="AH460" s="55">
        <v>4.1666666666666699E-2</v>
      </c>
      <c r="AI460" s="53"/>
      <c r="AJ460" s="54"/>
      <c r="AK460" s="53"/>
      <c r="AL460" s="54"/>
      <c r="AM460" s="53"/>
      <c r="AN460" s="54"/>
      <c r="AO460" s="53"/>
      <c r="AP460" s="54"/>
      <c r="AQ460" s="53"/>
      <c r="AR460" s="54"/>
      <c r="AS460" s="53"/>
      <c r="AT460" s="54"/>
      <c r="AU460" s="53">
        <v>4.1666666666666699E-2</v>
      </c>
      <c r="AV460" s="54" t="s">
        <v>37</v>
      </c>
      <c r="AW460" s="57">
        <f t="shared" si="64"/>
        <v>4.1666666666666699E-2</v>
      </c>
      <c r="AX460" s="58" t="s">
        <v>260</v>
      </c>
    </row>
    <row r="461" spans="1:50" ht="21.75" customHeight="1">
      <c r="A461" s="38" t="s">
        <v>453</v>
      </c>
      <c r="B461" s="39">
        <f t="shared" si="72"/>
        <v>457</v>
      </c>
      <c r="C461" s="40">
        <v>46035</v>
      </c>
      <c r="D461" s="40" t="s">
        <v>32</v>
      </c>
      <c r="E461" s="40" t="s">
        <v>81</v>
      </c>
      <c r="F461" s="41">
        <v>756.8</v>
      </c>
      <c r="G461" s="42" t="s">
        <v>192</v>
      </c>
      <c r="H461" s="43" t="str">
        <f>IFERROR(VLOOKUP($J461,'[9]FROM (3)'!$E$4:$F$230,2,FALSE),"")</f>
        <v>JATH</v>
      </c>
      <c r="I461" s="44" t="str">
        <f t="shared" si="69"/>
        <v>JGF02-002190-31-2</v>
      </c>
      <c r="J461" s="44" t="str">
        <f t="shared" si="70"/>
        <v>RACK BAR BLANK (JGF02-002190-31-2) 5K45</v>
      </c>
      <c r="K461" s="59" t="str">
        <f t="shared" si="67"/>
        <v>PD25121243</v>
      </c>
      <c r="L461" s="46" t="str" cm="1">
        <f t="array" ref="L461">IFERROR(_xlfn.IFS(
    LEN($A461)-LEN(SUBSTITUTE($A461,"|",""))=12, RIGHT(A461, LEN(A461)-FIND("~", SUBSTITUTE(A461,"|","~", LEN(A461)-LEN(SUBSTITUTE(A461,"|",""))))),
    LEN($A461)-LEN(SUBSTITUTE($A461,"|",""))=13, MID($A461, FIND("~", SUBSTITUTE($A461,"|","~", 11))+1, FIND("~", SUBSTITUTE($A461,"|","~", 12))-FIND("~", SUBSTITUTE($A461,"|","~", 11))-1),
    LEN($A461)-LEN(SUBSTITUTE($A461,"|",""))=14, MID($A461, FIND("~", SUBSTITUTE($A461,"|","~", 11))+1, FIND("~", SUBSTITUTE($A461,"|","~", 12))-FIND("~", SUBSTITUTE($A461,"|","~", 11))-1)
), "")</f>
        <v>5A5658</v>
      </c>
      <c r="M461" s="47" t="str">
        <f t="shared" si="65"/>
        <v>TSK2</v>
      </c>
      <c r="N461" s="46" t="str">
        <f t="shared" si="68"/>
        <v>FB120351/10/25</v>
      </c>
      <c r="O461" s="60">
        <v>58</v>
      </c>
      <c r="P461" s="60">
        <v>280</v>
      </c>
      <c r="Q461" s="48">
        <v>58</v>
      </c>
      <c r="R461" s="48">
        <v>280</v>
      </c>
      <c r="S461" s="48"/>
      <c r="T461" s="48"/>
      <c r="U461" s="49"/>
      <c r="V461" s="49"/>
      <c r="W461" s="50">
        <f t="shared" si="66"/>
        <v>0</v>
      </c>
      <c r="X461" s="51" t="str">
        <f>IF(A461="", "", IF(COUNTIFS(C$3:C460, C461, D$3:D460, D461, G$3:G460, G461) &gt; 0, "", "11:00"-AW461))</f>
        <v/>
      </c>
      <c r="Y461" s="52" t="str">
        <f t="shared" si="71"/>
        <v/>
      </c>
      <c r="Z461" s="53"/>
      <c r="AA461" s="54"/>
      <c r="AB461" s="53"/>
      <c r="AC461" s="54"/>
      <c r="AD461" s="53"/>
      <c r="AE461" s="54"/>
      <c r="AF461" s="53"/>
      <c r="AG461" s="54"/>
      <c r="AH461" s="55">
        <v>4.1666666666666699E-2</v>
      </c>
      <c r="AI461" s="53"/>
      <c r="AJ461" s="54"/>
      <c r="AK461" s="53"/>
      <c r="AL461" s="54"/>
      <c r="AM461" s="53"/>
      <c r="AN461" s="54"/>
      <c r="AO461" s="53"/>
      <c r="AP461" s="54"/>
      <c r="AQ461" s="53"/>
      <c r="AR461" s="54"/>
      <c r="AS461" s="53"/>
      <c r="AT461" s="54"/>
      <c r="AU461" s="53">
        <v>4.1666666666666699E-2</v>
      </c>
      <c r="AV461" s="54" t="s">
        <v>37</v>
      </c>
      <c r="AW461" s="57">
        <f t="shared" si="64"/>
        <v>4.1666666666666699E-2</v>
      </c>
      <c r="AX461" s="58" t="s">
        <v>260</v>
      </c>
    </row>
    <row r="462" spans="1:50" ht="21.75" customHeight="1">
      <c r="A462" s="38" t="s">
        <v>454</v>
      </c>
      <c r="B462" s="39">
        <f t="shared" si="72"/>
        <v>458</v>
      </c>
      <c r="C462" s="40">
        <v>46035</v>
      </c>
      <c r="D462" s="40" t="s">
        <v>32</v>
      </c>
      <c r="E462" s="40" t="s">
        <v>81</v>
      </c>
      <c r="F462" s="41">
        <v>756.8</v>
      </c>
      <c r="G462" s="42" t="s">
        <v>192</v>
      </c>
      <c r="H462" s="43" t="str">
        <f>IFERROR(VLOOKUP($J462,'[9]FROM (3)'!$E$4:$F$230,2,FALSE),"")</f>
        <v>JATH</v>
      </c>
      <c r="I462" s="44" t="str">
        <f t="shared" si="69"/>
        <v>JGF02-002190-31-2</v>
      </c>
      <c r="J462" s="44" t="str">
        <f t="shared" si="70"/>
        <v>RACK BAR BLANK (JGF02-002190-31-2) 5K45</v>
      </c>
      <c r="K462" s="59" t="str">
        <f t="shared" si="67"/>
        <v>PD25121243</v>
      </c>
      <c r="L462" s="46" t="str" cm="1">
        <f t="array" ref="L462">IFERROR(_xlfn.IFS(
    LEN($A462)-LEN(SUBSTITUTE($A462,"|",""))=12, RIGHT(A462, LEN(A462)-FIND("~", SUBSTITUTE(A462,"|","~", LEN(A462)-LEN(SUBSTITUTE(A462,"|",""))))),
    LEN($A462)-LEN(SUBSTITUTE($A462,"|",""))=13, MID($A462, FIND("~", SUBSTITUTE($A462,"|","~", 11))+1, FIND("~", SUBSTITUTE($A462,"|","~", 12))-FIND("~", SUBSTITUTE($A462,"|","~", 11))-1),
    LEN($A462)-LEN(SUBSTITUTE($A462,"|",""))=14, MID($A462, FIND("~", SUBSTITUTE($A462,"|","~", 11))+1, FIND("~", SUBSTITUTE($A462,"|","~", 12))-FIND("~", SUBSTITUTE($A462,"|","~", 11))-1)
), "")</f>
        <v>5A5658</v>
      </c>
      <c r="M462" s="47" t="str">
        <f t="shared" si="65"/>
        <v>TSK2</v>
      </c>
      <c r="N462" s="46" t="str">
        <f t="shared" si="68"/>
        <v>FB120351/6/25</v>
      </c>
      <c r="O462" s="60">
        <v>58</v>
      </c>
      <c r="P462" s="60">
        <v>280</v>
      </c>
      <c r="Q462" s="48">
        <v>58</v>
      </c>
      <c r="R462" s="48">
        <v>280</v>
      </c>
      <c r="S462" s="48"/>
      <c r="T462" s="48"/>
      <c r="U462" s="49"/>
      <c r="V462" s="49"/>
      <c r="W462" s="50">
        <f t="shared" si="66"/>
        <v>0</v>
      </c>
      <c r="X462" s="51" t="str">
        <f>IF(A462="", "", IF(COUNTIFS(C$3:C461, C462, D$3:D461, D462, G$3:G461, G462) &gt; 0, "", "11:00"-AW462))</f>
        <v/>
      </c>
      <c r="Y462" s="52" t="str">
        <f t="shared" si="71"/>
        <v/>
      </c>
      <c r="Z462" s="53"/>
      <c r="AA462" s="54"/>
      <c r="AB462" s="53"/>
      <c r="AC462" s="54"/>
      <c r="AD462" s="53"/>
      <c r="AE462" s="54"/>
      <c r="AF462" s="53"/>
      <c r="AG462" s="54"/>
      <c r="AH462" s="55">
        <v>4.1666666666666699E-2</v>
      </c>
      <c r="AI462" s="53"/>
      <c r="AJ462" s="54"/>
      <c r="AK462" s="53"/>
      <c r="AL462" s="54"/>
      <c r="AM462" s="53"/>
      <c r="AN462" s="54"/>
      <c r="AO462" s="53"/>
      <c r="AP462" s="54"/>
      <c r="AQ462" s="53"/>
      <c r="AR462" s="54"/>
      <c r="AS462" s="53"/>
      <c r="AT462" s="54"/>
      <c r="AU462" s="53">
        <v>4.1666666666666699E-2</v>
      </c>
      <c r="AV462" s="54" t="s">
        <v>37</v>
      </c>
      <c r="AW462" s="57">
        <f t="shared" si="64"/>
        <v>4.1666666666666699E-2</v>
      </c>
      <c r="AX462" s="15" t="s">
        <v>260</v>
      </c>
    </row>
    <row r="463" spans="1:50" ht="21.75" customHeight="1">
      <c r="A463" s="38" t="s">
        <v>407</v>
      </c>
      <c r="B463" s="39">
        <f t="shared" si="72"/>
        <v>459</v>
      </c>
      <c r="C463" s="40">
        <v>46035</v>
      </c>
      <c r="D463" s="40" t="s">
        <v>32</v>
      </c>
      <c r="E463" s="40" t="s">
        <v>81</v>
      </c>
      <c r="F463" s="41">
        <v>597.4</v>
      </c>
      <c r="G463" s="42" t="s">
        <v>66</v>
      </c>
      <c r="H463" s="43" t="str">
        <f>IFERROR(VLOOKUP($J463,'[9]FROM (3)'!$E$4:$F$230,2,FALSE),"")</f>
        <v>JTCS</v>
      </c>
      <c r="I463" s="44" t="str">
        <f t="shared" si="69"/>
        <v>Rack, MS</v>
      </c>
      <c r="J463" s="44" t="str">
        <f t="shared" si="70"/>
        <v>JGC10-003770-40-0</v>
      </c>
      <c r="K463" s="59" t="str">
        <f t="shared" si="67"/>
        <v>PD26010412</v>
      </c>
      <c r="L463" s="46" t="str" cm="1">
        <f t="array" ref="L463">IFERROR(_xlfn.IFS(
    LEN($A463)-LEN(SUBSTITUTE($A463,"|",""))=12, RIGHT(A463, LEN(A463)-FIND("~", SUBSTITUTE(A463,"|","~", LEN(A463)-LEN(SUBSTITUTE(A463,"|",""))))),
    LEN($A463)-LEN(SUBSTITUTE($A463,"|",""))=13, MID($A463, FIND("~", SUBSTITUTE($A463,"|","~", 11))+1, FIND("~", SUBSTITUTE($A463,"|","~", 12))-FIND("~", SUBSTITUTE($A463,"|","~", 11))-1),
    LEN($A463)-LEN(SUBSTITUTE($A463,"|",""))=14, MID($A463, FIND("~", SUBSTITUTE($A463,"|","~", 11))+1, FIND("~", SUBSTITUTE($A463,"|","~", 12))-FIND("~", SUBSTITUTE($A463,"|","~", 11))-1)
), "")</f>
        <v>E585970</v>
      </c>
      <c r="M463" s="47" t="str">
        <f t="shared" si="65"/>
        <v>SB010034/1/26</v>
      </c>
      <c r="N463" s="46" t="str">
        <f t="shared" si="68"/>
        <v/>
      </c>
      <c r="O463" s="60">
        <v>55</v>
      </c>
      <c r="P463" s="60">
        <v>620</v>
      </c>
      <c r="Q463" s="48">
        <v>275</v>
      </c>
      <c r="R463" s="48">
        <v>583</v>
      </c>
      <c r="S463" s="48"/>
      <c r="T463" s="48"/>
      <c r="U463" s="49"/>
      <c r="V463" s="49"/>
      <c r="W463" s="50">
        <f t="shared" si="66"/>
        <v>0</v>
      </c>
      <c r="X463" s="51">
        <f>IF(A463="", "", IF(COUNTIFS(C$3:C462, C463, D$3:D462, D463, G$3:G462, G463) &gt; 0, "", "11:00"-AW463))</f>
        <v>0.33333333333333326</v>
      </c>
      <c r="Y463" s="52" t="str">
        <f t="shared" si="71"/>
        <v>1:40</v>
      </c>
      <c r="Z463" s="53">
        <v>4.1666666666666664E-2</v>
      </c>
      <c r="AA463" s="54" t="s">
        <v>67</v>
      </c>
      <c r="AB463" s="53"/>
      <c r="AC463" s="54"/>
      <c r="AD463" s="53"/>
      <c r="AE463" s="54"/>
      <c r="AF463" s="53"/>
      <c r="AG463" s="54"/>
      <c r="AH463" s="55">
        <v>4.1666666666666699E-2</v>
      </c>
      <c r="AI463" s="53"/>
      <c r="AJ463" s="54"/>
      <c r="AK463" s="53"/>
      <c r="AL463" s="54"/>
      <c r="AM463" s="53"/>
      <c r="AN463" s="54"/>
      <c r="AO463" s="53"/>
      <c r="AP463" s="54"/>
      <c r="AQ463" s="53"/>
      <c r="AR463" s="54"/>
      <c r="AS463" s="53">
        <v>4.1666666666666664E-2</v>
      </c>
      <c r="AT463" s="54" t="s">
        <v>147</v>
      </c>
      <c r="AU463" s="53">
        <v>4.1666666666666699E-2</v>
      </c>
      <c r="AV463" s="54" t="s">
        <v>37</v>
      </c>
      <c r="AW463" s="57">
        <f t="shared" si="64"/>
        <v>0.12500000000000003</v>
      </c>
      <c r="AX463" s="58" t="s">
        <v>68</v>
      </c>
    </row>
    <row r="464" spans="1:50" ht="21.75" customHeight="1">
      <c r="A464" s="38" t="s">
        <v>455</v>
      </c>
      <c r="B464" s="39">
        <f t="shared" si="72"/>
        <v>460</v>
      </c>
      <c r="C464" s="40">
        <v>46035</v>
      </c>
      <c r="D464" s="40" t="s">
        <v>32</v>
      </c>
      <c r="E464" s="40" t="s">
        <v>81</v>
      </c>
      <c r="F464" s="41">
        <v>597.4</v>
      </c>
      <c r="G464" s="42" t="s">
        <v>66</v>
      </c>
      <c r="H464" s="43" t="str">
        <f>IFERROR(VLOOKUP($J464,'[9]FROM (3)'!$E$4:$F$230,2,FALSE),"")</f>
        <v>JTCS</v>
      </c>
      <c r="I464" s="44" t="str">
        <f t="shared" si="69"/>
        <v>Rack, MS</v>
      </c>
      <c r="J464" s="44" t="str">
        <f t="shared" si="70"/>
        <v>JGC10-003770-40-0</v>
      </c>
      <c r="K464" s="59" t="str">
        <f t="shared" si="67"/>
        <v>PD26010412</v>
      </c>
      <c r="L464" s="46" t="str" cm="1">
        <f t="array" ref="L464">IFERROR(_xlfn.IFS(
    LEN($A464)-LEN(SUBSTITUTE($A464,"|",""))=12, RIGHT(A464, LEN(A464)-FIND("~", SUBSTITUTE(A464,"|","~", LEN(A464)-LEN(SUBSTITUTE(A464,"|",""))))),
    LEN($A464)-LEN(SUBSTITUTE($A464,"|",""))=13, MID($A464, FIND("~", SUBSTITUTE($A464,"|","~", 11))+1, FIND("~", SUBSTITUTE($A464,"|","~", 12))-FIND("~", SUBSTITUTE($A464,"|","~", 11))-1),
    LEN($A464)-LEN(SUBSTITUTE($A464,"|",""))=14, MID($A464, FIND("~", SUBSTITUTE($A464,"|","~", 11))+1, FIND("~", SUBSTITUTE($A464,"|","~", 12))-FIND("~", SUBSTITUTE($A464,"|","~", 11))-1)
), "")</f>
        <v>E585970</v>
      </c>
      <c r="M464" s="47" t="str">
        <f t="shared" si="65"/>
        <v>SB010034/2/26</v>
      </c>
      <c r="N464" s="46" t="str">
        <f t="shared" si="68"/>
        <v/>
      </c>
      <c r="O464" s="60">
        <v>80</v>
      </c>
      <c r="P464" s="60">
        <v>902</v>
      </c>
      <c r="Q464" s="48">
        <v>400</v>
      </c>
      <c r="R464" s="48">
        <v>848</v>
      </c>
      <c r="S464" s="48"/>
      <c r="T464" s="48"/>
      <c r="U464" s="49">
        <v>136</v>
      </c>
      <c r="V464" s="49">
        <v>9</v>
      </c>
      <c r="W464" s="50">
        <f t="shared" si="66"/>
        <v>145</v>
      </c>
      <c r="X464" s="51" t="str">
        <f>IF(A464="", "", IF(COUNTIFS(C$3:C463, C464, D$3:D463, D464, G$3:G463, G464) &gt; 0, "", "11:00"-AW464))</f>
        <v/>
      </c>
      <c r="Y464" s="52" t="str">
        <f t="shared" si="71"/>
        <v/>
      </c>
      <c r="Z464" s="53"/>
      <c r="AA464" s="54"/>
      <c r="AB464" s="53"/>
      <c r="AC464" s="54"/>
      <c r="AD464" s="53"/>
      <c r="AE464" s="54"/>
      <c r="AF464" s="53"/>
      <c r="AG464" s="54"/>
      <c r="AH464" s="55">
        <v>4.1666666666666699E-2</v>
      </c>
      <c r="AI464" s="53"/>
      <c r="AJ464" s="54"/>
      <c r="AK464" s="53"/>
      <c r="AL464" s="54"/>
      <c r="AM464" s="53"/>
      <c r="AN464" s="54"/>
      <c r="AO464" s="53"/>
      <c r="AP464" s="54"/>
      <c r="AQ464" s="53"/>
      <c r="AR464" s="54"/>
      <c r="AS464" s="53"/>
      <c r="AT464" s="54"/>
      <c r="AU464" s="53">
        <v>4.1666666666666699E-2</v>
      </c>
      <c r="AV464" s="54" t="s">
        <v>37</v>
      </c>
      <c r="AW464" s="57">
        <f t="shared" si="64"/>
        <v>4.1666666666666699E-2</v>
      </c>
      <c r="AX464" s="58" t="s">
        <v>68</v>
      </c>
    </row>
    <row r="465" spans="1:50" ht="21.75" customHeight="1">
      <c r="A465" s="38" t="s">
        <v>456</v>
      </c>
      <c r="B465" s="39">
        <f t="shared" si="72"/>
        <v>461</v>
      </c>
      <c r="C465" s="40">
        <v>46035</v>
      </c>
      <c r="D465" s="40" t="s">
        <v>32</v>
      </c>
      <c r="E465" s="40" t="s">
        <v>81</v>
      </c>
      <c r="F465" s="41">
        <v>721.5</v>
      </c>
      <c r="G465" s="42" t="s">
        <v>66</v>
      </c>
      <c r="H465" s="43" t="str">
        <f>IFERROR(VLOOKUP($J465,'[9]FROM (3)'!$E$4:$F$230,2,FALSE),"")</f>
        <v>JCTTH</v>
      </c>
      <c r="I465" s="44" t="str">
        <f t="shared" si="69"/>
        <v>RACK POWER STEERING</v>
      </c>
      <c r="J465" s="44" t="str">
        <f t="shared" si="70"/>
        <v>2-30JG-0711</v>
      </c>
      <c r="K465" s="59" t="str">
        <f t="shared" si="67"/>
        <v>PD25121186</v>
      </c>
      <c r="L465" s="46" t="str" cm="1">
        <f t="array" ref="L465">IFERROR(_xlfn.IFS(
    LEN($A465)-LEN(SUBSTITUTE($A465,"|",""))=12, RIGHT(A465, LEN(A465)-FIND("~", SUBSTITUTE(A465,"|","~", LEN(A465)-LEN(SUBSTITUTE(A465,"|",""))))),
    LEN($A465)-LEN(SUBSTITUTE($A465,"|",""))=13, MID($A465, FIND("~", SUBSTITUTE($A465,"|","~", 11))+1, FIND("~", SUBSTITUTE($A465,"|","~", 12))-FIND("~", SUBSTITUTE($A465,"|","~", 11))-1),
    LEN($A465)-LEN(SUBSTITUTE($A465,"|",""))=14, MID($A465, FIND("~", SUBSTITUTE($A465,"|","~", 11))+1, FIND("~", SUBSTITUTE($A465,"|","~", 12))-FIND("~", SUBSTITUTE($A465,"|","~", 11))-1)
), "")</f>
        <v>E586100</v>
      </c>
      <c r="M465" s="47" t="str">
        <f t="shared" si="65"/>
        <v>SB120157/2/25</v>
      </c>
      <c r="N465" s="46" t="str">
        <f t="shared" si="68"/>
        <v/>
      </c>
      <c r="O465" s="60">
        <v>650</v>
      </c>
      <c r="P465" s="60">
        <v>876</v>
      </c>
      <c r="Q465" s="48">
        <v>200</v>
      </c>
      <c r="R465" s="48">
        <v>820</v>
      </c>
      <c r="S465" s="48"/>
      <c r="T465" s="48"/>
      <c r="U465" s="49"/>
      <c r="V465" s="49"/>
      <c r="W465" s="50">
        <f t="shared" si="66"/>
        <v>0</v>
      </c>
      <c r="X465" s="51" t="str">
        <f>IF(A465="", "", IF(COUNTIFS(C$3:C464, C465, D$3:D464, D465, G$3:G464, G465) &gt; 0, "", "11:00"-AW465))</f>
        <v/>
      </c>
      <c r="Y465" s="52" t="str">
        <f t="shared" si="71"/>
        <v/>
      </c>
      <c r="Z465" s="53"/>
      <c r="AA465" s="54"/>
      <c r="AB465" s="53"/>
      <c r="AC465" s="54"/>
      <c r="AD465" s="53"/>
      <c r="AE465" s="54"/>
      <c r="AF465" s="53"/>
      <c r="AG465" s="54"/>
      <c r="AH465" s="55">
        <v>4.1666666666666699E-2</v>
      </c>
      <c r="AI465" s="53"/>
      <c r="AJ465" s="54"/>
      <c r="AK465" s="53"/>
      <c r="AL465" s="54"/>
      <c r="AM465" s="53"/>
      <c r="AN465" s="54"/>
      <c r="AO465" s="53"/>
      <c r="AP465" s="54"/>
      <c r="AQ465" s="53"/>
      <c r="AR465" s="54"/>
      <c r="AS465" s="53"/>
      <c r="AT465" s="54"/>
      <c r="AU465" s="53">
        <v>4.1666666666666699E-2</v>
      </c>
      <c r="AV465" s="54" t="s">
        <v>37</v>
      </c>
      <c r="AW465" s="57">
        <f t="shared" si="64"/>
        <v>4.1666666666666699E-2</v>
      </c>
      <c r="AX465" s="58" t="s">
        <v>68</v>
      </c>
    </row>
    <row r="466" spans="1:50" ht="21.75" customHeight="1">
      <c r="A466" s="38" t="s">
        <v>457</v>
      </c>
      <c r="B466" s="39">
        <f t="shared" si="72"/>
        <v>462</v>
      </c>
      <c r="C466" s="40">
        <v>46035</v>
      </c>
      <c r="D466" s="40" t="s">
        <v>32</v>
      </c>
      <c r="E466" s="40" t="s">
        <v>81</v>
      </c>
      <c r="F466" s="41">
        <v>721.5</v>
      </c>
      <c r="G466" s="42" t="s">
        <v>66</v>
      </c>
      <c r="H466" s="43" t="str">
        <f>IFERROR(VLOOKUP($J466,'[9]FROM (3)'!$E$4:$F$230,2,FALSE),"")</f>
        <v>JCTTH</v>
      </c>
      <c r="I466" s="44" t="str">
        <f t="shared" si="69"/>
        <v>RACK POWER STEERING</v>
      </c>
      <c r="J466" s="44" t="str">
        <f t="shared" si="70"/>
        <v>2-30JG-0711</v>
      </c>
      <c r="K466" s="59" t="str">
        <f t="shared" si="67"/>
        <v>PD25121186</v>
      </c>
      <c r="L466" s="46" t="str" cm="1">
        <f t="array" ref="L466">IFERROR(_xlfn.IFS(
    LEN($A466)-LEN(SUBSTITUTE($A466,"|",""))=12, RIGHT(A466, LEN(A466)-FIND("~", SUBSTITUTE(A466,"|","~", LEN(A466)-LEN(SUBSTITUTE(A466,"|",""))))),
    LEN($A466)-LEN(SUBSTITUTE($A466,"|",""))=13, MID($A466, FIND("~", SUBSTITUTE($A466,"|","~", 11))+1, FIND("~", SUBSTITUTE($A466,"|","~", 12))-FIND("~", SUBSTITUTE($A466,"|","~", 11))-1),
    LEN($A466)-LEN(SUBSTITUTE($A466,"|",""))=14, MID($A466, FIND("~", SUBSTITUTE($A466,"|","~", 11))+1, FIND("~", SUBSTITUTE($A466,"|","~", 12))-FIND("~", SUBSTITUTE($A466,"|","~", 11))-1)
), "")</f>
        <v>E586100</v>
      </c>
      <c r="M466" s="47" t="str">
        <f t="shared" si="65"/>
        <v>SB120157/1/25</v>
      </c>
      <c r="N466" s="46" t="str">
        <f t="shared" si="68"/>
        <v/>
      </c>
      <c r="O466" s="60">
        <v>6</v>
      </c>
      <c r="P466" s="60">
        <v>102</v>
      </c>
      <c r="Q466" s="48">
        <v>23</v>
      </c>
      <c r="R466" s="48">
        <v>94</v>
      </c>
      <c r="S466" s="48"/>
      <c r="T466" s="48"/>
      <c r="U466" s="49"/>
      <c r="V466" s="49"/>
      <c r="W466" s="50">
        <f t="shared" si="66"/>
        <v>0</v>
      </c>
      <c r="X466" s="51" t="str">
        <f>IF(A466="", "", IF(COUNTIFS(C$3:C465, C466, D$3:D465, D466, G$3:G465, G466) &gt; 0, "", "11:00"-AW466))</f>
        <v/>
      </c>
      <c r="Y466" s="52" t="str">
        <f t="shared" si="71"/>
        <v/>
      </c>
      <c r="Z466" s="53"/>
      <c r="AA466" s="54"/>
      <c r="AB466" s="53"/>
      <c r="AC466" s="54"/>
      <c r="AD466" s="53"/>
      <c r="AE466" s="54"/>
      <c r="AF466" s="53"/>
      <c r="AG466" s="54"/>
      <c r="AH466" s="55">
        <v>4.1666666666666699E-2</v>
      </c>
      <c r="AI466" s="53"/>
      <c r="AJ466" s="54"/>
      <c r="AK466" s="53"/>
      <c r="AL466" s="54"/>
      <c r="AM466" s="53"/>
      <c r="AN466" s="54"/>
      <c r="AO466" s="53"/>
      <c r="AP466" s="54"/>
      <c r="AQ466" s="53"/>
      <c r="AR466" s="54"/>
      <c r="AS466" s="53"/>
      <c r="AT466" s="54"/>
      <c r="AU466" s="53">
        <v>4.1666666666666699E-2</v>
      </c>
      <c r="AV466" s="54" t="s">
        <v>37</v>
      </c>
      <c r="AW466" s="57">
        <f t="shared" si="64"/>
        <v>4.1666666666666699E-2</v>
      </c>
      <c r="AX466" s="58" t="s">
        <v>68</v>
      </c>
    </row>
    <row r="467" spans="1:50" ht="21.75" customHeight="1">
      <c r="A467" s="38" t="s">
        <v>426</v>
      </c>
      <c r="B467" s="39">
        <f t="shared" si="72"/>
        <v>463</v>
      </c>
      <c r="C467" s="40">
        <v>46036</v>
      </c>
      <c r="D467" s="40" t="s">
        <v>80</v>
      </c>
      <c r="E467" s="40" t="s">
        <v>33</v>
      </c>
      <c r="F467" s="41">
        <v>23.4</v>
      </c>
      <c r="G467" s="42" t="s">
        <v>34</v>
      </c>
      <c r="H467" s="43" t="str">
        <f>IFERROR(VLOOKUP($J467,'[9]FROM (3)'!$E$4:$F$230,2,FALSE),"")</f>
        <v/>
      </c>
      <c r="I467" s="44" t="str">
        <f t="shared" si="69"/>
        <v>FLANGE-13 SLUG</v>
      </c>
      <c r="J467" s="44" t="str">
        <f t="shared" si="70"/>
        <v>ZZ2B7401TX1</v>
      </c>
      <c r="K467" s="59" t="str">
        <f t="shared" si="67"/>
        <v>PD26010473</v>
      </c>
      <c r="L467" s="46" t="str" cm="1">
        <f t="array" ref="L467">IFERROR(_xlfn.IFS(
    LEN($A467)-LEN(SUBSTITUTE($A467,"|",""))=12, RIGHT(A467, LEN(A467)-FIND("~", SUBSTITUTE(A467,"|","~", LEN(A467)-LEN(SUBSTITUTE(A467,"|",""))))),
    LEN($A467)-LEN(SUBSTITUTE($A467,"|",""))=13, MID($A467, FIND("~", SUBSTITUTE($A467,"|","~", 11))+1, FIND("~", SUBSTITUTE($A467,"|","~", 12))-FIND("~", SUBSTITUTE($A467,"|","~", 11))-1),
    LEN($A467)-LEN(SUBSTITUTE($A467,"|",""))=14, MID($A467, FIND("~", SUBSTITUTE($A467,"|","~", 11))+1, FIND("~", SUBSTITUTE($A467,"|","~", 12))-FIND("~", SUBSTITUTE($A467,"|","~", 11))-1)
), "")</f>
        <v>2-73052</v>
      </c>
      <c r="M467" s="47" t="str">
        <f t="shared" si="65"/>
        <v>2B2600091</v>
      </c>
      <c r="N467" s="46" t="str">
        <f t="shared" si="68"/>
        <v/>
      </c>
      <c r="O467" s="60"/>
      <c r="P467" s="60"/>
      <c r="Q467" s="48">
        <v>2250</v>
      </c>
      <c r="R467" s="48">
        <v>519</v>
      </c>
      <c r="S467" s="48"/>
      <c r="T467" s="48"/>
      <c r="U467" s="49">
        <v>92</v>
      </c>
      <c r="V467" s="49">
        <v>223</v>
      </c>
      <c r="W467" s="50">
        <f t="shared" si="66"/>
        <v>315</v>
      </c>
      <c r="X467" s="51">
        <f>IF(A467="", "", IF(COUNTIFS(C$3:C466, C467, D$3:D466, D467, G$3:G466, G467) &gt; 0, "", "11:00"-AW467))</f>
        <v>0.41666666666666663</v>
      </c>
      <c r="Y467" s="52" t="str">
        <f t="shared" si="71"/>
        <v>1:40</v>
      </c>
      <c r="Z467" s="53"/>
      <c r="AA467" s="54"/>
      <c r="AB467" s="53"/>
      <c r="AC467" s="54"/>
      <c r="AD467" s="53"/>
      <c r="AE467" s="54"/>
      <c r="AF467" s="53"/>
      <c r="AG467" s="54"/>
      <c r="AH467" s="55">
        <v>4.1666666666666699E-2</v>
      </c>
      <c r="AI467" s="53"/>
      <c r="AJ467" s="54"/>
      <c r="AK467" s="53"/>
      <c r="AL467" s="54"/>
      <c r="AM467" s="53"/>
      <c r="AN467" s="54"/>
      <c r="AO467" s="53"/>
      <c r="AP467" s="54"/>
      <c r="AQ467" s="53"/>
      <c r="AR467" s="54"/>
      <c r="AS467" s="53"/>
      <c r="AT467" s="54"/>
      <c r="AU467" s="53">
        <v>4.1666666666666699E-2</v>
      </c>
      <c r="AV467" s="54" t="s">
        <v>37</v>
      </c>
      <c r="AW467" s="57">
        <f t="shared" si="64"/>
        <v>4.1666666666666699E-2</v>
      </c>
      <c r="AX467" s="58" t="s">
        <v>203</v>
      </c>
    </row>
    <row r="468" spans="1:50" ht="21.75" customHeight="1">
      <c r="A468" s="38" t="s">
        <v>458</v>
      </c>
      <c r="B468" s="39">
        <f t="shared" si="72"/>
        <v>464</v>
      </c>
      <c r="C468" s="40">
        <v>46036</v>
      </c>
      <c r="D468" s="40" t="s">
        <v>80</v>
      </c>
      <c r="E468" s="40" t="s">
        <v>33</v>
      </c>
      <c r="F468" s="41">
        <v>23.4</v>
      </c>
      <c r="G468" s="42" t="s">
        <v>34</v>
      </c>
      <c r="H468" s="43" t="str">
        <f>IFERROR(VLOOKUP($J468,'[9]FROM (3)'!$E$4:$F$230,2,FALSE),"")</f>
        <v/>
      </c>
      <c r="I468" s="44" t="str">
        <f t="shared" si="69"/>
        <v>FLANGE-13 SLUG</v>
      </c>
      <c r="J468" s="44" t="str">
        <f t="shared" si="70"/>
        <v>ZZ2B7401TX1</v>
      </c>
      <c r="K468" s="59" t="str">
        <f t="shared" si="67"/>
        <v>PD26010472</v>
      </c>
      <c r="L468" s="46" t="str" cm="1">
        <f t="array" ref="L468">IFERROR(_xlfn.IFS(
    LEN($A468)-LEN(SUBSTITUTE($A468,"|",""))=12, RIGHT(A468, LEN(A468)-FIND("~", SUBSTITUTE(A468,"|","~", LEN(A468)-LEN(SUBSTITUTE(A468,"|",""))))),
    LEN($A468)-LEN(SUBSTITUTE($A468,"|",""))=13, MID($A468, FIND("~", SUBSTITUTE($A468,"|","~", 11))+1, FIND("~", SUBSTITUTE($A468,"|","~", 12))-FIND("~", SUBSTITUTE($A468,"|","~", 11))-1),
    LEN($A468)-LEN(SUBSTITUTE($A468,"|",""))=14, MID($A468, FIND("~", SUBSTITUTE($A468,"|","~", 11))+1, FIND("~", SUBSTITUTE($A468,"|","~", 12))-FIND("~", SUBSTITUTE($A468,"|","~", 11))-1)
), "")</f>
        <v>2-73052</v>
      </c>
      <c r="M468" s="47" t="str">
        <f t="shared" si="65"/>
        <v>2B2600089</v>
      </c>
      <c r="N468" s="46" t="str">
        <f t="shared" si="68"/>
        <v/>
      </c>
      <c r="O468" s="60">
        <v>74</v>
      </c>
      <c r="P468" s="60">
        <v>3910</v>
      </c>
      <c r="Q468" s="48">
        <v>1570</v>
      </c>
      <c r="R468" s="48">
        <v>362</v>
      </c>
      <c r="S468" s="48"/>
      <c r="T468" s="48"/>
      <c r="U468" s="49"/>
      <c r="V468" s="49"/>
      <c r="W468" s="50">
        <f t="shared" si="66"/>
        <v>0</v>
      </c>
      <c r="X468" s="51" t="str">
        <f>IF(A468="", "", IF(COUNTIFS(C$3:C467, C468, D$3:D467, D468, G$3:G467, G468) &gt; 0, "", "11:00"-AW468))</f>
        <v/>
      </c>
      <c r="Y468" s="52" t="str">
        <f t="shared" si="71"/>
        <v/>
      </c>
      <c r="Z468" s="53"/>
      <c r="AA468" s="54"/>
      <c r="AB468" s="53"/>
      <c r="AC468" s="54"/>
      <c r="AD468" s="53"/>
      <c r="AE468" s="54"/>
      <c r="AF468" s="53"/>
      <c r="AG468" s="54"/>
      <c r="AH468" s="55">
        <v>4.1666666666666699E-2</v>
      </c>
      <c r="AI468" s="53"/>
      <c r="AJ468" s="54"/>
      <c r="AK468" s="53"/>
      <c r="AL468" s="54"/>
      <c r="AM468" s="53"/>
      <c r="AN468" s="54"/>
      <c r="AO468" s="53"/>
      <c r="AP468" s="54"/>
      <c r="AQ468" s="53"/>
      <c r="AR468" s="54"/>
      <c r="AS468" s="53"/>
      <c r="AT468" s="54"/>
      <c r="AU468" s="53">
        <v>4.1666666666666699E-2</v>
      </c>
      <c r="AV468" s="54" t="s">
        <v>37</v>
      </c>
      <c r="AW468" s="57">
        <f t="shared" si="64"/>
        <v>4.1666666666666699E-2</v>
      </c>
      <c r="AX468" s="58" t="s">
        <v>203</v>
      </c>
    </row>
    <row r="469" spans="1:50" ht="21.75" customHeight="1">
      <c r="A469" s="38" t="s">
        <v>459</v>
      </c>
      <c r="B469" s="39">
        <f t="shared" si="72"/>
        <v>465</v>
      </c>
      <c r="C469" s="40">
        <v>46036</v>
      </c>
      <c r="D469" s="40" t="s">
        <v>80</v>
      </c>
      <c r="E469" s="40" t="s">
        <v>33</v>
      </c>
      <c r="F469" s="41">
        <v>14</v>
      </c>
      <c r="G469" s="42" t="s">
        <v>41</v>
      </c>
      <c r="H469" s="43" t="str">
        <f>IFERROR(VLOOKUP($J469,'[9]FROM (3)'!$E$4:$F$230,2,FALSE),"")</f>
        <v>DNTH</v>
      </c>
      <c r="I469" s="44" t="str">
        <f t="shared" si="69"/>
        <v>Pinion Starter 2 W</v>
      </c>
      <c r="J469" s="44" t="str">
        <f t="shared" si="70"/>
        <v>TGY28987-0060</v>
      </c>
      <c r="K469" s="59" t="str">
        <f t="shared" si="67"/>
        <v>PD26010423</v>
      </c>
      <c r="L469" s="46" t="str" cm="1">
        <f t="array" ref="L469">IFERROR(_xlfn.IFS(
    LEN($A469)-LEN(SUBSTITUTE($A469,"|",""))=12, RIGHT(A469, LEN(A469)-FIND("~", SUBSTITUTE(A469,"|","~", LEN(A469)-LEN(SUBSTITUTE(A469,"|",""))))),
    LEN($A469)-LEN(SUBSTITUTE($A469,"|",""))=13, MID($A469, FIND("~", SUBSTITUTE($A469,"|","~", 11))+1, FIND("~", SUBSTITUTE($A469,"|","~", 12))-FIND("~", SUBSTITUTE($A469,"|","~", 11))-1),
    LEN($A469)-LEN(SUBSTITUTE($A469,"|",""))=14, MID($A469, FIND("~", SUBSTITUTE($A469,"|","~", 11))+1, FIND("~", SUBSTITUTE($A469,"|","~", 12))-FIND("~", SUBSTITUTE($A469,"|","~", 11))-1)
), "")</f>
        <v>E586056</v>
      </c>
      <c r="M469" s="47" t="str">
        <f t="shared" si="65"/>
        <v>SB010037/2/26</v>
      </c>
      <c r="N469" s="46" t="str">
        <f t="shared" si="68"/>
        <v/>
      </c>
      <c r="O469" s="60"/>
      <c r="P469" s="60"/>
      <c r="Q469" s="48">
        <v>3181</v>
      </c>
      <c r="R469" s="48">
        <v>531</v>
      </c>
      <c r="S469" s="48"/>
      <c r="T469" s="48"/>
      <c r="U469" s="49"/>
      <c r="V469" s="49"/>
      <c r="W469" s="50">
        <f t="shared" si="66"/>
        <v>0</v>
      </c>
      <c r="X469" s="51">
        <f>IF(A469="", "", IF(COUNTIFS(C$3:C468, C469, D$3:D468, D469, G$3:G468, G469) &gt; 0, "", "11:00"-AW469))</f>
        <v>0.41666666666666663</v>
      </c>
      <c r="Y469" s="52" t="str">
        <f t="shared" si="71"/>
        <v>1:40</v>
      </c>
      <c r="Z469" s="53"/>
      <c r="AA469" s="54"/>
      <c r="AB469" s="53"/>
      <c r="AC469" s="54"/>
      <c r="AD469" s="53"/>
      <c r="AE469" s="54"/>
      <c r="AF469" s="53"/>
      <c r="AG469" s="54"/>
      <c r="AH469" s="55">
        <v>4.1666666666666699E-2</v>
      </c>
      <c r="AI469" s="53"/>
      <c r="AJ469" s="54"/>
      <c r="AK469" s="53"/>
      <c r="AL469" s="54"/>
      <c r="AM469" s="53"/>
      <c r="AN469" s="54"/>
      <c r="AO469" s="53"/>
      <c r="AP469" s="54"/>
      <c r="AQ469" s="53"/>
      <c r="AR469" s="54"/>
      <c r="AS469" s="53"/>
      <c r="AT469" s="54"/>
      <c r="AU469" s="53">
        <v>4.1666666666666699E-2</v>
      </c>
      <c r="AV469" s="54" t="s">
        <v>37</v>
      </c>
      <c r="AW469" s="57">
        <f t="shared" si="64"/>
        <v>4.1666666666666699E-2</v>
      </c>
      <c r="AX469" s="58" t="s">
        <v>203</v>
      </c>
    </row>
    <row r="470" spans="1:50" ht="21.75" customHeight="1">
      <c r="A470" s="38" t="s">
        <v>460</v>
      </c>
      <c r="B470" s="39">
        <f t="shared" si="72"/>
        <v>466</v>
      </c>
      <c r="C470" s="40">
        <v>46036</v>
      </c>
      <c r="D470" s="40" t="s">
        <v>80</v>
      </c>
      <c r="E470" s="40" t="s">
        <v>33</v>
      </c>
      <c r="F470" s="41" t="s">
        <v>404</v>
      </c>
      <c r="G470" s="42" t="s">
        <v>44</v>
      </c>
      <c r="H470" s="43" t="str">
        <f>IFERROR(VLOOKUP($J470,'[9]FROM (3)'!$E$4:$F$230,2,FALSE),"")</f>
        <v>DNTH</v>
      </c>
      <c r="I470" s="44" t="str">
        <f t="shared" si="69"/>
        <v>SLUG VALVE ROTARY</v>
      </c>
      <c r="J470" s="44" t="str">
        <f t="shared" si="70"/>
        <v>TGY95613-0020</v>
      </c>
      <c r="K470" s="59" t="str">
        <f t="shared" si="67"/>
        <v>PD26010428</v>
      </c>
      <c r="L470" s="46" t="str" cm="1">
        <f t="array" ref="L470">IFERROR(_xlfn.IFS(
    LEN($A470)-LEN(SUBSTITUTE($A470,"|",""))=12, RIGHT(A470, LEN(A470)-FIND("~", SUBSTITUTE(A470,"|","~", LEN(A470)-LEN(SUBSTITUTE(A470,"|",""))))),
    LEN($A470)-LEN(SUBSTITUTE($A470,"|",""))=13, MID($A470, FIND("~", SUBSTITUTE($A470,"|","~", 11))+1, FIND("~", SUBSTITUTE($A470,"|","~", 12))-FIND("~", SUBSTITUTE($A470,"|","~", 11))-1),
    LEN($A470)-LEN(SUBSTITUTE($A470,"|",""))=14, MID($A470, FIND("~", SUBSTITUTE($A470,"|","~", 11))+1, FIND("~", SUBSTITUTE($A470,"|","~", 12))-FIND("~", SUBSTITUTE($A470,"|","~", 11))-1)
), "")</f>
        <v>E585734</v>
      </c>
      <c r="M470" s="47" t="str">
        <f t="shared" si="65"/>
        <v>SB010040/4/26</v>
      </c>
      <c r="N470" s="46" t="str">
        <f t="shared" si="68"/>
        <v/>
      </c>
      <c r="O470" s="60"/>
      <c r="P470" s="60"/>
      <c r="Q470" s="48">
        <v>4234</v>
      </c>
      <c r="R470" s="48">
        <v>839</v>
      </c>
      <c r="S470" s="48"/>
      <c r="T470" s="48"/>
      <c r="U470" s="49"/>
      <c r="V470" s="49"/>
      <c r="W470" s="50">
        <f t="shared" si="66"/>
        <v>0</v>
      </c>
      <c r="X470" s="51">
        <f>IF(A470="", "", IF(COUNTIFS(C$3:C469, C470, D$3:D469, D470, G$3:G469, G470) &gt; 0, "", "11:00"-AW470))</f>
        <v>0.41666666666666663</v>
      </c>
      <c r="Y470" s="52" t="str">
        <f t="shared" si="71"/>
        <v>1:40</v>
      </c>
      <c r="Z470" s="53"/>
      <c r="AA470" s="54"/>
      <c r="AB470" s="53"/>
      <c r="AC470" s="54"/>
      <c r="AD470" s="53"/>
      <c r="AE470" s="54"/>
      <c r="AF470" s="53"/>
      <c r="AG470" s="54"/>
      <c r="AH470" s="55">
        <v>4.1666666666666699E-2</v>
      </c>
      <c r="AI470" s="53"/>
      <c r="AJ470" s="54"/>
      <c r="AK470" s="53"/>
      <c r="AL470" s="54"/>
      <c r="AM470" s="53"/>
      <c r="AN470" s="54"/>
      <c r="AO470" s="53"/>
      <c r="AP470" s="54"/>
      <c r="AQ470" s="53"/>
      <c r="AR470" s="54"/>
      <c r="AS470" s="53"/>
      <c r="AT470" s="54"/>
      <c r="AU470" s="53">
        <v>4.1666666666666699E-2</v>
      </c>
      <c r="AV470" s="54" t="s">
        <v>37</v>
      </c>
      <c r="AW470" s="57">
        <f t="shared" si="64"/>
        <v>4.1666666666666699E-2</v>
      </c>
      <c r="AX470" s="58" t="s">
        <v>461</v>
      </c>
    </row>
    <row r="471" spans="1:50" ht="21.75" customHeight="1">
      <c r="A471" s="38" t="s">
        <v>428</v>
      </c>
      <c r="B471" s="39">
        <f t="shared" si="72"/>
        <v>467</v>
      </c>
      <c r="C471" s="40">
        <v>46036</v>
      </c>
      <c r="D471" s="40" t="s">
        <v>80</v>
      </c>
      <c r="E471" s="40" t="s">
        <v>33</v>
      </c>
      <c r="F471" s="41">
        <v>85</v>
      </c>
      <c r="G471" s="42" t="s">
        <v>85</v>
      </c>
      <c r="H471" s="43" t="str">
        <f>IFERROR(VLOOKUP($J471,'[9]FROM (3)'!$E$4:$F$230,2,FALSE),"")</f>
        <v>DNTH</v>
      </c>
      <c r="I471" s="44" t="str">
        <f t="shared" si="69"/>
        <v>Barrel</v>
      </c>
      <c r="J471" s="44" t="str">
        <f t="shared" si="70"/>
        <v>TG028986-0050</v>
      </c>
      <c r="K471" s="59" t="str">
        <f t="shared" si="67"/>
        <v>PD26010421</v>
      </c>
      <c r="L471" s="46" t="str" cm="1">
        <f t="array" ref="L471">IFERROR(_xlfn.IFS(
    LEN($A471)-LEN(SUBSTITUTE($A471,"|",""))=12, RIGHT(A471, LEN(A471)-FIND("~", SUBSTITUTE(A471,"|","~", LEN(A471)-LEN(SUBSTITUTE(A471,"|",""))))),
    LEN($A471)-LEN(SUBSTITUTE($A471,"|",""))=13, MID($A471, FIND("~", SUBSTITUTE($A471,"|","~", 11))+1, FIND("~", SUBSTITUTE($A471,"|","~", 12))-FIND("~", SUBSTITUTE($A471,"|","~", 11))-1),
    LEN($A471)-LEN(SUBSTITUTE($A471,"|",""))=14, MID($A471, FIND("~", SUBSTITUTE($A471,"|","~", 11))+1, FIND("~", SUBSTITUTE($A471,"|","~", 12))-FIND("~", SUBSTITUTE($A471,"|","~", 11))-1)
), "")</f>
        <v>E484264</v>
      </c>
      <c r="M471" s="47" t="str">
        <f t="shared" si="65"/>
        <v>SB010035/2/26</v>
      </c>
      <c r="N471" s="46" t="str">
        <f t="shared" si="68"/>
        <v/>
      </c>
      <c r="O471" s="60"/>
      <c r="P471" s="60"/>
      <c r="Q471" s="48">
        <v>5088</v>
      </c>
      <c r="R471" s="48">
        <v>432</v>
      </c>
      <c r="S471" s="48"/>
      <c r="T471" s="48"/>
      <c r="U471" s="49"/>
      <c r="V471" s="49"/>
      <c r="W471" s="50">
        <f t="shared" si="66"/>
        <v>0</v>
      </c>
      <c r="X471" s="51">
        <f>IF(A471="", "", IF(COUNTIFS(C$3:C470, C471, D$3:D470, D471, G$3:G470, G471) &gt; 0, "", "11:00"-AW471))</f>
        <v>0.41666666666666663</v>
      </c>
      <c r="Y471" s="52" t="str">
        <f t="shared" si="71"/>
        <v>1:40</v>
      </c>
      <c r="Z471" s="53"/>
      <c r="AA471" s="54"/>
      <c r="AB471" s="53"/>
      <c r="AC471" s="54"/>
      <c r="AD471" s="53"/>
      <c r="AE471" s="54"/>
      <c r="AF471" s="53"/>
      <c r="AG471" s="54"/>
      <c r="AH471" s="55">
        <v>4.1666666666666699E-2</v>
      </c>
      <c r="AI471" s="53"/>
      <c r="AJ471" s="54"/>
      <c r="AK471" s="53"/>
      <c r="AL471" s="54"/>
      <c r="AM471" s="53"/>
      <c r="AN471" s="54"/>
      <c r="AO471" s="53"/>
      <c r="AP471" s="54"/>
      <c r="AQ471" s="53"/>
      <c r="AR471" s="54"/>
      <c r="AS471" s="53"/>
      <c r="AT471" s="54"/>
      <c r="AU471" s="53">
        <v>4.1666666666666699E-2</v>
      </c>
      <c r="AV471" s="54" t="s">
        <v>37</v>
      </c>
      <c r="AW471" s="57">
        <f t="shared" si="64"/>
        <v>4.1666666666666699E-2</v>
      </c>
      <c r="AX471" s="58" t="s">
        <v>462</v>
      </c>
    </row>
    <row r="472" spans="1:50" ht="21.75" customHeight="1">
      <c r="A472" s="38" t="s">
        <v>463</v>
      </c>
      <c r="B472" s="39">
        <f t="shared" si="72"/>
        <v>468</v>
      </c>
      <c r="C472" s="40">
        <v>46036</v>
      </c>
      <c r="D472" s="40" t="s">
        <v>80</v>
      </c>
      <c r="E472" s="40" t="s">
        <v>33</v>
      </c>
      <c r="F472" s="41">
        <v>755.4</v>
      </c>
      <c r="G472" s="42" t="s">
        <v>75</v>
      </c>
      <c r="H472" s="43" t="str">
        <f>IFERROR(VLOOKUP($J472,'[9]FROM (3)'!$E$4:$F$230,2,FALSE),"")</f>
        <v>JTCS</v>
      </c>
      <c r="I472" s="44" t="str">
        <f t="shared" si="69"/>
        <v>RACK, PS</v>
      </c>
      <c r="J472" s="44" t="str">
        <f t="shared" si="70"/>
        <v>JGD10-001260-40-1</v>
      </c>
      <c r="K472" s="59" t="str">
        <f t="shared" si="67"/>
        <v>PD26010418</v>
      </c>
      <c r="L472" s="46" t="str" cm="1">
        <f t="array" ref="L472">IFERROR(_xlfn.IFS(
    LEN($A472)-LEN(SUBSTITUTE($A472,"|",""))=12, RIGHT(A472, LEN(A472)-FIND("~", SUBSTITUTE(A472,"|","~", LEN(A472)-LEN(SUBSTITUTE(A472,"|",""))))),
    LEN($A472)-LEN(SUBSTITUTE($A472,"|",""))=13, MID($A472, FIND("~", SUBSTITUTE($A472,"|","~", 11))+1, FIND("~", SUBSTITUTE($A472,"|","~", 12))-FIND("~", SUBSTITUTE($A472,"|","~", 11))-1),
    LEN($A472)-LEN(SUBSTITUTE($A472,"|",""))=14, MID($A472, FIND("~", SUBSTITUTE($A472,"|","~", 11))+1, FIND("~", SUBSTITUTE($A472,"|","~", 12))-FIND("~", SUBSTITUTE($A472,"|","~", 11))-1)
), "")</f>
        <v>E586967</v>
      </c>
      <c r="M472" s="47" t="str">
        <f t="shared" si="65"/>
        <v>SB010042/1/26</v>
      </c>
      <c r="N472" s="46" t="str">
        <f t="shared" si="68"/>
        <v/>
      </c>
      <c r="O472" s="60">
        <v>47</v>
      </c>
      <c r="P472" s="60">
        <v>970</v>
      </c>
      <c r="Q472" s="48">
        <v>179</v>
      </c>
      <c r="R472" s="48">
        <v>866</v>
      </c>
      <c r="S472" s="48">
        <v>9</v>
      </c>
      <c r="T472" s="48" t="s">
        <v>464</v>
      </c>
      <c r="U472" s="49"/>
      <c r="V472" s="49"/>
      <c r="W472" s="50">
        <f t="shared" si="66"/>
        <v>0</v>
      </c>
      <c r="X472" s="51">
        <f>IF(A472="", "", IF(COUNTIFS(C$3:C471, C472, D$3:D471, D472, G$3:G471, G472) &gt; 0, "", "11:00"-AW472))</f>
        <v>0.34722222222222215</v>
      </c>
      <c r="Y472" s="52" t="str">
        <f t="shared" si="71"/>
        <v>1:40</v>
      </c>
      <c r="Z472" s="53">
        <v>4.1666666666666664E-2</v>
      </c>
      <c r="AA472" s="54" t="s">
        <v>67</v>
      </c>
      <c r="AB472" s="53">
        <v>2.7777777777777776E-2</v>
      </c>
      <c r="AC472" s="54" t="s">
        <v>311</v>
      </c>
      <c r="AD472" s="53"/>
      <c r="AE472" s="54"/>
      <c r="AF472" s="53"/>
      <c r="AG472" s="54"/>
      <c r="AH472" s="55">
        <v>4.1666666666666699E-2</v>
      </c>
      <c r="AI472" s="53"/>
      <c r="AJ472" s="54"/>
      <c r="AK472" s="53"/>
      <c r="AL472" s="54"/>
      <c r="AM472" s="53"/>
      <c r="AN472" s="54"/>
      <c r="AO472" s="53"/>
      <c r="AP472" s="54"/>
      <c r="AQ472" s="53"/>
      <c r="AR472" s="54"/>
      <c r="AS472" s="53"/>
      <c r="AT472" s="54"/>
      <c r="AU472" s="53">
        <v>4.1666666666666699E-2</v>
      </c>
      <c r="AV472" s="54" t="s">
        <v>37</v>
      </c>
      <c r="AW472" s="57">
        <f t="shared" si="64"/>
        <v>0.11111111111111115</v>
      </c>
      <c r="AX472" s="58" t="s">
        <v>101</v>
      </c>
    </row>
    <row r="473" spans="1:50" ht="21.75" customHeight="1">
      <c r="A473" s="38" t="s">
        <v>465</v>
      </c>
      <c r="B473" s="39">
        <f t="shared" si="72"/>
        <v>469</v>
      </c>
      <c r="C473" s="40">
        <v>46036</v>
      </c>
      <c r="D473" s="40" t="s">
        <v>80</v>
      </c>
      <c r="E473" s="40" t="s">
        <v>33</v>
      </c>
      <c r="F473" s="41">
        <v>755.4</v>
      </c>
      <c r="G473" s="42" t="s">
        <v>75</v>
      </c>
      <c r="H473" s="43" t="str">
        <f>IFERROR(VLOOKUP($J473,'[9]FROM (3)'!$E$4:$F$230,2,FALSE),"")</f>
        <v>JTCS</v>
      </c>
      <c r="I473" s="44" t="str">
        <f t="shared" si="69"/>
        <v>RACK, PS</v>
      </c>
      <c r="J473" s="44" t="str">
        <f t="shared" si="70"/>
        <v>JGD10-001260-40-1</v>
      </c>
      <c r="K473" s="59" t="str">
        <f t="shared" si="67"/>
        <v>PD26010418</v>
      </c>
      <c r="L473" s="46" t="str" cm="1">
        <f t="array" ref="L473">IFERROR(_xlfn.IFS(
    LEN($A473)-LEN(SUBSTITUTE($A473,"|",""))=12, RIGHT(A473, LEN(A473)-FIND("~", SUBSTITUTE(A473,"|","~", LEN(A473)-LEN(SUBSTITUTE(A473,"|",""))))),
    LEN($A473)-LEN(SUBSTITUTE($A473,"|",""))=13, MID($A473, FIND("~", SUBSTITUTE($A473,"|","~", 11))+1, FIND("~", SUBSTITUTE($A473,"|","~", 12))-FIND("~", SUBSTITUTE($A473,"|","~", 11))-1),
    LEN($A473)-LEN(SUBSTITUTE($A473,"|",""))=14, MID($A473, FIND("~", SUBSTITUTE($A473,"|","~", 11))+1, FIND("~", SUBSTITUTE($A473,"|","~", 12))-FIND("~", SUBSTITUTE($A473,"|","~", 11))-1)
), "")</f>
        <v>E586967</v>
      </c>
      <c r="M473" s="47" t="str">
        <f t="shared" si="65"/>
        <v>SB010042/2/26</v>
      </c>
      <c r="N473" s="46" t="str">
        <f t="shared" si="68"/>
        <v/>
      </c>
      <c r="O473" s="60">
        <v>47</v>
      </c>
      <c r="P473" s="60">
        <v>970</v>
      </c>
      <c r="Q473" s="48">
        <v>188</v>
      </c>
      <c r="R473" s="48">
        <v>910</v>
      </c>
      <c r="S473" s="48"/>
      <c r="T473" s="48"/>
      <c r="U473" s="49"/>
      <c r="V473" s="49"/>
      <c r="W473" s="50">
        <f t="shared" si="66"/>
        <v>0</v>
      </c>
      <c r="X473" s="51" t="str">
        <f>IF(A473="", "", IF(COUNTIFS(C$3:C472, C473, D$3:D472, D473, G$3:G472, G473) &gt; 0, "", "11:00"-AW473))</f>
        <v/>
      </c>
      <c r="Y473" s="52" t="str">
        <f t="shared" si="71"/>
        <v/>
      </c>
      <c r="Z473" s="53"/>
      <c r="AA473" s="54"/>
      <c r="AB473" s="53"/>
      <c r="AC473" s="54"/>
      <c r="AD473" s="53"/>
      <c r="AE473" s="54"/>
      <c r="AF473" s="53"/>
      <c r="AG473" s="54"/>
      <c r="AH473" s="55">
        <v>4.1666666666666699E-2</v>
      </c>
      <c r="AI473" s="53"/>
      <c r="AJ473" s="54"/>
      <c r="AK473" s="53"/>
      <c r="AL473" s="54"/>
      <c r="AM473" s="53"/>
      <c r="AN473" s="54"/>
      <c r="AO473" s="53"/>
      <c r="AP473" s="54"/>
      <c r="AQ473" s="53"/>
      <c r="AR473" s="54"/>
      <c r="AS473" s="53"/>
      <c r="AT473" s="54"/>
      <c r="AU473" s="53">
        <v>4.1666666666666699E-2</v>
      </c>
      <c r="AV473" s="54" t="s">
        <v>37</v>
      </c>
      <c r="AW473" s="57">
        <f t="shared" si="64"/>
        <v>4.1666666666666699E-2</v>
      </c>
      <c r="AX473" s="58" t="s">
        <v>101</v>
      </c>
    </row>
    <row r="474" spans="1:50" ht="21.75" customHeight="1">
      <c r="A474" s="38" t="s">
        <v>466</v>
      </c>
      <c r="B474" s="39">
        <f t="shared" si="72"/>
        <v>470</v>
      </c>
      <c r="C474" s="40">
        <v>46036</v>
      </c>
      <c r="D474" s="40" t="s">
        <v>80</v>
      </c>
      <c r="E474" s="40" t="s">
        <v>33</v>
      </c>
      <c r="F474" s="41">
        <v>755.4</v>
      </c>
      <c r="G474" s="42" t="s">
        <v>75</v>
      </c>
      <c r="H474" s="43" t="str">
        <f>IFERROR(VLOOKUP($J474,'[9]FROM (3)'!$E$4:$F$230,2,FALSE),"")</f>
        <v>JTCS</v>
      </c>
      <c r="I474" s="44" t="str">
        <f t="shared" si="69"/>
        <v>RACK, PS</v>
      </c>
      <c r="J474" s="44" t="str">
        <f t="shared" si="70"/>
        <v>JGD10-001260-40-1</v>
      </c>
      <c r="K474" s="59" t="str">
        <f t="shared" si="67"/>
        <v>PD26010418</v>
      </c>
      <c r="L474" s="46" t="str" cm="1">
        <f t="array" ref="L474">IFERROR(_xlfn.IFS(
    LEN($A474)-LEN(SUBSTITUTE($A474,"|",""))=12, RIGHT(A474, LEN(A474)-FIND("~", SUBSTITUTE(A474,"|","~", LEN(A474)-LEN(SUBSTITUTE(A474,"|",""))))),
    LEN($A474)-LEN(SUBSTITUTE($A474,"|",""))=13, MID($A474, FIND("~", SUBSTITUTE($A474,"|","~", 11))+1, FIND("~", SUBSTITUTE($A474,"|","~", 12))-FIND("~", SUBSTITUTE($A474,"|","~", 11))-1),
    LEN($A474)-LEN(SUBSTITUTE($A474,"|",""))=14, MID($A474, FIND("~", SUBSTITUTE($A474,"|","~", 11))+1, FIND("~", SUBSTITUTE($A474,"|","~", 12))-FIND("~", SUBSTITUTE($A474,"|","~", 11))-1)
), "")</f>
        <v>E586967</v>
      </c>
      <c r="M474" s="47" t="str">
        <f t="shared" si="65"/>
        <v>SB010042/3/26</v>
      </c>
      <c r="N474" s="46" t="str">
        <f t="shared" si="68"/>
        <v/>
      </c>
      <c r="O474" s="60">
        <v>47</v>
      </c>
      <c r="P474" s="60">
        <v>970</v>
      </c>
      <c r="Q474" s="48">
        <v>188</v>
      </c>
      <c r="R474" s="48">
        <v>910</v>
      </c>
      <c r="S474" s="48"/>
      <c r="T474" s="48"/>
      <c r="U474" s="49">
        <v>153</v>
      </c>
      <c r="V474" s="49">
        <v>9</v>
      </c>
      <c r="W474" s="50">
        <f t="shared" si="66"/>
        <v>162</v>
      </c>
      <c r="X474" s="51" t="str">
        <f>IF(A474="", "", IF(COUNTIFS(C$3:C473, C474, D$3:D473, D474, G$3:G473, G474) &gt; 0, "", "11:00"-AW474))</f>
        <v/>
      </c>
      <c r="Y474" s="52" t="str">
        <f t="shared" si="71"/>
        <v/>
      </c>
      <c r="Z474" s="53"/>
      <c r="AA474" s="54"/>
      <c r="AB474" s="53"/>
      <c r="AC474" s="54"/>
      <c r="AD474" s="53"/>
      <c r="AE474" s="54"/>
      <c r="AF474" s="53"/>
      <c r="AG474" s="54"/>
      <c r="AH474" s="55">
        <v>4.1666666666666699E-2</v>
      </c>
      <c r="AI474" s="53"/>
      <c r="AJ474" s="54"/>
      <c r="AK474" s="53"/>
      <c r="AL474" s="54"/>
      <c r="AM474" s="53"/>
      <c r="AN474" s="54"/>
      <c r="AO474" s="53"/>
      <c r="AP474" s="54"/>
      <c r="AQ474" s="53"/>
      <c r="AR474" s="54"/>
      <c r="AS474" s="53"/>
      <c r="AT474" s="54"/>
      <c r="AU474" s="53">
        <v>4.1666666666666699E-2</v>
      </c>
      <c r="AV474" s="54" t="s">
        <v>37</v>
      </c>
      <c r="AW474" s="57">
        <f t="shared" si="64"/>
        <v>4.1666666666666699E-2</v>
      </c>
      <c r="AX474" s="58" t="s">
        <v>101</v>
      </c>
    </row>
    <row r="475" spans="1:50" ht="21.75" customHeight="1">
      <c r="A475" s="38" t="s">
        <v>467</v>
      </c>
      <c r="B475" s="39">
        <f t="shared" si="72"/>
        <v>471</v>
      </c>
      <c r="C475" s="40">
        <v>46036</v>
      </c>
      <c r="D475" s="40" t="s">
        <v>80</v>
      </c>
      <c r="E475" s="40" t="s">
        <v>33</v>
      </c>
      <c r="F475" s="41">
        <v>755.4</v>
      </c>
      <c r="G475" s="42" t="s">
        <v>75</v>
      </c>
      <c r="H475" s="43" t="str">
        <f>IFERROR(VLOOKUP($J475,'[9]FROM (3)'!$E$4:$F$230,2,FALSE),"")</f>
        <v>JTCS</v>
      </c>
      <c r="I475" s="44" t="str">
        <f t="shared" si="69"/>
        <v>RACK, PS</v>
      </c>
      <c r="J475" s="44" t="str">
        <f t="shared" si="70"/>
        <v>JGD10-001260-40-1</v>
      </c>
      <c r="K475" s="59" t="str">
        <f t="shared" si="67"/>
        <v>PD26010419</v>
      </c>
      <c r="L475" s="46" t="str" cm="1">
        <f t="array" ref="L475">IFERROR(_xlfn.IFS(
    LEN($A475)-LEN(SUBSTITUTE($A475,"|",""))=12, RIGHT(A475, LEN(A475)-FIND("~", SUBSTITUTE(A475,"|","~", LEN(A475)-LEN(SUBSTITUTE(A475,"|",""))))),
    LEN($A475)-LEN(SUBSTITUTE($A475,"|",""))=13, MID($A475, FIND("~", SUBSTITUTE($A475,"|","~", 11))+1, FIND("~", SUBSTITUTE($A475,"|","~", 12))-FIND("~", SUBSTITUTE($A475,"|","~", 11))-1),
    LEN($A475)-LEN(SUBSTITUTE($A475,"|",""))=14, MID($A475, FIND("~", SUBSTITUTE($A475,"|","~", 11))+1, FIND("~", SUBSTITUTE($A475,"|","~", 12))-FIND("~", SUBSTITUTE($A475,"|","~", 11))-1)
), "")</f>
        <v>E586967</v>
      </c>
      <c r="M475" s="47" t="str">
        <f t="shared" si="65"/>
        <v>SB010042/4/26</v>
      </c>
      <c r="N475" s="46" t="str">
        <f t="shared" si="68"/>
        <v/>
      </c>
      <c r="O475" s="60">
        <v>47</v>
      </c>
      <c r="P475" s="60">
        <v>970</v>
      </c>
      <c r="Q475" s="48">
        <v>188</v>
      </c>
      <c r="R475" s="48">
        <v>910</v>
      </c>
      <c r="S475" s="48"/>
      <c r="T475" s="48"/>
      <c r="U475" s="49"/>
      <c r="V475" s="49"/>
      <c r="W475" s="50">
        <f t="shared" si="66"/>
        <v>0</v>
      </c>
      <c r="X475" s="51" t="str">
        <f>IF(A475="", "", IF(COUNTIFS(C$3:C474, C475, D$3:D474, D475, G$3:G474, G475) &gt; 0, "", "11:00"-AW475))</f>
        <v/>
      </c>
      <c r="Y475" s="52" t="str">
        <f t="shared" si="71"/>
        <v/>
      </c>
      <c r="Z475" s="53"/>
      <c r="AA475" s="54"/>
      <c r="AB475" s="53"/>
      <c r="AC475" s="54"/>
      <c r="AD475" s="53"/>
      <c r="AE475" s="54"/>
      <c r="AF475" s="53"/>
      <c r="AG475" s="54"/>
      <c r="AH475" s="55">
        <v>4.1666666666666699E-2</v>
      </c>
      <c r="AI475" s="53"/>
      <c r="AJ475" s="54"/>
      <c r="AK475" s="53"/>
      <c r="AL475" s="54"/>
      <c r="AM475" s="53"/>
      <c r="AN475" s="54"/>
      <c r="AO475" s="53"/>
      <c r="AP475" s="54"/>
      <c r="AQ475" s="53"/>
      <c r="AR475" s="54"/>
      <c r="AS475" s="53"/>
      <c r="AT475" s="54"/>
      <c r="AU475" s="53">
        <v>4.1666666666666699E-2</v>
      </c>
      <c r="AV475" s="54" t="s">
        <v>37</v>
      </c>
      <c r="AW475" s="57">
        <f t="shared" si="64"/>
        <v>4.1666666666666699E-2</v>
      </c>
      <c r="AX475" s="58" t="s">
        <v>101</v>
      </c>
    </row>
    <row r="476" spans="1:50" ht="21.75" customHeight="1">
      <c r="A476" s="38" t="s">
        <v>468</v>
      </c>
      <c r="B476" s="39">
        <f t="shared" si="72"/>
        <v>472</v>
      </c>
      <c r="C476" s="40">
        <v>46036</v>
      </c>
      <c r="D476" s="40" t="s">
        <v>80</v>
      </c>
      <c r="E476" s="40" t="s">
        <v>33</v>
      </c>
      <c r="F476" s="41">
        <v>755.4</v>
      </c>
      <c r="G476" s="42" t="s">
        <v>75</v>
      </c>
      <c r="H476" s="43" t="str">
        <f>IFERROR(VLOOKUP($J476,'[9]FROM (3)'!$E$4:$F$230,2,FALSE),"")</f>
        <v>JTCS</v>
      </c>
      <c r="I476" s="44" t="str">
        <f t="shared" si="69"/>
        <v>RACK, PS</v>
      </c>
      <c r="J476" s="44" t="str">
        <f t="shared" si="70"/>
        <v>JGD10-001260-40-1</v>
      </c>
      <c r="K476" s="59" t="str">
        <f t="shared" si="67"/>
        <v>PD26010419</v>
      </c>
      <c r="L476" s="46" t="str" cm="1">
        <f t="array" ref="L476">IFERROR(_xlfn.IFS(
    LEN($A476)-LEN(SUBSTITUTE($A476,"|",""))=12, RIGHT(A476, LEN(A476)-FIND("~", SUBSTITUTE(A476,"|","~", LEN(A476)-LEN(SUBSTITUTE(A476,"|",""))))),
    LEN($A476)-LEN(SUBSTITUTE($A476,"|",""))=13, MID($A476, FIND("~", SUBSTITUTE($A476,"|","~", 11))+1, FIND("~", SUBSTITUTE($A476,"|","~", 12))-FIND("~", SUBSTITUTE($A476,"|","~", 11))-1),
    LEN($A476)-LEN(SUBSTITUTE($A476,"|",""))=14, MID($A476, FIND("~", SUBSTITUTE($A476,"|","~", 11))+1, FIND("~", SUBSTITUTE($A476,"|","~", 12))-FIND("~", SUBSTITUTE($A476,"|","~", 11))-1)
), "")</f>
        <v>E586967</v>
      </c>
      <c r="M476" s="47" t="str">
        <f t="shared" si="65"/>
        <v>SB010042/6/26</v>
      </c>
      <c r="N476" s="46" t="str">
        <f t="shared" si="68"/>
        <v/>
      </c>
      <c r="O476" s="60">
        <v>47</v>
      </c>
      <c r="P476" s="60">
        <v>970</v>
      </c>
      <c r="Q476" s="48">
        <v>114</v>
      </c>
      <c r="R476" s="48">
        <v>552</v>
      </c>
      <c r="S476" s="48"/>
      <c r="T476" s="48"/>
      <c r="U476" s="49"/>
      <c r="V476" s="49"/>
      <c r="W476" s="50">
        <f t="shared" si="66"/>
        <v>0</v>
      </c>
      <c r="X476" s="51" t="str">
        <f>IF(A476="", "", IF(COUNTIFS(C$3:C475, C476, D$3:D475, D476, G$3:G475, G476) &gt; 0, "", "11:00"-AW476))</f>
        <v/>
      </c>
      <c r="Y476" s="52" t="str">
        <f t="shared" si="71"/>
        <v/>
      </c>
      <c r="Z476" s="53"/>
      <c r="AA476" s="54"/>
      <c r="AB476" s="53"/>
      <c r="AC476" s="54"/>
      <c r="AD476" s="53"/>
      <c r="AE476" s="54"/>
      <c r="AF476" s="53"/>
      <c r="AG476" s="54"/>
      <c r="AH476" s="55">
        <v>4.1666666666666699E-2</v>
      </c>
      <c r="AI476" s="53"/>
      <c r="AJ476" s="54"/>
      <c r="AK476" s="53"/>
      <c r="AL476" s="54"/>
      <c r="AM476" s="53"/>
      <c r="AN476" s="54"/>
      <c r="AO476" s="53"/>
      <c r="AP476" s="54"/>
      <c r="AQ476" s="53"/>
      <c r="AR476" s="54"/>
      <c r="AS476" s="53"/>
      <c r="AT476" s="54"/>
      <c r="AU476" s="53">
        <v>4.1666666666666699E-2</v>
      </c>
      <c r="AV476" s="54" t="s">
        <v>37</v>
      </c>
      <c r="AW476" s="57">
        <f t="shared" si="64"/>
        <v>4.1666666666666699E-2</v>
      </c>
      <c r="AX476" s="58" t="s">
        <v>101</v>
      </c>
    </row>
    <row r="477" spans="1:50" ht="21.75" customHeight="1">
      <c r="A477" s="38" t="s">
        <v>443</v>
      </c>
      <c r="B477" s="39">
        <f t="shared" si="72"/>
        <v>473</v>
      </c>
      <c r="C477" s="40">
        <v>46036</v>
      </c>
      <c r="D477" s="40" t="s">
        <v>80</v>
      </c>
      <c r="E477" s="40" t="s">
        <v>33</v>
      </c>
      <c r="F477" s="41">
        <v>698.5</v>
      </c>
      <c r="G477" s="42" t="s">
        <v>54</v>
      </c>
      <c r="H477" s="43" t="str">
        <f>IFERROR(VLOOKUP($J477,'[9]FROM (3)'!$E$4:$F$230,2,FALSE),"")</f>
        <v>JCTTH</v>
      </c>
      <c r="I477" s="44" t="str">
        <f t="shared" si="69"/>
        <v>RACK BAR</v>
      </c>
      <c r="J477" s="44" t="str">
        <f t="shared" si="70"/>
        <v>JGD10-000751/000761-A</v>
      </c>
      <c r="K477" s="59" t="str">
        <f t="shared" si="67"/>
        <v>PD26010260</v>
      </c>
      <c r="L477" s="46" t="str" cm="1">
        <f t="array" ref="L477">IFERROR(_xlfn.IFS(
    LEN($A477)-LEN(SUBSTITUTE($A477,"|",""))=12, RIGHT(A477, LEN(A477)-FIND("~", SUBSTITUTE(A477,"|","~", LEN(A477)-LEN(SUBSTITUTE(A477,"|",""))))),
    LEN($A477)-LEN(SUBSTITUTE($A477,"|",""))=13, MID($A477, FIND("~", SUBSTITUTE($A477,"|","~", 11))+1, FIND("~", SUBSTITUTE($A477,"|","~", 12))-FIND("~", SUBSTITUTE($A477,"|","~", 11))-1),
    LEN($A477)-LEN(SUBSTITUTE($A477,"|",""))=14, MID($A477, FIND("~", SUBSTITUTE($A477,"|","~", 11))+1, FIND("~", SUBSTITUTE($A477,"|","~", 12))-FIND("~", SUBSTITUTE($A477,"|","~", 11))-1)
), "")</f>
        <v>665076</v>
      </c>
      <c r="M477" s="47" t="str">
        <f t="shared" si="65"/>
        <v>SB010011/4/26</v>
      </c>
      <c r="N477" s="46" t="str">
        <f t="shared" si="68"/>
        <v/>
      </c>
      <c r="O477" s="60" t="s">
        <v>35</v>
      </c>
      <c r="P477" s="60" t="s">
        <v>35</v>
      </c>
      <c r="Q477" s="48">
        <v>97</v>
      </c>
      <c r="R477" s="48">
        <v>434</v>
      </c>
      <c r="S477" s="48"/>
      <c r="T477" s="48"/>
      <c r="U477" s="49"/>
      <c r="V477" s="49"/>
      <c r="W477" s="50">
        <f t="shared" si="66"/>
        <v>0</v>
      </c>
      <c r="X477" s="51">
        <f>IF(A477="", "", IF(COUNTIFS(C$3:C476, C477, D$3:D476, D477, G$3:G476, G477) &gt; 0, "", "11:00"-AW477))</f>
        <v>0.40277777777777773</v>
      </c>
      <c r="Y477" s="52" t="str">
        <f t="shared" si="71"/>
        <v>1:40</v>
      </c>
      <c r="Z477" s="53">
        <v>1.3888888888888888E-2</v>
      </c>
      <c r="AA477" s="54" t="s">
        <v>47</v>
      </c>
      <c r="AB477" s="53"/>
      <c r="AC477" s="54"/>
      <c r="AD477" s="53"/>
      <c r="AE477" s="54"/>
      <c r="AF477" s="53"/>
      <c r="AG477" s="54"/>
      <c r="AH477" s="55">
        <v>4.1666666666666699E-2</v>
      </c>
      <c r="AI477" s="53"/>
      <c r="AJ477" s="54"/>
      <c r="AK477" s="53"/>
      <c r="AL477" s="54"/>
      <c r="AM477" s="53"/>
      <c r="AN477" s="54"/>
      <c r="AO477" s="53"/>
      <c r="AP477" s="54"/>
      <c r="AQ477" s="53"/>
      <c r="AR477" s="54"/>
      <c r="AS477" s="53"/>
      <c r="AT477" s="54"/>
      <c r="AU477" s="53">
        <v>4.1666666666666699E-2</v>
      </c>
      <c r="AV477" s="54" t="s">
        <v>37</v>
      </c>
      <c r="AW477" s="57">
        <f t="shared" si="64"/>
        <v>5.5555555555555587E-2</v>
      </c>
      <c r="AX477" s="58" t="s">
        <v>91</v>
      </c>
    </row>
    <row r="478" spans="1:50" ht="21.75" customHeight="1">
      <c r="A478" s="38" t="s">
        <v>469</v>
      </c>
      <c r="B478" s="39">
        <f t="shared" si="72"/>
        <v>474</v>
      </c>
      <c r="C478" s="40">
        <v>46036</v>
      </c>
      <c r="D478" s="40" t="s">
        <v>80</v>
      </c>
      <c r="E478" s="40" t="s">
        <v>33</v>
      </c>
      <c r="F478" s="41">
        <v>698.5</v>
      </c>
      <c r="G478" s="42" t="s">
        <v>54</v>
      </c>
      <c r="H478" s="43" t="str">
        <f>IFERROR(VLOOKUP($J478,'[9]FROM (3)'!$E$4:$F$230,2,FALSE),"")</f>
        <v>JCTTH</v>
      </c>
      <c r="I478" s="44" t="str">
        <f t="shared" si="69"/>
        <v>RACK BAR</v>
      </c>
      <c r="J478" s="44" t="str">
        <f t="shared" si="70"/>
        <v>JGD10-000751/000761-A</v>
      </c>
      <c r="K478" s="59" t="str">
        <f t="shared" si="67"/>
        <v>PD26010260</v>
      </c>
      <c r="L478" s="46" t="str" cm="1">
        <f t="array" ref="L478">IFERROR(_xlfn.IFS(
    LEN($A478)-LEN(SUBSTITUTE($A478,"|",""))=12, RIGHT(A478, LEN(A478)-FIND("~", SUBSTITUTE(A478,"|","~", LEN(A478)-LEN(SUBSTITUTE(A478,"|",""))))),
    LEN($A478)-LEN(SUBSTITUTE($A478,"|",""))=13, MID($A478, FIND("~", SUBSTITUTE($A478,"|","~", 11))+1, FIND("~", SUBSTITUTE($A478,"|","~", 12))-FIND("~", SUBSTITUTE($A478,"|","~", 11))-1),
    LEN($A478)-LEN(SUBSTITUTE($A478,"|",""))=14, MID($A478, FIND("~", SUBSTITUTE($A478,"|","~", 11))+1, FIND("~", SUBSTITUTE($A478,"|","~", 12))-FIND("~", SUBSTITUTE($A478,"|","~", 11))-1)
), "")</f>
        <v>665076</v>
      </c>
      <c r="M478" s="47" t="str">
        <f t="shared" si="65"/>
        <v>SB010011/5/26</v>
      </c>
      <c r="N478" s="46" t="str">
        <f t="shared" si="68"/>
        <v/>
      </c>
      <c r="O478" s="60">
        <v>51</v>
      </c>
      <c r="P478" s="60">
        <v>986</v>
      </c>
      <c r="Q478" s="48">
        <v>204</v>
      </c>
      <c r="R478" s="48">
        <v>913</v>
      </c>
      <c r="S478" s="48"/>
      <c r="T478" s="48"/>
      <c r="U478" s="49"/>
      <c r="V478" s="49"/>
      <c r="W478" s="50">
        <f t="shared" si="66"/>
        <v>0</v>
      </c>
      <c r="X478" s="51" t="str">
        <f>IF(A478="", "", IF(COUNTIFS(C$3:C477, C478, D$3:D477, D478, G$3:G477, G478) &gt; 0, "", "11:00"-AW478))</f>
        <v/>
      </c>
      <c r="Y478" s="52" t="str">
        <f t="shared" si="71"/>
        <v/>
      </c>
      <c r="Z478" s="53"/>
      <c r="AA478" s="54"/>
      <c r="AB478" s="53"/>
      <c r="AC478" s="54"/>
      <c r="AD478" s="53"/>
      <c r="AE478" s="54"/>
      <c r="AF478" s="53"/>
      <c r="AG478" s="54"/>
      <c r="AH478" s="55">
        <v>4.1666666666666699E-2</v>
      </c>
      <c r="AI478" s="53"/>
      <c r="AJ478" s="54"/>
      <c r="AK478" s="53"/>
      <c r="AL478" s="54"/>
      <c r="AM478" s="53"/>
      <c r="AN478" s="54"/>
      <c r="AO478" s="53"/>
      <c r="AP478" s="54"/>
      <c r="AQ478" s="53"/>
      <c r="AR478" s="54"/>
      <c r="AS478" s="53"/>
      <c r="AT478" s="54"/>
      <c r="AU478" s="53">
        <v>4.1666666666666699E-2</v>
      </c>
      <c r="AV478" s="54" t="s">
        <v>37</v>
      </c>
      <c r="AW478" s="57">
        <f t="shared" ref="AW478:AW541" si="73">SUM(Z478,AB478,AD478,AF478,AI478,AK478,AM478,AO478,AQ478,AS478,AU478)</f>
        <v>4.1666666666666699E-2</v>
      </c>
      <c r="AX478" s="58" t="s">
        <v>91</v>
      </c>
    </row>
    <row r="479" spans="1:50" ht="21.75" customHeight="1">
      <c r="A479" s="38" t="s">
        <v>470</v>
      </c>
      <c r="B479" s="39">
        <f t="shared" si="72"/>
        <v>475</v>
      </c>
      <c r="C479" s="40">
        <v>46036</v>
      </c>
      <c r="D479" s="40" t="s">
        <v>80</v>
      </c>
      <c r="E479" s="40" t="s">
        <v>33</v>
      </c>
      <c r="F479" s="41">
        <v>698.5</v>
      </c>
      <c r="G479" s="42" t="s">
        <v>54</v>
      </c>
      <c r="H479" s="43" t="str">
        <f>IFERROR(VLOOKUP($J479,'[9]FROM (3)'!$E$4:$F$230,2,FALSE),"")</f>
        <v>JCTTH</v>
      </c>
      <c r="I479" s="44" t="str">
        <f t="shared" si="69"/>
        <v>RACK BAR</v>
      </c>
      <c r="J479" s="44" t="str">
        <f t="shared" si="70"/>
        <v>JGD10-000751/000761-A</v>
      </c>
      <c r="K479" s="59" t="str">
        <f t="shared" si="67"/>
        <v>PD26010260</v>
      </c>
      <c r="L479" s="46" t="str" cm="1">
        <f t="array" ref="L479">IFERROR(_xlfn.IFS(
    LEN($A479)-LEN(SUBSTITUTE($A479,"|",""))=12, RIGHT(A479, LEN(A479)-FIND("~", SUBSTITUTE(A479,"|","~", LEN(A479)-LEN(SUBSTITUTE(A479,"|",""))))),
    LEN($A479)-LEN(SUBSTITUTE($A479,"|",""))=13, MID($A479, FIND("~", SUBSTITUTE($A479,"|","~", 11))+1, FIND("~", SUBSTITUTE($A479,"|","~", 12))-FIND("~", SUBSTITUTE($A479,"|","~", 11))-1),
    LEN($A479)-LEN(SUBSTITUTE($A479,"|",""))=14, MID($A479, FIND("~", SUBSTITUTE($A479,"|","~", 11))+1, FIND("~", SUBSTITUTE($A479,"|","~", 12))-FIND("~", SUBSTITUTE($A479,"|","~", 11))-1)
), "")</f>
        <v>665076</v>
      </c>
      <c r="M479" s="47" t="str">
        <f t="shared" si="65"/>
        <v>SB010011/6/26</v>
      </c>
      <c r="N479" s="46" t="str">
        <f t="shared" si="68"/>
        <v/>
      </c>
      <c r="O479" s="60">
        <v>51</v>
      </c>
      <c r="P479" s="60">
        <v>986</v>
      </c>
      <c r="Q479" s="48">
        <v>204</v>
      </c>
      <c r="R479" s="48">
        <v>913</v>
      </c>
      <c r="S479" s="48"/>
      <c r="T479" s="48"/>
      <c r="U479" s="49">
        <v>195</v>
      </c>
      <c r="V479" s="49">
        <v>10</v>
      </c>
      <c r="W479" s="50">
        <f t="shared" si="66"/>
        <v>205</v>
      </c>
      <c r="X479" s="51" t="str">
        <f>IF(A479="", "", IF(COUNTIFS(C$3:C478, C479, D$3:D478, D479, G$3:G478, G479) &gt; 0, "", "11:00"-AW479))</f>
        <v/>
      </c>
      <c r="Y479" s="52" t="str">
        <f t="shared" si="71"/>
        <v/>
      </c>
      <c r="Z479" s="53"/>
      <c r="AA479" s="54"/>
      <c r="AB479" s="53"/>
      <c r="AC479" s="54"/>
      <c r="AD479" s="53"/>
      <c r="AE479" s="54"/>
      <c r="AF479" s="53"/>
      <c r="AG479" s="54"/>
      <c r="AH479" s="55">
        <v>4.1666666666666699E-2</v>
      </c>
      <c r="AI479" s="53"/>
      <c r="AJ479" s="54"/>
      <c r="AK479" s="53"/>
      <c r="AL479" s="54"/>
      <c r="AM479" s="53"/>
      <c r="AN479" s="54"/>
      <c r="AO479" s="53"/>
      <c r="AP479" s="54"/>
      <c r="AQ479" s="53"/>
      <c r="AR479" s="54"/>
      <c r="AS479" s="53"/>
      <c r="AT479" s="54"/>
      <c r="AU479" s="53">
        <v>4.1666666666666699E-2</v>
      </c>
      <c r="AV479" s="54" t="s">
        <v>37</v>
      </c>
      <c r="AW479" s="57">
        <f t="shared" si="73"/>
        <v>4.1666666666666699E-2</v>
      </c>
      <c r="AX479" s="58" t="s">
        <v>91</v>
      </c>
    </row>
    <row r="480" spans="1:50" ht="21.75" customHeight="1">
      <c r="A480" s="38" t="s">
        <v>471</v>
      </c>
      <c r="B480" s="39">
        <f t="shared" si="72"/>
        <v>476</v>
      </c>
      <c r="C480" s="40">
        <v>46036</v>
      </c>
      <c r="D480" s="40" t="s">
        <v>80</v>
      </c>
      <c r="E480" s="40" t="s">
        <v>33</v>
      </c>
      <c r="F480" s="41">
        <v>698.5</v>
      </c>
      <c r="G480" s="42" t="s">
        <v>54</v>
      </c>
      <c r="H480" s="43" t="str">
        <f>IFERROR(VLOOKUP($J480,'[9]FROM (3)'!$E$4:$F$230,2,FALSE),"")</f>
        <v>JCTTH</v>
      </c>
      <c r="I480" s="44" t="str">
        <f t="shared" si="69"/>
        <v>RACK BAR</v>
      </c>
      <c r="J480" s="44" t="str">
        <f t="shared" si="70"/>
        <v>JGD10-000751/000761-A</v>
      </c>
      <c r="K480" s="59" t="str">
        <f t="shared" si="67"/>
        <v>PD26010262</v>
      </c>
      <c r="L480" s="46" t="str" cm="1">
        <f t="array" ref="L480">IFERROR(_xlfn.IFS(
    LEN($A480)-LEN(SUBSTITUTE($A480,"|",""))=12, RIGHT(A480, LEN(A480)-FIND("~", SUBSTITUTE(A480,"|","~", LEN(A480)-LEN(SUBSTITUTE(A480,"|",""))))),
    LEN($A480)-LEN(SUBSTITUTE($A480,"|",""))=13, MID($A480, FIND("~", SUBSTITUTE($A480,"|","~", 11))+1, FIND("~", SUBSTITUTE($A480,"|","~", 12))-FIND("~", SUBSTITUTE($A480,"|","~", 11))-1),
    LEN($A480)-LEN(SUBSTITUTE($A480,"|",""))=14, MID($A480, FIND("~", SUBSTITUTE($A480,"|","~", 11))+1, FIND("~", SUBSTITUTE($A480,"|","~", 12))-FIND("~", SUBSTITUTE($A480,"|","~", 11))-1)
), "")</f>
        <v>665076</v>
      </c>
      <c r="M480" s="47" t="str">
        <f t="shared" si="65"/>
        <v>SB010016/6/26</v>
      </c>
      <c r="N480" s="46" t="str">
        <f t="shared" si="68"/>
        <v/>
      </c>
      <c r="O480" s="60">
        <v>51</v>
      </c>
      <c r="P480" s="60">
        <v>986</v>
      </c>
      <c r="Q480" s="48">
        <v>204</v>
      </c>
      <c r="R480" s="48">
        <v>913</v>
      </c>
      <c r="S480" s="48"/>
      <c r="T480" s="48"/>
      <c r="U480" s="49"/>
      <c r="V480" s="49"/>
      <c r="W480" s="50">
        <f t="shared" si="66"/>
        <v>0</v>
      </c>
      <c r="X480" s="51" t="str">
        <f>IF(A480="", "", IF(COUNTIFS(C$3:C479, C480, D$3:D479, D480, G$3:G479, G480) &gt; 0, "", "11:00"-AW480))</f>
        <v/>
      </c>
      <c r="Y480" s="52" t="str">
        <f t="shared" si="71"/>
        <v/>
      </c>
      <c r="Z480" s="53"/>
      <c r="AA480" s="54"/>
      <c r="AB480" s="53"/>
      <c r="AC480" s="54"/>
      <c r="AD480" s="53"/>
      <c r="AE480" s="54"/>
      <c r="AF480" s="53"/>
      <c r="AG480" s="54"/>
      <c r="AH480" s="55">
        <v>4.1666666666666699E-2</v>
      </c>
      <c r="AI480" s="53"/>
      <c r="AJ480" s="54"/>
      <c r="AK480" s="53"/>
      <c r="AL480" s="54"/>
      <c r="AM480" s="53"/>
      <c r="AN480" s="54"/>
      <c r="AO480" s="53"/>
      <c r="AP480" s="54"/>
      <c r="AQ480" s="53"/>
      <c r="AR480" s="54"/>
      <c r="AS480" s="53"/>
      <c r="AT480" s="54"/>
      <c r="AU480" s="53">
        <v>4.1666666666666699E-2</v>
      </c>
      <c r="AV480" s="54" t="s">
        <v>37</v>
      </c>
      <c r="AW480" s="57">
        <f t="shared" si="73"/>
        <v>4.1666666666666699E-2</v>
      </c>
      <c r="AX480" s="58" t="s">
        <v>91</v>
      </c>
    </row>
    <row r="481" spans="1:50" ht="21.75" customHeight="1">
      <c r="A481" s="38" t="s">
        <v>472</v>
      </c>
      <c r="B481" s="39">
        <f t="shared" si="72"/>
        <v>477</v>
      </c>
      <c r="C481" s="40">
        <v>46036</v>
      </c>
      <c r="D481" s="40" t="s">
        <v>80</v>
      </c>
      <c r="E481" s="40" t="s">
        <v>33</v>
      </c>
      <c r="F481" s="41">
        <v>698.5</v>
      </c>
      <c r="G481" s="42" t="s">
        <v>54</v>
      </c>
      <c r="H481" s="43" t="str">
        <f>IFERROR(VLOOKUP($J481,'[9]FROM (3)'!$E$4:$F$230,2,FALSE),"")</f>
        <v>JCTTH</v>
      </c>
      <c r="I481" s="44" t="str">
        <f t="shared" si="69"/>
        <v>RACK BAR</v>
      </c>
      <c r="J481" s="44" t="str">
        <f t="shared" si="70"/>
        <v>JGD10-000751/000761-A</v>
      </c>
      <c r="K481" s="59" t="str">
        <f t="shared" si="67"/>
        <v>PD26010262</v>
      </c>
      <c r="L481" s="46" t="str" cm="1">
        <f t="array" ref="L481">IFERROR(_xlfn.IFS(
    LEN($A481)-LEN(SUBSTITUTE($A481,"|",""))=12, RIGHT(A481, LEN(A481)-FIND("~", SUBSTITUTE(A481,"|","~", LEN(A481)-LEN(SUBSTITUTE(A481,"|",""))))),
    LEN($A481)-LEN(SUBSTITUTE($A481,"|",""))=13, MID($A481, FIND("~", SUBSTITUTE($A481,"|","~", 11))+1, FIND("~", SUBSTITUTE($A481,"|","~", 12))-FIND("~", SUBSTITUTE($A481,"|","~", 11))-1),
    LEN($A481)-LEN(SUBSTITUTE($A481,"|",""))=14, MID($A481, FIND("~", SUBSTITUTE($A481,"|","~", 11))+1, FIND("~", SUBSTITUTE($A481,"|","~", 12))-FIND("~", SUBSTITUTE($A481,"|","~", 11))-1)
), "")</f>
        <v>665076</v>
      </c>
      <c r="M481" s="47" t="str">
        <f t="shared" si="65"/>
        <v>SB010016/5/26</v>
      </c>
      <c r="N481" s="46" t="str">
        <f t="shared" si="68"/>
        <v/>
      </c>
      <c r="O481" s="60">
        <v>51</v>
      </c>
      <c r="P481" s="60">
        <v>986</v>
      </c>
      <c r="Q481" s="48">
        <v>204</v>
      </c>
      <c r="R481" s="48">
        <v>913</v>
      </c>
      <c r="S481" s="48"/>
      <c r="T481" s="48"/>
      <c r="U481" s="49"/>
      <c r="V481" s="49"/>
      <c r="W481" s="50">
        <f t="shared" si="66"/>
        <v>0</v>
      </c>
      <c r="X481" s="51" t="str">
        <f>IF(A481="", "", IF(COUNTIFS(C$3:C480, C481, D$3:D480, D481, G$3:G480, G481) &gt; 0, "", "11:00"-AW481))</f>
        <v/>
      </c>
      <c r="Y481" s="52" t="str">
        <f t="shared" si="71"/>
        <v/>
      </c>
      <c r="Z481" s="53"/>
      <c r="AA481" s="54"/>
      <c r="AB481" s="53"/>
      <c r="AC481" s="54"/>
      <c r="AD481" s="53"/>
      <c r="AE481" s="54"/>
      <c r="AF481" s="53"/>
      <c r="AG481" s="54"/>
      <c r="AH481" s="55">
        <v>4.1666666666666699E-2</v>
      </c>
      <c r="AI481" s="53"/>
      <c r="AJ481" s="54"/>
      <c r="AK481" s="53"/>
      <c r="AL481" s="54"/>
      <c r="AM481" s="53"/>
      <c r="AN481" s="54"/>
      <c r="AO481" s="53"/>
      <c r="AP481" s="54"/>
      <c r="AQ481" s="53"/>
      <c r="AR481" s="54"/>
      <c r="AS481" s="53"/>
      <c r="AT481" s="54"/>
      <c r="AU481" s="53">
        <v>4.1666666666666699E-2</v>
      </c>
      <c r="AV481" s="54" t="s">
        <v>37</v>
      </c>
      <c r="AW481" s="57">
        <f t="shared" si="73"/>
        <v>4.1666666666666699E-2</v>
      </c>
      <c r="AX481" s="58" t="s">
        <v>91</v>
      </c>
    </row>
    <row r="482" spans="1:50" ht="21.75" customHeight="1">
      <c r="A482" s="38" t="s">
        <v>473</v>
      </c>
      <c r="B482" s="39">
        <f t="shared" si="72"/>
        <v>478</v>
      </c>
      <c r="C482" s="40">
        <v>46036</v>
      </c>
      <c r="D482" s="40" t="s">
        <v>80</v>
      </c>
      <c r="E482" s="40" t="s">
        <v>33</v>
      </c>
      <c r="F482" s="41">
        <v>698.5</v>
      </c>
      <c r="G482" s="42" t="s">
        <v>54</v>
      </c>
      <c r="H482" s="43" t="str">
        <f>IFERROR(VLOOKUP($J482,'[9]FROM (3)'!$E$4:$F$230,2,FALSE),"")</f>
        <v>JCTTH</v>
      </c>
      <c r="I482" s="44" t="str">
        <f t="shared" si="69"/>
        <v>RACK BAR</v>
      </c>
      <c r="J482" s="44" t="str">
        <f t="shared" si="70"/>
        <v>JGD10-000751/000761-A</v>
      </c>
      <c r="K482" s="59" t="str">
        <f t="shared" si="67"/>
        <v>PD26010262</v>
      </c>
      <c r="L482" s="46" t="str" cm="1">
        <f t="array" ref="L482">IFERROR(_xlfn.IFS(
    LEN($A482)-LEN(SUBSTITUTE($A482,"|",""))=12, RIGHT(A482, LEN(A482)-FIND("~", SUBSTITUTE(A482,"|","~", LEN(A482)-LEN(SUBSTITUTE(A482,"|",""))))),
    LEN($A482)-LEN(SUBSTITUTE($A482,"|",""))=13, MID($A482, FIND("~", SUBSTITUTE($A482,"|","~", 11))+1, FIND("~", SUBSTITUTE($A482,"|","~", 12))-FIND("~", SUBSTITUTE($A482,"|","~", 11))-1),
    LEN($A482)-LEN(SUBSTITUTE($A482,"|",""))=14, MID($A482, FIND("~", SUBSTITUTE($A482,"|","~", 11))+1, FIND("~", SUBSTITUTE($A482,"|","~", 12))-FIND("~", SUBSTITUTE($A482,"|","~", 11))-1)
), "")</f>
        <v>665076</v>
      </c>
      <c r="M482" s="47" t="str">
        <f t="shared" si="65"/>
        <v>SB010016/4/26</v>
      </c>
      <c r="N482" s="46" t="str">
        <f t="shared" si="68"/>
        <v/>
      </c>
      <c r="O482" s="60">
        <v>51</v>
      </c>
      <c r="P482" s="60">
        <v>986</v>
      </c>
      <c r="Q482" s="48">
        <v>95</v>
      </c>
      <c r="R482" s="48">
        <v>425</v>
      </c>
      <c r="S482" s="48"/>
      <c r="T482" s="48"/>
      <c r="U482" s="49"/>
      <c r="V482" s="49"/>
      <c r="W482" s="50">
        <f t="shared" si="66"/>
        <v>0</v>
      </c>
      <c r="X482" s="51" t="str">
        <f>IF(A482="", "", IF(COUNTIFS(C$3:C481, C482, D$3:D481, D482, G$3:G481, G482) &gt; 0, "", "11:00"-AW482))</f>
        <v/>
      </c>
      <c r="Y482" s="52" t="str">
        <f t="shared" si="71"/>
        <v/>
      </c>
      <c r="Z482" s="53"/>
      <c r="AA482" s="54"/>
      <c r="AB482" s="53"/>
      <c r="AC482" s="54"/>
      <c r="AD482" s="53"/>
      <c r="AE482" s="54"/>
      <c r="AF482" s="53"/>
      <c r="AG482" s="54"/>
      <c r="AH482" s="55">
        <v>4.1666666666666699E-2</v>
      </c>
      <c r="AI482" s="53"/>
      <c r="AJ482" s="54"/>
      <c r="AK482" s="53"/>
      <c r="AL482" s="54"/>
      <c r="AM482" s="53"/>
      <c r="AN482" s="54"/>
      <c r="AO482" s="53"/>
      <c r="AP482" s="54"/>
      <c r="AQ482" s="53"/>
      <c r="AR482" s="54"/>
      <c r="AS482" s="53"/>
      <c r="AT482" s="54"/>
      <c r="AU482" s="53">
        <v>4.1666666666666699E-2</v>
      </c>
      <c r="AV482" s="54" t="s">
        <v>37</v>
      </c>
      <c r="AW482" s="57">
        <f t="shared" si="73"/>
        <v>4.1666666666666699E-2</v>
      </c>
      <c r="AX482" s="58" t="s">
        <v>91</v>
      </c>
    </row>
    <row r="483" spans="1:50" ht="21.75" customHeight="1">
      <c r="A483" s="38" t="s">
        <v>434</v>
      </c>
      <c r="B483" s="39">
        <f t="shared" si="72"/>
        <v>479</v>
      </c>
      <c r="C483" s="40">
        <v>46036</v>
      </c>
      <c r="D483" s="40" t="s">
        <v>80</v>
      </c>
      <c r="E483" s="40" t="s">
        <v>33</v>
      </c>
      <c r="F483" s="41">
        <v>167.7</v>
      </c>
      <c r="G483" s="42" t="s">
        <v>62</v>
      </c>
      <c r="H483" s="43" t="str">
        <f>IFERROR(VLOOKUP($J483,'[9]FROM (3)'!$E$4:$F$230,2,FALSE),"")</f>
        <v>DNTH</v>
      </c>
      <c r="I483" s="44" t="str">
        <f t="shared" si="69"/>
        <v>SHAFT STARTER ARMATURE, 1W</v>
      </c>
      <c r="J483" s="44" t="str">
        <f t="shared" si="70"/>
        <v>TG028993-557B</v>
      </c>
      <c r="K483" s="59" t="str">
        <f t="shared" si="67"/>
        <v>PD26010511</v>
      </c>
      <c r="L483" s="46" t="str" cm="1">
        <f t="array" ref="L483">IFERROR(_xlfn.IFS(
    LEN($A483)-LEN(SUBSTITUTE($A483,"|",""))=12, RIGHT(A483, LEN(A483)-FIND("~", SUBSTITUTE(A483,"|","~", LEN(A483)-LEN(SUBSTITUTE(A483,"|",""))))),
    LEN($A483)-LEN(SUBSTITUTE($A483,"|",""))=13, MID($A483, FIND("~", SUBSTITUTE($A483,"|","~", 11))+1, FIND("~", SUBSTITUTE($A483,"|","~", 12))-FIND("~", SUBSTITUTE($A483,"|","~", 11))-1),
    LEN($A483)-LEN(SUBSTITUTE($A483,"|",""))=14, MID($A483, FIND("~", SUBSTITUTE($A483,"|","~", 11))+1, FIND("~", SUBSTITUTE($A483,"|","~", 12))-FIND("~", SUBSTITUTE($A483,"|","~", 11))-1)
), "")</f>
        <v>E586473</v>
      </c>
      <c r="M483" s="47" t="str">
        <f t="shared" si="65"/>
        <v>SB120140/7/25</v>
      </c>
      <c r="N483" s="46" t="str">
        <f t="shared" si="68"/>
        <v/>
      </c>
      <c r="O483" s="60"/>
      <c r="P483" s="60"/>
      <c r="Q483" s="48">
        <v>430</v>
      </c>
      <c r="R483" s="48">
        <v>103</v>
      </c>
      <c r="S483" s="48"/>
      <c r="T483" s="48"/>
      <c r="U483" s="49"/>
      <c r="V483" s="49"/>
      <c r="W483" s="50">
        <f t="shared" si="66"/>
        <v>0</v>
      </c>
      <c r="X483" s="51">
        <f>IF(A483="", "", IF(COUNTIFS(C$3:C482, C483, D$3:D482, D483, G$3:G482, G483) &gt; 0, "", "11:00"-AW483))</f>
        <v>0.22916666666666663</v>
      </c>
      <c r="Y483" s="52" t="str">
        <f t="shared" si="71"/>
        <v>1:0</v>
      </c>
      <c r="Z483" s="53">
        <v>4.1666666666666664E-2</v>
      </c>
      <c r="AA483" s="54" t="s">
        <v>90</v>
      </c>
      <c r="AB483" s="53">
        <v>4.1666666666666664E-2</v>
      </c>
      <c r="AC483" s="54" t="s">
        <v>90</v>
      </c>
      <c r="AD483" s="53">
        <v>2.0833333333333332E-2</v>
      </c>
      <c r="AE483" s="54" t="s">
        <v>63</v>
      </c>
      <c r="AF483" s="53"/>
      <c r="AG483" s="54"/>
      <c r="AH483" s="55">
        <v>4.1666666666666699E-2</v>
      </c>
      <c r="AI483" s="53"/>
      <c r="AJ483" s="54"/>
      <c r="AK483" s="53"/>
      <c r="AL483" s="54"/>
      <c r="AM483" s="53"/>
      <c r="AN483" s="54"/>
      <c r="AO483" s="53"/>
      <c r="AP483" s="54"/>
      <c r="AQ483" s="53">
        <v>4.1666666666666664E-2</v>
      </c>
      <c r="AR483" s="54" t="s">
        <v>37</v>
      </c>
      <c r="AS483" s="53">
        <v>4.1666666666666664E-2</v>
      </c>
      <c r="AT483" s="54" t="s">
        <v>37</v>
      </c>
      <c r="AU483" s="53">
        <v>4.1666666666666699E-2</v>
      </c>
      <c r="AV483" s="54" t="s">
        <v>37</v>
      </c>
      <c r="AW483" s="57">
        <f t="shared" si="73"/>
        <v>0.22916666666666669</v>
      </c>
      <c r="AX483" s="58" t="s">
        <v>224</v>
      </c>
    </row>
    <row r="484" spans="1:50" ht="21.75" customHeight="1">
      <c r="A484" s="38" t="s">
        <v>474</v>
      </c>
      <c r="B484" s="39">
        <f t="shared" si="72"/>
        <v>480</v>
      </c>
      <c r="C484" s="40">
        <v>46036</v>
      </c>
      <c r="D484" s="40" t="s">
        <v>80</v>
      </c>
      <c r="E484" s="40" t="s">
        <v>33</v>
      </c>
      <c r="F484" s="41">
        <v>167.7</v>
      </c>
      <c r="G484" s="42" t="s">
        <v>62</v>
      </c>
      <c r="H484" s="43" t="str">
        <f>IFERROR(VLOOKUP($J484,'[9]FROM (3)'!$E$4:$F$230,2,FALSE),"")</f>
        <v>DNTH</v>
      </c>
      <c r="I484" s="44" t="str">
        <f t="shared" si="69"/>
        <v>SHAFT STARTER ARMATURE, 1W</v>
      </c>
      <c r="J484" s="44" t="str">
        <f t="shared" si="70"/>
        <v>TG028993-557B</v>
      </c>
      <c r="K484" s="59" t="str">
        <f t="shared" si="67"/>
        <v>PD26010511</v>
      </c>
      <c r="L484" s="46" t="str" cm="1">
        <f t="array" ref="L484">IFERROR(_xlfn.IFS(
    LEN($A484)-LEN(SUBSTITUTE($A484,"|",""))=12, RIGHT(A484, LEN(A484)-FIND("~", SUBSTITUTE(A484,"|","~", LEN(A484)-LEN(SUBSTITUTE(A484,"|",""))))),
    LEN($A484)-LEN(SUBSTITUTE($A484,"|",""))=13, MID($A484, FIND("~", SUBSTITUTE($A484,"|","~", 11))+1, FIND("~", SUBSTITUTE($A484,"|","~", 12))-FIND("~", SUBSTITUTE($A484,"|","~", 11))-1),
    LEN($A484)-LEN(SUBSTITUTE($A484,"|",""))=14, MID($A484, FIND("~", SUBSTITUTE($A484,"|","~", 11))+1, FIND("~", SUBSTITUTE($A484,"|","~", 12))-FIND("~", SUBSTITUTE($A484,"|","~", 11))-1)
), "")</f>
        <v>E586473</v>
      </c>
      <c r="M484" s="47" t="str">
        <f t="shared" si="65"/>
        <v>SB120140/5/25</v>
      </c>
      <c r="N484" s="46" t="str">
        <f t="shared" si="68"/>
        <v/>
      </c>
      <c r="O484" s="60">
        <v>35</v>
      </c>
      <c r="P484" s="60">
        <v>205</v>
      </c>
      <c r="Q484" s="48">
        <v>223</v>
      </c>
      <c r="R484" s="48">
        <v>53</v>
      </c>
      <c r="S484" s="48"/>
      <c r="T484" s="48"/>
      <c r="U484" s="49"/>
      <c r="V484" s="49"/>
      <c r="W484" s="50">
        <f t="shared" si="66"/>
        <v>0</v>
      </c>
      <c r="X484" s="51" t="str">
        <f>IF(A484="", "", IF(COUNTIFS(C$3:C483, C484, D$3:D483, D484, G$3:G483, G484) &gt; 0, "", "11:00"-AW484))</f>
        <v/>
      </c>
      <c r="Y484" s="52" t="str">
        <f t="shared" si="71"/>
        <v/>
      </c>
      <c r="Z484" s="53">
        <v>4.1666666666666664E-2</v>
      </c>
      <c r="AA484" s="54" t="s">
        <v>90</v>
      </c>
      <c r="AB484" s="53">
        <v>4.1666666666666664E-2</v>
      </c>
      <c r="AC484" s="54" t="s">
        <v>90</v>
      </c>
      <c r="AD484" s="53">
        <v>2.0833333333333332E-2</v>
      </c>
      <c r="AE484" s="54" t="s">
        <v>63</v>
      </c>
      <c r="AF484" s="53"/>
      <c r="AG484" s="54"/>
      <c r="AH484" s="55">
        <v>4.1666666666666699E-2</v>
      </c>
      <c r="AI484" s="53"/>
      <c r="AJ484" s="54"/>
      <c r="AK484" s="53"/>
      <c r="AL484" s="54"/>
      <c r="AM484" s="53"/>
      <c r="AN484" s="54"/>
      <c r="AO484" s="53"/>
      <c r="AP484" s="54"/>
      <c r="AQ484" s="53">
        <v>4.1666666666666664E-2</v>
      </c>
      <c r="AR484" s="54" t="s">
        <v>37</v>
      </c>
      <c r="AS484" s="53">
        <v>4.1666666666666664E-2</v>
      </c>
      <c r="AT484" s="54" t="s">
        <v>37</v>
      </c>
      <c r="AU484" s="53">
        <v>4.1666666666666699E-2</v>
      </c>
      <c r="AV484" s="54" t="s">
        <v>37</v>
      </c>
      <c r="AW484" s="57">
        <f t="shared" si="73"/>
        <v>0.22916666666666669</v>
      </c>
      <c r="AX484" s="58" t="s">
        <v>224</v>
      </c>
    </row>
    <row r="485" spans="1:50" ht="21.75" customHeight="1">
      <c r="A485" s="38" t="s">
        <v>438</v>
      </c>
      <c r="B485" s="39">
        <f t="shared" si="72"/>
        <v>481</v>
      </c>
      <c r="C485" s="40">
        <v>46036</v>
      </c>
      <c r="D485" s="40" t="s">
        <v>80</v>
      </c>
      <c r="E485" s="40" t="s">
        <v>33</v>
      </c>
      <c r="F485" s="41">
        <v>732.4</v>
      </c>
      <c r="G485" s="42" t="s">
        <v>46</v>
      </c>
      <c r="H485" s="43" t="str">
        <f>IFERROR(VLOOKUP($J485,'[9]FROM (3)'!$E$4:$F$230,2,FALSE),"")</f>
        <v>JATH</v>
      </c>
      <c r="I485" s="44" t="str">
        <f t="shared" si="69"/>
        <v>RACK BAR BLANK</v>
      </c>
      <c r="J485" s="44" t="str">
        <f t="shared" si="70"/>
        <v>JGF02-002060-31-3</v>
      </c>
      <c r="K485" s="59" t="str">
        <f t="shared" si="67"/>
        <v>PD25120622</v>
      </c>
      <c r="L485" s="46" t="str" cm="1">
        <f t="array" ref="L485">IFERROR(_xlfn.IFS(
    LEN($A485)-LEN(SUBSTITUTE($A485,"|",""))=12, RIGHT(A485, LEN(A485)-FIND("~", SUBSTITUTE(A485,"|","~", LEN(A485)-LEN(SUBSTITUTE(A485,"|",""))))),
    LEN($A485)-LEN(SUBSTITUTE($A485,"|",""))=13, MID($A485, FIND("~", SUBSTITUTE($A485,"|","~", 11))+1, FIND("~", SUBSTITUTE($A485,"|","~", 12))-FIND("~", SUBSTITUTE($A485,"|","~", 11))-1),
    LEN($A485)-LEN(SUBSTITUTE($A485,"|",""))=14, MID($A485, FIND("~", SUBSTITUTE($A485,"|","~", 11))+1, FIND("~", SUBSTITUTE($A485,"|","~", 12))-FIND("~", SUBSTITUTE($A485,"|","~", 11))-1)
), "")</f>
        <v>5B0230</v>
      </c>
      <c r="M485" s="47" t="str">
        <f t="shared" si="65"/>
        <v>SB120085/2/25</v>
      </c>
      <c r="N485" s="46" t="str">
        <f t="shared" si="68"/>
        <v/>
      </c>
      <c r="O485" s="60" t="s">
        <v>35</v>
      </c>
      <c r="P485" s="60" t="s">
        <v>35</v>
      </c>
      <c r="Q485" s="48">
        <v>129</v>
      </c>
      <c r="R485" s="48">
        <v>603</v>
      </c>
      <c r="S485" s="48" t="s">
        <v>35</v>
      </c>
      <c r="T485" s="48"/>
      <c r="U485" s="49"/>
      <c r="V485" s="49"/>
      <c r="W485" s="50">
        <f t="shared" si="66"/>
        <v>0</v>
      </c>
      <c r="X485" s="51">
        <f>IF(A485="", "", IF(COUNTIFS(C$3:C484, C485, D$3:D484, D485, G$3:G484, G485) &gt; 0, "", "11:00"-AW485))</f>
        <v>0.41666666666666663</v>
      </c>
      <c r="Y485" s="52" t="str">
        <f t="shared" si="71"/>
        <v>1:40</v>
      </c>
      <c r="Z485" s="53"/>
      <c r="AA485" s="54"/>
      <c r="AB485" s="53"/>
      <c r="AC485" s="54"/>
      <c r="AD485" s="53"/>
      <c r="AE485" s="54"/>
      <c r="AF485" s="53"/>
      <c r="AG485" s="54"/>
      <c r="AH485" s="55">
        <v>4.1666666666666699E-2</v>
      </c>
      <c r="AI485" s="53"/>
      <c r="AJ485" s="54"/>
      <c r="AK485" s="53"/>
      <c r="AL485" s="54"/>
      <c r="AM485" s="53"/>
      <c r="AN485" s="54"/>
      <c r="AO485" s="53"/>
      <c r="AP485" s="54"/>
      <c r="AQ485" s="53"/>
      <c r="AR485" s="54"/>
      <c r="AS485" s="53"/>
      <c r="AT485" s="54"/>
      <c r="AU485" s="53">
        <v>4.1666666666666699E-2</v>
      </c>
      <c r="AV485" s="54" t="s">
        <v>37</v>
      </c>
      <c r="AW485" s="57">
        <f t="shared" si="73"/>
        <v>4.1666666666666699E-2</v>
      </c>
      <c r="AX485" s="58" t="s">
        <v>86</v>
      </c>
    </row>
    <row r="486" spans="1:50" ht="21.75" customHeight="1">
      <c r="A486" s="38" t="s">
        <v>475</v>
      </c>
      <c r="B486" s="39">
        <f t="shared" si="72"/>
        <v>482</v>
      </c>
      <c r="C486" s="40">
        <v>46036</v>
      </c>
      <c r="D486" s="40" t="s">
        <v>80</v>
      </c>
      <c r="E486" s="40" t="s">
        <v>33</v>
      </c>
      <c r="F486" s="41">
        <v>732.4</v>
      </c>
      <c r="G486" s="42" t="s">
        <v>46</v>
      </c>
      <c r="H486" s="43" t="str">
        <f>IFERROR(VLOOKUP($J486,'[9]FROM (3)'!$E$4:$F$230,2,FALSE),"")</f>
        <v>JATH</v>
      </c>
      <c r="I486" s="44" t="str">
        <f t="shared" si="69"/>
        <v>RACK BAR BLANK</v>
      </c>
      <c r="J486" s="44" t="str">
        <f t="shared" si="70"/>
        <v>JGF02-002060-31-3</v>
      </c>
      <c r="K486" s="59" t="str">
        <f t="shared" si="67"/>
        <v>PD25120622</v>
      </c>
      <c r="L486" s="46" t="str" cm="1">
        <f t="array" ref="L486">IFERROR(_xlfn.IFS(
    LEN($A486)-LEN(SUBSTITUTE($A486,"|",""))=12, RIGHT(A486, LEN(A486)-FIND("~", SUBSTITUTE(A486,"|","~", LEN(A486)-LEN(SUBSTITUTE(A486,"|",""))))),
    LEN($A486)-LEN(SUBSTITUTE($A486,"|",""))=13, MID($A486, FIND("~", SUBSTITUTE($A486,"|","~", 11))+1, FIND("~", SUBSTITUTE($A486,"|","~", 12))-FIND("~", SUBSTITUTE($A486,"|","~", 11))-1),
    LEN($A486)-LEN(SUBSTITUTE($A486,"|",""))=14, MID($A486, FIND("~", SUBSTITUTE($A486,"|","~", 11))+1, FIND("~", SUBSTITUTE($A486,"|","~", 12))-FIND("~", SUBSTITUTE($A486,"|","~", 11))-1)
), "")</f>
        <v>5B0230</v>
      </c>
      <c r="M486" s="47" t="str">
        <f t="shared" si="65"/>
        <v>SB120085/3/25</v>
      </c>
      <c r="N486" s="46" t="str">
        <f t="shared" si="68"/>
        <v/>
      </c>
      <c r="O486" s="60">
        <v>28</v>
      </c>
      <c r="P486" s="60">
        <v>967</v>
      </c>
      <c r="Q486" s="48">
        <v>196</v>
      </c>
      <c r="R486" s="48">
        <v>916</v>
      </c>
      <c r="S486" s="48" t="s">
        <v>35</v>
      </c>
      <c r="T486" s="48"/>
      <c r="U486" s="49"/>
      <c r="V486" s="49"/>
      <c r="W486" s="50">
        <f t="shared" si="66"/>
        <v>0</v>
      </c>
      <c r="X486" s="51" t="str">
        <f>IF(A486="", "", IF(COUNTIFS(C$3:C485, C486, D$3:D485, D486, G$3:G485, G486) &gt; 0, "", "11:00"-AW486))</f>
        <v/>
      </c>
      <c r="Y486" s="52" t="str">
        <f t="shared" si="71"/>
        <v/>
      </c>
      <c r="Z486" s="53"/>
      <c r="AA486" s="54"/>
      <c r="AB486" s="53"/>
      <c r="AC486" s="54"/>
      <c r="AD486" s="53"/>
      <c r="AE486" s="54"/>
      <c r="AF486" s="53"/>
      <c r="AG486" s="54"/>
      <c r="AH486" s="55">
        <v>4.1666666666666699E-2</v>
      </c>
      <c r="AI486" s="53"/>
      <c r="AJ486" s="54"/>
      <c r="AK486" s="53"/>
      <c r="AL486" s="54"/>
      <c r="AM486" s="53"/>
      <c r="AN486" s="54"/>
      <c r="AO486" s="53"/>
      <c r="AP486" s="54"/>
      <c r="AQ486" s="53"/>
      <c r="AR486" s="54"/>
      <c r="AS486" s="53"/>
      <c r="AT486" s="54"/>
      <c r="AU486" s="53">
        <v>4.1666666666666699E-2</v>
      </c>
      <c r="AV486" s="54" t="s">
        <v>37</v>
      </c>
      <c r="AW486" s="57">
        <f t="shared" si="73"/>
        <v>4.1666666666666699E-2</v>
      </c>
      <c r="AX486" s="58" t="s">
        <v>86</v>
      </c>
    </row>
    <row r="487" spans="1:50" ht="21.75" customHeight="1">
      <c r="A487" s="38" t="s">
        <v>476</v>
      </c>
      <c r="B487" s="39">
        <f t="shared" si="72"/>
        <v>483</v>
      </c>
      <c r="C487" s="40">
        <v>46036</v>
      </c>
      <c r="D487" s="40" t="s">
        <v>80</v>
      </c>
      <c r="E487" s="40" t="s">
        <v>33</v>
      </c>
      <c r="F487" s="41">
        <v>732.4</v>
      </c>
      <c r="G487" s="42" t="s">
        <v>46</v>
      </c>
      <c r="H487" s="43" t="str">
        <f>IFERROR(VLOOKUP($J487,'[9]FROM (3)'!$E$4:$F$230,2,FALSE),"")</f>
        <v>JATH</v>
      </c>
      <c r="I487" s="44" t="str">
        <f t="shared" si="69"/>
        <v>RACK BAR BLANK</v>
      </c>
      <c r="J487" s="44" t="str">
        <f t="shared" si="70"/>
        <v>JGF02-002060-31-3</v>
      </c>
      <c r="K487" s="59" t="str">
        <f t="shared" si="67"/>
        <v>PD25120622</v>
      </c>
      <c r="L487" s="46" t="str" cm="1">
        <f t="array" ref="L487">IFERROR(_xlfn.IFS(
    LEN($A487)-LEN(SUBSTITUTE($A487,"|",""))=12, RIGHT(A487, LEN(A487)-FIND("~", SUBSTITUTE(A487,"|","~", LEN(A487)-LEN(SUBSTITUTE(A487,"|",""))))),
    LEN($A487)-LEN(SUBSTITUTE($A487,"|",""))=13, MID($A487, FIND("~", SUBSTITUTE($A487,"|","~", 11))+1, FIND("~", SUBSTITUTE($A487,"|","~", 12))-FIND("~", SUBSTITUTE($A487,"|","~", 11))-1),
    LEN($A487)-LEN(SUBSTITUTE($A487,"|",""))=14, MID($A487, FIND("~", SUBSTITUTE($A487,"|","~", 11))+1, FIND("~", SUBSTITUTE($A487,"|","~", 12))-FIND("~", SUBSTITUTE($A487,"|","~", 11))-1)
), "")</f>
        <v>5B0230</v>
      </c>
      <c r="M487" s="47" t="str">
        <f t="shared" si="65"/>
        <v>SB120085/4/25</v>
      </c>
      <c r="N487" s="46" t="str">
        <f t="shared" si="68"/>
        <v/>
      </c>
      <c r="O487" s="60">
        <v>28</v>
      </c>
      <c r="P487" s="60">
        <v>967</v>
      </c>
      <c r="Q487" s="48">
        <v>196</v>
      </c>
      <c r="R487" s="48">
        <v>916</v>
      </c>
      <c r="S487" s="48" t="s">
        <v>35</v>
      </c>
      <c r="T487" s="48"/>
      <c r="U487" s="49"/>
      <c r="V487" s="49"/>
      <c r="W487" s="50">
        <f t="shared" si="66"/>
        <v>0</v>
      </c>
      <c r="X487" s="51" t="str">
        <f>IF(A487="", "", IF(COUNTIFS(C$3:C486, C487, D$3:D486, D487, G$3:G486, G487) &gt; 0, "", "11:00"-AW487))</f>
        <v/>
      </c>
      <c r="Y487" s="52" t="str">
        <f t="shared" si="71"/>
        <v/>
      </c>
      <c r="Z487" s="53"/>
      <c r="AA487" s="54"/>
      <c r="AB487" s="53"/>
      <c r="AC487" s="54"/>
      <c r="AD487" s="53"/>
      <c r="AE487" s="54"/>
      <c r="AF487" s="53"/>
      <c r="AG487" s="54"/>
      <c r="AH487" s="55">
        <v>4.1666666666666699E-2</v>
      </c>
      <c r="AI487" s="53"/>
      <c r="AJ487" s="54"/>
      <c r="AK487" s="53"/>
      <c r="AL487" s="54"/>
      <c r="AM487" s="53"/>
      <c r="AN487" s="54"/>
      <c r="AO487" s="53"/>
      <c r="AP487" s="54"/>
      <c r="AQ487" s="53"/>
      <c r="AR487" s="54"/>
      <c r="AS487" s="53"/>
      <c r="AT487" s="54"/>
      <c r="AU487" s="53">
        <v>4.1666666666666699E-2</v>
      </c>
      <c r="AV487" s="54" t="s">
        <v>37</v>
      </c>
      <c r="AW487" s="57">
        <f t="shared" si="73"/>
        <v>4.1666666666666699E-2</v>
      </c>
      <c r="AX487" s="58" t="s">
        <v>86</v>
      </c>
    </row>
    <row r="488" spans="1:50" ht="21.75" customHeight="1">
      <c r="A488" s="38" t="s">
        <v>477</v>
      </c>
      <c r="B488" s="39">
        <f t="shared" si="72"/>
        <v>484</v>
      </c>
      <c r="C488" s="40">
        <v>46036</v>
      </c>
      <c r="D488" s="40" t="s">
        <v>80</v>
      </c>
      <c r="E488" s="40" t="s">
        <v>33</v>
      </c>
      <c r="F488" s="41">
        <v>732.4</v>
      </c>
      <c r="G488" s="42" t="s">
        <v>46</v>
      </c>
      <c r="H488" s="43" t="str">
        <f>IFERROR(VLOOKUP($J488,'[9]FROM (3)'!$E$4:$F$230,2,FALSE),"")</f>
        <v>JATH</v>
      </c>
      <c r="I488" s="44" t="str">
        <f t="shared" si="69"/>
        <v>RACK BAR BLANK</v>
      </c>
      <c r="J488" s="44" t="str">
        <f t="shared" si="70"/>
        <v>JGF02-002060-31-3</v>
      </c>
      <c r="K488" s="59" t="str">
        <f t="shared" si="67"/>
        <v>PD25120622</v>
      </c>
      <c r="L488" s="46" t="str" cm="1">
        <f t="array" ref="L488">IFERROR(_xlfn.IFS(
    LEN($A488)-LEN(SUBSTITUTE($A488,"|",""))=12, RIGHT(A488, LEN(A488)-FIND("~", SUBSTITUTE(A488,"|","~", LEN(A488)-LEN(SUBSTITUTE(A488,"|",""))))),
    LEN($A488)-LEN(SUBSTITUTE($A488,"|",""))=13, MID($A488, FIND("~", SUBSTITUTE($A488,"|","~", 11))+1, FIND("~", SUBSTITUTE($A488,"|","~", 12))-FIND("~", SUBSTITUTE($A488,"|","~", 11))-1),
    LEN($A488)-LEN(SUBSTITUTE($A488,"|",""))=14, MID($A488, FIND("~", SUBSTITUTE($A488,"|","~", 11))+1, FIND("~", SUBSTITUTE($A488,"|","~", 12))-FIND("~", SUBSTITUTE($A488,"|","~", 11))-1)
), "")</f>
        <v>5B0230</v>
      </c>
      <c r="M488" s="47" t="str">
        <f t="shared" si="65"/>
        <v>SB120085/5/25</v>
      </c>
      <c r="N488" s="46" t="str">
        <f t="shared" si="68"/>
        <v/>
      </c>
      <c r="O488" s="60">
        <v>28</v>
      </c>
      <c r="P488" s="60">
        <v>967</v>
      </c>
      <c r="Q488" s="48">
        <v>196</v>
      </c>
      <c r="R488" s="48">
        <v>916</v>
      </c>
      <c r="S488" s="48" t="s">
        <v>35</v>
      </c>
      <c r="T488" s="48"/>
      <c r="U488" s="49"/>
      <c r="V488" s="49"/>
      <c r="W488" s="50">
        <f t="shared" si="66"/>
        <v>0</v>
      </c>
      <c r="X488" s="51" t="str">
        <f>IF(A488="", "", IF(COUNTIFS(C$3:C487, C488, D$3:D487, D488, G$3:G487, G488) &gt; 0, "", "11:00"-AW488))</f>
        <v/>
      </c>
      <c r="Y488" s="52" t="str">
        <f t="shared" si="71"/>
        <v/>
      </c>
      <c r="Z488" s="53"/>
      <c r="AA488" s="54"/>
      <c r="AB488" s="53"/>
      <c r="AC488" s="54"/>
      <c r="AD488" s="53"/>
      <c r="AE488" s="54"/>
      <c r="AF488" s="53"/>
      <c r="AG488" s="54"/>
      <c r="AH488" s="55">
        <v>4.1666666666666699E-2</v>
      </c>
      <c r="AI488" s="53"/>
      <c r="AJ488" s="54"/>
      <c r="AK488" s="53"/>
      <c r="AL488" s="54"/>
      <c r="AM488" s="53"/>
      <c r="AN488" s="54"/>
      <c r="AO488" s="53"/>
      <c r="AP488" s="54"/>
      <c r="AQ488" s="53"/>
      <c r="AR488" s="54"/>
      <c r="AS488" s="53"/>
      <c r="AT488" s="54"/>
      <c r="AU488" s="53">
        <v>4.1666666666666699E-2</v>
      </c>
      <c r="AV488" s="54" t="s">
        <v>37</v>
      </c>
      <c r="AW488" s="57">
        <f t="shared" si="73"/>
        <v>4.1666666666666699E-2</v>
      </c>
      <c r="AX488" s="58" t="s">
        <v>86</v>
      </c>
    </row>
    <row r="489" spans="1:50" ht="21.75" customHeight="1">
      <c r="A489" s="38" t="s">
        <v>478</v>
      </c>
      <c r="B489" s="39">
        <f t="shared" si="72"/>
        <v>485</v>
      </c>
      <c r="C489" s="40">
        <v>46036</v>
      </c>
      <c r="D489" s="40" t="s">
        <v>80</v>
      </c>
      <c r="E489" s="40" t="s">
        <v>33</v>
      </c>
      <c r="F489" s="41">
        <v>732.4</v>
      </c>
      <c r="G489" s="42" t="s">
        <v>46</v>
      </c>
      <c r="H489" s="43" t="str">
        <f>IFERROR(VLOOKUP($J489,'[9]FROM (3)'!$E$4:$F$230,2,FALSE),"")</f>
        <v>JATH</v>
      </c>
      <c r="I489" s="44" t="str">
        <f t="shared" si="69"/>
        <v>RACK BAR BLANK</v>
      </c>
      <c r="J489" s="44" t="str">
        <f t="shared" si="70"/>
        <v>JGF02-002060-31-3</v>
      </c>
      <c r="K489" s="59" t="str">
        <f t="shared" si="67"/>
        <v>PD25120622</v>
      </c>
      <c r="L489" s="46" t="str" cm="1">
        <f t="array" ref="L489">IFERROR(_xlfn.IFS(
    LEN($A489)-LEN(SUBSTITUTE($A489,"|",""))=12, RIGHT(A489, LEN(A489)-FIND("~", SUBSTITUTE(A489,"|","~", LEN(A489)-LEN(SUBSTITUTE(A489,"|",""))))),
    LEN($A489)-LEN(SUBSTITUTE($A489,"|",""))=13, MID($A489, FIND("~", SUBSTITUTE($A489,"|","~", 11))+1, FIND("~", SUBSTITUTE($A489,"|","~", 12))-FIND("~", SUBSTITUTE($A489,"|","~", 11))-1),
    LEN($A489)-LEN(SUBSTITUTE($A489,"|",""))=14, MID($A489, FIND("~", SUBSTITUTE($A489,"|","~", 11))+1, FIND("~", SUBSTITUTE($A489,"|","~", 12))-FIND("~", SUBSTITUTE($A489,"|","~", 11))-1)
), "")</f>
        <v>5B0230</v>
      </c>
      <c r="M489" s="47" t="str">
        <f t="shared" si="65"/>
        <v>SB120085/6/25</v>
      </c>
      <c r="N489" s="46" t="str">
        <f t="shared" si="68"/>
        <v/>
      </c>
      <c r="O489" s="60">
        <v>28</v>
      </c>
      <c r="P489" s="60">
        <v>967</v>
      </c>
      <c r="Q489" s="48">
        <v>150</v>
      </c>
      <c r="R489" s="48">
        <v>701</v>
      </c>
      <c r="S489" s="48" t="s">
        <v>35</v>
      </c>
      <c r="T489" s="48"/>
      <c r="U489" s="49"/>
      <c r="V489" s="49"/>
      <c r="W489" s="50">
        <f t="shared" si="66"/>
        <v>0</v>
      </c>
      <c r="X489" s="51" t="str">
        <f>IF(A489="", "", IF(COUNTIFS(C$3:C488, C489, D$3:D488, D489, G$3:G488, G489) &gt; 0, "", "11:00"-AW489))</f>
        <v/>
      </c>
      <c r="Y489" s="52" t="str">
        <f t="shared" si="71"/>
        <v/>
      </c>
      <c r="Z489" s="53"/>
      <c r="AA489" s="54"/>
      <c r="AB489" s="53"/>
      <c r="AC489" s="54"/>
      <c r="AD489" s="53"/>
      <c r="AE489" s="54"/>
      <c r="AF489" s="53"/>
      <c r="AG489" s="54"/>
      <c r="AH489" s="55">
        <v>4.1666666666666699E-2</v>
      </c>
      <c r="AI489" s="53"/>
      <c r="AJ489" s="54"/>
      <c r="AK489" s="53"/>
      <c r="AL489" s="54"/>
      <c r="AM489" s="53"/>
      <c r="AN489" s="54"/>
      <c r="AO489" s="53"/>
      <c r="AP489" s="54"/>
      <c r="AQ489" s="53"/>
      <c r="AR489" s="54"/>
      <c r="AS489" s="53"/>
      <c r="AT489" s="54"/>
      <c r="AU489" s="53">
        <v>4.1666666666666699E-2</v>
      </c>
      <c r="AV489" s="54" t="s">
        <v>37</v>
      </c>
      <c r="AW489" s="57">
        <f t="shared" si="73"/>
        <v>4.1666666666666699E-2</v>
      </c>
      <c r="AX489" s="58" t="s">
        <v>86</v>
      </c>
    </row>
    <row r="490" spans="1:50" ht="21.75" customHeight="1">
      <c r="A490" s="38" t="s">
        <v>457</v>
      </c>
      <c r="B490" s="39">
        <f t="shared" si="72"/>
        <v>486</v>
      </c>
      <c r="C490" s="40">
        <v>46036</v>
      </c>
      <c r="D490" s="40" t="s">
        <v>80</v>
      </c>
      <c r="E490" s="40" t="s">
        <v>33</v>
      </c>
      <c r="F490" s="41">
        <v>721.5</v>
      </c>
      <c r="G490" s="42" t="s">
        <v>66</v>
      </c>
      <c r="H490" s="43" t="str">
        <f>IFERROR(VLOOKUP($J490,'[9]FROM (3)'!$E$4:$F$230,2,FALSE),"")</f>
        <v>JCTTH</v>
      </c>
      <c r="I490" s="44" t="str">
        <f t="shared" si="69"/>
        <v>RACK POWER STEERING</v>
      </c>
      <c r="J490" s="44" t="str">
        <f t="shared" si="70"/>
        <v>2-30JG-0711</v>
      </c>
      <c r="K490" s="59" t="str">
        <f t="shared" si="67"/>
        <v>PD25121186</v>
      </c>
      <c r="L490" s="46" t="str" cm="1">
        <f t="array" ref="L490">IFERROR(_xlfn.IFS(
    LEN($A490)-LEN(SUBSTITUTE($A490,"|",""))=12, RIGHT(A490, LEN(A490)-FIND("~", SUBSTITUTE(A490,"|","~", LEN(A490)-LEN(SUBSTITUTE(A490,"|",""))))),
    LEN($A490)-LEN(SUBSTITUTE($A490,"|",""))=13, MID($A490, FIND("~", SUBSTITUTE($A490,"|","~", 11))+1, FIND("~", SUBSTITUTE($A490,"|","~", 12))-FIND("~", SUBSTITUTE($A490,"|","~", 11))-1),
    LEN($A490)-LEN(SUBSTITUTE($A490,"|",""))=14, MID($A490, FIND("~", SUBSTITUTE($A490,"|","~", 11))+1, FIND("~", SUBSTITUTE($A490,"|","~", 12))-FIND("~", SUBSTITUTE($A490,"|","~", 11))-1)
), "")</f>
        <v>E586100</v>
      </c>
      <c r="M490" s="47" t="str">
        <f t="shared" si="65"/>
        <v>SB120157/1/25</v>
      </c>
      <c r="N490" s="46" t="str">
        <f t="shared" si="68"/>
        <v/>
      </c>
      <c r="O490" s="60" t="s">
        <v>35</v>
      </c>
      <c r="P490" s="60" t="s">
        <v>35</v>
      </c>
      <c r="Q490" s="48">
        <v>177</v>
      </c>
      <c r="R490" s="48">
        <v>726</v>
      </c>
      <c r="S490" s="48"/>
      <c r="T490" s="48"/>
      <c r="U490" s="49">
        <v>95</v>
      </c>
      <c r="V490" s="49">
        <v>6</v>
      </c>
      <c r="W490" s="50">
        <f t="shared" si="66"/>
        <v>101</v>
      </c>
      <c r="X490" s="51">
        <f>IF(A490="", "", IF(COUNTIFS(C$3:C489, C490, D$3:D489, D490, G$3:G489, G490) &gt; 0, "", "11:00"-AW490))</f>
        <v>0.41666666666666663</v>
      </c>
      <c r="Y490" s="52" t="str">
        <f t="shared" si="71"/>
        <v>1:40</v>
      </c>
      <c r="Z490" s="53"/>
      <c r="AA490" s="54"/>
      <c r="AB490" s="53"/>
      <c r="AC490" s="54"/>
      <c r="AD490" s="53"/>
      <c r="AE490" s="54"/>
      <c r="AF490" s="53"/>
      <c r="AG490" s="54"/>
      <c r="AH490" s="55">
        <v>4.1666666666666699E-2</v>
      </c>
      <c r="AI490" s="53"/>
      <c r="AJ490" s="54"/>
      <c r="AK490" s="53"/>
      <c r="AL490" s="54"/>
      <c r="AM490" s="53"/>
      <c r="AN490" s="54"/>
      <c r="AO490" s="53"/>
      <c r="AP490" s="54"/>
      <c r="AQ490" s="53"/>
      <c r="AR490" s="54"/>
      <c r="AS490" s="53"/>
      <c r="AT490" s="54"/>
      <c r="AU490" s="53">
        <v>4.1666666666666699E-2</v>
      </c>
      <c r="AV490" s="54" t="s">
        <v>37</v>
      </c>
      <c r="AW490" s="57">
        <f t="shared" si="73"/>
        <v>4.1666666666666699E-2</v>
      </c>
      <c r="AX490" s="58" t="s">
        <v>96</v>
      </c>
    </row>
    <row r="491" spans="1:50" ht="21.75" customHeight="1">
      <c r="A491" s="38" t="s">
        <v>479</v>
      </c>
      <c r="B491" s="39">
        <f t="shared" si="72"/>
        <v>487</v>
      </c>
      <c r="C491" s="40">
        <v>46036</v>
      </c>
      <c r="D491" s="40" t="s">
        <v>80</v>
      </c>
      <c r="E491" s="40" t="s">
        <v>33</v>
      </c>
      <c r="F491" s="41">
        <v>721.5</v>
      </c>
      <c r="G491" s="42" t="s">
        <v>66</v>
      </c>
      <c r="H491" s="43" t="str">
        <f>IFERROR(VLOOKUP($J491,'[9]FROM (3)'!$E$4:$F$230,2,FALSE),"")</f>
        <v>JCTTH</v>
      </c>
      <c r="I491" s="44" t="str">
        <f t="shared" si="69"/>
        <v>RACK POWER STEERING</v>
      </c>
      <c r="J491" s="44" t="str">
        <f t="shared" si="70"/>
        <v>2-30JG-0711</v>
      </c>
      <c r="K491" s="59" t="str">
        <f t="shared" si="67"/>
        <v>PD25121187</v>
      </c>
      <c r="L491" s="46" t="str" cm="1">
        <f t="array" ref="L491">IFERROR(_xlfn.IFS(
    LEN($A491)-LEN(SUBSTITUTE($A491,"|",""))=12, RIGHT(A491, LEN(A491)-FIND("~", SUBSTITUTE(A491,"|","~", LEN(A491)-LEN(SUBSTITUTE(A491,"|",""))))),
    LEN($A491)-LEN(SUBSTITUTE($A491,"|",""))=13, MID($A491, FIND("~", SUBSTITUTE($A491,"|","~", 11))+1, FIND("~", SUBSTITUTE($A491,"|","~", 12))-FIND("~", SUBSTITUTE($A491,"|","~", 11))-1),
    LEN($A491)-LEN(SUBSTITUTE($A491,"|",""))=14, MID($A491, FIND("~", SUBSTITUTE($A491,"|","~", 11))+1, FIND("~", SUBSTITUTE($A491,"|","~", 12))-FIND("~", SUBSTITUTE($A491,"|","~", 11))-1)
), "")</f>
        <v>E586100</v>
      </c>
      <c r="M491" s="47" t="str">
        <f t="shared" si="65"/>
        <v>SB120157/3/25</v>
      </c>
      <c r="N491" s="46" t="str">
        <f t="shared" si="68"/>
        <v/>
      </c>
      <c r="O491" s="60">
        <v>50</v>
      </c>
      <c r="P491" s="60">
        <v>876</v>
      </c>
      <c r="Q491" s="48">
        <v>199</v>
      </c>
      <c r="R491" s="48">
        <v>816</v>
      </c>
      <c r="S491" s="48">
        <v>1</v>
      </c>
      <c r="T491" s="48" t="s">
        <v>167</v>
      </c>
      <c r="U491" s="49">
        <v>95</v>
      </c>
      <c r="V491" s="49">
        <v>6</v>
      </c>
      <c r="W491" s="50">
        <f t="shared" si="66"/>
        <v>101</v>
      </c>
      <c r="X491" s="51" t="str">
        <f>IF(A491="", "", IF(COUNTIFS(C$3:C490, C491, D$3:D490, D491, G$3:G490, G491) &gt; 0, "", "11:00"-AW491))</f>
        <v/>
      </c>
      <c r="Y491" s="52" t="str">
        <f t="shared" si="71"/>
        <v/>
      </c>
      <c r="Z491" s="53"/>
      <c r="AA491" s="54"/>
      <c r="AB491" s="53"/>
      <c r="AC491" s="54"/>
      <c r="AD491" s="53"/>
      <c r="AE491" s="54"/>
      <c r="AF491" s="53"/>
      <c r="AG491" s="54"/>
      <c r="AH491" s="55">
        <v>4.1666666666666699E-2</v>
      </c>
      <c r="AI491" s="53"/>
      <c r="AJ491" s="54"/>
      <c r="AK491" s="53"/>
      <c r="AL491" s="54"/>
      <c r="AM491" s="53"/>
      <c r="AN491" s="54"/>
      <c r="AO491" s="53"/>
      <c r="AP491" s="54"/>
      <c r="AQ491" s="53"/>
      <c r="AR491" s="54"/>
      <c r="AS491" s="53"/>
      <c r="AT491" s="54"/>
      <c r="AU491" s="53">
        <v>4.1666666666666699E-2</v>
      </c>
      <c r="AV491" s="54" t="s">
        <v>37</v>
      </c>
      <c r="AW491" s="57">
        <f t="shared" si="73"/>
        <v>4.1666666666666699E-2</v>
      </c>
      <c r="AX491" s="58" t="s">
        <v>96</v>
      </c>
    </row>
    <row r="492" spans="1:50" ht="21.75" customHeight="1">
      <c r="A492" s="38" t="s">
        <v>480</v>
      </c>
      <c r="B492" s="39">
        <f t="shared" si="72"/>
        <v>488</v>
      </c>
      <c r="C492" s="40">
        <v>46036</v>
      </c>
      <c r="D492" s="40" t="s">
        <v>80</v>
      </c>
      <c r="E492" s="40" t="s">
        <v>33</v>
      </c>
      <c r="F492" s="41">
        <v>721.5</v>
      </c>
      <c r="G492" s="42" t="s">
        <v>66</v>
      </c>
      <c r="H492" s="43" t="str">
        <f>IFERROR(VLOOKUP($J492,'[9]FROM (3)'!$E$4:$F$230,2,FALSE),"")</f>
        <v>JCTTH</v>
      </c>
      <c r="I492" s="44" t="str">
        <f t="shared" si="69"/>
        <v>RACK POWER STEERING</v>
      </c>
      <c r="J492" s="44" t="str">
        <f t="shared" si="70"/>
        <v>2-30JG-0711</v>
      </c>
      <c r="K492" s="59" t="str">
        <f t="shared" si="67"/>
        <v>PD25121187</v>
      </c>
      <c r="L492" s="46" t="str" cm="1">
        <f t="array" ref="L492">IFERROR(_xlfn.IFS(
    LEN($A492)-LEN(SUBSTITUTE($A492,"|",""))=12, RIGHT(A492, LEN(A492)-FIND("~", SUBSTITUTE(A492,"|","~", LEN(A492)-LEN(SUBSTITUTE(A492,"|",""))))),
    LEN($A492)-LEN(SUBSTITUTE($A492,"|",""))=13, MID($A492, FIND("~", SUBSTITUTE($A492,"|","~", 11))+1, FIND("~", SUBSTITUTE($A492,"|","~", 12))-FIND("~", SUBSTITUTE($A492,"|","~", 11))-1),
    LEN($A492)-LEN(SUBSTITUTE($A492,"|",""))=14, MID($A492, FIND("~", SUBSTITUTE($A492,"|","~", 11))+1, FIND("~", SUBSTITUTE($A492,"|","~", 12))-FIND("~", SUBSTITUTE($A492,"|","~", 11))-1)
), "")</f>
        <v>E586100</v>
      </c>
      <c r="M492" s="47" t="str">
        <f t="shared" si="65"/>
        <v>SB120157/4/25</v>
      </c>
      <c r="N492" s="46" t="str">
        <f t="shared" si="68"/>
        <v/>
      </c>
      <c r="O492" s="60">
        <v>50</v>
      </c>
      <c r="P492" s="60">
        <v>876</v>
      </c>
      <c r="Q492" s="48">
        <v>200</v>
      </c>
      <c r="R492" s="48">
        <v>820</v>
      </c>
      <c r="S492" s="48"/>
      <c r="T492" s="48"/>
      <c r="U492" s="49"/>
      <c r="V492" s="49"/>
      <c r="W492" s="50">
        <f t="shared" si="66"/>
        <v>0</v>
      </c>
      <c r="X492" s="51" t="str">
        <f>IF(A492="", "", IF(COUNTIFS(C$3:C491, C492, D$3:D491, D492, G$3:G491, G492) &gt; 0, "", "11:00"-AW492))</f>
        <v/>
      </c>
      <c r="Y492" s="52" t="str">
        <f t="shared" si="71"/>
        <v/>
      </c>
      <c r="Z492" s="53"/>
      <c r="AA492" s="54"/>
      <c r="AB492" s="53"/>
      <c r="AC492" s="54"/>
      <c r="AD492" s="53"/>
      <c r="AE492" s="54"/>
      <c r="AF492" s="53"/>
      <c r="AG492" s="54"/>
      <c r="AH492" s="55">
        <v>4.1666666666666699E-2</v>
      </c>
      <c r="AI492" s="53"/>
      <c r="AJ492" s="54"/>
      <c r="AK492" s="53"/>
      <c r="AL492" s="54"/>
      <c r="AM492" s="53"/>
      <c r="AN492" s="54"/>
      <c r="AO492" s="53"/>
      <c r="AP492" s="54"/>
      <c r="AQ492" s="53"/>
      <c r="AR492" s="54"/>
      <c r="AS492" s="53"/>
      <c r="AT492" s="54"/>
      <c r="AU492" s="53">
        <v>4.1666666666666699E-2</v>
      </c>
      <c r="AV492" s="54" t="s">
        <v>37</v>
      </c>
      <c r="AW492" s="57">
        <f t="shared" si="73"/>
        <v>4.1666666666666699E-2</v>
      </c>
      <c r="AX492" s="58" t="s">
        <v>96</v>
      </c>
    </row>
    <row r="493" spans="1:50" ht="21.75" customHeight="1">
      <c r="A493" s="38" t="s">
        <v>481</v>
      </c>
      <c r="B493" s="39">
        <f t="shared" si="72"/>
        <v>489</v>
      </c>
      <c r="C493" s="40">
        <v>46036</v>
      </c>
      <c r="D493" s="40" t="s">
        <v>80</v>
      </c>
      <c r="E493" s="40" t="s">
        <v>33</v>
      </c>
      <c r="F493" s="41">
        <v>721.5</v>
      </c>
      <c r="G493" s="42" t="s">
        <v>66</v>
      </c>
      <c r="H493" s="43" t="str">
        <f>IFERROR(VLOOKUP($J493,'[9]FROM (3)'!$E$4:$F$230,2,FALSE),"")</f>
        <v>JCTTH</v>
      </c>
      <c r="I493" s="44" t="str">
        <f t="shared" si="69"/>
        <v>RACK POWER STEERING</v>
      </c>
      <c r="J493" s="44" t="str">
        <f t="shared" si="70"/>
        <v>2-30JG-0711</v>
      </c>
      <c r="K493" s="59" t="str">
        <f t="shared" si="67"/>
        <v>PD25121188</v>
      </c>
      <c r="L493" s="46" t="str" cm="1">
        <f t="array" ref="L493">IFERROR(_xlfn.IFS(
    LEN($A493)-LEN(SUBSTITUTE($A493,"|",""))=12, RIGHT(A493, LEN(A493)-FIND("~", SUBSTITUTE(A493,"|","~", LEN(A493)-LEN(SUBSTITUTE(A493,"|",""))))),
    LEN($A493)-LEN(SUBSTITUTE($A493,"|",""))=13, MID($A493, FIND("~", SUBSTITUTE($A493,"|","~", 11))+1, FIND("~", SUBSTITUTE($A493,"|","~", 12))-FIND("~", SUBSTITUTE($A493,"|","~", 11))-1),
    LEN($A493)-LEN(SUBSTITUTE($A493,"|",""))=14, MID($A493, FIND("~", SUBSTITUTE($A493,"|","~", 11))+1, FIND("~", SUBSTITUTE($A493,"|","~", 12))-FIND("~", SUBSTITUTE($A493,"|","~", 11))-1)
), "")</f>
        <v>E586100</v>
      </c>
      <c r="M493" s="47" t="str">
        <f t="shared" si="65"/>
        <v>SB120159/2/25</v>
      </c>
      <c r="N493" s="46" t="str">
        <f t="shared" si="68"/>
        <v/>
      </c>
      <c r="O493" s="60">
        <v>50</v>
      </c>
      <c r="P493" s="60">
        <v>876</v>
      </c>
      <c r="Q493" s="48">
        <v>200</v>
      </c>
      <c r="R493" s="48">
        <v>820</v>
      </c>
      <c r="S493" s="48"/>
      <c r="T493" s="48"/>
      <c r="U493" s="49">
        <v>95</v>
      </c>
      <c r="V493" s="49">
        <v>6</v>
      </c>
      <c r="W493" s="50">
        <f t="shared" si="66"/>
        <v>101</v>
      </c>
      <c r="X493" s="51" t="str">
        <f>IF(A493="", "", IF(COUNTIFS(C$3:C492, C493, D$3:D492, D493, G$3:G492, G493) &gt; 0, "", "11:00"-AW493))</f>
        <v/>
      </c>
      <c r="Y493" s="52" t="str">
        <f t="shared" si="71"/>
        <v/>
      </c>
      <c r="Z493" s="53"/>
      <c r="AA493" s="54"/>
      <c r="AB493" s="53"/>
      <c r="AC493" s="54"/>
      <c r="AD493" s="53"/>
      <c r="AE493" s="54"/>
      <c r="AF493" s="53"/>
      <c r="AG493" s="54"/>
      <c r="AH493" s="55">
        <v>4.1666666666666699E-2</v>
      </c>
      <c r="AI493" s="53"/>
      <c r="AJ493" s="54"/>
      <c r="AK493" s="53"/>
      <c r="AL493" s="54"/>
      <c r="AM493" s="53"/>
      <c r="AN493" s="54"/>
      <c r="AO493" s="53"/>
      <c r="AP493" s="54"/>
      <c r="AQ493" s="53"/>
      <c r="AR493" s="54"/>
      <c r="AS493" s="53"/>
      <c r="AT493" s="54"/>
      <c r="AU493" s="53">
        <v>4.1666666666666699E-2</v>
      </c>
      <c r="AV493" s="54" t="s">
        <v>37</v>
      </c>
      <c r="AW493" s="57">
        <f t="shared" si="73"/>
        <v>4.1666666666666699E-2</v>
      </c>
      <c r="AX493" s="58" t="s">
        <v>96</v>
      </c>
    </row>
    <row r="494" spans="1:50" ht="21.75" customHeight="1">
      <c r="A494" s="38" t="s">
        <v>482</v>
      </c>
      <c r="B494" s="39">
        <f t="shared" si="72"/>
        <v>490</v>
      </c>
      <c r="C494" s="40">
        <v>46036</v>
      </c>
      <c r="D494" s="40" t="s">
        <v>80</v>
      </c>
      <c r="E494" s="40" t="s">
        <v>33</v>
      </c>
      <c r="F494" s="41">
        <v>721.5</v>
      </c>
      <c r="G494" s="42" t="s">
        <v>66</v>
      </c>
      <c r="H494" s="43" t="str">
        <f>IFERROR(VLOOKUP($J494,'[9]FROM (3)'!$E$4:$F$230,2,FALSE),"")</f>
        <v>JCTTH</v>
      </c>
      <c r="I494" s="44" t="str">
        <f t="shared" si="69"/>
        <v>RACK POWER STEERING</v>
      </c>
      <c r="J494" s="44" t="str">
        <f t="shared" si="70"/>
        <v>2-30JG-0711</v>
      </c>
      <c r="K494" s="59" t="str">
        <f t="shared" si="67"/>
        <v>PD25121188</v>
      </c>
      <c r="L494" s="46" t="str" cm="1">
        <f t="array" ref="L494">IFERROR(_xlfn.IFS(
    LEN($A494)-LEN(SUBSTITUTE($A494,"|",""))=12, RIGHT(A494, LEN(A494)-FIND("~", SUBSTITUTE(A494,"|","~", LEN(A494)-LEN(SUBSTITUTE(A494,"|",""))))),
    LEN($A494)-LEN(SUBSTITUTE($A494,"|",""))=13, MID($A494, FIND("~", SUBSTITUTE($A494,"|","~", 11))+1, FIND("~", SUBSTITUTE($A494,"|","~", 12))-FIND("~", SUBSTITUTE($A494,"|","~", 11))-1),
    LEN($A494)-LEN(SUBSTITUTE($A494,"|",""))=14, MID($A494, FIND("~", SUBSTITUTE($A494,"|","~", 11))+1, FIND("~", SUBSTITUTE($A494,"|","~", 12))-FIND("~", SUBSTITUTE($A494,"|","~", 11))-1)
), "")</f>
        <v>E586100</v>
      </c>
      <c r="M494" s="47" t="str">
        <f t="shared" si="65"/>
        <v>SB120159/1/25</v>
      </c>
      <c r="N494" s="46" t="str">
        <f t="shared" si="68"/>
        <v/>
      </c>
      <c r="O494" s="60">
        <v>50</v>
      </c>
      <c r="P494" s="60">
        <v>876</v>
      </c>
      <c r="Q494" s="48">
        <v>200</v>
      </c>
      <c r="R494" s="48">
        <v>820</v>
      </c>
      <c r="S494" s="48"/>
      <c r="T494" s="48"/>
      <c r="U494" s="49"/>
      <c r="V494" s="49"/>
      <c r="W494" s="50">
        <f t="shared" si="66"/>
        <v>0</v>
      </c>
      <c r="X494" s="51" t="str">
        <f>IF(A494="", "", IF(COUNTIFS(C$3:C493, C494, D$3:D493, D494, G$3:G493, G494) &gt; 0, "", "11:00"-AW494))</f>
        <v/>
      </c>
      <c r="Y494" s="52" t="str">
        <f t="shared" si="71"/>
        <v/>
      </c>
      <c r="Z494" s="53"/>
      <c r="AA494" s="54"/>
      <c r="AB494" s="53"/>
      <c r="AC494" s="54"/>
      <c r="AD494" s="53"/>
      <c r="AE494" s="54"/>
      <c r="AF494" s="53"/>
      <c r="AG494" s="54"/>
      <c r="AH494" s="55">
        <v>4.1666666666666699E-2</v>
      </c>
      <c r="AI494" s="53"/>
      <c r="AJ494" s="54"/>
      <c r="AK494" s="53"/>
      <c r="AL494" s="54"/>
      <c r="AM494" s="53"/>
      <c r="AN494" s="54"/>
      <c r="AO494" s="53"/>
      <c r="AP494" s="54"/>
      <c r="AQ494" s="53"/>
      <c r="AR494" s="54"/>
      <c r="AS494" s="53"/>
      <c r="AT494" s="54"/>
      <c r="AU494" s="53">
        <v>4.1666666666666699E-2</v>
      </c>
      <c r="AV494" s="54" t="s">
        <v>37</v>
      </c>
      <c r="AW494" s="57">
        <f t="shared" si="73"/>
        <v>4.1666666666666699E-2</v>
      </c>
      <c r="AX494" s="58" t="s">
        <v>96</v>
      </c>
    </row>
    <row r="495" spans="1:50" ht="21.75" customHeight="1">
      <c r="A495" s="38" t="s">
        <v>483</v>
      </c>
      <c r="B495" s="39">
        <f t="shared" si="72"/>
        <v>491</v>
      </c>
      <c r="C495" s="40">
        <v>46036</v>
      </c>
      <c r="D495" s="40" t="s">
        <v>80</v>
      </c>
      <c r="E495" s="40" t="s">
        <v>33</v>
      </c>
      <c r="F495" s="41">
        <v>721.5</v>
      </c>
      <c r="G495" s="42" t="s">
        <v>66</v>
      </c>
      <c r="H495" s="43" t="str">
        <f>IFERROR(VLOOKUP($J495,'[9]FROM (3)'!$E$4:$F$230,2,FALSE),"")</f>
        <v>JCTTH</v>
      </c>
      <c r="I495" s="44" t="str">
        <f t="shared" si="69"/>
        <v>RACK POWER STEERING</v>
      </c>
      <c r="J495" s="44" t="str">
        <f t="shared" si="70"/>
        <v>2-30JG-0711</v>
      </c>
      <c r="K495" s="59" t="str">
        <f t="shared" si="67"/>
        <v>PD25121189</v>
      </c>
      <c r="L495" s="46" t="str" cm="1">
        <f t="array" ref="L495">IFERROR(_xlfn.IFS(
    LEN($A495)-LEN(SUBSTITUTE($A495,"|",""))=12, RIGHT(A495, LEN(A495)-FIND("~", SUBSTITUTE(A495,"|","~", LEN(A495)-LEN(SUBSTITUTE(A495,"|",""))))),
    LEN($A495)-LEN(SUBSTITUTE($A495,"|",""))=13, MID($A495, FIND("~", SUBSTITUTE($A495,"|","~", 11))+1, FIND("~", SUBSTITUTE($A495,"|","~", 12))-FIND("~", SUBSTITUTE($A495,"|","~", 11))-1),
    LEN($A495)-LEN(SUBSTITUTE($A495,"|",""))=14, MID($A495, FIND("~", SUBSTITUTE($A495,"|","~", 11))+1, FIND("~", SUBSTITUTE($A495,"|","~", 12))-FIND("~", SUBSTITUTE($A495,"|","~", 11))-1)
), "")</f>
        <v>E586100</v>
      </c>
      <c r="M495" s="47" t="str">
        <f t="shared" si="65"/>
        <v>SB120159/4/25</v>
      </c>
      <c r="N495" s="46" t="str">
        <f t="shared" si="68"/>
        <v/>
      </c>
      <c r="O495" s="60">
        <v>50</v>
      </c>
      <c r="P495" s="60">
        <v>876</v>
      </c>
      <c r="Q495" s="48">
        <v>69</v>
      </c>
      <c r="R495" s="48">
        <v>283</v>
      </c>
      <c r="S495" s="48"/>
      <c r="T495" s="48"/>
      <c r="U495" s="49"/>
      <c r="V495" s="49"/>
      <c r="W495" s="50">
        <f t="shared" si="66"/>
        <v>0</v>
      </c>
      <c r="X495" s="51" t="str">
        <f>IF(A495="", "", IF(COUNTIFS(C$3:C494, C495, D$3:D494, D495, G$3:G494, G495) &gt; 0, "", "11:00"-AW495))</f>
        <v/>
      </c>
      <c r="Y495" s="52" t="str">
        <f t="shared" si="71"/>
        <v/>
      </c>
      <c r="Z495" s="53"/>
      <c r="AA495" s="54"/>
      <c r="AB495" s="53"/>
      <c r="AC495" s="54"/>
      <c r="AD495" s="53"/>
      <c r="AE495" s="54"/>
      <c r="AF495" s="53"/>
      <c r="AG495" s="54"/>
      <c r="AH495" s="55">
        <v>4.1666666666666699E-2</v>
      </c>
      <c r="AI495" s="53"/>
      <c r="AJ495" s="54"/>
      <c r="AK495" s="53"/>
      <c r="AL495" s="54"/>
      <c r="AM495" s="53"/>
      <c r="AN495" s="54"/>
      <c r="AO495" s="53"/>
      <c r="AP495" s="54"/>
      <c r="AQ495" s="53"/>
      <c r="AR495" s="54"/>
      <c r="AS495" s="53"/>
      <c r="AT495" s="54"/>
      <c r="AU495" s="53">
        <v>4.1666666666666699E-2</v>
      </c>
      <c r="AV495" s="54" t="s">
        <v>37</v>
      </c>
      <c r="AW495" s="57">
        <f t="shared" si="73"/>
        <v>4.1666666666666699E-2</v>
      </c>
      <c r="AX495" s="58" t="s">
        <v>96</v>
      </c>
    </row>
    <row r="496" spans="1:50" ht="21.75" customHeight="1">
      <c r="A496" s="38" t="s">
        <v>484</v>
      </c>
      <c r="B496" s="39">
        <f t="shared" si="72"/>
        <v>492</v>
      </c>
      <c r="C496" s="40">
        <v>46036</v>
      </c>
      <c r="D496" s="40" t="s">
        <v>80</v>
      </c>
      <c r="E496" s="40" t="s">
        <v>33</v>
      </c>
      <c r="F496" s="41">
        <v>756.8</v>
      </c>
      <c r="G496" s="42" t="s">
        <v>192</v>
      </c>
      <c r="H496" s="43" t="str">
        <f>IFERROR(VLOOKUP($J496,'[9]FROM (3)'!$E$4:$F$230,2,FALSE),"")</f>
        <v>JATH</v>
      </c>
      <c r="I496" s="44" t="str">
        <f t="shared" si="69"/>
        <v>JGF02-002190-31-2</v>
      </c>
      <c r="J496" s="44" t="str">
        <f t="shared" si="70"/>
        <v>RACK BAR BLANK (JGF02-002190-31-2) 5K45</v>
      </c>
      <c r="K496" s="59" t="str">
        <f t="shared" si="67"/>
        <v>PD25121243</v>
      </c>
      <c r="L496" s="46" t="str" cm="1">
        <f t="array" ref="L496">IFERROR(_xlfn.IFS(
    LEN($A496)-LEN(SUBSTITUTE($A496,"|",""))=12, RIGHT(A496, LEN(A496)-FIND("~", SUBSTITUTE(A496,"|","~", LEN(A496)-LEN(SUBSTITUTE(A496,"|",""))))),
    LEN($A496)-LEN(SUBSTITUTE($A496,"|",""))=13, MID($A496, FIND("~", SUBSTITUTE($A496,"|","~", 11))+1, FIND("~", SUBSTITUTE($A496,"|","~", 12))-FIND("~", SUBSTITUTE($A496,"|","~", 11))-1),
    LEN($A496)-LEN(SUBSTITUTE($A496,"|",""))=14, MID($A496, FIND("~", SUBSTITUTE($A496,"|","~", 11))+1, FIND("~", SUBSTITUTE($A496,"|","~", 12))-FIND("~", SUBSTITUTE($A496,"|","~", 11))-1)
), "")</f>
        <v>5A5658</v>
      </c>
      <c r="M496" s="47" t="str">
        <f t="shared" si="65"/>
        <v>TSK2</v>
      </c>
      <c r="N496" s="46" t="str">
        <f t="shared" si="68"/>
        <v>FB120351/5/25</v>
      </c>
      <c r="O496" s="60">
        <v>58</v>
      </c>
      <c r="P496" s="60">
        <v>280</v>
      </c>
      <c r="Q496" s="48">
        <v>58</v>
      </c>
      <c r="R496" s="48">
        <v>280</v>
      </c>
      <c r="S496" s="48"/>
      <c r="T496" s="48"/>
      <c r="U496" s="49"/>
      <c r="V496" s="49"/>
      <c r="W496" s="50">
        <f t="shared" si="66"/>
        <v>0</v>
      </c>
      <c r="X496" s="51">
        <f>IF(A496="", "", IF(COUNTIFS(C$3:C495, C496, D$3:D495, D496, G$3:G495, G496) &gt; 0, "", "11:00"-AW496))</f>
        <v>0.24999999999999994</v>
      </c>
      <c r="Y496" s="52" t="str">
        <f t="shared" si="71"/>
        <v>1:40</v>
      </c>
      <c r="Z496" s="53">
        <v>4.1666666666666664E-2</v>
      </c>
      <c r="AA496" s="54" t="s">
        <v>90</v>
      </c>
      <c r="AB496" s="53">
        <v>4.1666666666666664E-2</v>
      </c>
      <c r="AC496" s="54" t="s">
        <v>90</v>
      </c>
      <c r="AD496" s="53">
        <v>4.1666666666666664E-2</v>
      </c>
      <c r="AE496" s="54" t="s">
        <v>90</v>
      </c>
      <c r="AF496" s="53">
        <v>4.1666666666666664E-2</v>
      </c>
      <c r="AG496" s="54" t="s">
        <v>90</v>
      </c>
      <c r="AH496" s="55">
        <v>4.1666666666666699E-2</v>
      </c>
      <c r="AI496" s="53"/>
      <c r="AJ496" s="54"/>
      <c r="AK496" s="53"/>
      <c r="AL496" s="54"/>
      <c r="AM496" s="53"/>
      <c r="AN496" s="54"/>
      <c r="AO496" s="53"/>
      <c r="AP496" s="54"/>
      <c r="AQ496" s="53"/>
      <c r="AR496" s="54"/>
      <c r="AS496" s="53"/>
      <c r="AT496" s="54"/>
      <c r="AU496" s="53">
        <v>4.1666666666666699E-2</v>
      </c>
      <c r="AV496" s="54" t="s">
        <v>37</v>
      </c>
      <c r="AW496" s="57">
        <f t="shared" si="73"/>
        <v>0.20833333333333337</v>
      </c>
      <c r="AX496" s="58"/>
    </row>
    <row r="497" spans="1:50" ht="21.75" customHeight="1">
      <c r="A497" s="38" t="s">
        <v>485</v>
      </c>
      <c r="B497" s="39">
        <f t="shared" si="72"/>
        <v>493</v>
      </c>
      <c r="C497" s="40">
        <v>46036</v>
      </c>
      <c r="D497" s="40" t="s">
        <v>80</v>
      </c>
      <c r="E497" s="40" t="s">
        <v>33</v>
      </c>
      <c r="F497" s="41">
        <v>756.8</v>
      </c>
      <c r="G497" s="42" t="s">
        <v>192</v>
      </c>
      <c r="H497" s="43" t="str">
        <f>IFERROR(VLOOKUP($J497,'[9]FROM (3)'!$E$4:$F$230,2,FALSE),"")</f>
        <v>JATH</v>
      </c>
      <c r="I497" s="44" t="str">
        <f t="shared" si="69"/>
        <v>JGF02-002190-31-2</v>
      </c>
      <c r="J497" s="44" t="str">
        <f t="shared" si="70"/>
        <v>RACK BAR BLANK (JGF02-002190-31-2) 5K45</v>
      </c>
      <c r="K497" s="59" t="str">
        <f t="shared" si="67"/>
        <v>PD25121243</v>
      </c>
      <c r="L497" s="46" t="str" cm="1">
        <f t="array" ref="L497">IFERROR(_xlfn.IFS(
    LEN($A497)-LEN(SUBSTITUTE($A497,"|",""))=12, RIGHT(A497, LEN(A497)-FIND("~", SUBSTITUTE(A497,"|","~", LEN(A497)-LEN(SUBSTITUTE(A497,"|",""))))),
    LEN($A497)-LEN(SUBSTITUTE($A497,"|",""))=13, MID($A497, FIND("~", SUBSTITUTE($A497,"|","~", 11))+1, FIND("~", SUBSTITUTE($A497,"|","~", 12))-FIND("~", SUBSTITUTE($A497,"|","~", 11))-1),
    LEN($A497)-LEN(SUBSTITUTE($A497,"|",""))=14, MID($A497, FIND("~", SUBSTITUTE($A497,"|","~", 11))+1, FIND("~", SUBSTITUTE($A497,"|","~", 12))-FIND("~", SUBSTITUTE($A497,"|","~", 11))-1)
), "")</f>
        <v>5A5658</v>
      </c>
      <c r="M497" s="47" t="str">
        <f t="shared" si="65"/>
        <v>TSK2</v>
      </c>
      <c r="N497" s="46" t="str">
        <f t="shared" si="68"/>
        <v>FB120351/4/25</v>
      </c>
      <c r="O497" s="60">
        <v>58</v>
      </c>
      <c r="P497" s="60">
        <v>280</v>
      </c>
      <c r="Q497" s="48">
        <v>58</v>
      </c>
      <c r="R497" s="48">
        <v>280</v>
      </c>
      <c r="S497" s="48"/>
      <c r="T497" s="48"/>
      <c r="U497" s="49"/>
      <c r="V497" s="49"/>
      <c r="W497" s="50">
        <f t="shared" si="66"/>
        <v>0</v>
      </c>
      <c r="X497" s="51" t="str">
        <f>IF(A497="", "", IF(COUNTIFS(C$3:C496, C497, D$3:D496, D497, G$3:G496, G497) &gt; 0, "", "11:00"-AW497))</f>
        <v/>
      </c>
      <c r="Y497" s="52" t="str">
        <f t="shared" si="71"/>
        <v/>
      </c>
      <c r="Z497" s="53"/>
      <c r="AA497" s="54"/>
      <c r="AB497" s="53"/>
      <c r="AC497" s="54"/>
      <c r="AD497" s="53"/>
      <c r="AE497" s="54"/>
      <c r="AF497" s="53"/>
      <c r="AG497" s="54"/>
      <c r="AH497" s="55">
        <v>4.1666666666666699E-2</v>
      </c>
      <c r="AI497" s="53"/>
      <c r="AJ497" s="54"/>
      <c r="AK497" s="53"/>
      <c r="AL497" s="54"/>
      <c r="AM497" s="53"/>
      <c r="AN497" s="54"/>
      <c r="AO497" s="53"/>
      <c r="AP497" s="54"/>
      <c r="AQ497" s="53"/>
      <c r="AR497" s="54"/>
      <c r="AS497" s="53"/>
      <c r="AT497" s="54"/>
      <c r="AU497" s="53">
        <v>4.1666666666666699E-2</v>
      </c>
      <c r="AV497" s="54" t="s">
        <v>37</v>
      </c>
      <c r="AW497" s="57">
        <f t="shared" si="73"/>
        <v>4.1666666666666699E-2</v>
      </c>
      <c r="AX497" s="58"/>
    </row>
    <row r="498" spans="1:50" ht="21.75" customHeight="1">
      <c r="A498" s="38" t="s">
        <v>486</v>
      </c>
      <c r="B498" s="39">
        <f t="shared" si="72"/>
        <v>494</v>
      </c>
      <c r="C498" s="40">
        <v>46036</v>
      </c>
      <c r="D498" s="40" t="s">
        <v>80</v>
      </c>
      <c r="E498" s="40" t="s">
        <v>33</v>
      </c>
      <c r="F498" s="41">
        <v>756.8</v>
      </c>
      <c r="G498" s="42" t="s">
        <v>192</v>
      </c>
      <c r="H498" s="43" t="str">
        <f>IFERROR(VLOOKUP($J498,'[9]FROM (3)'!$E$4:$F$230,2,FALSE),"")</f>
        <v>JATH</v>
      </c>
      <c r="I498" s="44" t="str">
        <f t="shared" si="69"/>
        <v>JGF02-002190-31-2</v>
      </c>
      <c r="J498" s="44" t="str">
        <f t="shared" si="70"/>
        <v>RACK BAR BLANK (JGF02-002190-31-2) 5K45</v>
      </c>
      <c r="K498" s="59" t="str">
        <f t="shared" si="67"/>
        <v>PD25121243</v>
      </c>
      <c r="L498" s="46" t="str" cm="1">
        <f t="array" ref="L498">IFERROR(_xlfn.IFS(
    LEN($A498)-LEN(SUBSTITUTE($A498,"|",""))=12, RIGHT(A498, LEN(A498)-FIND("~", SUBSTITUTE(A498,"|","~", LEN(A498)-LEN(SUBSTITUTE(A498,"|",""))))),
    LEN($A498)-LEN(SUBSTITUTE($A498,"|",""))=13, MID($A498, FIND("~", SUBSTITUTE($A498,"|","~", 11))+1, FIND("~", SUBSTITUTE($A498,"|","~", 12))-FIND("~", SUBSTITUTE($A498,"|","~", 11))-1),
    LEN($A498)-LEN(SUBSTITUTE($A498,"|",""))=14, MID($A498, FIND("~", SUBSTITUTE($A498,"|","~", 11))+1, FIND("~", SUBSTITUTE($A498,"|","~", 12))-FIND("~", SUBSTITUTE($A498,"|","~", 11))-1)
), "")</f>
        <v>5A5658</v>
      </c>
      <c r="M498" s="47" t="str">
        <f t="shared" si="65"/>
        <v>TSK2</v>
      </c>
      <c r="N498" s="46" t="str">
        <f t="shared" si="68"/>
        <v>FB120351/2/25</v>
      </c>
      <c r="O498" s="60">
        <v>58</v>
      </c>
      <c r="P498" s="60">
        <v>280</v>
      </c>
      <c r="Q498" s="48">
        <v>58</v>
      </c>
      <c r="R498" s="48">
        <v>280</v>
      </c>
      <c r="S498" s="48"/>
      <c r="T498" s="48"/>
      <c r="U498" s="49"/>
      <c r="V498" s="49"/>
      <c r="W498" s="50">
        <f t="shared" si="66"/>
        <v>0</v>
      </c>
      <c r="X498" s="51" t="str">
        <f>IF(A498="", "", IF(COUNTIFS(C$3:C497, C498, D$3:D497, D498, G$3:G497, G498) &gt; 0, "", "11:00"-AW498))</f>
        <v/>
      </c>
      <c r="Y498" s="52" t="str">
        <f t="shared" si="71"/>
        <v/>
      </c>
      <c r="Z498" s="53"/>
      <c r="AA498" s="54"/>
      <c r="AB498" s="53"/>
      <c r="AC498" s="54"/>
      <c r="AD498" s="53"/>
      <c r="AE498" s="54"/>
      <c r="AF498" s="53"/>
      <c r="AG498" s="54"/>
      <c r="AH498" s="55">
        <v>4.1666666666666699E-2</v>
      </c>
      <c r="AI498" s="53"/>
      <c r="AJ498" s="54"/>
      <c r="AK498" s="53"/>
      <c r="AL498" s="54"/>
      <c r="AM498" s="53"/>
      <c r="AN498" s="54"/>
      <c r="AO498" s="53"/>
      <c r="AP498" s="54"/>
      <c r="AQ498" s="53"/>
      <c r="AR498" s="54"/>
      <c r="AS498" s="53"/>
      <c r="AT498" s="54"/>
      <c r="AU498" s="53">
        <v>4.1666666666666699E-2</v>
      </c>
      <c r="AV498" s="54" t="s">
        <v>37</v>
      </c>
      <c r="AW498" s="57">
        <f t="shared" si="73"/>
        <v>4.1666666666666699E-2</v>
      </c>
      <c r="AX498" s="58"/>
    </row>
    <row r="499" spans="1:50" ht="21.75" customHeight="1">
      <c r="A499" s="38" t="s">
        <v>432</v>
      </c>
      <c r="B499" s="39">
        <f t="shared" si="72"/>
        <v>495</v>
      </c>
      <c r="C499" s="40">
        <v>46036</v>
      </c>
      <c r="D499" s="40" t="s">
        <v>80</v>
      </c>
      <c r="E499" s="40" t="s">
        <v>33</v>
      </c>
      <c r="F499" s="41">
        <v>167.8</v>
      </c>
      <c r="G499" s="42" t="s">
        <v>108</v>
      </c>
      <c r="H499" s="43" t="str">
        <f>IFERROR(VLOOKUP($J499,'[9]FROM (3)'!$E$4:$F$230,2,FALSE),"")</f>
        <v>SIAM NSK</v>
      </c>
      <c r="I499" s="44" t="str">
        <f t="shared" si="69"/>
        <v>SHAFT SPLINE</v>
      </c>
      <c r="J499" s="44" t="str">
        <f t="shared" si="70"/>
        <v>2550S0593P</v>
      </c>
      <c r="K499" s="59" t="str">
        <f t="shared" si="67"/>
        <v>PD26010396</v>
      </c>
      <c r="L499" s="46" t="str" cm="1">
        <f t="array" ref="L499">IFERROR(_xlfn.IFS(
    LEN($A499)-LEN(SUBSTITUTE($A499,"|",""))=12, RIGHT(A499, LEN(A499)-FIND("~", SUBSTITUTE(A499,"|","~", LEN(A499)-LEN(SUBSTITUTE(A499,"|",""))))),
    LEN($A499)-LEN(SUBSTITUTE($A499,"|",""))=13, MID($A499, FIND("~", SUBSTITUTE($A499,"|","~", 11))+1, FIND("~", SUBSTITUTE($A499,"|","~", 12))-FIND("~", SUBSTITUTE($A499,"|","~", 11))-1),
    LEN($A499)-LEN(SUBSTITUTE($A499,"|",""))=14, MID($A499, FIND("~", SUBSTITUTE($A499,"|","~", 11))+1, FIND("~", SUBSTITUTE($A499,"|","~", 12))-FIND("~", SUBSTITUTE($A499,"|","~", 11))-1)
), "")</f>
        <v>E484056</v>
      </c>
      <c r="M499" s="47" t="str">
        <f t="shared" si="65"/>
        <v>SB010026/1/26</v>
      </c>
      <c r="N499" s="46" t="str">
        <f t="shared" si="68"/>
        <v/>
      </c>
      <c r="O499" s="60" t="s">
        <v>35</v>
      </c>
      <c r="P499" s="60" t="s">
        <v>35</v>
      </c>
      <c r="Q499" s="48">
        <v>2273</v>
      </c>
      <c r="R499" s="48">
        <v>762</v>
      </c>
      <c r="S499" s="48" t="s">
        <v>35</v>
      </c>
      <c r="T499" s="48"/>
      <c r="U499" s="49">
        <v>76</v>
      </c>
      <c r="V499" s="49">
        <v>23</v>
      </c>
      <c r="W499" s="50">
        <f t="shared" si="66"/>
        <v>99</v>
      </c>
      <c r="X499" s="51">
        <f>IF(A499="", "", IF(COUNTIFS(C$3:C498, C499, D$3:D498, D499, G$3:G498, G499) &gt; 0, "", "11:00"-AW499))</f>
        <v>0.38194444444444442</v>
      </c>
      <c r="Y499" s="52" t="str">
        <f t="shared" si="71"/>
        <v>1:40</v>
      </c>
      <c r="Z499" s="53"/>
      <c r="AA499" s="54"/>
      <c r="AB499" s="53"/>
      <c r="AC499" s="54"/>
      <c r="AD499" s="53"/>
      <c r="AE499" s="54"/>
      <c r="AF499" s="53"/>
      <c r="AG499" s="54"/>
      <c r="AH499" s="55">
        <v>4.1666666666666699E-2</v>
      </c>
      <c r="AI499" s="53"/>
      <c r="AJ499" s="54"/>
      <c r="AK499" s="53"/>
      <c r="AL499" s="54"/>
      <c r="AM499" s="53">
        <v>3.4722222222222224E-2</v>
      </c>
      <c r="AN499" s="54" t="s">
        <v>237</v>
      </c>
      <c r="AO499" s="53"/>
      <c r="AP499" s="54"/>
      <c r="AQ499" s="53"/>
      <c r="AR499" s="54"/>
      <c r="AS499" s="53"/>
      <c r="AT499" s="54"/>
      <c r="AU499" s="53">
        <v>4.1666666666666699E-2</v>
      </c>
      <c r="AV499" s="54" t="s">
        <v>37</v>
      </c>
      <c r="AW499" s="57">
        <f t="shared" si="73"/>
        <v>7.6388888888888923E-2</v>
      </c>
      <c r="AX499" s="58" t="s">
        <v>109</v>
      </c>
    </row>
    <row r="500" spans="1:50" ht="21.75" customHeight="1">
      <c r="A500" s="38" t="s">
        <v>487</v>
      </c>
      <c r="B500" s="39">
        <f t="shared" si="72"/>
        <v>496</v>
      </c>
      <c r="C500" s="40">
        <v>46036</v>
      </c>
      <c r="D500" s="40" t="s">
        <v>80</v>
      </c>
      <c r="E500" s="40" t="s">
        <v>33</v>
      </c>
      <c r="F500" s="41">
        <v>148.5</v>
      </c>
      <c r="G500" s="42" t="s">
        <v>108</v>
      </c>
      <c r="H500" s="43" t="str">
        <f>IFERROR(VLOOKUP($J500,'[9]FROM (3)'!$E$4:$F$230,2,FALSE),"")</f>
        <v>SIAM NSK</v>
      </c>
      <c r="I500" s="44" t="str">
        <f t="shared" si="69"/>
        <v>SHAFT SPLINE</v>
      </c>
      <c r="J500" s="44" t="str">
        <f t="shared" si="70"/>
        <v>2530S0610P</v>
      </c>
      <c r="K500" s="59" t="str">
        <f t="shared" si="67"/>
        <v>PD26010395</v>
      </c>
      <c r="L500" s="46" t="str" cm="1">
        <f t="array" ref="L500">IFERROR(_xlfn.IFS(
    LEN($A500)-LEN(SUBSTITUTE($A500,"|",""))=12, RIGHT(A500, LEN(A500)-FIND("~", SUBSTITUTE(A500,"|","~", LEN(A500)-LEN(SUBSTITUTE(A500,"|",""))))),
    LEN($A500)-LEN(SUBSTITUTE($A500,"|",""))=13, MID($A500, FIND("~", SUBSTITUTE($A500,"|","~", 11))+1, FIND("~", SUBSTITUTE($A500,"|","~", 12))-FIND("~", SUBSTITUTE($A500,"|","~", 11))-1),
    LEN($A500)-LEN(SUBSTITUTE($A500,"|",""))=14, MID($A500, FIND("~", SUBSTITUTE($A500,"|","~", 11))+1, FIND("~", SUBSTITUTE($A500,"|","~", 12))-FIND("~", SUBSTITUTE($A500,"|","~", 11))-1)
), "")</f>
        <v>E484056</v>
      </c>
      <c r="M500" s="47" t="str">
        <f t="shared" si="65"/>
        <v>SB010033/1/26</v>
      </c>
      <c r="N500" s="46" t="str">
        <f t="shared" si="68"/>
        <v/>
      </c>
      <c r="O500" s="60">
        <v>81</v>
      </c>
      <c r="P500" s="60">
        <v>1035</v>
      </c>
      <c r="Q500" s="48">
        <v>1200</v>
      </c>
      <c r="R500" s="48">
        <v>439</v>
      </c>
      <c r="S500" s="48" t="s">
        <v>35</v>
      </c>
      <c r="T500" s="48"/>
      <c r="U500" s="49"/>
      <c r="V500" s="49"/>
      <c r="W500" s="50">
        <f t="shared" si="66"/>
        <v>0</v>
      </c>
      <c r="X500" s="51" t="str">
        <f>IF(A500="", "", IF(COUNTIFS(C$3:C499, C500, D$3:D499, D500, G$3:G499, G500) &gt; 0, "", "11:00"-AW500))</f>
        <v/>
      </c>
      <c r="Y500" s="52" t="str">
        <f t="shared" si="71"/>
        <v/>
      </c>
      <c r="Z500" s="53"/>
      <c r="AA500" s="54"/>
      <c r="AB500" s="53"/>
      <c r="AC500" s="54"/>
      <c r="AD500" s="53"/>
      <c r="AE500" s="54"/>
      <c r="AF500" s="53"/>
      <c r="AG500" s="54"/>
      <c r="AH500" s="55">
        <v>4.1666666666666699E-2</v>
      </c>
      <c r="AI500" s="53"/>
      <c r="AJ500" s="54"/>
      <c r="AK500" s="53"/>
      <c r="AL500" s="54"/>
      <c r="AM500" s="53"/>
      <c r="AN500" s="54"/>
      <c r="AO500" s="53"/>
      <c r="AP500" s="54"/>
      <c r="AQ500" s="53"/>
      <c r="AR500" s="54"/>
      <c r="AS500" s="53"/>
      <c r="AT500" s="54"/>
      <c r="AU500" s="53">
        <v>4.1666666666666699E-2</v>
      </c>
      <c r="AV500" s="54" t="s">
        <v>37</v>
      </c>
      <c r="AW500" s="57">
        <f t="shared" si="73"/>
        <v>4.1666666666666699E-2</v>
      </c>
      <c r="AX500" s="58" t="s">
        <v>109</v>
      </c>
    </row>
    <row r="501" spans="1:50" ht="21.75" customHeight="1">
      <c r="A501" s="38" t="s">
        <v>427</v>
      </c>
      <c r="B501" s="39">
        <f t="shared" si="72"/>
        <v>497</v>
      </c>
      <c r="C501" s="40">
        <v>46036</v>
      </c>
      <c r="D501" s="40" t="s">
        <v>80</v>
      </c>
      <c r="E501" s="40" t="s">
        <v>33</v>
      </c>
      <c r="F501" s="41">
        <v>375</v>
      </c>
      <c r="G501" s="42" t="s">
        <v>172</v>
      </c>
      <c r="H501" s="43" t="str">
        <f>IFERROR(VLOOKUP($J501,'[9]FROM (3)'!$E$4:$F$230,2,FALSE),"")</f>
        <v>ATAC</v>
      </c>
      <c r="I501" s="44" t="str">
        <f t="shared" si="69"/>
        <v>SEAT,WATER PUMP PULLEY</v>
      </c>
      <c r="J501" s="44" t="str">
        <f t="shared" si="70"/>
        <v>16171-05030</v>
      </c>
      <c r="K501" s="59" t="str">
        <f t="shared" si="67"/>
        <v>PD26010245</v>
      </c>
      <c r="L501" s="46" t="str" cm="1">
        <f t="array" ref="L501">IFERROR(_xlfn.IFS(
    LEN($A501)-LEN(SUBSTITUTE($A501,"|",""))=12, RIGHT(A501, LEN(A501)-FIND("~", SUBSTITUTE(A501,"|","~", LEN(A501)-LEN(SUBSTITUTE(A501,"|",""))))),
    LEN($A501)-LEN(SUBSTITUTE($A501,"|",""))=13, MID($A501, FIND("~", SUBSTITUTE($A501,"|","~", 11))+1, FIND("~", SUBSTITUTE($A501,"|","~", 12))-FIND("~", SUBSTITUTE($A501,"|","~", 11))-1),
    LEN($A501)-LEN(SUBSTITUTE($A501,"|",""))=14, MID($A501, FIND("~", SUBSTITUTE($A501,"|","~", 11))+1, FIND("~", SUBSTITUTE($A501,"|","~", 12))-FIND("~", SUBSTITUTE($A501,"|","~", 11))-1)
), "")</f>
        <v>665898</v>
      </c>
      <c r="M501" s="47" t="str">
        <f t="shared" si="65"/>
        <v>SB010013/1/26</v>
      </c>
      <c r="N501" s="46" t="str">
        <f t="shared" si="68"/>
        <v/>
      </c>
      <c r="O501" s="60" t="s">
        <v>35</v>
      </c>
      <c r="P501" s="60" t="s">
        <v>35</v>
      </c>
      <c r="Q501" s="48">
        <v>1121</v>
      </c>
      <c r="R501" s="48">
        <v>420</v>
      </c>
      <c r="S501" s="48" t="s">
        <v>35</v>
      </c>
      <c r="T501" s="48"/>
      <c r="U501" s="49">
        <v>86</v>
      </c>
      <c r="V501" s="49">
        <v>167</v>
      </c>
      <c r="W501" s="50">
        <f t="shared" si="66"/>
        <v>253</v>
      </c>
      <c r="X501" s="51">
        <f>IF(A501="", "", IF(COUNTIFS(C$3:C500, C501, D$3:D500, D501, G$3:G500, G501) &gt; 0, "", "11:00"-AW501))</f>
        <v>0.41666666666666663</v>
      </c>
      <c r="Y501" s="52" t="str">
        <f t="shared" si="71"/>
        <v>1:40</v>
      </c>
      <c r="Z501" s="53"/>
      <c r="AA501" s="54"/>
      <c r="AB501" s="53"/>
      <c r="AC501" s="54"/>
      <c r="AD501" s="53"/>
      <c r="AE501" s="54"/>
      <c r="AF501" s="53"/>
      <c r="AG501" s="54"/>
      <c r="AH501" s="55">
        <v>4.1666666666666699E-2</v>
      </c>
      <c r="AI501" s="53"/>
      <c r="AJ501" s="54"/>
      <c r="AK501" s="53"/>
      <c r="AL501" s="54"/>
      <c r="AM501" s="53"/>
      <c r="AN501" s="54"/>
      <c r="AO501" s="53"/>
      <c r="AP501" s="54"/>
      <c r="AQ501" s="53"/>
      <c r="AR501" s="54"/>
      <c r="AS501" s="53"/>
      <c r="AT501" s="54"/>
      <c r="AU501" s="53">
        <v>4.1666666666666699E-2</v>
      </c>
      <c r="AV501" s="54" t="s">
        <v>37</v>
      </c>
      <c r="AW501" s="57">
        <f t="shared" si="73"/>
        <v>4.1666666666666699E-2</v>
      </c>
      <c r="AX501" s="58" t="s">
        <v>109</v>
      </c>
    </row>
    <row r="502" spans="1:50" ht="21.75" customHeight="1">
      <c r="A502" s="38" t="s">
        <v>488</v>
      </c>
      <c r="B502" s="39">
        <f t="shared" si="72"/>
        <v>498</v>
      </c>
      <c r="C502" s="40">
        <v>46036</v>
      </c>
      <c r="D502" s="40" t="s">
        <v>80</v>
      </c>
      <c r="E502" s="40" t="s">
        <v>33</v>
      </c>
      <c r="F502" s="41">
        <v>375</v>
      </c>
      <c r="G502" s="42" t="s">
        <v>172</v>
      </c>
      <c r="H502" s="43" t="str">
        <f>IFERROR(VLOOKUP($J502,'[9]FROM (3)'!$E$4:$F$230,2,FALSE),"")</f>
        <v>ATAC</v>
      </c>
      <c r="I502" s="44" t="str">
        <f t="shared" si="69"/>
        <v>SEAT,WATER PUMP PULLEY</v>
      </c>
      <c r="J502" s="44" t="str">
        <f t="shared" si="70"/>
        <v>16171-05030</v>
      </c>
      <c r="K502" s="59" t="str">
        <f t="shared" si="67"/>
        <v>PD26010254</v>
      </c>
      <c r="L502" s="46" t="str" cm="1">
        <f t="array" ref="L502">IFERROR(_xlfn.IFS(
    LEN($A502)-LEN(SUBSTITUTE($A502,"|",""))=12, RIGHT(A502, LEN(A502)-FIND("~", SUBSTITUTE(A502,"|","~", LEN(A502)-LEN(SUBSTITUTE(A502,"|",""))))),
    LEN($A502)-LEN(SUBSTITUTE($A502,"|",""))=13, MID($A502, FIND("~", SUBSTITUTE($A502,"|","~", 11))+1, FIND("~", SUBSTITUTE($A502,"|","~", 12))-FIND("~", SUBSTITUTE($A502,"|","~", 11))-1),
    LEN($A502)-LEN(SUBSTITUTE($A502,"|",""))=14, MID($A502, FIND("~", SUBSTITUTE($A502,"|","~", 11))+1, FIND("~", SUBSTITUTE($A502,"|","~", 12))-FIND("~", SUBSTITUTE($A502,"|","~", 11))-1)
), "")</f>
        <v>665898</v>
      </c>
      <c r="M502" s="47" t="str">
        <f t="shared" si="65"/>
        <v>SB010015/1/26</v>
      </c>
      <c r="N502" s="46" t="str">
        <f t="shared" si="68"/>
        <v/>
      </c>
      <c r="O502" s="60">
        <v>14</v>
      </c>
      <c r="P502" s="60">
        <v>990</v>
      </c>
      <c r="Q502" s="48">
        <v>1600</v>
      </c>
      <c r="R502" s="48">
        <v>600</v>
      </c>
      <c r="S502" s="48" t="s">
        <v>35</v>
      </c>
      <c r="T502" s="48"/>
      <c r="U502" s="49"/>
      <c r="V502" s="49"/>
      <c r="W502" s="50">
        <f t="shared" si="66"/>
        <v>0</v>
      </c>
      <c r="X502" s="51" t="str">
        <f>IF(A502="", "", IF(COUNTIFS(C$3:C501, C502, D$3:D501, D502, G$3:G501, G502) &gt; 0, "", "11:00"-AW502))</f>
        <v/>
      </c>
      <c r="Y502" s="52" t="str">
        <f t="shared" si="71"/>
        <v/>
      </c>
      <c r="Z502" s="53"/>
      <c r="AA502" s="54"/>
      <c r="AB502" s="53"/>
      <c r="AC502" s="54"/>
      <c r="AD502" s="53"/>
      <c r="AE502" s="54"/>
      <c r="AF502" s="53"/>
      <c r="AG502" s="54"/>
      <c r="AH502" s="55">
        <v>4.1666666666666699E-2</v>
      </c>
      <c r="AI502" s="53"/>
      <c r="AJ502" s="54"/>
      <c r="AK502" s="53"/>
      <c r="AL502" s="54"/>
      <c r="AM502" s="53"/>
      <c r="AN502" s="54"/>
      <c r="AO502" s="53"/>
      <c r="AP502" s="54"/>
      <c r="AQ502" s="53"/>
      <c r="AR502" s="54"/>
      <c r="AS502" s="53"/>
      <c r="AT502" s="54"/>
      <c r="AU502" s="53">
        <v>4.1666666666666699E-2</v>
      </c>
      <c r="AV502" s="54" t="s">
        <v>37</v>
      </c>
      <c r="AW502" s="57">
        <f t="shared" si="73"/>
        <v>4.1666666666666699E-2</v>
      </c>
      <c r="AX502" s="58" t="s">
        <v>109</v>
      </c>
    </row>
    <row r="503" spans="1:50" ht="21.75" customHeight="1">
      <c r="A503" s="38" t="s">
        <v>488</v>
      </c>
      <c r="B503" s="39">
        <f t="shared" si="72"/>
        <v>499</v>
      </c>
      <c r="C503" s="40">
        <v>46036</v>
      </c>
      <c r="D503" s="40" t="s">
        <v>32</v>
      </c>
      <c r="E503" s="40" t="s">
        <v>81</v>
      </c>
      <c r="F503" s="41">
        <v>375</v>
      </c>
      <c r="G503" s="42" t="s">
        <v>172</v>
      </c>
      <c r="H503" s="43" t="str">
        <f>IFERROR(VLOOKUP($J503,'[9]FROM (3)'!$E$4:$F$230,2,FALSE),"")</f>
        <v>ATAC</v>
      </c>
      <c r="I503" s="44" t="str">
        <f t="shared" si="69"/>
        <v>SEAT,WATER PUMP PULLEY</v>
      </c>
      <c r="J503" s="44" t="str">
        <f t="shared" si="70"/>
        <v>16171-05030</v>
      </c>
      <c r="K503" s="59" t="str">
        <f t="shared" si="67"/>
        <v>PD26010254</v>
      </c>
      <c r="L503" s="46" t="str" cm="1">
        <f t="array" ref="L503">IFERROR(_xlfn.IFS(
    LEN($A503)-LEN(SUBSTITUTE($A503,"|",""))=12, RIGHT(A503, LEN(A503)-FIND("~", SUBSTITUTE(A503,"|","~", LEN(A503)-LEN(SUBSTITUTE(A503,"|",""))))),
    LEN($A503)-LEN(SUBSTITUTE($A503,"|",""))=13, MID($A503, FIND("~", SUBSTITUTE($A503,"|","~", 11))+1, FIND("~", SUBSTITUTE($A503,"|","~", 12))-FIND("~", SUBSTITUTE($A503,"|","~", 11))-1),
    LEN($A503)-LEN(SUBSTITUTE($A503,"|",""))=14, MID($A503, FIND("~", SUBSTITUTE($A503,"|","~", 11))+1, FIND("~", SUBSTITUTE($A503,"|","~", 12))-FIND("~", SUBSTITUTE($A503,"|","~", 11))-1)
), "")</f>
        <v>665898</v>
      </c>
      <c r="M503" s="47" t="str">
        <f t="shared" si="65"/>
        <v>SB010015/1/26</v>
      </c>
      <c r="N503" s="46" t="str">
        <f t="shared" si="68"/>
        <v/>
      </c>
      <c r="O503" s="60" t="s">
        <v>35</v>
      </c>
      <c r="P503" s="60" t="s">
        <v>35</v>
      </c>
      <c r="Q503" s="48">
        <v>817</v>
      </c>
      <c r="R503" s="48">
        <v>306</v>
      </c>
      <c r="S503" s="48"/>
      <c r="T503" s="48"/>
      <c r="U503" s="49"/>
      <c r="V503" s="49"/>
      <c r="W503" s="50">
        <f t="shared" si="66"/>
        <v>0</v>
      </c>
      <c r="X503" s="51">
        <f>IF(A503="", "", IF(COUNTIFS(C$3:C502, C503, D$3:D502, D503, G$3:G502, G503) &gt; 0, "", "11:00"-AW503))</f>
        <v>0.41666666666666663</v>
      </c>
      <c r="Y503" s="52" t="str">
        <f t="shared" si="71"/>
        <v>1:40</v>
      </c>
      <c r="Z503" s="53"/>
      <c r="AA503" s="54"/>
      <c r="AB503" s="53"/>
      <c r="AC503" s="54"/>
      <c r="AD503" s="53"/>
      <c r="AE503" s="54"/>
      <c r="AF503" s="53"/>
      <c r="AG503" s="54"/>
      <c r="AH503" s="55">
        <v>4.1666666666666699E-2</v>
      </c>
      <c r="AI503" s="53"/>
      <c r="AJ503" s="54"/>
      <c r="AK503" s="53"/>
      <c r="AL503" s="54"/>
      <c r="AM503" s="53"/>
      <c r="AN503" s="54"/>
      <c r="AO503" s="53"/>
      <c r="AP503" s="54"/>
      <c r="AQ503" s="53"/>
      <c r="AR503" s="54"/>
      <c r="AS503" s="53"/>
      <c r="AT503" s="54"/>
      <c r="AU503" s="53">
        <v>4.1666666666666699E-2</v>
      </c>
      <c r="AV503" s="54" t="s">
        <v>37</v>
      </c>
      <c r="AW503" s="57">
        <f t="shared" si="73"/>
        <v>4.1666666666666699E-2</v>
      </c>
      <c r="AX503" s="58" t="s">
        <v>380</v>
      </c>
    </row>
    <row r="504" spans="1:50" ht="21.75" customHeight="1">
      <c r="A504" s="38" t="s">
        <v>489</v>
      </c>
      <c r="B504" s="39">
        <f t="shared" si="72"/>
        <v>500</v>
      </c>
      <c r="C504" s="40">
        <v>46036</v>
      </c>
      <c r="D504" s="40" t="s">
        <v>32</v>
      </c>
      <c r="E504" s="40" t="s">
        <v>81</v>
      </c>
      <c r="F504" s="41">
        <v>375</v>
      </c>
      <c r="G504" s="42" t="s">
        <v>172</v>
      </c>
      <c r="H504" s="43" t="str">
        <f>IFERROR(VLOOKUP($J504,'[9]FROM (3)'!$E$4:$F$230,2,FALSE),"")</f>
        <v>ATAC</v>
      </c>
      <c r="I504" s="44" t="str">
        <f t="shared" si="69"/>
        <v>SEAT,WATER PUMP PULLEY</v>
      </c>
      <c r="J504" s="44" t="str">
        <f t="shared" si="70"/>
        <v>16171-05030</v>
      </c>
      <c r="K504" s="59" t="str">
        <f t="shared" si="67"/>
        <v>PD26010254</v>
      </c>
      <c r="L504" s="46" t="str" cm="1">
        <f t="array" ref="L504">IFERROR(_xlfn.IFS(
    LEN($A504)-LEN(SUBSTITUTE($A504,"|",""))=12, RIGHT(A504, LEN(A504)-FIND("~", SUBSTITUTE(A504,"|","~", LEN(A504)-LEN(SUBSTITUTE(A504,"|",""))))),
    LEN($A504)-LEN(SUBSTITUTE($A504,"|",""))=13, MID($A504, FIND("~", SUBSTITUTE($A504,"|","~", 11))+1, FIND("~", SUBSTITUTE($A504,"|","~", 12))-FIND("~", SUBSTITUTE($A504,"|","~", 11))-1),
    LEN($A504)-LEN(SUBSTITUTE($A504,"|",""))=14, MID($A504, FIND("~", SUBSTITUTE($A504,"|","~", 11))+1, FIND("~", SUBSTITUTE($A504,"|","~", 12))-FIND("~", SUBSTITUTE($A504,"|","~", 11))-1)
), "")</f>
        <v>665898</v>
      </c>
      <c r="M504" s="47" t="str">
        <f t="shared" si="65"/>
        <v>SB010015/2/26</v>
      </c>
      <c r="N504" s="46" t="str">
        <f t="shared" si="68"/>
        <v/>
      </c>
      <c r="O504" s="60">
        <v>14</v>
      </c>
      <c r="P504" s="60">
        <v>990</v>
      </c>
      <c r="Q504" s="48">
        <v>2001</v>
      </c>
      <c r="R504" s="48">
        <v>750</v>
      </c>
      <c r="S504" s="48"/>
      <c r="T504" s="48"/>
      <c r="U504" s="49"/>
      <c r="V504" s="49"/>
      <c r="W504" s="50">
        <f t="shared" si="66"/>
        <v>0</v>
      </c>
      <c r="X504" s="51" t="str">
        <f>IF(A504="", "", IF(COUNTIFS(C$3:C503, C504, D$3:D503, D504, G$3:G503, G504) &gt; 0, "", "11:00"-AW504))</f>
        <v/>
      </c>
      <c r="Y504" s="52" t="str">
        <f t="shared" si="71"/>
        <v/>
      </c>
      <c r="Z504" s="53"/>
      <c r="AA504" s="54"/>
      <c r="AB504" s="53"/>
      <c r="AC504" s="54"/>
      <c r="AD504" s="53"/>
      <c r="AE504" s="54"/>
      <c r="AF504" s="53"/>
      <c r="AG504" s="54"/>
      <c r="AH504" s="55">
        <v>4.1666666666666699E-2</v>
      </c>
      <c r="AI504" s="53"/>
      <c r="AJ504" s="54"/>
      <c r="AK504" s="53"/>
      <c r="AL504" s="54"/>
      <c r="AM504" s="53"/>
      <c r="AN504" s="54"/>
      <c r="AO504" s="53"/>
      <c r="AP504" s="54"/>
      <c r="AQ504" s="53"/>
      <c r="AR504" s="54"/>
      <c r="AS504" s="53"/>
      <c r="AT504" s="54"/>
      <c r="AU504" s="53">
        <v>4.1666666666666699E-2</v>
      </c>
      <c r="AV504" s="54" t="s">
        <v>37</v>
      </c>
      <c r="AW504" s="57">
        <f t="shared" si="73"/>
        <v>4.1666666666666699E-2</v>
      </c>
      <c r="AX504" s="58" t="s">
        <v>380</v>
      </c>
    </row>
    <row r="505" spans="1:50" ht="21.75" customHeight="1">
      <c r="A505" s="38" t="s">
        <v>473</v>
      </c>
      <c r="B505" s="39">
        <f t="shared" si="72"/>
        <v>501</v>
      </c>
      <c r="C505" s="40">
        <v>46036</v>
      </c>
      <c r="D505" s="40" t="s">
        <v>32</v>
      </c>
      <c r="E505" s="40" t="s">
        <v>81</v>
      </c>
      <c r="F505" s="41">
        <v>698.5</v>
      </c>
      <c r="G505" s="42" t="s">
        <v>54</v>
      </c>
      <c r="H505" s="43" t="str">
        <f>IFERROR(VLOOKUP($J505,'[9]FROM (3)'!$E$4:$F$230,2,FALSE),"")</f>
        <v>JCTTH</v>
      </c>
      <c r="I505" s="44" t="str">
        <f t="shared" si="69"/>
        <v>RACK BAR</v>
      </c>
      <c r="J505" s="44" t="str">
        <f t="shared" si="70"/>
        <v>JGD10-000751/000761-A</v>
      </c>
      <c r="K505" s="59" t="str">
        <f t="shared" si="67"/>
        <v>PD26010262</v>
      </c>
      <c r="L505" s="46" t="str" cm="1">
        <f t="array" ref="L505">IFERROR(_xlfn.IFS(
    LEN($A505)-LEN(SUBSTITUTE($A505,"|",""))=12, RIGHT(A505, LEN(A505)-FIND("~", SUBSTITUTE(A505,"|","~", LEN(A505)-LEN(SUBSTITUTE(A505,"|",""))))),
    LEN($A505)-LEN(SUBSTITUTE($A505,"|",""))=13, MID($A505, FIND("~", SUBSTITUTE($A505,"|","~", 11))+1, FIND("~", SUBSTITUTE($A505,"|","~", 12))-FIND("~", SUBSTITUTE($A505,"|","~", 11))-1),
    LEN($A505)-LEN(SUBSTITUTE($A505,"|",""))=14, MID($A505, FIND("~", SUBSTITUTE($A505,"|","~", 11))+1, FIND("~", SUBSTITUTE($A505,"|","~", 12))-FIND("~", SUBSTITUTE($A505,"|","~", 11))-1)
), "")</f>
        <v>665076</v>
      </c>
      <c r="M505" s="47" t="str">
        <f t="shared" si="65"/>
        <v>SB010016/4/26</v>
      </c>
      <c r="N505" s="46" t="str">
        <f t="shared" si="68"/>
        <v/>
      </c>
      <c r="O505" s="60"/>
      <c r="P505" s="60"/>
      <c r="Q505" s="48">
        <v>109</v>
      </c>
      <c r="R505" s="48">
        <v>489</v>
      </c>
      <c r="S505" s="48"/>
      <c r="T505" s="48"/>
      <c r="U505" s="49">
        <v>195</v>
      </c>
      <c r="V505" s="49">
        <v>10</v>
      </c>
      <c r="W505" s="50">
        <f t="shared" si="66"/>
        <v>205</v>
      </c>
      <c r="X505" s="51">
        <f>IF(A505="", "", IF(COUNTIFS(C$3:C504, C505, D$3:D504, D505, G$3:G504, G505) &gt; 0, "", "11:00"-AW505))</f>
        <v>0.41666666666666663</v>
      </c>
      <c r="Y505" s="52" t="str">
        <f t="shared" si="71"/>
        <v>1:40</v>
      </c>
      <c r="Z505" s="53"/>
      <c r="AA505" s="54" t="s">
        <v>122</v>
      </c>
      <c r="AB505" s="53"/>
      <c r="AC505" s="54"/>
      <c r="AD505" s="53"/>
      <c r="AE505" s="54"/>
      <c r="AF505" s="53"/>
      <c r="AG505" s="54"/>
      <c r="AH505" s="55">
        <v>4.1666666666666699E-2</v>
      </c>
      <c r="AI505" s="53"/>
      <c r="AJ505" s="54"/>
      <c r="AK505" s="53"/>
      <c r="AL505" s="54"/>
      <c r="AM505" s="53"/>
      <c r="AN505" s="54"/>
      <c r="AO505" s="53"/>
      <c r="AP505" s="54" t="s">
        <v>122</v>
      </c>
      <c r="AQ505" s="53"/>
      <c r="AR505" s="54"/>
      <c r="AS505" s="53"/>
      <c r="AT505" s="54"/>
      <c r="AU505" s="53">
        <v>4.1666666666666699E-2</v>
      </c>
      <c r="AV505" s="54" t="s">
        <v>37</v>
      </c>
      <c r="AW505" s="57">
        <f t="shared" si="73"/>
        <v>4.1666666666666699E-2</v>
      </c>
      <c r="AX505" s="58" t="s">
        <v>56</v>
      </c>
    </row>
    <row r="506" spans="1:50" ht="21.75" customHeight="1">
      <c r="A506" s="38" t="s">
        <v>490</v>
      </c>
      <c r="B506" s="39">
        <f t="shared" si="72"/>
        <v>502</v>
      </c>
      <c r="C506" s="40">
        <v>46036</v>
      </c>
      <c r="D506" s="40" t="s">
        <v>32</v>
      </c>
      <c r="E506" s="40" t="s">
        <v>81</v>
      </c>
      <c r="F506" s="41">
        <v>698.5</v>
      </c>
      <c r="G506" s="42" t="s">
        <v>54</v>
      </c>
      <c r="H506" s="43" t="str">
        <f>IFERROR(VLOOKUP($J506,'[9]FROM (3)'!$E$4:$F$230,2,FALSE),"")</f>
        <v>JCTTH</v>
      </c>
      <c r="I506" s="44" t="str">
        <f t="shared" si="69"/>
        <v>RACK BAR</v>
      </c>
      <c r="J506" s="44" t="str">
        <f t="shared" si="70"/>
        <v>JGD10-000751/000761-A</v>
      </c>
      <c r="K506" s="59" t="str">
        <f t="shared" si="67"/>
        <v>PD26010264</v>
      </c>
      <c r="L506" s="46" t="str" cm="1">
        <f t="array" ref="L506">IFERROR(_xlfn.IFS(
    LEN($A506)-LEN(SUBSTITUTE($A506,"|",""))=12, RIGHT(A506, LEN(A506)-FIND("~", SUBSTITUTE(A506,"|","~", LEN(A506)-LEN(SUBSTITUTE(A506,"|",""))))),
    LEN($A506)-LEN(SUBSTITUTE($A506,"|",""))=13, MID($A506, FIND("~", SUBSTITUTE($A506,"|","~", 11))+1, FIND("~", SUBSTITUTE($A506,"|","~", 12))-FIND("~", SUBSTITUTE($A506,"|","~", 11))-1),
    LEN($A506)-LEN(SUBSTITUTE($A506,"|",""))=14, MID($A506, FIND("~", SUBSTITUTE($A506,"|","~", 11))+1, FIND("~", SUBSTITUTE($A506,"|","~", 12))-FIND("~", SUBSTITUTE($A506,"|","~", 11))-1)
), "")</f>
        <v>665076</v>
      </c>
      <c r="M506" s="47" t="str">
        <f t="shared" si="65"/>
        <v>SB010018/5/26</v>
      </c>
      <c r="N506" s="46" t="str">
        <f t="shared" si="68"/>
        <v/>
      </c>
      <c r="O506" s="60">
        <v>51</v>
      </c>
      <c r="P506" s="60">
        <v>986</v>
      </c>
      <c r="Q506" s="48">
        <v>204</v>
      </c>
      <c r="R506" s="48">
        <v>913</v>
      </c>
      <c r="S506" s="48"/>
      <c r="T506" s="48"/>
      <c r="U506" s="49"/>
      <c r="V506" s="49"/>
      <c r="W506" s="50">
        <f t="shared" si="66"/>
        <v>0</v>
      </c>
      <c r="X506" s="51" t="str">
        <f>IF(A506="", "", IF(COUNTIFS(C$3:C505, C506, D$3:D505, D506, G$3:G505, G506) &gt; 0, "", "11:00"-AW506))</f>
        <v/>
      </c>
      <c r="Y506" s="52" t="str">
        <f t="shared" si="71"/>
        <v/>
      </c>
      <c r="Z506" s="53"/>
      <c r="AA506" s="54"/>
      <c r="AB506" s="53"/>
      <c r="AC506" s="54"/>
      <c r="AD506" s="53"/>
      <c r="AE506" s="54"/>
      <c r="AF506" s="53"/>
      <c r="AG506" s="54"/>
      <c r="AH506" s="55">
        <v>4.1666666666666699E-2</v>
      </c>
      <c r="AI506" s="53"/>
      <c r="AJ506" s="54"/>
      <c r="AK506" s="53"/>
      <c r="AL506" s="54"/>
      <c r="AM506" s="53"/>
      <c r="AN506" s="54"/>
      <c r="AO506" s="53"/>
      <c r="AP506" s="54"/>
      <c r="AQ506" s="53"/>
      <c r="AR506" s="54"/>
      <c r="AS506" s="53"/>
      <c r="AT506" s="54"/>
      <c r="AU506" s="53">
        <v>4.1666666666666699E-2</v>
      </c>
      <c r="AV506" s="54" t="s">
        <v>37</v>
      </c>
      <c r="AW506" s="57">
        <f t="shared" si="73"/>
        <v>4.1666666666666699E-2</v>
      </c>
      <c r="AX506" s="58" t="s">
        <v>56</v>
      </c>
    </row>
    <row r="507" spans="1:50" ht="21.75" customHeight="1">
      <c r="A507" s="38" t="s">
        <v>491</v>
      </c>
      <c r="B507" s="39">
        <f t="shared" si="72"/>
        <v>503</v>
      </c>
      <c r="C507" s="40">
        <v>46036</v>
      </c>
      <c r="D507" s="40" t="s">
        <v>32</v>
      </c>
      <c r="E507" s="40" t="s">
        <v>81</v>
      </c>
      <c r="F507" s="41">
        <v>698.5</v>
      </c>
      <c r="G507" s="42" t="s">
        <v>54</v>
      </c>
      <c r="H507" s="43" t="str">
        <f>IFERROR(VLOOKUP($J507,'[9]FROM (3)'!$E$4:$F$230,2,FALSE),"")</f>
        <v>JCTTH</v>
      </c>
      <c r="I507" s="44" t="str">
        <f t="shared" si="69"/>
        <v>RACK BAR</v>
      </c>
      <c r="J507" s="44" t="str">
        <f t="shared" si="70"/>
        <v>JGD10-000751/000761-A</v>
      </c>
      <c r="K507" s="59" t="str">
        <f t="shared" si="67"/>
        <v>PD26010264</v>
      </c>
      <c r="L507" s="46" t="str" cm="1">
        <f t="array" ref="L507">IFERROR(_xlfn.IFS(
    LEN($A507)-LEN(SUBSTITUTE($A507,"|",""))=12, RIGHT(A507, LEN(A507)-FIND("~", SUBSTITUTE(A507,"|","~", LEN(A507)-LEN(SUBSTITUTE(A507,"|",""))))),
    LEN($A507)-LEN(SUBSTITUTE($A507,"|",""))=13, MID($A507, FIND("~", SUBSTITUTE($A507,"|","~", 11))+1, FIND("~", SUBSTITUTE($A507,"|","~", 12))-FIND("~", SUBSTITUTE($A507,"|","~", 11))-1),
    LEN($A507)-LEN(SUBSTITUTE($A507,"|",""))=14, MID($A507, FIND("~", SUBSTITUTE($A507,"|","~", 11))+1, FIND("~", SUBSTITUTE($A507,"|","~", 12))-FIND("~", SUBSTITUTE($A507,"|","~", 11))-1)
), "")</f>
        <v>665076</v>
      </c>
      <c r="M507" s="47" t="str">
        <f t="shared" si="65"/>
        <v>SB010018/4/26</v>
      </c>
      <c r="N507" s="46" t="str">
        <f t="shared" si="68"/>
        <v/>
      </c>
      <c r="O507" s="60">
        <v>51</v>
      </c>
      <c r="P507" s="60">
        <v>986</v>
      </c>
      <c r="Q507" s="48">
        <v>204</v>
      </c>
      <c r="R507" s="48">
        <v>913</v>
      </c>
      <c r="S507" s="48"/>
      <c r="T507" s="48"/>
      <c r="U507" s="49"/>
      <c r="V507" s="49"/>
      <c r="W507" s="50">
        <f t="shared" si="66"/>
        <v>0</v>
      </c>
      <c r="X507" s="51" t="str">
        <f>IF(A507="", "", IF(COUNTIFS(C$3:C506, C507, D$3:D506, D507, G$3:G506, G507) &gt; 0, "", "11:00"-AW507))</f>
        <v/>
      </c>
      <c r="Y507" s="52" t="str">
        <f t="shared" si="71"/>
        <v/>
      </c>
      <c r="Z507" s="53"/>
      <c r="AA507" s="54"/>
      <c r="AB507" s="53"/>
      <c r="AC507" s="54"/>
      <c r="AD507" s="53"/>
      <c r="AE507" s="54"/>
      <c r="AF507" s="53"/>
      <c r="AG507" s="54"/>
      <c r="AH507" s="55">
        <v>4.1666666666666699E-2</v>
      </c>
      <c r="AI507" s="53"/>
      <c r="AJ507" s="54"/>
      <c r="AK507" s="53"/>
      <c r="AL507" s="54"/>
      <c r="AM507" s="53"/>
      <c r="AN507" s="54"/>
      <c r="AO507" s="53"/>
      <c r="AP507" s="54"/>
      <c r="AQ507" s="53"/>
      <c r="AR507" s="54"/>
      <c r="AS507" s="53"/>
      <c r="AT507" s="54"/>
      <c r="AU507" s="53">
        <v>4.1666666666666699E-2</v>
      </c>
      <c r="AV507" s="54" t="s">
        <v>37</v>
      </c>
      <c r="AW507" s="57">
        <f t="shared" si="73"/>
        <v>4.1666666666666699E-2</v>
      </c>
      <c r="AX507" s="58" t="s">
        <v>56</v>
      </c>
    </row>
    <row r="508" spans="1:50" ht="21.75" customHeight="1">
      <c r="A508" s="38" t="s">
        <v>492</v>
      </c>
      <c r="B508" s="39">
        <f t="shared" si="72"/>
        <v>504</v>
      </c>
      <c r="C508" s="40">
        <v>46036</v>
      </c>
      <c r="D508" s="40" t="s">
        <v>32</v>
      </c>
      <c r="E508" s="40" t="s">
        <v>81</v>
      </c>
      <c r="F508" s="41">
        <v>698.5</v>
      </c>
      <c r="G508" s="42" t="s">
        <v>54</v>
      </c>
      <c r="H508" s="43" t="str">
        <f>IFERROR(VLOOKUP($J508,'[9]FROM (3)'!$E$4:$F$230,2,FALSE),"")</f>
        <v>JCTTH</v>
      </c>
      <c r="I508" s="44" t="str">
        <f t="shared" si="69"/>
        <v>RACK BAR</v>
      </c>
      <c r="J508" s="44" t="str">
        <f t="shared" si="70"/>
        <v>JGD10-000751/000761-A</v>
      </c>
      <c r="K508" s="59" t="str">
        <f t="shared" si="67"/>
        <v>PD26010264</v>
      </c>
      <c r="L508" s="46" t="str" cm="1">
        <f t="array" ref="L508">IFERROR(_xlfn.IFS(
    LEN($A508)-LEN(SUBSTITUTE($A508,"|",""))=12, RIGHT(A508, LEN(A508)-FIND("~", SUBSTITUTE(A508,"|","~", LEN(A508)-LEN(SUBSTITUTE(A508,"|",""))))),
    LEN($A508)-LEN(SUBSTITUTE($A508,"|",""))=13, MID($A508, FIND("~", SUBSTITUTE($A508,"|","~", 11))+1, FIND("~", SUBSTITUTE($A508,"|","~", 12))-FIND("~", SUBSTITUTE($A508,"|","~", 11))-1),
    LEN($A508)-LEN(SUBSTITUTE($A508,"|",""))=14, MID($A508, FIND("~", SUBSTITUTE($A508,"|","~", 11))+1, FIND("~", SUBSTITUTE($A508,"|","~", 12))-FIND("~", SUBSTITUTE($A508,"|","~", 11))-1)
), "")</f>
        <v>665076</v>
      </c>
      <c r="M508" s="47" t="str">
        <f t="shared" si="65"/>
        <v>SB010018/6/26</v>
      </c>
      <c r="N508" s="46" t="str">
        <f t="shared" si="68"/>
        <v/>
      </c>
      <c r="O508" s="60">
        <v>51</v>
      </c>
      <c r="P508" s="60">
        <v>986</v>
      </c>
      <c r="Q508" s="48">
        <v>204</v>
      </c>
      <c r="R508" s="48">
        <v>913</v>
      </c>
      <c r="S508" s="48"/>
      <c r="T508" s="48"/>
      <c r="U508" s="49">
        <v>195</v>
      </c>
      <c r="V508" s="49">
        <v>10</v>
      </c>
      <c r="W508" s="50">
        <f t="shared" si="66"/>
        <v>205</v>
      </c>
      <c r="X508" s="51" t="str">
        <f>IF(A508="", "", IF(COUNTIFS(C$3:C507, C508, D$3:D507, D508, G$3:G507, G508) &gt; 0, "", "11:00"-AW508))</f>
        <v/>
      </c>
      <c r="Y508" s="52" t="str">
        <f t="shared" si="71"/>
        <v/>
      </c>
      <c r="Z508" s="53"/>
      <c r="AA508" s="54"/>
      <c r="AB508" s="53"/>
      <c r="AC508" s="54"/>
      <c r="AD508" s="53"/>
      <c r="AE508" s="54"/>
      <c r="AF508" s="53"/>
      <c r="AG508" s="54"/>
      <c r="AH508" s="55">
        <v>4.1666666666666699E-2</v>
      </c>
      <c r="AI508" s="53"/>
      <c r="AJ508" s="54"/>
      <c r="AK508" s="53"/>
      <c r="AL508" s="54"/>
      <c r="AM508" s="53"/>
      <c r="AN508" s="54"/>
      <c r="AO508" s="53"/>
      <c r="AP508" s="54"/>
      <c r="AQ508" s="53"/>
      <c r="AR508" s="54"/>
      <c r="AS508" s="53"/>
      <c r="AT508" s="54"/>
      <c r="AU508" s="53">
        <v>4.1666666666666699E-2</v>
      </c>
      <c r="AV508" s="54" t="s">
        <v>37</v>
      </c>
      <c r="AW508" s="57">
        <f t="shared" si="73"/>
        <v>4.1666666666666699E-2</v>
      </c>
      <c r="AX508" s="58" t="s">
        <v>56</v>
      </c>
    </row>
    <row r="509" spans="1:50" ht="21.75" customHeight="1">
      <c r="A509" s="38" t="s">
        <v>493</v>
      </c>
      <c r="B509" s="39">
        <f t="shared" si="72"/>
        <v>505</v>
      </c>
      <c r="C509" s="40">
        <v>46036</v>
      </c>
      <c r="D509" s="40" t="s">
        <v>32</v>
      </c>
      <c r="E509" s="40" t="s">
        <v>81</v>
      </c>
      <c r="F509" s="41">
        <v>698.5</v>
      </c>
      <c r="G509" s="42" t="s">
        <v>54</v>
      </c>
      <c r="H509" s="43" t="str">
        <f>IFERROR(VLOOKUP($J509,'[9]FROM (3)'!$E$4:$F$230,2,FALSE),"")</f>
        <v>JCTTH</v>
      </c>
      <c r="I509" s="44" t="str">
        <f t="shared" si="69"/>
        <v>RACK BAR</v>
      </c>
      <c r="J509" s="44" t="str">
        <f t="shared" si="70"/>
        <v>JGD10-000751/000761-A</v>
      </c>
      <c r="K509" s="59" t="str">
        <f t="shared" si="67"/>
        <v>PD26010263</v>
      </c>
      <c r="L509" s="46" t="str" cm="1">
        <f t="array" ref="L509">IFERROR(_xlfn.IFS(
    LEN($A509)-LEN(SUBSTITUTE($A509,"|",""))=12, RIGHT(A509, LEN(A509)-FIND("~", SUBSTITUTE(A509,"|","~", LEN(A509)-LEN(SUBSTITUTE(A509,"|",""))))),
    LEN($A509)-LEN(SUBSTITUTE($A509,"|",""))=13, MID($A509, FIND("~", SUBSTITUTE($A509,"|","~", 11))+1, FIND("~", SUBSTITUTE($A509,"|","~", 12))-FIND("~", SUBSTITUTE($A509,"|","~", 11))-1),
    LEN($A509)-LEN(SUBSTITUTE($A509,"|",""))=14, MID($A509, FIND("~", SUBSTITUTE($A509,"|","~", 11))+1, FIND("~", SUBSTITUTE($A509,"|","~", 12))-FIND("~", SUBSTITUTE($A509,"|","~", 11))-1)
), "")</f>
        <v>665076</v>
      </c>
      <c r="M509" s="47" t="str">
        <f t="shared" si="65"/>
        <v>SB010018/3/26</v>
      </c>
      <c r="N509" s="46" t="str">
        <f t="shared" si="68"/>
        <v/>
      </c>
      <c r="O509" s="60">
        <v>51</v>
      </c>
      <c r="P509" s="60">
        <v>986</v>
      </c>
      <c r="Q509" s="48">
        <v>204</v>
      </c>
      <c r="R509" s="48">
        <v>913</v>
      </c>
      <c r="S509" s="48"/>
      <c r="T509" s="48"/>
      <c r="U509" s="49"/>
      <c r="V509" s="49"/>
      <c r="W509" s="50">
        <f t="shared" si="66"/>
        <v>0</v>
      </c>
      <c r="X509" s="51" t="str">
        <f>IF(A509="", "", IF(COUNTIFS(C$3:C508, C509, D$3:D508, D509, G$3:G508, G509) &gt; 0, "", "11:00"-AW509))</f>
        <v/>
      </c>
      <c r="Y509" s="52" t="str">
        <f t="shared" si="71"/>
        <v/>
      </c>
      <c r="Z509" s="53"/>
      <c r="AA509" s="54"/>
      <c r="AB509" s="53"/>
      <c r="AC509" s="54"/>
      <c r="AD509" s="53"/>
      <c r="AE509" s="54"/>
      <c r="AF509" s="53"/>
      <c r="AG509" s="54"/>
      <c r="AH509" s="55">
        <v>4.1666666666666699E-2</v>
      </c>
      <c r="AI509" s="53"/>
      <c r="AJ509" s="54"/>
      <c r="AK509" s="53"/>
      <c r="AL509" s="54"/>
      <c r="AM509" s="53"/>
      <c r="AN509" s="54"/>
      <c r="AO509" s="53"/>
      <c r="AP509" s="54"/>
      <c r="AQ509" s="53"/>
      <c r="AR509" s="54"/>
      <c r="AS509" s="53"/>
      <c r="AT509" s="54"/>
      <c r="AU509" s="53">
        <v>4.1666666666666699E-2</v>
      </c>
      <c r="AV509" s="54" t="s">
        <v>37</v>
      </c>
      <c r="AW509" s="57">
        <f t="shared" si="73"/>
        <v>4.1666666666666699E-2</v>
      </c>
      <c r="AX509" s="58" t="s">
        <v>56</v>
      </c>
    </row>
    <row r="510" spans="1:50" ht="21.75" customHeight="1">
      <c r="A510" s="38" t="s">
        <v>494</v>
      </c>
      <c r="B510" s="39">
        <f t="shared" si="72"/>
        <v>506</v>
      </c>
      <c r="C510" s="40">
        <v>46036</v>
      </c>
      <c r="D510" s="40" t="s">
        <v>32</v>
      </c>
      <c r="E510" s="40" t="s">
        <v>81</v>
      </c>
      <c r="F510" s="41">
        <v>698.5</v>
      </c>
      <c r="G510" s="42" t="s">
        <v>54</v>
      </c>
      <c r="H510" s="43" t="str">
        <f>IFERROR(VLOOKUP($J510,'[9]FROM (3)'!$E$4:$F$230,2,FALSE),"")</f>
        <v>JCTTH</v>
      </c>
      <c r="I510" s="44" t="str">
        <f t="shared" si="69"/>
        <v>RACK BAR</v>
      </c>
      <c r="J510" s="44" t="str">
        <f t="shared" si="70"/>
        <v>JGD10-000751/000761-A</v>
      </c>
      <c r="K510" s="59" t="str">
        <f t="shared" si="67"/>
        <v>PD26010263</v>
      </c>
      <c r="L510" s="46" t="str" cm="1">
        <f t="array" ref="L510">IFERROR(_xlfn.IFS(
    LEN($A510)-LEN(SUBSTITUTE($A510,"|",""))=12, RIGHT(A510, LEN(A510)-FIND("~", SUBSTITUTE(A510,"|","~", LEN(A510)-LEN(SUBSTITUTE(A510,"|",""))))),
    LEN($A510)-LEN(SUBSTITUTE($A510,"|",""))=13, MID($A510, FIND("~", SUBSTITUTE($A510,"|","~", 11))+1, FIND("~", SUBSTITUTE($A510,"|","~", 12))-FIND("~", SUBSTITUTE($A510,"|","~", 11))-1),
    LEN($A510)-LEN(SUBSTITUTE($A510,"|",""))=14, MID($A510, FIND("~", SUBSTITUTE($A510,"|","~", 11))+1, FIND("~", SUBSTITUTE($A510,"|","~", 12))-FIND("~", SUBSTITUTE($A510,"|","~", 11))-1)
), "")</f>
        <v>665076</v>
      </c>
      <c r="M510" s="47" t="str">
        <f t="shared" si="65"/>
        <v>SB010018/2/26</v>
      </c>
      <c r="N510" s="46" t="str">
        <f t="shared" si="68"/>
        <v/>
      </c>
      <c r="O510" s="60">
        <v>51</v>
      </c>
      <c r="P510" s="60">
        <v>986</v>
      </c>
      <c r="Q510" s="48">
        <v>120</v>
      </c>
      <c r="R510" s="48">
        <v>537</v>
      </c>
      <c r="S510" s="48"/>
      <c r="T510" s="48"/>
      <c r="U510" s="49"/>
      <c r="V510" s="49"/>
      <c r="W510" s="50">
        <f t="shared" si="66"/>
        <v>0</v>
      </c>
      <c r="X510" s="51" t="str">
        <f>IF(A510="", "", IF(COUNTIFS(C$3:C509, C510, D$3:D509, D510, G$3:G509, G510) &gt; 0, "", "11:00"-AW510))</f>
        <v/>
      </c>
      <c r="Y510" s="52" t="str">
        <f t="shared" si="71"/>
        <v/>
      </c>
      <c r="Z510" s="53"/>
      <c r="AA510" s="54"/>
      <c r="AB510" s="53"/>
      <c r="AC510" s="54"/>
      <c r="AD510" s="53"/>
      <c r="AE510" s="54"/>
      <c r="AF510" s="53"/>
      <c r="AG510" s="54"/>
      <c r="AH510" s="55">
        <v>4.1666666666666699E-2</v>
      </c>
      <c r="AI510" s="53"/>
      <c r="AJ510" s="54"/>
      <c r="AK510" s="53"/>
      <c r="AL510" s="54"/>
      <c r="AM510" s="53"/>
      <c r="AN510" s="54"/>
      <c r="AO510" s="53"/>
      <c r="AP510" s="54"/>
      <c r="AQ510" s="53"/>
      <c r="AR510" s="54"/>
      <c r="AS510" s="53"/>
      <c r="AT510" s="54"/>
      <c r="AU510" s="53">
        <v>4.1666666666666699E-2</v>
      </c>
      <c r="AV510" s="54" t="s">
        <v>37</v>
      </c>
      <c r="AW510" s="57">
        <f t="shared" si="73"/>
        <v>4.1666666666666699E-2</v>
      </c>
      <c r="AX510" s="58" t="s">
        <v>56</v>
      </c>
    </row>
    <row r="511" spans="1:50" ht="21.75" customHeight="1">
      <c r="A511" s="38" t="s">
        <v>468</v>
      </c>
      <c r="B511" s="39">
        <f t="shared" si="72"/>
        <v>507</v>
      </c>
      <c r="C511" s="40">
        <v>46036</v>
      </c>
      <c r="D511" s="40" t="s">
        <v>32</v>
      </c>
      <c r="E511" s="40" t="s">
        <v>81</v>
      </c>
      <c r="F511" s="41">
        <v>755.4</v>
      </c>
      <c r="G511" s="42" t="s">
        <v>75</v>
      </c>
      <c r="H511" s="43" t="str">
        <f>IFERROR(VLOOKUP($J511,'[9]FROM (3)'!$E$4:$F$230,2,FALSE),"")</f>
        <v>JTCS</v>
      </c>
      <c r="I511" s="44" t="str">
        <f t="shared" si="69"/>
        <v>RACK, PS</v>
      </c>
      <c r="J511" s="44" t="str">
        <f t="shared" si="70"/>
        <v>JGD10-001260-40-1</v>
      </c>
      <c r="K511" s="59" t="str">
        <f t="shared" si="67"/>
        <v>PD26010419</v>
      </c>
      <c r="L511" s="46" t="str" cm="1">
        <f t="array" ref="L511">IFERROR(_xlfn.IFS(
    LEN($A511)-LEN(SUBSTITUTE($A511,"|",""))=12, RIGHT(A511, LEN(A511)-FIND("~", SUBSTITUTE(A511,"|","~", LEN(A511)-LEN(SUBSTITUTE(A511,"|",""))))),
    LEN($A511)-LEN(SUBSTITUTE($A511,"|",""))=13, MID($A511, FIND("~", SUBSTITUTE($A511,"|","~", 11))+1, FIND("~", SUBSTITUTE($A511,"|","~", 12))-FIND("~", SUBSTITUTE($A511,"|","~", 11))-1),
    LEN($A511)-LEN(SUBSTITUTE($A511,"|",""))=14, MID($A511, FIND("~", SUBSTITUTE($A511,"|","~", 11))+1, FIND("~", SUBSTITUTE($A511,"|","~", 12))-FIND("~", SUBSTITUTE($A511,"|","~", 11))-1)
), "")</f>
        <v>E586967</v>
      </c>
      <c r="M511" s="47" t="str">
        <f t="shared" si="65"/>
        <v>SB010042/6/26</v>
      </c>
      <c r="N511" s="46" t="str">
        <f t="shared" si="68"/>
        <v/>
      </c>
      <c r="O511" s="60">
        <v>0</v>
      </c>
      <c r="P511" s="60">
        <v>0</v>
      </c>
      <c r="Q511" s="48">
        <v>74</v>
      </c>
      <c r="R511" s="48">
        <v>358</v>
      </c>
      <c r="S511" s="48"/>
      <c r="T511" s="48"/>
      <c r="U511" s="49"/>
      <c r="V511" s="49"/>
      <c r="W511" s="50">
        <f t="shared" si="66"/>
        <v>0</v>
      </c>
      <c r="X511" s="51">
        <f>IF(A511="", "", IF(COUNTIFS(C$3:C510, C511, D$3:D510, D511, G$3:G510, G511) &gt; 0, "", "11:00"-AW511))</f>
        <v>0.38888888888888884</v>
      </c>
      <c r="Y511" s="52" t="str">
        <f t="shared" si="71"/>
        <v>1:40</v>
      </c>
      <c r="Z511" s="53"/>
      <c r="AA511" s="54"/>
      <c r="AB511" s="53"/>
      <c r="AC511" s="54"/>
      <c r="AD511" s="53"/>
      <c r="AE511" s="54" t="s">
        <v>122</v>
      </c>
      <c r="AF511" s="53"/>
      <c r="AG511" s="54"/>
      <c r="AH511" s="55">
        <v>4.1666666666666699E-2</v>
      </c>
      <c r="AI511" s="53"/>
      <c r="AJ511" s="54"/>
      <c r="AK511" s="53"/>
      <c r="AL511" s="54" t="s">
        <v>122</v>
      </c>
      <c r="AM511" s="53">
        <v>2.7777777777777776E-2</v>
      </c>
      <c r="AN511" s="54" t="s">
        <v>82</v>
      </c>
      <c r="AO511" s="53"/>
      <c r="AP511" s="54"/>
      <c r="AQ511" s="53"/>
      <c r="AR511" s="54"/>
      <c r="AS511" s="53"/>
      <c r="AT511" s="54"/>
      <c r="AU511" s="53">
        <v>4.1666666666666699E-2</v>
      </c>
      <c r="AV511" s="54" t="s">
        <v>37</v>
      </c>
      <c r="AW511" s="57">
        <f t="shared" si="73"/>
        <v>6.9444444444444475E-2</v>
      </c>
      <c r="AX511" s="58" t="s">
        <v>77</v>
      </c>
    </row>
    <row r="512" spans="1:50" ht="21.75" customHeight="1">
      <c r="A512" s="38" t="s">
        <v>495</v>
      </c>
      <c r="B512" s="39">
        <f t="shared" si="72"/>
        <v>508</v>
      </c>
      <c r="C512" s="40">
        <v>46036</v>
      </c>
      <c r="D512" s="40" t="s">
        <v>32</v>
      </c>
      <c r="E512" s="40" t="s">
        <v>81</v>
      </c>
      <c r="F512" s="41">
        <v>755.4</v>
      </c>
      <c r="G512" s="42" t="s">
        <v>75</v>
      </c>
      <c r="H512" s="43" t="str">
        <f>IFERROR(VLOOKUP($J512,'[9]FROM (3)'!$E$4:$F$230,2,FALSE),"")</f>
        <v>JTCS</v>
      </c>
      <c r="I512" s="44" t="str">
        <f t="shared" si="69"/>
        <v>RACK, PS</v>
      </c>
      <c r="J512" s="44" t="str">
        <f t="shared" si="70"/>
        <v>JGD10-001260-40-1</v>
      </c>
      <c r="K512" s="59" t="str">
        <f t="shared" si="67"/>
        <v>PD26010419</v>
      </c>
      <c r="L512" s="46" t="str" cm="1">
        <f t="array" ref="L512">IFERROR(_xlfn.IFS(
    LEN($A512)-LEN(SUBSTITUTE($A512,"|",""))=12, RIGHT(A512, LEN(A512)-FIND("~", SUBSTITUTE(A512,"|","~", LEN(A512)-LEN(SUBSTITUTE(A512,"|",""))))),
    LEN($A512)-LEN(SUBSTITUTE($A512,"|",""))=13, MID($A512, FIND("~", SUBSTITUTE($A512,"|","~", 11))+1, FIND("~", SUBSTITUTE($A512,"|","~", 12))-FIND("~", SUBSTITUTE($A512,"|","~", 11))-1),
    LEN($A512)-LEN(SUBSTITUTE($A512,"|",""))=14, MID($A512, FIND("~", SUBSTITUTE($A512,"|","~", 11))+1, FIND("~", SUBSTITUTE($A512,"|","~", 12))-FIND("~", SUBSTITUTE($A512,"|","~", 11))-1)
), "")</f>
        <v>E586967</v>
      </c>
      <c r="M512" s="47" t="str">
        <f t="shared" si="65"/>
        <v>SB010042/5/26</v>
      </c>
      <c r="N512" s="46" t="str">
        <f t="shared" si="68"/>
        <v/>
      </c>
      <c r="O512" s="60">
        <v>47</v>
      </c>
      <c r="P512" s="60">
        <v>970</v>
      </c>
      <c r="Q512" s="48">
        <v>188</v>
      </c>
      <c r="R512" s="48">
        <v>910</v>
      </c>
      <c r="S512" s="48"/>
      <c r="T512" s="48"/>
      <c r="U512" s="49">
        <v>155</v>
      </c>
      <c r="V512" s="49">
        <v>9</v>
      </c>
      <c r="W512" s="50">
        <f t="shared" si="66"/>
        <v>164</v>
      </c>
      <c r="X512" s="51" t="str">
        <f>IF(A512="", "", IF(COUNTIFS(C$3:C511, C512, D$3:D511, D512, G$3:G511, G512) &gt; 0, "", "11:00"-AW512))</f>
        <v/>
      </c>
      <c r="Y512" s="52" t="str">
        <f t="shared" si="71"/>
        <v/>
      </c>
      <c r="Z512" s="53"/>
      <c r="AA512" s="54"/>
      <c r="AB512" s="53"/>
      <c r="AC512" s="54"/>
      <c r="AD512" s="53"/>
      <c r="AE512" s="54"/>
      <c r="AF512" s="53"/>
      <c r="AG512" s="54"/>
      <c r="AH512" s="55">
        <v>4.1666666666666699E-2</v>
      </c>
      <c r="AI512" s="53"/>
      <c r="AJ512" s="54"/>
      <c r="AK512" s="53"/>
      <c r="AL512" s="54"/>
      <c r="AM512" s="53"/>
      <c r="AN512" s="54"/>
      <c r="AO512" s="53"/>
      <c r="AP512" s="54"/>
      <c r="AQ512" s="53"/>
      <c r="AR512" s="54"/>
      <c r="AS512" s="53"/>
      <c r="AT512" s="54"/>
      <c r="AU512" s="53">
        <v>4.1666666666666699E-2</v>
      </c>
      <c r="AV512" s="54" t="s">
        <v>37</v>
      </c>
      <c r="AW512" s="57">
        <f t="shared" si="73"/>
        <v>4.1666666666666699E-2</v>
      </c>
      <c r="AX512" s="58" t="s">
        <v>77</v>
      </c>
    </row>
    <row r="513" spans="1:50" ht="21.75" customHeight="1">
      <c r="A513" s="38" t="s">
        <v>496</v>
      </c>
      <c r="B513" s="39">
        <f t="shared" si="72"/>
        <v>509</v>
      </c>
      <c r="C513" s="40">
        <v>46036</v>
      </c>
      <c r="D513" s="40" t="s">
        <v>32</v>
      </c>
      <c r="E513" s="40" t="s">
        <v>81</v>
      </c>
      <c r="F513" s="41">
        <v>755.4</v>
      </c>
      <c r="G513" s="42" t="s">
        <v>75</v>
      </c>
      <c r="H513" s="43" t="str">
        <f>IFERROR(VLOOKUP($J513,'[9]FROM (3)'!$E$4:$F$230,2,FALSE),"")</f>
        <v>JTCS</v>
      </c>
      <c r="I513" s="44" t="str">
        <f t="shared" si="69"/>
        <v>RACK, PS</v>
      </c>
      <c r="J513" s="44" t="str">
        <f t="shared" si="70"/>
        <v>JGD10-001260-40-1</v>
      </c>
      <c r="K513" s="59" t="str">
        <f t="shared" si="67"/>
        <v>PD26010491</v>
      </c>
      <c r="L513" s="46" t="str" cm="1">
        <f t="array" ref="L513">IFERROR(_xlfn.IFS(
    LEN($A513)-LEN(SUBSTITUTE($A513,"|",""))=12, RIGHT(A513, LEN(A513)-FIND("~", SUBSTITUTE(A513,"|","~", LEN(A513)-LEN(SUBSTITUTE(A513,"|",""))))),
    LEN($A513)-LEN(SUBSTITUTE($A513,"|",""))=13, MID($A513, FIND("~", SUBSTITUTE($A513,"|","~", 11))+1, FIND("~", SUBSTITUTE($A513,"|","~", 12))-FIND("~", SUBSTITUTE($A513,"|","~", 11))-1),
    LEN($A513)-LEN(SUBSTITUTE($A513,"|",""))=14, MID($A513, FIND("~", SUBSTITUTE($A513,"|","~", 11))+1, FIND("~", SUBSTITUTE($A513,"|","~", 12))-FIND("~", SUBSTITUTE($A513,"|","~", 11))-1)
), "")</f>
        <v>E586967</v>
      </c>
      <c r="M513" s="47" t="str">
        <f t="shared" si="65"/>
        <v>SB010045/3/26</v>
      </c>
      <c r="N513" s="46" t="str">
        <f t="shared" si="68"/>
        <v/>
      </c>
      <c r="O513" s="60">
        <v>47</v>
      </c>
      <c r="P513" s="60">
        <v>970</v>
      </c>
      <c r="Q513" s="48">
        <v>188</v>
      </c>
      <c r="R513" s="48">
        <v>910</v>
      </c>
      <c r="S513" s="48"/>
      <c r="T513" s="48"/>
      <c r="U513" s="49"/>
      <c r="V513" s="49"/>
      <c r="W513" s="50">
        <f t="shared" si="66"/>
        <v>0</v>
      </c>
      <c r="X513" s="51" t="str">
        <f>IF(A513="", "", IF(COUNTIFS(C$3:C512, C513, D$3:D512, D513, G$3:G512, G513) &gt; 0, "", "11:00"-AW513))</f>
        <v/>
      </c>
      <c r="Y513" s="52" t="str">
        <f t="shared" si="71"/>
        <v/>
      </c>
      <c r="Z513" s="53"/>
      <c r="AA513" s="54"/>
      <c r="AB513" s="53"/>
      <c r="AC513" s="54"/>
      <c r="AD513" s="53"/>
      <c r="AE513" s="54"/>
      <c r="AF513" s="53"/>
      <c r="AG513" s="54"/>
      <c r="AH513" s="55">
        <v>4.1666666666666699E-2</v>
      </c>
      <c r="AI513" s="53"/>
      <c r="AJ513" s="54"/>
      <c r="AK513" s="53"/>
      <c r="AL513" s="54"/>
      <c r="AM513" s="53"/>
      <c r="AN513" s="54"/>
      <c r="AO513" s="53"/>
      <c r="AP513" s="54"/>
      <c r="AQ513" s="53"/>
      <c r="AR513" s="54"/>
      <c r="AS513" s="53"/>
      <c r="AT513" s="54"/>
      <c r="AU513" s="53">
        <v>4.1666666666666699E-2</v>
      </c>
      <c r="AV513" s="54" t="s">
        <v>37</v>
      </c>
      <c r="AW513" s="57">
        <f t="shared" si="73"/>
        <v>4.1666666666666699E-2</v>
      </c>
      <c r="AX513" s="58" t="s">
        <v>77</v>
      </c>
    </row>
    <row r="514" spans="1:50" ht="21.75" customHeight="1">
      <c r="A514" s="38" t="s">
        <v>497</v>
      </c>
      <c r="B514" s="39">
        <f t="shared" si="72"/>
        <v>510</v>
      </c>
      <c r="C514" s="40">
        <v>46036</v>
      </c>
      <c r="D514" s="40" t="s">
        <v>32</v>
      </c>
      <c r="E514" s="40" t="s">
        <v>81</v>
      </c>
      <c r="F514" s="41">
        <v>755.4</v>
      </c>
      <c r="G514" s="42" t="s">
        <v>75</v>
      </c>
      <c r="H514" s="43" t="str">
        <f>IFERROR(VLOOKUP($J514,'[9]FROM (3)'!$E$4:$F$230,2,FALSE),"")</f>
        <v>JTCS</v>
      </c>
      <c r="I514" s="44" t="str">
        <f t="shared" si="69"/>
        <v>RACK, PS</v>
      </c>
      <c r="J514" s="44" t="str">
        <f t="shared" si="70"/>
        <v>JGD10-001260-40-1</v>
      </c>
      <c r="K514" s="59" t="str">
        <f t="shared" si="67"/>
        <v>PD26010491</v>
      </c>
      <c r="L514" s="46" t="str" cm="1">
        <f t="array" ref="L514">IFERROR(_xlfn.IFS(
    LEN($A514)-LEN(SUBSTITUTE($A514,"|",""))=12, RIGHT(A514, LEN(A514)-FIND("~", SUBSTITUTE(A514,"|","~", LEN(A514)-LEN(SUBSTITUTE(A514,"|",""))))),
    LEN($A514)-LEN(SUBSTITUTE($A514,"|",""))=13, MID($A514, FIND("~", SUBSTITUTE($A514,"|","~", 11))+1, FIND("~", SUBSTITUTE($A514,"|","~", 12))-FIND("~", SUBSTITUTE($A514,"|","~", 11))-1),
    LEN($A514)-LEN(SUBSTITUTE($A514,"|",""))=14, MID($A514, FIND("~", SUBSTITUTE($A514,"|","~", 11))+1, FIND("~", SUBSTITUTE($A514,"|","~", 12))-FIND("~", SUBSTITUTE($A514,"|","~", 11))-1)
), "")</f>
        <v>E586967</v>
      </c>
      <c r="M514" s="47" t="str">
        <f t="shared" si="65"/>
        <v>SB010045/4/26</v>
      </c>
      <c r="N514" s="46" t="str">
        <f t="shared" si="68"/>
        <v/>
      </c>
      <c r="O514" s="60">
        <v>47</v>
      </c>
      <c r="P514" s="60">
        <v>970</v>
      </c>
      <c r="Q514" s="48">
        <v>187</v>
      </c>
      <c r="R514" s="48">
        <v>905</v>
      </c>
      <c r="S514" s="48"/>
      <c r="T514" s="48"/>
      <c r="U514" s="49">
        <v>103</v>
      </c>
      <c r="V514" s="49">
        <v>6</v>
      </c>
      <c r="W514" s="50">
        <f t="shared" si="66"/>
        <v>109</v>
      </c>
      <c r="X514" s="51" t="str">
        <f>IF(A514="", "", IF(COUNTIFS(C$3:C513, C514, D$3:D513, D514, G$3:G513, G514) &gt; 0, "", "11:00"-AW514))</f>
        <v/>
      </c>
      <c r="Y514" s="52" t="str">
        <f t="shared" si="71"/>
        <v/>
      </c>
      <c r="Z514" s="53"/>
      <c r="AA514" s="54"/>
      <c r="AB514" s="53"/>
      <c r="AC514" s="54"/>
      <c r="AD514" s="53"/>
      <c r="AE514" s="54"/>
      <c r="AF514" s="53"/>
      <c r="AG514" s="54"/>
      <c r="AH514" s="55">
        <v>4.1666666666666699E-2</v>
      </c>
      <c r="AI514" s="53"/>
      <c r="AJ514" s="54"/>
      <c r="AK514" s="53"/>
      <c r="AL514" s="54"/>
      <c r="AM514" s="53"/>
      <c r="AN514" s="54"/>
      <c r="AO514" s="53"/>
      <c r="AP514" s="54"/>
      <c r="AQ514" s="53"/>
      <c r="AR514" s="54"/>
      <c r="AS514" s="53"/>
      <c r="AT514" s="54"/>
      <c r="AU514" s="53">
        <v>4.1666666666666699E-2</v>
      </c>
      <c r="AV514" s="54" t="s">
        <v>37</v>
      </c>
      <c r="AW514" s="57">
        <f t="shared" si="73"/>
        <v>4.1666666666666699E-2</v>
      </c>
      <c r="AX514" s="58" t="s">
        <v>77</v>
      </c>
    </row>
    <row r="515" spans="1:50" ht="21.75" customHeight="1">
      <c r="A515" s="38" t="s">
        <v>498</v>
      </c>
      <c r="B515" s="39">
        <f t="shared" si="72"/>
        <v>511</v>
      </c>
      <c r="C515" s="40">
        <v>46036</v>
      </c>
      <c r="D515" s="40" t="s">
        <v>32</v>
      </c>
      <c r="E515" s="40" t="s">
        <v>81</v>
      </c>
      <c r="F515" s="41">
        <v>755.4</v>
      </c>
      <c r="G515" s="42" t="s">
        <v>75</v>
      </c>
      <c r="H515" s="43" t="str">
        <f>IFERROR(VLOOKUP($J515,'[9]FROM (3)'!$E$4:$F$230,2,FALSE),"")</f>
        <v>JTCS</v>
      </c>
      <c r="I515" s="44" t="str">
        <f t="shared" si="69"/>
        <v>RACK, PS</v>
      </c>
      <c r="J515" s="44" t="str">
        <f t="shared" si="70"/>
        <v>JGD10-001260-40-1</v>
      </c>
      <c r="K515" s="59" t="str">
        <f t="shared" si="67"/>
        <v>PD26010490</v>
      </c>
      <c r="L515" s="46" t="str" cm="1">
        <f t="array" ref="L515">IFERROR(_xlfn.IFS(
    LEN($A515)-LEN(SUBSTITUTE($A515,"|",""))=12, RIGHT(A515, LEN(A515)-FIND("~", SUBSTITUTE(A515,"|","~", LEN(A515)-LEN(SUBSTITUTE(A515,"|",""))))),
    LEN($A515)-LEN(SUBSTITUTE($A515,"|",""))=13, MID($A515, FIND("~", SUBSTITUTE($A515,"|","~", 11))+1, FIND("~", SUBSTITUTE($A515,"|","~", 12))-FIND("~", SUBSTITUTE($A515,"|","~", 11))-1),
    LEN($A515)-LEN(SUBSTITUTE($A515,"|",""))=14, MID($A515, FIND("~", SUBSTITUTE($A515,"|","~", 11))+1, FIND("~", SUBSTITUTE($A515,"|","~", 12))-FIND("~", SUBSTITUTE($A515,"|","~", 11))-1)
), "")</f>
        <v>E586967</v>
      </c>
      <c r="M515" s="47" t="str">
        <f t="shared" si="65"/>
        <v>SB010045/2/26</v>
      </c>
      <c r="N515" s="46" t="str">
        <f t="shared" si="68"/>
        <v/>
      </c>
      <c r="O515" s="60">
        <v>47</v>
      </c>
      <c r="P515" s="60">
        <v>970</v>
      </c>
      <c r="Q515" s="48">
        <v>188</v>
      </c>
      <c r="R515" s="48">
        <v>910</v>
      </c>
      <c r="S515" s="48"/>
      <c r="T515" s="48"/>
      <c r="U515" s="49"/>
      <c r="V515" s="49"/>
      <c r="W515" s="50">
        <f t="shared" si="66"/>
        <v>0</v>
      </c>
      <c r="X515" s="51" t="str">
        <f>IF(A515="", "", IF(COUNTIFS(C$3:C514, C515, D$3:D514, D515, G$3:G514, G515) &gt; 0, "", "11:00"-AW515))</f>
        <v/>
      </c>
      <c r="Y515" s="52" t="str">
        <f t="shared" si="71"/>
        <v/>
      </c>
      <c r="Z515" s="53"/>
      <c r="AA515" s="54"/>
      <c r="AB515" s="53"/>
      <c r="AC515" s="54"/>
      <c r="AD515" s="53"/>
      <c r="AE515" s="54"/>
      <c r="AF515" s="53"/>
      <c r="AG515" s="54"/>
      <c r="AH515" s="55">
        <v>4.1666666666666699E-2</v>
      </c>
      <c r="AI515" s="53"/>
      <c r="AJ515" s="54"/>
      <c r="AK515" s="53"/>
      <c r="AL515" s="54"/>
      <c r="AM515" s="53"/>
      <c r="AN515" s="54"/>
      <c r="AO515" s="53"/>
      <c r="AP515" s="54"/>
      <c r="AQ515" s="53"/>
      <c r="AR515" s="54"/>
      <c r="AS515" s="53"/>
      <c r="AT515" s="54"/>
      <c r="AU515" s="53">
        <v>4.1666666666666699E-2</v>
      </c>
      <c r="AV515" s="54" t="s">
        <v>37</v>
      </c>
      <c r="AW515" s="57">
        <f t="shared" si="73"/>
        <v>4.1666666666666699E-2</v>
      </c>
      <c r="AX515" s="58" t="s">
        <v>77</v>
      </c>
    </row>
    <row r="516" spans="1:50" ht="21.75" customHeight="1">
      <c r="A516" s="38" t="s">
        <v>499</v>
      </c>
      <c r="B516" s="39">
        <f t="shared" si="72"/>
        <v>512</v>
      </c>
      <c r="C516" s="40">
        <v>46036</v>
      </c>
      <c r="D516" s="40" t="s">
        <v>32</v>
      </c>
      <c r="E516" s="40" t="s">
        <v>81</v>
      </c>
      <c r="F516" s="41">
        <v>755.4</v>
      </c>
      <c r="G516" s="42" t="s">
        <v>75</v>
      </c>
      <c r="H516" s="43" t="str">
        <f>IFERROR(VLOOKUP($J516,'[9]FROM (3)'!$E$4:$F$230,2,FALSE),"")</f>
        <v>JTCS</v>
      </c>
      <c r="I516" s="44" t="str">
        <f t="shared" si="69"/>
        <v>RACK, PS</v>
      </c>
      <c r="J516" s="44" t="str">
        <f t="shared" si="70"/>
        <v>JGD10-001260-40-1</v>
      </c>
      <c r="K516" s="59" t="str">
        <f t="shared" si="67"/>
        <v>PD26010490</v>
      </c>
      <c r="L516" s="46" t="str" cm="1">
        <f t="array" ref="L516">IFERROR(_xlfn.IFS(
    LEN($A516)-LEN(SUBSTITUTE($A516,"|",""))=12, RIGHT(A516, LEN(A516)-FIND("~", SUBSTITUTE(A516,"|","~", LEN(A516)-LEN(SUBSTITUTE(A516,"|",""))))),
    LEN($A516)-LEN(SUBSTITUTE($A516,"|",""))=13, MID($A516, FIND("~", SUBSTITUTE($A516,"|","~", 11))+1, FIND("~", SUBSTITUTE($A516,"|","~", 12))-FIND("~", SUBSTITUTE($A516,"|","~", 11))-1),
    LEN($A516)-LEN(SUBSTITUTE($A516,"|",""))=14, MID($A516, FIND("~", SUBSTITUTE($A516,"|","~", 11))+1, FIND("~", SUBSTITUTE($A516,"|","~", 12))-FIND("~", SUBSTITUTE($A516,"|","~", 11))-1)
), "")</f>
        <v>E586967</v>
      </c>
      <c r="M516" s="47" t="str">
        <f t="shared" si="65"/>
        <v>SB010045/1/26</v>
      </c>
      <c r="N516" s="46" t="str">
        <f t="shared" si="68"/>
        <v/>
      </c>
      <c r="O516" s="60">
        <v>47</v>
      </c>
      <c r="P516" s="60">
        <v>970</v>
      </c>
      <c r="Q516" s="48">
        <v>145</v>
      </c>
      <c r="R516" s="48">
        <v>702</v>
      </c>
      <c r="S516" s="48"/>
      <c r="T516" s="48"/>
      <c r="U516" s="49"/>
      <c r="V516" s="49"/>
      <c r="W516" s="50">
        <f t="shared" si="66"/>
        <v>0</v>
      </c>
      <c r="X516" s="51" t="str">
        <f>IF(A516="", "", IF(COUNTIFS(C$3:C515, C516, D$3:D515, D516, G$3:G515, G516) &gt; 0, "", "11:00"-AW516))</f>
        <v/>
      </c>
      <c r="Y516" s="52" t="str">
        <f t="shared" si="71"/>
        <v/>
      </c>
      <c r="Z516" s="53"/>
      <c r="AA516" s="54"/>
      <c r="AB516" s="53"/>
      <c r="AC516" s="54"/>
      <c r="AD516" s="53"/>
      <c r="AE516" s="54"/>
      <c r="AF516" s="53"/>
      <c r="AG516" s="54"/>
      <c r="AH516" s="55">
        <v>4.1666666666666699E-2</v>
      </c>
      <c r="AI516" s="53"/>
      <c r="AJ516" s="54"/>
      <c r="AK516" s="53"/>
      <c r="AL516" s="54"/>
      <c r="AM516" s="53"/>
      <c r="AN516" s="54"/>
      <c r="AO516" s="53"/>
      <c r="AP516" s="54"/>
      <c r="AQ516" s="53"/>
      <c r="AR516" s="54"/>
      <c r="AS516" s="53"/>
      <c r="AT516" s="54"/>
      <c r="AU516" s="53">
        <v>4.1666666666666699E-2</v>
      </c>
      <c r="AV516" s="54" t="s">
        <v>37</v>
      </c>
      <c r="AW516" s="57">
        <f t="shared" si="73"/>
        <v>4.1666666666666699E-2</v>
      </c>
      <c r="AX516" s="58" t="s">
        <v>77</v>
      </c>
    </row>
    <row r="517" spans="1:50" ht="21.75" customHeight="1">
      <c r="A517" s="38" t="s">
        <v>458</v>
      </c>
      <c r="B517" s="39">
        <f t="shared" si="72"/>
        <v>513</v>
      </c>
      <c r="C517" s="40">
        <v>46036</v>
      </c>
      <c r="D517" s="40" t="s">
        <v>32</v>
      </c>
      <c r="E517" s="40" t="s">
        <v>81</v>
      </c>
      <c r="F517" s="41">
        <v>23.4</v>
      </c>
      <c r="G517" s="42" t="s">
        <v>34</v>
      </c>
      <c r="H517" s="43" t="str">
        <f>IFERROR(VLOOKUP($J517,'[9]FROM (3)'!$E$4:$F$230,2,FALSE),"")</f>
        <v/>
      </c>
      <c r="I517" s="44" t="str">
        <f t="shared" si="69"/>
        <v>FLANGE-13 SLUG</v>
      </c>
      <c r="J517" s="44" t="str">
        <f t="shared" si="70"/>
        <v>ZZ2B7401TX1</v>
      </c>
      <c r="K517" s="59" t="str">
        <f t="shared" si="67"/>
        <v>PD26010472</v>
      </c>
      <c r="L517" s="46" t="str" cm="1">
        <f t="array" ref="L517">IFERROR(_xlfn.IFS(
    LEN($A517)-LEN(SUBSTITUTE($A517,"|",""))=12, RIGHT(A517, LEN(A517)-FIND("~", SUBSTITUTE(A517,"|","~", LEN(A517)-LEN(SUBSTITUTE(A517,"|",""))))),
    LEN($A517)-LEN(SUBSTITUTE($A517,"|",""))=13, MID($A517, FIND("~", SUBSTITUTE($A517,"|","~", 11))+1, FIND("~", SUBSTITUTE($A517,"|","~", 12))-FIND("~", SUBSTITUTE($A517,"|","~", 11))-1),
    LEN($A517)-LEN(SUBSTITUTE($A517,"|",""))=14, MID($A517, FIND("~", SUBSTITUTE($A517,"|","~", 11))+1, FIND("~", SUBSTITUTE($A517,"|","~", 12))-FIND("~", SUBSTITUTE($A517,"|","~", 11))-1)
), "")</f>
        <v>2-73052</v>
      </c>
      <c r="M517" s="47" t="str">
        <f t="shared" ref="M517:M580" si="74">IFERROR(MID(A517,FIND("~",SUBSTITUTE(A517,"|","~",10))+1,FIND("~",SUBSTITUTE(A517,"|","~",11))-FIND("~",SUBSTITUTE(A517,"|","~",10))-1),"")</f>
        <v>2B2600089</v>
      </c>
      <c r="N517" s="46" t="str">
        <f t="shared" si="68"/>
        <v/>
      </c>
      <c r="O517" s="60" t="s">
        <v>35</v>
      </c>
      <c r="P517" s="60" t="s">
        <v>35</v>
      </c>
      <c r="Q517" s="48">
        <v>3820</v>
      </c>
      <c r="R517" s="48">
        <v>757</v>
      </c>
      <c r="S517" s="48"/>
      <c r="T517" s="48"/>
      <c r="U517" s="49"/>
      <c r="V517" s="49"/>
      <c r="W517" s="50">
        <f t="shared" ref="W517:W580" si="75">SUM(U517:V517)</f>
        <v>0</v>
      </c>
      <c r="X517" s="51">
        <f>IF(A517="", "", IF(COUNTIFS(C$3:C516, C517, D$3:D516, D517, G$3:G516, G517) &gt; 0, "", "11:00"-AW517))</f>
        <v>0.41666666666666663</v>
      </c>
      <c r="Y517" s="52" t="str">
        <f t="shared" si="71"/>
        <v>1:40</v>
      </c>
      <c r="Z517" s="53"/>
      <c r="AA517" s="54"/>
      <c r="AB517" s="53"/>
      <c r="AC517" s="54"/>
      <c r="AD517" s="53"/>
      <c r="AE517" s="54"/>
      <c r="AF517" s="53"/>
      <c r="AG517" s="54"/>
      <c r="AH517" s="55">
        <v>4.1666666666666699E-2</v>
      </c>
      <c r="AI517" s="53"/>
      <c r="AJ517" s="54"/>
      <c r="AK517" s="53"/>
      <c r="AL517" s="54"/>
      <c r="AM517" s="53"/>
      <c r="AN517" s="54"/>
      <c r="AO517" s="53"/>
      <c r="AP517" s="54"/>
      <c r="AQ517" s="53"/>
      <c r="AR517" s="54"/>
      <c r="AS517" s="53"/>
      <c r="AT517" s="54"/>
      <c r="AU517" s="53">
        <v>4.1666666666666699E-2</v>
      </c>
      <c r="AV517" s="54" t="s">
        <v>37</v>
      </c>
      <c r="AW517" s="57">
        <f t="shared" si="73"/>
        <v>4.1666666666666699E-2</v>
      </c>
      <c r="AX517" s="58" t="s">
        <v>48</v>
      </c>
    </row>
    <row r="518" spans="1:50" ht="21.75" customHeight="1">
      <c r="A518" s="38" t="s">
        <v>459</v>
      </c>
      <c r="B518" s="39">
        <f t="shared" si="72"/>
        <v>514</v>
      </c>
      <c r="C518" s="40">
        <v>46036</v>
      </c>
      <c r="D518" s="40" t="s">
        <v>32</v>
      </c>
      <c r="E518" s="40" t="s">
        <v>81</v>
      </c>
      <c r="F518" s="41">
        <v>14</v>
      </c>
      <c r="G518" s="42" t="s">
        <v>41</v>
      </c>
      <c r="H518" s="43" t="str">
        <f>IFERROR(VLOOKUP($J518,'[9]FROM (3)'!$E$4:$F$230,2,FALSE),"")</f>
        <v>DNTH</v>
      </c>
      <c r="I518" s="44" t="str">
        <f t="shared" si="69"/>
        <v>Pinion Starter 2 W</v>
      </c>
      <c r="J518" s="44" t="str">
        <f t="shared" si="70"/>
        <v>TGY28987-0060</v>
      </c>
      <c r="K518" s="59" t="str">
        <f t="shared" ref="K518:K581" si="76">IFERROR(LEFT(A518,SEARCH("|",A518)-1),"")</f>
        <v>PD26010423</v>
      </c>
      <c r="L518" s="46" t="str" cm="1">
        <f t="array" ref="L518">IFERROR(_xlfn.IFS(
    LEN($A518)-LEN(SUBSTITUTE($A518,"|",""))=12, RIGHT(A518, LEN(A518)-FIND("~", SUBSTITUTE(A518,"|","~", LEN(A518)-LEN(SUBSTITUTE(A518,"|",""))))),
    LEN($A518)-LEN(SUBSTITUTE($A518,"|",""))=13, MID($A518, FIND("~", SUBSTITUTE($A518,"|","~", 11))+1, FIND("~", SUBSTITUTE($A518,"|","~", 12))-FIND("~", SUBSTITUTE($A518,"|","~", 11))-1),
    LEN($A518)-LEN(SUBSTITUTE($A518,"|",""))=14, MID($A518, FIND("~", SUBSTITUTE($A518,"|","~", 11))+1, FIND("~", SUBSTITUTE($A518,"|","~", 12))-FIND("~", SUBSTITUTE($A518,"|","~", 11))-1)
), "")</f>
        <v>E586056</v>
      </c>
      <c r="M518" s="47" t="str">
        <f t="shared" si="74"/>
        <v>SB010037/2/26</v>
      </c>
      <c r="N518" s="46" t="str">
        <f t="shared" ref="N518:N581" si="77">IFERROR(IF(LEN($A518)-LEN(SUBSTITUTE($A518,"|",""))=12,MID($A518,FIND("~",SUBSTITUTE($A518,"|","~",11))+1,FIND("~",SUBSTITUTE($A518,"|","~",12))-FIND("~",SUBSTITUTE($A518,"|","~",11))-1),IF(LEN($A518)-LEN(SUBSTITUTE($A518,"|",""))=13,MID($A518,FIND("~",SUBSTITUTE($A518,"|","~",10))+1,FIND("~",SUBSTITUTE($A518,"|","~",11))-FIND("~",SUBSTITUTE($A518,"|","~",10))-1), "")),"")</f>
        <v/>
      </c>
      <c r="O518" s="60" t="s">
        <v>35</v>
      </c>
      <c r="P518" s="60" t="s">
        <v>35</v>
      </c>
      <c r="Q518" s="48">
        <v>2595</v>
      </c>
      <c r="R518" s="48">
        <v>433</v>
      </c>
      <c r="S518" s="48"/>
      <c r="T518" s="48"/>
      <c r="U518" s="49">
        <v>81</v>
      </c>
      <c r="V518" s="49">
        <v>341</v>
      </c>
      <c r="W518" s="50">
        <f t="shared" si="75"/>
        <v>422</v>
      </c>
      <c r="X518" s="51">
        <f>IF(A518="", "", IF(COUNTIFS(C$3:C517, C518, D$3:D517, D518, G$3:G517, G518) &gt; 0, "", "11:00"-AW518))</f>
        <v>0.39583333333333326</v>
      </c>
      <c r="Y518" s="52" t="str">
        <f t="shared" si="71"/>
        <v>1:40</v>
      </c>
      <c r="Z518" s="53"/>
      <c r="AA518" s="54"/>
      <c r="AB518" s="53"/>
      <c r="AC518" s="54"/>
      <c r="AD518" s="53"/>
      <c r="AE518" s="54"/>
      <c r="AF518" s="53"/>
      <c r="AG518" s="54"/>
      <c r="AH518" s="55">
        <v>4.1666666666666699E-2</v>
      </c>
      <c r="AI518" s="53"/>
      <c r="AJ518" s="54"/>
      <c r="AK518" s="53"/>
      <c r="AL518" s="54"/>
      <c r="AM518" s="53"/>
      <c r="AN518" s="54"/>
      <c r="AO518" s="53"/>
      <c r="AP518" s="54"/>
      <c r="AQ518" s="53">
        <v>2.0833333333333332E-2</v>
      </c>
      <c r="AR518" s="54" t="s">
        <v>67</v>
      </c>
      <c r="AS518" s="53"/>
      <c r="AT518" s="54"/>
      <c r="AU518" s="53">
        <v>4.1666666666666699E-2</v>
      </c>
      <c r="AV518" s="54" t="s">
        <v>37</v>
      </c>
      <c r="AW518" s="57">
        <f t="shared" si="73"/>
        <v>6.2500000000000028E-2</v>
      </c>
      <c r="AX518" s="58" t="s">
        <v>48</v>
      </c>
    </row>
    <row r="519" spans="1:50" ht="21.75" customHeight="1">
      <c r="A519" s="38" t="s">
        <v>500</v>
      </c>
      <c r="B519" s="39">
        <f t="shared" si="72"/>
        <v>515</v>
      </c>
      <c r="C519" s="40">
        <v>46036</v>
      </c>
      <c r="D519" s="40" t="s">
        <v>32</v>
      </c>
      <c r="E519" s="40" t="s">
        <v>81</v>
      </c>
      <c r="F519" s="41">
        <v>111.6</v>
      </c>
      <c r="G519" s="42" t="s">
        <v>41</v>
      </c>
      <c r="H519" s="43" t="str">
        <f>IFERROR(VLOOKUP($J519,'[9]FROM (3)'!$E$4:$F$230,2,FALSE),"")</f>
        <v>(Astemo)AS-TK</v>
      </c>
      <c r="I519" s="44" t="str">
        <f t="shared" ref="I519:I582" si="78">IFERROR(MID(A519,FIND("~",SUBSTITUTE(A519,"|","~",4))+1,FIND("~",SUBSTITUTE(A519,"|","~",5))-FIND("~",SUBSTITUTE(A519,"|","~",4))-1),"")</f>
        <v>CAP RESERVOIR</v>
      </c>
      <c r="J519" s="44" t="str">
        <f t="shared" ref="J519:J582" si="79">IFERROR(MID(A519,FIND("~",SUBSTITUTE(A519,"|","~",3))+1,FIND("~",SUBSTITUTE(A519,"|","~",4))-FIND("~",SUBSTITUTE(A519,"|","~",3))-1),"")</f>
        <v>8A10524</v>
      </c>
      <c r="K519" s="59" t="str">
        <f t="shared" si="76"/>
        <v>PD26010109</v>
      </c>
      <c r="L519" s="46" t="str" cm="1">
        <f t="array" ref="L519">IFERROR(_xlfn.IFS(
    LEN($A519)-LEN(SUBSTITUTE($A519,"|",""))=12, RIGHT(A519, LEN(A519)-FIND("~", SUBSTITUTE(A519,"|","~", LEN(A519)-LEN(SUBSTITUTE(A519,"|",""))))),
    LEN($A519)-LEN(SUBSTITUTE($A519,"|",""))=13, MID($A519, FIND("~", SUBSTITUTE($A519,"|","~", 11))+1, FIND("~", SUBSTITUTE($A519,"|","~", 12))-FIND("~", SUBSTITUTE($A519,"|","~", 11))-1),
    LEN($A519)-LEN(SUBSTITUTE($A519,"|",""))=14, MID($A519, FIND("~", SUBSTITUTE($A519,"|","~", 11))+1, FIND("~", SUBSTITUTE($A519,"|","~", 12))-FIND("~", SUBSTITUTE($A519,"|","~", 11))-1)
), "")</f>
        <v>3V096</v>
      </c>
      <c r="M519" s="47" t="str">
        <f t="shared" si="74"/>
        <v>SB010003/4/26</v>
      </c>
      <c r="N519" s="46" t="str">
        <f t="shared" si="77"/>
        <v/>
      </c>
      <c r="O519" s="60">
        <v>32</v>
      </c>
      <c r="P519" s="60">
        <v>1142</v>
      </c>
      <c r="Q519" s="48">
        <v>530</v>
      </c>
      <c r="R519" s="48">
        <v>59</v>
      </c>
      <c r="S519" s="48"/>
      <c r="T519" s="48"/>
      <c r="U519" s="49"/>
      <c r="V519" s="49"/>
      <c r="W519" s="50">
        <f t="shared" si="75"/>
        <v>0</v>
      </c>
      <c r="X519" s="51" t="str">
        <f>IF(A519="", "", IF(COUNTIFS(C$3:C518, C519, D$3:D518, D519, G$3:G518, G519) &gt; 0, "", "11:00"-AW519))</f>
        <v/>
      </c>
      <c r="Y519" s="52" t="str">
        <f t="shared" ref="Y519:Y582" si="80">IF(X519="", "", IF(AND(A519&lt;&gt;"", AR519&lt;&gt;"NO OT"), "1:40", IF(AND(A519&lt;&gt;"", AR519="NO OT"), "1:0", "")))</f>
        <v/>
      </c>
      <c r="Z519" s="53"/>
      <c r="AA519" s="54"/>
      <c r="AB519" s="53"/>
      <c r="AC519" s="54"/>
      <c r="AD519" s="53"/>
      <c r="AE519" s="54"/>
      <c r="AF519" s="53"/>
      <c r="AG519" s="54"/>
      <c r="AH519" s="55">
        <v>4.1666666666666699E-2</v>
      </c>
      <c r="AI519" s="53"/>
      <c r="AJ519" s="54"/>
      <c r="AK519" s="53"/>
      <c r="AL519" s="54"/>
      <c r="AM519" s="53"/>
      <c r="AN519" s="54"/>
      <c r="AO519" s="53"/>
      <c r="AP519" s="54"/>
      <c r="AQ519" s="53"/>
      <c r="AR519" s="54"/>
      <c r="AS519" s="53"/>
      <c r="AT519" s="54"/>
      <c r="AU519" s="53">
        <v>4.1666666666666699E-2</v>
      </c>
      <c r="AV519" s="54" t="s">
        <v>37</v>
      </c>
      <c r="AW519" s="57">
        <f t="shared" si="73"/>
        <v>4.1666666666666699E-2</v>
      </c>
      <c r="AX519" s="58" t="s">
        <v>48</v>
      </c>
    </row>
    <row r="520" spans="1:50" ht="21.75" customHeight="1">
      <c r="A520" s="38" t="s">
        <v>460</v>
      </c>
      <c r="B520" s="39">
        <f t="shared" si="72"/>
        <v>516</v>
      </c>
      <c r="C520" s="40">
        <v>46036</v>
      </c>
      <c r="D520" s="40" t="s">
        <v>32</v>
      </c>
      <c r="E520" s="40" t="s">
        <v>81</v>
      </c>
      <c r="F520" s="41">
        <v>198.2</v>
      </c>
      <c r="G520" s="42" t="s">
        <v>44</v>
      </c>
      <c r="H520" s="43" t="str">
        <f>IFERROR(VLOOKUP($J520,'[9]FROM (3)'!$E$4:$F$230,2,FALSE),"")</f>
        <v>DNTH</v>
      </c>
      <c r="I520" s="44" t="str">
        <f t="shared" si="78"/>
        <v>SLUG VALVE ROTARY</v>
      </c>
      <c r="J520" s="44" t="str">
        <f t="shared" si="79"/>
        <v>TGY95613-0020</v>
      </c>
      <c r="K520" s="59" t="str">
        <f t="shared" si="76"/>
        <v>PD26010428</v>
      </c>
      <c r="L520" s="46" t="str" cm="1">
        <f t="array" ref="L520">IFERROR(_xlfn.IFS(
    LEN($A520)-LEN(SUBSTITUTE($A520,"|",""))=12, RIGHT(A520, LEN(A520)-FIND("~", SUBSTITUTE(A520,"|","~", LEN(A520)-LEN(SUBSTITUTE(A520,"|",""))))),
    LEN($A520)-LEN(SUBSTITUTE($A520,"|",""))=13, MID($A520, FIND("~", SUBSTITUTE($A520,"|","~", 11))+1, FIND("~", SUBSTITUTE($A520,"|","~", 12))-FIND("~", SUBSTITUTE($A520,"|","~", 11))-1),
    LEN($A520)-LEN(SUBSTITUTE($A520,"|",""))=14, MID($A520, FIND("~", SUBSTITUTE($A520,"|","~", 11))+1, FIND("~", SUBSTITUTE($A520,"|","~", 12))-FIND("~", SUBSTITUTE($A520,"|","~", 11))-1)
), "")</f>
        <v>E585734</v>
      </c>
      <c r="M520" s="47" t="str">
        <f t="shared" si="74"/>
        <v>SB010040/4/26</v>
      </c>
      <c r="N520" s="46" t="str">
        <f t="shared" si="77"/>
        <v/>
      </c>
      <c r="O520" s="60" t="s">
        <v>35</v>
      </c>
      <c r="P520" s="60" t="s">
        <v>35</v>
      </c>
      <c r="Q520" s="48">
        <v>850</v>
      </c>
      <c r="R520" s="48">
        <v>168</v>
      </c>
      <c r="S520" s="48"/>
      <c r="T520" s="48"/>
      <c r="U520" s="49">
        <v>91</v>
      </c>
      <c r="V520" s="49">
        <v>216</v>
      </c>
      <c r="W520" s="50">
        <f t="shared" si="75"/>
        <v>307</v>
      </c>
      <c r="X520" s="51">
        <f>IF(A520="", "", IF(COUNTIFS(C$3:C519, C520, D$3:D519, D520, G$3:G519, G520) &gt; 0, "", "11:00"-AW520))</f>
        <v>0.41666666666666663</v>
      </c>
      <c r="Y520" s="52" t="str">
        <f t="shared" si="80"/>
        <v>1:40</v>
      </c>
      <c r="Z520" s="53"/>
      <c r="AA520" s="54"/>
      <c r="AB520" s="53"/>
      <c r="AC520" s="54"/>
      <c r="AD520" s="53"/>
      <c r="AE520" s="54"/>
      <c r="AF520" s="53"/>
      <c r="AG520" s="54"/>
      <c r="AH520" s="55">
        <v>4.1666666666666699E-2</v>
      </c>
      <c r="AI520" s="53"/>
      <c r="AJ520" s="54"/>
      <c r="AK520" s="53"/>
      <c r="AL520" s="54"/>
      <c r="AM520" s="53"/>
      <c r="AN520" s="54"/>
      <c r="AO520" s="53"/>
      <c r="AP520" s="54"/>
      <c r="AQ520" s="53"/>
      <c r="AR520" s="54"/>
      <c r="AS520" s="53"/>
      <c r="AT520" s="54"/>
      <c r="AU520" s="53">
        <v>4.1666666666666699E-2</v>
      </c>
      <c r="AV520" s="54" t="s">
        <v>37</v>
      </c>
      <c r="AW520" s="57">
        <f t="shared" si="73"/>
        <v>4.1666666666666699E-2</v>
      </c>
      <c r="AX520" s="58" t="s">
        <v>48</v>
      </c>
    </row>
    <row r="521" spans="1:50" ht="21.75" customHeight="1">
      <c r="A521" s="38" t="s">
        <v>501</v>
      </c>
      <c r="B521" s="39">
        <f t="shared" si="72"/>
        <v>517</v>
      </c>
      <c r="C521" s="40">
        <v>46036</v>
      </c>
      <c r="D521" s="40" t="s">
        <v>32</v>
      </c>
      <c r="E521" s="40" t="s">
        <v>81</v>
      </c>
      <c r="F521" s="41">
        <v>198.2</v>
      </c>
      <c r="G521" s="42" t="s">
        <v>44</v>
      </c>
      <c r="H521" s="43" t="str">
        <f>IFERROR(VLOOKUP($J521,'[9]FROM (3)'!$E$4:$F$230,2,FALSE),"")</f>
        <v>DNTH</v>
      </c>
      <c r="I521" s="44" t="str">
        <f t="shared" si="78"/>
        <v>SLUG VALVE ROTARY</v>
      </c>
      <c r="J521" s="44" t="str">
        <f t="shared" si="79"/>
        <v>TGY95613-0020</v>
      </c>
      <c r="K521" s="59" t="str">
        <f t="shared" si="76"/>
        <v>PD26010427</v>
      </c>
      <c r="L521" s="46" t="str" cm="1">
        <f t="array" ref="L521">IFERROR(_xlfn.IFS(
    LEN($A521)-LEN(SUBSTITUTE($A521,"|",""))=12, RIGHT(A521, LEN(A521)-FIND("~", SUBSTITUTE(A521,"|","~", LEN(A521)-LEN(SUBSTITUTE(A521,"|",""))))),
    LEN($A521)-LEN(SUBSTITUTE($A521,"|",""))=13, MID($A521, FIND("~", SUBSTITUTE($A521,"|","~", 11))+1, FIND("~", SUBSTITUTE($A521,"|","~", 12))-FIND("~", SUBSTITUTE($A521,"|","~", 11))-1),
    LEN($A521)-LEN(SUBSTITUTE($A521,"|",""))=14, MID($A521, FIND("~", SUBSTITUTE($A521,"|","~", 11))+1, FIND("~", SUBSTITUTE($A521,"|","~", 12))-FIND("~", SUBSTITUTE($A521,"|","~", 11))-1)
), "")</f>
        <v>E585734</v>
      </c>
      <c r="M521" s="47" t="str">
        <f t="shared" si="74"/>
        <v>SB010040/3/26</v>
      </c>
      <c r="N521" s="46" t="str">
        <f t="shared" si="77"/>
        <v/>
      </c>
      <c r="O521" s="60">
        <v>23</v>
      </c>
      <c r="P521" s="60">
        <v>984</v>
      </c>
      <c r="Q521" s="48">
        <v>3384</v>
      </c>
      <c r="R521" s="48">
        <v>671</v>
      </c>
      <c r="S521" s="48"/>
      <c r="T521" s="48"/>
      <c r="U521" s="49"/>
      <c r="V521" s="49"/>
      <c r="W521" s="50">
        <f t="shared" si="75"/>
        <v>0</v>
      </c>
      <c r="X521" s="51" t="str">
        <f>IF(A521="", "", IF(COUNTIFS(C$3:C520, C521, D$3:D520, D521, G$3:G520, G521) &gt; 0, "", "11:00"-AW521))</f>
        <v/>
      </c>
      <c r="Y521" s="52" t="str">
        <f t="shared" si="80"/>
        <v/>
      </c>
      <c r="Z521" s="53"/>
      <c r="AA521" s="54"/>
      <c r="AB521" s="53"/>
      <c r="AC521" s="54"/>
      <c r="AD521" s="53">
        <v>3.4722222222222224E-2</v>
      </c>
      <c r="AE521" s="54" t="s">
        <v>122</v>
      </c>
      <c r="AF521" s="53"/>
      <c r="AG521" s="54"/>
      <c r="AH521" s="55">
        <v>4.1666666666666699E-2</v>
      </c>
      <c r="AI521" s="53"/>
      <c r="AJ521" s="54"/>
      <c r="AK521" s="53"/>
      <c r="AL521" s="54"/>
      <c r="AM521" s="53"/>
      <c r="AN521" s="54"/>
      <c r="AO521" s="53"/>
      <c r="AP521" s="54"/>
      <c r="AQ521" s="53"/>
      <c r="AR521" s="54"/>
      <c r="AS521" s="53"/>
      <c r="AT521" s="54"/>
      <c r="AU521" s="53">
        <v>4.1666666666666699E-2</v>
      </c>
      <c r="AV521" s="54" t="s">
        <v>37</v>
      </c>
      <c r="AW521" s="57">
        <f t="shared" si="73"/>
        <v>7.6388888888888923E-2</v>
      </c>
      <c r="AX521" s="58" t="s">
        <v>48</v>
      </c>
    </row>
    <row r="522" spans="1:50" ht="21.75" customHeight="1">
      <c r="A522" s="38" t="s">
        <v>428</v>
      </c>
      <c r="B522" s="39">
        <f t="shared" ref="B522:B585" si="81">IF(A522="","",B521+1)</f>
        <v>518</v>
      </c>
      <c r="C522" s="40">
        <v>46036</v>
      </c>
      <c r="D522" s="40" t="s">
        <v>32</v>
      </c>
      <c r="E522" s="40" t="s">
        <v>81</v>
      </c>
      <c r="F522" s="41">
        <v>85</v>
      </c>
      <c r="G522" s="42" t="s">
        <v>85</v>
      </c>
      <c r="H522" s="43" t="str">
        <f>IFERROR(VLOOKUP($J522,'[9]FROM (3)'!$E$4:$F$230,2,FALSE),"")</f>
        <v>DNTH</v>
      </c>
      <c r="I522" s="44" t="str">
        <f t="shared" si="78"/>
        <v>Barrel</v>
      </c>
      <c r="J522" s="44" t="str">
        <f t="shared" si="79"/>
        <v>TG028986-0050</v>
      </c>
      <c r="K522" s="59" t="str">
        <f t="shared" si="76"/>
        <v>PD26010421</v>
      </c>
      <c r="L522" s="46" t="str" cm="1">
        <f t="array" ref="L522">IFERROR(_xlfn.IFS(
    LEN($A522)-LEN(SUBSTITUTE($A522,"|",""))=12, RIGHT(A522, LEN(A522)-FIND("~", SUBSTITUTE(A522,"|","~", LEN(A522)-LEN(SUBSTITUTE(A522,"|",""))))),
    LEN($A522)-LEN(SUBSTITUTE($A522,"|",""))=13, MID($A522, FIND("~", SUBSTITUTE($A522,"|","~", 11))+1, FIND("~", SUBSTITUTE($A522,"|","~", 12))-FIND("~", SUBSTITUTE($A522,"|","~", 11))-1),
    LEN($A522)-LEN(SUBSTITUTE($A522,"|",""))=14, MID($A522, FIND("~", SUBSTITUTE($A522,"|","~", 11))+1, FIND("~", SUBSTITUTE($A522,"|","~", 12))-FIND("~", SUBSTITUTE($A522,"|","~", 11))-1)
), "")</f>
        <v>E484264</v>
      </c>
      <c r="M522" s="47" t="str">
        <f t="shared" si="74"/>
        <v>SB010035/2/26</v>
      </c>
      <c r="N522" s="46" t="str">
        <f t="shared" si="77"/>
        <v/>
      </c>
      <c r="O522" s="60" t="s">
        <v>35</v>
      </c>
      <c r="P522" s="60" t="s">
        <v>35</v>
      </c>
      <c r="Q522" s="48">
        <v>3070</v>
      </c>
      <c r="R522" s="48">
        <v>261</v>
      </c>
      <c r="S522" s="48"/>
      <c r="T522" s="48"/>
      <c r="U522" s="49">
        <v>75</v>
      </c>
      <c r="V522" s="49">
        <v>121</v>
      </c>
      <c r="W522" s="50">
        <f t="shared" si="75"/>
        <v>196</v>
      </c>
      <c r="X522" s="51">
        <f>IF(A522="", "", IF(COUNTIFS(C$3:C521, C522, D$3:D521, D522, G$3:G521, G522) &gt; 0, "", "11:00"-AW522))</f>
        <v>0.37499999999999994</v>
      </c>
      <c r="Y522" s="52" t="str">
        <f t="shared" si="80"/>
        <v>1:40</v>
      </c>
      <c r="Z522" s="53"/>
      <c r="AA522" s="54"/>
      <c r="AB522" s="53"/>
      <c r="AC522" s="54"/>
      <c r="AD522" s="53"/>
      <c r="AE522" s="54"/>
      <c r="AF522" s="53"/>
      <c r="AG522" s="54"/>
      <c r="AH522" s="55">
        <v>4.1666666666666699E-2</v>
      </c>
      <c r="AI522" s="53"/>
      <c r="AJ522" s="54"/>
      <c r="AK522" s="53"/>
      <c r="AL522" s="54"/>
      <c r="AM522" s="53">
        <v>2.0833333333333332E-2</v>
      </c>
      <c r="AN522" s="54" t="s">
        <v>67</v>
      </c>
      <c r="AO522" s="53">
        <v>2.0833333333333332E-2</v>
      </c>
      <c r="AP522" s="54" t="s">
        <v>67</v>
      </c>
      <c r="AQ522" s="53"/>
      <c r="AR522" s="54"/>
      <c r="AS522" s="53"/>
      <c r="AT522" s="54"/>
      <c r="AU522" s="53">
        <v>4.1666666666666699E-2</v>
      </c>
      <c r="AV522" s="54" t="s">
        <v>37</v>
      </c>
      <c r="AW522" s="57">
        <f t="shared" si="73"/>
        <v>8.333333333333337E-2</v>
      </c>
      <c r="AX522" s="58" t="s">
        <v>48</v>
      </c>
    </row>
    <row r="523" spans="1:50" ht="21.75" customHeight="1">
      <c r="A523" s="38" t="s">
        <v>502</v>
      </c>
      <c r="B523" s="39">
        <f t="shared" si="81"/>
        <v>519</v>
      </c>
      <c r="C523" s="40">
        <v>46036</v>
      </c>
      <c r="D523" s="40" t="s">
        <v>32</v>
      </c>
      <c r="E523" s="40" t="s">
        <v>81</v>
      </c>
      <c r="F523" s="41">
        <v>171.6</v>
      </c>
      <c r="G523" s="42" t="s">
        <v>85</v>
      </c>
      <c r="H523" s="43" t="str">
        <f>IFERROR(VLOOKUP($J523,'[9]FROM (3)'!$E$4:$F$230,2,FALSE),"")</f>
        <v>DNTH</v>
      </c>
      <c r="I523" s="44" t="str">
        <f t="shared" si="78"/>
        <v>SHAFT STARTER ARMATURE, 1W</v>
      </c>
      <c r="J523" s="44" t="str">
        <f t="shared" si="79"/>
        <v>TG028993-578A</v>
      </c>
      <c r="K523" s="59" t="str">
        <f t="shared" si="76"/>
        <v>PD26010590</v>
      </c>
      <c r="L523" s="46" t="str" cm="1">
        <f t="array" ref="L523">IFERROR(_xlfn.IFS(
    LEN($A523)-LEN(SUBSTITUTE($A523,"|",""))=12, RIGHT(A523, LEN(A523)-FIND("~", SUBSTITUTE(A523,"|","~", LEN(A523)-LEN(SUBSTITUTE(A523,"|",""))))),
    LEN($A523)-LEN(SUBSTITUTE($A523,"|",""))=13, MID($A523, FIND("~", SUBSTITUTE($A523,"|","~", 11))+1, FIND("~", SUBSTITUTE($A523,"|","~", 12))-FIND("~", SUBSTITUTE($A523,"|","~", 11))-1),
    LEN($A523)-LEN(SUBSTITUTE($A523,"|",""))=14, MID($A523, FIND("~", SUBSTITUTE($A523,"|","~", 11))+1, FIND("~", SUBSTITUTE($A523,"|","~", 12))-FIND("~", SUBSTITUTE($A523,"|","~", 11))-1)
), "")</f>
        <v>E586473</v>
      </c>
      <c r="M523" s="47" t="str">
        <f t="shared" si="74"/>
        <v>SB120140/10/25</v>
      </c>
      <c r="N523" s="46" t="str">
        <f t="shared" si="77"/>
        <v/>
      </c>
      <c r="O523" s="60">
        <v>10</v>
      </c>
      <c r="P523" s="60">
        <v>58</v>
      </c>
      <c r="Q523" s="48">
        <v>220</v>
      </c>
      <c r="R523" s="48">
        <v>54</v>
      </c>
      <c r="S523" s="48"/>
      <c r="T523" s="48"/>
      <c r="U523" s="49">
        <v>3</v>
      </c>
      <c r="V523" s="49">
        <v>1</v>
      </c>
      <c r="W523" s="50">
        <f t="shared" si="75"/>
        <v>4</v>
      </c>
      <c r="X523" s="51" t="str">
        <f>IF(A523="", "", IF(COUNTIFS(C$3:C522, C523, D$3:D522, D523, G$3:G522, G523) &gt; 0, "", "11:00"-AW523))</f>
        <v/>
      </c>
      <c r="Y523" s="52" t="str">
        <f t="shared" si="80"/>
        <v/>
      </c>
      <c r="Z523" s="53"/>
      <c r="AA523" s="54"/>
      <c r="AB523" s="53"/>
      <c r="AC523" s="54"/>
      <c r="AD523" s="53"/>
      <c r="AE523" s="54"/>
      <c r="AF523" s="53"/>
      <c r="AG523" s="54"/>
      <c r="AH523" s="55">
        <v>4.1666666666666699E-2</v>
      </c>
      <c r="AI523" s="53"/>
      <c r="AJ523" s="54"/>
      <c r="AK523" s="53"/>
      <c r="AL523" s="54"/>
      <c r="AM523" s="53"/>
      <c r="AN523" s="54"/>
      <c r="AO523" s="53"/>
      <c r="AP523" s="54"/>
      <c r="AQ523" s="53"/>
      <c r="AR523" s="54"/>
      <c r="AS523" s="53"/>
      <c r="AT523" s="54"/>
      <c r="AU523" s="53">
        <v>4.1666666666666699E-2</v>
      </c>
      <c r="AV523" s="54" t="s">
        <v>37</v>
      </c>
      <c r="AW523" s="57">
        <f t="shared" si="73"/>
        <v>4.1666666666666699E-2</v>
      </c>
      <c r="AX523" s="58" t="s">
        <v>48</v>
      </c>
    </row>
    <row r="524" spans="1:50" ht="21.75" customHeight="1">
      <c r="A524" s="38" t="s">
        <v>503</v>
      </c>
      <c r="B524" s="39">
        <f t="shared" si="81"/>
        <v>520</v>
      </c>
      <c r="C524" s="40">
        <v>46036</v>
      </c>
      <c r="D524" s="40" t="s">
        <v>32</v>
      </c>
      <c r="E524" s="40" t="s">
        <v>81</v>
      </c>
      <c r="F524" s="41">
        <v>157.9</v>
      </c>
      <c r="G524" s="42" t="s">
        <v>85</v>
      </c>
      <c r="H524" s="43" t="str">
        <f>IFERROR(VLOOKUP($J524,'[9]FROM (3)'!$E$4:$F$230,2,FALSE),"")</f>
        <v>DNTH</v>
      </c>
      <c r="I524" s="44" t="str">
        <f t="shared" si="78"/>
        <v>SLUG CONNECTOR FUEL INLET</v>
      </c>
      <c r="J524" s="44" t="str">
        <f t="shared" si="79"/>
        <v>TGY95065-0010</v>
      </c>
      <c r="K524" s="59" t="str">
        <f t="shared" si="76"/>
        <v>PD26010501</v>
      </c>
      <c r="L524" s="46" t="str" cm="1">
        <f t="array" ref="L524">IFERROR(_xlfn.IFS(
    LEN($A524)-LEN(SUBSTITUTE($A524,"|",""))=12, RIGHT(A524, LEN(A524)-FIND("~", SUBSTITUTE(A524,"|","~", LEN(A524)-LEN(SUBSTITUTE(A524,"|",""))))),
    LEN($A524)-LEN(SUBSTITUTE($A524,"|",""))=13, MID($A524, FIND("~", SUBSTITUTE($A524,"|","~", 11))+1, FIND("~", SUBSTITUTE($A524,"|","~", 12))-FIND("~", SUBSTITUTE($A524,"|","~", 11))-1),
    LEN($A524)-LEN(SUBSTITUTE($A524,"|",""))=14, MID($A524, FIND("~", SUBSTITUTE($A524,"|","~", 11))+1, FIND("~", SUBSTITUTE($A524,"|","~", 12))-FIND("~", SUBSTITUTE($A524,"|","~", 11))-1)
), "")</f>
        <v>E586354</v>
      </c>
      <c r="M524" s="47" t="str">
        <f t="shared" si="74"/>
        <v>SB010006/1/26</v>
      </c>
      <c r="N524" s="46" t="str">
        <f t="shared" si="77"/>
        <v/>
      </c>
      <c r="O524" s="60">
        <v>135</v>
      </c>
      <c r="P524" s="60">
        <v>1047</v>
      </c>
      <c r="Q524" s="48">
        <v>1712</v>
      </c>
      <c r="R524" s="48">
        <v>270</v>
      </c>
      <c r="S524" s="48"/>
      <c r="T524" s="48"/>
      <c r="U524" s="49"/>
      <c r="V524" s="49"/>
      <c r="W524" s="50">
        <f t="shared" si="75"/>
        <v>0</v>
      </c>
      <c r="X524" s="51" t="str">
        <f>IF(A524="", "", IF(COUNTIFS(C$3:C523, C524, D$3:D523, D524, G$3:G523, G524) &gt; 0, "", "11:00"-AW524))</f>
        <v/>
      </c>
      <c r="Y524" s="52" t="str">
        <f t="shared" si="80"/>
        <v/>
      </c>
      <c r="Z524" s="53"/>
      <c r="AA524" s="54"/>
      <c r="AB524" s="53"/>
      <c r="AC524" s="54"/>
      <c r="AD524" s="53"/>
      <c r="AE524" s="54"/>
      <c r="AF524" s="53"/>
      <c r="AG524" s="54"/>
      <c r="AH524" s="55">
        <v>4.1666666666666699E-2</v>
      </c>
      <c r="AI524" s="53"/>
      <c r="AJ524" s="54"/>
      <c r="AK524" s="53"/>
      <c r="AL524" s="54"/>
      <c r="AM524" s="53"/>
      <c r="AN524" s="54"/>
      <c r="AO524" s="53"/>
      <c r="AP524" s="54"/>
      <c r="AQ524" s="53"/>
      <c r="AR524" s="54"/>
      <c r="AS524" s="53"/>
      <c r="AT524" s="54"/>
      <c r="AU524" s="53">
        <v>4.1666666666666699E-2</v>
      </c>
      <c r="AV524" s="54" t="s">
        <v>37</v>
      </c>
      <c r="AW524" s="57">
        <f t="shared" si="73"/>
        <v>4.1666666666666699E-2</v>
      </c>
      <c r="AX524" s="58" t="s">
        <v>48</v>
      </c>
    </row>
    <row r="525" spans="1:50" ht="21.75" customHeight="1">
      <c r="A525" s="38" t="s">
        <v>487</v>
      </c>
      <c r="B525" s="39">
        <f t="shared" si="81"/>
        <v>521</v>
      </c>
      <c r="C525" s="40">
        <v>46036</v>
      </c>
      <c r="D525" s="40" t="s">
        <v>32</v>
      </c>
      <c r="E525" s="40" t="s">
        <v>81</v>
      </c>
      <c r="F525" s="41">
        <v>148.5</v>
      </c>
      <c r="G525" s="42" t="s">
        <v>108</v>
      </c>
      <c r="H525" s="43" t="str">
        <f>IFERROR(VLOOKUP($J525,'[9]FROM (3)'!$E$4:$F$230,2,FALSE),"")</f>
        <v>SIAM NSK</v>
      </c>
      <c r="I525" s="44" t="str">
        <f t="shared" si="78"/>
        <v>SHAFT SPLINE</v>
      </c>
      <c r="J525" s="44" t="str">
        <f t="shared" si="79"/>
        <v>2530S0610P</v>
      </c>
      <c r="K525" s="59" t="str">
        <f t="shared" si="76"/>
        <v>PD26010395</v>
      </c>
      <c r="L525" s="46" t="str" cm="1">
        <f t="array" ref="L525">IFERROR(_xlfn.IFS(
    LEN($A525)-LEN(SUBSTITUTE($A525,"|",""))=12, RIGHT(A525, LEN(A525)-FIND("~", SUBSTITUTE(A525,"|","~", LEN(A525)-LEN(SUBSTITUTE(A525,"|",""))))),
    LEN($A525)-LEN(SUBSTITUTE($A525,"|",""))=13, MID($A525, FIND("~", SUBSTITUTE($A525,"|","~", 11))+1, FIND("~", SUBSTITUTE($A525,"|","~", 12))-FIND("~", SUBSTITUTE($A525,"|","~", 11))-1),
    LEN($A525)-LEN(SUBSTITUTE($A525,"|",""))=14, MID($A525, FIND("~", SUBSTITUTE($A525,"|","~", 11))+1, FIND("~", SUBSTITUTE($A525,"|","~", 12))-FIND("~", SUBSTITUTE($A525,"|","~", 11))-1)
), "")</f>
        <v>E484056</v>
      </c>
      <c r="M525" s="47" t="str">
        <f t="shared" si="74"/>
        <v>SB010033/1/26</v>
      </c>
      <c r="N525" s="46" t="str">
        <f t="shared" si="77"/>
        <v/>
      </c>
      <c r="O525" s="60" t="s">
        <v>35</v>
      </c>
      <c r="P525" s="60" t="s">
        <v>35</v>
      </c>
      <c r="Q525" s="48">
        <v>1506</v>
      </c>
      <c r="R525" s="48">
        <v>551</v>
      </c>
      <c r="S525" s="48"/>
      <c r="T525" s="48"/>
      <c r="U525" s="49"/>
      <c r="V525" s="49"/>
      <c r="W525" s="50">
        <f t="shared" si="75"/>
        <v>0</v>
      </c>
      <c r="X525" s="51">
        <f>IF(A525="", "", IF(COUNTIFS(C$3:C524, C525, D$3:D524, D525, G$3:G524, G525) &gt; 0, "", "11:00"-AW525))</f>
        <v>0.41666666666666663</v>
      </c>
      <c r="Y525" s="52" t="str">
        <f t="shared" si="80"/>
        <v>1:40</v>
      </c>
      <c r="Z525" s="53"/>
      <c r="AA525" s="54"/>
      <c r="AB525" s="53"/>
      <c r="AC525" s="54"/>
      <c r="AD525" s="53"/>
      <c r="AE525" s="54"/>
      <c r="AF525" s="53"/>
      <c r="AG525" s="54"/>
      <c r="AH525" s="55">
        <v>4.1666666666666699E-2</v>
      </c>
      <c r="AI525" s="53"/>
      <c r="AJ525" s="54"/>
      <c r="AK525" s="53"/>
      <c r="AL525" s="54"/>
      <c r="AM525" s="53"/>
      <c r="AN525" s="54"/>
      <c r="AO525" s="53"/>
      <c r="AP525" s="54"/>
      <c r="AQ525" s="53"/>
      <c r="AR525" s="54"/>
      <c r="AS525" s="53"/>
      <c r="AT525" s="54"/>
      <c r="AU525" s="53">
        <v>4.1666666666666699E-2</v>
      </c>
      <c r="AV525" s="54" t="s">
        <v>37</v>
      </c>
      <c r="AW525" s="57">
        <f t="shared" si="73"/>
        <v>4.1666666666666699E-2</v>
      </c>
      <c r="AX525" s="58" t="s">
        <v>380</v>
      </c>
    </row>
    <row r="526" spans="1:50" ht="21.75" customHeight="1">
      <c r="A526" s="38" t="s">
        <v>504</v>
      </c>
      <c r="B526" s="39">
        <f t="shared" si="81"/>
        <v>522</v>
      </c>
      <c r="C526" s="40">
        <v>46036</v>
      </c>
      <c r="D526" s="40" t="s">
        <v>32</v>
      </c>
      <c r="E526" s="40" t="s">
        <v>81</v>
      </c>
      <c r="F526" s="41">
        <v>148.5</v>
      </c>
      <c r="G526" s="42" t="s">
        <v>108</v>
      </c>
      <c r="H526" s="43" t="str">
        <f>IFERROR(VLOOKUP($J526,'[9]FROM (3)'!$E$4:$F$230,2,FALSE),"")</f>
        <v>SIAM NSK</v>
      </c>
      <c r="I526" s="44" t="str">
        <f t="shared" si="78"/>
        <v>SHAFT SPLINE</v>
      </c>
      <c r="J526" s="44" t="str">
        <f t="shared" si="79"/>
        <v>2530S0610P</v>
      </c>
      <c r="K526" s="59" t="str">
        <f t="shared" si="76"/>
        <v>PD26010395</v>
      </c>
      <c r="L526" s="46" t="str" cm="1">
        <f t="array" ref="L526">IFERROR(_xlfn.IFS(
    LEN($A526)-LEN(SUBSTITUTE($A526,"|",""))=12, RIGHT(A526, LEN(A526)-FIND("~", SUBSTITUTE(A526,"|","~", LEN(A526)-LEN(SUBSTITUTE(A526,"|",""))))),
    LEN($A526)-LEN(SUBSTITUTE($A526,"|",""))=13, MID($A526, FIND("~", SUBSTITUTE($A526,"|","~", 11))+1, FIND("~", SUBSTITUTE($A526,"|","~", 12))-FIND("~", SUBSTITUTE($A526,"|","~", 11))-1),
    LEN($A526)-LEN(SUBSTITUTE($A526,"|",""))=14, MID($A526, FIND("~", SUBSTITUTE($A526,"|","~", 11))+1, FIND("~", SUBSTITUTE($A526,"|","~", 12))-FIND("~", SUBSTITUTE($A526,"|","~", 11))-1)
), "")</f>
        <v>E484056</v>
      </c>
      <c r="M526" s="47" t="str">
        <f t="shared" si="74"/>
        <v>SB010033/2/26</v>
      </c>
      <c r="N526" s="46" t="str">
        <f t="shared" si="77"/>
        <v/>
      </c>
      <c r="O526" s="60">
        <v>79</v>
      </c>
      <c r="P526" s="60">
        <v>1010</v>
      </c>
      <c r="Q526" s="48">
        <v>2640</v>
      </c>
      <c r="R526" s="48">
        <v>966</v>
      </c>
      <c r="S526" s="48"/>
      <c r="T526" s="48"/>
      <c r="U526" s="49">
        <v>65</v>
      </c>
      <c r="V526" s="49">
        <v>27</v>
      </c>
      <c r="W526" s="50">
        <f t="shared" si="75"/>
        <v>92</v>
      </c>
      <c r="X526" s="51" t="str">
        <f>IF(A526="", "", IF(COUNTIFS(C$3:C525, C526, D$3:D525, D526, G$3:G525, G526) &gt; 0, "", "11:00"-AW526))</f>
        <v/>
      </c>
      <c r="Y526" s="52" t="str">
        <f t="shared" si="80"/>
        <v/>
      </c>
      <c r="Z526" s="53"/>
      <c r="AA526" s="54"/>
      <c r="AB526" s="53"/>
      <c r="AC526" s="54"/>
      <c r="AD526" s="53"/>
      <c r="AE526" s="54"/>
      <c r="AF526" s="53"/>
      <c r="AG526" s="54"/>
      <c r="AH526" s="55">
        <v>4.1666666666666699E-2</v>
      </c>
      <c r="AI526" s="53"/>
      <c r="AJ526" s="54"/>
      <c r="AK526" s="53"/>
      <c r="AL526" s="54"/>
      <c r="AM526" s="53"/>
      <c r="AN526" s="54"/>
      <c r="AO526" s="53"/>
      <c r="AP526" s="54"/>
      <c r="AQ526" s="53"/>
      <c r="AR526" s="54"/>
      <c r="AS526" s="53"/>
      <c r="AT526" s="54"/>
      <c r="AU526" s="53">
        <v>4.1666666666666699E-2</v>
      </c>
      <c r="AV526" s="54" t="s">
        <v>37</v>
      </c>
      <c r="AW526" s="57">
        <f t="shared" si="73"/>
        <v>4.1666666666666699E-2</v>
      </c>
      <c r="AX526" s="58" t="s">
        <v>380</v>
      </c>
    </row>
    <row r="527" spans="1:50" ht="21.75" customHeight="1">
      <c r="A527" s="38" t="s">
        <v>483</v>
      </c>
      <c r="B527" s="39">
        <f t="shared" si="81"/>
        <v>523</v>
      </c>
      <c r="C527" s="40">
        <v>46036</v>
      </c>
      <c r="D527" s="40" t="s">
        <v>32</v>
      </c>
      <c r="E527" s="40" t="s">
        <v>81</v>
      </c>
      <c r="F527" s="41">
        <v>721.5</v>
      </c>
      <c r="G527" s="42" t="s">
        <v>66</v>
      </c>
      <c r="H527" s="43" t="str">
        <f>IFERROR(VLOOKUP($J527,'[9]FROM (3)'!$E$4:$F$230,2,FALSE),"")</f>
        <v>JCTTH</v>
      </c>
      <c r="I527" s="44" t="str">
        <f t="shared" si="78"/>
        <v>RACK POWER STEERING</v>
      </c>
      <c r="J527" s="44" t="str">
        <f t="shared" si="79"/>
        <v>2-30JG-0711</v>
      </c>
      <c r="K527" s="59" t="str">
        <f t="shared" si="76"/>
        <v>PD25121189</v>
      </c>
      <c r="L527" s="46" t="str" cm="1">
        <f t="array" ref="L527">IFERROR(_xlfn.IFS(
    LEN($A527)-LEN(SUBSTITUTE($A527,"|",""))=12, RIGHT(A527, LEN(A527)-FIND("~", SUBSTITUTE(A527,"|","~", LEN(A527)-LEN(SUBSTITUTE(A527,"|",""))))),
    LEN($A527)-LEN(SUBSTITUTE($A527,"|",""))=13, MID($A527, FIND("~", SUBSTITUTE($A527,"|","~", 11))+1, FIND("~", SUBSTITUTE($A527,"|","~", 12))-FIND("~", SUBSTITUTE($A527,"|","~", 11))-1),
    LEN($A527)-LEN(SUBSTITUTE($A527,"|",""))=14, MID($A527, FIND("~", SUBSTITUTE($A527,"|","~", 11))+1, FIND("~", SUBSTITUTE($A527,"|","~", 12))-FIND("~", SUBSTITUTE($A527,"|","~", 11))-1)
), "")</f>
        <v>E586100</v>
      </c>
      <c r="M527" s="47" t="str">
        <f t="shared" si="74"/>
        <v>SB120159/4/25</v>
      </c>
      <c r="N527" s="46" t="str">
        <f t="shared" si="77"/>
        <v/>
      </c>
      <c r="O527" s="60">
        <v>33</v>
      </c>
      <c r="P527" s="60">
        <v>578</v>
      </c>
      <c r="Q527" s="48">
        <v>131</v>
      </c>
      <c r="R527" s="48">
        <v>537</v>
      </c>
      <c r="S527" s="48"/>
      <c r="T527" s="48"/>
      <c r="U527" s="49"/>
      <c r="V527" s="49"/>
      <c r="W527" s="50">
        <f t="shared" si="75"/>
        <v>0</v>
      </c>
      <c r="X527" s="51">
        <f>IF(A527="", "", IF(COUNTIFS(C$3:C526, C527, D$3:D526, D527, G$3:G526, G527) &gt; 0, "", "11:00"-AW527))</f>
        <v>0.35416666666666663</v>
      </c>
      <c r="Y527" s="52" t="str">
        <f t="shared" si="80"/>
        <v>1:40</v>
      </c>
      <c r="Z527" s="53">
        <v>4.1666666666666664E-2</v>
      </c>
      <c r="AA527" s="54" t="s">
        <v>67</v>
      </c>
      <c r="AB527" s="53">
        <v>2.0833333333333332E-2</v>
      </c>
      <c r="AC527" s="54" t="s">
        <v>311</v>
      </c>
      <c r="AD527" s="53"/>
      <c r="AE527" s="54"/>
      <c r="AF527" s="53"/>
      <c r="AG527" s="54"/>
      <c r="AH527" s="55">
        <v>4.1666666666666699E-2</v>
      </c>
      <c r="AI527" s="53"/>
      <c r="AJ527" s="54"/>
      <c r="AK527" s="53"/>
      <c r="AL527" s="54"/>
      <c r="AM527" s="53"/>
      <c r="AN527" s="54"/>
      <c r="AO527" s="53"/>
      <c r="AP527" s="54"/>
      <c r="AQ527" s="53"/>
      <c r="AR527" s="54"/>
      <c r="AS527" s="53"/>
      <c r="AT527" s="54"/>
      <c r="AU527" s="53">
        <v>4.1666666666666699E-2</v>
      </c>
      <c r="AV527" s="54" t="s">
        <v>37</v>
      </c>
      <c r="AW527" s="57">
        <f t="shared" si="73"/>
        <v>0.1041666666666667</v>
      </c>
      <c r="AX527" s="58" t="s">
        <v>68</v>
      </c>
    </row>
    <row r="528" spans="1:50" ht="21.75" customHeight="1">
      <c r="A528" s="38" t="s">
        <v>505</v>
      </c>
      <c r="B528" s="39">
        <f t="shared" si="81"/>
        <v>524</v>
      </c>
      <c r="C528" s="40">
        <v>46036</v>
      </c>
      <c r="D528" s="40" t="s">
        <v>32</v>
      </c>
      <c r="E528" s="40" t="s">
        <v>81</v>
      </c>
      <c r="F528" s="41">
        <v>721.5</v>
      </c>
      <c r="G528" s="42" t="s">
        <v>66</v>
      </c>
      <c r="H528" s="43" t="str">
        <f>IFERROR(VLOOKUP($J528,'[9]FROM (3)'!$E$4:$F$230,2,FALSE),"")</f>
        <v>JCTTH</v>
      </c>
      <c r="I528" s="44" t="str">
        <f t="shared" si="78"/>
        <v>RACK POWER STEERING</v>
      </c>
      <c r="J528" s="44" t="str">
        <f t="shared" si="79"/>
        <v>2-30JG-0711</v>
      </c>
      <c r="K528" s="59" t="str">
        <f t="shared" si="76"/>
        <v>PD25121189</v>
      </c>
      <c r="L528" s="46" t="str" cm="1">
        <f t="array" ref="L528">IFERROR(_xlfn.IFS(
    LEN($A528)-LEN(SUBSTITUTE($A528,"|",""))=12, RIGHT(A528, LEN(A528)-FIND("~", SUBSTITUTE(A528,"|","~", LEN(A528)-LEN(SUBSTITUTE(A528,"|",""))))),
    LEN($A528)-LEN(SUBSTITUTE($A528,"|",""))=13, MID($A528, FIND("~", SUBSTITUTE($A528,"|","~", 11))+1, FIND("~", SUBSTITUTE($A528,"|","~", 12))-FIND("~", SUBSTITUTE($A528,"|","~", 11))-1),
    LEN($A528)-LEN(SUBSTITUTE($A528,"|",""))=14, MID($A528, FIND("~", SUBSTITUTE($A528,"|","~", 11))+1, FIND("~", SUBSTITUTE($A528,"|","~", 12))-FIND("~", SUBSTITUTE($A528,"|","~", 11))-1)
), "")</f>
        <v>E586100</v>
      </c>
      <c r="M528" s="47" t="str">
        <f t="shared" si="74"/>
        <v>SB120159/3/25</v>
      </c>
      <c r="N528" s="46" t="str">
        <f t="shared" si="77"/>
        <v/>
      </c>
      <c r="O528" s="60">
        <v>50</v>
      </c>
      <c r="P528" s="60">
        <v>876</v>
      </c>
      <c r="Q528" s="48">
        <v>200</v>
      </c>
      <c r="R528" s="48">
        <v>820</v>
      </c>
      <c r="S528" s="48"/>
      <c r="T528" s="48"/>
      <c r="U528" s="49">
        <v>95</v>
      </c>
      <c r="V528" s="49">
        <v>6</v>
      </c>
      <c r="W528" s="50">
        <f t="shared" si="75"/>
        <v>101</v>
      </c>
      <c r="X528" s="51" t="str">
        <f>IF(A528="", "", IF(COUNTIFS(C$3:C527, C528, D$3:D527, D528, G$3:G527, G528) &gt; 0, "", "11:00"-AW528))</f>
        <v/>
      </c>
      <c r="Y528" s="52" t="str">
        <f t="shared" si="80"/>
        <v/>
      </c>
      <c r="Z528" s="53"/>
      <c r="AA528" s="54"/>
      <c r="AB528" s="53"/>
      <c r="AC528" s="54"/>
      <c r="AD528" s="53"/>
      <c r="AE528" s="54"/>
      <c r="AF528" s="53"/>
      <c r="AG528" s="54"/>
      <c r="AH528" s="55">
        <v>4.1666666666666699E-2</v>
      </c>
      <c r="AI528" s="53"/>
      <c r="AJ528" s="54"/>
      <c r="AK528" s="53"/>
      <c r="AL528" s="54"/>
      <c r="AM528" s="53"/>
      <c r="AN528" s="54"/>
      <c r="AO528" s="53"/>
      <c r="AP528" s="54"/>
      <c r="AQ528" s="53"/>
      <c r="AR528" s="54"/>
      <c r="AS528" s="53"/>
      <c r="AT528" s="54"/>
      <c r="AU528" s="53">
        <v>4.1666666666666699E-2</v>
      </c>
      <c r="AV528" s="54" t="s">
        <v>37</v>
      </c>
      <c r="AW528" s="57">
        <f t="shared" si="73"/>
        <v>4.1666666666666699E-2</v>
      </c>
      <c r="AX528" s="58" t="s">
        <v>68</v>
      </c>
    </row>
    <row r="529" spans="1:50" ht="21.75" customHeight="1">
      <c r="A529" s="38" t="s">
        <v>506</v>
      </c>
      <c r="B529" s="39">
        <f t="shared" si="81"/>
        <v>525</v>
      </c>
      <c r="C529" s="40">
        <v>46036</v>
      </c>
      <c r="D529" s="40" t="s">
        <v>32</v>
      </c>
      <c r="E529" s="40" t="s">
        <v>81</v>
      </c>
      <c r="F529" s="41">
        <v>655.4</v>
      </c>
      <c r="G529" s="42" t="s">
        <v>66</v>
      </c>
      <c r="H529" s="43" t="str">
        <f>IFERROR(VLOOKUP($J529,'[9]FROM (3)'!$E$4:$F$230,2,FALSE),"")</f>
        <v>JAMY</v>
      </c>
      <c r="I529" s="44" t="str">
        <f t="shared" si="78"/>
        <v>RACK BAR</v>
      </c>
      <c r="J529" s="44" t="str">
        <f t="shared" si="79"/>
        <v>JGC10-M09008-51-0</v>
      </c>
      <c r="K529" s="59" t="str">
        <f t="shared" si="76"/>
        <v>PD26010499</v>
      </c>
      <c r="L529" s="46" t="str" cm="1">
        <f t="array" ref="L529">IFERROR(_xlfn.IFS(
    LEN($A529)-LEN(SUBSTITUTE($A529,"|",""))=12, RIGHT(A529, LEN(A529)-FIND("~", SUBSTITUTE(A529,"|","~", LEN(A529)-LEN(SUBSTITUTE(A529,"|",""))))),
    LEN($A529)-LEN(SUBSTITUTE($A529,"|",""))=13, MID($A529, FIND("~", SUBSTITUTE($A529,"|","~", 11))+1, FIND("~", SUBSTITUTE($A529,"|","~", 12))-FIND("~", SUBSTITUTE($A529,"|","~", 11))-1),
    LEN($A529)-LEN(SUBSTITUTE($A529,"|",""))=14, MID($A529, FIND("~", SUBSTITUTE($A529,"|","~", 11))+1, FIND("~", SUBSTITUTE($A529,"|","~", 12))-FIND("~", SUBSTITUTE($A529,"|","~", 11))-1)
), "")</f>
        <v>E586966</v>
      </c>
      <c r="M529" s="47" t="str">
        <f t="shared" si="74"/>
        <v>SB010051/4/26</v>
      </c>
      <c r="N529" s="46" t="str">
        <f t="shared" si="77"/>
        <v/>
      </c>
      <c r="O529" s="60">
        <v>60</v>
      </c>
      <c r="P529" s="60">
        <v>874</v>
      </c>
      <c r="Q529" s="48">
        <v>297</v>
      </c>
      <c r="R529" s="48">
        <v>811</v>
      </c>
      <c r="S529" s="48">
        <v>3</v>
      </c>
      <c r="T529" s="48" t="s">
        <v>464</v>
      </c>
      <c r="U529" s="49"/>
      <c r="V529" s="49"/>
      <c r="W529" s="50">
        <f t="shared" si="75"/>
        <v>0</v>
      </c>
      <c r="X529" s="51" t="str">
        <f>IF(A529="", "", IF(COUNTIFS(C$3:C528, C529, D$3:D528, D529, G$3:G528, G529) &gt; 0, "", "11:00"-AW529))</f>
        <v/>
      </c>
      <c r="Y529" s="52" t="str">
        <f t="shared" si="80"/>
        <v/>
      </c>
      <c r="Z529" s="53"/>
      <c r="AA529" s="54"/>
      <c r="AB529" s="53"/>
      <c r="AC529" s="54"/>
      <c r="AD529" s="53"/>
      <c r="AE529" s="54"/>
      <c r="AF529" s="53"/>
      <c r="AG529" s="54"/>
      <c r="AH529" s="55">
        <v>4.1666666666666699E-2</v>
      </c>
      <c r="AI529" s="53"/>
      <c r="AJ529" s="54"/>
      <c r="AK529" s="53"/>
      <c r="AL529" s="54"/>
      <c r="AM529" s="53"/>
      <c r="AN529" s="54"/>
      <c r="AO529" s="53"/>
      <c r="AP529" s="54"/>
      <c r="AQ529" s="53"/>
      <c r="AR529" s="54"/>
      <c r="AS529" s="53"/>
      <c r="AT529" s="54"/>
      <c r="AU529" s="53">
        <v>4.1666666666666699E-2</v>
      </c>
      <c r="AV529" s="54" t="s">
        <v>37</v>
      </c>
      <c r="AW529" s="57">
        <f t="shared" si="73"/>
        <v>4.1666666666666699E-2</v>
      </c>
      <c r="AX529" s="58" t="s">
        <v>68</v>
      </c>
    </row>
    <row r="530" spans="1:50" ht="21.75" customHeight="1">
      <c r="A530" s="38" t="s">
        <v>507</v>
      </c>
      <c r="B530" s="39">
        <f t="shared" si="81"/>
        <v>526</v>
      </c>
      <c r="C530" s="40">
        <v>46036</v>
      </c>
      <c r="D530" s="40" t="s">
        <v>32</v>
      </c>
      <c r="E530" s="40" t="s">
        <v>81</v>
      </c>
      <c r="F530" s="41">
        <v>655.4</v>
      </c>
      <c r="G530" s="42" t="s">
        <v>66</v>
      </c>
      <c r="H530" s="43" t="str">
        <f>IFERROR(VLOOKUP($J530,'[9]FROM (3)'!$E$4:$F$230,2,FALSE),"")</f>
        <v>JAMY</v>
      </c>
      <c r="I530" s="44" t="str">
        <f t="shared" si="78"/>
        <v>RACK BAR</v>
      </c>
      <c r="J530" s="44" t="str">
        <f t="shared" si="79"/>
        <v>JGC10-M09008-51-0</v>
      </c>
      <c r="K530" s="59" t="str">
        <f t="shared" si="76"/>
        <v>PD26010499</v>
      </c>
      <c r="L530" s="46" t="str" cm="1">
        <f t="array" ref="L530">IFERROR(_xlfn.IFS(
    LEN($A530)-LEN(SUBSTITUTE($A530,"|",""))=12, RIGHT(A530, LEN(A530)-FIND("~", SUBSTITUTE(A530,"|","~", LEN(A530)-LEN(SUBSTITUTE(A530,"|",""))))),
    LEN($A530)-LEN(SUBSTITUTE($A530,"|",""))=13, MID($A530, FIND("~", SUBSTITUTE($A530,"|","~", 11))+1, FIND("~", SUBSTITUTE($A530,"|","~", 12))-FIND("~", SUBSTITUTE($A530,"|","~", 11))-1),
    LEN($A530)-LEN(SUBSTITUTE($A530,"|",""))=14, MID($A530, FIND("~", SUBSTITUTE($A530,"|","~", 11))+1, FIND("~", SUBSTITUTE($A530,"|","~", 12))-FIND("~", SUBSTITUTE($A530,"|","~", 11))-1)
), "")</f>
        <v>E586966</v>
      </c>
      <c r="M530" s="47" t="str">
        <f t="shared" si="74"/>
        <v>SB010051/3/26</v>
      </c>
      <c r="N530" s="46" t="str">
        <f t="shared" si="77"/>
        <v/>
      </c>
      <c r="O530" s="60">
        <v>60</v>
      </c>
      <c r="P530" s="60">
        <v>874</v>
      </c>
      <c r="Q530" s="48">
        <v>300</v>
      </c>
      <c r="R530" s="48">
        <v>819</v>
      </c>
      <c r="S530" s="48"/>
      <c r="T530" s="48"/>
      <c r="U530" s="49"/>
      <c r="V530" s="49"/>
      <c r="W530" s="50">
        <f t="shared" si="75"/>
        <v>0</v>
      </c>
      <c r="X530" s="51" t="str">
        <f>IF(A530="", "", IF(COUNTIFS(C$3:C529, C530, D$3:D529, D530, G$3:G529, G530) &gt; 0, "", "11:00"-AW530))</f>
        <v/>
      </c>
      <c r="Y530" s="52" t="str">
        <f t="shared" si="80"/>
        <v/>
      </c>
      <c r="Z530" s="53"/>
      <c r="AA530" s="54"/>
      <c r="AB530" s="53"/>
      <c r="AC530" s="54"/>
      <c r="AD530" s="53"/>
      <c r="AE530" s="54"/>
      <c r="AF530" s="53"/>
      <c r="AG530" s="54"/>
      <c r="AH530" s="55">
        <v>4.1666666666666699E-2</v>
      </c>
      <c r="AI530" s="53"/>
      <c r="AJ530" s="54"/>
      <c r="AK530" s="53"/>
      <c r="AL530" s="54"/>
      <c r="AM530" s="53"/>
      <c r="AN530" s="54"/>
      <c r="AO530" s="53"/>
      <c r="AP530" s="54"/>
      <c r="AQ530" s="53"/>
      <c r="AR530" s="54"/>
      <c r="AS530" s="53"/>
      <c r="AT530" s="54"/>
      <c r="AU530" s="53">
        <v>4.1666666666666699E-2</v>
      </c>
      <c r="AV530" s="54" t="s">
        <v>37</v>
      </c>
      <c r="AW530" s="57">
        <f t="shared" si="73"/>
        <v>4.1666666666666699E-2</v>
      </c>
      <c r="AX530" s="58" t="s">
        <v>68</v>
      </c>
    </row>
    <row r="531" spans="1:50" ht="21.75" customHeight="1">
      <c r="A531" s="38" t="s">
        <v>474</v>
      </c>
      <c r="B531" s="39">
        <f t="shared" si="81"/>
        <v>527</v>
      </c>
      <c r="C531" s="40">
        <v>46036</v>
      </c>
      <c r="D531" s="40" t="s">
        <v>32</v>
      </c>
      <c r="E531" s="40" t="s">
        <v>81</v>
      </c>
      <c r="F531" s="41">
        <v>167.7</v>
      </c>
      <c r="G531" s="42" t="s">
        <v>62</v>
      </c>
      <c r="H531" s="43" t="str">
        <f>IFERROR(VLOOKUP($J531,'[9]FROM (3)'!$E$4:$F$230,2,FALSE),"")</f>
        <v>DNTH</v>
      </c>
      <c r="I531" s="44" t="str">
        <f t="shared" si="78"/>
        <v>SHAFT STARTER ARMATURE, 1W</v>
      </c>
      <c r="J531" s="44" t="str">
        <f t="shared" si="79"/>
        <v>TG028993-557B</v>
      </c>
      <c r="K531" s="59" t="str">
        <f t="shared" si="76"/>
        <v>PD26010511</v>
      </c>
      <c r="L531" s="46" t="str" cm="1">
        <f t="array" ref="L531">IFERROR(_xlfn.IFS(
    LEN($A531)-LEN(SUBSTITUTE($A531,"|",""))=12, RIGHT(A531, LEN(A531)-FIND("~", SUBSTITUTE(A531,"|","~", LEN(A531)-LEN(SUBSTITUTE(A531,"|",""))))),
    LEN($A531)-LEN(SUBSTITUTE($A531,"|",""))=13, MID($A531, FIND("~", SUBSTITUTE($A531,"|","~", 11))+1, FIND("~", SUBSTITUTE($A531,"|","~", 12))-FIND("~", SUBSTITUTE($A531,"|","~", 11))-1),
    LEN($A531)-LEN(SUBSTITUTE($A531,"|",""))=14, MID($A531, FIND("~", SUBSTITUTE($A531,"|","~", 11))+1, FIND("~", SUBSTITUTE($A531,"|","~", 12))-FIND("~", SUBSTITUTE($A531,"|","~", 11))-1)
), "")</f>
        <v>E586473</v>
      </c>
      <c r="M531" s="47" t="str">
        <f t="shared" si="74"/>
        <v>SB120140/5/25</v>
      </c>
      <c r="N531" s="46" t="str">
        <f t="shared" si="77"/>
        <v/>
      </c>
      <c r="O531" s="60">
        <v>0</v>
      </c>
      <c r="P531" s="60">
        <v>0</v>
      </c>
      <c r="Q531" s="48">
        <v>494</v>
      </c>
      <c r="R531" s="48">
        <v>118</v>
      </c>
      <c r="S531" s="48"/>
      <c r="T531" s="48"/>
      <c r="U531" s="49">
        <v>41</v>
      </c>
      <c r="V531" s="49">
        <v>7</v>
      </c>
      <c r="W531" s="50">
        <f t="shared" si="75"/>
        <v>48</v>
      </c>
      <c r="X531" s="51">
        <f>IF(A531="", "", IF(COUNTIFS(C$3:C530, C531, D$3:D530, D531, G$3:G530, G531) &gt; 0, "", "11:00"-AW531))</f>
        <v>0.39583333333333326</v>
      </c>
      <c r="Y531" s="52" t="str">
        <f t="shared" si="80"/>
        <v>1:40</v>
      </c>
      <c r="Z531" s="53">
        <v>2.0833333333333332E-2</v>
      </c>
      <c r="AA531" s="54" t="s">
        <v>63</v>
      </c>
      <c r="AB531" s="53"/>
      <c r="AC531" s="54"/>
      <c r="AD531" s="53"/>
      <c r="AE531" s="54"/>
      <c r="AF531" s="53"/>
      <c r="AG531" s="54"/>
      <c r="AH531" s="55">
        <v>4.1666666666666699E-2</v>
      </c>
      <c r="AI531" s="53"/>
      <c r="AJ531" s="54" t="s">
        <v>122</v>
      </c>
      <c r="AK531" s="53"/>
      <c r="AL531" s="54"/>
      <c r="AM531" s="53"/>
      <c r="AN531" s="54"/>
      <c r="AO531" s="53"/>
      <c r="AP531" s="54"/>
      <c r="AQ531" s="53"/>
      <c r="AR531" s="54"/>
      <c r="AS531" s="53"/>
      <c r="AT531" s="54"/>
      <c r="AU531" s="53">
        <v>4.1666666666666699E-2</v>
      </c>
      <c r="AV531" s="54" t="s">
        <v>37</v>
      </c>
      <c r="AW531" s="57">
        <f t="shared" si="73"/>
        <v>6.2500000000000028E-2</v>
      </c>
      <c r="AX531" s="58" t="s">
        <v>64</v>
      </c>
    </row>
    <row r="532" spans="1:50" ht="21.75" customHeight="1">
      <c r="A532" s="38" t="s">
        <v>508</v>
      </c>
      <c r="B532" s="39">
        <f t="shared" si="81"/>
        <v>528</v>
      </c>
      <c r="C532" s="40">
        <v>46036</v>
      </c>
      <c r="D532" s="40" t="s">
        <v>32</v>
      </c>
      <c r="E532" s="40" t="s">
        <v>81</v>
      </c>
      <c r="F532" s="41">
        <v>167.7</v>
      </c>
      <c r="G532" s="42" t="s">
        <v>62</v>
      </c>
      <c r="H532" s="43" t="str">
        <f>IFERROR(VLOOKUP($J532,'[9]FROM (3)'!$E$4:$F$230,2,FALSE),"")</f>
        <v>DNTH</v>
      </c>
      <c r="I532" s="44" t="str">
        <f t="shared" si="78"/>
        <v>SHAFT STARTER ARMATURE, 1W</v>
      </c>
      <c r="J532" s="44" t="str">
        <f t="shared" si="79"/>
        <v>TG028993-557B</v>
      </c>
      <c r="K532" s="59" t="str">
        <f t="shared" si="76"/>
        <v>PD26010589</v>
      </c>
      <c r="L532" s="46" t="str" cm="1">
        <f t="array" ref="L532">IFERROR(_xlfn.IFS(
    LEN($A532)-LEN(SUBSTITUTE($A532,"|",""))=12, RIGHT(A532, LEN(A532)-FIND("~", SUBSTITUTE(A532,"|","~", LEN(A532)-LEN(SUBSTITUTE(A532,"|",""))))),
    LEN($A532)-LEN(SUBSTITUTE($A532,"|",""))=13, MID($A532, FIND("~", SUBSTITUTE($A532,"|","~", 11))+1, FIND("~", SUBSTITUTE($A532,"|","~", 12))-FIND("~", SUBSTITUTE($A532,"|","~", 11))-1),
    LEN($A532)-LEN(SUBSTITUTE($A532,"|",""))=14, MID($A532, FIND("~", SUBSTITUTE($A532,"|","~", 11))+1, FIND("~", SUBSTITUTE($A532,"|","~", 12))-FIND("~", SUBSTITUTE($A532,"|","~", 11))-1)
), "")</f>
        <v>E586473</v>
      </c>
      <c r="M532" s="47" t="str">
        <f t="shared" si="74"/>
        <v>SB120140/8/25</v>
      </c>
      <c r="N532" s="46" t="str">
        <f t="shared" si="77"/>
        <v/>
      </c>
      <c r="O532" s="60">
        <v>35</v>
      </c>
      <c r="P532" s="60">
        <v>205</v>
      </c>
      <c r="Q532" s="48">
        <v>603</v>
      </c>
      <c r="R532" s="48">
        <v>144</v>
      </c>
      <c r="S532" s="48"/>
      <c r="T532" s="48"/>
      <c r="U532" s="49"/>
      <c r="V532" s="49"/>
      <c r="W532" s="50">
        <f t="shared" si="75"/>
        <v>0</v>
      </c>
      <c r="X532" s="51" t="str">
        <f>IF(A532="", "", IF(COUNTIFS(C$3:C531, C532, D$3:D531, D532, G$3:G531, G532) &gt; 0, "", "11:00"-AW532))</f>
        <v/>
      </c>
      <c r="Y532" s="52" t="str">
        <f t="shared" si="80"/>
        <v/>
      </c>
      <c r="Z532" s="53"/>
      <c r="AA532" s="54"/>
      <c r="AB532" s="53"/>
      <c r="AC532" s="54"/>
      <c r="AD532" s="53"/>
      <c r="AE532" s="54"/>
      <c r="AF532" s="53"/>
      <c r="AG532" s="54"/>
      <c r="AH532" s="55">
        <v>4.1666666666666699E-2</v>
      </c>
      <c r="AI532" s="53"/>
      <c r="AJ532" s="54"/>
      <c r="AK532" s="53"/>
      <c r="AL532" s="54"/>
      <c r="AM532" s="53"/>
      <c r="AN532" s="54"/>
      <c r="AO532" s="53"/>
      <c r="AP532" s="54"/>
      <c r="AQ532" s="53"/>
      <c r="AR532" s="54"/>
      <c r="AS532" s="53"/>
      <c r="AT532" s="54"/>
      <c r="AU532" s="53">
        <v>4.1666666666666699E-2</v>
      </c>
      <c r="AV532" s="54" t="s">
        <v>37</v>
      </c>
      <c r="AW532" s="57">
        <f t="shared" si="73"/>
        <v>4.1666666666666699E-2</v>
      </c>
      <c r="AX532" s="58" t="s">
        <v>64</v>
      </c>
    </row>
    <row r="533" spans="1:50" ht="21.75" customHeight="1">
      <c r="A533" s="38" t="s">
        <v>509</v>
      </c>
      <c r="B533" s="39">
        <f t="shared" si="81"/>
        <v>529</v>
      </c>
      <c r="C533" s="40">
        <v>46036</v>
      </c>
      <c r="D533" s="40" t="s">
        <v>32</v>
      </c>
      <c r="E533" s="40" t="s">
        <v>81</v>
      </c>
      <c r="F533" s="41">
        <v>732.8</v>
      </c>
      <c r="G533" s="42" t="s">
        <v>192</v>
      </c>
      <c r="H533" s="43" t="str">
        <f>IFERROR(VLOOKUP($J533,'[9]FROM (3)'!$E$4:$F$230,2,FALSE),"")</f>
        <v>JATH</v>
      </c>
      <c r="I533" s="44" t="str">
        <f t="shared" si="78"/>
        <v>JGF02-002060-31-3</v>
      </c>
      <c r="J533" s="44" t="str">
        <f t="shared" si="79"/>
        <v>RACK BAR BLANK (JGF02-002060-31-3) 58*D</v>
      </c>
      <c r="K533" s="59" t="str">
        <f t="shared" si="76"/>
        <v>PD25120330</v>
      </c>
      <c r="L533" s="46" t="str" cm="1">
        <f t="array" ref="L533">IFERROR(_xlfn.IFS(
    LEN($A533)-LEN(SUBSTITUTE($A533,"|",""))=12, RIGHT(A533, LEN(A533)-FIND("~", SUBSTITUTE(A533,"|","~", LEN(A533)-LEN(SUBSTITUTE(A533,"|",""))))),
    LEN($A533)-LEN(SUBSTITUTE($A533,"|",""))=13, MID($A533, FIND("~", SUBSTITUTE($A533,"|","~", 11))+1, FIND("~", SUBSTITUTE($A533,"|","~", 12))-FIND("~", SUBSTITUTE($A533,"|","~", 11))-1),
    LEN($A533)-LEN(SUBSTITUTE($A533,"|",""))=14, MID($A533, FIND("~", SUBSTITUTE($A533,"|","~", 11))+1, FIND("~", SUBSTITUTE($A533,"|","~", 12))-FIND("~", SUBSTITUTE($A533,"|","~", 11))-1)
), "")</f>
        <v>5A4332</v>
      </c>
      <c r="M533" s="47" t="str">
        <f t="shared" si="74"/>
        <v>TSK2</v>
      </c>
      <c r="N533" s="46" t="str">
        <f t="shared" si="77"/>
        <v>FB120132/14/25</v>
      </c>
      <c r="O533" s="60">
        <v>58</v>
      </c>
      <c r="P533" s="60">
        <v>271</v>
      </c>
      <c r="Q533" s="48">
        <v>58</v>
      </c>
      <c r="R533" s="48">
        <v>271</v>
      </c>
      <c r="S533" s="48"/>
      <c r="T533" s="48"/>
      <c r="U533" s="49"/>
      <c r="V533" s="49"/>
      <c r="W533" s="50">
        <f t="shared" si="75"/>
        <v>0</v>
      </c>
      <c r="X533" s="51">
        <f>IF(A533="", "", IF(COUNTIFS(C$3:C532, C533, D$3:D532, D533, G$3:G532, G533) &gt; 0, "", "11:00"-AW533))</f>
        <v>0.41666666666666663</v>
      </c>
      <c r="Y533" s="52" t="str">
        <f t="shared" si="80"/>
        <v>1:40</v>
      </c>
      <c r="Z533" s="53"/>
      <c r="AA533" s="54"/>
      <c r="AB533" s="53"/>
      <c r="AC533" s="54"/>
      <c r="AD533" s="53"/>
      <c r="AE533" s="54"/>
      <c r="AF533" s="53"/>
      <c r="AG533" s="54"/>
      <c r="AH533" s="55">
        <v>4.1666666666666699E-2</v>
      </c>
      <c r="AI533" s="53"/>
      <c r="AJ533" s="54"/>
      <c r="AK533" s="53"/>
      <c r="AL533" s="54"/>
      <c r="AM533" s="53"/>
      <c r="AN533" s="54"/>
      <c r="AO533" s="53"/>
      <c r="AP533" s="54"/>
      <c r="AQ533" s="53"/>
      <c r="AR533" s="54"/>
      <c r="AS533" s="53"/>
      <c r="AT533" s="54"/>
      <c r="AU533" s="53">
        <v>4.1666666666666699E-2</v>
      </c>
      <c r="AV533" s="54" t="s">
        <v>37</v>
      </c>
      <c r="AW533" s="57">
        <f t="shared" si="73"/>
        <v>4.1666666666666699E-2</v>
      </c>
      <c r="AX533" s="58" t="s">
        <v>117</v>
      </c>
    </row>
    <row r="534" spans="1:50" ht="21.75" customHeight="1">
      <c r="A534" s="38" t="s">
        <v>510</v>
      </c>
      <c r="B534" s="39">
        <f t="shared" si="81"/>
        <v>530</v>
      </c>
      <c r="C534" s="40">
        <v>46036</v>
      </c>
      <c r="D534" s="40" t="s">
        <v>32</v>
      </c>
      <c r="E534" s="40" t="s">
        <v>81</v>
      </c>
      <c r="F534" s="41">
        <v>732.8</v>
      </c>
      <c r="G534" s="42" t="s">
        <v>192</v>
      </c>
      <c r="H534" s="43" t="str">
        <f>IFERROR(VLOOKUP($J534,'[9]FROM (3)'!$E$4:$F$230,2,FALSE),"")</f>
        <v>JATH</v>
      </c>
      <c r="I534" s="44" t="str">
        <f t="shared" si="78"/>
        <v>JGF02-002060-31-3</v>
      </c>
      <c r="J534" s="44" t="str">
        <f t="shared" si="79"/>
        <v>RACK BAR BLANK (JGF02-002060-31-3) 58*D</v>
      </c>
      <c r="K534" s="59" t="str">
        <f t="shared" si="76"/>
        <v>PD25120569</v>
      </c>
      <c r="L534" s="46" t="str" cm="1">
        <f t="array" ref="L534">IFERROR(_xlfn.IFS(
    LEN($A534)-LEN(SUBSTITUTE($A534,"|",""))=12, RIGHT(A534, LEN(A534)-FIND("~", SUBSTITUTE(A534,"|","~", LEN(A534)-LEN(SUBSTITUTE(A534,"|",""))))),
    LEN($A534)-LEN(SUBSTITUTE($A534,"|",""))=13, MID($A534, FIND("~", SUBSTITUTE($A534,"|","~", 11))+1, FIND("~", SUBSTITUTE($A534,"|","~", 12))-FIND("~", SUBSTITUTE($A534,"|","~", 11))-1),
    LEN($A534)-LEN(SUBSTITUTE($A534,"|",""))=14, MID($A534, FIND("~", SUBSTITUTE($A534,"|","~", 11))+1, FIND("~", SUBSTITUTE($A534,"|","~", 12))-FIND("~", SUBSTITUTE($A534,"|","~", 11))-1)
), "")</f>
        <v>5A4332</v>
      </c>
      <c r="M534" s="47" t="str">
        <f t="shared" si="74"/>
        <v>TSK2</v>
      </c>
      <c r="N534" s="46" t="str">
        <f t="shared" si="77"/>
        <v>FB120161/3/25</v>
      </c>
      <c r="O534" s="60">
        <v>58</v>
      </c>
      <c r="P534" s="60">
        <v>271</v>
      </c>
      <c r="Q534" s="48">
        <v>58</v>
      </c>
      <c r="R534" s="48">
        <v>271</v>
      </c>
      <c r="S534" s="48"/>
      <c r="T534" s="48"/>
      <c r="U534" s="49"/>
      <c r="V534" s="49"/>
      <c r="W534" s="50">
        <f t="shared" si="75"/>
        <v>0</v>
      </c>
      <c r="X534" s="51" t="str">
        <f>IF(A534="", "", IF(COUNTIFS(C$3:C533, C534, D$3:D533, D534, G$3:G533, G534) &gt; 0, "", "11:00"-AW534))</f>
        <v/>
      </c>
      <c r="Y534" s="52" t="str">
        <f t="shared" si="80"/>
        <v/>
      </c>
      <c r="Z534" s="53"/>
      <c r="AA534" s="54"/>
      <c r="AB534" s="53"/>
      <c r="AC534" s="54"/>
      <c r="AD534" s="53"/>
      <c r="AE534" s="54"/>
      <c r="AF534" s="53"/>
      <c r="AG534" s="54"/>
      <c r="AH534" s="55">
        <v>4.1666666666666699E-2</v>
      </c>
      <c r="AI534" s="53"/>
      <c r="AJ534" s="54"/>
      <c r="AK534" s="53"/>
      <c r="AL534" s="54"/>
      <c r="AM534" s="53"/>
      <c r="AN534" s="54"/>
      <c r="AO534" s="53"/>
      <c r="AP534" s="54"/>
      <c r="AQ534" s="53"/>
      <c r="AR534" s="54"/>
      <c r="AS534" s="53"/>
      <c r="AT534" s="54"/>
      <c r="AU534" s="53">
        <v>4.1666666666666699E-2</v>
      </c>
      <c r="AV534" s="54" t="s">
        <v>37</v>
      </c>
      <c r="AW534" s="57">
        <f t="shared" si="73"/>
        <v>4.1666666666666699E-2</v>
      </c>
      <c r="AX534" s="58" t="s">
        <v>117</v>
      </c>
    </row>
    <row r="535" spans="1:50" ht="21.75" customHeight="1">
      <c r="A535" s="38" t="s">
        <v>511</v>
      </c>
      <c r="B535" s="39">
        <f t="shared" si="81"/>
        <v>531</v>
      </c>
      <c r="C535" s="40">
        <v>46036</v>
      </c>
      <c r="D535" s="40" t="s">
        <v>32</v>
      </c>
      <c r="E535" s="40" t="s">
        <v>81</v>
      </c>
      <c r="F535" s="41">
        <v>732.8</v>
      </c>
      <c r="G535" s="42" t="s">
        <v>192</v>
      </c>
      <c r="H535" s="43" t="str">
        <f>IFERROR(VLOOKUP($J535,'[9]FROM (3)'!$E$4:$F$230,2,FALSE),"")</f>
        <v>JATH</v>
      </c>
      <c r="I535" s="44" t="str">
        <f t="shared" si="78"/>
        <v>JGF02-002060-31-3</v>
      </c>
      <c r="J535" s="44" t="str">
        <f t="shared" si="79"/>
        <v>RACK BAR BLANK (JGF02-002060-31-3) 58*D</v>
      </c>
      <c r="K535" s="59" t="str">
        <f t="shared" si="76"/>
        <v>PD25120569</v>
      </c>
      <c r="L535" s="46" t="str" cm="1">
        <f t="array" ref="L535">IFERROR(_xlfn.IFS(
    LEN($A535)-LEN(SUBSTITUTE($A535,"|",""))=12, RIGHT(A535, LEN(A535)-FIND("~", SUBSTITUTE(A535,"|","~", LEN(A535)-LEN(SUBSTITUTE(A535,"|",""))))),
    LEN($A535)-LEN(SUBSTITUTE($A535,"|",""))=13, MID($A535, FIND("~", SUBSTITUTE($A535,"|","~", 11))+1, FIND("~", SUBSTITUTE($A535,"|","~", 12))-FIND("~", SUBSTITUTE($A535,"|","~", 11))-1),
    LEN($A535)-LEN(SUBSTITUTE($A535,"|",""))=14, MID($A535, FIND("~", SUBSTITUTE($A535,"|","~", 11))+1, FIND("~", SUBSTITUTE($A535,"|","~", 12))-FIND("~", SUBSTITUTE($A535,"|","~", 11))-1)
), "")</f>
        <v>5A4332</v>
      </c>
      <c r="M535" s="47" t="str">
        <f t="shared" si="74"/>
        <v>TSK2</v>
      </c>
      <c r="N535" s="46" t="str">
        <f t="shared" si="77"/>
        <v>FB120161/6/25</v>
      </c>
      <c r="O535" s="60">
        <v>58</v>
      </c>
      <c r="P535" s="60">
        <v>271</v>
      </c>
      <c r="Q535" s="48">
        <v>58</v>
      </c>
      <c r="R535" s="48">
        <v>271</v>
      </c>
      <c r="S535" s="48"/>
      <c r="T535" s="48"/>
      <c r="U535" s="49"/>
      <c r="V535" s="49"/>
      <c r="W535" s="50">
        <f t="shared" si="75"/>
        <v>0</v>
      </c>
      <c r="X535" s="51" t="str">
        <f>IF(A535="", "", IF(COUNTIFS(C$3:C534, C535, D$3:D534, D535, G$3:G534, G535) &gt; 0, "", "11:00"-AW535))</f>
        <v/>
      </c>
      <c r="Y535" s="52" t="str">
        <f t="shared" si="80"/>
        <v/>
      </c>
      <c r="Z535" s="53"/>
      <c r="AA535" s="54"/>
      <c r="AB535" s="53"/>
      <c r="AC535" s="54"/>
      <c r="AD535" s="53"/>
      <c r="AE535" s="54"/>
      <c r="AF535" s="53"/>
      <c r="AG535" s="54"/>
      <c r="AH535" s="55">
        <v>4.1666666666666699E-2</v>
      </c>
      <c r="AI535" s="53"/>
      <c r="AJ535" s="54"/>
      <c r="AK535" s="53"/>
      <c r="AL535" s="54"/>
      <c r="AM535" s="53"/>
      <c r="AN535" s="54"/>
      <c r="AO535" s="53"/>
      <c r="AP535" s="54"/>
      <c r="AQ535" s="53"/>
      <c r="AR535" s="54"/>
      <c r="AS535" s="53"/>
      <c r="AT535" s="54"/>
      <c r="AU535" s="53">
        <v>4.1666666666666699E-2</v>
      </c>
      <c r="AV535" s="54" t="s">
        <v>37</v>
      </c>
      <c r="AW535" s="57">
        <f t="shared" si="73"/>
        <v>4.1666666666666699E-2</v>
      </c>
      <c r="AX535" s="58" t="s">
        <v>117</v>
      </c>
    </row>
    <row r="536" spans="1:50" ht="21.75" customHeight="1">
      <c r="A536" s="38" t="s">
        <v>512</v>
      </c>
      <c r="B536" s="39">
        <f t="shared" si="81"/>
        <v>532</v>
      </c>
      <c r="C536" s="40">
        <v>46036</v>
      </c>
      <c r="D536" s="40" t="s">
        <v>32</v>
      </c>
      <c r="E536" s="40" t="s">
        <v>81</v>
      </c>
      <c r="F536" s="41">
        <v>732.8</v>
      </c>
      <c r="G536" s="42" t="s">
        <v>192</v>
      </c>
      <c r="H536" s="43" t="str">
        <f>IFERROR(VLOOKUP($J536,'[9]FROM (3)'!$E$4:$F$230,2,FALSE),"")</f>
        <v>JATH</v>
      </c>
      <c r="I536" s="44" t="str">
        <f t="shared" si="78"/>
        <v>JGF02-002060-31-3</v>
      </c>
      <c r="J536" s="44" t="str">
        <f t="shared" si="79"/>
        <v>RACK BAR BLANK (JGF02-002060-31-3) 58*D</v>
      </c>
      <c r="K536" s="59" t="str">
        <f t="shared" si="76"/>
        <v>PD25120569</v>
      </c>
      <c r="L536" s="46" t="str" cm="1">
        <f t="array" ref="L536">IFERROR(_xlfn.IFS(
    LEN($A536)-LEN(SUBSTITUTE($A536,"|",""))=12, RIGHT(A536, LEN(A536)-FIND("~", SUBSTITUTE(A536,"|","~", LEN(A536)-LEN(SUBSTITUTE(A536,"|",""))))),
    LEN($A536)-LEN(SUBSTITUTE($A536,"|",""))=13, MID($A536, FIND("~", SUBSTITUTE($A536,"|","~", 11))+1, FIND("~", SUBSTITUTE($A536,"|","~", 12))-FIND("~", SUBSTITUTE($A536,"|","~", 11))-1),
    LEN($A536)-LEN(SUBSTITUTE($A536,"|",""))=14, MID($A536, FIND("~", SUBSTITUTE($A536,"|","~", 11))+1, FIND("~", SUBSTITUTE($A536,"|","~", 12))-FIND("~", SUBSTITUTE($A536,"|","~", 11))-1)
), "")</f>
        <v>5A4332</v>
      </c>
      <c r="M536" s="47" t="str">
        <f t="shared" si="74"/>
        <v>TSK2</v>
      </c>
      <c r="N536" s="46" t="str">
        <f t="shared" si="77"/>
        <v>FB120161/1/25</v>
      </c>
      <c r="O536" s="60">
        <v>58</v>
      </c>
      <c r="P536" s="60">
        <v>271</v>
      </c>
      <c r="Q536" s="48">
        <v>58</v>
      </c>
      <c r="R536" s="48">
        <v>271</v>
      </c>
      <c r="S536" s="48"/>
      <c r="T536" s="48"/>
      <c r="U536" s="49"/>
      <c r="V536" s="49"/>
      <c r="W536" s="50">
        <f t="shared" si="75"/>
        <v>0</v>
      </c>
      <c r="X536" s="51" t="str">
        <f>IF(A536="", "", IF(COUNTIFS(C$3:C535, C536, D$3:D535, D536, G$3:G535, G536) &gt; 0, "", "11:00"-AW536))</f>
        <v/>
      </c>
      <c r="Y536" s="52" t="str">
        <f t="shared" si="80"/>
        <v/>
      </c>
      <c r="Z536" s="53"/>
      <c r="AA536" s="54"/>
      <c r="AB536" s="53"/>
      <c r="AC536" s="54"/>
      <c r="AD536" s="53"/>
      <c r="AE536" s="54"/>
      <c r="AF536" s="53"/>
      <c r="AG536" s="54"/>
      <c r="AH536" s="55">
        <v>4.1666666666666699E-2</v>
      </c>
      <c r="AI536" s="53"/>
      <c r="AJ536" s="54"/>
      <c r="AK536" s="53"/>
      <c r="AL536" s="54"/>
      <c r="AM536" s="53"/>
      <c r="AN536" s="54"/>
      <c r="AO536" s="53"/>
      <c r="AP536" s="54"/>
      <c r="AQ536" s="53"/>
      <c r="AR536" s="54"/>
      <c r="AS536" s="53"/>
      <c r="AT536" s="54"/>
      <c r="AU536" s="53">
        <v>4.1666666666666699E-2</v>
      </c>
      <c r="AV536" s="54" t="s">
        <v>37</v>
      </c>
      <c r="AW536" s="57">
        <f t="shared" si="73"/>
        <v>4.1666666666666699E-2</v>
      </c>
      <c r="AX536" s="58" t="s">
        <v>117</v>
      </c>
    </row>
    <row r="537" spans="1:50" ht="21.75" customHeight="1">
      <c r="A537" s="38" t="s">
        <v>513</v>
      </c>
      <c r="B537" s="39">
        <f t="shared" si="81"/>
        <v>533</v>
      </c>
      <c r="C537" s="40">
        <v>46036</v>
      </c>
      <c r="D537" s="40" t="s">
        <v>32</v>
      </c>
      <c r="E537" s="40" t="s">
        <v>81</v>
      </c>
      <c r="F537" s="41">
        <v>732.8</v>
      </c>
      <c r="G537" s="42" t="s">
        <v>192</v>
      </c>
      <c r="H537" s="43" t="str">
        <f>IFERROR(VLOOKUP($J537,'[9]FROM (3)'!$E$4:$F$230,2,FALSE),"")</f>
        <v>JATH</v>
      </c>
      <c r="I537" s="44" t="str">
        <f t="shared" si="78"/>
        <v>JGF02-002060-31-3</v>
      </c>
      <c r="J537" s="44" t="str">
        <f t="shared" si="79"/>
        <v>RACK BAR BLANK (JGF02-002060-31-3) 58*D</v>
      </c>
      <c r="K537" s="59" t="str">
        <f t="shared" si="76"/>
        <v>PD25120569</v>
      </c>
      <c r="L537" s="46" t="str" cm="1">
        <f t="array" ref="L537">IFERROR(_xlfn.IFS(
    LEN($A537)-LEN(SUBSTITUTE($A537,"|",""))=12, RIGHT(A537, LEN(A537)-FIND("~", SUBSTITUTE(A537,"|","~", LEN(A537)-LEN(SUBSTITUTE(A537,"|",""))))),
    LEN($A537)-LEN(SUBSTITUTE($A537,"|",""))=13, MID($A537, FIND("~", SUBSTITUTE($A537,"|","~", 11))+1, FIND("~", SUBSTITUTE($A537,"|","~", 12))-FIND("~", SUBSTITUTE($A537,"|","~", 11))-1),
    LEN($A537)-LEN(SUBSTITUTE($A537,"|",""))=14, MID($A537, FIND("~", SUBSTITUTE($A537,"|","~", 11))+1, FIND("~", SUBSTITUTE($A537,"|","~", 12))-FIND("~", SUBSTITUTE($A537,"|","~", 11))-1)
), "")</f>
        <v>5A4332</v>
      </c>
      <c r="M537" s="47" t="str">
        <f t="shared" si="74"/>
        <v>TSK2</v>
      </c>
      <c r="N537" s="46" t="str">
        <f t="shared" si="77"/>
        <v>FB120161/2/25</v>
      </c>
      <c r="O537" s="60">
        <v>58</v>
      </c>
      <c r="P537" s="60">
        <v>271</v>
      </c>
      <c r="Q537" s="48">
        <v>58</v>
      </c>
      <c r="R537" s="48">
        <v>271</v>
      </c>
      <c r="S537" s="48"/>
      <c r="T537" s="48"/>
      <c r="U537" s="49"/>
      <c r="V537" s="49"/>
      <c r="W537" s="50">
        <f t="shared" si="75"/>
        <v>0</v>
      </c>
      <c r="X537" s="51" t="str">
        <f>IF(A537="", "", IF(COUNTIFS(C$3:C536, C537, D$3:D536, D537, G$3:G536, G537) &gt; 0, "", "11:00"-AW537))</f>
        <v/>
      </c>
      <c r="Y537" s="52" t="str">
        <f t="shared" si="80"/>
        <v/>
      </c>
      <c r="Z537" s="53"/>
      <c r="AA537" s="54"/>
      <c r="AB537" s="53"/>
      <c r="AC537" s="54"/>
      <c r="AD537" s="53"/>
      <c r="AE537" s="54"/>
      <c r="AF537" s="53"/>
      <c r="AG537" s="54"/>
      <c r="AH537" s="55">
        <v>4.1666666666666699E-2</v>
      </c>
      <c r="AI537" s="53"/>
      <c r="AJ537" s="54"/>
      <c r="AK537" s="53"/>
      <c r="AL537" s="54"/>
      <c r="AM537" s="53"/>
      <c r="AN537" s="54"/>
      <c r="AO537" s="53"/>
      <c r="AP537" s="54"/>
      <c r="AQ537" s="53"/>
      <c r="AR537" s="54"/>
      <c r="AS537" s="53"/>
      <c r="AT537" s="54"/>
      <c r="AU537" s="53">
        <v>4.1666666666666699E-2</v>
      </c>
      <c r="AV537" s="54" t="s">
        <v>37</v>
      </c>
      <c r="AW537" s="57">
        <f t="shared" si="73"/>
        <v>4.1666666666666699E-2</v>
      </c>
      <c r="AX537" s="58" t="s">
        <v>117</v>
      </c>
    </row>
    <row r="538" spans="1:50" ht="21.75" customHeight="1">
      <c r="A538" s="38" t="s">
        <v>514</v>
      </c>
      <c r="B538" s="39">
        <f t="shared" si="81"/>
        <v>534</v>
      </c>
      <c r="C538" s="40">
        <v>46036</v>
      </c>
      <c r="D538" s="40" t="s">
        <v>32</v>
      </c>
      <c r="E538" s="40" t="s">
        <v>81</v>
      </c>
      <c r="F538" s="41">
        <v>732.8</v>
      </c>
      <c r="G538" s="42" t="s">
        <v>192</v>
      </c>
      <c r="H538" s="43" t="str">
        <f>IFERROR(VLOOKUP($J538,'[9]FROM (3)'!$E$4:$F$230,2,FALSE),"")</f>
        <v>JATH</v>
      </c>
      <c r="I538" s="44" t="str">
        <f t="shared" si="78"/>
        <v>JGF02-002060-31-3</v>
      </c>
      <c r="J538" s="44" t="str">
        <f t="shared" si="79"/>
        <v>RACK BAR BLANK (JGF02-002060-31-3) 58*D</v>
      </c>
      <c r="K538" s="59" t="str">
        <f t="shared" si="76"/>
        <v>PD25120569</v>
      </c>
      <c r="L538" s="46" t="str" cm="1">
        <f t="array" ref="L538">IFERROR(_xlfn.IFS(
    LEN($A538)-LEN(SUBSTITUTE($A538,"|",""))=12, RIGHT(A538, LEN(A538)-FIND("~", SUBSTITUTE(A538,"|","~", LEN(A538)-LEN(SUBSTITUTE(A538,"|",""))))),
    LEN($A538)-LEN(SUBSTITUTE($A538,"|",""))=13, MID($A538, FIND("~", SUBSTITUTE($A538,"|","~", 11))+1, FIND("~", SUBSTITUTE($A538,"|","~", 12))-FIND("~", SUBSTITUTE($A538,"|","~", 11))-1),
    LEN($A538)-LEN(SUBSTITUTE($A538,"|",""))=14, MID($A538, FIND("~", SUBSTITUTE($A538,"|","~", 11))+1, FIND("~", SUBSTITUTE($A538,"|","~", 12))-FIND("~", SUBSTITUTE($A538,"|","~", 11))-1)
), "")</f>
        <v>5A4332</v>
      </c>
      <c r="M538" s="47" t="str">
        <f t="shared" si="74"/>
        <v>TSK2</v>
      </c>
      <c r="N538" s="46" t="str">
        <f t="shared" si="77"/>
        <v>FB120161/5/25</v>
      </c>
      <c r="O538" s="60">
        <v>58</v>
      </c>
      <c r="P538" s="60">
        <v>271</v>
      </c>
      <c r="Q538" s="48">
        <v>58</v>
      </c>
      <c r="R538" s="48">
        <v>271</v>
      </c>
      <c r="S538" s="48"/>
      <c r="T538" s="48"/>
      <c r="U538" s="49"/>
      <c r="V538" s="49"/>
      <c r="W538" s="50">
        <f t="shared" si="75"/>
        <v>0</v>
      </c>
      <c r="X538" s="51" t="str">
        <f>IF(A538="", "", IF(COUNTIFS(C$3:C537, C538, D$3:D537, D538, G$3:G537, G538) &gt; 0, "", "11:00"-AW538))</f>
        <v/>
      </c>
      <c r="Y538" s="52" t="str">
        <f t="shared" si="80"/>
        <v/>
      </c>
      <c r="Z538" s="53"/>
      <c r="AA538" s="54"/>
      <c r="AB538" s="53"/>
      <c r="AC538" s="54"/>
      <c r="AD538" s="53"/>
      <c r="AE538" s="54"/>
      <c r="AF538" s="53"/>
      <c r="AG538" s="54"/>
      <c r="AH538" s="55">
        <v>4.1666666666666699E-2</v>
      </c>
      <c r="AI538" s="53"/>
      <c r="AJ538" s="54"/>
      <c r="AK538" s="53"/>
      <c r="AL538" s="54"/>
      <c r="AM538" s="53"/>
      <c r="AN538" s="54"/>
      <c r="AO538" s="53"/>
      <c r="AP538" s="54"/>
      <c r="AQ538" s="53"/>
      <c r="AR538" s="54"/>
      <c r="AS538" s="53"/>
      <c r="AT538" s="54"/>
      <c r="AU538" s="53">
        <v>4.1666666666666699E-2</v>
      </c>
      <c r="AV538" s="54" t="s">
        <v>37</v>
      </c>
      <c r="AW538" s="57">
        <f t="shared" si="73"/>
        <v>4.1666666666666699E-2</v>
      </c>
      <c r="AX538" s="58" t="s">
        <v>117</v>
      </c>
    </row>
    <row r="539" spans="1:50" ht="21.75" customHeight="1">
      <c r="A539" s="38" t="s">
        <v>515</v>
      </c>
      <c r="B539" s="39">
        <f t="shared" si="81"/>
        <v>535</v>
      </c>
      <c r="C539" s="40">
        <v>46036</v>
      </c>
      <c r="D539" s="40" t="s">
        <v>32</v>
      </c>
      <c r="E539" s="40" t="s">
        <v>81</v>
      </c>
      <c r="F539" s="41">
        <v>732.8</v>
      </c>
      <c r="G539" s="42" t="s">
        <v>192</v>
      </c>
      <c r="H539" s="43" t="str">
        <f>IFERROR(VLOOKUP($J539,'[9]FROM (3)'!$E$4:$F$230,2,FALSE),"")</f>
        <v>JATH</v>
      </c>
      <c r="I539" s="44" t="str">
        <f t="shared" si="78"/>
        <v>JGF02-002060-31-3</v>
      </c>
      <c r="J539" s="44" t="str">
        <f t="shared" si="79"/>
        <v>RACK BAR BLANK (JGF02-002060-31-3) 58*D</v>
      </c>
      <c r="K539" s="59" t="str">
        <f t="shared" si="76"/>
        <v>PD25120569</v>
      </c>
      <c r="L539" s="46" t="str" cm="1">
        <f t="array" ref="L539">IFERROR(_xlfn.IFS(
    LEN($A539)-LEN(SUBSTITUTE($A539,"|",""))=12, RIGHT(A539, LEN(A539)-FIND("~", SUBSTITUTE(A539,"|","~", LEN(A539)-LEN(SUBSTITUTE(A539,"|",""))))),
    LEN($A539)-LEN(SUBSTITUTE($A539,"|",""))=13, MID($A539, FIND("~", SUBSTITUTE($A539,"|","~", 11))+1, FIND("~", SUBSTITUTE($A539,"|","~", 12))-FIND("~", SUBSTITUTE($A539,"|","~", 11))-1),
    LEN($A539)-LEN(SUBSTITUTE($A539,"|",""))=14, MID($A539, FIND("~", SUBSTITUTE($A539,"|","~", 11))+1, FIND("~", SUBSTITUTE($A539,"|","~", 12))-FIND("~", SUBSTITUTE($A539,"|","~", 11))-1)
), "")</f>
        <v>5A4332</v>
      </c>
      <c r="M539" s="47" t="str">
        <f t="shared" si="74"/>
        <v>TSK2</v>
      </c>
      <c r="N539" s="46" t="str">
        <f t="shared" si="77"/>
        <v>FB120161/4/25</v>
      </c>
      <c r="O539" s="60">
        <v>58</v>
      </c>
      <c r="P539" s="60">
        <v>271</v>
      </c>
      <c r="Q539" s="48">
        <v>58</v>
      </c>
      <c r="R539" s="48">
        <v>271</v>
      </c>
      <c r="S539" s="48"/>
      <c r="T539" s="48"/>
      <c r="U539" s="49"/>
      <c r="V539" s="49"/>
      <c r="W539" s="50">
        <f t="shared" si="75"/>
        <v>0</v>
      </c>
      <c r="X539" s="51" t="str">
        <f>IF(A539="", "", IF(COUNTIFS(C$3:C538, C539, D$3:D538, D539, G$3:G538, G539) &gt; 0, "", "11:00"-AW539))</f>
        <v/>
      </c>
      <c r="Y539" s="52" t="str">
        <f t="shared" si="80"/>
        <v/>
      </c>
      <c r="Z539" s="53"/>
      <c r="AA539" s="54"/>
      <c r="AB539" s="53"/>
      <c r="AC539" s="54"/>
      <c r="AD539" s="53"/>
      <c r="AE539" s="54"/>
      <c r="AF539" s="53"/>
      <c r="AG539" s="54"/>
      <c r="AH539" s="55">
        <v>4.1666666666666699E-2</v>
      </c>
      <c r="AI539" s="53"/>
      <c r="AJ539" s="54"/>
      <c r="AK539" s="53"/>
      <c r="AL539" s="54"/>
      <c r="AM539" s="53"/>
      <c r="AN539" s="54"/>
      <c r="AO539" s="53"/>
      <c r="AP539" s="54"/>
      <c r="AQ539" s="53"/>
      <c r="AR539" s="54"/>
      <c r="AS539" s="53"/>
      <c r="AT539" s="54"/>
      <c r="AU539" s="53">
        <v>4.1666666666666699E-2</v>
      </c>
      <c r="AV539" s="54" t="s">
        <v>37</v>
      </c>
      <c r="AW539" s="57">
        <f t="shared" si="73"/>
        <v>4.1666666666666699E-2</v>
      </c>
      <c r="AX539" s="58" t="s">
        <v>117</v>
      </c>
    </row>
    <row r="540" spans="1:50" ht="21.75" customHeight="1">
      <c r="A540" s="38" t="s">
        <v>516</v>
      </c>
      <c r="B540" s="39">
        <f t="shared" si="81"/>
        <v>536</v>
      </c>
      <c r="C540" s="40">
        <v>46036</v>
      </c>
      <c r="D540" s="40" t="s">
        <v>32</v>
      </c>
      <c r="E540" s="40" t="s">
        <v>81</v>
      </c>
      <c r="F540" s="41">
        <v>732.8</v>
      </c>
      <c r="G540" s="42" t="s">
        <v>192</v>
      </c>
      <c r="H540" s="43" t="str">
        <f>IFERROR(VLOOKUP($J540,'[9]FROM (3)'!$E$4:$F$230,2,FALSE),"")</f>
        <v>JATH</v>
      </c>
      <c r="I540" s="44" t="str">
        <f t="shared" si="78"/>
        <v>JGF02-002060-31-3</v>
      </c>
      <c r="J540" s="44" t="str">
        <f t="shared" si="79"/>
        <v>RACK BAR BLANK (JGF02-002060-31-3) 58*D</v>
      </c>
      <c r="K540" s="59" t="str">
        <f t="shared" si="76"/>
        <v>PD25120569</v>
      </c>
      <c r="L540" s="46" t="str" cm="1">
        <f t="array" ref="L540">IFERROR(_xlfn.IFS(
    LEN($A540)-LEN(SUBSTITUTE($A540,"|",""))=12, RIGHT(A540, LEN(A540)-FIND("~", SUBSTITUTE(A540,"|","~", LEN(A540)-LEN(SUBSTITUTE(A540,"|",""))))),
    LEN($A540)-LEN(SUBSTITUTE($A540,"|",""))=13, MID($A540, FIND("~", SUBSTITUTE($A540,"|","~", 11))+1, FIND("~", SUBSTITUTE($A540,"|","~", 12))-FIND("~", SUBSTITUTE($A540,"|","~", 11))-1),
    LEN($A540)-LEN(SUBSTITUTE($A540,"|",""))=14, MID($A540, FIND("~", SUBSTITUTE($A540,"|","~", 11))+1, FIND("~", SUBSTITUTE($A540,"|","~", 12))-FIND("~", SUBSTITUTE($A540,"|","~", 11))-1)
), "")</f>
        <v>5A4332</v>
      </c>
      <c r="M540" s="47" t="str">
        <f t="shared" si="74"/>
        <v>TSK2</v>
      </c>
      <c r="N540" s="46" t="str">
        <f t="shared" si="77"/>
        <v>FB120161/7/25</v>
      </c>
      <c r="O540" s="60">
        <v>58</v>
      </c>
      <c r="P540" s="60">
        <v>271</v>
      </c>
      <c r="Q540" s="48">
        <v>58</v>
      </c>
      <c r="R540" s="48">
        <v>271</v>
      </c>
      <c r="S540" s="48"/>
      <c r="T540" s="48"/>
      <c r="U540" s="49"/>
      <c r="V540" s="49"/>
      <c r="W540" s="50">
        <f t="shared" si="75"/>
        <v>0</v>
      </c>
      <c r="X540" s="51" t="str">
        <f>IF(A540="", "", IF(COUNTIFS(C$3:C539, C540, D$3:D539, D540, G$3:G539, G540) &gt; 0, "", "11:00"-AW540))</f>
        <v/>
      </c>
      <c r="Y540" s="52" t="str">
        <f t="shared" si="80"/>
        <v/>
      </c>
      <c r="Z540" s="53"/>
      <c r="AA540" s="54"/>
      <c r="AB540" s="53"/>
      <c r="AC540" s="54"/>
      <c r="AD540" s="53"/>
      <c r="AE540" s="54"/>
      <c r="AF540" s="53"/>
      <c r="AG540" s="54"/>
      <c r="AH540" s="55">
        <v>4.1666666666666699E-2</v>
      </c>
      <c r="AI540" s="53"/>
      <c r="AJ540" s="54"/>
      <c r="AK540" s="53"/>
      <c r="AL540" s="54"/>
      <c r="AM540" s="53"/>
      <c r="AN540" s="54"/>
      <c r="AO540" s="53"/>
      <c r="AP540" s="54"/>
      <c r="AQ540" s="53"/>
      <c r="AR540" s="54"/>
      <c r="AS540" s="53"/>
      <c r="AT540" s="54"/>
      <c r="AU540" s="53">
        <v>4.1666666666666699E-2</v>
      </c>
      <c r="AV540" s="54" t="s">
        <v>37</v>
      </c>
      <c r="AW540" s="57">
        <f t="shared" si="73"/>
        <v>4.1666666666666699E-2</v>
      </c>
      <c r="AX540" s="58" t="s">
        <v>117</v>
      </c>
    </row>
    <row r="541" spans="1:50" ht="21.75" customHeight="1">
      <c r="A541" s="38" t="s">
        <v>517</v>
      </c>
      <c r="B541" s="39">
        <f t="shared" si="81"/>
        <v>537</v>
      </c>
      <c r="C541" s="40">
        <v>46036</v>
      </c>
      <c r="D541" s="40" t="s">
        <v>32</v>
      </c>
      <c r="E541" s="40" t="s">
        <v>81</v>
      </c>
      <c r="F541" s="41">
        <v>732.8</v>
      </c>
      <c r="G541" s="42" t="s">
        <v>192</v>
      </c>
      <c r="H541" s="43" t="str">
        <f>IFERROR(VLOOKUP($J541,'[9]FROM (3)'!$E$4:$F$230,2,FALSE),"")</f>
        <v>JATH</v>
      </c>
      <c r="I541" s="44" t="str">
        <f t="shared" si="78"/>
        <v>JGF02-002060-31-3</v>
      </c>
      <c r="J541" s="44" t="str">
        <f t="shared" si="79"/>
        <v>RACK BAR BLANK (JGF02-002060-31-3) 58*D</v>
      </c>
      <c r="K541" s="59" t="str">
        <f t="shared" si="76"/>
        <v>PD25120569</v>
      </c>
      <c r="L541" s="46" t="str" cm="1">
        <f t="array" ref="L541">IFERROR(_xlfn.IFS(
    LEN($A541)-LEN(SUBSTITUTE($A541,"|",""))=12, RIGHT(A541, LEN(A541)-FIND("~", SUBSTITUTE(A541,"|","~", LEN(A541)-LEN(SUBSTITUTE(A541,"|",""))))),
    LEN($A541)-LEN(SUBSTITUTE($A541,"|",""))=13, MID($A541, FIND("~", SUBSTITUTE($A541,"|","~", 11))+1, FIND("~", SUBSTITUTE($A541,"|","~", 12))-FIND("~", SUBSTITUTE($A541,"|","~", 11))-1),
    LEN($A541)-LEN(SUBSTITUTE($A541,"|",""))=14, MID($A541, FIND("~", SUBSTITUTE($A541,"|","~", 11))+1, FIND("~", SUBSTITUTE($A541,"|","~", 12))-FIND("~", SUBSTITUTE($A541,"|","~", 11))-1)
), "")</f>
        <v>5A4332</v>
      </c>
      <c r="M541" s="47" t="str">
        <f t="shared" si="74"/>
        <v>TSK2</v>
      </c>
      <c r="N541" s="46" t="str">
        <f t="shared" si="77"/>
        <v>FB120161/8/25</v>
      </c>
      <c r="O541" s="60">
        <v>58</v>
      </c>
      <c r="P541" s="60">
        <v>271</v>
      </c>
      <c r="Q541" s="48">
        <v>58</v>
      </c>
      <c r="R541" s="48">
        <v>271</v>
      </c>
      <c r="S541" s="48"/>
      <c r="T541" s="48"/>
      <c r="U541" s="49"/>
      <c r="V541" s="49"/>
      <c r="W541" s="50">
        <f t="shared" si="75"/>
        <v>0</v>
      </c>
      <c r="X541" s="51" t="str">
        <f>IF(A541="", "", IF(COUNTIFS(C$3:C540, C541, D$3:D540, D541, G$3:G540, G541) &gt; 0, "", "11:00"-AW541))</f>
        <v/>
      </c>
      <c r="Y541" s="52" t="str">
        <f t="shared" si="80"/>
        <v/>
      </c>
      <c r="Z541" s="53"/>
      <c r="AA541" s="54"/>
      <c r="AB541" s="53"/>
      <c r="AC541" s="54"/>
      <c r="AD541" s="53"/>
      <c r="AE541" s="54"/>
      <c r="AF541" s="53"/>
      <c r="AG541" s="54"/>
      <c r="AH541" s="55">
        <v>4.1666666666666699E-2</v>
      </c>
      <c r="AI541" s="53"/>
      <c r="AJ541" s="54"/>
      <c r="AK541" s="53"/>
      <c r="AL541" s="54"/>
      <c r="AM541" s="53"/>
      <c r="AN541" s="54"/>
      <c r="AO541" s="53"/>
      <c r="AP541" s="54"/>
      <c r="AQ541" s="53"/>
      <c r="AR541" s="54"/>
      <c r="AS541" s="53"/>
      <c r="AT541" s="54"/>
      <c r="AU541" s="53">
        <v>4.1666666666666699E-2</v>
      </c>
      <c r="AV541" s="54" t="s">
        <v>37</v>
      </c>
      <c r="AW541" s="57">
        <f t="shared" si="73"/>
        <v>4.1666666666666699E-2</v>
      </c>
      <c r="AX541" s="58" t="s">
        <v>117</v>
      </c>
    </row>
    <row r="542" spans="1:50" ht="21.75" customHeight="1">
      <c r="A542" s="38" t="s">
        <v>518</v>
      </c>
      <c r="B542" s="39">
        <f t="shared" si="81"/>
        <v>538</v>
      </c>
      <c r="C542" s="40">
        <v>46036</v>
      </c>
      <c r="D542" s="40" t="s">
        <v>32</v>
      </c>
      <c r="E542" s="40" t="s">
        <v>81</v>
      </c>
      <c r="F542" s="41">
        <v>732.8</v>
      </c>
      <c r="G542" s="42" t="s">
        <v>192</v>
      </c>
      <c r="H542" s="43" t="str">
        <f>IFERROR(VLOOKUP($J542,'[9]FROM (3)'!$E$4:$F$230,2,FALSE),"")</f>
        <v>JATH</v>
      </c>
      <c r="I542" s="44" t="str">
        <f t="shared" si="78"/>
        <v>JGF02-002060-31-3</v>
      </c>
      <c r="J542" s="44" t="str">
        <f t="shared" si="79"/>
        <v>RACK BAR BLANK (JGF02-002060-31-3) 58*D</v>
      </c>
      <c r="K542" s="59" t="str">
        <f t="shared" si="76"/>
        <v>PD25120569</v>
      </c>
      <c r="L542" s="46" t="str" cm="1">
        <f t="array" ref="L542">IFERROR(_xlfn.IFS(
    LEN($A542)-LEN(SUBSTITUTE($A542,"|",""))=12, RIGHT(A542, LEN(A542)-FIND("~", SUBSTITUTE(A542,"|","~", LEN(A542)-LEN(SUBSTITUTE(A542,"|",""))))),
    LEN($A542)-LEN(SUBSTITUTE($A542,"|",""))=13, MID($A542, FIND("~", SUBSTITUTE($A542,"|","~", 11))+1, FIND("~", SUBSTITUTE($A542,"|","~", 12))-FIND("~", SUBSTITUTE($A542,"|","~", 11))-1),
    LEN($A542)-LEN(SUBSTITUTE($A542,"|",""))=14, MID($A542, FIND("~", SUBSTITUTE($A542,"|","~", 11))+1, FIND("~", SUBSTITUTE($A542,"|","~", 12))-FIND("~", SUBSTITUTE($A542,"|","~", 11))-1)
), "")</f>
        <v>5A4332</v>
      </c>
      <c r="M542" s="47" t="str">
        <f t="shared" si="74"/>
        <v>TSK2</v>
      </c>
      <c r="N542" s="46" t="str">
        <f t="shared" si="77"/>
        <v>FB120161/10/25</v>
      </c>
      <c r="O542" s="60">
        <v>58</v>
      </c>
      <c r="P542" s="60">
        <v>271</v>
      </c>
      <c r="Q542" s="48">
        <v>58</v>
      </c>
      <c r="R542" s="48">
        <v>271</v>
      </c>
      <c r="S542" s="48"/>
      <c r="T542" s="48"/>
      <c r="U542" s="49"/>
      <c r="V542" s="49"/>
      <c r="W542" s="50">
        <f t="shared" si="75"/>
        <v>0</v>
      </c>
      <c r="X542" s="51" t="str">
        <f>IF(A542="", "", IF(COUNTIFS(C$3:C541, C542, D$3:D541, D542, G$3:G541, G542) &gt; 0, "", "11:00"-AW542))</f>
        <v/>
      </c>
      <c r="Y542" s="52" t="str">
        <f t="shared" si="80"/>
        <v/>
      </c>
      <c r="Z542" s="53"/>
      <c r="AA542" s="54"/>
      <c r="AB542" s="53"/>
      <c r="AC542" s="54"/>
      <c r="AD542" s="53"/>
      <c r="AE542" s="54"/>
      <c r="AF542" s="53"/>
      <c r="AG542" s="54"/>
      <c r="AH542" s="55">
        <v>4.1666666666666699E-2</v>
      </c>
      <c r="AI542" s="53"/>
      <c r="AJ542" s="54"/>
      <c r="AK542" s="53"/>
      <c r="AL542" s="54"/>
      <c r="AM542" s="53"/>
      <c r="AN542" s="54"/>
      <c r="AO542" s="53"/>
      <c r="AP542" s="54"/>
      <c r="AQ542" s="53"/>
      <c r="AR542" s="54"/>
      <c r="AS542" s="53"/>
      <c r="AT542" s="54"/>
      <c r="AU542" s="53">
        <v>4.1666666666666699E-2</v>
      </c>
      <c r="AV542" s="54" t="s">
        <v>37</v>
      </c>
      <c r="AW542" s="57">
        <f t="shared" ref="AW542:AW605" si="82">SUM(Z542,AB542,AD542,AF542,AI542,AK542,AM542,AO542,AQ542,AS542,AU542)</f>
        <v>4.1666666666666699E-2</v>
      </c>
      <c r="AX542" s="58" t="s">
        <v>117</v>
      </c>
    </row>
    <row r="543" spans="1:50" ht="21.75" customHeight="1">
      <c r="A543" s="38" t="s">
        <v>519</v>
      </c>
      <c r="B543" s="39">
        <f t="shared" si="81"/>
        <v>539</v>
      </c>
      <c r="C543" s="40">
        <v>46037</v>
      </c>
      <c r="D543" s="40" t="s">
        <v>80</v>
      </c>
      <c r="E543" s="40" t="s">
        <v>33</v>
      </c>
      <c r="F543" s="41" t="s">
        <v>404</v>
      </c>
      <c r="G543" s="42" t="s">
        <v>44</v>
      </c>
      <c r="H543" s="43" t="str">
        <f>IFERROR(VLOOKUP($J543,'[9]FROM (3)'!$E$4:$F$230,2,FALSE),"")</f>
        <v>DNTH</v>
      </c>
      <c r="I543" s="44" t="str">
        <f t="shared" si="78"/>
        <v>SLUG VALVE ROTARY</v>
      </c>
      <c r="J543" s="44" t="str">
        <f t="shared" si="79"/>
        <v>TGY95613-0020</v>
      </c>
      <c r="K543" s="59" t="str">
        <f t="shared" si="76"/>
        <v>PD26010427</v>
      </c>
      <c r="L543" s="46" t="str" cm="1">
        <f t="array" ref="L543">IFERROR(_xlfn.IFS(
    LEN($A543)-LEN(SUBSTITUTE($A543,"|",""))=12, RIGHT(A543, LEN(A543)-FIND("~", SUBSTITUTE(A543,"|","~", LEN(A543)-LEN(SUBSTITUTE(A543,"|",""))))),
    LEN($A543)-LEN(SUBSTITUTE($A543,"|",""))=13, MID($A543, FIND("~", SUBSTITUTE($A543,"|","~", 11))+1, FIND("~", SUBSTITUTE($A543,"|","~", 12))-FIND("~", SUBSTITUTE($A543,"|","~", 11))-1),
    LEN($A543)-LEN(SUBSTITUTE($A543,"|",""))=14, MID($A543, FIND("~", SUBSTITUTE($A543,"|","~", 11))+1, FIND("~", SUBSTITUTE($A543,"|","~", 12))-FIND("~", SUBSTITUTE($A543,"|","~", 11))-1)
), "")</f>
        <v>E585734</v>
      </c>
      <c r="M543" s="47" t="str">
        <f t="shared" si="74"/>
        <v>SB010040/2/26</v>
      </c>
      <c r="N543" s="46" t="str">
        <f t="shared" si="77"/>
        <v/>
      </c>
      <c r="O543" s="60"/>
      <c r="P543" s="60"/>
      <c r="Q543" s="48">
        <v>4234</v>
      </c>
      <c r="R543" s="48">
        <v>839</v>
      </c>
      <c r="S543" s="48"/>
      <c r="T543" s="48"/>
      <c r="U543" s="49"/>
      <c r="V543" s="49"/>
      <c r="W543" s="50">
        <f t="shared" si="75"/>
        <v>0</v>
      </c>
      <c r="X543" s="51">
        <f>IF(A543="", "", IF(COUNTIFS(C$3:C542, C543, D$3:D542, D543, G$3:G542, G543) &gt; 0, "", "11:00"-AW543))</f>
        <v>0.41666666666666663</v>
      </c>
      <c r="Y543" s="52" t="str">
        <f t="shared" si="80"/>
        <v>1:40</v>
      </c>
      <c r="Z543" s="53"/>
      <c r="AA543" s="54"/>
      <c r="AB543" s="53"/>
      <c r="AC543" s="54"/>
      <c r="AD543" s="53"/>
      <c r="AE543" s="54"/>
      <c r="AF543" s="53"/>
      <c r="AG543" s="54"/>
      <c r="AH543" s="55">
        <v>4.1666666666666699E-2</v>
      </c>
      <c r="AI543" s="53"/>
      <c r="AJ543" s="54"/>
      <c r="AK543" s="53"/>
      <c r="AL543" s="54"/>
      <c r="AM543" s="53"/>
      <c r="AN543" s="54"/>
      <c r="AO543" s="53"/>
      <c r="AP543" s="54"/>
      <c r="AQ543" s="53"/>
      <c r="AR543" s="54"/>
      <c r="AS543" s="53"/>
      <c r="AT543" s="54"/>
      <c r="AU543" s="53">
        <v>4.1666666666666699E-2</v>
      </c>
      <c r="AV543" s="54" t="s">
        <v>37</v>
      </c>
      <c r="AW543" s="57">
        <f t="shared" si="82"/>
        <v>4.1666666666666699E-2</v>
      </c>
      <c r="AX543" s="58" t="s">
        <v>203</v>
      </c>
    </row>
    <row r="544" spans="1:50" ht="21.75" customHeight="1">
      <c r="A544" s="38" t="s">
        <v>503</v>
      </c>
      <c r="B544" s="39">
        <f t="shared" si="81"/>
        <v>540</v>
      </c>
      <c r="C544" s="40">
        <v>46037</v>
      </c>
      <c r="D544" s="40" t="s">
        <v>80</v>
      </c>
      <c r="E544" s="40" t="s">
        <v>33</v>
      </c>
      <c r="F544" s="41">
        <v>157</v>
      </c>
      <c r="G544" s="42" t="s">
        <v>85</v>
      </c>
      <c r="H544" s="43" t="str">
        <f>IFERROR(VLOOKUP($J544,'[9]FROM (3)'!$E$4:$F$230,2,FALSE),"")</f>
        <v>DNTH</v>
      </c>
      <c r="I544" s="44" t="str">
        <f t="shared" si="78"/>
        <v>SLUG CONNECTOR FUEL INLET</v>
      </c>
      <c r="J544" s="44" t="str">
        <f t="shared" si="79"/>
        <v>TGY95065-0010</v>
      </c>
      <c r="K544" s="59" t="str">
        <f t="shared" si="76"/>
        <v>PD26010501</v>
      </c>
      <c r="L544" s="46" t="str" cm="1">
        <f t="array" ref="L544">IFERROR(_xlfn.IFS(
    LEN($A544)-LEN(SUBSTITUTE($A544,"|",""))=12, RIGHT(A544, LEN(A544)-FIND("~", SUBSTITUTE(A544,"|","~", LEN(A544)-LEN(SUBSTITUTE(A544,"|",""))))),
    LEN($A544)-LEN(SUBSTITUTE($A544,"|",""))=13, MID($A544, FIND("~", SUBSTITUTE($A544,"|","~", 11))+1, FIND("~", SUBSTITUTE($A544,"|","~", 12))-FIND("~", SUBSTITUTE($A544,"|","~", 11))-1),
    LEN($A544)-LEN(SUBSTITUTE($A544,"|",""))=14, MID($A544, FIND("~", SUBSTITUTE($A544,"|","~", 11))+1, FIND("~", SUBSTITUTE($A544,"|","~", 12))-FIND("~", SUBSTITUTE($A544,"|","~", 11))-1)
), "")</f>
        <v>E586354</v>
      </c>
      <c r="M544" s="47" t="str">
        <f t="shared" si="74"/>
        <v>SB010006/1/26</v>
      </c>
      <c r="N544" s="46" t="str">
        <f t="shared" si="77"/>
        <v/>
      </c>
      <c r="O544" s="60"/>
      <c r="P544" s="60"/>
      <c r="Q544" s="48">
        <v>5225</v>
      </c>
      <c r="R544" s="48">
        <v>825</v>
      </c>
      <c r="S544" s="48"/>
      <c r="T544" s="48"/>
      <c r="U544" s="49"/>
      <c r="V544" s="49"/>
      <c r="W544" s="50">
        <f t="shared" si="75"/>
        <v>0</v>
      </c>
      <c r="X544" s="51">
        <f>IF(A544="", "", IF(COUNTIFS(C$3:C543, C544, D$3:D543, D544, G$3:G543, G544) &gt; 0, "", "11:00"-AW544))</f>
        <v>0.41666666666666663</v>
      </c>
      <c r="Y544" s="52" t="str">
        <f t="shared" si="80"/>
        <v>1:40</v>
      </c>
      <c r="Z544" s="53"/>
      <c r="AA544" s="54"/>
      <c r="AB544" s="53"/>
      <c r="AC544" s="54"/>
      <c r="AD544" s="53"/>
      <c r="AE544" s="54"/>
      <c r="AF544" s="53"/>
      <c r="AG544" s="54"/>
      <c r="AH544" s="55">
        <v>4.1666666666666699E-2</v>
      </c>
      <c r="AI544" s="53"/>
      <c r="AJ544" s="54"/>
      <c r="AK544" s="53"/>
      <c r="AL544" s="54"/>
      <c r="AM544" s="53"/>
      <c r="AN544" s="54"/>
      <c r="AO544" s="53"/>
      <c r="AP544" s="54"/>
      <c r="AQ544" s="53"/>
      <c r="AR544" s="54"/>
      <c r="AS544" s="53"/>
      <c r="AT544" s="54"/>
      <c r="AU544" s="53">
        <v>4.1666666666666699E-2</v>
      </c>
      <c r="AV544" s="54" t="s">
        <v>37</v>
      </c>
      <c r="AW544" s="57">
        <f t="shared" si="82"/>
        <v>4.1666666666666699E-2</v>
      </c>
      <c r="AX544" s="58" t="s">
        <v>203</v>
      </c>
    </row>
    <row r="545" spans="1:50" ht="21.75" customHeight="1">
      <c r="A545" s="38" t="s">
        <v>520</v>
      </c>
      <c r="B545" s="39">
        <f t="shared" si="81"/>
        <v>541</v>
      </c>
      <c r="C545" s="40">
        <v>46037</v>
      </c>
      <c r="D545" s="40" t="s">
        <v>80</v>
      </c>
      <c r="E545" s="40" t="s">
        <v>33</v>
      </c>
      <c r="F545" s="41">
        <v>23.4</v>
      </c>
      <c r="G545" s="42" t="s">
        <v>34</v>
      </c>
      <c r="H545" s="43" t="str">
        <f>IFERROR(VLOOKUP($J545,'[9]FROM (3)'!$E$4:$F$230,2,FALSE),"")</f>
        <v/>
      </c>
      <c r="I545" s="44" t="str">
        <f t="shared" si="78"/>
        <v>FLANGE-13 SLUG</v>
      </c>
      <c r="J545" s="44" t="str">
        <f t="shared" si="79"/>
        <v>ZZ2B7401TX1</v>
      </c>
      <c r="K545" s="59" t="str">
        <f t="shared" si="76"/>
        <v>PD26010472</v>
      </c>
      <c r="L545" s="46" t="str" cm="1">
        <f t="array" ref="L545">IFERROR(_xlfn.IFS(
    LEN($A545)-LEN(SUBSTITUTE($A545,"|",""))=12, RIGHT(A545, LEN(A545)-FIND("~", SUBSTITUTE(A545,"|","~", LEN(A545)-LEN(SUBSTITUTE(A545,"|",""))))),
    LEN($A545)-LEN(SUBSTITUTE($A545,"|",""))=13, MID($A545, FIND("~", SUBSTITUTE($A545,"|","~", 11))+1, FIND("~", SUBSTITUTE($A545,"|","~", 12))-FIND("~", SUBSTITUTE($A545,"|","~", 11))-1),
    LEN($A545)-LEN(SUBSTITUTE($A545,"|",""))=14, MID($A545, FIND("~", SUBSTITUTE($A545,"|","~", 11))+1, FIND("~", SUBSTITUTE($A545,"|","~", 12))-FIND("~", SUBSTITUTE($A545,"|","~", 11))-1)
), "")</f>
        <v>2-73052</v>
      </c>
      <c r="M545" s="47" t="str">
        <f t="shared" si="74"/>
        <v>2B2600088</v>
      </c>
      <c r="N545" s="46" t="str">
        <f t="shared" si="77"/>
        <v/>
      </c>
      <c r="O545" s="60"/>
      <c r="P545" s="60"/>
      <c r="Q545" s="48">
        <v>3820</v>
      </c>
      <c r="R545" s="48">
        <v>881</v>
      </c>
      <c r="S545" s="48"/>
      <c r="T545" s="48"/>
      <c r="U545" s="49"/>
      <c r="V545" s="49"/>
      <c r="W545" s="50">
        <f t="shared" si="75"/>
        <v>0</v>
      </c>
      <c r="X545" s="51">
        <f>IF(A545="", "", IF(COUNTIFS(C$3:C544, C545, D$3:D544, D545, G$3:G544, G545) &gt; 0, "", "11:00"-AW545))</f>
        <v>0.41666666666666663</v>
      </c>
      <c r="Y545" s="52" t="str">
        <f t="shared" si="80"/>
        <v>1:40</v>
      </c>
      <c r="Z545" s="53"/>
      <c r="AA545" s="54"/>
      <c r="AB545" s="53"/>
      <c r="AC545" s="54"/>
      <c r="AD545" s="53"/>
      <c r="AE545" s="54"/>
      <c r="AF545" s="53"/>
      <c r="AG545" s="54"/>
      <c r="AH545" s="55">
        <v>4.1666666666666699E-2</v>
      </c>
      <c r="AI545" s="53"/>
      <c r="AJ545" s="54"/>
      <c r="AK545" s="53"/>
      <c r="AL545" s="54"/>
      <c r="AM545" s="53"/>
      <c r="AN545" s="54"/>
      <c r="AO545" s="53"/>
      <c r="AP545" s="54"/>
      <c r="AQ545" s="53"/>
      <c r="AR545" s="54"/>
      <c r="AS545" s="53"/>
      <c r="AT545" s="54"/>
      <c r="AU545" s="53">
        <v>4.1666666666666699E-2</v>
      </c>
      <c r="AV545" s="54" t="s">
        <v>37</v>
      </c>
      <c r="AW545" s="57">
        <f t="shared" si="82"/>
        <v>4.1666666666666699E-2</v>
      </c>
      <c r="AX545" s="58" t="s">
        <v>203</v>
      </c>
    </row>
    <row r="546" spans="1:50" ht="21.75" customHeight="1">
      <c r="A546" s="38" t="s">
        <v>500</v>
      </c>
      <c r="B546" s="39">
        <f t="shared" si="81"/>
        <v>542</v>
      </c>
      <c r="C546" s="40">
        <v>46037</v>
      </c>
      <c r="D546" s="40" t="s">
        <v>80</v>
      </c>
      <c r="E546" s="40" t="s">
        <v>33</v>
      </c>
      <c r="F546" s="41">
        <v>111.6</v>
      </c>
      <c r="G546" s="42" t="s">
        <v>41</v>
      </c>
      <c r="H546" s="43" t="str">
        <f>IFERROR(VLOOKUP($J546,'[9]FROM (3)'!$E$4:$F$230,2,FALSE),"")</f>
        <v>(Astemo)AS-TK</v>
      </c>
      <c r="I546" s="44" t="str">
        <f t="shared" si="78"/>
        <v>CAP RESERVOIR</v>
      </c>
      <c r="J546" s="44" t="str">
        <f t="shared" si="79"/>
        <v>8A10524</v>
      </c>
      <c r="K546" s="59" t="str">
        <f t="shared" si="76"/>
        <v>PD26010109</v>
      </c>
      <c r="L546" s="46" t="str" cm="1">
        <f t="array" ref="L546">IFERROR(_xlfn.IFS(
    LEN($A546)-LEN(SUBSTITUTE($A546,"|",""))=12, RIGHT(A546, LEN(A546)-FIND("~", SUBSTITUTE(A546,"|","~", LEN(A546)-LEN(SUBSTITUTE(A546,"|",""))))),
    LEN($A546)-LEN(SUBSTITUTE($A546,"|",""))=13, MID($A546, FIND("~", SUBSTITUTE($A546,"|","~", 11))+1, FIND("~", SUBSTITUTE($A546,"|","~", 12))-FIND("~", SUBSTITUTE($A546,"|","~", 11))-1),
    LEN($A546)-LEN(SUBSTITUTE($A546,"|",""))=14, MID($A546, FIND("~", SUBSTITUTE($A546,"|","~", 11))+1, FIND("~", SUBSTITUTE($A546,"|","~", 12))-FIND("~", SUBSTITUTE($A546,"|","~", 11))-1)
), "")</f>
        <v>3V096</v>
      </c>
      <c r="M546" s="47" t="str">
        <f t="shared" si="74"/>
        <v>SB010003/4/26</v>
      </c>
      <c r="N546" s="46" t="str">
        <f t="shared" si="77"/>
        <v/>
      </c>
      <c r="O546" s="60"/>
      <c r="P546" s="60"/>
      <c r="Q546" s="48">
        <v>4372</v>
      </c>
      <c r="R546" s="48">
        <v>488</v>
      </c>
      <c r="S546" s="48"/>
      <c r="T546" s="48"/>
      <c r="U546" s="49"/>
      <c r="V546" s="49"/>
      <c r="W546" s="50">
        <f t="shared" si="75"/>
        <v>0</v>
      </c>
      <c r="X546" s="51">
        <f>IF(A546="", "", IF(COUNTIFS(C$3:C545, C546, D$3:D545, D546, G$3:G545, G546) &gt; 0, "", "11:00"-AW546))</f>
        <v>0.41666666666666663</v>
      </c>
      <c r="Y546" s="52" t="str">
        <f t="shared" si="80"/>
        <v>1:40</v>
      </c>
      <c r="Z546" s="53"/>
      <c r="AA546" s="54"/>
      <c r="AB546" s="53"/>
      <c r="AC546" s="54"/>
      <c r="AD546" s="53"/>
      <c r="AE546" s="54"/>
      <c r="AF546" s="53"/>
      <c r="AG546" s="54"/>
      <c r="AH546" s="55">
        <v>4.1666666666666699E-2</v>
      </c>
      <c r="AI546" s="53"/>
      <c r="AJ546" s="54"/>
      <c r="AK546" s="53"/>
      <c r="AL546" s="54"/>
      <c r="AM546" s="53"/>
      <c r="AN546" s="54"/>
      <c r="AO546" s="53"/>
      <c r="AP546" s="54"/>
      <c r="AQ546" s="53"/>
      <c r="AR546" s="54"/>
      <c r="AS546" s="53"/>
      <c r="AT546" s="54"/>
      <c r="AU546" s="53">
        <v>4.1666666666666699E-2</v>
      </c>
      <c r="AV546" s="54" t="s">
        <v>37</v>
      </c>
      <c r="AW546" s="57">
        <f t="shared" si="82"/>
        <v>4.1666666666666699E-2</v>
      </c>
      <c r="AX546" s="58" t="s">
        <v>203</v>
      </c>
    </row>
    <row r="547" spans="1:50" ht="21.75" customHeight="1">
      <c r="A547" s="38" t="s">
        <v>499</v>
      </c>
      <c r="B547" s="39">
        <f t="shared" si="81"/>
        <v>543</v>
      </c>
      <c r="C547" s="40">
        <v>46037</v>
      </c>
      <c r="D547" s="40" t="s">
        <v>80</v>
      </c>
      <c r="E547" s="40" t="s">
        <v>33</v>
      </c>
      <c r="F547" s="41">
        <v>755.4</v>
      </c>
      <c r="G547" s="42" t="s">
        <v>75</v>
      </c>
      <c r="H547" s="43" t="str">
        <f>IFERROR(VLOOKUP($J547,'[9]FROM (3)'!$E$4:$F$230,2,FALSE),"")</f>
        <v>JTCS</v>
      </c>
      <c r="I547" s="44" t="str">
        <f t="shared" si="78"/>
        <v>RACK, PS</v>
      </c>
      <c r="J547" s="44" t="str">
        <f t="shared" si="79"/>
        <v>JGD10-001260-40-1</v>
      </c>
      <c r="K547" s="59" t="str">
        <f t="shared" si="76"/>
        <v>PD26010490</v>
      </c>
      <c r="L547" s="46" t="str" cm="1">
        <f t="array" ref="L547">IFERROR(_xlfn.IFS(
    LEN($A547)-LEN(SUBSTITUTE($A547,"|",""))=12, RIGHT(A547, LEN(A547)-FIND("~", SUBSTITUTE(A547,"|","~", LEN(A547)-LEN(SUBSTITUTE(A547,"|",""))))),
    LEN($A547)-LEN(SUBSTITUTE($A547,"|",""))=13, MID($A547, FIND("~", SUBSTITUTE($A547,"|","~", 11))+1, FIND("~", SUBSTITUTE($A547,"|","~", 12))-FIND("~", SUBSTITUTE($A547,"|","~", 11))-1),
    LEN($A547)-LEN(SUBSTITUTE($A547,"|",""))=14, MID($A547, FIND("~", SUBSTITUTE($A547,"|","~", 11))+1, FIND("~", SUBSTITUTE($A547,"|","~", 12))-FIND("~", SUBSTITUTE($A547,"|","~", 11))-1)
), "")</f>
        <v>E586967</v>
      </c>
      <c r="M547" s="47" t="str">
        <f t="shared" si="74"/>
        <v>SB010045/1/26</v>
      </c>
      <c r="N547" s="46" t="str">
        <f t="shared" si="77"/>
        <v/>
      </c>
      <c r="O547" s="60"/>
      <c r="P547" s="60"/>
      <c r="Q547" s="48">
        <v>42</v>
      </c>
      <c r="R547" s="48">
        <v>203</v>
      </c>
      <c r="S547" s="48"/>
      <c r="T547" s="48"/>
      <c r="U547" s="49">
        <v>103</v>
      </c>
      <c r="V547" s="49">
        <v>6</v>
      </c>
      <c r="W547" s="50">
        <f t="shared" si="75"/>
        <v>109</v>
      </c>
      <c r="X547" s="51">
        <f>IF(A547="", "", IF(COUNTIFS(C$3:C546, C547, D$3:D546, D547, G$3:G546, G547) &gt; 0, "", "11:00"-AW547))</f>
        <v>0.37499999999999994</v>
      </c>
      <c r="Y547" s="52" t="str">
        <f t="shared" si="80"/>
        <v>1:40</v>
      </c>
      <c r="Z547" s="53"/>
      <c r="AA547" s="54"/>
      <c r="AB547" s="53"/>
      <c r="AC547" s="54"/>
      <c r="AD547" s="53"/>
      <c r="AE547" s="54"/>
      <c r="AF547" s="53"/>
      <c r="AG547" s="54"/>
      <c r="AH547" s="55">
        <v>4.1666666666666699E-2</v>
      </c>
      <c r="AI547" s="53">
        <v>4.1666666666666664E-2</v>
      </c>
      <c r="AJ547" s="54" t="s">
        <v>67</v>
      </c>
      <c r="AK547" s="53"/>
      <c r="AL547" s="54"/>
      <c r="AM547" s="53"/>
      <c r="AN547" s="54"/>
      <c r="AO547" s="53"/>
      <c r="AP547" s="54"/>
      <c r="AQ547" s="53"/>
      <c r="AR547" s="54"/>
      <c r="AS547" s="53"/>
      <c r="AT547" s="54"/>
      <c r="AU547" s="53">
        <v>4.1666666666666699E-2</v>
      </c>
      <c r="AV547" s="54" t="s">
        <v>37</v>
      </c>
      <c r="AW547" s="57">
        <f t="shared" si="82"/>
        <v>8.333333333333337E-2</v>
      </c>
      <c r="AX547" s="58" t="s">
        <v>101</v>
      </c>
    </row>
    <row r="548" spans="1:50" ht="21.75" customHeight="1">
      <c r="A548" s="38" t="s">
        <v>521</v>
      </c>
      <c r="B548" s="39">
        <f t="shared" si="81"/>
        <v>544</v>
      </c>
      <c r="C548" s="40">
        <v>46037</v>
      </c>
      <c r="D548" s="40" t="s">
        <v>80</v>
      </c>
      <c r="E548" s="40" t="s">
        <v>33</v>
      </c>
      <c r="F548" s="41">
        <v>755.4</v>
      </c>
      <c r="G548" s="42" t="s">
        <v>75</v>
      </c>
      <c r="H548" s="43" t="str">
        <f>IFERROR(VLOOKUP($J548,'[9]FROM (3)'!$E$4:$F$230,2,FALSE),"")</f>
        <v>JTCS</v>
      </c>
      <c r="I548" s="44" t="str">
        <f t="shared" si="78"/>
        <v>RACK, PS</v>
      </c>
      <c r="J548" s="44" t="str">
        <f t="shared" si="79"/>
        <v>JGD10-001260-40-1</v>
      </c>
      <c r="K548" s="59" t="str">
        <f t="shared" si="76"/>
        <v>PD26010492</v>
      </c>
      <c r="L548" s="46" t="str" cm="1">
        <f t="array" ref="L548">IFERROR(_xlfn.IFS(
    LEN($A548)-LEN(SUBSTITUTE($A548,"|",""))=12, RIGHT(A548, LEN(A548)-FIND("~", SUBSTITUTE(A548,"|","~", LEN(A548)-LEN(SUBSTITUTE(A548,"|",""))))),
    LEN($A548)-LEN(SUBSTITUTE($A548,"|",""))=13, MID($A548, FIND("~", SUBSTITUTE($A548,"|","~", 11))+1, FIND("~", SUBSTITUTE($A548,"|","~", 12))-FIND("~", SUBSTITUTE($A548,"|","~", 11))-1),
    LEN($A548)-LEN(SUBSTITUTE($A548,"|",""))=14, MID($A548, FIND("~", SUBSTITUTE($A548,"|","~", 11))+1, FIND("~", SUBSTITUTE($A548,"|","~", 12))-FIND("~", SUBSTITUTE($A548,"|","~", 11))-1)
), "")</f>
        <v>E586967</v>
      </c>
      <c r="M548" s="47" t="str">
        <f t="shared" si="74"/>
        <v>SB010045/5/26</v>
      </c>
      <c r="N548" s="46" t="str">
        <f t="shared" si="77"/>
        <v/>
      </c>
      <c r="O548" s="60">
        <v>47</v>
      </c>
      <c r="P548" s="60">
        <v>970</v>
      </c>
      <c r="Q548" s="48">
        <v>188</v>
      </c>
      <c r="R548" s="48">
        <v>910</v>
      </c>
      <c r="S548" s="48"/>
      <c r="T548" s="48"/>
      <c r="U548" s="49"/>
      <c r="V548" s="49"/>
      <c r="W548" s="50">
        <f t="shared" si="75"/>
        <v>0</v>
      </c>
      <c r="X548" s="51" t="str">
        <f>IF(A548="", "", IF(COUNTIFS(C$3:C547, C548, D$3:D547, D548, G$3:G547, G548) &gt; 0, "", "11:00"-AW548))</f>
        <v/>
      </c>
      <c r="Y548" s="52" t="str">
        <f t="shared" si="80"/>
        <v/>
      </c>
      <c r="Z548" s="53"/>
      <c r="AA548" s="54"/>
      <c r="AB548" s="53"/>
      <c r="AC548" s="54"/>
      <c r="AD548" s="53"/>
      <c r="AE548" s="54"/>
      <c r="AF548" s="53"/>
      <c r="AG548" s="54"/>
      <c r="AH548" s="55">
        <v>4.1666666666666699E-2</v>
      </c>
      <c r="AI548" s="53"/>
      <c r="AJ548" s="54"/>
      <c r="AK548" s="53"/>
      <c r="AL548" s="54"/>
      <c r="AM548" s="53"/>
      <c r="AN548" s="54"/>
      <c r="AO548" s="53"/>
      <c r="AP548" s="54"/>
      <c r="AQ548" s="53"/>
      <c r="AR548" s="54"/>
      <c r="AS548" s="53"/>
      <c r="AT548" s="54"/>
      <c r="AU548" s="53">
        <v>4.1666666666666699E-2</v>
      </c>
      <c r="AV548" s="54" t="s">
        <v>37</v>
      </c>
      <c r="AW548" s="57">
        <f t="shared" si="82"/>
        <v>4.1666666666666699E-2</v>
      </c>
      <c r="AX548" s="58" t="s">
        <v>101</v>
      </c>
    </row>
    <row r="549" spans="1:50" ht="21.75" customHeight="1">
      <c r="A549" s="38" t="s">
        <v>522</v>
      </c>
      <c r="B549" s="39">
        <f t="shared" si="81"/>
        <v>545</v>
      </c>
      <c r="C549" s="40">
        <v>46037</v>
      </c>
      <c r="D549" s="40" t="s">
        <v>80</v>
      </c>
      <c r="E549" s="40" t="s">
        <v>33</v>
      </c>
      <c r="F549" s="41">
        <v>755.4</v>
      </c>
      <c r="G549" s="42" t="s">
        <v>75</v>
      </c>
      <c r="H549" s="43" t="str">
        <f>IFERROR(VLOOKUP($J549,'[9]FROM (3)'!$E$4:$F$230,2,FALSE),"")</f>
        <v>JTCS</v>
      </c>
      <c r="I549" s="44" t="str">
        <f t="shared" si="78"/>
        <v>RACK, PS</v>
      </c>
      <c r="J549" s="44" t="str">
        <f t="shared" si="79"/>
        <v>JGD10-001260-40-1</v>
      </c>
      <c r="K549" s="59" t="str">
        <f t="shared" si="76"/>
        <v>PD26010492</v>
      </c>
      <c r="L549" s="46" t="str" cm="1">
        <f t="array" ref="L549">IFERROR(_xlfn.IFS(
    LEN($A549)-LEN(SUBSTITUTE($A549,"|",""))=12, RIGHT(A549, LEN(A549)-FIND("~", SUBSTITUTE(A549,"|","~", LEN(A549)-LEN(SUBSTITUTE(A549,"|",""))))),
    LEN($A549)-LEN(SUBSTITUTE($A549,"|",""))=13, MID($A549, FIND("~", SUBSTITUTE($A549,"|","~", 11))+1, FIND("~", SUBSTITUTE($A549,"|","~", 12))-FIND("~", SUBSTITUTE($A549,"|","~", 11))-1),
    LEN($A549)-LEN(SUBSTITUTE($A549,"|",""))=14, MID($A549, FIND("~", SUBSTITUTE($A549,"|","~", 11))+1, FIND("~", SUBSTITUTE($A549,"|","~", 12))-FIND("~", SUBSTITUTE($A549,"|","~", 11))-1)
), "")</f>
        <v>E586967</v>
      </c>
      <c r="M549" s="47" t="str">
        <f t="shared" si="74"/>
        <v>SB010045/6/26</v>
      </c>
      <c r="N549" s="46" t="str">
        <f t="shared" si="77"/>
        <v/>
      </c>
      <c r="O549" s="60">
        <v>46</v>
      </c>
      <c r="P549" s="60">
        <v>950</v>
      </c>
      <c r="Q549" s="48">
        <v>184</v>
      </c>
      <c r="R549" s="48">
        <v>981</v>
      </c>
      <c r="S549" s="48"/>
      <c r="T549" s="48"/>
      <c r="U549" s="49"/>
      <c r="V549" s="49"/>
      <c r="W549" s="50">
        <f t="shared" si="75"/>
        <v>0</v>
      </c>
      <c r="X549" s="51" t="str">
        <f>IF(A549="", "", IF(COUNTIFS(C$3:C548, C549, D$3:D548, D549, G$3:G548, G549) &gt; 0, "", "11:00"-AW549))</f>
        <v/>
      </c>
      <c r="Y549" s="52" t="str">
        <f t="shared" si="80"/>
        <v/>
      </c>
      <c r="Z549" s="53"/>
      <c r="AA549" s="54"/>
      <c r="AB549" s="53"/>
      <c r="AC549" s="54"/>
      <c r="AD549" s="53"/>
      <c r="AE549" s="54"/>
      <c r="AF549" s="53"/>
      <c r="AG549" s="54"/>
      <c r="AH549" s="55">
        <v>4.1666666666666699E-2</v>
      </c>
      <c r="AI549" s="53"/>
      <c r="AJ549" s="54"/>
      <c r="AK549" s="53"/>
      <c r="AL549" s="54"/>
      <c r="AM549" s="53"/>
      <c r="AN549" s="54"/>
      <c r="AO549" s="53"/>
      <c r="AP549" s="54"/>
      <c r="AQ549" s="53"/>
      <c r="AR549" s="54"/>
      <c r="AS549" s="53"/>
      <c r="AT549" s="54"/>
      <c r="AU549" s="53">
        <v>4.1666666666666699E-2</v>
      </c>
      <c r="AV549" s="54" t="s">
        <v>37</v>
      </c>
      <c r="AW549" s="57">
        <f t="shared" si="82"/>
        <v>4.1666666666666699E-2</v>
      </c>
      <c r="AX549" s="58" t="s">
        <v>101</v>
      </c>
    </row>
    <row r="550" spans="1:50" ht="21.75" customHeight="1">
      <c r="A550" s="38" t="s">
        <v>523</v>
      </c>
      <c r="B550" s="39">
        <f t="shared" si="81"/>
        <v>546</v>
      </c>
      <c r="C550" s="40">
        <v>46037</v>
      </c>
      <c r="D550" s="40" t="s">
        <v>80</v>
      </c>
      <c r="E550" s="40" t="s">
        <v>33</v>
      </c>
      <c r="F550" s="41">
        <v>755.4</v>
      </c>
      <c r="G550" s="42" t="s">
        <v>75</v>
      </c>
      <c r="H550" s="43" t="str">
        <f>IFERROR(VLOOKUP($J550,'[9]FROM (3)'!$E$4:$F$230,2,FALSE),"")</f>
        <v>JTCS</v>
      </c>
      <c r="I550" s="44" t="str">
        <f t="shared" si="78"/>
        <v>RACK, PS</v>
      </c>
      <c r="J550" s="44" t="str">
        <f t="shared" si="79"/>
        <v>JGD10-001260-40-1</v>
      </c>
      <c r="K550" s="59" t="str">
        <f t="shared" si="76"/>
        <v>PD26010492</v>
      </c>
      <c r="L550" s="46" t="str" cm="1">
        <f t="array" ref="L550">IFERROR(_xlfn.IFS(
    LEN($A550)-LEN(SUBSTITUTE($A550,"|",""))=12, RIGHT(A550, LEN(A550)-FIND("~", SUBSTITUTE(A550,"|","~", LEN(A550)-LEN(SUBSTITUTE(A550,"|",""))))),
    LEN($A550)-LEN(SUBSTITUTE($A550,"|",""))=13, MID($A550, FIND("~", SUBSTITUTE($A550,"|","~", 11))+1, FIND("~", SUBSTITUTE($A550,"|","~", 12))-FIND("~", SUBSTITUTE($A550,"|","~", 11))-1),
    LEN($A550)-LEN(SUBSTITUTE($A550,"|",""))=14, MID($A550, FIND("~", SUBSTITUTE($A550,"|","~", 11))+1, FIND("~", SUBSTITUTE($A550,"|","~", 12))-FIND("~", SUBSTITUTE($A550,"|","~", 11))-1)
), "")</f>
        <v>E586967</v>
      </c>
      <c r="M550" s="47" t="str">
        <f t="shared" si="74"/>
        <v>SB010045/7/26</v>
      </c>
      <c r="N550" s="46" t="str">
        <f t="shared" si="77"/>
        <v/>
      </c>
      <c r="O550" s="60">
        <v>1</v>
      </c>
      <c r="P550" s="60">
        <v>20</v>
      </c>
      <c r="Q550" s="48">
        <v>3</v>
      </c>
      <c r="R550" s="48">
        <v>15</v>
      </c>
      <c r="S550" s="48">
        <v>1</v>
      </c>
      <c r="T550" s="48" t="s">
        <v>143</v>
      </c>
      <c r="U550" s="49">
        <v>103</v>
      </c>
      <c r="V550" s="49">
        <v>6</v>
      </c>
      <c r="W550" s="50">
        <f t="shared" si="75"/>
        <v>109</v>
      </c>
      <c r="X550" s="51" t="str">
        <f>IF(A550="", "", IF(COUNTIFS(C$3:C549, C550, D$3:D549, D550, G$3:G549, G550) &gt; 0, "", "11:00"-AW550))</f>
        <v/>
      </c>
      <c r="Y550" s="52" t="str">
        <f t="shared" si="80"/>
        <v/>
      </c>
      <c r="Z550" s="53"/>
      <c r="AA550" s="54"/>
      <c r="AB550" s="53"/>
      <c r="AC550" s="54"/>
      <c r="AD550" s="53"/>
      <c r="AE550" s="54"/>
      <c r="AF550" s="53"/>
      <c r="AG550" s="54"/>
      <c r="AH550" s="55">
        <v>4.1666666666666699E-2</v>
      </c>
      <c r="AI550" s="53"/>
      <c r="AJ550" s="54"/>
      <c r="AK550" s="53"/>
      <c r="AL550" s="54"/>
      <c r="AM550" s="53"/>
      <c r="AN550" s="54"/>
      <c r="AO550" s="53"/>
      <c r="AP550" s="54"/>
      <c r="AQ550" s="53"/>
      <c r="AR550" s="54"/>
      <c r="AS550" s="53"/>
      <c r="AT550" s="54"/>
      <c r="AU550" s="53">
        <v>4.1666666666666699E-2</v>
      </c>
      <c r="AV550" s="54" t="s">
        <v>37</v>
      </c>
      <c r="AW550" s="57">
        <f t="shared" si="82"/>
        <v>4.1666666666666699E-2</v>
      </c>
      <c r="AX550" s="58" t="s">
        <v>101</v>
      </c>
    </row>
    <row r="551" spans="1:50" ht="21.75" customHeight="1">
      <c r="A551" s="38" t="s">
        <v>524</v>
      </c>
      <c r="B551" s="39">
        <f t="shared" si="81"/>
        <v>547</v>
      </c>
      <c r="C551" s="40">
        <v>46037</v>
      </c>
      <c r="D551" s="40" t="s">
        <v>80</v>
      </c>
      <c r="E551" s="40" t="s">
        <v>33</v>
      </c>
      <c r="F551" s="41">
        <v>597.4</v>
      </c>
      <c r="G551" s="42" t="s">
        <v>75</v>
      </c>
      <c r="H551" s="43" t="str">
        <f>IFERROR(VLOOKUP($J551,'[9]FROM (3)'!$E$4:$F$230,2,FALSE),"")</f>
        <v>JTCS</v>
      </c>
      <c r="I551" s="44" t="str">
        <f t="shared" si="78"/>
        <v>Rack, MS</v>
      </c>
      <c r="J551" s="44" t="str">
        <f t="shared" si="79"/>
        <v>JGC10-003770-40-0</v>
      </c>
      <c r="K551" s="59" t="str">
        <f t="shared" si="76"/>
        <v>PD26010619</v>
      </c>
      <c r="L551" s="46" t="str" cm="1">
        <f t="array" ref="L551">IFERROR(_xlfn.IFS(
    LEN($A551)-LEN(SUBSTITUTE($A551,"|",""))=12, RIGHT(A551, LEN(A551)-FIND("~", SUBSTITUTE(A551,"|","~", LEN(A551)-LEN(SUBSTITUTE(A551,"|",""))))),
    LEN($A551)-LEN(SUBSTITUTE($A551,"|",""))=13, MID($A551, FIND("~", SUBSTITUTE($A551,"|","~", 11))+1, FIND("~", SUBSTITUTE($A551,"|","~", 12))-FIND("~", SUBSTITUTE($A551,"|","~", 11))-1),
    LEN($A551)-LEN(SUBSTITUTE($A551,"|",""))=14, MID($A551, FIND("~", SUBSTITUTE($A551,"|","~", 11))+1, FIND("~", SUBSTITUTE($A551,"|","~", 12))-FIND("~", SUBSTITUTE($A551,"|","~", 11))-1)
), "")</f>
        <v>E585971</v>
      </c>
      <c r="M551" s="47" t="str">
        <f t="shared" si="74"/>
        <v>SB010052/6/26</v>
      </c>
      <c r="N551" s="46" t="str">
        <f t="shared" si="77"/>
        <v/>
      </c>
      <c r="O551" s="60">
        <v>80</v>
      </c>
      <c r="P551" s="60">
        <v>900</v>
      </c>
      <c r="Q551" s="48">
        <v>400</v>
      </c>
      <c r="R551" s="48">
        <v>848</v>
      </c>
      <c r="S551" s="48"/>
      <c r="T551" s="48"/>
      <c r="U551" s="49"/>
      <c r="V551" s="49"/>
      <c r="W551" s="50">
        <f t="shared" si="75"/>
        <v>0</v>
      </c>
      <c r="X551" s="51" t="str">
        <f>IF(A551="", "", IF(COUNTIFS(C$3:C550, C551, D$3:D550, D551, G$3:G550, G551) &gt; 0, "", "11:00"-AW551))</f>
        <v/>
      </c>
      <c r="Y551" s="52" t="str">
        <f t="shared" si="80"/>
        <v/>
      </c>
      <c r="Z551" s="53"/>
      <c r="AA551" s="54"/>
      <c r="AB551" s="53"/>
      <c r="AC551" s="54"/>
      <c r="AD551" s="53"/>
      <c r="AE551" s="54"/>
      <c r="AF551" s="53"/>
      <c r="AG551" s="54"/>
      <c r="AH551" s="55">
        <v>4.1666666666666699E-2</v>
      </c>
      <c r="AI551" s="53"/>
      <c r="AJ551" s="54"/>
      <c r="AK551" s="53"/>
      <c r="AL551" s="54"/>
      <c r="AM551" s="53"/>
      <c r="AN551" s="54"/>
      <c r="AO551" s="53"/>
      <c r="AP551" s="54"/>
      <c r="AQ551" s="53"/>
      <c r="AR551" s="54"/>
      <c r="AS551" s="53"/>
      <c r="AT551" s="54"/>
      <c r="AU551" s="53">
        <v>4.1666666666666699E-2</v>
      </c>
      <c r="AV551" s="54" t="s">
        <v>37</v>
      </c>
      <c r="AW551" s="57">
        <f t="shared" si="82"/>
        <v>4.1666666666666699E-2</v>
      </c>
      <c r="AX551" s="58" t="s">
        <v>101</v>
      </c>
    </row>
    <row r="552" spans="1:50" ht="21.75" customHeight="1">
      <c r="A552" s="38" t="s">
        <v>525</v>
      </c>
      <c r="B552" s="39">
        <f t="shared" si="81"/>
        <v>548</v>
      </c>
      <c r="C552" s="40">
        <v>46037</v>
      </c>
      <c r="D552" s="40" t="s">
        <v>80</v>
      </c>
      <c r="E552" s="40" t="s">
        <v>33</v>
      </c>
      <c r="F552" s="41">
        <v>597.4</v>
      </c>
      <c r="G552" s="42" t="s">
        <v>75</v>
      </c>
      <c r="H552" s="43" t="str">
        <f>IFERROR(VLOOKUP($J552,'[9]FROM (3)'!$E$4:$F$230,2,FALSE),"")</f>
        <v>JTCS</v>
      </c>
      <c r="I552" s="44" t="str">
        <f t="shared" si="78"/>
        <v>Rack, MS</v>
      </c>
      <c r="J552" s="44" t="str">
        <f t="shared" si="79"/>
        <v>JGC10-003770-40-0</v>
      </c>
      <c r="K552" s="59" t="str">
        <f t="shared" si="76"/>
        <v>PD26010619</v>
      </c>
      <c r="L552" s="46" t="str" cm="1">
        <f t="array" ref="L552">IFERROR(_xlfn.IFS(
    LEN($A552)-LEN(SUBSTITUTE($A552,"|",""))=12, RIGHT(A552, LEN(A552)-FIND("~", SUBSTITUTE(A552,"|","~", LEN(A552)-LEN(SUBSTITUTE(A552,"|",""))))),
    LEN($A552)-LEN(SUBSTITUTE($A552,"|",""))=13, MID($A552, FIND("~", SUBSTITUTE($A552,"|","~", 11))+1, FIND("~", SUBSTITUTE($A552,"|","~", 12))-FIND("~", SUBSTITUTE($A552,"|","~", 11))-1),
    LEN($A552)-LEN(SUBSTITUTE($A552,"|",""))=14, MID($A552, FIND("~", SUBSTITUTE($A552,"|","~", 11))+1, FIND("~", SUBSTITUTE($A552,"|","~", 12))-FIND("~", SUBSTITUTE($A552,"|","~", 11))-1)
), "")</f>
        <v>E585971</v>
      </c>
      <c r="M552" s="47" t="str">
        <f t="shared" si="74"/>
        <v>SB010052/4/26</v>
      </c>
      <c r="N552" s="46" t="str">
        <f t="shared" si="77"/>
        <v/>
      </c>
      <c r="O552" s="60">
        <v>80</v>
      </c>
      <c r="P552" s="60">
        <v>900</v>
      </c>
      <c r="Q552" s="48">
        <v>149</v>
      </c>
      <c r="R552" s="48">
        <v>316</v>
      </c>
      <c r="S552" s="48"/>
      <c r="T552" s="48"/>
      <c r="U552" s="49"/>
      <c r="V552" s="49"/>
      <c r="W552" s="50">
        <f t="shared" si="75"/>
        <v>0</v>
      </c>
      <c r="X552" s="51" t="str">
        <f>IF(A552="", "", IF(COUNTIFS(C$3:C551, C552, D$3:D551, D552, G$3:G551, G552) &gt; 0, "", "11:00"-AW552))</f>
        <v/>
      </c>
      <c r="Y552" s="52" t="str">
        <f t="shared" si="80"/>
        <v/>
      </c>
      <c r="Z552" s="53"/>
      <c r="AA552" s="54"/>
      <c r="AB552" s="53"/>
      <c r="AC552" s="54"/>
      <c r="AD552" s="53"/>
      <c r="AE552" s="54"/>
      <c r="AF552" s="53"/>
      <c r="AG552" s="54"/>
      <c r="AH552" s="55">
        <v>4.1666666666666699E-2</v>
      </c>
      <c r="AI552" s="53"/>
      <c r="AJ552" s="54"/>
      <c r="AK552" s="53"/>
      <c r="AL552" s="54"/>
      <c r="AM552" s="53"/>
      <c r="AN552" s="54"/>
      <c r="AO552" s="53"/>
      <c r="AP552" s="54"/>
      <c r="AQ552" s="53"/>
      <c r="AR552" s="54"/>
      <c r="AS552" s="53"/>
      <c r="AT552" s="54"/>
      <c r="AU552" s="53">
        <v>4.1666666666666699E-2</v>
      </c>
      <c r="AV552" s="54" t="s">
        <v>37</v>
      </c>
      <c r="AW552" s="57">
        <f t="shared" si="82"/>
        <v>4.1666666666666699E-2</v>
      </c>
      <c r="AX552" s="58" t="s">
        <v>101</v>
      </c>
    </row>
    <row r="553" spans="1:50" ht="21.75" customHeight="1">
      <c r="A553" s="38" t="s">
        <v>526</v>
      </c>
      <c r="B553" s="39">
        <f t="shared" si="81"/>
        <v>549</v>
      </c>
      <c r="C553" s="40">
        <v>46037</v>
      </c>
      <c r="D553" s="40" t="s">
        <v>80</v>
      </c>
      <c r="E553" s="40" t="s">
        <v>33</v>
      </c>
      <c r="F553" s="41">
        <v>180</v>
      </c>
      <c r="G553" s="42" t="s">
        <v>108</v>
      </c>
      <c r="H553" s="43" t="str">
        <f>IFERROR(VLOOKUP($J553,'[9]FROM (3)'!$E$4:$F$230,2,FALSE),"")</f>
        <v>SIAM NSK</v>
      </c>
      <c r="I553" s="44" t="str">
        <f t="shared" si="78"/>
        <v>STG.SHAFT</v>
      </c>
      <c r="J553" s="44" t="str">
        <f t="shared" si="79"/>
        <v>2528S0249C</v>
      </c>
      <c r="K553" s="59" t="str">
        <f t="shared" si="76"/>
        <v>PD26010426</v>
      </c>
      <c r="L553" s="46" t="str" cm="1">
        <f t="array" ref="L553">IFERROR(_xlfn.IFS(
    LEN($A553)-LEN(SUBSTITUTE($A553,"|",""))=12, RIGHT(A553, LEN(A553)-FIND("~", SUBSTITUTE(A553,"|","~", LEN(A553)-LEN(SUBSTITUTE(A553,"|",""))))),
    LEN($A553)-LEN(SUBSTITUTE($A553,"|",""))=13, MID($A553, FIND("~", SUBSTITUTE($A553,"|","~", 11))+1, FIND("~", SUBSTITUTE($A553,"|","~", 12))-FIND("~", SUBSTITUTE($A553,"|","~", 11))-1),
    LEN($A553)-LEN(SUBSTITUTE($A553,"|",""))=14, MID($A553, FIND("~", SUBSTITUTE($A553,"|","~", 11))+1, FIND("~", SUBSTITUTE($A553,"|","~", 12))-FIND("~", SUBSTITUTE($A553,"|","~", 11))-1)
), "")</f>
        <v>E484056</v>
      </c>
      <c r="M553" s="47" t="str">
        <f t="shared" si="74"/>
        <v>SB010038/2/26</v>
      </c>
      <c r="N553" s="46" t="str">
        <f t="shared" si="77"/>
        <v/>
      </c>
      <c r="O553" s="60">
        <v>4</v>
      </c>
      <c r="P553" s="60">
        <v>48</v>
      </c>
      <c r="Q553" s="48">
        <v>115</v>
      </c>
      <c r="R553" s="48">
        <v>46</v>
      </c>
      <c r="S553" s="48" t="s">
        <v>35</v>
      </c>
      <c r="T553" s="48"/>
      <c r="U553" s="49">
        <v>1</v>
      </c>
      <c r="V553" s="49">
        <v>5</v>
      </c>
      <c r="W553" s="50">
        <f t="shared" si="75"/>
        <v>6</v>
      </c>
      <c r="X553" s="51">
        <f>IF(A553="", "", IF(COUNTIFS(C$3:C552, C553, D$3:D552, D553, G$3:G552, G553) &gt; 0, "", "11:00"-AW553))</f>
        <v>0.35416666666666663</v>
      </c>
      <c r="Y553" s="52" t="str">
        <f t="shared" si="80"/>
        <v>1:40</v>
      </c>
      <c r="Z553" s="53">
        <v>2.0833333333333332E-2</v>
      </c>
      <c r="AA553" s="54" t="s">
        <v>67</v>
      </c>
      <c r="AB553" s="53">
        <v>4.1666666666666664E-2</v>
      </c>
      <c r="AC553" s="54" t="s">
        <v>237</v>
      </c>
      <c r="AD553" s="53"/>
      <c r="AE553" s="54"/>
      <c r="AF553" s="53"/>
      <c r="AG553" s="54"/>
      <c r="AH553" s="55">
        <v>4.1666666666666699E-2</v>
      </c>
      <c r="AI553" s="53"/>
      <c r="AJ553" s="54"/>
      <c r="AK553" s="53"/>
      <c r="AL553" s="54"/>
      <c r="AM553" s="53"/>
      <c r="AN553" s="54"/>
      <c r="AO553" s="53"/>
      <c r="AP553" s="54"/>
      <c r="AQ553" s="53"/>
      <c r="AR553" s="54"/>
      <c r="AS553" s="53"/>
      <c r="AT553" s="54"/>
      <c r="AU553" s="53">
        <v>4.1666666666666699E-2</v>
      </c>
      <c r="AV553" s="54" t="s">
        <v>37</v>
      </c>
      <c r="AW553" s="57">
        <f t="shared" si="82"/>
        <v>0.1041666666666667</v>
      </c>
      <c r="AX553" s="58" t="s">
        <v>109</v>
      </c>
    </row>
    <row r="554" spans="1:50" ht="21.75" customHeight="1">
      <c r="A554" s="38" t="s">
        <v>527</v>
      </c>
      <c r="B554" s="39">
        <f t="shared" si="81"/>
        <v>550</v>
      </c>
      <c r="C554" s="40">
        <v>46037</v>
      </c>
      <c r="D554" s="40" t="s">
        <v>80</v>
      </c>
      <c r="E554" s="40" t="s">
        <v>33</v>
      </c>
      <c r="F554" s="41">
        <v>205</v>
      </c>
      <c r="G554" s="42" t="s">
        <v>108</v>
      </c>
      <c r="H554" s="43" t="str">
        <f>IFERROR(VLOOKUP($J554,'[9]FROM (3)'!$E$4:$F$230,2,FALSE),"")</f>
        <v/>
      </c>
      <c r="I554" s="44" t="str">
        <f t="shared" si="78"/>
        <v>SHAFT SPLINE</v>
      </c>
      <c r="J554" s="44" t="str">
        <f t="shared" si="79"/>
        <v>2550S0765P</v>
      </c>
      <c r="K554" s="59" t="str">
        <f t="shared" si="76"/>
        <v>PD26010581</v>
      </c>
      <c r="L554" s="46" t="str" cm="1">
        <f t="array" ref="L554">IFERROR(_xlfn.IFS(
    LEN($A554)-LEN(SUBSTITUTE($A554,"|",""))=12, RIGHT(A554, LEN(A554)-FIND("~", SUBSTITUTE(A554,"|","~", LEN(A554)-LEN(SUBSTITUTE(A554,"|",""))))),
    LEN($A554)-LEN(SUBSTITUTE($A554,"|",""))=13, MID($A554, FIND("~", SUBSTITUTE($A554,"|","~", 11))+1, FIND("~", SUBSTITUTE($A554,"|","~", 12))-FIND("~", SUBSTITUTE($A554,"|","~", 11))-1),
    LEN($A554)-LEN(SUBSTITUTE($A554,"|",""))=14, MID($A554, FIND("~", SUBSTITUTE($A554,"|","~", 11))+1, FIND("~", SUBSTITUTE($A554,"|","~", 12))-FIND("~", SUBSTITUTE($A554,"|","~", 11))-1)
), "")</f>
        <v>E586430</v>
      </c>
      <c r="M554" s="47" t="str">
        <f t="shared" si="74"/>
        <v>SB010050/1/26</v>
      </c>
      <c r="N554" s="46" t="str">
        <f t="shared" si="77"/>
        <v/>
      </c>
      <c r="O554" s="60">
        <v>89</v>
      </c>
      <c r="P554" s="60">
        <v>1027</v>
      </c>
      <c r="Q554" s="48">
        <v>2314</v>
      </c>
      <c r="R554" s="48">
        <v>978</v>
      </c>
      <c r="S554" s="48" t="s">
        <v>35</v>
      </c>
      <c r="T554" s="48"/>
      <c r="U554" s="49"/>
      <c r="V554" s="49"/>
      <c r="W554" s="50">
        <f t="shared" si="75"/>
        <v>0</v>
      </c>
      <c r="X554" s="51" t="str">
        <f>IF(A554="", "", IF(COUNTIFS(C$3:C553, C554, D$3:D553, D554, G$3:G553, G554) &gt; 0, "", "11:00"-AW554))</f>
        <v/>
      </c>
      <c r="Y554" s="52" t="str">
        <f t="shared" si="80"/>
        <v/>
      </c>
      <c r="Z554" s="53"/>
      <c r="AA554" s="54"/>
      <c r="AB554" s="53"/>
      <c r="AC554" s="54"/>
      <c r="AD554" s="53"/>
      <c r="AE554" s="54"/>
      <c r="AF554" s="53"/>
      <c r="AG554" s="54"/>
      <c r="AH554" s="55">
        <v>4.1666666666666699E-2</v>
      </c>
      <c r="AI554" s="53"/>
      <c r="AJ554" s="54"/>
      <c r="AK554" s="53"/>
      <c r="AL554" s="54"/>
      <c r="AM554" s="53"/>
      <c r="AN554" s="54"/>
      <c r="AO554" s="53"/>
      <c r="AP554" s="54"/>
      <c r="AQ554" s="53"/>
      <c r="AR554" s="54"/>
      <c r="AS554" s="53"/>
      <c r="AT554" s="54"/>
      <c r="AU554" s="53">
        <v>4.1666666666666699E-2</v>
      </c>
      <c r="AV554" s="54" t="s">
        <v>37</v>
      </c>
      <c r="AW554" s="57">
        <f t="shared" si="82"/>
        <v>4.1666666666666699E-2</v>
      </c>
      <c r="AX554" s="58" t="s">
        <v>109</v>
      </c>
    </row>
    <row r="555" spans="1:50" ht="21.75" customHeight="1">
      <c r="A555" s="38" t="s">
        <v>528</v>
      </c>
      <c r="B555" s="39">
        <f t="shared" si="81"/>
        <v>551</v>
      </c>
      <c r="C555" s="40">
        <v>46037</v>
      </c>
      <c r="D555" s="40" t="s">
        <v>80</v>
      </c>
      <c r="E555" s="40" t="s">
        <v>33</v>
      </c>
      <c r="F555" s="41">
        <v>205</v>
      </c>
      <c r="G555" s="42" t="s">
        <v>108</v>
      </c>
      <c r="H555" s="43" t="str">
        <f>IFERROR(VLOOKUP($J555,'[9]FROM (3)'!$E$4:$F$230,2,FALSE),"")</f>
        <v/>
      </c>
      <c r="I555" s="44" t="str">
        <f t="shared" si="78"/>
        <v>SHAFT SPLINE</v>
      </c>
      <c r="J555" s="44" t="str">
        <f t="shared" si="79"/>
        <v>2550S0765P</v>
      </c>
      <c r="K555" s="59" t="str">
        <f t="shared" si="76"/>
        <v>PD26010581</v>
      </c>
      <c r="L555" s="46" t="str" cm="1">
        <f t="array" ref="L555">IFERROR(_xlfn.IFS(
    LEN($A555)-LEN(SUBSTITUTE($A555,"|",""))=12, RIGHT(A555, LEN(A555)-FIND("~", SUBSTITUTE(A555,"|","~", LEN(A555)-LEN(SUBSTITUTE(A555,"|",""))))),
    LEN($A555)-LEN(SUBSTITUTE($A555,"|",""))=13, MID($A555, FIND("~", SUBSTITUTE($A555,"|","~", 11))+1, FIND("~", SUBSTITUTE($A555,"|","~", 12))-FIND("~", SUBSTITUTE($A555,"|","~", 11))-1),
    LEN($A555)-LEN(SUBSTITUTE($A555,"|",""))=14, MID($A555, FIND("~", SUBSTITUTE($A555,"|","~", 11))+1, FIND("~", SUBSTITUTE($A555,"|","~", 12))-FIND("~", SUBSTITUTE($A555,"|","~", 11))-1)
), "")</f>
        <v>E586430</v>
      </c>
      <c r="M555" s="47" t="str">
        <f t="shared" si="74"/>
        <v>SB010050/2/26</v>
      </c>
      <c r="N555" s="46" t="str">
        <f t="shared" si="77"/>
        <v/>
      </c>
      <c r="O555" s="60">
        <v>90</v>
      </c>
      <c r="P555" s="60">
        <v>1038</v>
      </c>
      <c r="Q555" s="48">
        <v>886</v>
      </c>
      <c r="R555" s="48">
        <v>374</v>
      </c>
      <c r="S555" s="48" t="s">
        <v>35</v>
      </c>
      <c r="T555" s="48"/>
      <c r="U555" s="49"/>
      <c r="V555" s="49"/>
      <c r="W555" s="50">
        <f t="shared" si="75"/>
        <v>0</v>
      </c>
      <c r="X555" s="51" t="str">
        <f>IF(A555="", "", IF(COUNTIFS(C$3:C554, C555, D$3:D554, D555, G$3:G554, G555) &gt; 0, "", "11:00"-AW555))</f>
        <v/>
      </c>
      <c r="Y555" s="52" t="str">
        <f t="shared" si="80"/>
        <v/>
      </c>
      <c r="Z555" s="53"/>
      <c r="AA555" s="54"/>
      <c r="AB555" s="53"/>
      <c r="AC555" s="54"/>
      <c r="AD555" s="53"/>
      <c r="AE555" s="54"/>
      <c r="AF555" s="53"/>
      <c r="AG555" s="54"/>
      <c r="AH555" s="55">
        <v>4.1666666666666699E-2</v>
      </c>
      <c r="AI555" s="53"/>
      <c r="AJ555" s="54"/>
      <c r="AK555" s="53"/>
      <c r="AL555" s="54"/>
      <c r="AM555" s="53"/>
      <c r="AN555" s="54"/>
      <c r="AO555" s="53"/>
      <c r="AP555" s="54"/>
      <c r="AQ555" s="53"/>
      <c r="AR555" s="54"/>
      <c r="AS555" s="53"/>
      <c r="AT555" s="54"/>
      <c r="AU555" s="53">
        <v>4.1666666666666699E-2</v>
      </c>
      <c r="AV555" s="54" t="s">
        <v>37</v>
      </c>
      <c r="AW555" s="57">
        <f t="shared" si="82"/>
        <v>4.1666666666666699E-2</v>
      </c>
      <c r="AX555" s="58" t="s">
        <v>109</v>
      </c>
    </row>
    <row r="556" spans="1:50" ht="21.75" customHeight="1">
      <c r="A556" s="38" t="s">
        <v>489</v>
      </c>
      <c r="B556" s="39">
        <f t="shared" si="81"/>
        <v>552</v>
      </c>
      <c r="C556" s="40">
        <v>46037</v>
      </c>
      <c r="D556" s="40" t="s">
        <v>80</v>
      </c>
      <c r="E556" s="40" t="s">
        <v>33</v>
      </c>
      <c r="F556" s="41">
        <v>375</v>
      </c>
      <c r="G556" s="42" t="s">
        <v>172</v>
      </c>
      <c r="H556" s="43" t="str">
        <f>IFERROR(VLOOKUP($J556,'[9]FROM (3)'!$E$4:$F$230,2,FALSE),"")</f>
        <v>ATAC</v>
      </c>
      <c r="I556" s="44" t="str">
        <f t="shared" si="78"/>
        <v>SEAT,WATER PUMP PULLEY</v>
      </c>
      <c r="J556" s="44" t="str">
        <f t="shared" si="79"/>
        <v>16171-05030</v>
      </c>
      <c r="K556" s="59" t="str">
        <f t="shared" si="76"/>
        <v>PD26010254</v>
      </c>
      <c r="L556" s="46" t="str" cm="1">
        <f t="array" ref="L556">IFERROR(_xlfn.IFS(
    LEN($A556)-LEN(SUBSTITUTE($A556,"|",""))=12, RIGHT(A556, LEN(A556)-FIND("~", SUBSTITUTE(A556,"|","~", LEN(A556)-LEN(SUBSTITUTE(A556,"|",""))))),
    LEN($A556)-LEN(SUBSTITUTE($A556,"|",""))=13, MID($A556, FIND("~", SUBSTITUTE($A556,"|","~", 11))+1, FIND("~", SUBSTITUTE($A556,"|","~", 12))-FIND("~", SUBSTITUTE($A556,"|","~", 11))-1),
    LEN($A556)-LEN(SUBSTITUTE($A556,"|",""))=14, MID($A556, FIND("~", SUBSTITUTE($A556,"|","~", 11))+1, FIND("~", SUBSTITUTE($A556,"|","~", 12))-FIND("~", SUBSTITUTE($A556,"|","~", 11))-1)
), "")</f>
        <v>665898</v>
      </c>
      <c r="M556" s="47" t="str">
        <f t="shared" si="74"/>
        <v>SB010015/2/26</v>
      </c>
      <c r="N556" s="46" t="str">
        <f t="shared" si="77"/>
        <v/>
      </c>
      <c r="O556" s="60" t="s">
        <v>35</v>
      </c>
      <c r="P556" s="60" t="s">
        <v>35</v>
      </c>
      <c r="Q556" s="48">
        <v>414</v>
      </c>
      <c r="R556" s="48">
        <v>155</v>
      </c>
      <c r="S556" s="48" t="s">
        <v>35</v>
      </c>
      <c r="T556" s="48"/>
      <c r="U556" s="49">
        <v>29</v>
      </c>
      <c r="V556" s="49">
        <v>112</v>
      </c>
      <c r="W556" s="50">
        <f t="shared" si="75"/>
        <v>141</v>
      </c>
      <c r="X556" s="51">
        <f>IF(A556="", "", IF(COUNTIFS(C$3:C555, C556, D$3:D555, D556, G$3:G555, G556) &gt; 0, "", "11:00"-AW556))</f>
        <v>0.41666666666666663</v>
      </c>
      <c r="Y556" s="52" t="str">
        <f t="shared" si="80"/>
        <v>1:40</v>
      </c>
      <c r="Z556" s="53"/>
      <c r="AA556" s="54"/>
      <c r="AB556" s="53"/>
      <c r="AC556" s="54"/>
      <c r="AD556" s="53"/>
      <c r="AE556" s="54"/>
      <c r="AF556" s="53"/>
      <c r="AG556" s="54"/>
      <c r="AH556" s="55">
        <v>4.1666666666666699E-2</v>
      </c>
      <c r="AI556" s="53"/>
      <c r="AJ556" s="54"/>
      <c r="AK556" s="53"/>
      <c r="AL556" s="54"/>
      <c r="AM556" s="53"/>
      <c r="AN556" s="54"/>
      <c r="AO556" s="53"/>
      <c r="AP556" s="54"/>
      <c r="AQ556" s="53"/>
      <c r="AR556" s="54"/>
      <c r="AS556" s="53"/>
      <c r="AT556" s="54"/>
      <c r="AU556" s="53">
        <v>4.1666666666666699E-2</v>
      </c>
      <c r="AV556" s="54" t="s">
        <v>37</v>
      </c>
      <c r="AW556" s="57">
        <f t="shared" si="82"/>
        <v>4.1666666666666699E-2</v>
      </c>
      <c r="AX556" s="58" t="s">
        <v>109</v>
      </c>
    </row>
    <row r="557" spans="1:50" ht="21.75" customHeight="1">
      <c r="A557" s="38" t="s">
        <v>529</v>
      </c>
      <c r="B557" s="39">
        <f t="shared" si="81"/>
        <v>553</v>
      </c>
      <c r="C557" s="40">
        <v>46037</v>
      </c>
      <c r="D557" s="40" t="s">
        <v>80</v>
      </c>
      <c r="E557" s="40" t="s">
        <v>33</v>
      </c>
      <c r="F557" s="41">
        <v>375</v>
      </c>
      <c r="G557" s="42" t="s">
        <v>172</v>
      </c>
      <c r="H557" s="43" t="str">
        <f>IFERROR(VLOOKUP($J557,'[9]FROM (3)'!$E$4:$F$230,2,FALSE),"")</f>
        <v>ATAC</v>
      </c>
      <c r="I557" s="44" t="str">
        <f t="shared" si="78"/>
        <v>SEAT,WATER PUMP PULLEY</v>
      </c>
      <c r="J557" s="44" t="str">
        <f t="shared" si="79"/>
        <v>16171-05030</v>
      </c>
      <c r="K557" s="59" t="str">
        <f t="shared" si="76"/>
        <v>PD26010255</v>
      </c>
      <c r="L557" s="46" t="str" cm="1">
        <f t="array" ref="L557">IFERROR(_xlfn.IFS(
    LEN($A557)-LEN(SUBSTITUTE($A557,"|",""))=12, RIGHT(A557, LEN(A557)-FIND("~", SUBSTITUTE(A557,"|","~", LEN(A557)-LEN(SUBSTITUTE(A557,"|",""))))),
    LEN($A557)-LEN(SUBSTITUTE($A557,"|",""))=13, MID($A557, FIND("~", SUBSTITUTE($A557,"|","~", 11))+1, FIND("~", SUBSTITUTE($A557,"|","~", 12))-FIND("~", SUBSTITUTE($A557,"|","~", 11))-1),
    LEN($A557)-LEN(SUBSTITUTE($A557,"|",""))=14, MID($A557, FIND("~", SUBSTITUTE($A557,"|","~", 11))+1, FIND("~", SUBSTITUTE($A557,"|","~", 12))-FIND("~", SUBSTITUTE($A557,"|","~", 11))-1)
), "")</f>
        <v>665898</v>
      </c>
      <c r="M557" s="47" t="str">
        <f t="shared" si="74"/>
        <v>SB010015/3/26</v>
      </c>
      <c r="N557" s="46" t="str">
        <f t="shared" si="77"/>
        <v/>
      </c>
      <c r="O557" s="60">
        <v>14</v>
      </c>
      <c r="P557" s="60">
        <v>990</v>
      </c>
      <c r="Q557" s="48">
        <v>2416</v>
      </c>
      <c r="R557" s="48">
        <v>906</v>
      </c>
      <c r="S557" s="48" t="s">
        <v>35</v>
      </c>
      <c r="T557" s="48"/>
      <c r="U557" s="49"/>
      <c r="V557" s="49"/>
      <c r="W557" s="50">
        <f t="shared" si="75"/>
        <v>0</v>
      </c>
      <c r="X557" s="51" t="str">
        <f>IF(A557="", "", IF(COUNTIFS(C$3:C556, C557, D$3:D556, D557, G$3:G556, G557) &gt; 0, "", "11:00"-AW557))</f>
        <v/>
      </c>
      <c r="Y557" s="52" t="str">
        <f t="shared" si="80"/>
        <v/>
      </c>
      <c r="Z557" s="53"/>
      <c r="AA557" s="54"/>
      <c r="AB557" s="53"/>
      <c r="AC557" s="54"/>
      <c r="AD557" s="53"/>
      <c r="AE557" s="54"/>
      <c r="AF557" s="53"/>
      <c r="AG557" s="54"/>
      <c r="AH557" s="55">
        <v>4.1666666666666699E-2</v>
      </c>
      <c r="AI557" s="53"/>
      <c r="AJ557" s="54"/>
      <c r="AK557" s="53"/>
      <c r="AL557" s="54"/>
      <c r="AM557" s="53"/>
      <c r="AN557" s="54"/>
      <c r="AO557" s="53"/>
      <c r="AP557" s="54"/>
      <c r="AQ557" s="53"/>
      <c r="AR557" s="54"/>
      <c r="AS557" s="53"/>
      <c r="AT557" s="54"/>
      <c r="AU557" s="53">
        <v>4.1666666666666699E-2</v>
      </c>
      <c r="AV557" s="54" t="s">
        <v>37</v>
      </c>
      <c r="AW557" s="57">
        <f t="shared" si="82"/>
        <v>4.1666666666666699E-2</v>
      </c>
      <c r="AX557" s="58" t="s">
        <v>109</v>
      </c>
    </row>
    <row r="558" spans="1:50" ht="21.75" customHeight="1">
      <c r="A558" s="38" t="s">
        <v>494</v>
      </c>
      <c r="B558" s="39">
        <f t="shared" si="81"/>
        <v>554</v>
      </c>
      <c r="C558" s="40">
        <v>46037</v>
      </c>
      <c r="D558" s="40" t="s">
        <v>80</v>
      </c>
      <c r="E558" s="40" t="s">
        <v>33</v>
      </c>
      <c r="F558" s="41">
        <v>698.5</v>
      </c>
      <c r="G558" s="42" t="s">
        <v>54</v>
      </c>
      <c r="H558" s="43" t="str">
        <f>IFERROR(VLOOKUP($J558,'[9]FROM (3)'!$E$4:$F$230,2,FALSE),"")</f>
        <v>JCTTH</v>
      </c>
      <c r="I558" s="44" t="str">
        <f t="shared" si="78"/>
        <v>RACK BAR</v>
      </c>
      <c r="J558" s="44" t="str">
        <f t="shared" si="79"/>
        <v>JGD10-000751/000761-A</v>
      </c>
      <c r="K558" s="59" t="str">
        <f t="shared" si="76"/>
        <v>PD26010263</v>
      </c>
      <c r="L558" s="46" t="str" cm="1">
        <f t="array" ref="L558">IFERROR(_xlfn.IFS(
    LEN($A558)-LEN(SUBSTITUTE($A558,"|",""))=12, RIGHT(A558, LEN(A558)-FIND("~", SUBSTITUTE(A558,"|","~", LEN(A558)-LEN(SUBSTITUTE(A558,"|",""))))),
    LEN($A558)-LEN(SUBSTITUTE($A558,"|",""))=13, MID($A558, FIND("~", SUBSTITUTE($A558,"|","~", 11))+1, FIND("~", SUBSTITUTE($A558,"|","~", 12))-FIND("~", SUBSTITUTE($A558,"|","~", 11))-1),
    LEN($A558)-LEN(SUBSTITUTE($A558,"|",""))=14, MID($A558, FIND("~", SUBSTITUTE($A558,"|","~", 11))+1, FIND("~", SUBSTITUTE($A558,"|","~", 12))-FIND("~", SUBSTITUTE($A558,"|","~", 11))-1)
), "")</f>
        <v>665076</v>
      </c>
      <c r="M558" s="47" t="str">
        <f t="shared" si="74"/>
        <v>SB010018/2/26</v>
      </c>
      <c r="N558" s="46" t="str">
        <f t="shared" si="77"/>
        <v/>
      </c>
      <c r="O558" s="60" t="s">
        <v>35</v>
      </c>
      <c r="P558" s="60" t="s">
        <v>35</v>
      </c>
      <c r="Q558" s="48">
        <v>84</v>
      </c>
      <c r="R558" s="48">
        <v>376</v>
      </c>
      <c r="S558" s="48"/>
      <c r="T558" s="48"/>
      <c r="U558" s="49"/>
      <c r="V558" s="49"/>
      <c r="W558" s="50">
        <f t="shared" si="75"/>
        <v>0</v>
      </c>
      <c r="X558" s="51">
        <f>IF(A558="", "", IF(COUNTIFS(C$3:C557, C558, D$3:D557, D558, G$3:G557, G558) &gt; 0, "", "11:00"-AW558))</f>
        <v>0.37499999999999994</v>
      </c>
      <c r="Y558" s="52" t="str">
        <f t="shared" si="80"/>
        <v>1:40</v>
      </c>
      <c r="Z558" s="53"/>
      <c r="AA558" s="54"/>
      <c r="AB558" s="53"/>
      <c r="AC558" s="54"/>
      <c r="AD558" s="53">
        <v>1.3888888888888888E-2</v>
      </c>
      <c r="AE558" s="54" t="s">
        <v>67</v>
      </c>
      <c r="AF558" s="53">
        <v>2.7777777777777776E-2</v>
      </c>
      <c r="AG558" s="54" t="s">
        <v>67</v>
      </c>
      <c r="AH558" s="55">
        <v>4.1666666666666699E-2</v>
      </c>
      <c r="AI558" s="53"/>
      <c r="AJ558" s="54"/>
      <c r="AK558" s="53"/>
      <c r="AL558" s="54"/>
      <c r="AM558" s="53"/>
      <c r="AN558" s="54"/>
      <c r="AO558" s="53"/>
      <c r="AP558" s="54"/>
      <c r="AQ558" s="53"/>
      <c r="AR558" s="54"/>
      <c r="AS558" s="53"/>
      <c r="AT558" s="54"/>
      <c r="AU558" s="53">
        <v>4.1666666666666699E-2</v>
      </c>
      <c r="AV558" s="54" t="s">
        <v>37</v>
      </c>
      <c r="AW558" s="57">
        <f t="shared" si="82"/>
        <v>8.333333333333337E-2</v>
      </c>
      <c r="AX558" s="58" t="s">
        <v>91</v>
      </c>
    </row>
    <row r="559" spans="1:50" ht="21.75" customHeight="1">
      <c r="A559" s="38" t="s">
        <v>530</v>
      </c>
      <c r="B559" s="39">
        <f t="shared" si="81"/>
        <v>555</v>
      </c>
      <c r="C559" s="40">
        <v>46037</v>
      </c>
      <c r="D559" s="40" t="s">
        <v>80</v>
      </c>
      <c r="E559" s="40" t="s">
        <v>33</v>
      </c>
      <c r="F559" s="41">
        <v>698.5</v>
      </c>
      <c r="G559" s="42" t="s">
        <v>54</v>
      </c>
      <c r="H559" s="43" t="str">
        <f>IFERROR(VLOOKUP($J559,'[9]FROM (3)'!$E$4:$F$230,2,FALSE),"")</f>
        <v>JCTTH</v>
      </c>
      <c r="I559" s="44" t="str">
        <f t="shared" si="78"/>
        <v>RACK BAR</v>
      </c>
      <c r="J559" s="44" t="str">
        <f t="shared" si="79"/>
        <v>JGD10-000751/000761-A</v>
      </c>
      <c r="K559" s="59" t="str">
        <f t="shared" si="76"/>
        <v>PD26010263</v>
      </c>
      <c r="L559" s="46" t="str" cm="1">
        <f t="array" ref="L559">IFERROR(_xlfn.IFS(
    LEN($A559)-LEN(SUBSTITUTE($A559,"|",""))=12, RIGHT(A559, LEN(A559)-FIND("~", SUBSTITUTE(A559,"|","~", LEN(A559)-LEN(SUBSTITUTE(A559,"|",""))))),
    LEN($A559)-LEN(SUBSTITUTE($A559,"|",""))=13, MID($A559, FIND("~", SUBSTITUTE($A559,"|","~", 11))+1, FIND("~", SUBSTITUTE($A559,"|","~", 12))-FIND("~", SUBSTITUTE($A559,"|","~", 11))-1),
    LEN($A559)-LEN(SUBSTITUTE($A559,"|",""))=14, MID($A559, FIND("~", SUBSTITUTE($A559,"|","~", 11))+1, FIND("~", SUBSTITUTE($A559,"|","~", 12))-FIND("~", SUBSTITUTE($A559,"|","~", 11))-1)
), "")</f>
        <v>665076</v>
      </c>
      <c r="M559" s="47" t="str">
        <f t="shared" si="74"/>
        <v>SB010018/1/26</v>
      </c>
      <c r="N559" s="46" t="str">
        <f t="shared" si="77"/>
        <v/>
      </c>
      <c r="O559" s="60">
        <v>51</v>
      </c>
      <c r="P559" s="60">
        <v>986</v>
      </c>
      <c r="Q559" s="48">
        <v>204</v>
      </c>
      <c r="R559" s="48">
        <v>913</v>
      </c>
      <c r="S559" s="48"/>
      <c r="T559" s="48"/>
      <c r="U559" s="49">
        <v>195</v>
      </c>
      <c r="V559" s="49">
        <v>10</v>
      </c>
      <c r="W559" s="50">
        <f t="shared" si="75"/>
        <v>205</v>
      </c>
      <c r="X559" s="51" t="str">
        <f>IF(A559="", "", IF(COUNTIFS(C$3:C558, C559, D$3:D558, D559, G$3:G558, G559) &gt; 0, "", "11:00"-AW559))</f>
        <v/>
      </c>
      <c r="Y559" s="52" t="str">
        <f t="shared" si="80"/>
        <v/>
      </c>
      <c r="Z559" s="53"/>
      <c r="AA559" s="54"/>
      <c r="AB559" s="53"/>
      <c r="AC559" s="54"/>
      <c r="AD559" s="53"/>
      <c r="AE559" s="54"/>
      <c r="AF559" s="53"/>
      <c r="AG559" s="54"/>
      <c r="AH559" s="55">
        <v>4.1666666666666699E-2</v>
      </c>
      <c r="AI559" s="53"/>
      <c r="AJ559" s="54"/>
      <c r="AK559" s="53"/>
      <c r="AL559" s="54"/>
      <c r="AM559" s="53"/>
      <c r="AN559" s="54"/>
      <c r="AO559" s="53"/>
      <c r="AP559" s="54"/>
      <c r="AQ559" s="53"/>
      <c r="AR559" s="54"/>
      <c r="AS559" s="53"/>
      <c r="AT559" s="54"/>
      <c r="AU559" s="53">
        <v>4.1666666666666699E-2</v>
      </c>
      <c r="AV559" s="54" t="s">
        <v>37</v>
      </c>
      <c r="AW559" s="57">
        <f t="shared" si="82"/>
        <v>4.1666666666666699E-2</v>
      </c>
      <c r="AX559" s="58" t="s">
        <v>91</v>
      </c>
    </row>
    <row r="560" spans="1:50" ht="21.75" customHeight="1">
      <c r="A560" s="38" t="s">
        <v>531</v>
      </c>
      <c r="B560" s="39">
        <f t="shared" si="81"/>
        <v>556</v>
      </c>
      <c r="C560" s="40">
        <v>46037</v>
      </c>
      <c r="D560" s="40" t="s">
        <v>80</v>
      </c>
      <c r="E560" s="40" t="s">
        <v>33</v>
      </c>
      <c r="F560" s="41">
        <v>648.29999999999995</v>
      </c>
      <c r="G560" s="42" t="s">
        <v>54</v>
      </c>
      <c r="H560" s="43" t="str">
        <f>IFERROR(VLOOKUP($J560,'[9]FROM (3)'!$E$4:$F$230,2,FALSE),"")</f>
        <v>JTCS</v>
      </c>
      <c r="I560" s="44" t="str">
        <f t="shared" si="78"/>
        <v>RACK, PS</v>
      </c>
      <c r="J560" s="44" t="str">
        <f t="shared" si="79"/>
        <v>JGD10-000520-B</v>
      </c>
      <c r="K560" s="59" t="str">
        <f t="shared" si="76"/>
        <v>PD26010616</v>
      </c>
      <c r="L560" s="46" t="str" cm="1">
        <f t="array" ref="L560">IFERROR(_xlfn.IFS(
    LEN($A560)-LEN(SUBSTITUTE($A560,"|",""))=12, RIGHT(A560, LEN(A560)-FIND("~", SUBSTITUTE(A560,"|","~", LEN(A560)-LEN(SUBSTITUTE(A560,"|",""))))),
    LEN($A560)-LEN(SUBSTITUTE($A560,"|",""))=13, MID($A560, FIND("~", SUBSTITUTE($A560,"|","~", 11))+1, FIND("~", SUBSTITUTE($A560,"|","~", 12))-FIND("~", SUBSTITUTE($A560,"|","~", 11))-1),
    LEN($A560)-LEN(SUBSTITUTE($A560,"|",""))=14, MID($A560, FIND("~", SUBSTITUTE($A560,"|","~", 11))+1, FIND("~", SUBSTITUTE($A560,"|","~", 12))-FIND("~", SUBSTITUTE($A560,"|","~", 11))-1)
), "")</f>
        <v>E585970</v>
      </c>
      <c r="M560" s="47" t="str">
        <f t="shared" si="74"/>
        <v>SB010070/1/26</v>
      </c>
      <c r="N560" s="46" t="str">
        <f t="shared" si="77"/>
        <v/>
      </c>
      <c r="O560" s="60">
        <v>50</v>
      </c>
      <c r="P560" s="60">
        <v>832</v>
      </c>
      <c r="Q560" s="48">
        <v>250</v>
      </c>
      <c r="R560" s="48">
        <v>780</v>
      </c>
      <c r="S560" s="48"/>
      <c r="T560" s="48"/>
      <c r="U560" s="49"/>
      <c r="V560" s="49"/>
      <c r="W560" s="50">
        <f t="shared" si="75"/>
        <v>0</v>
      </c>
      <c r="X560" s="51" t="str">
        <f>IF(A560="", "", IF(COUNTIFS(C$3:C559, C560, D$3:D559, D560, G$3:G559, G560) &gt; 0, "", "11:00"-AW560))</f>
        <v/>
      </c>
      <c r="Y560" s="52" t="str">
        <f t="shared" si="80"/>
        <v/>
      </c>
      <c r="Z560" s="53"/>
      <c r="AA560" s="54"/>
      <c r="AB560" s="53"/>
      <c r="AC560" s="54"/>
      <c r="AD560" s="53"/>
      <c r="AE560" s="54"/>
      <c r="AF560" s="53"/>
      <c r="AG560" s="54"/>
      <c r="AH560" s="55">
        <v>4.1666666666666699E-2</v>
      </c>
      <c r="AI560" s="53"/>
      <c r="AJ560" s="54"/>
      <c r="AK560" s="53"/>
      <c r="AL560" s="54"/>
      <c r="AM560" s="53"/>
      <c r="AN560" s="54"/>
      <c r="AO560" s="53"/>
      <c r="AP560" s="54"/>
      <c r="AQ560" s="53"/>
      <c r="AR560" s="54"/>
      <c r="AS560" s="53"/>
      <c r="AT560" s="54"/>
      <c r="AU560" s="53">
        <v>4.1666666666666699E-2</v>
      </c>
      <c r="AV560" s="54" t="s">
        <v>37</v>
      </c>
      <c r="AW560" s="57">
        <f t="shared" si="82"/>
        <v>4.1666666666666699E-2</v>
      </c>
      <c r="AX560" s="58" t="s">
        <v>91</v>
      </c>
    </row>
    <row r="561" spans="1:50" ht="21.75" customHeight="1">
      <c r="A561" s="38" t="s">
        <v>532</v>
      </c>
      <c r="B561" s="39">
        <f t="shared" si="81"/>
        <v>557</v>
      </c>
      <c r="C561" s="40">
        <v>46037</v>
      </c>
      <c r="D561" s="40" t="s">
        <v>80</v>
      </c>
      <c r="E561" s="40" t="s">
        <v>33</v>
      </c>
      <c r="F561" s="41">
        <v>648.29999999999995</v>
      </c>
      <c r="G561" s="42" t="s">
        <v>54</v>
      </c>
      <c r="H561" s="43" t="str">
        <f>IFERROR(VLOOKUP($J561,'[9]FROM (3)'!$E$4:$F$230,2,FALSE),"")</f>
        <v>JTCS</v>
      </c>
      <c r="I561" s="44" t="str">
        <f t="shared" si="78"/>
        <v>RACK, PS</v>
      </c>
      <c r="J561" s="44" t="str">
        <f t="shared" si="79"/>
        <v>JGD10-000520-B</v>
      </c>
      <c r="K561" s="59" t="str">
        <f t="shared" si="76"/>
        <v>PD26010616</v>
      </c>
      <c r="L561" s="46" t="str" cm="1">
        <f t="array" ref="L561">IFERROR(_xlfn.IFS(
    LEN($A561)-LEN(SUBSTITUTE($A561,"|",""))=12, RIGHT(A561, LEN(A561)-FIND("~", SUBSTITUTE(A561,"|","~", LEN(A561)-LEN(SUBSTITUTE(A561,"|",""))))),
    LEN($A561)-LEN(SUBSTITUTE($A561,"|",""))=13, MID($A561, FIND("~", SUBSTITUTE($A561,"|","~", 11))+1, FIND("~", SUBSTITUTE($A561,"|","~", 12))-FIND("~", SUBSTITUTE($A561,"|","~", 11))-1),
    LEN($A561)-LEN(SUBSTITUTE($A561,"|",""))=14, MID($A561, FIND("~", SUBSTITUTE($A561,"|","~", 11))+1, FIND("~", SUBSTITUTE($A561,"|","~", 12))-FIND("~", SUBSTITUTE($A561,"|","~", 11))-1)
), "")</f>
        <v>E585970</v>
      </c>
      <c r="M561" s="47" t="str">
        <f t="shared" si="74"/>
        <v>SB010070/2/26</v>
      </c>
      <c r="N561" s="46" t="str">
        <f t="shared" si="77"/>
        <v/>
      </c>
      <c r="O561" s="60">
        <v>50</v>
      </c>
      <c r="P561" s="60">
        <v>832</v>
      </c>
      <c r="Q561" s="48">
        <v>250</v>
      </c>
      <c r="R561" s="48">
        <v>780</v>
      </c>
      <c r="S561" s="48"/>
      <c r="T561" s="48"/>
      <c r="U561" s="49"/>
      <c r="V561" s="49"/>
      <c r="W561" s="50">
        <f t="shared" si="75"/>
        <v>0</v>
      </c>
      <c r="X561" s="51" t="str">
        <f>IF(A561="", "", IF(COUNTIFS(C$3:C560, C561, D$3:D560, D561, G$3:G560, G561) &gt; 0, "", "11:00"-AW561))</f>
        <v/>
      </c>
      <c r="Y561" s="52" t="str">
        <f t="shared" si="80"/>
        <v/>
      </c>
      <c r="Z561" s="53"/>
      <c r="AA561" s="54"/>
      <c r="AB561" s="53"/>
      <c r="AC561" s="54"/>
      <c r="AD561" s="53"/>
      <c r="AE561" s="54"/>
      <c r="AF561" s="53"/>
      <c r="AG561" s="54"/>
      <c r="AH561" s="55">
        <v>4.1666666666666699E-2</v>
      </c>
      <c r="AI561" s="53"/>
      <c r="AJ561" s="54"/>
      <c r="AK561" s="53"/>
      <c r="AL561" s="54"/>
      <c r="AM561" s="53"/>
      <c r="AN561" s="54"/>
      <c r="AO561" s="53"/>
      <c r="AP561" s="54"/>
      <c r="AQ561" s="53"/>
      <c r="AR561" s="54"/>
      <c r="AS561" s="53"/>
      <c r="AT561" s="54"/>
      <c r="AU561" s="53">
        <v>4.1666666666666699E-2</v>
      </c>
      <c r="AV561" s="54" t="s">
        <v>37</v>
      </c>
      <c r="AW561" s="57">
        <f t="shared" si="82"/>
        <v>4.1666666666666699E-2</v>
      </c>
      <c r="AX561" s="58" t="s">
        <v>91</v>
      </c>
    </row>
    <row r="562" spans="1:50" ht="21.75" customHeight="1">
      <c r="A562" s="38" t="s">
        <v>533</v>
      </c>
      <c r="B562" s="39">
        <f t="shared" si="81"/>
        <v>558</v>
      </c>
      <c r="C562" s="40">
        <v>46037</v>
      </c>
      <c r="D562" s="40" t="s">
        <v>80</v>
      </c>
      <c r="E562" s="40" t="s">
        <v>33</v>
      </c>
      <c r="F562" s="41">
        <v>648.29999999999995</v>
      </c>
      <c r="G562" s="42" t="s">
        <v>54</v>
      </c>
      <c r="H562" s="43" t="str">
        <f>IFERROR(VLOOKUP($J562,'[9]FROM (3)'!$E$4:$F$230,2,FALSE),"")</f>
        <v>JTCS</v>
      </c>
      <c r="I562" s="44" t="str">
        <f t="shared" si="78"/>
        <v>RACK, PS</v>
      </c>
      <c r="J562" s="44" t="str">
        <f t="shared" si="79"/>
        <v>JGD10-000520-B</v>
      </c>
      <c r="K562" s="59" t="str">
        <f t="shared" si="76"/>
        <v>PD26010616</v>
      </c>
      <c r="L562" s="46" t="str" cm="1">
        <f t="array" ref="L562">IFERROR(_xlfn.IFS(
    LEN($A562)-LEN(SUBSTITUTE($A562,"|",""))=12, RIGHT(A562, LEN(A562)-FIND("~", SUBSTITUTE(A562,"|","~", LEN(A562)-LEN(SUBSTITUTE(A562,"|",""))))),
    LEN($A562)-LEN(SUBSTITUTE($A562,"|",""))=13, MID($A562, FIND("~", SUBSTITUTE($A562,"|","~", 11))+1, FIND("~", SUBSTITUTE($A562,"|","~", 12))-FIND("~", SUBSTITUTE($A562,"|","~", 11))-1),
    LEN($A562)-LEN(SUBSTITUTE($A562,"|",""))=14, MID($A562, FIND("~", SUBSTITUTE($A562,"|","~", 11))+1, FIND("~", SUBSTITUTE($A562,"|","~", 12))-FIND("~", SUBSTITUTE($A562,"|","~", 11))-1)
), "")</f>
        <v>E585970</v>
      </c>
      <c r="M562" s="47" t="str">
        <f t="shared" si="74"/>
        <v>SB010070/3/26</v>
      </c>
      <c r="N562" s="46" t="str">
        <f t="shared" si="77"/>
        <v/>
      </c>
      <c r="O562" s="60">
        <v>50</v>
      </c>
      <c r="P562" s="60">
        <v>832</v>
      </c>
      <c r="Q562" s="48">
        <v>153</v>
      </c>
      <c r="R562" s="48">
        <v>477</v>
      </c>
      <c r="S562" s="48"/>
      <c r="T562" s="48"/>
      <c r="U562" s="49"/>
      <c r="V562" s="49"/>
      <c r="W562" s="50">
        <f t="shared" si="75"/>
        <v>0</v>
      </c>
      <c r="X562" s="51" t="str">
        <f>IF(A562="", "", IF(COUNTIFS(C$3:C561, C562, D$3:D561, D562, G$3:G561, G562) &gt; 0, "", "11:00"-AW562))</f>
        <v/>
      </c>
      <c r="Y562" s="52" t="str">
        <f t="shared" si="80"/>
        <v/>
      </c>
      <c r="Z562" s="53"/>
      <c r="AA562" s="54"/>
      <c r="AB562" s="53"/>
      <c r="AC562" s="54"/>
      <c r="AD562" s="53"/>
      <c r="AE562" s="54"/>
      <c r="AF562" s="53"/>
      <c r="AG562" s="54"/>
      <c r="AH562" s="55">
        <v>4.1666666666666699E-2</v>
      </c>
      <c r="AI562" s="53"/>
      <c r="AJ562" s="54"/>
      <c r="AK562" s="53"/>
      <c r="AL562" s="54"/>
      <c r="AM562" s="53"/>
      <c r="AN562" s="54"/>
      <c r="AO562" s="53"/>
      <c r="AP562" s="54"/>
      <c r="AQ562" s="53"/>
      <c r="AR562" s="54"/>
      <c r="AS562" s="53"/>
      <c r="AT562" s="54"/>
      <c r="AU562" s="53">
        <v>4.1666666666666699E-2</v>
      </c>
      <c r="AV562" s="54" t="s">
        <v>37</v>
      </c>
      <c r="AW562" s="57">
        <f t="shared" si="82"/>
        <v>4.1666666666666699E-2</v>
      </c>
      <c r="AX562" s="58" t="s">
        <v>91</v>
      </c>
    </row>
    <row r="563" spans="1:50" ht="21.75" customHeight="1">
      <c r="A563" s="38" t="s">
        <v>534</v>
      </c>
      <c r="B563" s="39">
        <f t="shared" si="81"/>
        <v>559</v>
      </c>
      <c r="C563" s="40">
        <v>46037</v>
      </c>
      <c r="D563" s="40" t="s">
        <v>80</v>
      </c>
      <c r="E563" s="40" t="s">
        <v>33</v>
      </c>
      <c r="F563" s="41">
        <v>92.5</v>
      </c>
      <c r="G563" s="42" t="s">
        <v>135</v>
      </c>
      <c r="H563" s="43" t="str">
        <f>IFERROR(VLOOKUP($J563,'[9]FROM (3)'!$E$4:$F$230,2,FALSE),"")</f>
        <v>DNTH</v>
      </c>
      <c r="I563" s="44" t="str">
        <f t="shared" si="78"/>
        <v>Pole Core</v>
      </c>
      <c r="J563" s="44" t="str">
        <f t="shared" si="79"/>
        <v>TG028152-5190</v>
      </c>
      <c r="K563" s="59" t="str">
        <f t="shared" si="76"/>
        <v>PD26010655</v>
      </c>
      <c r="L563" s="46" t="str" cm="1">
        <f t="array" ref="L563">IFERROR(_xlfn.IFS(
    LEN($A563)-LEN(SUBSTITUTE($A563,"|",""))=12, RIGHT(A563, LEN(A563)-FIND("~", SUBSTITUTE(A563,"|","~", LEN(A563)-LEN(SUBSTITUTE(A563,"|",""))))),
    LEN($A563)-LEN(SUBSTITUTE($A563,"|",""))=13, MID($A563, FIND("~", SUBSTITUTE($A563,"|","~", 11))+1, FIND("~", SUBSTITUTE($A563,"|","~", 12))-FIND("~", SUBSTITUTE($A563,"|","~", 11))-1),
    LEN($A563)-LEN(SUBSTITUTE($A563,"|",""))=14, MID($A563, FIND("~", SUBSTITUTE($A563,"|","~", 11))+1, FIND("~", SUBSTITUTE($A563,"|","~", 12))-FIND("~", SUBSTITUTE($A563,"|","~", 11))-1)
), "")</f>
        <v>KS005C9016</v>
      </c>
      <c r="M563" s="47" t="str">
        <f t="shared" si="74"/>
        <v>SB010063/3/26</v>
      </c>
      <c r="N563" s="46" t="str">
        <f t="shared" si="77"/>
        <v/>
      </c>
      <c r="O563" s="60">
        <v>105</v>
      </c>
      <c r="P563" s="60">
        <v>945</v>
      </c>
      <c r="Q563" s="48">
        <v>9945</v>
      </c>
      <c r="R563" s="48">
        <v>920</v>
      </c>
      <c r="S563" s="48"/>
      <c r="T563" s="48"/>
      <c r="U563" s="49"/>
      <c r="V563" s="49"/>
      <c r="W563" s="50">
        <f t="shared" si="75"/>
        <v>0</v>
      </c>
      <c r="X563" s="51">
        <f>IF(A563="", "", IF(COUNTIFS(C$3:C562, C563, D$3:D562, D563, G$3:G562, G563) &gt; 0, "", "11:00"-AW563))</f>
        <v>0.29166666666666663</v>
      </c>
      <c r="Y563" s="52" t="str">
        <f t="shared" si="80"/>
        <v>1:40</v>
      </c>
      <c r="Z563" s="53">
        <v>4.1666666666666664E-2</v>
      </c>
      <c r="AA563" s="54" t="s">
        <v>90</v>
      </c>
      <c r="AB563" s="53">
        <v>4.1666666666666664E-2</v>
      </c>
      <c r="AC563" s="54" t="s">
        <v>90</v>
      </c>
      <c r="AD563" s="53">
        <v>4.1666666666666664E-2</v>
      </c>
      <c r="AE563" s="54" t="s">
        <v>67</v>
      </c>
      <c r="AF563" s="53"/>
      <c r="AG563" s="54"/>
      <c r="AH563" s="55">
        <v>4.1666666666666699E-2</v>
      </c>
      <c r="AI563" s="53"/>
      <c r="AJ563" s="54"/>
      <c r="AK563" s="53"/>
      <c r="AL563" s="54"/>
      <c r="AM563" s="53"/>
      <c r="AN563" s="54"/>
      <c r="AO563" s="53"/>
      <c r="AP563" s="54"/>
      <c r="AQ563" s="53"/>
      <c r="AR563" s="54"/>
      <c r="AS563" s="53"/>
      <c r="AT563" s="54"/>
      <c r="AU563" s="53">
        <v>4.1666666666666699E-2</v>
      </c>
      <c r="AV563" s="54" t="s">
        <v>37</v>
      </c>
      <c r="AW563" s="57">
        <f t="shared" si="82"/>
        <v>0.16666666666666669</v>
      </c>
      <c r="AX563" s="58" t="s">
        <v>224</v>
      </c>
    </row>
    <row r="564" spans="1:50" ht="21.75" customHeight="1">
      <c r="A564" s="38" t="s">
        <v>535</v>
      </c>
      <c r="B564" s="39">
        <f t="shared" si="81"/>
        <v>560</v>
      </c>
      <c r="C564" s="40">
        <v>46037</v>
      </c>
      <c r="D564" s="40" t="s">
        <v>80</v>
      </c>
      <c r="E564" s="40" t="s">
        <v>33</v>
      </c>
      <c r="F564" s="41">
        <v>92.5</v>
      </c>
      <c r="G564" s="42" t="s">
        <v>135</v>
      </c>
      <c r="H564" s="43" t="str">
        <f>IFERROR(VLOOKUP($J564,'[9]FROM (3)'!$E$4:$F$230,2,FALSE),"")</f>
        <v>DNTH</v>
      </c>
      <c r="I564" s="44" t="str">
        <f t="shared" si="78"/>
        <v>Pole Core</v>
      </c>
      <c r="J564" s="44" t="str">
        <f t="shared" si="79"/>
        <v>TG028152-5190</v>
      </c>
      <c r="K564" s="59" t="str">
        <f t="shared" si="76"/>
        <v>PD26010655</v>
      </c>
      <c r="L564" s="46" t="str" cm="1">
        <f t="array" ref="L564">IFERROR(_xlfn.IFS(
    LEN($A564)-LEN(SUBSTITUTE($A564,"|",""))=12, RIGHT(A564, LEN(A564)-FIND("~", SUBSTITUTE(A564,"|","~", LEN(A564)-LEN(SUBSTITUTE(A564,"|",""))))),
    LEN($A564)-LEN(SUBSTITUTE($A564,"|",""))=13, MID($A564, FIND("~", SUBSTITUTE($A564,"|","~", 11))+1, FIND("~", SUBSTITUTE($A564,"|","~", 12))-FIND("~", SUBSTITUTE($A564,"|","~", 11))-1),
    LEN($A564)-LEN(SUBSTITUTE($A564,"|",""))=14, MID($A564, FIND("~", SUBSTITUTE($A564,"|","~", 11))+1, FIND("~", SUBSTITUTE($A564,"|","~", 12))-FIND("~", SUBSTITUTE($A564,"|","~", 11))-1)
), "")</f>
        <v>KS005C9016</v>
      </c>
      <c r="M564" s="47" t="str">
        <f t="shared" si="74"/>
        <v>SB010063/4/26</v>
      </c>
      <c r="N564" s="46" t="str">
        <f t="shared" si="77"/>
        <v/>
      </c>
      <c r="O564" s="60">
        <v>104</v>
      </c>
      <c r="P564" s="60">
        <v>934</v>
      </c>
      <c r="Q564" s="48">
        <v>2355</v>
      </c>
      <c r="R564" s="48">
        <v>218</v>
      </c>
      <c r="S564" s="48"/>
      <c r="T564" s="48"/>
      <c r="U564" s="49"/>
      <c r="V564" s="49"/>
      <c r="W564" s="50">
        <f t="shared" si="75"/>
        <v>0</v>
      </c>
      <c r="X564" s="51" t="str">
        <f>IF(A564="", "", IF(COUNTIFS(C$3:C563, C564, D$3:D563, D564, G$3:G563, G564) &gt; 0, "", "11:00"-AW564))</f>
        <v/>
      </c>
      <c r="Y564" s="52" t="str">
        <f t="shared" si="80"/>
        <v/>
      </c>
      <c r="Z564" s="53">
        <v>4.1666666666666664E-2</v>
      </c>
      <c r="AA564" s="54" t="s">
        <v>90</v>
      </c>
      <c r="AB564" s="53">
        <v>4.1666666666666664E-2</v>
      </c>
      <c r="AC564" s="54" t="s">
        <v>90</v>
      </c>
      <c r="AD564" s="53">
        <v>4.1666666666666664E-2</v>
      </c>
      <c r="AE564" s="54" t="s">
        <v>67</v>
      </c>
      <c r="AF564" s="53"/>
      <c r="AG564" s="54"/>
      <c r="AH564" s="55">
        <v>4.1666666666666699E-2</v>
      </c>
      <c r="AI564" s="53"/>
      <c r="AJ564" s="54"/>
      <c r="AK564" s="53"/>
      <c r="AL564" s="54"/>
      <c r="AM564" s="53"/>
      <c r="AN564" s="54"/>
      <c r="AO564" s="53"/>
      <c r="AP564" s="54"/>
      <c r="AQ564" s="53"/>
      <c r="AR564" s="54"/>
      <c r="AS564" s="53"/>
      <c r="AT564" s="54"/>
      <c r="AU564" s="53">
        <v>4.1666666666666699E-2</v>
      </c>
      <c r="AV564" s="54" t="s">
        <v>37</v>
      </c>
      <c r="AW564" s="57">
        <f t="shared" si="82"/>
        <v>0.16666666666666669</v>
      </c>
      <c r="AX564" s="58" t="s">
        <v>224</v>
      </c>
    </row>
    <row r="565" spans="1:50" ht="21.75" customHeight="1">
      <c r="A565" s="38" t="s">
        <v>536</v>
      </c>
      <c r="B565" s="39">
        <f t="shared" si="81"/>
        <v>561</v>
      </c>
      <c r="C565" s="40">
        <v>46037</v>
      </c>
      <c r="D565" s="40" t="s">
        <v>80</v>
      </c>
      <c r="E565" s="40" t="s">
        <v>33</v>
      </c>
      <c r="F565" s="41">
        <v>655.4</v>
      </c>
      <c r="G565" s="42" t="s">
        <v>66</v>
      </c>
      <c r="H565" s="43" t="str">
        <f>IFERROR(VLOOKUP($J565,'[9]FROM (3)'!$E$4:$F$230,2,FALSE),"")</f>
        <v>JAMY</v>
      </c>
      <c r="I565" s="44" t="str">
        <f t="shared" si="78"/>
        <v>RACK BAR</v>
      </c>
      <c r="J565" s="44" t="str">
        <f t="shared" si="79"/>
        <v>JGC10-M09008-51-0</v>
      </c>
      <c r="K565" s="59" t="str">
        <f t="shared" si="76"/>
        <v>PD26010500</v>
      </c>
      <c r="L565" s="46" t="str" cm="1">
        <f t="array" ref="L565">IFERROR(_xlfn.IFS(
    LEN($A565)-LEN(SUBSTITUTE($A565,"|",""))=12, RIGHT(A565, LEN(A565)-FIND("~", SUBSTITUTE(A565,"|","~", LEN(A565)-LEN(SUBSTITUTE(A565,"|",""))))),
    LEN($A565)-LEN(SUBSTITUTE($A565,"|",""))=13, MID($A565, FIND("~", SUBSTITUTE($A565,"|","~", 11))+1, FIND("~", SUBSTITUTE($A565,"|","~", 12))-FIND("~", SUBSTITUTE($A565,"|","~", 11))-1),
    LEN($A565)-LEN(SUBSTITUTE($A565,"|",""))=14, MID($A565, FIND("~", SUBSTITUTE($A565,"|","~", 11))+1, FIND("~", SUBSTITUTE($A565,"|","~", 12))-FIND("~", SUBSTITUTE($A565,"|","~", 11))-1)
), "")</f>
        <v>E586966</v>
      </c>
      <c r="M565" s="47" t="str">
        <f t="shared" si="74"/>
        <v>SB010051/6/26</v>
      </c>
      <c r="N565" s="46" t="str">
        <f t="shared" si="77"/>
        <v/>
      </c>
      <c r="O565" s="60">
        <v>54</v>
      </c>
      <c r="P565" s="60">
        <v>786</v>
      </c>
      <c r="Q565" s="48">
        <v>270</v>
      </c>
      <c r="R565" s="48">
        <v>737</v>
      </c>
      <c r="S565" s="48">
        <v>9</v>
      </c>
      <c r="T565" s="48" t="s">
        <v>143</v>
      </c>
      <c r="U565" s="49">
        <v>96</v>
      </c>
      <c r="V565" s="49">
        <v>6</v>
      </c>
      <c r="W565" s="50">
        <f t="shared" si="75"/>
        <v>102</v>
      </c>
      <c r="X565" s="51">
        <f>IF(A565="", "", IF(COUNTIFS(C$3:C564, C565, D$3:D564, D565, G$3:G564, G565) &gt; 0, "", "11:00"-AW565))</f>
        <v>0.40277777777777773</v>
      </c>
      <c r="Y565" s="52" t="str">
        <f t="shared" si="80"/>
        <v>1:40</v>
      </c>
      <c r="Z565" s="53">
        <v>1.3888888888888888E-2</v>
      </c>
      <c r="AA565" s="54" t="s">
        <v>147</v>
      </c>
      <c r="AB565" s="53"/>
      <c r="AC565" s="54"/>
      <c r="AD565" s="53"/>
      <c r="AE565" s="54"/>
      <c r="AF565" s="53"/>
      <c r="AG565" s="54"/>
      <c r="AH565" s="55">
        <v>4.1666666666666699E-2</v>
      </c>
      <c r="AI565" s="53"/>
      <c r="AJ565" s="54"/>
      <c r="AK565" s="53"/>
      <c r="AL565" s="54"/>
      <c r="AM565" s="53"/>
      <c r="AN565" s="54"/>
      <c r="AO565" s="53"/>
      <c r="AP565" s="54"/>
      <c r="AQ565" s="53"/>
      <c r="AR565" s="54"/>
      <c r="AS565" s="53"/>
      <c r="AT565" s="54"/>
      <c r="AU565" s="53">
        <v>4.1666666666666699E-2</v>
      </c>
      <c r="AV565" s="54" t="s">
        <v>37</v>
      </c>
      <c r="AW565" s="57">
        <f t="shared" si="82"/>
        <v>5.5555555555555587E-2</v>
      </c>
      <c r="AX565" s="58" t="s">
        <v>96</v>
      </c>
    </row>
    <row r="566" spans="1:50" ht="21.75" customHeight="1">
      <c r="A566" s="38" t="s">
        <v>537</v>
      </c>
      <c r="B566" s="39">
        <f t="shared" si="81"/>
        <v>562</v>
      </c>
      <c r="C566" s="40">
        <v>46037</v>
      </c>
      <c r="D566" s="40" t="s">
        <v>80</v>
      </c>
      <c r="E566" s="40" t="s">
        <v>33</v>
      </c>
      <c r="F566" s="41">
        <v>655.4</v>
      </c>
      <c r="G566" s="42" t="s">
        <v>66</v>
      </c>
      <c r="H566" s="43" t="str">
        <f>IFERROR(VLOOKUP($J566,'[9]FROM (3)'!$E$4:$F$230,2,FALSE),"")</f>
        <v>JAMY</v>
      </c>
      <c r="I566" s="44" t="str">
        <f t="shared" si="78"/>
        <v>RACK BAR</v>
      </c>
      <c r="J566" s="44" t="str">
        <f t="shared" si="79"/>
        <v>JGC10-M09008-51-0</v>
      </c>
      <c r="K566" s="59" t="str">
        <f t="shared" si="76"/>
        <v>PD26010500</v>
      </c>
      <c r="L566" s="46" t="str" cm="1">
        <f t="array" ref="L566">IFERROR(_xlfn.IFS(
    LEN($A566)-LEN(SUBSTITUTE($A566,"|",""))=12, RIGHT(A566, LEN(A566)-FIND("~", SUBSTITUTE(A566,"|","~", LEN(A566)-LEN(SUBSTITUTE(A566,"|",""))))),
    LEN($A566)-LEN(SUBSTITUTE($A566,"|",""))=13, MID($A566, FIND("~", SUBSTITUTE($A566,"|","~", 11))+1, FIND("~", SUBSTITUTE($A566,"|","~", 12))-FIND("~", SUBSTITUTE($A566,"|","~", 11))-1),
    LEN($A566)-LEN(SUBSTITUTE($A566,"|",""))=14, MID($A566, FIND("~", SUBSTITUTE($A566,"|","~", 11))+1, FIND("~", SUBSTITUTE($A566,"|","~", 12))-FIND("~", SUBSTITUTE($A566,"|","~", 11))-1)
), "")</f>
        <v>E586966</v>
      </c>
      <c r="M566" s="47" t="str">
        <f t="shared" si="74"/>
        <v>SB010051/5/26</v>
      </c>
      <c r="N566" s="46" t="str">
        <f t="shared" si="77"/>
        <v/>
      </c>
      <c r="O566" s="60">
        <v>60</v>
      </c>
      <c r="P566" s="60">
        <v>874</v>
      </c>
      <c r="Q566" s="48">
        <v>300</v>
      </c>
      <c r="R566" s="48">
        <v>819</v>
      </c>
      <c r="S566" s="48"/>
      <c r="T566" s="48"/>
      <c r="U566" s="49"/>
      <c r="V566" s="49"/>
      <c r="W566" s="50">
        <f t="shared" si="75"/>
        <v>0</v>
      </c>
      <c r="X566" s="51" t="str">
        <f>IF(A566="", "", IF(COUNTIFS(C$3:C565, C566, D$3:D565, D566, G$3:G565, G566) &gt; 0, "", "11:00"-AW566))</f>
        <v/>
      </c>
      <c r="Y566" s="52" t="str">
        <f t="shared" si="80"/>
        <v/>
      </c>
      <c r="Z566" s="53"/>
      <c r="AA566" s="54"/>
      <c r="AB566" s="53"/>
      <c r="AC566" s="54"/>
      <c r="AD566" s="53"/>
      <c r="AE566" s="54"/>
      <c r="AF566" s="53"/>
      <c r="AG566" s="54"/>
      <c r="AH566" s="55">
        <v>4.1666666666666699E-2</v>
      </c>
      <c r="AI566" s="53"/>
      <c r="AJ566" s="54"/>
      <c r="AK566" s="53"/>
      <c r="AL566" s="54"/>
      <c r="AM566" s="53"/>
      <c r="AN566" s="54"/>
      <c r="AO566" s="53"/>
      <c r="AP566" s="54"/>
      <c r="AQ566" s="53"/>
      <c r="AR566" s="54"/>
      <c r="AS566" s="53"/>
      <c r="AT566" s="54"/>
      <c r="AU566" s="53">
        <v>4.1666666666666699E-2</v>
      </c>
      <c r="AV566" s="54" t="s">
        <v>37</v>
      </c>
      <c r="AW566" s="57">
        <f t="shared" si="82"/>
        <v>4.1666666666666699E-2</v>
      </c>
      <c r="AX566" s="58" t="s">
        <v>96</v>
      </c>
    </row>
    <row r="567" spans="1:50" ht="21.75" customHeight="1">
      <c r="A567" s="38" t="s">
        <v>538</v>
      </c>
      <c r="B567" s="39">
        <f t="shared" si="81"/>
        <v>563</v>
      </c>
      <c r="C567" s="40">
        <v>46037</v>
      </c>
      <c r="D567" s="40" t="s">
        <v>80</v>
      </c>
      <c r="E567" s="40" t="s">
        <v>33</v>
      </c>
      <c r="F567" s="41">
        <v>655.4</v>
      </c>
      <c r="G567" s="42" t="s">
        <v>66</v>
      </c>
      <c r="H567" s="43" t="str">
        <f>IFERROR(VLOOKUP($J567,'[9]FROM (3)'!$E$4:$F$230,2,FALSE),"")</f>
        <v>JAMY</v>
      </c>
      <c r="I567" s="44" t="str">
        <f t="shared" si="78"/>
        <v>RACK BAR</v>
      </c>
      <c r="J567" s="44" t="str">
        <f t="shared" si="79"/>
        <v>JGC10-M09008-51-0</v>
      </c>
      <c r="K567" s="59" t="str">
        <f t="shared" si="76"/>
        <v>PD26010500</v>
      </c>
      <c r="L567" s="46" t="str" cm="1">
        <f t="array" ref="L567">IFERROR(_xlfn.IFS(
    LEN($A567)-LEN(SUBSTITUTE($A567,"|",""))=12, RIGHT(A567, LEN(A567)-FIND("~", SUBSTITUTE(A567,"|","~", LEN(A567)-LEN(SUBSTITUTE(A567,"|",""))))),
    LEN($A567)-LEN(SUBSTITUTE($A567,"|",""))=13, MID($A567, FIND("~", SUBSTITUTE($A567,"|","~", 11))+1, FIND("~", SUBSTITUTE($A567,"|","~", 12))-FIND("~", SUBSTITUTE($A567,"|","~", 11))-1),
    LEN($A567)-LEN(SUBSTITUTE($A567,"|",""))=14, MID($A567, FIND("~", SUBSTITUTE($A567,"|","~", 11))+1, FIND("~", SUBSTITUTE($A567,"|","~", 12))-FIND("~", SUBSTITUTE($A567,"|","~", 11))-1)
), "")</f>
        <v>E586966</v>
      </c>
      <c r="M567" s="47" t="str">
        <f t="shared" si="74"/>
        <v>SB010051/7/26</v>
      </c>
      <c r="N567" s="46" t="str">
        <f t="shared" si="77"/>
        <v/>
      </c>
      <c r="O567" s="60">
        <v>6</v>
      </c>
      <c r="P567" s="60">
        <v>88</v>
      </c>
      <c r="Q567" s="48">
        <v>21</v>
      </c>
      <c r="R567" s="48">
        <v>57</v>
      </c>
      <c r="S567" s="48"/>
      <c r="T567" s="48"/>
      <c r="U567" s="49"/>
      <c r="V567" s="49"/>
      <c r="W567" s="50">
        <f t="shared" si="75"/>
        <v>0</v>
      </c>
      <c r="X567" s="51" t="str">
        <f>IF(A567="", "", IF(COUNTIFS(C$3:C566, C567, D$3:D566, D567, G$3:G566, G567) &gt; 0, "", "11:00"-AW567))</f>
        <v/>
      </c>
      <c r="Y567" s="52" t="str">
        <f t="shared" si="80"/>
        <v/>
      </c>
      <c r="Z567" s="53"/>
      <c r="AA567" s="54"/>
      <c r="AB567" s="53"/>
      <c r="AC567" s="54"/>
      <c r="AD567" s="53"/>
      <c r="AE567" s="54"/>
      <c r="AF567" s="53"/>
      <c r="AG567" s="54"/>
      <c r="AH567" s="55">
        <v>4.1666666666666699E-2</v>
      </c>
      <c r="AI567" s="53"/>
      <c r="AJ567" s="54"/>
      <c r="AK567" s="53"/>
      <c r="AL567" s="54"/>
      <c r="AM567" s="53"/>
      <c r="AN567" s="54"/>
      <c r="AO567" s="53"/>
      <c r="AP567" s="54"/>
      <c r="AQ567" s="53"/>
      <c r="AR567" s="54"/>
      <c r="AS567" s="53"/>
      <c r="AT567" s="54"/>
      <c r="AU567" s="53">
        <v>4.1666666666666699E-2</v>
      </c>
      <c r="AV567" s="54" t="s">
        <v>37</v>
      </c>
      <c r="AW567" s="57">
        <f t="shared" si="82"/>
        <v>4.1666666666666699E-2</v>
      </c>
      <c r="AX567" s="58" t="s">
        <v>96</v>
      </c>
    </row>
    <row r="568" spans="1:50" ht="21.75" customHeight="1">
      <c r="A568" s="38" t="s">
        <v>539</v>
      </c>
      <c r="B568" s="39">
        <f t="shared" si="81"/>
        <v>564</v>
      </c>
      <c r="C568" s="40">
        <v>46037</v>
      </c>
      <c r="D568" s="40" t="s">
        <v>80</v>
      </c>
      <c r="E568" s="40" t="s">
        <v>33</v>
      </c>
      <c r="F568" s="41">
        <v>655.4</v>
      </c>
      <c r="G568" s="42" t="s">
        <v>66</v>
      </c>
      <c r="H568" s="43" t="str">
        <f>IFERROR(VLOOKUP($J568,'[9]FROM (3)'!$E$4:$F$230,2,FALSE),"")</f>
        <v>JAMY</v>
      </c>
      <c r="I568" s="44" t="str">
        <f t="shared" si="78"/>
        <v>RACK BAR</v>
      </c>
      <c r="J568" s="44" t="str">
        <f t="shared" si="79"/>
        <v>JGC10-M09008-51-0</v>
      </c>
      <c r="K568" s="59" t="str">
        <f t="shared" si="76"/>
        <v>PD26010498</v>
      </c>
      <c r="L568" s="46" t="str" cm="1">
        <f t="array" ref="L568">IFERROR(_xlfn.IFS(
    LEN($A568)-LEN(SUBSTITUTE($A568,"|",""))=12, RIGHT(A568, LEN(A568)-FIND("~", SUBSTITUTE(A568,"|","~", LEN(A568)-LEN(SUBSTITUTE(A568,"|",""))))),
    LEN($A568)-LEN(SUBSTITUTE($A568,"|",""))=13, MID($A568, FIND("~", SUBSTITUTE($A568,"|","~", 11))+1, FIND("~", SUBSTITUTE($A568,"|","~", 12))-FIND("~", SUBSTITUTE($A568,"|","~", 11))-1),
    LEN($A568)-LEN(SUBSTITUTE($A568,"|",""))=14, MID($A568, FIND("~", SUBSTITUTE($A568,"|","~", 11))+1, FIND("~", SUBSTITUTE($A568,"|","~", 12))-FIND("~", SUBSTITUTE($A568,"|","~", 11))-1)
), "")</f>
        <v>E586966</v>
      </c>
      <c r="M568" s="47" t="str">
        <f t="shared" si="74"/>
        <v>SB010051/1/26</v>
      </c>
      <c r="N568" s="46" t="str">
        <f t="shared" si="77"/>
        <v/>
      </c>
      <c r="O568" s="60">
        <v>60</v>
      </c>
      <c r="P568" s="60">
        <v>874</v>
      </c>
      <c r="Q568" s="48">
        <v>300</v>
      </c>
      <c r="R568" s="48">
        <v>819</v>
      </c>
      <c r="S568" s="48"/>
      <c r="T568" s="48"/>
      <c r="U568" s="49">
        <v>85</v>
      </c>
      <c r="V568" s="49">
        <v>5</v>
      </c>
      <c r="W568" s="50">
        <f t="shared" si="75"/>
        <v>90</v>
      </c>
      <c r="X568" s="51" t="str">
        <f>IF(A568="", "", IF(COUNTIFS(C$3:C567, C568, D$3:D567, D568, G$3:G567, G568) &gt; 0, "", "11:00"-AW568))</f>
        <v/>
      </c>
      <c r="Y568" s="52" t="str">
        <f t="shared" si="80"/>
        <v/>
      </c>
      <c r="Z568" s="53"/>
      <c r="AA568" s="54"/>
      <c r="AB568" s="53"/>
      <c r="AC568" s="54"/>
      <c r="AD568" s="53"/>
      <c r="AE568" s="54"/>
      <c r="AF568" s="53"/>
      <c r="AG568" s="54"/>
      <c r="AH568" s="55">
        <v>4.1666666666666699E-2</v>
      </c>
      <c r="AI568" s="53"/>
      <c r="AJ568" s="54"/>
      <c r="AK568" s="53"/>
      <c r="AL568" s="54"/>
      <c r="AM568" s="53"/>
      <c r="AN568" s="54"/>
      <c r="AO568" s="53"/>
      <c r="AP568" s="54"/>
      <c r="AQ568" s="53"/>
      <c r="AR568" s="54"/>
      <c r="AS568" s="53"/>
      <c r="AT568" s="54"/>
      <c r="AU568" s="53">
        <v>4.1666666666666699E-2</v>
      </c>
      <c r="AV568" s="54" t="s">
        <v>37</v>
      </c>
      <c r="AW568" s="57">
        <f t="shared" si="82"/>
        <v>4.1666666666666699E-2</v>
      </c>
      <c r="AX568" s="58" t="s">
        <v>96</v>
      </c>
    </row>
    <row r="569" spans="1:50" ht="21.75" customHeight="1">
      <c r="A569" s="38" t="s">
        <v>540</v>
      </c>
      <c r="B569" s="39">
        <f t="shared" si="81"/>
        <v>565</v>
      </c>
      <c r="C569" s="40">
        <v>46037</v>
      </c>
      <c r="D569" s="40" t="s">
        <v>80</v>
      </c>
      <c r="E569" s="40" t="s">
        <v>33</v>
      </c>
      <c r="F569" s="41">
        <v>655.4</v>
      </c>
      <c r="G569" s="42" t="s">
        <v>66</v>
      </c>
      <c r="H569" s="43" t="str">
        <f>IFERROR(VLOOKUP($J569,'[9]FROM (3)'!$E$4:$F$230,2,FALSE),"")</f>
        <v>JAMY</v>
      </c>
      <c r="I569" s="44" t="str">
        <f t="shared" si="78"/>
        <v>RACK BAR</v>
      </c>
      <c r="J569" s="44" t="str">
        <f t="shared" si="79"/>
        <v>JGC10-M09008-51-0</v>
      </c>
      <c r="K569" s="59" t="str">
        <f t="shared" si="76"/>
        <v>PD26010498</v>
      </c>
      <c r="L569" s="46" t="str" cm="1">
        <f t="array" ref="L569">IFERROR(_xlfn.IFS(
    LEN($A569)-LEN(SUBSTITUTE($A569,"|",""))=12, RIGHT(A569, LEN(A569)-FIND("~", SUBSTITUTE(A569,"|","~", LEN(A569)-LEN(SUBSTITUTE(A569,"|",""))))),
    LEN($A569)-LEN(SUBSTITUTE($A569,"|",""))=13, MID($A569, FIND("~", SUBSTITUTE($A569,"|","~", 11))+1, FIND("~", SUBSTITUTE($A569,"|","~", 12))-FIND("~", SUBSTITUTE($A569,"|","~", 11))-1),
    LEN($A569)-LEN(SUBSTITUTE($A569,"|",""))=14, MID($A569, FIND("~", SUBSTITUTE($A569,"|","~", 11))+1, FIND("~", SUBSTITUTE($A569,"|","~", 12))-FIND("~", SUBSTITUTE($A569,"|","~", 11))-1)
), "")</f>
        <v>E586966</v>
      </c>
      <c r="M569" s="47" t="str">
        <f t="shared" si="74"/>
        <v>SB010051/2/26</v>
      </c>
      <c r="N569" s="46" t="str">
        <f t="shared" si="77"/>
        <v/>
      </c>
      <c r="O569" s="60">
        <v>46</v>
      </c>
      <c r="P569" s="60">
        <v>670</v>
      </c>
      <c r="Q569" s="48">
        <v>230</v>
      </c>
      <c r="R569" s="48">
        <v>628</v>
      </c>
      <c r="S569" s="48"/>
      <c r="T569" s="48"/>
      <c r="U569" s="49"/>
      <c r="V569" s="49"/>
      <c r="W569" s="50">
        <f t="shared" si="75"/>
        <v>0</v>
      </c>
      <c r="X569" s="51" t="str">
        <f>IF(A569="", "", IF(COUNTIFS(C$3:C568, C569, D$3:D568, D569, G$3:G568, G569) &gt; 0, "", "11:00"-AW569))</f>
        <v/>
      </c>
      <c r="Y569" s="52" t="str">
        <f t="shared" si="80"/>
        <v/>
      </c>
      <c r="Z569" s="53"/>
      <c r="AA569" s="54"/>
      <c r="AB569" s="53"/>
      <c r="AC569" s="54"/>
      <c r="AD569" s="53"/>
      <c r="AE569" s="54"/>
      <c r="AF569" s="53"/>
      <c r="AG569" s="54"/>
      <c r="AH569" s="55">
        <v>4.1666666666666699E-2</v>
      </c>
      <c r="AI569" s="53"/>
      <c r="AJ569" s="54"/>
      <c r="AK569" s="53"/>
      <c r="AL569" s="54"/>
      <c r="AM569" s="53"/>
      <c r="AN569" s="54"/>
      <c r="AO569" s="53"/>
      <c r="AP569" s="54"/>
      <c r="AQ569" s="53"/>
      <c r="AR569" s="54"/>
      <c r="AS569" s="53"/>
      <c r="AT569" s="54"/>
      <c r="AU569" s="53">
        <v>4.1666666666666699E-2</v>
      </c>
      <c r="AV569" s="54" t="s">
        <v>37</v>
      </c>
      <c r="AW569" s="57">
        <f t="shared" si="82"/>
        <v>4.1666666666666699E-2</v>
      </c>
      <c r="AX569" s="58" t="s">
        <v>96</v>
      </c>
    </row>
    <row r="570" spans="1:50" ht="21.75" customHeight="1">
      <c r="A570" s="38" t="s">
        <v>478</v>
      </c>
      <c r="B570" s="39">
        <f t="shared" si="81"/>
        <v>566</v>
      </c>
      <c r="C570" s="40">
        <v>46037</v>
      </c>
      <c r="D570" s="40" t="s">
        <v>80</v>
      </c>
      <c r="E570" s="40" t="s">
        <v>33</v>
      </c>
      <c r="F570" s="41">
        <v>732.4</v>
      </c>
      <c r="G570" s="42" t="s">
        <v>46</v>
      </c>
      <c r="H570" s="43" t="str">
        <f>IFERROR(VLOOKUP($J570,'[9]FROM (3)'!$E$4:$F$230,2,FALSE),"")</f>
        <v>JATH</v>
      </c>
      <c r="I570" s="44" t="str">
        <f t="shared" si="78"/>
        <v>RACK BAR BLANK</v>
      </c>
      <c r="J570" s="44" t="str">
        <f t="shared" si="79"/>
        <v>JGF02-002060-31-3</v>
      </c>
      <c r="K570" s="59" t="str">
        <f t="shared" si="76"/>
        <v>PD25120622</v>
      </c>
      <c r="L570" s="46" t="str" cm="1">
        <f t="array" ref="L570">IFERROR(_xlfn.IFS(
    LEN($A570)-LEN(SUBSTITUTE($A570,"|",""))=12, RIGHT(A570, LEN(A570)-FIND("~", SUBSTITUTE(A570,"|","~", LEN(A570)-LEN(SUBSTITUTE(A570,"|",""))))),
    LEN($A570)-LEN(SUBSTITUTE($A570,"|",""))=13, MID($A570, FIND("~", SUBSTITUTE($A570,"|","~", 11))+1, FIND("~", SUBSTITUTE($A570,"|","~", 12))-FIND("~", SUBSTITUTE($A570,"|","~", 11))-1),
    LEN($A570)-LEN(SUBSTITUTE($A570,"|",""))=14, MID($A570, FIND("~", SUBSTITUTE($A570,"|","~", 11))+1, FIND("~", SUBSTITUTE($A570,"|","~", 12))-FIND("~", SUBSTITUTE($A570,"|","~", 11))-1)
), "")</f>
        <v>5B0230</v>
      </c>
      <c r="M570" s="47" t="str">
        <f t="shared" si="74"/>
        <v>SB120085/6/25</v>
      </c>
      <c r="N570" s="46" t="str">
        <f t="shared" si="77"/>
        <v/>
      </c>
      <c r="O570" s="60" t="s">
        <v>35</v>
      </c>
      <c r="P570" s="60" t="s">
        <v>35</v>
      </c>
      <c r="Q570" s="48">
        <v>46</v>
      </c>
      <c r="R570" s="48">
        <v>215</v>
      </c>
      <c r="S570" s="48" t="s">
        <v>35</v>
      </c>
      <c r="T570" s="48"/>
      <c r="U570" s="49">
        <v>227</v>
      </c>
      <c r="V570" s="49">
        <v>17</v>
      </c>
      <c r="W570" s="50">
        <f t="shared" si="75"/>
        <v>244</v>
      </c>
      <c r="X570" s="51">
        <f>IF(A570="", "", IF(COUNTIFS(C$3:C569, C570, D$3:D569, D570, G$3:G569, G570) &gt; 0, "", "11:00"-AW570))</f>
        <v>0.29166666666666663</v>
      </c>
      <c r="Y570" s="52" t="str">
        <f t="shared" si="80"/>
        <v>1:40</v>
      </c>
      <c r="Z570" s="53"/>
      <c r="AA570" s="54"/>
      <c r="AB570" s="53"/>
      <c r="AC570" s="54"/>
      <c r="AD570" s="53"/>
      <c r="AE570" s="54"/>
      <c r="AF570" s="53"/>
      <c r="AG570" s="54"/>
      <c r="AH570" s="55">
        <v>4.1666666666666699E-2</v>
      </c>
      <c r="AI570" s="53"/>
      <c r="AJ570" s="54"/>
      <c r="AK570" s="53"/>
      <c r="AL570" s="54"/>
      <c r="AM570" s="53"/>
      <c r="AN570" s="54"/>
      <c r="AO570" s="53">
        <v>4.1666666666666664E-2</v>
      </c>
      <c r="AP570" s="54" t="s">
        <v>90</v>
      </c>
      <c r="AQ570" s="53">
        <v>4.1666666666666664E-2</v>
      </c>
      <c r="AR570" s="54" t="s">
        <v>90</v>
      </c>
      <c r="AS570" s="53">
        <v>4.1666666666666664E-2</v>
      </c>
      <c r="AT570" s="54" t="s">
        <v>90</v>
      </c>
      <c r="AU570" s="53">
        <v>4.1666666666666699E-2</v>
      </c>
      <c r="AV570" s="54" t="s">
        <v>37</v>
      </c>
      <c r="AW570" s="57">
        <f t="shared" si="82"/>
        <v>0.16666666666666669</v>
      </c>
      <c r="AX570" s="58" t="s">
        <v>86</v>
      </c>
    </row>
    <row r="571" spans="1:50" ht="21.75" customHeight="1">
      <c r="A571" s="38" t="s">
        <v>541</v>
      </c>
      <c r="B571" s="39">
        <f t="shared" si="81"/>
        <v>567</v>
      </c>
      <c r="C571" s="40">
        <v>46037</v>
      </c>
      <c r="D571" s="40" t="s">
        <v>80</v>
      </c>
      <c r="E571" s="40" t="s">
        <v>33</v>
      </c>
      <c r="F571" s="41">
        <v>732.4</v>
      </c>
      <c r="G571" s="42" t="s">
        <v>46</v>
      </c>
      <c r="H571" s="43" t="str">
        <f>IFERROR(VLOOKUP($J571,'[9]FROM (3)'!$E$4:$F$230,2,FALSE),"")</f>
        <v>JATH</v>
      </c>
      <c r="I571" s="44" t="str">
        <f t="shared" si="78"/>
        <v>RACK BAR BLANK</v>
      </c>
      <c r="J571" s="44" t="str">
        <f t="shared" si="79"/>
        <v>JGF02-002060-31-3</v>
      </c>
      <c r="K571" s="59" t="str">
        <f t="shared" si="76"/>
        <v>PD25120620</v>
      </c>
      <c r="L571" s="46" t="str" cm="1">
        <f t="array" ref="L571">IFERROR(_xlfn.IFS(
    LEN($A571)-LEN(SUBSTITUTE($A571,"|",""))=12, RIGHT(A571, LEN(A571)-FIND("~", SUBSTITUTE(A571,"|","~", LEN(A571)-LEN(SUBSTITUTE(A571,"|",""))))),
    LEN($A571)-LEN(SUBSTITUTE($A571,"|",""))=13, MID($A571, FIND("~", SUBSTITUTE($A571,"|","~", 11))+1, FIND("~", SUBSTITUTE($A571,"|","~", 12))-FIND("~", SUBSTITUTE($A571,"|","~", 11))-1),
    LEN($A571)-LEN(SUBSTITUTE($A571,"|",""))=14, MID($A571, FIND("~", SUBSTITUTE($A571,"|","~", 11))+1, FIND("~", SUBSTITUTE($A571,"|","~", 12))-FIND("~", SUBSTITUTE($A571,"|","~", 11))-1)
), "")</f>
        <v>5B0230</v>
      </c>
      <c r="M571" s="47" t="str">
        <f t="shared" si="74"/>
        <v>SB120084/5/25</v>
      </c>
      <c r="N571" s="46" t="str">
        <f t="shared" si="77"/>
        <v/>
      </c>
      <c r="O571" s="60">
        <v>39</v>
      </c>
      <c r="P571" s="60">
        <v>1346</v>
      </c>
      <c r="Q571" s="48">
        <v>273</v>
      </c>
      <c r="R571" s="48">
        <v>1276</v>
      </c>
      <c r="S571" s="48" t="s">
        <v>35</v>
      </c>
      <c r="T571" s="48"/>
      <c r="U571" s="49"/>
      <c r="V571" s="49"/>
      <c r="W571" s="50">
        <f t="shared" si="75"/>
        <v>0</v>
      </c>
      <c r="X571" s="51" t="str">
        <f>IF(A571="", "", IF(COUNTIFS(C$3:C570, C571, D$3:D570, D571, G$3:G570, G571) &gt; 0, "", "11:00"-AW571))</f>
        <v/>
      </c>
      <c r="Y571" s="52" t="str">
        <f t="shared" si="80"/>
        <v/>
      </c>
      <c r="Z571" s="53"/>
      <c r="AA571" s="54"/>
      <c r="AB571" s="53"/>
      <c r="AC571" s="54"/>
      <c r="AD571" s="53"/>
      <c r="AE571" s="54"/>
      <c r="AF571" s="53"/>
      <c r="AG571" s="54"/>
      <c r="AH571" s="55">
        <v>4.1666666666666699E-2</v>
      </c>
      <c r="AI571" s="53"/>
      <c r="AJ571" s="54"/>
      <c r="AK571" s="53"/>
      <c r="AL571" s="54"/>
      <c r="AM571" s="53"/>
      <c r="AN571" s="54"/>
      <c r="AO571" s="53"/>
      <c r="AP571" s="54"/>
      <c r="AQ571" s="53"/>
      <c r="AR571" s="54"/>
      <c r="AS571" s="53"/>
      <c r="AT571" s="54"/>
      <c r="AU571" s="53">
        <v>4.1666666666666699E-2</v>
      </c>
      <c r="AV571" s="54" t="s">
        <v>37</v>
      </c>
      <c r="AW571" s="57">
        <f t="shared" si="82"/>
        <v>4.1666666666666699E-2</v>
      </c>
      <c r="AX571" s="58" t="s">
        <v>86</v>
      </c>
    </row>
    <row r="572" spans="1:50" ht="21.75" customHeight="1">
      <c r="A572" s="38" t="s">
        <v>542</v>
      </c>
      <c r="B572" s="39">
        <f t="shared" si="81"/>
        <v>568</v>
      </c>
      <c r="C572" s="40">
        <v>46037</v>
      </c>
      <c r="D572" s="40" t="s">
        <v>80</v>
      </c>
      <c r="E572" s="40" t="s">
        <v>33</v>
      </c>
      <c r="F572" s="41">
        <v>732.4</v>
      </c>
      <c r="G572" s="42" t="s">
        <v>46</v>
      </c>
      <c r="H572" s="43" t="str">
        <f>IFERROR(VLOOKUP($J572,'[9]FROM (3)'!$E$4:$F$230,2,FALSE),"")</f>
        <v>JATH</v>
      </c>
      <c r="I572" s="44" t="str">
        <f t="shared" si="78"/>
        <v>RACK BAR BLANK</v>
      </c>
      <c r="J572" s="44" t="str">
        <f t="shared" si="79"/>
        <v>JGF02-002060-31-3</v>
      </c>
      <c r="K572" s="59" t="str">
        <f t="shared" si="76"/>
        <v>PD25120620</v>
      </c>
      <c r="L572" s="46" t="str" cm="1">
        <f t="array" ref="L572">IFERROR(_xlfn.IFS(
    LEN($A572)-LEN(SUBSTITUTE($A572,"|",""))=12, RIGHT(A572, LEN(A572)-FIND("~", SUBSTITUTE(A572,"|","~", LEN(A572)-LEN(SUBSTITUTE(A572,"|",""))))),
    LEN($A572)-LEN(SUBSTITUTE($A572,"|",""))=13, MID($A572, FIND("~", SUBSTITUTE($A572,"|","~", 11))+1, FIND("~", SUBSTITUTE($A572,"|","~", 12))-FIND("~", SUBSTITUTE($A572,"|","~", 11))-1),
    LEN($A572)-LEN(SUBSTITUTE($A572,"|",""))=14, MID($A572, FIND("~", SUBSTITUTE($A572,"|","~", 11))+1, FIND("~", SUBSTITUTE($A572,"|","~", 12))-FIND("~", SUBSTITUTE($A572,"|","~", 11))-1)
), "")</f>
        <v>5B0230</v>
      </c>
      <c r="M572" s="47" t="str">
        <f t="shared" si="74"/>
        <v>SB120084/4/25</v>
      </c>
      <c r="N572" s="46" t="str">
        <f t="shared" si="77"/>
        <v/>
      </c>
      <c r="O572" s="60">
        <v>28</v>
      </c>
      <c r="P572" s="60">
        <v>967</v>
      </c>
      <c r="Q572" s="48">
        <v>196</v>
      </c>
      <c r="R572" s="48">
        <v>916</v>
      </c>
      <c r="S572" s="48" t="s">
        <v>35</v>
      </c>
      <c r="T572" s="48"/>
      <c r="U572" s="49"/>
      <c r="V572" s="49"/>
      <c r="W572" s="50">
        <f t="shared" si="75"/>
        <v>0</v>
      </c>
      <c r="X572" s="51" t="str">
        <f>IF(A572="", "", IF(COUNTIFS(C$3:C571, C572, D$3:D571, D572, G$3:G571, G572) &gt; 0, "", "11:00"-AW572))</f>
        <v/>
      </c>
      <c r="Y572" s="52" t="str">
        <f t="shared" si="80"/>
        <v/>
      </c>
      <c r="Z572" s="53"/>
      <c r="AA572" s="54"/>
      <c r="AB572" s="53"/>
      <c r="AC572" s="54"/>
      <c r="AD572" s="53"/>
      <c r="AE572" s="54"/>
      <c r="AF572" s="53"/>
      <c r="AG572" s="54"/>
      <c r="AH572" s="55">
        <v>4.1666666666666699E-2</v>
      </c>
      <c r="AI572" s="53"/>
      <c r="AJ572" s="54"/>
      <c r="AK572" s="53"/>
      <c r="AL572" s="54"/>
      <c r="AM572" s="53"/>
      <c r="AN572" s="54"/>
      <c r="AO572" s="53"/>
      <c r="AP572" s="54"/>
      <c r="AQ572" s="53"/>
      <c r="AR572" s="54"/>
      <c r="AS572" s="53"/>
      <c r="AT572" s="54"/>
      <c r="AU572" s="53">
        <v>4.1666666666666699E-2</v>
      </c>
      <c r="AV572" s="54" t="s">
        <v>37</v>
      </c>
      <c r="AW572" s="57">
        <f t="shared" si="82"/>
        <v>4.1666666666666699E-2</v>
      </c>
      <c r="AX572" s="58" t="s">
        <v>86</v>
      </c>
    </row>
    <row r="573" spans="1:50" ht="21.75" customHeight="1">
      <c r="A573" s="38" t="s">
        <v>543</v>
      </c>
      <c r="B573" s="39">
        <f t="shared" si="81"/>
        <v>569</v>
      </c>
      <c r="C573" s="40">
        <v>46037</v>
      </c>
      <c r="D573" s="40" t="s">
        <v>80</v>
      </c>
      <c r="E573" s="40" t="s">
        <v>33</v>
      </c>
      <c r="F573" s="41">
        <v>732.4</v>
      </c>
      <c r="G573" s="42" t="s">
        <v>46</v>
      </c>
      <c r="H573" s="43" t="str">
        <f>IFERROR(VLOOKUP($J573,'[9]FROM (3)'!$E$4:$F$230,2,FALSE),"")</f>
        <v>JATH</v>
      </c>
      <c r="I573" s="44" t="str">
        <f t="shared" si="78"/>
        <v>RACK BAR BLANK</v>
      </c>
      <c r="J573" s="44" t="str">
        <f t="shared" si="79"/>
        <v>JGF02-002060-31-3</v>
      </c>
      <c r="K573" s="59" t="str">
        <f t="shared" si="76"/>
        <v>PD25120620</v>
      </c>
      <c r="L573" s="46" t="str" cm="1">
        <f t="array" ref="L573">IFERROR(_xlfn.IFS(
    LEN($A573)-LEN(SUBSTITUTE($A573,"|",""))=12, RIGHT(A573, LEN(A573)-FIND("~", SUBSTITUTE(A573,"|","~", LEN(A573)-LEN(SUBSTITUTE(A573,"|",""))))),
    LEN($A573)-LEN(SUBSTITUTE($A573,"|",""))=13, MID($A573, FIND("~", SUBSTITUTE($A573,"|","~", 11))+1, FIND("~", SUBSTITUTE($A573,"|","~", 12))-FIND("~", SUBSTITUTE($A573,"|","~", 11))-1),
    LEN($A573)-LEN(SUBSTITUTE($A573,"|",""))=14, MID($A573, FIND("~", SUBSTITUTE($A573,"|","~", 11))+1, FIND("~", SUBSTITUTE($A573,"|","~", 12))-FIND("~", SUBSTITUTE($A573,"|","~", 11))-1)
), "")</f>
        <v>5B0230</v>
      </c>
      <c r="M573" s="47" t="str">
        <f t="shared" si="74"/>
        <v>SB120084/3/25</v>
      </c>
      <c r="N573" s="46" t="str">
        <f t="shared" si="77"/>
        <v/>
      </c>
      <c r="O573" s="60">
        <v>28</v>
      </c>
      <c r="P573" s="60">
        <v>967</v>
      </c>
      <c r="Q573" s="48">
        <v>65</v>
      </c>
      <c r="R573" s="48">
        <v>304</v>
      </c>
      <c r="S573" s="48" t="s">
        <v>35</v>
      </c>
      <c r="T573" s="48"/>
      <c r="U573" s="49"/>
      <c r="V573" s="49"/>
      <c r="W573" s="50">
        <f t="shared" si="75"/>
        <v>0</v>
      </c>
      <c r="X573" s="51" t="str">
        <f>IF(A573="", "", IF(COUNTIFS(C$3:C572, C573, D$3:D572, D573, G$3:G572, G573) &gt; 0, "", "11:00"-AW573))</f>
        <v/>
      </c>
      <c r="Y573" s="52" t="str">
        <f t="shared" si="80"/>
        <v/>
      </c>
      <c r="Z573" s="53"/>
      <c r="AA573" s="54"/>
      <c r="AB573" s="53"/>
      <c r="AC573" s="54"/>
      <c r="AD573" s="53"/>
      <c r="AE573" s="54"/>
      <c r="AF573" s="53"/>
      <c r="AG573" s="54"/>
      <c r="AH573" s="55">
        <v>4.1666666666666699E-2</v>
      </c>
      <c r="AI573" s="53"/>
      <c r="AJ573" s="54"/>
      <c r="AK573" s="53"/>
      <c r="AL573" s="54"/>
      <c r="AM573" s="53"/>
      <c r="AN573" s="54"/>
      <c r="AO573" s="53"/>
      <c r="AP573" s="54"/>
      <c r="AQ573" s="53"/>
      <c r="AR573" s="54"/>
      <c r="AS573" s="53"/>
      <c r="AT573" s="54"/>
      <c r="AU573" s="53">
        <v>4.1666666666666699E-2</v>
      </c>
      <c r="AV573" s="54" t="s">
        <v>37</v>
      </c>
      <c r="AW573" s="57">
        <f t="shared" si="82"/>
        <v>4.1666666666666699E-2</v>
      </c>
      <c r="AX573" s="58" t="s">
        <v>86</v>
      </c>
    </row>
    <row r="574" spans="1:50" ht="21.75" customHeight="1">
      <c r="A574" s="38" t="s">
        <v>508</v>
      </c>
      <c r="B574" s="39">
        <f t="shared" si="81"/>
        <v>570</v>
      </c>
      <c r="C574" s="40">
        <v>46037</v>
      </c>
      <c r="D574" s="40" t="s">
        <v>80</v>
      </c>
      <c r="E574" s="40" t="s">
        <v>33</v>
      </c>
      <c r="F574" s="41">
        <v>167.7</v>
      </c>
      <c r="G574" s="42" t="s">
        <v>62</v>
      </c>
      <c r="H574" s="43" t="str">
        <f>IFERROR(VLOOKUP($J574,'[9]FROM (3)'!$E$4:$F$230,2,FALSE),"")</f>
        <v>DNTH</v>
      </c>
      <c r="I574" s="44" t="str">
        <f t="shared" si="78"/>
        <v>SHAFT STARTER ARMATURE, 1W</v>
      </c>
      <c r="J574" s="44" t="str">
        <f t="shared" si="79"/>
        <v>TG028993-557B</v>
      </c>
      <c r="K574" s="59" t="str">
        <f t="shared" si="76"/>
        <v>PD26010589</v>
      </c>
      <c r="L574" s="46" t="str" cm="1">
        <f t="array" ref="L574">IFERROR(_xlfn.IFS(
    LEN($A574)-LEN(SUBSTITUTE($A574,"|",""))=12, RIGHT(A574, LEN(A574)-FIND("~", SUBSTITUTE(A574,"|","~", LEN(A574)-LEN(SUBSTITUTE(A574,"|",""))))),
    LEN($A574)-LEN(SUBSTITUTE($A574,"|",""))=13, MID($A574, FIND("~", SUBSTITUTE($A574,"|","~", 11))+1, FIND("~", SUBSTITUTE($A574,"|","~", 12))-FIND("~", SUBSTITUTE($A574,"|","~", 11))-1),
    LEN($A574)-LEN(SUBSTITUTE($A574,"|",""))=14, MID($A574, FIND("~", SUBSTITUTE($A574,"|","~", 11))+1, FIND("~", SUBSTITUTE($A574,"|","~", 12))-FIND("~", SUBSTITUTE($A574,"|","~", 11))-1)
), "")</f>
        <v>E586473</v>
      </c>
      <c r="M574" s="47" t="str">
        <f t="shared" si="74"/>
        <v>SB120140/8/25</v>
      </c>
      <c r="N574" s="46" t="str">
        <f t="shared" si="77"/>
        <v/>
      </c>
      <c r="O574" s="60"/>
      <c r="P574" s="60"/>
      <c r="Q574" s="48">
        <v>110</v>
      </c>
      <c r="R574" s="48">
        <v>26</v>
      </c>
      <c r="S574" s="48"/>
      <c r="T574" s="48"/>
      <c r="U574" s="49"/>
      <c r="V574" s="49"/>
      <c r="W574" s="50">
        <f t="shared" si="75"/>
        <v>0</v>
      </c>
      <c r="X574" s="51">
        <f>IF(A574="", "", IF(COUNTIFS(C$3:C573, C574, D$3:D573, D574, G$3:G573, G574) &gt; 0, "", "11:00"-AW574))</f>
        <v>0.39583333333333326</v>
      </c>
      <c r="Y574" s="52" t="str">
        <f t="shared" si="80"/>
        <v>1:40</v>
      </c>
      <c r="Z574" s="53">
        <v>2.0833333333333332E-2</v>
      </c>
      <c r="AA574" s="54" t="s">
        <v>63</v>
      </c>
      <c r="AB574" s="53"/>
      <c r="AC574" s="54"/>
      <c r="AD574" s="53"/>
      <c r="AE574" s="54"/>
      <c r="AF574" s="53"/>
      <c r="AG574" s="54"/>
      <c r="AH574" s="55">
        <v>4.1666666666666699E-2</v>
      </c>
      <c r="AI574" s="53"/>
      <c r="AJ574" s="54"/>
      <c r="AK574" s="53"/>
      <c r="AL574" s="54"/>
      <c r="AM574" s="53"/>
      <c r="AN574" s="54"/>
      <c r="AO574" s="53"/>
      <c r="AP574" s="54"/>
      <c r="AQ574" s="53"/>
      <c r="AR574" s="54"/>
      <c r="AS574" s="53"/>
      <c r="AT574" s="54"/>
      <c r="AU574" s="53">
        <v>4.1666666666666699E-2</v>
      </c>
      <c r="AV574" s="54" t="s">
        <v>37</v>
      </c>
      <c r="AW574" s="57">
        <f t="shared" si="82"/>
        <v>6.2500000000000028E-2</v>
      </c>
      <c r="AX574" s="58" t="s">
        <v>113</v>
      </c>
    </row>
    <row r="575" spans="1:50" ht="21.75" customHeight="1">
      <c r="A575" s="38" t="s">
        <v>544</v>
      </c>
      <c r="B575" s="39">
        <f t="shared" si="81"/>
        <v>571</v>
      </c>
      <c r="C575" s="40">
        <v>46037</v>
      </c>
      <c r="D575" s="40" t="s">
        <v>80</v>
      </c>
      <c r="E575" s="40" t="s">
        <v>33</v>
      </c>
      <c r="F575" s="41">
        <v>167.7</v>
      </c>
      <c r="G575" s="42" t="s">
        <v>62</v>
      </c>
      <c r="H575" s="43" t="str">
        <f>IFERROR(VLOOKUP($J575,'[9]FROM (3)'!$E$4:$F$230,2,FALSE),"")</f>
        <v>DNTH</v>
      </c>
      <c r="I575" s="44" t="str">
        <f t="shared" si="78"/>
        <v>SHAFT STARTER ARMATURE, 1W</v>
      </c>
      <c r="J575" s="44" t="str">
        <f t="shared" si="79"/>
        <v>TG028993-557B</v>
      </c>
      <c r="K575" s="59" t="str">
        <f t="shared" si="76"/>
        <v>PD26010589</v>
      </c>
      <c r="L575" s="46" t="str" cm="1">
        <f t="array" ref="L575">IFERROR(_xlfn.IFS(
    LEN($A575)-LEN(SUBSTITUTE($A575,"|",""))=12, RIGHT(A575, LEN(A575)-FIND("~", SUBSTITUTE(A575,"|","~", LEN(A575)-LEN(SUBSTITUTE(A575,"|",""))))),
    LEN($A575)-LEN(SUBSTITUTE($A575,"|",""))=13, MID($A575, FIND("~", SUBSTITUTE($A575,"|","~", 11))+1, FIND("~", SUBSTITUTE($A575,"|","~", 12))-FIND("~", SUBSTITUTE($A575,"|","~", 11))-1),
    LEN($A575)-LEN(SUBSTITUTE($A575,"|",""))=14, MID($A575, FIND("~", SUBSTITUTE($A575,"|","~", 11))+1, FIND("~", SUBSTITUTE($A575,"|","~", 12))-FIND("~", SUBSTITUTE($A575,"|","~", 11))-1)
), "")</f>
        <v>E586473</v>
      </c>
      <c r="M575" s="47" t="str">
        <f t="shared" si="74"/>
        <v>SB120140/9/25</v>
      </c>
      <c r="N575" s="46" t="str">
        <f t="shared" si="77"/>
        <v/>
      </c>
      <c r="O575" s="60">
        <v>35</v>
      </c>
      <c r="P575" s="60">
        <v>205</v>
      </c>
      <c r="Q575" s="48">
        <v>705</v>
      </c>
      <c r="R575" s="48">
        <v>168</v>
      </c>
      <c r="S575" s="48"/>
      <c r="T575" s="48"/>
      <c r="U575" s="49"/>
      <c r="V575" s="49"/>
      <c r="W575" s="50">
        <f t="shared" si="75"/>
        <v>0</v>
      </c>
      <c r="X575" s="51" t="str">
        <f>IF(A575="", "", IF(COUNTIFS(C$3:C574, C575, D$3:D574, D575, G$3:G574, G575) &gt; 0, "", "11:00"-AW575))</f>
        <v/>
      </c>
      <c r="Y575" s="52" t="str">
        <f t="shared" si="80"/>
        <v/>
      </c>
      <c r="Z575" s="53"/>
      <c r="AA575" s="54"/>
      <c r="AB575" s="53"/>
      <c r="AC575" s="54"/>
      <c r="AD575" s="53"/>
      <c r="AE575" s="54"/>
      <c r="AF575" s="53"/>
      <c r="AG575" s="54"/>
      <c r="AH575" s="55">
        <v>4.1666666666666699E-2</v>
      </c>
      <c r="AI575" s="53"/>
      <c r="AJ575" s="54"/>
      <c r="AK575" s="53"/>
      <c r="AL575" s="54"/>
      <c r="AM575" s="53"/>
      <c r="AN575" s="54"/>
      <c r="AO575" s="53"/>
      <c r="AP575" s="54"/>
      <c r="AQ575" s="53"/>
      <c r="AR575" s="54"/>
      <c r="AS575" s="53"/>
      <c r="AT575" s="54"/>
      <c r="AU575" s="53">
        <v>4.1666666666666699E-2</v>
      </c>
      <c r="AV575" s="54" t="s">
        <v>37</v>
      </c>
      <c r="AW575" s="57">
        <f t="shared" si="82"/>
        <v>4.1666666666666699E-2</v>
      </c>
      <c r="AX575" s="58" t="s">
        <v>113</v>
      </c>
    </row>
    <row r="576" spans="1:50" ht="21.75" customHeight="1">
      <c r="A576" s="38" t="s">
        <v>545</v>
      </c>
      <c r="B576" s="39">
        <f t="shared" si="81"/>
        <v>572</v>
      </c>
      <c r="C576" s="40">
        <v>46037</v>
      </c>
      <c r="D576" s="40" t="s">
        <v>80</v>
      </c>
      <c r="E576" s="40" t="s">
        <v>33</v>
      </c>
      <c r="F576" s="41">
        <v>167.7</v>
      </c>
      <c r="G576" s="42" t="s">
        <v>62</v>
      </c>
      <c r="H576" s="43" t="str">
        <f>IFERROR(VLOOKUP($J576,'[9]FROM (3)'!$E$4:$F$230,2,FALSE),"")</f>
        <v>DNTH</v>
      </c>
      <c r="I576" s="44" t="str">
        <f t="shared" si="78"/>
        <v>SHAFT STARTER ARMATURE, 1W</v>
      </c>
      <c r="J576" s="44" t="str">
        <f t="shared" si="79"/>
        <v>TG028993-557B</v>
      </c>
      <c r="K576" s="59" t="str">
        <f t="shared" si="76"/>
        <v>PD26010589</v>
      </c>
      <c r="L576" s="46" t="str" cm="1">
        <f t="array" ref="L576">IFERROR(_xlfn.IFS(
    LEN($A576)-LEN(SUBSTITUTE($A576,"|",""))=12, RIGHT(A576, LEN(A576)-FIND("~", SUBSTITUTE(A576,"|","~", LEN(A576)-LEN(SUBSTITUTE(A576,"|",""))))),
    LEN($A576)-LEN(SUBSTITUTE($A576,"|",""))=13, MID($A576, FIND("~", SUBSTITUTE($A576,"|","~", 11))+1, FIND("~", SUBSTITUTE($A576,"|","~", 12))-FIND("~", SUBSTITUTE($A576,"|","~", 11))-1),
    LEN($A576)-LEN(SUBSTITUTE($A576,"|",""))=14, MID($A576, FIND("~", SUBSTITUTE($A576,"|","~", 11))+1, FIND("~", SUBSTITUTE($A576,"|","~", 12))-FIND("~", SUBSTITUTE($A576,"|","~", 11))-1)
), "")</f>
        <v>E586473</v>
      </c>
      <c r="M576" s="47" t="str">
        <f t="shared" si="74"/>
        <v>SB120140/10/25</v>
      </c>
      <c r="N576" s="46" t="str">
        <f t="shared" si="77"/>
        <v/>
      </c>
      <c r="O576" s="60">
        <v>26</v>
      </c>
      <c r="P576" s="60">
        <v>149</v>
      </c>
      <c r="Q576" s="48">
        <v>342</v>
      </c>
      <c r="R576" s="48">
        <v>82</v>
      </c>
      <c r="S576" s="48"/>
      <c r="T576" s="48"/>
      <c r="U576" s="49"/>
      <c r="V576" s="49"/>
      <c r="W576" s="50">
        <f t="shared" si="75"/>
        <v>0</v>
      </c>
      <c r="X576" s="51" t="str">
        <f>IF(A576="", "", IF(COUNTIFS(C$3:C575, C576, D$3:D575, D576, G$3:G575, G576) &gt; 0, "", "11:00"-AW576))</f>
        <v/>
      </c>
      <c r="Y576" s="52" t="str">
        <f t="shared" si="80"/>
        <v/>
      </c>
      <c r="Z576" s="53"/>
      <c r="AA576" s="54"/>
      <c r="AB576" s="53"/>
      <c r="AC576" s="54"/>
      <c r="AD576" s="53"/>
      <c r="AE576" s="54"/>
      <c r="AF576" s="53"/>
      <c r="AG576" s="54"/>
      <c r="AH576" s="55">
        <v>4.1666666666666699E-2</v>
      </c>
      <c r="AI576" s="53"/>
      <c r="AJ576" s="54"/>
      <c r="AK576" s="53"/>
      <c r="AL576" s="54"/>
      <c r="AM576" s="53"/>
      <c r="AN576" s="54"/>
      <c r="AO576" s="53"/>
      <c r="AP576" s="54"/>
      <c r="AQ576" s="53"/>
      <c r="AR576" s="54"/>
      <c r="AS576" s="53"/>
      <c r="AT576" s="54"/>
      <c r="AU576" s="53">
        <v>4.1666666666666699E-2</v>
      </c>
      <c r="AV576" s="54" t="s">
        <v>37</v>
      </c>
      <c r="AW576" s="57">
        <f t="shared" si="82"/>
        <v>4.1666666666666699E-2</v>
      </c>
      <c r="AX576" s="58" t="s">
        <v>113</v>
      </c>
    </row>
    <row r="577" spans="1:50" ht="21.75" customHeight="1">
      <c r="A577" s="38" t="s">
        <v>520</v>
      </c>
      <c r="B577" s="39">
        <f t="shared" si="81"/>
        <v>573</v>
      </c>
      <c r="C577" s="40">
        <v>46037</v>
      </c>
      <c r="D577" s="40" t="s">
        <v>32</v>
      </c>
      <c r="E577" s="40" t="s">
        <v>81</v>
      </c>
      <c r="F577" s="41">
        <v>23.4</v>
      </c>
      <c r="G577" s="42" t="s">
        <v>34</v>
      </c>
      <c r="H577" s="43" t="str">
        <f>IFERROR(VLOOKUP($J577,'[9]FROM (3)'!$E$4:$F$230,2,FALSE),"")</f>
        <v/>
      </c>
      <c r="I577" s="44" t="str">
        <f t="shared" si="78"/>
        <v>FLANGE-13 SLUG</v>
      </c>
      <c r="J577" s="44" t="str">
        <f t="shared" si="79"/>
        <v>ZZ2B7401TX1</v>
      </c>
      <c r="K577" s="59" t="str">
        <f t="shared" si="76"/>
        <v>PD26010472</v>
      </c>
      <c r="L577" s="46" t="str" cm="1">
        <f t="array" ref="L577">IFERROR(_xlfn.IFS(
    LEN($A577)-LEN(SUBSTITUTE($A577,"|",""))=12, RIGHT(A577, LEN(A577)-FIND("~", SUBSTITUTE(A577,"|","~", LEN(A577)-LEN(SUBSTITUTE(A577,"|",""))))),
    LEN($A577)-LEN(SUBSTITUTE($A577,"|",""))=13, MID($A577, FIND("~", SUBSTITUTE($A577,"|","~", 11))+1, FIND("~", SUBSTITUTE($A577,"|","~", 12))-FIND("~", SUBSTITUTE($A577,"|","~", 11))-1),
    LEN($A577)-LEN(SUBSTITUTE($A577,"|",""))=14, MID($A577, FIND("~", SUBSTITUTE($A577,"|","~", 11))+1, FIND("~", SUBSTITUTE($A577,"|","~", 12))-FIND("~", SUBSTITUTE($A577,"|","~", 11))-1)
), "")</f>
        <v>2-73052</v>
      </c>
      <c r="M577" s="47" t="str">
        <f t="shared" si="74"/>
        <v>2B2600088</v>
      </c>
      <c r="N577" s="46" t="str">
        <f t="shared" si="77"/>
        <v/>
      </c>
      <c r="O577" s="60" t="s">
        <v>35</v>
      </c>
      <c r="P577" s="60" t="s">
        <v>35</v>
      </c>
      <c r="Q577" s="48">
        <v>3820</v>
      </c>
      <c r="R577" s="48">
        <v>881</v>
      </c>
      <c r="S577" s="48"/>
      <c r="T577" s="48"/>
      <c r="U577" s="49"/>
      <c r="V577" s="49"/>
      <c r="W577" s="50">
        <f t="shared" si="75"/>
        <v>0</v>
      </c>
      <c r="X577" s="51">
        <f>IF(A577="", "", IF(COUNTIFS(C$3:C576, C577, D$3:D576, D577, G$3:G576, G577) &gt; 0, "", "11:00"-AW577))</f>
        <v>0.41666666666666663</v>
      </c>
      <c r="Y577" s="52" t="str">
        <f t="shared" si="80"/>
        <v>1:40</v>
      </c>
      <c r="Z577" s="53"/>
      <c r="AA577" s="54"/>
      <c r="AB577" s="53"/>
      <c r="AC577" s="54"/>
      <c r="AD577" s="53"/>
      <c r="AE577" s="54"/>
      <c r="AF577" s="53"/>
      <c r="AG577" s="54"/>
      <c r="AH577" s="55">
        <v>4.1666666666666699E-2</v>
      </c>
      <c r="AI577" s="53"/>
      <c r="AJ577" s="54"/>
      <c r="AK577" s="53"/>
      <c r="AL577" s="54"/>
      <c r="AM577" s="53"/>
      <c r="AN577" s="54"/>
      <c r="AO577" s="53"/>
      <c r="AP577" s="54"/>
      <c r="AQ577" s="53"/>
      <c r="AR577" s="54"/>
      <c r="AS577" s="53"/>
      <c r="AT577" s="54"/>
      <c r="AU577" s="53">
        <v>4.1666666666666699E-2</v>
      </c>
      <c r="AV577" s="54" t="s">
        <v>37</v>
      </c>
      <c r="AW577" s="57">
        <f t="shared" si="82"/>
        <v>4.1666666666666699E-2</v>
      </c>
      <c r="AX577" s="58" t="s">
        <v>48</v>
      </c>
    </row>
    <row r="578" spans="1:50" ht="21.75" customHeight="1">
      <c r="A578" s="38" t="s">
        <v>500</v>
      </c>
      <c r="B578" s="39">
        <f t="shared" si="81"/>
        <v>574</v>
      </c>
      <c r="C578" s="40">
        <v>46037</v>
      </c>
      <c r="D578" s="40" t="s">
        <v>32</v>
      </c>
      <c r="E578" s="40" t="s">
        <v>81</v>
      </c>
      <c r="F578" s="41">
        <v>111.6</v>
      </c>
      <c r="G578" s="42" t="s">
        <v>41</v>
      </c>
      <c r="H578" s="43" t="str">
        <f>IFERROR(VLOOKUP($J578,'[9]FROM (3)'!$E$4:$F$230,2,FALSE),"")</f>
        <v>(Astemo)AS-TK</v>
      </c>
      <c r="I578" s="44" t="str">
        <f t="shared" si="78"/>
        <v>CAP RESERVOIR</v>
      </c>
      <c r="J578" s="44" t="str">
        <f t="shared" si="79"/>
        <v>8A10524</v>
      </c>
      <c r="K578" s="59" t="str">
        <f t="shared" si="76"/>
        <v>PD26010109</v>
      </c>
      <c r="L578" s="46" t="str" cm="1">
        <f t="array" ref="L578">IFERROR(_xlfn.IFS(
    LEN($A578)-LEN(SUBSTITUTE($A578,"|",""))=12, RIGHT(A578, LEN(A578)-FIND("~", SUBSTITUTE(A578,"|","~", LEN(A578)-LEN(SUBSTITUTE(A578,"|",""))))),
    LEN($A578)-LEN(SUBSTITUTE($A578,"|",""))=13, MID($A578, FIND("~", SUBSTITUTE($A578,"|","~", 11))+1, FIND("~", SUBSTITUTE($A578,"|","~", 12))-FIND("~", SUBSTITUTE($A578,"|","~", 11))-1),
    LEN($A578)-LEN(SUBSTITUTE($A578,"|",""))=14, MID($A578, FIND("~", SUBSTITUTE($A578,"|","~", 11))+1, FIND("~", SUBSTITUTE($A578,"|","~", 12))-FIND("~", SUBSTITUTE($A578,"|","~", 11))-1)
), "")</f>
        <v>3V096</v>
      </c>
      <c r="M578" s="47" t="str">
        <f t="shared" si="74"/>
        <v>SB010003/4/26</v>
      </c>
      <c r="N578" s="46" t="str">
        <f t="shared" si="77"/>
        <v/>
      </c>
      <c r="O578" s="60" t="s">
        <v>35</v>
      </c>
      <c r="P578" s="60" t="s">
        <v>35</v>
      </c>
      <c r="Q578" s="48">
        <v>1098</v>
      </c>
      <c r="R578" s="48">
        <v>123</v>
      </c>
      <c r="S578" s="48"/>
      <c r="T578" s="48"/>
      <c r="U578" s="49"/>
      <c r="V578" s="49"/>
      <c r="W578" s="50">
        <f t="shared" si="75"/>
        <v>0</v>
      </c>
      <c r="X578" s="51">
        <f>IF(A578="", "", IF(COUNTIFS(C$3:C577, C578, D$3:D577, D578, G$3:G577, G578) &gt; 0, "", "11:00"-AW578))</f>
        <v>0.41666666666666663</v>
      </c>
      <c r="Y578" s="52" t="str">
        <f t="shared" si="80"/>
        <v>1:40</v>
      </c>
      <c r="Z578" s="53"/>
      <c r="AA578" s="54"/>
      <c r="AB578" s="53"/>
      <c r="AC578" s="54"/>
      <c r="AD578" s="53"/>
      <c r="AE578" s="54"/>
      <c r="AF578" s="53"/>
      <c r="AG578" s="54"/>
      <c r="AH578" s="55">
        <v>4.1666666666666699E-2</v>
      </c>
      <c r="AI578" s="53"/>
      <c r="AJ578" s="54"/>
      <c r="AK578" s="53"/>
      <c r="AL578" s="54"/>
      <c r="AM578" s="53"/>
      <c r="AN578" s="54"/>
      <c r="AO578" s="53"/>
      <c r="AP578" s="54"/>
      <c r="AQ578" s="53"/>
      <c r="AR578" s="54"/>
      <c r="AS578" s="53"/>
      <c r="AT578" s="54"/>
      <c r="AU578" s="53">
        <v>4.1666666666666699E-2</v>
      </c>
      <c r="AV578" s="54" t="s">
        <v>37</v>
      </c>
      <c r="AW578" s="57">
        <f t="shared" si="82"/>
        <v>4.1666666666666699E-2</v>
      </c>
      <c r="AX578" s="58" t="s">
        <v>48</v>
      </c>
    </row>
    <row r="579" spans="1:50" ht="21.75" customHeight="1">
      <c r="A579" s="38" t="s">
        <v>546</v>
      </c>
      <c r="B579" s="39">
        <f t="shared" si="81"/>
        <v>575</v>
      </c>
      <c r="C579" s="40">
        <v>46037</v>
      </c>
      <c r="D579" s="40" t="s">
        <v>32</v>
      </c>
      <c r="E579" s="40" t="s">
        <v>81</v>
      </c>
      <c r="F579" s="41">
        <v>111.6</v>
      </c>
      <c r="G579" s="42" t="s">
        <v>41</v>
      </c>
      <c r="H579" s="43" t="str">
        <f>IFERROR(VLOOKUP($J579,'[9]FROM (3)'!$E$4:$F$230,2,FALSE),"")</f>
        <v>(Astemo)AS-TK</v>
      </c>
      <c r="I579" s="44" t="str">
        <f t="shared" si="78"/>
        <v>CAP RESERVOIR</v>
      </c>
      <c r="J579" s="44" t="str">
        <f t="shared" si="79"/>
        <v>8A10524</v>
      </c>
      <c r="K579" s="59" t="str">
        <f t="shared" si="76"/>
        <v>PD26010109</v>
      </c>
      <c r="L579" s="46" t="str" cm="1">
        <f t="array" ref="L579">IFERROR(_xlfn.IFS(
    LEN($A579)-LEN(SUBSTITUTE($A579,"|",""))=12, RIGHT(A579, LEN(A579)-FIND("~", SUBSTITUTE(A579,"|","~", LEN(A579)-LEN(SUBSTITUTE(A579,"|",""))))),
    LEN($A579)-LEN(SUBSTITUTE($A579,"|",""))=13, MID($A579, FIND("~", SUBSTITUTE($A579,"|","~", 11))+1, FIND("~", SUBSTITUTE($A579,"|","~", 12))-FIND("~", SUBSTITUTE($A579,"|","~", 11))-1),
    LEN($A579)-LEN(SUBSTITUTE($A579,"|",""))=14, MID($A579, FIND("~", SUBSTITUTE($A579,"|","~", 11))+1, FIND("~", SUBSTITUTE($A579,"|","~", 12))-FIND("~", SUBSTITUTE($A579,"|","~", 11))-1)
), "")</f>
        <v>3V096</v>
      </c>
      <c r="M579" s="47" t="str">
        <f t="shared" si="74"/>
        <v>SB010003/3/26</v>
      </c>
      <c r="N579" s="46" t="str">
        <f t="shared" si="77"/>
        <v/>
      </c>
      <c r="O579" s="60">
        <v>30</v>
      </c>
      <c r="P579" s="60">
        <v>1073</v>
      </c>
      <c r="Q579" s="48">
        <v>3274</v>
      </c>
      <c r="R579" s="48">
        <v>365</v>
      </c>
      <c r="S579" s="48"/>
      <c r="T579" s="48"/>
      <c r="U579" s="49"/>
      <c r="V579" s="49"/>
      <c r="W579" s="50">
        <f t="shared" si="75"/>
        <v>0</v>
      </c>
      <c r="X579" s="51" t="str">
        <f>IF(A579="", "", IF(COUNTIFS(C$3:C578, C579, D$3:D578, D579, G$3:G578, G579) &gt; 0, "", "11:00"-AW579))</f>
        <v/>
      </c>
      <c r="Y579" s="52" t="str">
        <f t="shared" si="80"/>
        <v/>
      </c>
      <c r="Z579" s="53"/>
      <c r="AA579" s="54"/>
      <c r="AB579" s="53"/>
      <c r="AC579" s="54"/>
      <c r="AD579" s="53"/>
      <c r="AE579" s="54"/>
      <c r="AF579" s="53"/>
      <c r="AG579" s="54"/>
      <c r="AH579" s="55">
        <v>4.1666666666666699E-2</v>
      </c>
      <c r="AI579" s="53"/>
      <c r="AJ579" s="54"/>
      <c r="AK579" s="53"/>
      <c r="AL579" s="54"/>
      <c r="AM579" s="53"/>
      <c r="AN579" s="54"/>
      <c r="AO579" s="53"/>
      <c r="AP579" s="54"/>
      <c r="AQ579" s="53"/>
      <c r="AR579" s="54"/>
      <c r="AS579" s="53"/>
      <c r="AT579" s="54"/>
      <c r="AU579" s="53">
        <v>4.1666666666666699E-2</v>
      </c>
      <c r="AV579" s="54" t="s">
        <v>37</v>
      </c>
      <c r="AW579" s="57">
        <f t="shared" si="82"/>
        <v>4.1666666666666699E-2</v>
      </c>
      <c r="AX579" s="58" t="s">
        <v>48</v>
      </c>
    </row>
    <row r="580" spans="1:50" ht="21.75" customHeight="1">
      <c r="A580" s="38" t="s">
        <v>519</v>
      </c>
      <c r="B580" s="39">
        <f t="shared" si="81"/>
        <v>576</v>
      </c>
      <c r="C580" s="40">
        <v>46037</v>
      </c>
      <c r="D580" s="40" t="s">
        <v>32</v>
      </c>
      <c r="E580" s="40" t="s">
        <v>81</v>
      </c>
      <c r="F580" s="41">
        <v>198.2</v>
      </c>
      <c r="G580" s="42" t="s">
        <v>44</v>
      </c>
      <c r="H580" s="43" t="str">
        <f>IFERROR(VLOOKUP($J580,'[9]FROM (3)'!$E$4:$F$230,2,FALSE),"")</f>
        <v>DNTH</v>
      </c>
      <c r="I580" s="44" t="str">
        <f t="shared" si="78"/>
        <v>SLUG VALVE ROTARY</v>
      </c>
      <c r="J580" s="44" t="str">
        <f t="shared" si="79"/>
        <v>TGY95613-0020</v>
      </c>
      <c r="K580" s="59" t="str">
        <f t="shared" si="76"/>
        <v>PD26010427</v>
      </c>
      <c r="L580" s="46" t="str" cm="1">
        <f t="array" ref="L580">IFERROR(_xlfn.IFS(
    LEN($A580)-LEN(SUBSTITUTE($A580,"|",""))=12, RIGHT(A580, LEN(A580)-FIND("~", SUBSTITUTE(A580,"|","~", LEN(A580)-LEN(SUBSTITUTE(A580,"|",""))))),
    LEN($A580)-LEN(SUBSTITUTE($A580,"|",""))=13, MID($A580, FIND("~", SUBSTITUTE($A580,"|","~", 11))+1, FIND("~", SUBSTITUTE($A580,"|","~", 12))-FIND("~", SUBSTITUTE($A580,"|","~", 11))-1),
    LEN($A580)-LEN(SUBSTITUTE($A580,"|",""))=14, MID($A580, FIND("~", SUBSTITUTE($A580,"|","~", 11))+1, FIND("~", SUBSTITUTE($A580,"|","~", 12))-FIND("~", SUBSTITUTE($A580,"|","~", 11))-1)
), "")</f>
        <v>E585734</v>
      </c>
      <c r="M580" s="47" t="str">
        <f t="shared" si="74"/>
        <v>SB010040/2/26</v>
      </c>
      <c r="N580" s="46" t="str">
        <f t="shared" si="77"/>
        <v/>
      </c>
      <c r="O580" s="60" t="s">
        <v>35</v>
      </c>
      <c r="P580" s="60" t="s">
        <v>35</v>
      </c>
      <c r="Q580" s="48">
        <v>1063</v>
      </c>
      <c r="R580" s="48">
        <v>211</v>
      </c>
      <c r="S580" s="48"/>
      <c r="T580" s="48"/>
      <c r="U580" s="49"/>
      <c r="V580" s="49"/>
      <c r="W580" s="50">
        <f t="shared" si="75"/>
        <v>0</v>
      </c>
      <c r="X580" s="51">
        <f>IF(A580="", "", IF(COUNTIFS(C$3:C579, C580, D$3:D579, D580, G$3:G579, G580) &gt; 0, "", "11:00"-AW580))</f>
        <v>0.41666666666666663</v>
      </c>
      <c r="Y580" s="52" t="str">
        <f t="shared" si="80"/>
        <v>1:40</v>
      </c>
      <c r="Z580" s="53"/>
      <c r="AA580" s="54"/>
      <c r="AB580" s="53"/>
      <c r="AC580" s="54"/>
      <c r="AD580" s="53"/>
      <c r="AE580" s="54"/>
      <c r="AF580" s="53"/>
      <c r="AG580" s="54"/>
      <c r="AH580" s="55">
        <v>4.1666666666666699E-2</v>
      </c>
      <c r="AI580" s="53"/>
      <c r="AJ580" s="54"/>
      <c r="AK580" s="53"/>
      <c r="AL580" s="54"/>
      <c r="AM580" s="53"/>
      <c r="AN580" s="54"/>
      <c r="AO580" s="53"/>
      <c r="AP580" s="54"/>
      <c r="AQ580" s="53"/>
      <c r="AR580" s="54"/>
      <c r="AS580" s="53"/>
      <c r="AT580" s="54"/>
      <c r="AU580" s="53">
        <v>4.1666666666666699E-2</v>
      </c>
      <c r="AV580" s="54" t="s">
        <v>37</v>
      </c>
      <c r="AW580" s="57">
        <f t="shared" si="82"/>
        <v>4.1666666666666699E-2</v>
      </c>
      <c r="AX580" s="58" t="s">
        <v>48</v>
      </c>
    </row>
    <row r="581" spans="1:50" ht="21.75" customHeight="1">
      <c r="A581" s="38" t="s">
        <v>547</v>
      </c>
      <c r="B581" s="39">
        <f t="shared" si="81"/>
        <v>577</v>
      </c>
      <c r="C581" s="40">
        <v>46037</v>
      </c>
      <c r="D581" s="40" t="s">
        <v>32</v>
      </c>
      <c r="E581" s="40" t="s">
        <v>81</v>
      </c>
      <c r="F581" s="41">
        <v>198.2</v>
      </c>
      <c r="G581" s="42" t="s">
        <v>44</v>
      </c>
      <c r="H581" s="43" t="str">
        <f>IFERROR(VLOOKUP($J581,'[9]FROM (3)'!$E$4:$F$230,2,FALSE),"")</f>
        <v>DNTH</v>
      </c>
      <c r="I581" s="44" t="str">
        <f t="shared" si="78"/>
        <v>SLUG VALVE ROTARY</v>
      </c>
      <c r="J581" s="44" t="str">
        <f t="shared" si="79"/>
        <v>TGY95613-0020</v>
      </c>
      <c r="K581" s="59" t="str">
        <f t="shared" si="76"/>
        <v>PD26010427</v>
      </c>
      <c r="L581" s="46" t="str" cm="1">
        <f t="array" ref="L581">IFERROR(_xlfn.IFS(
    LEN($A581)-LEN(SUBSTITUTE($A581,"|",""))=12, RIGHT(A581, LEN(A581)-FIND("~", SUBSTITUTE(A581,"|","~", LEN(A581)-LEN(SUBSTITUTE(A581,"|",""))))),
    LEN($A581)-LEN(SUBSTITUTE($A581,"|",""))=13, MID($A581, FIND("~", SUBSTITUTE($A581,"|","~", 11))+1, FIND("~", SUBSTITUTE($A581,"|","~", 12))-FIND("~", SUBSTITUTE($A581,"|","~", 11))-1),
    LEN($A581)-LEN(SUBSTITUTE($A581,"|",""))=14, MID($A581, FIND("~", SUBSTITUTE($A581,"|","~", 11))+1, FIND("~", SUBSTITUTE($A581,"|","~", 12))-FIND("~", SUBSTITUTE($A581,"|","~", 11))-1)
), "")</f>
        <v>E585734</v>
      </c>
      <c r="M581" s="47" t="str">
        <f t="shared" ref="M581:M644" si="83">IFERROR(MID(A581,FIND("~",SUBSTITUTE(A581,"|","~",10))+1,FIND("~",SUBSTITUTE(A581,"|","~",11))-FIND("~",SUBSTITUTE(A581,"|","~",10))-1),"")</f>
        <v>SB010040/1/26</v>
      </c>
      <c r="N581" s="46" t="str">
        <f t="shared" si="77"/>
        <v/>
      </c>
      <c r="O581" s="60">
        <v>23</v>
      </c>
      <c r="P581" s="60">
        <v>984</v>
      </c>
      <c r="Q581" s="48">
        <v>3171</v>
      </c>
      <c r="R581" s="48">
        <v>628</v>
      </c>
      <c r="S581" s="48"/>
      <c r="T581" s="48"/>
      <c r="U581" s="49"/>
      <c r="V581" s="49"/>
      <c r="W581" s="50">
        <f t="shared" ref="W581:W621" si="84">SUM(U581:V581)</f>
        <v>0</v>
      </c>
      <c r="X581" s="51" t="str">
        <f>IF(A581="", "", IF(COUNTIFS(C$3:C580, C581, D$3:D580, D581, G$3:G580, G581) &gt; 0, "", "11:00"-AW581))</f>
        <v/>
      </c>
      <c r="Y581" s="52" t="str">
        <f t="shared" si="80"/>
        <v/>
      </c>
      <c r="Z581" s="53"/>
      <c r="AA581" s="54"/>
      <c r="AB581" s="53"/>
      <c r="AC581" s="54"/>
      <c r="AD581" s="53"/>
      <c r="AE581" s="54"/>
      <c r="AF581" s="53"/>
      <c r="AG581" s="54"/>
      <c r="AH581" s="55">
        <v>4.1666666666666699E-2</v>
      </c>
      <c r="AI581" s="53"/>
      <c r="AJ581" s="54"/>
      <c r="AK581" s="53"/>
      <c r="AL581" s="54"/>
      <c r="AM581" s="53"/>
      <c r="AN581" s="54"/>
      <c r="AO581" s="53"/>
      <c r="AP581" s="54"/>
      <c r="AQ581" s="53"/>
      <c r="AR581" s="54"/>
      <c r="AS581" s="53"/>
      <c r="AT581" s="54"/>
      <c r="AU581" s="53">
        <v>4.1666666666666699E-2</v>
      </c>
      <c r="AV581" s="54" t="s">
        <v>37</v>
      </c>
      <c r="AW581" s="57">
        <f t="shared" si="82"/>
        <v>4.1666666666666699E-2</v>
      </c>
      <c r="AX581" s="58" t="s">
        <v>48</v>
      </c>
    </row>
    <row r="582" spans="1:50" ht="21.75" customHeight="1">
      <c r="A582" s="38" t="s">
        <v>548</v>
      </c>
      <c r="B582" s="39">
        <f t="shared" si="81"/>
        <v>578</v>
      </c>
      <c r="C582" s="40">
        <v>46037</v>
      </c>
      <c r="D582" s="40" t="s">
        <v>32</v>
      </c>
      <c r="E582" s="40" t="s">
        <v>81</v>
      </c>
      <c r="F582" s="41">
        <v>157.9</v>
      </c>
      <c r="G582" s="42" t="s">
        <v>85</v>
      </c>
      <c r="H582" s="43" t="str">
        <f>IFERROR(VLOOKUP($J582,'[9]FROM (3)'!$E$4:$F$230,2,FALSE),"")</f>
        <v>DNTH</v>
      </c>
      <c r="I582" s="44" t="str">
        <f t="shared" si="78"/>
        <v>SLUG CONNECTOR FUEL INLET</v>
      </c>
      <c r="J582" s="44" t="str">
        <f t="shared" si="79"/>
        <v>TGY95065-0010</v>
      </c>
      <c r="K582" s="59" t="str">
        <f t="shared" ref="K582:K645" si="85">IFERROR(LEFT(A582,SEARCH("|",A582)-1),"")</f>
        <v>PD26010501</v>
      </c>
      <c r="L582" s="46" t="str" cm="1">
        <f t="array" ref="L582">IFERROR(_xlfn.IFS(
    LEN($A582)-LEN(SUBSTITUTE($A582,"|",""))=12, RIGHT(A582, LEN(A582)-FIND("~", SUBSTITUTE(A582,"|","~", LEN(A582)-LEN(SUBSTITUTE(A582,"|",""))))),
    LEN($A582)-LEN(SUBSTITUTE($A582,"|",""))=13, MID($A582, FIND("~", SUBSTITUTE($A582,"|","~", 11))+1, FIND("~", SUBSTITUTE($A582,"|","~", 12))-FIND("~", SUBSTITUTE($A582,"|","~", 11))-1),
    LEN($A582)-LEN(SUBSTITUTE($A582,"|",""))=14, MID($A582, FIND("~", SUBSTITUTE($A582,"|","~", 11))+1, FIND("~", SUBSTITUTE($A582,"|","~", 12))-FIND("~", SUBSTITUTE($A582,"|","~", 11))-1)
), "")</f>
        <v>E586354</v>
      </c>
      <c r="M582" s="47" t="str">
        <f t="shared" si="83"/>
        <v>SB010006/2/26</v>
      </c>
      <c r="N582" s="46" t="str">
        <f t="shared" ref="N582:N645" si="86">IFERROR(IF(LEN($A582)-LEN(SUBSTITUTE($A582,"|",""))=12,MID($A582,FIND("~",SUBSTITUTE($A582,"|","~",11))+1,FIND("~",SUBSTITUTE($A582,"|","~",12))-FIND("~",SUBSTITUTE($A582,"|","~",11))-1),IF(LEN($A582)-LEN(SUBSTITUTE($A582,"|",""))=13,MID($A582,FIND("~",SUBSTITUTE($A582,"|","~",10))+1,FIND("~",SUBSTITUTE($A582,"|","~",11))-FIND("~",SUBSTITUTE($A582,"|","~",10))-1), "")),"")</f>
        <v/>
      </c>
      <c r="O582" s="60" t="s">
        <v>35</v>
      </c>
      <c r="P582" s="60" t="s">
        <v>35</v>
      </c>
      <c r="Q582" s="48">
        <v>5590</v>
      </c>
      <c r="R582" s="48">
        <v>883</v>
      </c>
      <c r="S582" s="48"/>
      <c r="T582" s="48"/>
      <c r="U582" s="49">
        <v>94</v>
      </c>
      <c r="V582" s="49">
        <v>39</v>
      </c>
      <c r="W582" s="50">
        <f t="shared" si="84"/>
        <v>133</v>
      </c>
      <c r="X582" s="51">
        <f>IF(A582="", "", IF(COUNTIFS(C$3:C581, C582, D$3:D581, D582, G$3:G581, G582) &gt; 0, "", "11:00"-AW582))</f>
        <v>0.41666666666666663</v>
      </c>
      <c r="Y582" s="52" t="str">
        <f t="shared" si="80"/>
        <v>1:40</v>
      </c>
      <c r="Z582" s="53"/>
      <c r="AA582" s="54"/>
      <c r="AB582" s="53"/>
      <c r="AC582" s="54"/>
      <c r="AD582" s="53"/>
      <c r="AE582" s="54"/>
      <c r="AF582" s="53"/>
      <c r="AG582" s="54"/>
      <c r="AH582" s="55">
        <v>4.1666666666666699E-2</v>
      </c>
      <c r="AI582" s="53"/>
      <c r="AJ582" s="54"/>
      <c r="AK582" s="53"/>
      <c r="AL582" s="54"/>
      <c r="AM582" s="53"/>
      <c r="AN582" s="54"/>
      <c r="AO582" s="53"/>
      <c r="AP582" s="54"/>
      <c r="AQ582" s="53"/>
      <c r="AR582" s="54"/>
      <c r="AS582" s="53"/>
      <c r="AT582" s="54"/>
      <c r="AU582" s="53">
        <v>4.1666666666666699E-2</v>
      </c>
      <c r="AV582" s="54" t="s">
        <v>37</v>
      </c>
      <c r="AW582" s="57">
        <f t="shared" si="82"/>
        <v>4.1666666666666699E-2</v>
      </c>
      <c r="AX582" s="58" t="s">
        <v>48</v>
      </c>
    </row>
    <row r="583" spans="1:50" ht="21.75" customHeight="1">
      <c r="A583" s="38" t="s">
        <v>525</v>
      </c>
      <c r="B583" s="39">
        <f t="shared" si="81"/>
        <v>579</v>
      </c>
      <c r="C583" s="40">
        <v>46037</v>
      </c>
      <c r="D583" s="40" t="s">
        <v>32</v>
      </c>
      <c r="E583" s="40" t="s">
        <v>81</v>
      </c>
      <c r="F583" s="41">
        <v>597.4</v>
      </c>
      <c r="G583" s="42" t="s">
        <v>75</v>
      </c>
      <c r="H583" s="43" t="str">
        <f>IFERROR(VLOOKUP($J583,'[9]FROM (3)'!$E$4:$F$230,2,FALSE),"")</f>
        <v>JTCS</v>
      </c>
      <c r="I583" s="44" t="str">
        <f t="shared" ref="I583:I646" si="87">IFERROR(MID(A583,FIND("~",SUBSTITUTE(A583,"|","~",4))+1,FIND("~",SUBSTITUTE(A583,"|","~",5))-FIND("~",SUBSTITUTE(A583,"|","~",4))-1),"")</f>
        <v>Rack, MS</v>
      </c>
      <c r="J583" s="44" t="str">
        <f t="shared" ref="J583:J646" si="88">IFERROR(MID(A583,FIND("~",SUBSTITUTE(A583,"|","~",3))+1,FIND("~",SUBSTITUTE(A583,"|","~",4))-FIND("~",SUBSTITUTE(A583,"|","~",3))-1),"")</f>
        <v>JGC10-003770-40-0</v>
      </c>
      <c r="K583" s="59" t="str">
        <f t="shared" si="85"/>
        <v>PD26010619</v>
      </c>
      <c r="L583" s="46" t="str" cm="1">
        <f t="array" ref="L583">IFERROR(_xlfn.IFS(
    LEN($A583)-LEN(SUBSTITUTE($A583,"|",""))=12, RIGHT(A583, LEN(A583)-FIND("~", SUBSTITUTE(A583,"|","~", LEN(A583)-LEN(SUBSTITUTE(A583,"|",""))))),
    LEN($A583)-LEN(SUBSTITUTE($A583,"|",""))=13, MID($A583, FIND("~", SUBSTITUTE($A583,"|","~", 11))+1, FIND("~", SUBSTITUTE($A583,"|","~", 12))-FIND("~", SUBSTITUTE($A583,"|","~", 11))-1),
    LEN($A583)-LEN(SUBSTITUTE($A583,"|",""))=14, MID($A583, FIND("~", SUBSTITUTE($A583,"|","~", 11))+1, FIND("~", SUBSTITUTE($A583,"|","~", 12))-FIND("~", SUBSTITUTE($A583,"|","~", 11))-1)
), "")</f>
        <v>E585971</v>
      </c>
      <c r="M583" s="47" t="str">
        <f t="shared" si="83"/>
        <v>SB010052/4/26</v>
      </c>
      <c r="N583" s="46" t="str">
        <f t="shared" si="86"/>
        <v/>
      </c>
      <c r="O583" s="60">
        <v>0</v>
      </c>
      <c r="P583" s="60">
        <v>0</v>
      </c>
      <c r="Q583" s="48">
        <v>251</v>
      </c>
      <c r="R583" s="48">
        <v>532</v>
      </c>
      <c r="S583" s="48"/>
      <c r="T583" s="48"/>
      <c r="U583" s="49"/>
      <c r="V583" s="49"/>
      <c r="W583" s="50">
        <f t="shared" si="84"/>
        <v>0</v>
      </c>
      <c r="X583" s="51">
        <f>IF(A583="", "", IF(COUNTIFS(C$3:C582, C583, D$3:D582, D583, G$3:G582, G583) &gt; 0, "", "11:00"-AW583))</f>
        <v>0.41666666666666663</v>
      </c>
      <c r="Y583" s="52" t="str">
        <f t="shared" ref="Y583:Y646" si="89">IF(X583="", "", IF(AND(A583&lt;&gt;"", AR583&lt;&gt;"NO OT"), "1:40", IF(AND(A583&lt;&gt;"", AR583="NO OT"), "1:0", "")))</f>
        <v>1:40</v>
      </c>
      <c r="Z583" s="53"/>
      <c r="AA583" s="54"/>
      <c r="AB583" s="53"/>
      <c r="AC583" s="54"/>
      <c r="AD583" s="53"/>
      <c r="AE583" s="54"/>
      <c r="AF583" s="53"/>
      <c r="AG583" s="54"/>
      <c r="AH583" s="55">
        <v>4.1666666666666699E-2</v>
      </c>
      <c r="AI583" s="53"/>
      <c r="AJ583" s="54"/>
      <c r="AK583" s="53"/>
      <c r="AL583" s="54" t="s">
        <v>122</v>
      </c>
      <c r="AM583" s="53"/>
      <c r="AN583" s="54"/>
      <c r="AO583" s="53"/>
      <c r="AP583" s="54"/>
      <c r="AQ583" s="53"/>
      <c r="AR583" s="54"/>
      <c r="AS583" s="53"/>
      <c r="AT583" s="54"/>
      <c r="AU583" s="53">
        <v>4.1666666666666699E-2</v>
      </c>
      <c r="AV583" s="54" t="s">
        <v>37</v>
      </c>
      <c r="AW583" s="57">
        <f t="shared" si="82"/>
        <v>4.1666666666666699E-2</v>
      </c>
      <c r="AX583" s="58" t="s">
        <v>77</v>
      </c>
    </row>
    <row r="584" spans="1:50" ht="21.75" customHeight="1">
      <c r="A584" s="38" t="s">
        <v>549</v>
      </c>
      <c r="B584" s="39">
        <f t="shared" si="81"/>
        <v>580</v>
      </c>
      <c r="C584" s="40">
        <v>46037</v>
      </c>
      <c r="D584" s="40" t="s">
        <v>32</v>
      </c>
      <c r="E584" s="40" t="s">
        <v>81</v>
      </c>
      <c r="F584" s="41">
        <v>597.4</v>
      </c>
      <c r="G584" s="42" t="s">
        <v>75</v>
      </c>
      <c r="H584" s="43" t="str">
        <f>IFERROR(VLOOKUP($J584,'[9]FROM (3)'!$E$4:$F$230,2,FALSE),"")</f>
        <v>JTCS</v>
      </c>
      <c r="I584" s="44" t="str">
        <f t="shared" si="87"/>
        <v>Rack, MS</v>
      </c>
      <c r="J584" s="44" t="str">
        <f t="shared" si="88"/>
        <v>JGC10-003770-40-0</v>
      </c>
      <c r="K584" s="59" t="str">
        <f t="shared" si="85"/>
        <v>PD26010619</v>
      </c>
      <c r="L584" s="46" t="str" cm="1">
        <f t="array" ref="L584">IFERROR(_xlfn.IFS(
    LEN($A584)-LEN(SUBSTITUTE($A584,"|",""))=12, RIGHT(A584, LEN(A584)-FIND("~", SUBSTITUTE(A584,"|","~", LEN(A584)-LEN(SUBSTITUTE(A584,"|",""))))),
    LEN($A584)-LEN(SUBSTITUTE($A584,"|",""))=13, MID($A584, FIND("~", SUBSTITUTE($A584,"|","~", 11))+1, FIND("~", SUBSTITUTE($A584,"|","~", 12))-FIND("~", SUBSTITUTE($A584,"|","~", 11))-1),
    LEN($A584)-LEN(SUBSTITUTE($A584,"|",""))=14, MID($A584, FIND("~", SUBSTITUTE($A584,"|","~", 11))+1, FIND("~", SUBSTITUTE($A584,"|","~", 12))-FIND("~", SUBSTITUTE($A584,"|","~", 11))-1)
), "")</f>
        <v>E585971</v>
      </c>
      <c r="M584" s="47" t="str">
        <f t="shared" si="83"/>
        <v>SB010052/5/26</v>
      </c>
      <c r="N584" s="46" t="str">
        <f t="shared" si="86"/>
        <v/>
      </c>
      <c r="O584" s="60">
        <v>80</v>
      </c>
      <c r="P584" s="60">
        <v>900</v>
      </c>
      <c r="Q584" s="48">
        <v>400</v>
      </c>
      <c r="R584" s="48">
        <v>848</v>
      </c>
      <c r="S584" s="48"/>
      <c r="T584" s="48"/>
      <c r="U584" s="49">
        <v>147</v>
      </c>
      <c r="V584" s="49">
        <v>10</v>
      </c>
      <c r="W584" s="50">
        <f t="shared" si="84"/>
        <v>157</v>
      </c>
      <c r="X584" s="51" t="str">
        <f>IF(A584="", "", IF(COUNTIFS(C$3:C583, C584, D$3:D583, D584, G$3:G583, G584) &gt; 0, "", "11:00"-AW584))</f>
        <v/>
      </c>
      <c r="Y584" s="52" t="str">
        <f t="shared" si="89"/>
        <v/>
      </c>
      <c r="Z584" s="53"/>
      <c r="AA584" s="54"/>
      <c r="AB584" s="53"/>
      <c r="AC584" s="54"/>
      <c r="AD584" s="53"/>
      <c r="AE584" s="54"/>
      <c r="AF584" s="53"/>
      <c r="AG584" s="54"/>
      <c r="AH584" s="55">
        <v>4.1666666666666699E-2</v>
      </c>
      <c r="AI584" s="53"/>
      <c r="AJ584" s="54"/>
      <c r="AK584" s="53"/>
      <c r="AL584" s="54"/>
      <c r="AM584" s="53"/>
      <c r="AN584" s="54"/>
      <c r="AO584" s="53"/>
      <c r="AP584" s="54"/>
      <c r="AQ584" s="53"/>
      <c r="AR584" s="54"/>
      <c r="AS584" s="53"/>
      <c r="AT584" s="54"/>
      <c r="AU584" s="53">
        <v>4.1666666666666699E-2</v>
      </c>
      <c r="AV584" s="54" t="s">
        <v>37</v>
      </c>
      <c r="AW584" s="57">
        <f t="shared" si="82"/>
        <v>4.1666666666666699E-2</v>
      </c>
      <c r="AX584" s="58" t="s">
        <v>77</v>
      </c>
    </row>
    <row r="585" spans="1:50" ht="21.75" customHeight="1">
      <c r="A585" s="38" t="s">
        <v>550</v>
      </c>
      <c r="B585" s="39">
        <f t="shared" si="81"/>
        <v>581</v>
      </c>
      <c r="C585" s="40">
        <v>46037</v>
      </c>
      <c r="D585" s="40" t="s">
        <v>32</v>
      </c>
      <c r="E585" s="40" t="s">
        <v>81</v>
      </c>
      <c r="F585" s="41">
        <v>597.4</v>
      </c>
      <c r="G585" s="42" t="s">
        <v>75</v>
      </c>
      <c r="H585" s="43" t="str">
        <f>IFERROR(VLOOKUP($J585,'[9]FROM (3)'!$E$4:$F$230,2,FALSE),"")</f>
        <v>JTCS</v>
      </c>
      <c r="I585" s="44" t="str">
        <f t="shared" si="87"/>
        <v>Rack, MS</v>
      </c>
      <c r="J585" s="44" t="str">
        <f t="shared" si="88"/>
        <v>JGC10-003770-40-0</v>
      </c>
      <c r="K585" s="59" t="str">
        <f t="shared" si="85"/>
        <v>PD26010618</v>
      </c>
      <c r="L585" s="46" t="str" cm="1">
        <f t="array" ref="L585">IFERROR(_xlfn.IFS(
    LEN($A585)-LEN(SUBSTITUTE($A585,"|",""))=12, RIGHT(A585, LEN(A585)-FIND("~", SUBSTITUTE(A585,"|","~", LEN(A585)-LEN(SUBSTITUTE(A585,"|",""))))),
    LEN($A585)-LEN(SUBSTITUTE($A585,"|",""))=13, MID($A585, FIND("~", SUBSTITUTE($A585,"|","~", 11))+1, FIND("~", SUBSTITUTE($A585,"|","~", 12))-FIND("~", SUBSTITUTE($A585,"|","~", 11))-1),
    LEN($A585)-LEN(SUBSTITUTE($A585,"|",""))=14, MID($A585, FIND("~", SUBSTITUTE($A585,"|","~", 11))+1, FIND("~", SUBSTITUTE($A585,"|","~", 12))-FIND("~", SUBSTITUTE($A585,"|","~", 11))-1)
), "")</f>
        <v>E585971</v>
      </c>
      <c r="M585" s="47" t="str">
        <f t="shared" si="83"/>
        <v>SB010052/3/26</v>
      </c>
      <c r="N585" s="46" t="str">
        <f t="shared" si="86"/>
        <v/>
      </c>
      <c r="O585" s="60">
        <v>80</v>
      </c>
      <c r="P585" s="60">
        <v>900</v>
      </c>
      <c r="Q585" s="48">
        <v>400</v>
      </c>
      <c r="R585" s="48">
        <v>848</v>
      </c>
      <c r="S585" s="48"/>
      <c r="T585" s="48"/>
      <c r="U585" s="49"/>
      <c r="V585" s="49"/>
      <c r="W585" s="50">
        <f t="shared" si="84"/>
        <v>0</v>
      </c>
      <c r="X585" s="51" t="str">
        <f>IF(A585="", "", IF(COUNTIFS(C$3:C584, C585, D$3:D584, D585, G$3:G584, G585) &gt; 0, "", "11:00"-AW585))</f>
        <v/>
      </c>
      <c r="Y585" s="52" t="str">
        <f t="shared" si="89"/>
        <v/>
      </c>
      <c r="Z585" s="53"/>
      <c r="AA585" s="54"/>
      <c r="AB585" s="53"/>
      <c r="AC585" s="54"/>
      <c r="AD585" s="53"/>
      <c r="AE585" s="54"/>
      <c r="AF585" s="53"/>
      <c r="AG585" s="54"/>
      <c r="AH585" s="55">
        <v>4.1666666666666699E-2</v>
      </c>
      <c r="AI585" s="53"/>
      <c r="AJ585" s="54"/>
      <c r="AK585" s="53"/>
      <c r="AL585" s="54"/>
      <c r="AM585" s="53"/>
      <c r="AN585" s="54"/>
      <c r="AO585" s="53"/>
      <c r="AP585" s="54"/>
      <c r="AQ585" s="53"/>
      <c r="AR585" s="54"/>
      <c r="AS585" s="53"/>
      <c r="AT585" s="54"/>
      <c r="AU585" s="53">
        <v>4.1666666666666699E-2</v>
      </c>
      <c r="AV585" s="54" t="s">
        <v>37</v>
      </c>
      <c r="AW585" s="57">
        <f t="shared" si="82"/>
        <v>4.1666666666666699E-2</v>
      </c>
      <c r="AX585" s="58" t="s">
        <v>77</v>
      </c>
    </row>
    <row r="586" spans="1:50" ht="21.75" customHeight="1">
      <c r="A586" s="38" t="s">
        <v>551</v>
      </c>
      <c r="B586" s="39">
        <f t="shared" ref="B586:B649" si="90">IF(A586="","",B585+1)</f>
        <v>582</v>
      </c>
      <c r="C586" s="40">
        <v>46037</v>
      </c>
      <c r="D586" s="40" t="s">
        <v>32</v>
      </c>
      <c r="E586" s="40" t="s">
        <v>81</v>
      </c>
      <c r="F586" s="41">
        <v>597.4</v>
      </c>
      <c r="G586" s="42" t="s">
        <v>75</v>
      </c>
      <c r="H586" s="43" t="str">
        <f>IFERROR(VLOOKUP($J586,'[9]FROM (3)'!$E$4:$F$230,2,FALSE),"")</f>
        <v>JTCS</v>
      </c>
      <c r="I586" s="44" t="str">
        <f t="shared" si="87"/>
        <v>Rack, MS</v>
      </c>
      <c r="J586" s="44" t="str">
        <f t="shared" si="88"/>
        <v>JGC10-003770-40-0</v>
      </c>
      <c r="K586" s="59" t="str">
        <f t="shared" si="85"/>
        <v>PD26010618</v>
      </c>
      <c r="L586" s="46" t="str" cm="1">
        <f t="array" ref="L586">IFERROR(_xlfn.IFS(
    LEN($A586)-LEN(SUBSTITUTE($A586,"|",""))=12, RIGHT(A586, LEN(A586)-FIND("~", SUBSTITUTE(A586,"|","~", LEN(A586)-LEN(SUBSTITUTE(A586,"|",""))))),
    LEN($A586)-LEN(SUBSTITUTE($A586,"|",""))=13, MID($A586, FIND("~", SUBSTITUTE($A586,"|","~", 11))+1, FIND("~", SUBSTITUTE($A586,"|","~", 12))-FIND("~", SUBSTITUTE($A586,"|","~", 11))-1),
    LEN($A586)-LEN(SUBSTITUTE($A586,"|",""))=14, MID($A586, FIND("~", SUBSTITUTE($A586,"|","~", 11))+1, FIND("~", SUBSTITUTE($A586,"|","~", 12))-FIND("~", SUBSTITUTE($A586,"|","~", 11))-1)
), "")</f>
        <v>E585971</v>
      </c>
      <c r="M586" s="47" t="str">
        <f t="shared" si="83"/>
        <v>SB010052/2/26</v>
      </c>
      <c r="N586" s="46" t="str">
        <f t="shared" si="86"/>
        <v/>
      </c>
      <c r="O586" s="60">
        <v>80</v>
      </c>
      <c r="P586" s="60">
        <v>900</v>
      </c>
      <c r="Q586" s="48">
        <v>89</v>
      </c>
      <c r="R586" s="48">
        <v>189</v>
      </c>
      <c r="S586" s="48"/>
      <c r="T586" s="48"/>
      <c r="U586" s="49"/>
      <c r="V586" s="49"/>
      <c r="W586" s="50">
        <f t="shared" si="84"/>
        <v>0</v>
      </c>
      <c r="X586" s="51" t="str">
        <f>IF(A586="", "", IF(COUNTIFS(C$3:C585, C586, D$3:D585, D586, G$3:G585, G586) &gt; 0, "", "11:00"-AW586))</f>
        <v/>
      </c>
      <c r="Y586" s="52" t="str">
        <f t="shared" si="89"/>
        <v/>
      </c>
      <c r="Z586" s="53"/>
      <c r="AA586" s="54"/>
      <c r="AB586" s="53"/>
      <c r="AC586" s="54"/>
      <c r="AD586" s="53"/>
      <c r="AE586" s="54"/>
      <c r="AF586" s="53"/>
      <c r="AG586" s="54"/>
      <c r="AH586" s="55">
        <v>4.1666666666666699E-2</v>
      </c>
      <c r="AI586" s="53"/>
      <c r="AJ586" s="54"/>
      <c r="AK586" s="53"/>
      <c r="AL586" s="54"/>
      <c r="AM586" s="53"/>
      <c r="AN586" s="54"/>
      <c r="AO586" s="53"/>
      <c r="AP586" s="54"/>
      <c r="AQ586" s="53"/>
      <c r="AR586" s="54"/>
      <c r="AS586" s="53"/>
      <c r="AT586" s="54"/>
      <c r="AU586" s="53">
        <v>4.1666666666666699E-2</v>
      </c>
      <c r="AV586" s="54" t="s">
        <v>37</v>
      </c>
      <c r="AW586" s="57">
        <f t="shared" si="82"/>
        <v>4.1666666666666699E-2</v>
      </c>
      <c r="AX586" s="58" t="s">
        <v>77</v>
      </c>
    </row>
    <row r="587" spans="1:50" ht="21.75" customHeight="1">
      <c r="A587" s="38" t="s">
        <v>528</v>
      </c>
      <c r="B587" s="39">
        <f t="shared" si="90"/>
        <v>583</v>
      </c>
      <c r="C587" s="40">
        <v>46037</v>
      </c>
      <c r="D587" s="40" t="s">
        <v>32</v>
      </c>
      <c r="E587" s="40" t="s">
        <v>81</v>
      </c>
      <c r="F587" s="41">
        <v>205</v>
      </c>
      <c r="G587" s="42" t="s">
        <v>108</v>
      </c>
      <c r="H587" s="43" t="str">
        <f>IFERROR(VLOOKUP($J587,'[9]FROM (3)'!$E$4:$F$230,2,FALSE),"")</f>
        <v/>
      </c>
      <c r="I587" s="44" t="str">
        <f t="shared" si="87"/>
        <v>SHAFT SPLINE</v>
      </c>
      <c r="J587" s="44" t="str">
        <f t="shared" si="88"/>
        <v>2550S0765P</v>
      </c>
      <c r="K587" s="59" t="str">
        <f t="shared" si="85"/>
        <v>PD26010581</v>
      </c>
      <c r="L587" s="46" t="str" cm="1">
        <f t="array" ref="L587">IFERROR(_xlfn.IFS(
    LEN($A587)-LEN(SUBSTITUTE($A587,"|",""))=12, RIGHT(A587, LEN(A587)-FIND("~", SUBSTITUTE(A587,"|","~", LEN(A587)-LEN(SUBSTITUTE(A587,"|",""))))),
    LEN($A587)-LEN(SUBSTITUTE($A587,"|",""))=13, MID($A587, FIND("~", SUBSTITUTE($A587,"|","~", 11))+1, FIND("~", SUBSTITUTE($A587,"|","~", 12))-FIND("~", SUBSTITUTE($A587,"|","~", 11))-1),
    LEN($A587)-LEN(SUBSTITUTE($A587,"|",""))=14, MID($A587, FIND("~", SUBSTITUTE($A587,"|","~", 11))+1, FIND("~", SUBSTITUTE($A587,"|","~", 12))-FIND("~", SUBSTITUTE($A587,"|","~", 11))-1)
), "")</f>
        <v>E586430</v>
      </c>
      <c r="M587" s="47" t="str">
        <f t="shared" si="83"/>
        <v>SB010050/2/26</v>
      </c>
      <c r="N587" s="46" t="str">
        <f t="shared" si="86"/>
        <v/>
      </c>
      <c r="O587" s="60" t="s">
        <v>35</v>
      </c>
      <c r="P587" s="60" t="s">
        <v>35</v>
      </c>
      <c r="Q587" s="48">
        <v>1480</v>
      </c>
      <c r="R587" s="48">
        <v>625</v>
      </c>
      <c r="S587" s="48"/>
      <c r="T587" s="48"/>
      <c r="U587" s="49">
        <v>59</v>
      </c>
      <c r="V587" s="49">
        <v>20</v>
      </c>
      <c r="W587" s="50">
        <f t="shared" si="84"/>
        <v>79</v>
      </c>
      <c r="X587" s="51">
        <f>IF(A587="", "", IF(COUNTIFS(C$3:C586, C587, D$3:D586, D587, G$3:G586, G587) &gt; 0, "", "11:00"-AW587))</f>
        <v>0.39583333333333326</v>
      </c>
      <c r="Y587" s="52" t="str">
        <f t="shared" si="89"/>
        <v>1:40</v>
      </c>
      <c r="Z587" s="53"/>
      <c r="AA587" s="54"/>
      <c r="AB587" s="53"/>
      <c r="AC587" s="54"/>
      <c r="AD587" s="53"/>
      <c r="AE587" s="54"/>
      <c r="AF587" s="53">
        <v>1.3888888888888888E-2</v>
      </c>
      <c r="AG587" s="54" t="s">
        <v>67</v>
      </c>
      <c r="AH587" s="55">
        <v>4.1666666666666699E-2</v>
      </c>
      <c r="AI587" s="53">
        <v>6.9444444444444441E-3</v>
      </c>
      <c r="AJ587" s="54" t="s">
        <v>67</v>
      </c>
      <c r="AK587" s="53"/>
      <c r="AL587" s="54"/>
      <c r="AM587" s="53"/>
      <c r="AN587" s="54"/>
      <c r="AO587" s="53"/>
      <c r="AP587" s="54"/>
      <c r="AQ587" s="53"/>
      <c r="AR587" s="54"/>
      <c r="AS587" s="53"/>
      <c r="AT587" s="54"/>
      <c r="AU587" s="53">
        <v>4.1666666666666699E-2</v>
      </c>
      <c r="AV587" s="54" t="s">
        <v>37</v>
      </c>
      <c r="AW587" s="57">
        <f t="shared" si="82"/>
        <v>6.2500000000000028E-2</v>
      </c>
      <c r="AX587" s="58" t="s">
        <v>380</v>
      </c>
    </row>
    <row r="588" spans="1:50" ht="21.75" customHeight="1">
      <c r="A588" s="38" t="s">
        <v>552</v>
      </c>
      <c r="B588" s="39">
        <f t="shared" si="90"/>
        <v>584</v>
      </c>
      <c r="C588" s="40">
        <v>46037</v>
      </c>
      <c r="D588" s="40" t="s">
        <v>32</v>
      </c>
      <c r="E588" s="40" t="s">
        <v>81</v>
      </c>
      <c r="F588" s="41">
        <v>191</v>
      </c>
      <c r="G588" s="42" t="s">
        <v>108</v>
      </c>
      <c r="H588" s="43" t="str">
        <f>IFERROR(VLOOKUP($J588,'[9]FROM (3)'!$E$4:$F$230,2,FALSE),"")</f>
        <v>SIAM NSK</v>
      </c>
      <c r="I588" s="44" t="str">
        <f t="shared" si="87"/>
        <v>STG.SHAFT</v>
      </c>
      <c r="J588" s="44" t="str">
        <f t="shared" si="88"/>
        <v>2528S0250C</v>
      </c>
      <c r="K588" s="59" t="str">
        <f t="shared" si="85"/>
        <v>PD26010424</v>
      </c>
      <c r="L588" s="46" t="str" cm="1">
        <f t="array" ref="L588">IFERROR(_xlfn.IFS(
    LEN($A588)-LEN(SUBSTITUTE($A588,"|",""))=12, RIGHT(A588, LEN(A588)-FIND("~", SUBSTITUTE(A588,"|","~", LEN(A588)-LEN(SUBSTITUTE(A588,"|",""))))),
    LEN($A588)-LEN(SUBSTITUTE($A588,"|",""))=13, MID($A588, FIND("~", SUBSTITUTE($A588,"|","~", 11))+1, FIND("~", SUBSTITUTE($A588,"|","~", 12))-FIND("~", SUBSTITUTE($A588,"|","~", 11))-1),
    LEN($A588)-LEN(SUBSTITUTE($A588,"|",""))=14, MID($A588, FIND("~", SUBSTITUTE($A588,"|","~", 11))+1, FIND("~", SUBSTITUTE($A588,"|","~", 12))-FIND("~", SUBSTITUTE($A588,"|","~", 11))-1)
), "")</f>
        <v>E484056</v>
      </c>
      <c r="M588" s="47" t="str">
        <f t="shared" si="83"/>
        <v>SB010038/1/26</v>
      </c>
      <c r="N588" s="46" t="str">
        <f t="shared" si="86"/>
        <v/>
      </c>
      <c r="O588" s="60">
        <v>82</v>
      </c>
      <c r="P588" s="60">
        <v>1000</v>
      </c>
      <c r="Q588" s="48">
        <v>2241</v>
      </c>
      <c r="R588" s="48">
        <v>952</v>
      </c>
      <c r="S588" s="48"/>
      <c r="T588" s="48"/>
      <c r="U588" s="49"/>
      <c r="V588" s="49"/>
      <c r="W588" s="50">
        <f t="shared" si="84"/>
        <v>0</v>
      </c>
      <c r="X588" s="51" t="str">
        <f>IF(A588="", "", IF(COUNTIFS(C$3:C587, C588, D$3:D587, D588, G$3:G587, G588) &gt; 0, "", "11:00"-AW588))</f>
        <v/>
      </c>
      <c r="Y588" s="52" t="str">
        <f t="shared" si="89"/>
        <v/>
      </c>
      <c r="Z588" s="53"/>
      <c r="AA588" s="54"/>
      <c r="AB588" s="53"/>
      <c r="AC588" s="54"/>
      <c r="AD588" s="53"/>
      <c r="AE588" s="54"/>
      <c r="AF588" s="53"/>
      <c r="AG588" s="54"/>
      <c r="AH588" s="55">
        <v>4.1666666666666699E-2</v>
      </c>
      <c r="AI588" s="53"/>
      <c r="AJ588" s="54"/>
      <c r="AK588" s="53"/>
      <c r="AL588" s="54"/>
      <c r="AM588" s="53"/>
      <c r="AN588" s="54"/>
      <c r="AO588" s="53"/>
      <c r="AP588" s="54"/>
      <c r="AQ588" s="53"/>
      <c r="AR588" s="54"/>
      <c r="AS588" s="53"/>
      <c r="AT588" s="54"/>
      <c r="AU588" s="53">
        <v>4.1666666666666699E-2</v>
      </c>
      <c r="AV588" s="54" t="s">
        <v>37</v>
      </c>
      <c r="AW588" s="57">
        <f t="shared" si="82"/>
        <v>4.1666666666666699E-2</v>
      </c>
      <c r="AX588" s="58" t="s">
        <v>380</v>
      </c>
    </row>
    <row r="589" spans="1:50" ht="21.75" customHeight="1">
      <c r="A589" s="38" t="s">
        <v>553</v>
      </c>
      <c r="B589" s="39">
        <f t="shared" si="90"/>
        <v>585</v>
      </c>
      <c r="C589" s="40">
        <v>46037</v>
      </c>
      <c r="D589" s="40" t="s">
        <v>32</v>
      </c>
      <c r="E589" s="40" t="s">
        <v>81</v>
      </c>
      <c r="F589" s="41">
        <v>191</v>
      </c>
      <c r="G589" s="42" t="s">
        <v>108</v>
      </c>
      <c r="H589" s="43" t="str">
        <f>IFERROR(VLOOKUP($J589,'[9]FROM (3)'!$E$4:$F$230,2,FALSE),"")</f>
        <v>SIAM NSK</v>
      </c>
      <c r="I589" s="44" t="str">
        <f t="shared" si="87"/>
        <v>STG.SHAFT</v>
      </c>
      <c r="J589" s="44" t="str">
        <f t="shared" si="88"/>
        <v>2528S0250C</v>
      </c>
      <c r="K589" s="59" t="str">
        <f t="shared" si="85"/>
        <v>PD26010424</v>
      </c>
      <c r="L589" s="46" t="str" cm="1">
        <f t="array" ref="L589">IFERROR(_xlfn.IFS(
    LEN($A589)-LEN(SUBSTITUTE($A589,"|",""))=12, RIGHT(A589, LEN(A589)-FIND("~", SUBSTITUTE(A589,"|","~", LEN(A589)-LEN(SUBSTITUTE(A589,"|",""))))),
    LEN($A589)-LEN(SUBSTITUTE($A589,"|",""))=13, MID($A589, FIND("~", SUBSTITUTE($A589,"|","~", 11))+1, FIND("~", SUBSTITUTE($A589,"|","~", 12))-FIND("~", SUBSTITUTE($A589,"|","~", 11))-1),
    LEN($A589)-LEN(SUBSTITUTE($A589,"|",""))=14, MID($A589, FIND("~", SUBSTITUTE($A589,"|","~", 11))+1, FIND("~", SUBSTITUTE($A589,"|","~", 12))-FIND("~", SUBSTITUTE($A589,"|","~", 11))-1)
), "")</f>
        <v>E484056</v>
      </c>
      <c r="M589" s="47" t="str">
        <f t="shared" si="83"/>
        <v>SB010038/2/26</v>
      </c>
      <c r="N589" s="46" t="str">
        <f t="shared" si="86"/>
        <v/>
      </c>
      <c r="O589" s="60">
        <v>81</v>
      </c>
      <c r="P589" s="60">
        <v>979</v>
      </c>
      <c r="Q589" s="48">
        <v>114</v>
      </c>
      <c r="R589" s="48">
        <v>48</v>
      </c>
      <c r="S589" s="48"/>
      <c r="T589" s="48"/>
      <c r="U589" s="49"/>
      <c r="V589" s="49"/>
      <c r="W589" s="50">
        <f t="shared" si="84"/>
        <v>0</v>
      </c>
      <c r="X589" s="51" t="str">
        <f>IF(A589="", "", IF(COUNTIFS(C$3:C588, C589, D$3:D588, D589, G$3:G588, G589) &gt; 0, "", "11:00"-AW589))</f>
        <v/>
      </c>
      <c r="Y589" s="52" t="str">
        <f t="shared" si="89"/>
        <v/>
      </c>
      <c r="Z589" s="53"/>
      <c r="AA589" s="54"/>
      <c r="AB589" s="53"/>
      <c r="AC589" s="54"/>
      <c r="AD589" s="53"/>
      <c r="AE589" s="54"/>
      <c r="AF589" s="53"/>
      <c r="AG589" s="54"/>
      <c r="AH589" s="55">
        <v>4.1666666666666699E-2</v>
      </c>
      <c r="AI589" s="53"/>
      <c r="AJ589" s="54"/>
      <c r="AK589" s="53"/>
      <c r="AL589" s="54"/>
      <c r="AM589" s="53"/>
      <c r="AN589" s="54"/>
      <c r="AO589" s="53"/>
      <c r="AP589" s="54"/>
      <c r="AQ589" s="53"/>
      <c r="AR589" s="54"/>
      <c r="AS589" s="53"/>
      <c r="AT589" s="54"/>
      <c r="AU589" s="53">
        <v>4.1666666666666699E-2</v>
      </c>
      <c r="AV589" s="54" t="s">
        <v>37</v>
      </c>
      <c r="AW589" s="57">
        <f t="shared" si="82"/>
        <v>4.1666666666666699E-2</v>
      </c>
      <c r="AX589" s="58" t="s">
        <v>380</v>
      </c>
    </row>
    <row r="590" spans="1:50" ht="21.75" customHeight="1">
      <c r="A590" s="38" t="s">
        <v>554</v>
      </c>
      <c r="B590" s="39">
        <f t="shared" si="90"/>
        <v>586</v>
      </c>
      <c r="C590" s="40">
        <v>46037</v>
      </c>
      <c r="D590" s="40" t="s">
        <v>32</v>
      </c>
      <c r="E590" s="40" t="s">
        <v>81</v>
      </c>
      <c r="F590" s="41">
        <v>375</v>
      </c>
      <c r="G590" s="42" t="s">
        <v>172</v>
      </c>
      <c r="H590" s="43" t="str">
        <f>IFERROR(VLOOKUP($J590,'[9]FROM (3)'!$E$4:$F$230,2,FALSE),"")</f>
        <v>ATAC</v>
      </c>
      <c r="I590" s="44" t="str">
        <f t="shared" si="87"/>
        <v>SEAT,WATER PUMP PULLEY</v>
      </c>
      <c r="J590" s="44" t="str">
        <f t="shared" si="88"/>
        <v>16171-05030</v>
      </c>
      <c r="K590" s="59" t="str">
        <f t="shared" si="85"/>
        <v>PD26010255</v>
      </c>
      <c r="L590" s="46" t="str" cm="1">
        <f t="array" ref="L590">IFERROR(_xlfn.IFS(
    LEN($A590)-LEN(SUBSTITUTE($A590,"|",""))=12, RIGHT(A590, LEN(A590)-FIND("~", SUBSTITUTE(A590,"|","~", LEN(A590)-LEN(SUBSTITUTE(A590,"|",""))))),
    LEN($A590)-LEN(SUBSTITUTE($A590,"|",""))=13, MID($A590, FIND("~", SUBSTITUTE($A590,"|","~", 11))+1, FIND("~", SUBSTITUTE($A590,"|","~", 12))-FIND("~", SUBSTITUTE($A590,"|","~", 11))-1),
    LEN($A590)-LEN(SUBSTITUTE($A590,"|",""))=14, MID($A590, FIND("~", SUBSTITUTE($A590,"|","~", 11))+1, FIND("~", SUBSTITUTE($A590,"|","~", 12))-FIND("~", SUBSTITUTE($A590,"|","~", 11))-1)
), "")</f>
        <v>665898</v>
      </c>
      <c r="M590" s="47" t="str">
        <f t="shared" si="83"/>
        <v>SB010015/4/26</v>
      </c>
      <c r="N590" s="46" t="str">
        <f t="shared" si="86"/>
        <v/>
      </c>
      <c r="O590" s="60" t="s">
        <v>35</v>
      </c>
      <c r="P590" s="60" t="s">
        <v>35</v>
      </c>
      <c r="Q590" s="48">
        <v>2413</v>
      </c>
      <c r="R590" s="48">
        <v>905</v>
      </c>
      <c r="S590" s="48"/>
      <c r="T590" s="48"/>
      <c r="U590" s="49">
        <v>29</v>
      </c>
      <c r="V590" s="49">
        <v>112</v>
      </c>
      <c r="W590" s="50">
        <f t="shared" si="84"/>
        <v>141</v>
      </c>
      <c r="X590" s="51">
        <f>IF(A590="", "", IF(COUNTIFS(C$3:C589, C590, D$3:D589, D590, G$3:G589, G590) &gt; 0, "", "11:00"-AW590))</f>
        <v>0.41666666666666663</v>
      </c>
      <c r="Y590" s="52" t="str">
        <f t="shared" si="89"/>
        <v>1:40</v>
      </c>
      <c r="Z590" s="53"/>
      <c r="AA590" s="54"/>
      <c r="AB590" s="53"/>
      <c r="AC590" s="54"/>
      <c r="AD590" s="53"/>
      <c r="AE590" s="54"/>
      <c r="AF590" s="53"/>
      <c r="AG590" s="54"/>
      <c r="AH590" s="55">
        <v>4.1666666666666699E-2</v>
      </c>
      <c r="AI590" s="53"/>
      <c r="AJ590" s="54"/>
      <c r="AK590" s="53"/>
      <c r="AL590" s="54"/>
      <c r="AM590" s="53"/>
      <c r="AN590" s="54"/>
      <c r="AO590" s="53"/>
      <c r="AP590" s="54"/>
      <c r="AQ590" s="53"/>
      <c r="AR590" s="54"/>
      <c r="AS590" s="53"/>
      <c r="AT590" s="54"/>
      <c r="AU590" s="53">
        <v>4.1666666666666699E-2</v>
      </c>
      <c r="AV590" s="54" t="s">
        <v>37</v>
      </c>
      <c r="AW590" s="57">
        <f t="shared" si="82"/>
        <v>4.1666666666666699E-2</v>
      </c>
      <c r="AX590" s="58" t="s">
        <v>380</v>
      </c>
    </row>
    <row r="591" spans="1:50" ht="21.75" customHeight="1">
      <c r="A591" s="38" t="s">
        <v>555</v>
      </c>
      <c r="B591" s="39">
        <f t="shared" si="90"/>
        <v>587</v>
      </c>
      <c r="C591" s="40">
        <v>46037</v>
      </c>
      <c r="D591" s="40" t="s">
        <v>32</v>
      </c>
      <c r="E591" s="40" t="s">
        <v>81</v>
      </c>
      <c r="F591" s="41">
        <v>375</v>
      </c>
      <c r="G591" s="42" t="s">
        <v>172</v>
      </c>
      <c r="H591" s="43" t="str">
        <f>IFERROR(VLOOKUP($J591,'[9]FROM (3)'!$E$4:$F$230,2,FALSE),"")</f>
        <v>ATAC</v>
      </c>
      <c r="I591" s="44" t="str">
        <f t="shared" si="87"/>
        <v>SEAT,WATER PUMP PULLEY</v>
      </c>
      <c r="J591" s="44" t="str">
        <f t="shared" si="88"/>
        <v>16171-05030</v>
      </c>
      <c r="K591" s="59" t="str">
        <f t="shared" si="85"/>
        <v>PD26010579</v>
      </c>
      <c r="L591" s="46" t="str" cm="1">
        <f t="array" ref="L591">IFERROR(_xlfn.IFS(
    LEN($A591)-LEN(SUBSTITUTE($A591,"|",""))=12, RIGHT(A591, LEN(A591)-FIND("~", SUBSTITUTE(A591,"|","~", LEN(A591)-LEN(SUBSTITUTE(A591,"|",""))))),
    LEN($A591)-LEN(SUBSTITUTE($A591,"|",""))=13, MID($A591, FIND("~", SUBSTITUTE($A591,"|","~", 11))+1, FIND("~", SUBSTITUTE($A591,"|","~", 12))-FIND("~", SUBSTITUTE($A591,"|","~", 11))-1),
    LEN($A591)-LEN(SUBSTITUTE($A591,"|",""))=14, MID($A591, FIND("~", SUBSTITUTE($A591,"|","~", 11))+1, FIND("~", SUBSTITUTE($A591,"|","~", 12))-FIND("~", SUBSTITUTE($A591,"|","~", 11))-1)
), "")</f>
        <v>665898</v>
      </c>
      <c r="M591" s="47" t="str">
        <f t="shared" si="83"/>
        <v>SB010056/2/26</v>
      </c>
      <c r="N591" s="46" t="str">
        <f t="shared" si="86"/>
        <v/>
      </c>
      <c r="O591" s="60">
        <v>14</v>
      </c>
      <c r="P591" s="60">
        <v>996</v>
      </c>
      <c r="Q591" s="48">
        <v>405</v>
      </c>
      <c r="R591" s="48">
        <v>152</v>
      </c>
      <c r="S591" s="48"/>
      <c r="T591" s="48"/>
      <c r="U591" s="49"/>
      <c r="V591" s="49"/>
      <c r="W591" s="50">
        <f t="shared" si="84"/>
        <v>0</v>
      </c>
      <c r="X591" s="51" t="str">
        <f>IF(A591="", "", IF(COUNTIFS(C$3:C590, C591, D$3:D590, D591, G$3:G590, G591) &gt; 0, "", "11:00"-AW591))</f>
        <v/>
      </c>
      <c r="Y591" s="52" t="str">
        <f t="shared" si="89"/>
        <v/>
      </c>
      <c r="Z591" s="53"/>
      <c r="AA591" s="54"/>
      <c r="AB591" s="53"/>
      <c r="AC591" s="54"/>
      <c r="AD591" s="53"/>
      <c r="AE591" s="54"/>
      <c r="AF591" s="53"/>
      <c r="AG591" s="54"/>
      <c r="AH591" s="55">
        <v>4.1666666666666699E-2</v>
      </c>
      <c r="AI591" s="53"/>
      <c r="AJ591" s="54"/>
      <c r="AK591" s="53"/>
      <c r="AL591" s="54"/>
      <c r="AM591" s="53"/>
      <c r="AN591" s="54"/>
      <c r="AO591" s="53"/>
      <c r="AP591" s="54"/>
      <c r="AQ591" s="53"/>
      <c r="AR591" s="54"/>
      <c r="AS591" s="53"/>
      <c r="AT591" s="54"/>
      <c r="AU591" s="53">
        <v>4.1666666666666699E-2</v>
      </c>
      <c r="AV591" s="54" t="s">
        <v>37</v>
      </c>
      <c r="AW591" s="57">
        <f t="shared" si="82"/>
        <v>4.1666666666666699E-2</v>
      </c>
      <c r="AX591" s="58" t="s">
        <v>380</v>
      </c>
    </row>
    <row r="592" spans="1:50" ht="21.75" customHeight="1">
      <c r="A592" s="38" t="s">
        <v>545</v>
      </c>
      <c r="B592" s="39">
        <f t="shared" si="90"/>
        <v>588</v>
      </c>
      <c r="C592" s="40">
        <v>46037</v>
      </c>
      <c r="D592" s="40" t="s">
        <v>32</v>
      </c>
      <c r="E592" s="40" t="s">
        <v>81</v>
      </c>
      <c r="F592" s="41">
        <v>167.7</v>
      </c>
      <c r="G592" s="42" t="s">
        <v>62</v>
      </c>
      <c r="H592" s="43" t="str">
        <f>IFERROR(VLOOKUP($J592,'[9]FROM (3)'!$E$4:$F$230,2,FALSE),"")</f>
        <v>DNTH</v>
      </c>
      <c r="I592" s="44" t="str">
        <f t="shared" si="87"/>
        <v>SHAFT STARTER ARMATURE, 1W</v>
      </c>
      <c r="J592" s="44" t="str">
        <f t="shared" si="88"/>
        <v>TG028993-557B</v>
      </c>
      <c r="K592" s="59" t="str">
        <f t="shared" si="85"/>
        <v>PD26010589</v>
      </c>
      <c r="L592" s="46" t="str" cm="1">
        <f t="array" ref="L592">IFERROR(_xlfn.IFS(
    LEN($A592)-LEN(SUBSTITUTE($A592,"|",""))=12, RIGHT(A592, LEN(A592)-FIND("~", SUBSTITUTE(A592,"|","~", LEN(A592)-LEN(SUBSTITUTE(A592,"|",""))))),
    LEN($A592)-LEN(SUBSTITUTE($A592,"|",""))=13, MID($A592, FIND("~", SUBSTITUTE($A592,"|","~", 11))+1, FIND("~", SUBSTITUTE($A592,"|","~", 12))-FIND("~", SUBSTITUTE($A592,"|","~", 11))-1),
    LEN($A592)-LEN(SUBSTITUTE($A592,"|",""))=14, MID($A592, FIND("~", SUBSTITUTE($A592,"|","~", 11))+1, FIND("~", SUBSTITUTE($A592,"|","~", 12))-FIND("~", SUBSTITUTE($A592,"|","~", 11))-1)
), "")</f>
        <v>E586473</v>
      </c>
      <c r="M592" s="47" t="str">
        <f t="shared" si="83"/>
        <v>SB120140/10/25</v>
      </c>
      <c r="N592" s="46" t="str">
        <f t="shared" si="86"/>
        <v/>
      </c>
      <c r="O592" s="60">
        <v>0</v>
      </c>
      <c r="P592" s="60">
        <v>0</v>
      </c>
      <c r="Q592" s="48">
        <v>197</v>
      </c>
      <c r="R592" s="48">
        <v>47</v>
      </c>
      <c r="S592" s="48"/>
      <c r="T592" s="48"/>
      <c r="U592" s="49">
        <v>37</v>
      </c>
      <c r="V592" s="49">
        <v>6</v>
      </c>
      <c r="W592" s="50">
        <f t="shared" si="84"/>
        <v>43</v>
      </c>
      <c r="X592" s="51">
        <f>IF(A592="", "", IF(COUNTIFS(C$3:C591, C592, D$3:D591, D592, G$3:G591, G592) &gt; 0, "", "11:00"-AW592))</f>
        <v>6.2499999999999944E-2</v>
      </c>
      <c r="Y592" s="52" t="str">
        <f t="shared" si="89"/>
        <v>1:40</v>
      </c>
      <c r="Z592" s="53">
        <v>2.0833333333333332E-2</v>
      </c>
      <c r="AA592" s="54" t="s">
        <v>63</v>
      </c>
      <c r="AB592" s="53"/>
      <c r="AC592" s="54"/>
      <c r="AD592" s="53">
        <v>4.1666666666666664E-2</v>
      </c>
      <c r="AE592" s="54" t="s">
        <v>129</v>
      </c>
      <c r="AF592" s="53">
        <v>4.1666666666666664E-2</v>
      </c>
      <c r="AG592" s="54" t="s">
        <v>129</v>
      </c>
      <c r="AH592" s="55">
        <v>4.1666666666666699E-2</v>
      </c>
      <c r="AI592" s="53">
        <v>4.1666666666666664E-2</v>
      </c>
      <c r="AJ592" s="54" t="s">
        <v>129</v>
      </c>
      <c r="AK592" s="53">
        <v>4.1666666666666664E-2</v>
      </c>
      <c r="AL592" s="54" t="s">
        <v>129</v>
      </c>
      <c r="AM592" s="53">
        <v>4.1666666666666664E-2</v>
      </c>
      <c r="AN592" s="54" t="s">
        <v>129</v>
      </c>
      <c r="AO592" s="53">
        <v>4.1666666666666664E-2</v>
      </c>
      <c r="AP592" s="54" t="s">
        <v>129</v>
      </c>
      <c r="AQ592" s="53">
        <v>4.1666666666666664E-2</v>
      </c>
      <c r="AR592" s="54" t="s">
        <v>129</v>
      </c>
      <c r="AS592" s="53">
        <v>4.1666666666666664E-2</v>
      </c>
      <c r="AT592" s="54" t="s">
        <v>129</v>
      </c>
      <c r="AU592" s="53">
        <v>4.1666666666666699E-2</v>
      </c>
      <c r="AV592" s="54" t="s">
        <v>37</v>
      </c>
      <c r="AW592" s="57">
        <f t="shared" si="82"/>
        <v>0.39583333333333337</v>
      </c>
      <c r="AX592" s="58" t="s">
        <v>64</v>
      </c>
    </row>
    <row r="593" spans="1:50" ht="21.75" customHeight="1">
      <c r="A593" s="38" t="s">
        <v>535</v>
      </c>
      <c r="B593" s="39">
        <f t="shared" si="90"/>
        <v>589</v>
      </c>
      <c r="C593" s="40">
        <v>46037</v>
      </c>
      <c r="D593" s="40" t="s">
        <v>32</v>
      </c>
      <c r="E593" s="40" t="s">
        <v>81</v>
      </c>
      <c r="F593" s="41">
        <v>92.5</v>
      </c>
      <c r="G593" s="42" t="s">
        <v>135</v>
      </c>
      <c r="H593" s="43" t="str">
        <f>IFERROR(VLOOKUP($J593,'[9]FROM (3)'!$E$4:$F$230,2,FALSE),"")</f>
        <v>DNTH</v>
      </c>
      <c r="I593" s="44" t="str">
        <f t="shared" si="87"/>
        <v>Pole Core</v>
      </c>
      <c r="J593" s="44" t="str">
        <f t="shared" si="88"/>
        <v>TG028152-5190</v>
      </c>
      <c r="K593" s="59" t="str">
        <f t="shared" si="85"/>
        <v>PD26010655</v>
      </c>
      <c r="L593" s="46" t="str" cm="1">
        <f t="array" ref="L593">IFERROR(_xlfn.IFS(
    LEN($A593)-LEN(SUBSTITUTE($A593,"|",""))=12, RIGHT(A593, LEN(A593)-FIND("~", SUBSTITUTE(A593,"|","~", LEN(A593)-LEN(SUBSTITUTE(A593,"|",""))))),
    LEN($A593)-LEN(SUBSTITUTE($A593,"|",""))=13, MID($A593, FIND("~", SUBSTITUTE($A593,"|","~", 11))+1, FIND("~", SUBSTITUTE($A593,"|","~", 12))-FIND("~", SUBSTITUTE($A593,"|","~", 11))-1),
    LEN($A593)-LEN(SUBSTITUTE($A593,"|",""))=14, MID($A593, FIND("~", SUBSTITUTE($A593,"|","~", 11))+1, FIND("~", SUBSTITUTE($A593,"|","~", 12))-FIND("~", SUBSTITUTE($A593,"|","~", 11))-1)
), "")</f>
        <v>KS005C9016</v>
      </c>
      <c r="M593" s="47" t="str">
        <f t="shared" si="83"/>
        <v>SB010063/4/26</v>
      </c>
      <c r="N593" s="46" t="str">
        <f t="shared" si="86"/>
        <v/>
      </c>
      <c r="O593" s="60">
        <v>0</v>
      </c>
      <c r="P593" s="60">
        <v>0</v>
      </c>
      <c r="Q593" s="48">
        <v>7429</v>
      </c>
      <c r="R593" s="48">
        <v>687</v>
      </c>
      <c r="S593" s="48"/>
      <c r="T593" s="48"/>
      <c r="U593" s="49">
        <v>115</v>
      </c>
      <c r="V593" s="49" t="s">
        <v>35</v>
      </c>
      <c r="W593" s="50">
        <f t="shared" si="84"/>
        <v>115</v>
      </c>
      <c r="X593" s="51">
        <f>IF(A593="", "", IF(COUNTIFS(C$3:C592, C593, D$3:D592, D593, G$3:G592, G593) &gt; 0, "", "11:00"-AW593))</f>
        <v>0.33333333333333326</v>
      </c>
      <c r="Y593" s="52" t="str">
        <f t="shared" si="89"/>
        <v>1:40</v>
      </c>
      <c r="Z593" s="53">
        <v>4.1666666666666664E-2</v>
      </c>
      <c r="AA593" s="54" t="s">
        <v>90</v>
      </c>
      <c r="AB593" s="53">
        <v>4.1666666666666664E-2</v>
      </c>
      <c r="AC593" s="54" t="s">
        <v>90</v>
      </c>
      <c r="AD593" s="53"/>
      <c r="AE593" s="54"/>
      <c r="AF593" s="53"/>
      <c r="AG593" s="54"/>
      <c r="AH593" s="55">
        <v>4.1666666666666699E-2</v>
      </c>
      <c r="AI593" s="53"/>
      <c r="AJ593" s="54"/>
      <c r="AK593" s="53"/>
      <c r="AL593" s="54"/>
      <c r="AM593" s="53"/>
      <c r="AN593" s="54" t="s">
        <v>122</v>
      </c>
      <c r="AO593" s="53"/>
      <c r="AP593" s="54"/>
      <c r="AQ593" s="53"/>
      <c r="AR593" s="54"/>
      <c r="AS593" s="53"/>
      <c r="AT593" s="54"/>
      <c r="AU593" s="53">
        <v>4.1666666666666699E-2</v>
      </c>
      <c r="AV593" s="54" t="s">
        <v>37</v>
      </c>
      <c r="AW593" s="57">
        <f t="shared" si="82"/>
        <v>0.12500000000000003</v>
      </c>
      <c r="AX593" s="58" t="s">
        <v>64</v>
      </c>
    </row>
    <row r="594" spans="1:50" ht="21.75" customHeight="1">
      <c r="A594" s="38" t="s">
        <v>556</v>
      </c>
      <c r="B594" s="39">
        <f t="shared" si="90"/>
        <v>590</v>
      </c>
      <c r="C594" s="40">
        <v>46037</v>
      </c>
      <c r="D594" s="40" t="s">
        <v>32</v>
      </c>
      <c r="E594" s="40" t="s">
        <v>81</v>
      </c>
      <c r="F594" s="41">
        <v>92.5</v>
      </c>
      <c r="G594" s="42" t="s">
        <v>135</v>
      </c>
      <c r="H594" s="43" t="str">
        <f>IFERROR(VLOOKUP($J594,'[9]FROM (3)'!$E$4:$F$230,2,FALSE),"")</f>
        <v>DNTH</v>
      </c>
      <c r="I594" s="44" t="str">
        <f t="shared" si="87"/>
        <v>Pole Core</v>
      </c>
      <c r="J594" s="44" t="str">
        <f t="shared" si="88"/>
        <v>TG028152-5190</v>
      </c>
      <c r="K594" s="59" t="str">
        <f t="shared" si="85"/>
        <v>PD26010654</v>
      </c>
      <c r="L594" s="46" t="str" cm="1">
        <f t="array" ref="L594">IFERROR(_xlfn.IFS(
    LEN($A594)-LEN(SUBSTITUTE($A594,"|",""))=12, RIGHT(A594, LEN(A594)-FIND("~", SUBSTITUTE(A594,"|","~", LEN(A594)-LEN(SUBSTITUTE(A594,"|",""))))),
    LEN($A594)-LEN(SUBSTITUTE($A594,"|",""))=13, MID($A594, FIND("~", SUBSTITUTE($A594,"|","~", 11))+1, FIND("~", SUBSTITUTE($A594,"|","~", 12))-FIND("~", SUBSTITUTE($A594,"|","~", 11))-1),
    LEN($A594)-LEN(SUBSTITUTE($A594,"|",""))=14, MID($A594, FIND("~", SUBSTITUTE($A594,"|","~", 11))+1, FIND("~", SUBSTITUTE($A594,"|","~", 12))-FIND("~", SUBSTITUTE($A594,"|","~", 11))-1)
), "")</f>
        <v>KS005C9016</v>
      </c>
      <c r="M594" s="47" t="str">
        <f t="shared" si="83"/>
        <v>SB010063/2/26</v>
      </c>
      <c r="N594" s="46" t="str">
        <f t="shared" si="86"/>
        <v/>
      </c>
      <c r="O594" s="60">
        <v>113</v>
      </c>
      <c r="P594" s="60">
        <v>1015</v>
      </c>
      <c r="Q594" s="48">
        <v>6371</v>
      </c>
      <c r="R594" s="48">
        <v>589</v>
      </c>
      <c r="S594" s="48"/>
      <c r="T594" s="48"/>
      <c r="U594" s="49"/>
      <c r="V594" s="49"/>
      <c r="W594" s="50">
        <f t="shared" si="84"/>
        <v>0</v>
      </c>
      <c r="X594" s="51" t="str">
        <f>IF(A594="", "", IF(COUNTIFS(C$3:C593, C594, D$3:D593, D594, G$3:G593, G594) &gt; 0, "", "11:00"-AW594))</f>
        <v/>
      </c>
      <c r="Y594" s="52" t="str">
        <f t="shared" si="89"/>
        <v/>
      </c>
      <c r="Z594" s="53"/>
      <c r="AA594" s="54"/>
      <c r="AB594" s="53"/>
      <c r="AC594" s="54"/>
      <c r="AD594" s="53"/>
      <c r="AE594" s="54"/>
      <c r="AF594" s="53"/>
      <c r="AG594" s="54"/>
      <c r="AH594" s="55">
        <v>4.1666666666666699E-2</v>
      </c>
      <c r="AI594" s="53"/>
      <c r="AJ594" s="54"/>
      <c r="AK594" s="53"/>
      <c r="AL594" s="54"/>
      <c r="AM594" s="53"/>
      <c r="AN594" s="54"/>
      <c r="AO594" s="53"/>
      <c r="AP594" s="54"/>
      <c r="AQ594" s="53"/>
      <c r="AR594" s="54"/>
      <c r="AS594" s="53"/>
      <c r="AT594" s="54"/>
      <c r="AU594" s="53">
        <v>4.1666666666666699E-2</v>
      </c>
      <c r="AV594" s="54" t="s">
        <v>37</v>
      </c>
      <c r="AW594" s="57">
        <f t="shared" si="82"/>
        <v>4.1666666666666699E-2</v>
      </c>
      <c r="AX594" s="58" t="s">
        <v>64</v>
      </c>
    </row>
    <row r="595" spans="1:50" ht="21.75" customHeight="1">
      <c r="A595" s="38" t="s">
        <v>533</v>
      </c>
      <c r="B595" s="39">
        <f t="shared" si="90"/>
        <v>591</v>
      </c>
      <c r="C595" s="40">
        <v>46037</v>
      </c>
      <c r="D595" s="40" t="s">
        <v>32</v>
      </c>
      <c r="E595" s="40" t="s">
        <v>81</v>
      </c>
      <c r="F595" s="41">
        <v>648.29999999999995</v>
      </c>
      <c r="G595" s="42" t="s">
        <v>54</v>
      </c>
      <c r="H595" s="43" t="str">
        <f>IFERROR(VLOOKUP($J595,'[9]FROM (3)'!$E$4:$F$230,2,FALSE),"")</f>
        <v>JTCS</v>
      </c>
      <c r="I595" s="44" t="str">
        <f t="shared" si="87"/>
        <v>RACK, PS</v>
      </c>
      <c r="J595" s="44" t="str">
        <f t="shared" si="88"/>
        <v>JGD10-000520-B</v>
      </c>
      <c r="K595" s="59" t="str">
        <f t="shared" si="85"/>
        <v>PD26010616</v>
      </c>
      <c r="L595" s="46" t="str" cm="1">
        <f t="array" ref="L595">IFERROR(_xlfn.IFS(
    LEN($A595)-LEN(SUBSTITUTE($A595,"|",""))=12, RIGHT(A595, LEN(A595)-FIND("~", SUBSTITUTE(A595,"|","~", LEN(A595)-LEN(SUBSTITUTE(A595,"|",""))))),
    LEN($A595)-LEN(SUBSTITUTE($A595,"|",""))=13, MID($A595, FIND("~", SUBSTITUTE($A595,"|","~", 11))+1, FIND("~", SUBSTITUTE($A595,"|","~", 12))-FIND("~", SUBSTITUTE($A595,"|","~", 11))-1),
    LEN($A595)-LEN(SUBSTITUTE($A595,"|",""))=14, MID($A595, FIND("~", SUBSTITUTE($A595,"|","~", 11))+1, FIND("~", SUBSTITUTE($A595,"|","~", 12))-FIND("~", SUBSTITUTE($A595,"|","~", 11))-1)
), "")</f>
        <v>E585970</v>
      </c>
      <c r="M595" s="47" t="str">
        <f t="shared" si="83"/>
        <v>SB010070/3/26</v>
      </c>
      <c r="N595" s="46" t="str">
        <f t="shared" si="86"/>
        <v/>
      </c>
      <c r="O595" s="60"/>
      <c r="P595" s="60"/>
      <c r="Q595" s="48">
        <v>97</v>
      </c>
      <c r="R595" s="48">
        <v>303</v>
      </c>
      <c r="S595" s="48"/>
      <c r="T595" s="48"/>
      <c r="U595" s="49">
        <v>123</v>
      </c>
      <c r="V595" s="49">
        <v>9</v>
      </c>
      <c r="W595" s="50">
        <f t="shared" si="84"/>
        <v>132</v>
      </c>
      <c r="X595" s="51">
        <f>IF(A595="", "", IF(COUNTIFS(C$3:C594, C595, D$3:D594, D595, G$3:G594, G595) &gt; 0, "", "11:00"-AW595))</f>
        <v>0.37499999999999994</v>
      </c>
      <c r="Y595" s="52" t="str">
        <f t="shared" si="89"/>
        <v>1:40</v>
      </c>
      <c r="Z595" s="53"/>
      <c r="AA595" s="54" t="s">
        <v>122</v>
      </c>
      <c r="AB595" s="53"/>
      <c r="AC595" s="54"/>
      <c r="AD595" s="53"/>
      <c r="AE595" s="54"/>
      <c r="AF595" s="53"/>
      <c r="AG595" s="54"/>
      <c r="AH595" s="55">
        <v>4.1666666666666699E-2</v>
      </c>
      <c r="AI595" s="53"/>
      <c r="AJ595" s="54"/>
      <c r="AK595" s="53"/>
      <c r="AL595" s="54" t="s">
        <v>122</v>
      </c>
      <c r="AM595" s="53"/>
      <c r="AN595" s="54"/>
      <c r="AO595" s="53">
        <v>6.9444444444444441E-3</v>
      </c>
      <c r="AP595" s="54" t="s">
        <v>67</v>
      </c>
      <c r="AQ595" s="53">
        <v>3.4722222222222224E-2</v>
      </c>
      <c r="AR595" s="54" t="s">
        <v>67</v>
      </c>
      <c r="AS595" s="53"/>
      <c r="AT595" s="54"/>
      <c r="AU595" s="53">
        <v>4.1666666666666699E-2</v>
      </c>
      <c r="AV595" s="54" t="s">
        <v>37</v>
      </c>
      <c r="AW595" s="57">
        <f t="shared" si="82"/>
        <v>8.333333333333337E-2</v>
      </c>
      <c r="AX595" s="58" t="s">
        <v>56</v>
      </c>
    </row>
    <row r="596" spans="1:50" ht="21.75" customHeight="1">
      <c r="A596" s="38" t="s">
        <v>557</v>
      </c>
      <c r="B596" s="39">
        <f t="shared" si="90"/>
        <v>592</v>
      </c>
      <c r="C596" s="40">
        <v>46037</v>
      </c>
      <c r="D596" s="40" t="s">
        <v>32</v>
      </c>
      <c r="E596" s="40" t="s">
        <v>81</v>
      </c>
      <c r="F596" s="41">
        <v>648.29999999999995</v>
      </c>
      <c r="G596" s="42" t="s">
        <v>54</v>
      </c>
      <c r="H596" s="43" t="str">
        <f>IFERROR(VLOOKUP($J596,'[9]FROM (3)'!$E$4:$F$230,2,FALSE),"")</f>
        <v>JTCS</v>
      </c>
      <c r="I596" s="44" t="str">
        <f t="shared" si="87"/>
        <v>RACK, PS</v>
      </c>
      <c r="J596" s="44" t="str">
        <f t="shared" si="88"/>
        <v>JGD10-000520-B</v>
      </c>
      <c r="K596" s="59" t="str">
        <f t="shared" si="85"/>
        <v>PD26010617</v>
      </c>
      <c r="L596" s="46" t="str" cm="1">
        <f t="array" ref="L596">IFERROR(_xlfn.IFS(
    LEN($A596)-LEN(SUBSTITUTE($A596,"|",""))=12, RIGHT(A596, LEN(A596)-FIND("~", SUBSTITUTE(A596,"|","~", LEN(A596)-LEN(SUBSTITUTE(A596,"|",""))))),
    LEN($A596)-LEN(SUBSTITUTE($A596,"|",""))=13, MID($A596, FIND("~", SUBSTITUTE($A596,"|","~", 11))+1, FIND("~", SUBSTITUTE($A596,"|","~", 12))-FIND("~", SUBSTITUTE($A596,"|","~", 11))-1),
    LEN($A596)-LEN(SUBSTITUTE($A596,"|",""))=14, MID($A596, FIND("~", SUBSTITUTE($A596,"|","~", 11))+1, FIND("~", SUBSTITUTE($A596,"|","~", 12))-FIND("~", SUBSTITUTE($A596,"|","~", 11))-1)
), "")</f>
        <v>E585970</v>
      </c>
      <c r="M596" s="47" t="str">
        <f t="shared" si="83"/>
        <v>SB010070/4/26</v>
      </c>
      <c r="N596" s="46" t="str">
        <f t="shared" si="86"/>
        <v/>
      </c>
      <c r="O596" s="60">
        <v>50</v>
      </c>
      <c r="P596" s="60">
        <v>832</v>
      </c>
      <c r="Q596" s="48">
        <v>250</v>
      </c>
      <c r="R596" s="48">
        <v>780</v>
      </c>
      <c r="S596" s="48"/>
      <c r="T596" s="48"/>
      <c r="U596" s="49"/>
      <c r="V596" s="49"/>
      <c r="W596" s="50">
        <f t="shared" si="84"/>
        <v>0</v>
      </c>
      <c r="X596" s="51" t="str">
        <f>IF(A596="", "", IF(COUNTIFS(C$3:C595, C596, D$3:D595, D596, G$3:G595, G596) &gt; 0, "", "11:00"-AW596))</f>
        <v/>
      </c>
      <c r="Y596" s="52" t="str">
        <f t="shared" si="89"/>
        <v/>
      </c>
      <c r="Z596" s="53"/>
      <c r="AA596" s="54"/>
      <c r="AB596" s="53"/>
      <c r="AC596" s="54"/>
      <c r="AD596" s="53"/>
      <c r="AE596" s="54"/>
      <c r="AF596" s="53"/>
      <c r="AG596" s="54"/>
      <c r="AH596" s="55">
        <v>4.1666666666666699E-2</v>
      </c>
      <c r="AI596" s="53"/>
      <c r="AJ596" s="54"/>
      <c r="AK596" s="53"/>
      <c r="AL596" s="54"/>
      <c r="AM596" s="53"/>
      <c r="AN596" s="54"/>
      <c r="AO596" s="53"/>
      <c r="AP596" s="54"/>
      <c r="AQ596" s="53"/>
      <c r="AR596" s="54"/>
      <c r="AS596" s="53"/>
      <c r="AT596" s="54"/>
      <c r="AU596" s="53">
        <v>4.1666666666666699E-2</v>
      </c>
      <c r="AV596" s="54" t="s">
        <v>37</v>
      </c>
      <c r="AW596" s="57">
        <f t="shared" si="82"/>
        <v>4.1666666666666699E-2</v>
      </c>
      <c r="AX596" s="58" t="s">
        <v>56</v>
      </c>
    </row>
    <row r="597" spans="1:50" ht="21.75" customHeight="1">
      <c r="A597" s="38" t="s">
        <v>558</v>
      </c>
      <c r="B597" s="39">
        <f t="shared" si="90"/>
        <v>593</v>
      </c>
      <c r="C597" s="40">
        <v>46037</v>
      </c>
      <c r="D597" s="40" t="s">
        <v>32</v>
      </c>
      <c r="E597" s="40" t="s">
        <v>81</v>
      </c>
      <c r="F597" s="41">
        <v>648.29999999999995</v>
      </c>
      <c r="G597" s="42" t="s">
        <v>54</v>
      </c>
      <c r="H597" s="43" t="str">
        <f>IFERROR(VLOOKUP($J597,'[9]FROM (3)'!$E$4:$F$230,2,FALSE),"")</f>
        <v>JTCS</v>
      </c>
      <c r="I597" s="44" t="str">
        <f t="shared" si="87"/>
        <v>RACK, PS</v>
      </c>
      <c r="J597" s="44" t="str">
        <f t="shared" si="88"/>
        <v>JGD10-000520-B</v>
      </c>
      <c r="K597" s="59" t="str">
        <f t="shared" si="85"/>
        <v>PD26010617</v>
      </c>
      <c r="L597" s="46" t="str" cm="1">
        <f t="array" ref="L597">IFERROR(_xlfn.IFS(
    LEN($A597)-LEN(SUBSTITUTE($A597,"|",""))=12, RIGHT(A597, LEN(A597)-FIND("~", SUBSTITUTE(A597,"|","~", LEN(A597)-LEN(SUBSTITUTE(A597,"|",""))))),
    LEN($A597)-LEN(SUBSTITUTE($A597,"|",""))=13, MID($A597, FIND("~", SUBSTITUTE($A597,"|","~", 11))+1, FIND("~", SUBSTITUTE($A597,"|","~", 12))-FIND("~", SUBSTITUTE($A597,"|","~", 11))-1),
    LEN($A597)-LEN(SUBSTITUTE($A597,"|",""))=14, MID($A597, FIND("~", SUBSTITUTE($A597,"|","~", 11))+1, FIND("~", SUBSTITUTE($A597,"|","~", 12))-FIND("~", SUBSTITUTE($A597,"|","~", 11))-1)
), "")</f>
        <v>E585970</v>
      </c>
      <c r="M597" s="47" t="str">
        <f t="shared" si="83"/>
        <v>SB010070/5/26</v>
      </c>
      <c r="N597" s="46" t="str">
        <f t="shared" si="86"/>
        <v/>
      </c>
      <c r="O597" s="60">
        <v>50</v>
      </c>
      <c r="P597" s="60">
        <v>832</v>
      </c>
      <c r="Q597" s="48">
        <v>250</v>
      </c>
      <c r="R597" s="48">
        <v>780</v>
      </c>
      <c r="S597" s="48"/>
      <c r="T597" s="48"/>
      <c r="U597" s="49">
        <v>82</v>
      </c>
      <c r="V597" s="49">
        <v>6</v>
      </c>
      <c r="W597" s="50">
        <f t="shared" si="84"/>
        <v>88</v>
      </c>
      <c r="X597" s="51" t="str">
        <f>IF(A597="", "", IF(COUNTIFS(C$3:C596, C597, D$3:D596, D597, G$3:G596, G597) &gt; 0, "", "11:00"-AW597))</f>
        <v/>
      </c>
      <c r="Y597" s="52" t="str">
        <f t="shared" si="89"/>
        <v/>
      </c>
      <c r="Z597" s="53"/>
      <c r="AA597" s="54"/>
      <c r="AB597" s="53"/>
      <c r="AC597" s="54"/>
      <c r="AD597" s="53"/>
      <c r="AE597" s="54"/>
      <c r="AF597" s="53"/>
      <c r="AG597" s="54"/>
      <c r="AH597" s="55">
        <v>4.1666666666666699E-2</v>
      </c>
      <c r="AI597" s="53"/>
      <c r="AJ597" s="54"/>
      <c r="AK597" s="53"/>
      <c r="AL597" s="54"/>
      <c r="AM597" s="53"/>
      <c r="AN597" s="54"/>
      <c r="AO597" s="53"/>
      <c r="AP597" s="54"/>
      <c r="AQ597" s="53"/>
      <c r="AR597" s="54"/>
      <c r="AS597" s="53"/>
      <c r="AT597" s="54"/>
      <c r="AU597" s="53">
        <v>4.1666666666666699E-2</v>
      </c>
      <c r="AV597" s="54" t="s">
        <v>37</v>
      </c>
      <c r="AW597" s="57">
        <f t="shared" si="82"/>
        <v>4.1666666666666699E-2</v>
      </c>
      <c r="AX597" s="58" t="s">
        <v>56</v>
      </c>
    </row>
    <row r="598" spans="1:50" ht="21.75" customHeight="1">
      <c r="A598" s="38" t="s">
        <v>559</v>
      </c>
      <c r="B598" s="39">
        <f t="shared" si="90"/>
        <v>594</v>
      </c>
      <c r="C598" s="40">
        <v>46037</v>
      </c>
      <c r="D598" s="40" t="s">
        <v>32</v>
      </c>
      <c r="E598" s="40" t="s">
        <v>81</v>
      </c>
      <c r="F598" s="41">
        <v>648.29999999999995</v>
      </c>
      <c r="G598" s="42" t="s">
        <v>54</v>
      </c>
      <c r="H598" s="43" t="str">
        <f>IFERROR(VLOOKUP($J598,'[9]FROM (3)'!$E$4:$F$230,2,FALSE),"")</f>
        <v>JTCS</v>
      </c>
      <c r="I598" s="44" t="str">
        <f t="shared" si="87"/>
        <v>RACK, PS</v>
      </c>
      <c r="J598" s="44" t="str">
        <f t="shared" si="88"/>
        <v>JGD10-000520-B</v>
      </c>
      <c r="K598" s="59" t="str">
        <f t="shared" si="85"/>
        <v>PD26010635</v>
      </c>
      <c r="L598" s="46" t="str" cm="1">
        <f t="array" ref="L598">IFERROR(_xlfn.IFS(
    LEN($A598)-LEN(SUBSTITUTE($A598,"|",""))=12, RIGHT(A598, LEN(A598)-FIND("~", SUBSTITUTE(A598,"|","~", LEN(A598)-LEN(SUBSTITUTE(A598,"|",""))))),
    LEN($A598)-LEN(SUBSTITUTE($A598,"|",""))=13, MID($A598, FIND("~", SUBSTITUTE($A598,"|","~", 11))+1, FIND("~", SUBSTITUTE($A598,"|","~", 12))-FIND("~", SUBSTITUTE($A598,"|","~", 11))-1),
    LEN($A598)-LEN(SUBSTITUTE($A598,"|",""))=14, MID($A598, FIND("~", SUBSTITUTE($A598,"|","~", 11))+1, FIND("~", SUBSTITUTE($A598,"|","~", 12))-FIND("~", SUBSTITUTE($A598,"|","~", 11))-1)
), "")</f>
        <v>E585970</v>
      </c>
      <c r="M598" s="47" t="str">
        <f t="shared" si="83"/>
        <v>SB010070/6/26</v>
      </c>
      <c r="N598" s="46" t="str">
        <f t="shared" si="86"/>
        <v/>
      </c>
      <c r="O598" s="60">
        <v>47</v>
      </c>
      <c r="P598" s="60">
        <v>782</v>
      </c>
      <c r="Q598" s="48">
        <v>235</v>
      </c>
      <c r="R598" s="48">
        <v>733</v>
      </c>
      <c r="S598" s="48"/>
      <c r="T598" s="48"/>
      <c r="U598" s="49"/>
      <c r="V598" s="49"/>
      <c r="W598" s="50">
        <f t="shared" si="84"/>
        <v>0</v>
      </c>
      <c r="X598" s="51" t="str">
        <f>IF(A598="", "", IF(COUNTIFS(C$3:C597, C598, D$3:D597, D598, G$3:G597, G598) &gt; 0, "", "11:00"-AW598))</f>
        <v/>
      </c>
      <c r="Y598" s="52" t="str">
        <f t="shared" si="89"/>
        <v/>
      </c>
      <c r="Z598" s="53"/>
      <c r="AA598" s="54"/>
      <c r="AB598" s="53"/>
      <c r="AC598" s="54"/>
      <c r="AD598" s="53"/>
      <c r="AE598" s="54"/>
      <c r="AF598" s="53"/>
      <c r="AG598" s="54"/>
      <c r="AH598" s="55">
        <v>4.1666666666666699E-2</v>
      </c>
      <c r="AI598" s="53"/>
      <c r="AJ598" s="54"/>
      <c r="AK598" s="53"/>
      <c r="AL598" s="54"/>
      <c r="AM598" s="53"/>
      <c r="AN598" s="54"/>
      <c r="AO598" s="53"/>
      <c r="AP598" s="54"/>
      <c r="AQ598" s="53"/>
      <c r="AR598" s="54"/>
      <c r="AS598" s="53"/>
      <c r="AT598" s="54"/>
      <c r="AU598" s="53">
        <v>4.1666666666666699E-2</v>
      </c>
      <c r="AV598" s="54" t="s">
        <v>37</v>
      </c>
      <c r="AW598" s="57">
        <f t="shared" si="82"/>
        <v>4.1666666666666699E-2</v>
      </c>
      <c r="AX598" s="58" t="s">
        <v>56</v>
      </c>
    </row>
    <row r="599" spans="1:50" ht="21.75" customHeight="1">
      <c r="A599" s="38" t="s">
        <v>560</v>
      </c>
      <c r="B599" s="39">
        <f t="shared" si="90"/>
        <v>595</v>
      </c>
      <c r="C599" s="40">
        <v>46037</v>
      </c>
      <c r="D599" s="40" t="s">
        <v>32</v>
      </c>
      <c r="E599" s="40" t="s">
        <v>81</v>
      </c>
      <c r="F599" s="41">
        <v>648.29999999999995</v>
      </c>
      <c r="G599" s="42" t="s">
        <v>54</v>
      </c>
      <c r="H599" s="43" t="str">
        <f>IFERROR(VLOOKUP($J599,'[9]FROM (3)'!$E$4:$F$230,2,FALSE),"")</f>
        <v>JTCS</v>
      </c>
      <c r="I599" s="44" t="str">
        <f t="shared" si="87"/>
        <v>RACK, PS</v>
      </c>
      <c r="J599" s="44" t="str">
        <f t="shared" si="88"/>
        <v>JGD10-000520-B</v>
      </c>
      <c r="K599" s="59" t="str">
        <f t="shared" si="85"/>
        <v>PD26010635</v>
      </c>
      <c r="L599" s="46" t="str" cm="1">
        <f t="array" ref="L599">IFERROR(_xlfn.IFS(
    LEN($A599)-LEN(SUBSTITUTE($A599,"|",""))=12, RIGHT(A599, LEN(A599)-FIND("~", SUBSTITUTE(A599,"|","~", LEN(A599)-LEN(SUBSTITUTE(A599,"|",""))))),
    LEN($A599)-LEN(SUBSTITUTE($A599,"|",""))=13, MID($A599, FIND("~", SUBSTITUTE($A599,"|","~", 11))+1, FIND("~", SUBSTITUTE($A599,"|","~", 12))-FIND("~", SUBSTITUTE($A599,"|","~", 11))-1),
    LEN($A599)-LEN(SUBSTITUTE($A599,"|",""))=14, MID($A599, FIND("~", SUBSTITUTE($A599,"|","~", 11))+1, FIND("~", SUBSTITUTE($A599,"|","~", 12))-FIND("~", SUBSTITUTE($A599,"|","~", 11))-1)
), "")</f>
        <v>E585970</v>
      </c>
      <c r="M599" s="47" t="str">
        <f t="shared" si="83"/>
        <v>SB010070/7/26</v>
      </c>
      <c r="N599" s="46" t="str">
        <f t="shared" si="86"/>
        <v/>
      </c>
      <c r="O599" s="60">
        <v>3</v>
      </c>
      <c r="P599" s="60">
        <v>50</v>
      </c>
      <c r="Q599" s="48">
        <v>11</v>
      </c>
      <c r="R599" s="48">
        <v>34</v>
      </c>
      <c r="S599" s="48">
        <v>4</v>
      </c>
      <c r="T599" s="48" t="s">
        <v>167</v>
      </c>
      <c r="U599" s="49">
        <v>40</v>
      </c>
      <c r="V599" s="49">
        <v>3</v>
      </c>
      <c r="W599" s="50">
        <f t="shared" si="84"/>
        <v>43</v>
      </c>
      <c r="X599" s="51" t="str">
        <f>IF(A599="", "", IF(COUNTIFS(C$3:C598, C599, D$3:D598, D599, G$3:G598, G599) &gt; 0, "", "11:00"-AW599))</f>
        <v/>
      </c>
      <c r="Y599" s="52" t="str">
        <f t="shared" si="89"/>
        <v/>
      </c>
      <c r="Z599" s="53"/>
      <c r="AA599" s="54"/>
      <c r="AB599" s="53"/>
      <c r="AC599" s="54"/>
      <c r="AD599" s="53"/>
      <c r="AE599" s="54"/>
      <c r="AF599" s="53"/>
      <c r="AG599" s="54"/>
      <c r="AH599" s="55">
        <v>4.1666666666666699E-2</v>
      </c>
      <c r="AI599" s="53"/>
      <c r="AJ599" s="54"/>
      <c r="AK599" s="53"/>
      <c r="AL599" s="54"/>
      <c r="AM599" s="53"/>
      <c r="AN599" s="54"/>
      <c r="AO599" s="53"/>
      <c r="AP599" s="54"/>
      <c r="AQ599" s="53"/>
      <c r="AR599" s="54"/>
      <c r="AS599" s="53"/>
      <c r="AT599" s="54"/>
      <c r="AU599" s="53">
        <v>4.1666666666666699E-2</v>
      </c>
      <c r="AV599" s="54" t="s">
        <v>37</v>
      </c>
      <c r="AW599" s="57">
        <f t="shared" si="82"/>
        <v>4.1666666666666699E-2</v>
      </c>
      <c r="AX599" s="58" t="s">
        <v>56</v>
      </c>
    </row>
    <row r="600" spans="1:50" ht="21.75" customHeight="1">
      <c r="A600" s="38" t="s">
        <v>561</v>
      </c>
      <c r="B600" s="39">
        <f t="shared" si="90"/>
        <v>596</v>
      </c>
      <c r="C600" s="40">
        <v>46037</v>
      </c>
      <c r="D600" s="40" t="s">
        <v>32</v>
      </c>
      <c r="E600" s="40" t="s">
        <v>81</v>
      </c>
      <c r="F600" s="41">
        <v>747.3</v>
      </c>
      <c r="G600" s="42" t="s">
        <v>54</v>
      </c>
      <c r="H600" s="43" t="str">
        <f>IFERROR(VLOOKUP($J600,'[9]FROM (3)'!$E$4:$F$230,2,FALSE),"")</f>
        <v>JTCS</v>
      </c>
      <c r="I600" s="44" t="str">
        <f t="shared" si="87"/>
        <v>RACK BAR</v>
      </c>
      <c r="J600" s="44" t="str">
        <f t="shared" si="88"/>
        <v>JGD10S000800-B</v>
      </c>
      <c r="K600" s="59" t="str">
        <f t="shared" si="85"/>
        <v>PD26010416</v>
      </c>
      <c r="L600" s="46" t="str" cm="1">
        <f t="array" ref="L600">IFERROR(_xlfn.IFS(
    LEN($A600)-LEN(SUBSTITUTE($A600,"|",""))=12, RIGHT(A600, LEN(A600)-FIND("~", SUBSTITUTE(A600,"|","~", LEN(A600)-LEN(SUBSTITUTE(A600,"|",""))))),
    LEN($A600)-LEN(SUBSTITUTE($A600,"|",""))=13, MID($A600, FIND("~", SUBSTITUTE($A600,"|","~", 11))+1, FIND("~", SUBSTITUTE($A600,"|","~", 12))-FIND("~", SUBSTITUTE($A600,"|","~", 11))-1),
    LEN($A600)-LEN(SUBSTITUTE($A600,"|",""))=14, MID($A600, FIND("~", SUBSTITUTE($A600,"|","~", 11))+1, FIND("~", SUBSTITUTE($A600,"|","~", 12))-FIND("~", SUBSTITUTE($A600,"|","~", 11))-1)
), "")</f>
        <v>E586236</v>
      </c>
      <c r="M600" s="47" t="str">
        <f t="shared" si="83"/>
        <v>SB010039/1/26</v>
      </c>
      <c r="N600" s="46" t="str">
        <f t="shared" si="86"/>
        <v/>
      </c>
      <c r="O600" s="60">
        <v>48</v>
      </c>
      <c r="P600" s="60">
        <v>971</v>
      </c>
      <c r="Q600" s="48">
        <v>93</v>
      </c>
      <c r="R600" s="48">
        <v>445</v>
      </c>
      <c r="S600" s="48"/>
      <c r="T600" s="48"/>
      <c r="U600" s="49"/>
      <c r="V600" s="49"/>
      <c r="W600" s="50">
        <f t="shared" si="84"/>
        <v>0</v>
      </c>
      <c r="X600" s="51" t="str">
        <f>IF(A600="", "", IF(COUNTIFS(C$3:C599, C600, D$3:D599, D600, G$3:G599, G600) &gt; 0, "", "11:00"-AW600))</f>
        <v/>
      </c>
      <c r="Y600" s="52" t="str">
        <f t="shared" si="89"/>
        <v/>
      </c>
      <c r="Z600" s="53"/>
      <c r="AA600" s="54"/>
      <c r="AB600" s="53"/>
      <c r="AC600" s="54"/>
      <c r="AD600" s="53"/>
      <c r="AE600" s="54"/>
      <c r="AF600" s="53"/>
      <c r="AG600" s="54"/>
      <c r="AH600" s="55">
        <v>4.1666666666666699E-2</v>
      </c>
      <c r="AI600" s="53"/>
      <c r="AJ600" s="54"/>
      <c r="AK600" s="53"/>
      <c r="AL600" s="54"/>
      <c r="AM600" s="53"/>
      <c r="AN600" s="54"/>
      <c r="AO600" s="53"/>
      <c r="AP600" s="54"/>
      <c r="AQ600" s="53"/>
      <c r="AR600" s="54"/>
      <c r="AS600" s="53"/>
      <c r="AT600" s="54"/>
      <c r="AU600" s="53">
        <v>4.1666666666666699E-2</v>
      </c>
      <c r="AV600" s="54" t="s">
        <v>37</v>
      </c>
      <c r="AW600" s="57">
        <f t="shared" si="82"/>
        <v>4.1666666666666699E-2</v>
      </c>
      <c r="AX600" s="58" t="s">
        <v>56</v>
      </c>
    </row>
    <row r="601" spans="1:50" ht="21.75" customHeight="1">
      <c r="A601" s="38" t="s">
        <v>562</v>
      </c>
      <c r="B601" s="39">
        <f t="shared" si="90"/>
        <v>597</v>
      </c>
      <c r="C601" s="40">
        <v>46037</v>
      </c>
      <c r="D601" s="40" t="s">
        <v>32</v>
      </c>
      <c r="E601" s="40" t="s">
        <v>81</v>
      </c>
      <c r="F601" s="41">
        <v>655.4</v>
      </c>
      <c r="G601" s="42" t="s">
        <v>66</v>
      </c>
      <c r="H601" s="43" t="str">
        <f>IFERROR(VLOOKUP($J601,'[9]FROM (3)'!$E$4:$F$230,2,FALSE),"")</f>
        <v>JAMY</v>
      </c>
      <c r="I601" s="44" t="str">
        <f t="shared" si="87"/>
        <v>RACK BAR</v>
      </c>
      <c r="J601" s="44" t="str">
        <f t="shared" si="88"/>
        <v>JGC10-M09008-51-0</v>
      </c>
      <c r="K601" s="59" t="str">
        <f t="shared" si="85"/>
        <v>PD26010566</v>
      </c>
      <c r="L601" s="46" t="str" cm="1">
        <f t="array" ref="L601">IFERROR(_xlfn.IFS(
    LEN($A601)-LEN(SUBSTITUTE($A601,"|",""))=12, RIGHT(A601, LEN(A601)-FIND("~", SUBSTITUTE(A601,"|","~", LEN(A601)-LEN(SUBSTITUTE(A601,"|",""))))),
    LEN($A601)-LEN(SUBSTITUTE($A601,"|",""))=13, MID($A601, FIND("~", SUBSTITUTE($A601,"|","~", 11))+1, FIND("~", SUBSTITUTE($A601,"|","~", 12))-FIND("~", SUBSTITUTE($A601,"|","~", 11))-1),
    LEN($A601)-LEN(SUBSTITUTE($A601,"|",""))=14, MID($A601, FIND("~", SUBSTITUTE($A601,"|","~", 11))+1, FIND("~", SUBSTITUTE($A601,"|","~", 12))-FIND("~", SUBSTITUTE($A601,"|","~", 11))-1)
), "")</f>
        <v>E586966</v>
      </c>
      <c r="M601" s="47" t="str">
        <f t="shared" si="83"/>
        <v>SB010053/1/26</v>
      </c>
      <c r="N601" s="46" t="str">
        <f t="shared" si="86"/>
        <v/>
      </c>
      <c r="O601" s="60">
        <v>60</v>
      </c>
      <c r="P601" s="60">
        <v>870</v>
      </c>
      <c r="Q601" s="48">
        <v>300</v>
      </c>
      <c r="R601" s="48">
        <v>819</v>
      </c>
      <c r="S601" s="48"/>
      <c r="T601" s="48"/>
      <c r="U601" s="49"/>
      <c r="V601" s="49"/>
      <c r="W601" s="50">
        <f t="shared" si="84"/>
        <v>0</v>
      </c>
      <c r="X601" s="51">
        <f>IF(A601="", "", IF(COUNTIFS(C$3:C600, C601, D$3:D600, D601, G$3:G600, G601) &gt; 0, "", "11:00"-AW601))</f>
        <v>0.41666666666666663</v>
      </c>
      <c r="Y601" s="52" t="str">
        <f t="shared" si="89"/>
        <v>1:40</v>
      </c>
      <c r="Z601" s="53"/>
      <c r="AA601" s="54"/>
      <c r="AB601" s="53"/>
      <c r="AC601" s="54"/>
      <c r="AD601" s="53"/>
      <c r="AE601" s="54"/>
      <c r="AF601" s="53"/>
      <c r="AG601" s="54"/>
      <c r="AH601" s="55">
        <v>4.1666666666666699E-2</v>
      </c>
      <c r="AI601" s="53"/>
      <c r="AJ601" s="54"/>
      <c r="AK601" s="53"/>
      <c r="AL601" s="54"/>
      <c r="AM601" s="53"/>
      <c r="AN601" s="54"/>
      <c r="AO601" s="53"/>
      <c r="AP601" s="54"/>
      <c r="AQ601" s="53"/>
      <c r="AR601" s="54"/>
      <c r="AS601" s="53"/>
      <c r="AT601" s="54"/>
      <c r="AU601" s="53">
        <v>4.1666666666666699E-2</v>
      </c>
      <c r="AV601" s="54" t="s">
        <v>37</v>
      </c>
      <c r="AW601" s="57">
        <f t="shared" si="82"/>
        <v>4.1666666666666699E-2</v>
      </c>
      <c r="AX601" s="58" t="s">
        <v>68</v>
      </c>
    </row>
    <row r="602" spans="1:50" ht="21.75" customHeight="1">
      <c r="A602" s="38" t="s">
        <v>563</v>
      </c>
      <c r="B602" s="39">
        <f t="shared" si="90"/>
        <v>598</v>
      </c>
      <c r="C602" s="40">
        <v>46037</v>
      </c>
      <c r="D602" s="40" t="s">
        <v>32</v>
      </c>
      <c r="E602" s="40" t="s">
        <v>81</v>
      </c>
      <c r="F602" s="41">
        <v>655.4</v>
      </c>
      <c r="G602" s="42" t="s">
        <v>66</v>
      </c>
      <c r="H602" s="43" t="str">
        <f>IFERROR(VLOOKUP($J602,'[9]FROM (3)'!$E$4:$F$230,2,FALSE),"")</f>
        <v>JAMY</v>
      </c>
      <c r="I602" s="44" t="str">
        <f t="shared" si="87"/>
        <v>RACK BAR</v>
      </c>
      <c r="J602" s="44" t="str">
        <f t="shared" si="88"/>
        <v>JGC10-M09008-51-0</v>
      </c>
      <c r="K602" s="59" t="str">
        <f t="shared" si="85"/>
        <v>PD26010566</v>
      </c>
      <c r="L602" s="46" t="str" cm="1">
        <f t="array" ref="L602">IFERROR(_xlfn.IFS(
    LEN($A602)-LEN(SUBSTITUTE($A602,"|",""))=12, RIGHT(A602, LEN(A602)-FIND("~", SUBSTITUTE(A602,"|","~", LEN(A602)-LEN(SUBSTITUTE(A602,"|",""))))),
    LEN($A602)-LEN(SUBSTITUTE($A602,"|",""))=13, MID($A602, FIND("~", SUBSTITUTE($A602,"|","~", 11))+1, FIND("~", SUBSTITUTE($A602,"|","~", 12))-FIND("~", SUBSTITUTE($A602,"|","~", 11))-1),
    LEN($A602)-LEN(SUBSTITUTE($A602,"|",""))=14, MID($A602, FIND("~", SUBSTITUTE($A602,"|","~", 11))+1, FIND("~", SUBSTITUTE($A602,"|","~", 12))-FIND("~", SUBSTITUTE($A602,"|","~", 11))-1)
), "")</f>
        <v>E586966</v>
      </c>
      <c r="M602" s="47" t="str">
        <f t="shared" si="83"/>
        <v>SB010053/2/26</v>
      </c>
      <c r="N602" s="46" t="str">
        <f t="shared" si="86"/>
        <v/>
      </c>
      <c r="O602" s="60">
        <v>60</v>
      </c>
      <c r="P602" s="60">
        <v>870</v>
      </c>
      <c r="Q602" s="48">
        <v>300</v>
      </c>
      <c r="R602" s="48">
        <v>819</v>
      </c>
      <c r="S602" s="48"/>
      <c r="T602" s="48"/>
      <c r="U602" s="49"/>
      <c r="V602" s="49"/>
      <c r="W602" s="50">
        <f t="shared" si="84"/>
        <v>0</v>
      </c>
      <c r="X602" s="51" t="str">
        <f>IF(A602="", "", IF(COUNTIFS(C$3:C601, C602, D$3:D601, D602, G$3:G601, G602) &gt; 0, "", "11:00"-AW602))</f>
        <v/>
      </c>
      <c r="Y602" s="52" t="str">
        <f t="shared" si="89"/>
        <v/>
      </c>
      <c r="Z602" s="53"/>
      <c r="AA602" s="54"/>
      <c r="AB602" s="53"/>
      <c r="AC602" s="54"/>
      <c r="AD602" s="53"/>
      <c r="AE602" s="54"/>
      <c r="AF602" s="53"/>
      <c r="AG602" s="54"/>
      <c r="AH602" s="55">
        <v>4.1666666666666699E-2</v>
      </c>
      <c r="AI602" s="53"/>
      <c r="AJ602" s="54"/>
      <c r="AK602" s="53"/>
      <c r="AL602" s="54"/>
      <c r="AM602" s="53"/>
      <c r="AN602" s="54"/>
      <c r="AO602" s="53"/>
      <c r="AP602" s="54"/>
      <c r="AQ602" s="53"/>
      <c r="AR602" s="54"/>
      <c r="AS602" s="53"/>
      <c r="AT602" s="54"/>
      <c r="AU602" s="53">
        <v>4.1666666666666699E-2</v>
      </c>
      <c r="AV602" s="54" t="s">
        <v>37</v>
      </c>
      <c r="AW602" s="57">
        <f t="shared" si="82"/>
        <v>4.1666666666666699E-2</v>
      </c>
      <c r="AX602" s="58" t="s">
        <v>68</v>
      </c>
    </row>
    <row r="603" spans="1:50" ht="21.75" customHeight="1">
      <c r="A603" s="38" t="s">
        <v>564</v>
      </c>
      <c r="B603" s="39">
        <f t="shared" si="90"/>
        <v>599</v>
      </c>
      <c r="C603" s="40">
        <v>46037</v>
      </c>
      <c r="D603" s="40" t="s">
        <v>32</v>
      </c>
      <c r="E603" s="40" t="s">
        <v>81</v>
      </c>
      <c r="F603" s="41">
        <v>655.4</v>
      </c>
      <c r="G603" s="42" t="s">
        <v>66</v>
      </c>
      <c r="H603" s="43" t="str">
        <f>IFERROR(VLOOKUP($J603,'[9]FROM (3)'!$E$4:$F$230,2,FALSE),"")</f>
        <v>JAMY</v>
      </c>
      <c r="I603" s="44" t="str">
        <f t="shared" si="87"/>
        <v>RACK BAR</v>
      </c>
      <c r="J603" s="44" t="str">
        <f t="shared" si="88"/>
        <v>JGC10-M09008-51-0</v>
      </c>
      <c r="K603" s="59" t="str">
        <f t="shared" si="85"/>
        <v>PD26010566</v>
      </c>
      <c r="L603" s="46" t="str" cm="1">
        <f t="array" ref="L603">IFERROR(_xlfn.IFS(
    LEN($A603)-LEN(SUBSTITUTE($A603,"|",""))=12, RIGHT(A603, LEN(A603)-FIND("~", SUBSTITUTE(A603,"|","~", LEN(A603)-LEN(SUBSTITUTE(A603,"|",""))))),
    LEN($A603)-LEN(SUBSTITUTE($A603,"|",""))=13, MID($A603, FIND("~", SUBSTITUTE($A603,"|","~", 11))+1, FIND("~", SUBSTITUTE($A603,"|","~", 12))-FIND("~", SUBSTITUTE($A603,"|","~", 11))-1),
    LEN($A603)-LEN(SUBSTITUTE($A603,"|",""))=14, MID($A603, FIND("~", SUBSTITUTE($A603,"|","~", 11))+1, FIND("~", SUBSTITUTE($A603,"|","~", 12))-FIND("~", SUBSTITUTE($A603,"|","~", 11))-1)
), "")</f>
        <v>E586966</v>
      </c>
      <c r="M603" s="47" t="str">
        <f t="shared" si="83"/>
        <v>SB010053/3/26</v>
      </c>
      <c r="N603" s="46" t="str">
        <f t="shared" si="86"/>
        <v/>
      </c>
      <c r="O603" s="60">
        <v>60</v>
      </c>
      <c r="P603" s="60">
        <v>870</v>
      </c>
      <c r="Q603" s="48">
        <v>300</v>
      </c>
      <c r="R603" s="48">
        <v>819</v>
      </c>
      <c r="S603" s="48"/>
      <c r="T603" s="48"/>
      <c r="U603" s="49">
        <v>145</v>
      </c>
      <c r="V603" s="49">
        <v>9</v>
      </c>
      <c r="W603" s="50">
        <f t="shared" si="84"/>
        <v>154</v>
      </c>
      <c r="X603" s="51" t="str">
        <f>IF(A603="", "", IF(COUNTIFS(C$3:C602, C603, D$3:D602, D603, G$3:G602, G603) &gt; 0, "", "11:00"-AW603))</f>
        <v/>
      </c>
      <c r="Y603" s="52" t="str">
        <f t="shared" si="89"/>
        <v/>
      </c>
      <c r="Z603" s="53"/>
      <c r="AA603" s="54"/>
      <c r="AB603" s="53"/>
      <c r="AC603" s="54"/>
      <c r="AD603" s="53"/>
      <c r="AE603" s="54"/>
      <c r="AF603" s="53"/>
      <c r="AG603" s="54"/>
      <c r="AH603" s="55">
        <v>4.1666666666666699E-2</v>
      </c>
      <c r="AI603" s="53"/>
      <c r="AJ603" s="54"/>
      <c r="AK603" s="53"/>
      <c r="AL603" s="54"/>
      <c r="AM603" s="53"/>
      <c r="AN603" s="54"/>
      <c r="AO603" s="53"/>
      <c r="AP603" s="54"/>
      <c r="AQ603" s="53"/>
      <c r="AR603" s="54"/>
      <c r="AS603" s="53"/>
      <c r="AT603" s="54"/>
      <c r="AU603" s="53">
        <v>4.1666666666666699E-2</v>
      </c>
      <c r="AV603" s="54" t="s">
        <v>37</v>
      </c>
      <c r="AW603" s="57">
        <f t="shared" si="82"/>
        <v>4.1666666666666699E-2</v>
      </c>
      <c r="AX603" s="58" t="s">
        <v>68</v>
      </c>
    </row>
    <row r="604" spans="1:50" ht="21.75" customHeight="1">
      <c r="A604" s="38" t="s">
        <v>565</v>
      </c>
      <c r="B604" s="39">
        <f t="shared" si="90"/>
        <v>600</v>
      </c>
      <c r="C604" s="40">
        <v>46037</v>
      </c>
      <c r="D604" s="40" t="s">
        <v>32</v>
      </c>
      <c r="E604" s="40" t="s">
        <v>81</v>
      </c>
      <c r="F604" s="41">
        <v>655.4</v>
      </c>
      <c r="G604" s="42" t="s">
        <v>66</v>
      </c>
      <c r="H604" s="43" t="str">
        <f>IFERROR(VLOOKUP($J604,'[9]FROM (3)'!$E$4:$F$230,2,FALSE),"")</f>
        <v>JAMY</v>
      </c>
      <c r="I604" s="44" t="str">
        <f t="shared" si="87"/>
        <v>RACK BAR</v>
      </c>
      <c r="J604" s="44" t="str">
        <f t="shared" si="88"/>
        <v>JGC10-M09008-51-0</v>
      </c>
      <c r="K604" s="59" t="str">
        <f t="shared" si="85"/>
        <v>PD26010567</v>
      </c>
      <c r="L604" s="46" t="str" cm="1">
        <f t="array" ref="L604">IFERROR(_xlfn.IFS(
    LEN($A604)-LEN(SUBSTITUTE($A604,"|",""))=12, RIGHT(A604, LEN(A604)-FIND("~", SUBSTITUTE(A604,"|","~", LEN(A604)-LEN(SUBSTITUTE(A604,"|",""))))),
    LEN($A604)-LEN(SUBSTITUTE($A604,"|",""))=13, MID($A604, FIND("~", SUBSTITUTE($A604,"|","~", 11))+1, FIND("~", SUBSTITUTE($A604,"|","~", 12))-FIND("~", SUBSTITUTE($A604,"|","~", 11))-1),
    LEN($A604)-LEN(SUBSTITUTE($A604,"|",""))=14, MID($A604, FIND("~", SUBSTITUTE($A604,"|","~", 11))+1, FIND("~", SUBSTITUTE($A604,"|","~", 12))-FIND("~", SUBSTITUTE($A604,"|","~", 11))-1)
), "")</f>
        <v>E586966</v>
      </c>
      <c r="M604" s="47" t="str">
        <f t="shared" si="83"/>
        <v>SB010053/4/26</v>
      </c>
      <c r="N604" s="46" t="str">
        <f t="shared" si="86"/>
        <v/>
      </c>
      <c r="O604" s="60">
        <v>49</v>
      </c>
      <c r="P604" s="60">
        <v>711</v>
      </c>
      <c r="Q604" s="48">
        <v>242</v>
      </c>
      <c r="R604" s="48">
        <v>661</v>
      </c>
      <c r="S604" s="48"/>
      <c r="T604" s="48"/>
      <c r="U604" s="49"/>
      <c r="V604" s="49"/>
      <c r="W604" s="50">
        <f t="shared" si="84"/>
        <v>0</v>
      </c>
      <c r="X604" s="51" t="str">
        <f>IF(A604="", "", IF(COUNTIFS(C$3:C603, C604, D$3:D603, D604, G$3:G603, G604) &gt; 0, "", "11:00"-AW604))</f>
        <v/>
      </c>
      <c r="Y604" s="52" t="str">
        <f t="shared" si="89"/>
        <v/>
      </c>
      <c r="Z604" s="53"/>
      <c r="AA604" s="54"/>
      <c r="AB604" s="53"/>
      <c r="AC604" s="54"/>
      <c r="AD604" s="53"/>
      <c r="AE604" s="54"/>
      <c r="AF604" s="53"/>
      <c r="AG604" s="54"/>
      <c r="AH604" s="55">
        <v>4.1666666666666699E-2</v>
      </c>
      <c r="AI604" s="53"/>
      <c r="AJ604" s="54"/>
      <c r="AK604" s="53"/>
      <c r="AL604" s="54"/>
      <c r="AM604" s="53"/>
      <c r="AN604" s="54"/>
      <c r="AO604" s="53"/>
      <c r="AP604" s="54"/>
      <c r="AQ604" s="53"/>
      <c r="AR604" s="54"/>
      <c r="AS604" s="53"/>
      <c r="AT604" s="54"/>
      <c r="AU604" s="53">
        <v>4.1666666666666699E-2</v>
      </c>
      <c r="AV604" s="54" t="s">
        <v>37</v>
      </c>
      <c r="AW604" s="57">
        <f t="shared" si="82"/>
        <v>4.1666666666666699E-2</v>
      </c>
      <c r="AX604" s="58" t="s">
        <v>68</v>
      </c>
    </row>
    <row r="605" spans="1:50" ht="21.75" customHeight="1">
      <c r="A605" s="38" t="s">
        <v>566</v>
      </c>
      <c r="B605" s="39">
        <f t="shared" si="90"/>
        <v>601</v>
      </c>
      <c r="C605" s="40">
        <v>46037</v>
      </c>
      <c r="D605" s="40" t="s">
        <v>32</v>
      </c>
      <c r="E605" s="40" t="s">
        <v>81</v>
      </c>
      <c r="F605" s="41">
        <v>732.8</v>
      </c>
      <c r="G605" s="42" t="s">
        <v>192</v>
      </c>
      <c r="H605" s="43" t="str">
        <f>IFERROR(VLOOKUP($J605,'[9]FROM (3)'!$E$4:$F$230,2,FALSE),"")</f>
        <v>JATH</v>
      </c>
      <c r="I605" s="44" t="str">
        <f t="shared" si="87"/>
        <v>JGF02-002060-31-3</v>
      </c>
      <c r="J605" s="44" t="str">
        <f t="shared" si="88"/>
        <v>RACK BAR BLANK (JGF02-002060-31-3) 58*D</v>
      </c>
      <c r="K605" s="59" t="str">
        <f t="shared" si="85"/>
        <v>PD25120569</v>
      </c>
      <c r="L605" s="46" t="str" cm="1">
        <f t="array" ref="L605">IFERROR(_xlfn.IFS(
    LEN($A605)-LEN(SUBSTITUTE($A605,"|",""))=12, RIGHT(A605, LEN(A605)-FIND("~", SUBSTITUTE(A605,"|","~", LEN(A605)-LEN(SUBSTITUTE(A605,"|",""))))),
    LEN($A605)-LEN(SUBSTITUTE($A605,"|",""))=13, MID($A605, FIND("~", SUBSTITUTE($A605,"|","~", 11))+1, FIND("~", SUBSTITUTE($A605,"|","~", 12))-FIND("~", SUBSTITUTE($A605,"|","~", 11))-1),
    LEN($A605)-LEN(SUBSTITUTE($A605,"|",""))=14, MID($A605, FIND("~", SUBSTITUTE($A605,"|","~", 11))+1, FIND("~", SUBSTITUTE($A605,"|","~", 12))-FIND("~", SUBSTITUTE($A605,"|","~", 11))-1)
), "")</f>
        <v>5A4332</v>
      </c>
      <c r="M605" s="47" t="str">
        <f t="shared" si="83"/>
        <v>TSK2</v>
      </c>
      <c r="N605" s="46" t="str">
        <f t="shared" si="86"/>
        <v>FB120161/9/25</v>
      </c>
      <c r="O605" s="60">
        <v>58</v>
      </c>
      <c r="P605" s="60">
        <v>271</v>
      </c>
      <c r="Q605" s="48">
        <v>58</v>
      </c>
      <c r="R605" s="48">
        <v>271</v>
      </c>
      <c r="S605" s="48"/>
      <c r="T605" s="48"/>
      <c r="U605" s="49"/>
      <c r="V605" s="49"/>
      <c r="W605" s="50">
        <f t="shared" si="84"/>
        <v>0</v>
      </c>
      <c r="X605" s="51">
        <f>IF(A605="", "", IF(COUNTIFS(C$3:C604, C605, D$3:D604, D605, G$3:G604, G605) &gt; 0, "", "11:00"-AW605))</f>
        <v>0.41666666666666663</v>
      </c>
      <c r="Y605" s="52" t="str">
        <f t="shared" si="89"/>
        <v>1:40</v>
      </c>
      <c r="Z605" s="53"/>
      <c r="AA605" s="54"/>
      <c r="AB605" s="53"/>
      <c r="AC605" s="54"/>
      <c r="AD605" s="53"/>
      <c r="AE605" s="54"/>
      <c r="AF605" s="53"/>
      <c r="AG605" s="54"/>
      <c r="AH605" s="55">
        <v>4.1666666666666699E-2</v>
      </c>
      <c r="AI605" s="53"/>
      <c r="AJ605" s="54"/>
      <c r="AK605" s="53"/>
      <c r="AL605" s="54"/>
      <c r="AM605" s="53"/>
      <c r="AN605" s="54"/>
      <c r="AO605" s="53"/>
      <c r="AP605" s="54"/>
      <c r="AQ605" s="53"/>
      <c r="AR605" s="54"/>
      <c r="AS605" s="53"/>
      <c r="AT605" s="54"/>
      <c r="AU605" s="53">
        <v>4.1666666666666699E-2</v>
      </c>
      <c r="AV605" s="54" t="s">
        <v>37</v>
      </c>
      <c r="AW605" s="57">
        <f t="shared" si="82"/>
        <v>4.1666666666666699E-2</v>
      </c>
      <c r="AX605" s="58" t="s">
        <v>117</v>
      </c>
    </row>
    <row r="606" spans="1:50" ht="21.75" customHeight="1">
      <c r="A606" s="38" t="s">
        <v>567</v>
      </c>
      <c r="B606" s="39">
        <f t="shared" si="90"/>
        <v>602</v>
      </c>
      <c r="C606" s="40">
        <v>46037</v>
      </c>
      <c r="D606" s="40" t="s">
        <v>32</v>
      </c>
      <c r="E606" s="40" t="s">
        <v>81</v>
      </c>
      <c r="F606" s="41">
        <v>732.8</v>
      </c>
      <c r="G606" s="42" t="s">
        <v>192</v>
      </c>
      <c r="H606" s="43" t="str">
        <f>IFERROR(VLOOKUP($J606,'[9]FROM (3)'!$E$4:$F$230,2,FALSE),"")</f>
        <v>JATH</v>
      </c>
      <c r="I606" s="44" t="str">
        <f t="shared" si="87"/>
        <v>JGF02-002060-31-3</v>
      </c>
      <c r="J606" s="44" t="str">
        <f t="shared" si="88"/>
        <v>RACK BAR BLANK (JGF02-002060-31-3) 58*D</v>
      </c>
      <c r="K606" s="59" t="str">
        <f t="shared" si="85"/>
        <v>PD25120569</v>
      </c>
      <c r="L606" s="46" t="str" cm="1">
        <f t="array" ref="L606">IFERROR(_xlfn.IFS(
    LEN($A606)-LEN(SUBSTITUTE($A606,"|",""))=12, RIGHT(A606, LEN(A606)-FIND("~", SUBSTITUTE(A606,"|","~", LEN(A606)-LEN(SUBSTITUTE(A606,"|",""))))),
    LEN($A606)-LEN(SUBSTITUTE($A606,"|",""))=13, MID($A606, FIND("~", SUBSTITUTE($A606,"|","~", 11))+1, FIND("~", SUBSTITUTE($A606,"|","~", 12))-FIND("~", SUBSTITUTE($A606,"|","~", 11))-1),
    LEN($A606)-LEN(SUBSTITUTE($A606,"|",""))=14, MID($A606, FIND("~", SUBSTITUTE($A606,"|","~", 11))+1, FIND("~", SUBSTITUTE($A606,"|","~", 12))-FIND("~", SUBSTITUTE($A606,"|","~", 11))-1)
), "")</f>
        <v>5A4332</v>
      </c>
      <c r="M606" s="47" t="str">
        <f t="shared" si="83"/>
        <v>TSK2</v>
      </c>
      <c r="N606" s="46" t="str">
        <f t="shared" si="86"/>
        <v>FB120161/11/25</v>
      </c>
      <c r="O606" s="60">
        <v>58</v>
      </c>
      <c r="P606" s="60">
        <v>271</v>
      </c>
      <c r="Q606" s="48">
        <v>58</v>
      </c>
      <c r="R606" s="48">
        <v>271</v>
      </c>
      <c r="S606" s="48"/>
      <c r="T606" s="48"/>
      <c r="U606" s="49"/>
      <c r="V606" s="49"/>
      <c r="W606" s="50">
        <f t="shared" si="84"/>
        <v>0</v>
      </c>
      <c r="X606" s="51" t="str">
        <f>IF(A606="", "", IF(COUNTIFS(C$3:C605, C606, D$3:D605, D606, G$3:G605, G606) &gt; 0, "", "11:00"-AW606))</f>
        <v/>
      </c>
      <c r="Y606" s="52" t="str">
        <f t="shared" si="89"/>
        <v/>
      </c>
      <c r="Z606" s="53"/>
      <c r="AA606" s="54"/>
      <c r="AB606" s="53"/>
      <c r="AC606" s="54"/>
      <c r="AD606" s="53"/>
      <c r="AE606" s="54"/>
      <c r="AF606" s="53"/>
      <c r="AG606" s="54"/>
      <c r="AH606" s="55">
        <v>4.1666666666666699E-2</v>
      </c>
      <c r="AI606" s="53"/>
      <c r="AJ606" s="54"/>
      <c r="AK606" s="53"/>
      <c r="AL606" s="54"/>
      <c r="AM606" s="53"/>
      <c r="AN606" s="54"/>
      <c r="AO606" s="53"/>
      <c r="AP606" s="54"/>
      <c r="AQ606" s="53"/>
      <c r="AR606" s="54"/>
      <c r="AS606" s="53"/>
      <c r="AT606" s="54"/>
      <c r="AU606" s="53">
        <v>4.1666666666666699E-2</v>
      </c>
      <c r="AV606" s="54" t="s">
        <v>37</v>
      </c>
      <c r="AW606" s="57">
        <f t="shared" ref="AW606:AW669" si="91">SUM(Z606,AB606,AD606,AF606,AI606,AK606,AM606,AO606,AQ606,AS606,AU606)</f>
        <v>4.1666666666666699E-2</v>
      </c>
      <c r="AX606" s="58" t="s">
        <v>117</v>
      </c>
    </row>
    <row r="607" spans="1:50" ht="21.75" customHeight="1">
      <c r="A607" s="38" t="s">
        <v>568</v>
      </c>
      <c r="B607" s="39">
        <f t="shared" si="90"/>
        <v>603</v>
      </c>
      <c r="C607" s="40">
        <v>46037</v>
      </c>
      <c r="D607" s="40" t="s">
        <v>32</v>
      </c>
      <c r="E607" s="40" t="s">
        <v>81</v>
      </c>
      <c r="F607" s="41">
        <v>732.8</v>
      </c>
      <c r="G607" s="42" t="s">
        <v>192</v>
      </c>
      <c r="H607" s="43" t="str">
        <f>IFERROR(VLOOKUP($J607,'[9]FROM (3)'!$E$4:$F$230,2,FALSE),"")</f>
        <v>JATH</v>
      </c>
      <c r="I607" s="44" t="str">
        <f t="shared" si="87"/>
        <v>JGF02-002060-31-3</v>
      </c>
      <c r="J607" s="44" t="str">
        <f t="shared" si="88"/>
        <v>RACK BAR BLANK (JGF02-002060-31-3) 58*D</v>
      </c>
      <c r="K607" s="59" t="str">
        <f t="shared" si="85"/>
        <v>PD25120569</v>
      </c>
      <c r="L607" s="46" t="str" cm="1">
        <f t="array" ref="L607">IFERROR(_xlfn.IFS(
    LEN($A607)-LEN(SUBSTITUTE($A607,"|",""))=12, RIGHT(A607, LEN(A607)-FIND("~", SUBSTITUTE(A607,"|","~", LEN(A607)-LEN(SUBSTITUTE(A607,"|",""))))),
    LEN($A607)-LEN(SUBSTITUTE($A607,"|",""))=13, MID($A607, FIND("~", SUBSTITUTE($A607,"|","~", 11))+1, FIND("~", SUBSTITUTE($A607,"|","~", 12))-FIND("~", SUBSTITUTE($A607,"|","~", 11))-1),
    LEN($A607)-LEN(SUBSTITUTE($A607,"|",""))=14, MID($A607, FIND("~", SUBSTITUTE($A607,"|","~", 11))+1, FIND("~", SUBSTITUTE($A607,"|","~", 12))-FIND("~", SUBSTITUTE($A607,"|","~", 11))-1)
), "")</f>
        <v>5A4332</v>
      </c>
      <c r="M607" s="47" t="str">
        <f t="shared" si="83"/>
        <v>TSK2</v>
      </c>
      <c r="N607" s="46" t="str">
        <f t="shared" si="86"/>
        <v>FB120161/13/25</v>
      </c>
      <c r="O607" s="60">
        <v>58</v>
      </c>
      <c r="P607" s="60">
        <v>271</v>
      </c>
      <c r="Q607" s="48">
        <v>58</v>
      </c>
      <c r="R607" s="48">
        <v>271</v>
      </c>
      <c r="S607" s="48"/>
      <c r="T607" s="48"/>
      <c r="U607" s="49"/>
      <c r="V607" s="49"/>
      <c r="W607" s="50">
        <f t="shared" si="84"/>
        <v>0</v>
      </c>
      <c r="X607" s="51" t="str">
        <f>IF(A607="", "", IF(COUNTIFS(C$3:C606, C607, D$3:D606, D607, G$3:G606, G607) &gt; 0, "", "11:00"-AW607))</f>
        <v/>
      </c>
      <c r="Y607" s="52" t="str">
        <f t="shared" si="89"/>
        <v/>
      </c>
      <c r="Z607" s="53"/>
      <c r="AA607" s="54"/>
      <c r="AB607" s="53"/>
      <c r="AC607" s="54"/>
      <c r="AD607" s="53"/>
      <c r="AE607" s="54"/>
      <c r="AF607" s="53"/>
      <c r="AG607" s="54"/>
      <c r="AH607" s="55">
        <v>4.1666666666666699E-2</v>
      </c>
      <c r="AI607" s="53"/>
      <c r="AJ607" s="54"/>
      <c r="AK607" s="53"/>
      <c r="AL607" s="54"/>
      <c r="AM607" s="53"/>
      <c r="AN607" s="54"/>
      <c r="AO607" s="53"/>
      <c r="AP607" s="54"/>
      <c r="AQ607" s="53"/>
      <c r="AR607" s="54"/>
      <c r="AS607" s="53"/>
      <c r="AT607" s="54"/>
      <c r="AU607" s="53">
        <v>4.1666666666666699E-2</v>
      </c>
      <c r="AV607" s="54" t="s">
        <v>37</v>
      </c>
      <c r="AW607" s="57">
        <f t="shared" si="91"/>
        <v>4.1666666666666699E-2</v>
      </c>
      <c r="AX607" s="58" t="s">
        <v>117</v>
      </c>
    </row>
    <row r="608" spans="1:50" ht="21.75" customHeight="1">
      <c r="A608" s="38" t="s">
        <v>569</v>
      </c>
      <c r="B608" s="39">
        <f t="shared" si="90"/>
        <v>604</v>
      </c>
      <c r="C608" s="40">
        <v>46037</v>
      </c>
      <c r="D608" s="40" t="s">
        <v>32</v>
      </c>
      <c r="E608" s="40" t="s">
        <v>81</v>
      </c>
      <c r="F608" s="41">
        <v>732.8</v>
      </c>
      <c r="G608" s="42" t="s">
        <v>192</v>
      </c>
      <c r="H608" s="43" t="str">
        <f>IFERROR(VLOOKUP($J608,'[9]FROM (3)'!$E$4:$F$230,2,FALSE),"")</f>
        <v>JATH</v>
      </c>
      <c r="I608" s="44" t="str">
        <f t="shared" si="87"/>
        <v>JGF02-002060-31-3</v>
      </c>
      <c r="J608" s="44" t="str">
        <f t="shared" si="88"/>
        <v>RACK BAR BLANK (JGF02-002060-31-3) 58*D</v>
      </c>
      <c r="K608" s="59" t="str">
        <f t="shared" si="85"/>
        <v>PD25120569</v>
      </c>
      <c r="L608" s="46" t="str" cm="1">
        <f t="array" ref="L608">IFERROR(_xlfn.IFS(
    LEN($A608)-LEN(SUBSTITUTE($A608,"|",""))=12, RIGHT(A608, LEN(A608)-FIND("~", SUBSTITUTE(A608,"|","~", LEN(A608)-LEN(SUBSTITUTE(A608,"|",""))))),
    LEN($A608)-LEN(SUBSTITUTE($A608,"|",""))=13, MID($A608, FIND("~", SUBSTITUTE($A608,"|","~", 11))+1, FIND("~", SUBSTITUTE($A608,"|","~", 12))-FIND("~", SUBSTITUTE($A608,"|","~", 11))-1),
    LEN($A608)-LEN(SUBSTITUTE($A608,"|",""))=14, MID($A608, FIND("~", SUBSTITUTE($A608,"|","~", 11))+1, FIND("~", SUBSTITUTE($A608,"|","~", 12))-FIND("~", SUBSTITUTE($A608,"|","~", 11))-1)
), "")</f>
        <v>5A4332</v>
      </c>
      <c r="M608" s="47" t="str">
        <f t="shared" si="83"/>
        <v>TSK2</v>
      </c>
      <c r="N608" s="46" t="str">
        <f t="shared" si="86"/>
        <v>FB120161/12/25</v>
      </c>
      <c r="O608" s="60">
        <v>58</v>
      </c>
      <c r="P608" s="60">
        <v>271</v>
      </c>
      <c r="Q608" s="48">
        <v>58</v>
      </c>
      <c r="R608" s="48">
        <v>271</v>
      </c>
      <c r="S608" s="48"/>
      <c r="T608" s="48"/>
      <c r="U608" s="49"/>
      <c r="V608" s="49"/>
      <c r="W608" s="50">
        <f t="shared" si="84"/>
        <v>0</v>
      </c>
      <c r="X608" s="51" t="str">
        <f>IF(A608="", "", IF(COUNTIFS(C$3:C607, C608, D$3:D607, D608, G$3:G607, G608) &gt; 0, "", "11:00"-AW608))</f>
        <v/>
      </c>
      <c r="Y608" s="52" t="str">
        <f t="shared" si="89"/>
        <v/>
      </c>
      <c r="Z608" s="53"/>
      <c r="AA608" s="54"/>
      <c r="AB608" s="53"/>
      <c r="AC608" s="54"/>
      <c r="AD608" s="53"/>
      <c r="AE608" s="54"/>
      <c r="AF608" s="53"/>
      <c r="AG608" s="54"/>
      <c r="AH608" s="55">
        <v>4.1666666666666699E-2</v>
      </c>
      <c r="AI608" s="53"/>
      <c r="AJ608" s="54"/>
      <c r="AK608" s="53"/>
      <c r="AL608" s="54"/>
      <c r="AM608" s="53"/>
      <c r="AN608" s="54"/>
      <c r="AO608" s="53"/>
      <c r="AP608" s="54"/>
      <c r="AQ608" s="53"/>
      <c r="AR608" s="54"/>
      <c r="AS608" s="53"/>
      <c r="AT608" s="54"/>
      <c r="AU608" s="53">
        <v>4.1666666666666699E-2</v>
      </c>
      <c r="AV608" s="54" t="s">
        <v>37</v>
      </c>
      <c r="AW608" s="57">
        <f t="shared" si="91"/>
        <v>4.1666666666666699E-2</v>
      </c>
      <c r="AX608" s="58" t="s">
        <v>117</v>
      </c>
    </row>
    <row r="609" spans="1:50" ht="21.75" customHeight="1">
      <c r="A609" s="38" t="s">
        <v>570</v>
      </c>
      <c r="B609" s="39">
        <f t="shared" si="90"/>
        <v>605</v>
      </c>
      <c r="C609" s="40">
        <v>46037</v>
      </c>
      <c r="D609" s="40" t="s">
        <v>32</v>
      </c>
      <c r="E609" s="40" t="s">
        <v>81</v>
      </c>
      <c r="F609" s="41">
        <v>732.8</v>
      </c>
      <c r="G609" s="42" t="s">
        <v>192</v>
      </c>
      <c r="H609" s="43" t="str">
        <f>IFERROR(VLOOKUP($J609,'[9]FROM (3)'!$E$4:$F$230,2,FALSE),"")</f>
        <v>JATH</v>
      </c>
      <c r="I609" s="44" t="str">
        <f t="shared" si="87"/>
        <v>JGF02-002060-31-3</v>
      </c>
      <c r="J609" s="44" t="str">
        <f t="shared" si="88"/>
        <v>RACK BAR BLANK (JGF02-002060-31-3) 58*D</v>
      </c>
      <c r="K609" s="59" t="str">
        <f t="shared" si="85"/>
        <v>PD25120569</v>
      </c>
      <c r="L609" s="46" t="str" cm="1">
        <f t="array" ref="L609">IFERROR(_xlfn.IFS(
    LEN($A609)-LEN(SUBSTITUTE($A609,"|",""))=12, RIGHT(A609, LEN(A609)-FIND("~", SUBSTITUTE(A609,"|","~", LEN(A609)-LEN(SUBSTITUTE(A609,"|",""))))),
    LEN($A609)-LEN(SUBSTITUTE($A609,"|",""))=13, MID($A609, FIND("~", SUBSTITUTE($A609,"|","~", 11))+1, FIND("~", SUBSTITUTE($A609,"|","~", 12))-FIND("~", SUBSTITUTE($A609,"|","~", 11))-1),
    LEN($A609)-LEN(SUBSTITUTE($A609,"|",""))=14, MID($A609, FIND("~", SUBSTITUTE($A609,"|","~", 11))+1, FIND("~", SUBSTITUTE($A609,"|","~", 12))-FIND("~", SUBSTITUTE($A609,"|","~", 11))-1)
), "")</f>
        <v>5A4332</v>
      </c>
      <c r="M609" s="47" t="str">
        <f t="shared" si="83"/>
        <v>TSK2</v>
      </c>
      <c r="N609" s="46" t="str">
        <f t="shared" si="86"/>
        <v>FB120161/14/25</v>
      </c>
      <c r="O609" s="60">
        <v>51</v>
      </c>
      <c r="P609" s="60">
        <v>238</v>
      </c>
      <c r="Q609" s="48">
        <v>51</v>
      </c>
      <c r="R609" s="48">
        <v>238</v>
      </c>
      <c r="S609" s="48"/>
      <c r="T609" s="48"/>
      <c r="U609" s="49"/>
      <c r="V609" s="49"/>
      <c r="W609" s="50">
        <f t="shared" si="84"/>
        <v>0</v>
      </c>
      <c r="X609" s="51" t="str">
        <f>IF(A609="", "", IF(COUNTIFS(C$3:C608, C609, D$3:D608, D609, G$3:G608, G609) &gt; 0, "", "11:00"-AW609))</f>
        <v/>
      </c>
      <c r="Y609" s="52" t="str">
        <f t="shared" si="89"/>
        <v/>
      </c>
      <c r="Z609" s="53"/>
      <c r="AA609" s="54"/>
      <c r="AB609" s="53"/>
      <c r="AC609" s="54"/>
      <c r="AD609" s="53"/>
      <c r="AE609" s="54"/>
      <c r="AF609" s="53"/>
      <c r="AG609" s="54"/>
      <c r="AH609" s="55">
        <v>4.1666666666666699E-2</v>
      </c>
      <c r="AI609" s="53"/>
      <c r="AJ609" s="54"/>
      <c r="AK609" s="53"/>
      <c r="AL609" s="54"/>
      <c r="AM609" s="53"/>
      <c r="AN609" s="54"/>
      <c r="AO609" s="53"/>
      <c r="AP609" s="54"/>
      <c r="AQ609" s="53"/>
      <c r="AR609" s="54"/>
      <c r="AS609" s="53"/>
      <c r="AT609" s="54"/>
      <c r="AU609" s="53">
        <v>4.1666666666666699E-2</v>
      </c>
      <c r="AV609" s="54" t="s">
        <v>37</v>
      </c>
      <c r="AW609" s="57">
        <f t="shared" si="91"/>
        <v>4.1666666666666699E-2</v>
      </c>
      <c r="AX609" s="58" t="s">
        <v>117</v>
      </c>
    </row>
    <row r="610" spans="1:50" ht="21.75" customHeight="1">
      <c r="A610" s="38" t="s">
        <v>547</v>
      </c>
      <c r="B610" s="39">
        <f t="shared" si="90"/>
        <v>606</v>
      </c>
      <c r="C610" s="40">
        <v>46038</v>
      </c>
      <c r="D610" s="40" t="s">
        <v>80</v>
      </c>
      <c r="E610" s="40" t="s">
        <v>33</v>
      </c>
      <c r="F610" s="41" t="s">
        <v>404</v>
      </c>
      <c r="G610" s="42" t="s">
        <v>44</v>
      </c>
      <c r="H610" s="43" t="str">
        <f>IFERROR(VLOOKUP($J610,'[9]FROM (3)'!$E$4:$F$230,2,FALSE),"")</f>
        <v>DNTH</v>
      </c>
      <c r="I610" s="44" t="str">
        <f t="shared" si="87"/>
        <v>SLUG VALVE ROTARY</v>
      </c>
      <c r="J610" s="44" t="str">
        <f t="shared" si="88"/>
        <v>TGY95613-0020</v>
      </c>
      <c r="K610" s="59" t="str">
        <f t="shared" si="85"/>
        <v>PD26010427</v>
      </c>
      <c r="L610" s="46" t="str" cm="1">
        <f t="array" ref="L610">IFERROR(_xlfn.IFS(
    LEN($A610)-LEN(SUBSTITUTE($A610,"|",""))=12, RIGHT(A610, LEN(A610)-FIND("~", SUBSTITUTE(A610,"|","~", LEN(A610)-LEN(SUBSTITUTE(A610,"|",""))))),
    LEN($A610)-LEN(SUBSTITUTE($A610,"|",""))=13, MID($A610, FIND("~", SUBSTITUTE($A610,"|","~", 11))+1, FIND("~", SUBSTITUTE($A610,"|","~", 12))-FIND("~", SUBSTITUTE($A610,"|","~", 11))-1),
    LEN($A610)-LEN(SUBSTITUTE($A610,"|",""))=14, MID($A610, FIND("~", SUBSTITUTE($A610,"|","~", 11))+1, FIND("~", SUBSTITUTE($A610,"|","~", 12))-FIND("~", SUBSTITUTE($A610,"|","~", 11))-1)
), "")</f>
        <v>E585734</v>
      </c>
      <c r="M610" s="47" t="str">
        <f t="shared" si="83"/>
        <v>SB010040/1/26</v>
      </c>
      <c r="N610" s="46" t="str">
        <f t="shared" si="86"/>
        <v/>
      </c>
      <c r="O610" s="60"/>
      <c r="P610" s="60"/>
      <c r="Q610" s="48">
        <v>1268</v>
      </c>
      <c r="R610" s="48">
        <v>251</v>
      </c>
      <c r="S610" s="48"/>
      <c r="T610" s="48"/>
      <c r="U610" s="49">
        <v>93</v>
      </c>
      <c r="V610" s="49">
        <v>219</v>
      </c>
      <c r="W610" s="50">
        <f t="shared" si="84"/>
        <v>312</v>
      </c>
      <c r="X610" s="51">
        <f>IF(A610="", "", IF(COUNTIFS(C$3:C609, C610, D$3:D609, D610, G$3:G609, G610) &gt; 0, "", "11:00"-AW610))</f>
        <v>0.41666666666666663</v>
      </c>
      <c r="Y610" s="52" t="str">
        <f t="shared" si="89"/>
        <v>1:40</v>
      </c>
      <c r="Z610" s="53"/>
      <c r="AA610" s="54"/>
      <c r="AB610" s="53"/>
      <c r="AC610" s="54"/>
      <c r="AD610" s="53"/>
      <c r="AE610" s="54"/>
      <c r="AF610" s="53"/>
      <c r="AG610" s="54"/>
      <c r="AH610" s="55">
        <v>4.1666666666666699E-2</v>
      </c>
      <c r="AI610" s="53"/>
      <c r="AJ610" s="54"/>
      <c r="AK610" s="53"/>
      <c r="AL610" s="54"/>
      <c r="AM610" s="53"/>
      <c r="AN610" s="54"/>
      <c r="AO610" s="53"/>
      <c r="AP610" s="54"/>
      <c r="AQ610" s="53"/>
      <c r="AR610" s="54"/>
      <c r="AS610" s="53"/>
      <c r="AT610" s="54"/>
      <c r="AU610" s="53">
        <v>4.1666666666666699E-2</v>
      </c>
      <c r="AV610" s="54" t="s">
        <v>37</v>
      </c>
      <c r="AW610" s="57">
        <f t="shared" si="91"/>
        <v>4.1666666666666699E-2</v>
      </c>
      <c r="AX610" s="58" t="s">
        <v>203</v>
      </c>
    </row>
    <row r="611" spans="1:50" ht="21.75" customHeight="1">
      <c r="A611" s="38" t="s">
        <v>571</v>
      </c>
      <c r="B611" s="39">
        <f t="shared" si="90"/>
        <v>607</v>
      </c>
      <c r="C611" s="40">
        <v>46038</v>
      </c>
      <c r="D611" s="40" t="s">
        <v>80</v>
      </c>
      <c r="E611" s="40" t="s">
        <v>33</v>
      </c>
      <c r="F611" s="41">
        <v>56</v>
      </c>
      <c r="G611" s="42" t="s">
        <v>44</v>
      </c>
      <c r="H611" s="43" t="str">
        <f>IFERROR(VLOOKUP($J611,'[9]FROM (3)'!$E$4:$F$230,2,FALSE),"")</f>
        <v/>
      </c>
      <c r="I611" s="44" t="str">
        <f t="shared" si="87"/>
        <v/>
      </c>
      <c r="J611" s="44" t="str">
        <f t="shared" si="88"/>
        <v/>
      </c>
      <c r="K611" s="59" t="str">
        <f t="shared" si="85"/>
        <v>PD26010430</v>
      </c>
      <c r="L611" s="46" t="str" cm="1">
        <f t="array" ref="L611">IFERROR(_xlfn.IFS(
    LEN($A611)-LEN(SUBSTITUTE($A611,"|",""))=12, RIGHT(A611, LEN(A611)-FIND("~", SUBSTITUTE(A611,"|","~", LEN(A611)-LEN(SUBSTITUTE(A611,"|",""))))),
    LEN($A611)-LEN(SUBSTITUTE($A611,"|",""))=13, MID($A611, FIND("~", SUBSTITUTE($A611,"|","~", 11))+1, FIND("~", SUBSTITUTE($A611,"|","~", 12))-FIND("~", SUBSTITUTE($A611,"|","~", 11))-1),
    LEN($A611)-LEN(SUBSTITUTE($A611,"|",""))=14, MID($A611, FIND("~", SUBSTITUTE($A611,"|","~", 11))+1, FIND("~", SUBSTITUTE($A611,"|","~", 12))-FIND("~", SUBSTITUTE($A611,"|","~", 11))-1)
), "")</f>
        <v/>
      </c>
      <c r="M611" s="47" t="str">
        <f t="shared" si="83"/>
        <v/>
      </c>
      <c r="N611" s="46" t="str">
        <f t="shared" si="86"/>
        <v/>
      </c>
      <c r="O611" s="60">
        <v>108</v>
      </c>
      <c r="P611" s="60">
        <v>1896</v>
      </c>
      <c r="Q611" s="48">
        <v>3500</v>
      </c>
      <c r="R611" s="48">
        <v>517</v>
      </c>
      <c r="S611" s="48"/>
      <c r="T611" s="48"/>
      <c r="U611" s="49"/>
      <c r="V611" s="49"/>
      <c r="W611" s="50">
        <f t="shared" si="84"/>
        <v>0</v>
      </c>
      <c r="X611" s="51" t="str">
        <f>IF(A611="", "", IF(COUNTIFS(C$3:C610, C611, D$3:D610, D611, G$3:G610, G611) &gt; 0, "", "11:00"-AW611))</f>
        <v/>
      </c>
      <c r="Y611" s="52" t="str">
        <f t="shared" si="89"/>
        <v/>
      </c>
      <c r="Z611" s="53"/>
      <c r="AA611" s="54"/>
      <c r="AB611" s="53"/>
      <c r="AC611" s="54"/>
      <c r="AD611" s="53"/>
      <c r="AE611" s="54"/>
      <c r="AF611" s="53"/>
      <c r="AG611" s="54"/>
      <c r="AH611" s="55">
        <v>4.1666666666666699E-2</v>
      </c>
      <c r="AI611" s="53"/>
      <c r="AJ611" s="54"/>
      <c r="AK611" s="53"/>
      <c r="AL611" s="54"/>
      <c r="AM611" s="53"/>
      <c r="AN611" s="54"/>
      <c r="AO611" s="53"/>
      <c r="AP611" s="54"/>
      <c r="AQ611" s="53"/>
      <c r="AR611" s="54"/>
      <c r="AS611" s="53"/>
      <c r="AT611" s="54"/>
      <c r="AU611" s="53">
        <v>4.1666666666666699E-2</v>
      </c>
      <c r="AV611" s="54" t="s">
        <v>37</v>
      </c>
      <c r="AW611" s="57">
        <f t="shared" si="91"/>
        <v>4.1666666666666699E-2</v>
      </c>
      <c r="AX611" s="58" t="s">
        <v>203</v>
      </c>
    </row>
    <row r="612" spans="1:50" ht="21.75" customHeight="1">
      <c r="A612" s="38" t="s">
        <v>520</v>
      </c>
      <c r="B612" s="39">
        <f t="shared" si="90"/>
        <v>608</v>
      </c>
      <c r="C612" s="40">
        <v>46038</v>
      </c>
      <c r="D612" s="40" t="s">
        <v>80</v>
      </c>
      <c r="E612" s="40" t="s">
        <v>33</v>
      </c>
      <c r="F612" s="41">
        <v>23.4</v>
      </c>
      <c r="G612" s="42" t="s">
        <v>34</v>
      </c>
      <c r="H612" s="43" t="str">
        <f>IFERROR(VLOOKUP($J612,'[9]FROM (3)'!$E$4:$F$230,2,FALSE),"")</f>
        <v/>
      </c>
      <c r="I612" s="44" t="str">
        <f t="shared" si="87"/>
        <v>FLANGE-13 SLUG</v>
      </c>
      <c r="J612" s="44" t="str">
        <f t="shared" si="88"/>
        <v>ZZ2B7401TX1</v>
      </c>
      <c r="K612" s="59" t="str">
        <f t="shared" si="85"/>
        <v>PD26010472</v>
      </c>
      <c r="L612" s="46" t="str" cm="1">
        <f t="array" ref="L612">IFERROR(_xlfn.IFS(
    LEN($A612)-LEN(SUBSTITUTE($A612,"|",""))=12, RIGHT(A612, LEN(A612)-FIND("~", SUBSTITUTE(A612,"|","~", LEN(A612)-LEN(SUBSTITUTE(A612,"|",""))))),
    LEN($A612)-LEN(SUBSTITUTE($A612,"|",""))=13, MID($A612, FIND("~", SUBSTITUTE($A612,"|","~", 11))+1, FIND("~", SUBSTITUTE($A612,"|","~", 12))-FIND("~", SUBSTITUTE($A612,"|","~", 11))-1),
    LEN($A612)-LEN(SUBSTITUTE($A612,"|",""))=14, MID($A612, FIND("~", SUBSTITUTE($A612,"|","~", 11))+1, FIND("~", SUBSTITUTE($A612,"|","~", 12))-FIND("~", SUBSTITUTE($A612,"|","~", 11))-1)
), "")</f>
        <v>2-73052</v>
      </c>
      <c r="M612" s="47" t="str">
        <f t="shared" si="83"/>
        <v>2B2600088</v>
      </c>
      <c r="N612" s="46" t="str">
        <f t="shared" si="86"/>
        <v/>
      </c>
      <c r="O612" s="60"/>
      <c r="P612" s="60"/>
      <c r="Q612" s="48">
        <v>2135</v>
      </c>
      <c r="R612" s="48">
        <v>492</v>
      </c>
      <c r="S612" s="48"/>
      <c r="T612" s="48"/>
      <c r="U612" s="49">
        <v>118</v>
      </c>
      <c r="V612" s="49">
        <v>300</v>
      </c>
      <c r="W612" s="50">
        <f t="shared" si="84"/>
        <v>418</v>
      </c>
      <c r="X612" s="51">
        <f>IF(A612="", "", IF(COUNTIFS(C$3:C611, C612, D$3:D611, D612, G$3:G611, G612) &gt; 0, "", "11:00"-AW612))</f>
        <v>0.41666666666666663</v>
      </c>
      <c r="Y612" s="52" t="str">
        <f t="shared" si="89"/>
        <v>1:40</v>
      </c>
      <c r="Z612" s="53"/>
      <c r="AA612" s="54"/>
      <c r="AB612" s="53"/>
      <c r="AC612" s="54"/>
      <c r="AD612" s="53"/>
      <c r="AE612" s="54"/>
      <c r="AF612" s="53"/>
      <c r="AG612" s="54"/>
      <c r="AH612" s="55">
        <v>4.1666666666666699E-2</v>
      </c>
      <c r="AI612" s="53"/>
      <c r="AJ612" s="54"/>
      <c r="AK612" s="53"/>
      <c r="AL612" s="54"/>
      <c r="AM612" s="53"/>
      <c r="AN612" s="54"/>
      <c r="AO612" s="53"/>
      <c r="AP612" s="54"/>
      <c r="AQ612" s="53"/>
      <c r="AR612" s="54"/>
      <c r="AS612" s="53"/>
      <c r="AT612" s="54"/>
      <c r="AU612" s="53">
        <v>4.1666666666666699E-2</v>
      </c>
      <c r="AV612" s="54" t="s">
        <v>37</v>
      </c>
      <c r="AW612" s="57">
        <f t="shared" si="91"/>
        <v>4.1666666666666699E-2</v>
      </c>
      <c r="AX612" s="58" t="s">
        <v>203</v>
      </c>
    </row>
    <row r="613" spans="1:50" ht="21.75" customHeight="1">
      <c r="A613" s="38" t="s">
        <v>572</v>
      </c>
      <c r="B613" s="39">
        <f t="shared" si="90"/>
        <v>609</v>
      </c>
      <c r="C613" s="40">
        <v>46038</v>
      </c>
      <c r="D613" s="40" t="s">
        <v>80</v>
      </c>
      <c r="E613" s="40" t="s">
        <v>33</v>
      </c>
      <c r="F613" s="41">
        <v>23.4</v>
      </c>
      <c r="G613" s="42" t="s">
        <v>34</v>
      </c>
      <c r="H613" s="43" t="str">
        <f>IFERROR(VLOOKUP($J613,'[9]FROM (3)'!$E$4:$F$230,2,FALSE),"")</f>
        <v/>
      </c>
      <c r="I613" s="44" t="str">
        <f t="shared" si="87"/>
        <v>FLANGE-13 SLUG</v>
      </c>
      <c r="J613" s="44" t="str">
        <f t="shared" si="88"/>
        <v>ZZ2B7401TX1</v>
      </c>
      <c r="K613" s="59" t="str">
        <f t="shared" si="85"/>
        <v>PD26010474</v>
      </c>
      <c r="L613" s="46" t="str" cm="1">
        <f t="array" ref="L613">IFERROR(_xlfn.IFS(
    LEN($A613)-LEN(SUBSTITUTE($A613,"|",""))=12, RIGHT(A613, LEN(A613)-FIND("~", SUBSTITUTE(A613,"|","~", LEN(A613)-LEN(SUBSTITUTE(A613,"|",""))))),
    LEN($A613)-LEN(SUBSTITUTE($A613,"|",""))=13, MID($A613, FIND("~", SUBSTITUTE($A613,"|","~", 11))+1, FIND("~", SUBSTITUTE($A613,"|","~", 12))-FIND("~", SUBSTITUTE($A613,"|","~", 11))-1),
    LEN($A613)-LEN(SUBSTITUTE($A613,"|",""))=14, MID($A613, FIND("~", SUBSTITUTE($A613,"|","~", 11))+1, FIND("~", SUBSTITUTE($A613,"|","~", 12))-FIND("~", SUBSTITUTE($A613,"|","~", 11))-1)
), "")</f>
        <v>1-79662</v>
      </c>
      <c r="M613" s="47" t="str">
        <f t="shared" si="83"/>
        <v>2B2600092</v>
      </c>
      <c r="N613" s="46" t="str">
        <f t="shared" si="86"/>
        <v/>
      </c>
      <c r="O613" s="60">
        <v>35</v>
      </c>
      <c r="P613" s="60">
        <v>1900</v>
      </c>
      <c r="Q613" s="48">
        <v>1680</v>
      </c>
      <c r="R613" s="48">
        <v>388</v>
      </c>
      <c r="S613" s="48"/>
      <c r="T613" s="48"/>
      <c r="U613" s="49"/>
      <c r="V613" s="49"/>
      <c r="W613" s="50">
        <f t="shared" si="84"/>
        <v>0</v>
      </c>
      <c r="X613" s="51" t="str">
        <f>IF(A613="", "", IF(COUNTIFS(C$3:C612, C613, D$3:D612, D613, G$3:G612, G613) &gt; 0, "", "11:00"-AW613))</f>
        <v/>
      </c>
      <c r="Y613" s="52" t="str">
        <f t="shared" si="89"/>
        <v/>
      </c>
      <c r="Z613" s="53"/>
      <c r="AA613" s="54"/>
      <c r="AB613" s="53"/>
      <c r="AC613" s="54"/>
      <c r="AD613" s="53"/>
      <c r="AE613" s="54"/>
      <c r="AF613" s="53"/>
      <c r="AG613" s="54"/>
      <c r="AH613" s="55">
        <v>4.1666666666666699E-2</v>
      </c>
      <c r="AI613" s="53"/>
      <c r="AJ613" s="54"/>
      <c r="AK613" s="53"/>
      <c r="AL613" s="54"/>
      <c r="AM613" s="53"/>
      <c r="AN613" s="54"/>
      <c r="AO613" s="53"/>
      <c r="AP613" s="54"/>
      <c r="AQ613" s="53"/>
      <c r="AR613" s="54"/>
      <c r="AS613" s="53"/>
      <c r="AT613" s="54"/>
      <c r="AU613" s="53">
        <v>4.1666666666666699E-2</v>
      </c>
      <c r="AV613" s="54" t="s">
        <v>37</v>
      </c>
      <c r="AW613" s="57">
        <f t="shared" si="91"/>
        <v>4.1666666666666699E-2</v>
      </c>
      <c r="AX613" s="58" t="s">
        <v>203</v>
      </c>
    </row>
    <row r="614" spans="1:50" ht="21.75" customHeight="1">
      <c r="A614" s="38" t="s">
        <v>546</v>
      </c>
      <c r="B614" s="39">
        <f t="shared" si="90"/>
        <v>610</v>
      </c>
      <c r="C614" s="40">
        <v>46038</v>
      </c>
      <c r="D614" s="40" t="s">
        <v>80</v>
      </c>
      <c r="E614" s="40" t="s">
        <v>33</v>
      </c>
      <c r="F614" s="41">
        <v>111.6</v>
      </c>
      <c r="G614" s="42" t="s">
        <v>41</v>
      </c>
      <c r="H614" s="43" t="str">
        <f>IFERROR(VLOOKUP($J614,'[9]FROM (3)'!$E$4:$F$230,2,FALSE),"")</f>
        <v>(Astemo)AS-TK</v>
      </c>
      <c r="I614" s="44" t="str">
        <f t="shared" si="87"/>
        <v>CAP RESERVOIR</v>
      </c>
      <c r="J614" s="44" t="str">
        <f t="shared" si="88"/>
        <v>8A10524</v>
      </c>
      <c r="K614" s="59" t="str">
        <f t="shared" si="85"/>
        <v>PD26010109</v>
      </c>
      <c r="L614" s="46" t="str" cm="1">
        <f t="array" ref="L614">IFERROR(_xlfn.IFS(
    LEN($A614)-LEN(SUBSTITUTE($A614,"|",""))=12, RIGHT(A614, LEN(A614)-FIND("~", SUBSTITUTE(A614,"|","~", LEN(A614)-LEN(SUBSTITUTE(A614,"|",""))))),
    LEN($A614)-LEN(SUBSTITUTE($A614,"|",""))=13, MID($A614, FIND("~", SUBSTITUTE($A614,"|","~", 11))+1, FIND("~", SUBSTITUTE($A614,"|","~", 12))-FIND("~", SUBSTITUTE($A614,"|","~", 11))-1),
    LEN($A614)-LEN(SUBSTITUTE($A614,"|",""))=14, MID($A614, FIND("~", SUBSTITUTE($A614,"|","~", 11))+1, FIND("~", SUBSTITUTE($A614,"|","~", 12))-FIND("~", SUBSTITUTE($A614,"|","~", 11))-1)
), "")</f>
        <v>3V096</v>
      </c>
      <c r="M614" s="47" t="str">
        <f t="shared" si="83"/>
        <v>SB010003/3/26</v>
      </c>
      <c r="N614" s="46" t="str">
        <f t="shared" si="86"/>
        <v/>
      </c>
      <c r="O614" s="60"/>
      <c r="P614" s="60"/>
      <c r="Q614" s="48">
        <v>4372</v>
      </c>
      <c r="R614" s="48">
        <v>488</v>
      </c>
      <c r="S614" s="48"/>
      <c r="T614" s="48"/>
      <c r="U614" s="49"/>
      <c r="V614" s="49"/>
      <c r="W614" s="50">
        <f t="shared" si="84"/>
        <v>0</v>
      </c>
      <c r="X614" s="51">
        <f>IF(A614="", "", IF(COUNTIFS(C$3:C613, C614, D$3:D613, D614, G$3:G613, G614) &gt; 0, "", "11:00"-AW614))</f>
        <v>0.41666666666666663</v>
      </c>
      <c r="Y614" s="52" t="str">
        <f t="shared" si="89"/>
        <v>1:40</v>
      </c>
      <c r="Z614" s="53"/>
      <c r="AA614" s="54"/>
      <c r="AB614" s="53"/>
      <c r="AC614" s="54"/>
      <c r="AD614" s="53"/>
      <c r="AE614" s="54"/>
      <c r="AF614" s="53"/>
      <c r="AG614" s="54"/>
      <c r="AH614" s="55">
        <v>4.1666666666666699E-2</v>
      </c>
      <c r="AI614" s="53"/>
      <c r="AJ614" s="54"/>
      <c r="AK614" s="53"/>
      <c r="AL614" s="54"/>
      <c r="AM614" s="53"/>
      <c r="AN614" s="54"/>
      <c r="AO614" s="53"/>
      <c r="AP614" s="54"/>
      <c r="AQ614" s="53"/>
      <c r="AR614" s="54"/>
      <c r="AS614" s="53"/>
      <c r="AT614" s="54"/>
      <c r="AU614" s="53">
        <v>4.1666666666666699E-2</v>
      </c>
      <c r="AV614" s="54" t="s">
        <v>37</v>
      </c>
      <c r="AW614" s="57">
        <f t="shared" si="91"/>
        <v>4.1666666666666699E-2</v>
      </c>
      <c r="AX614" s="58"/>
    </row>
    <row r="615" spans="1:50" ht="21.75" customHeight="1">
      <c r="A615" s="38" t="s">
        <v>561</v>
      </c>
      <c r="B615" s="39">
        <f t="shared" si="90"/>
        <v>611</v>
      </c>
      <c r="C615" s="40">
        <v>46038</v>
      </c>
      <c r="D615" s="40" t="s">
        <v>80</v>
      </c>
      <c r="E615" s="40" t="s">
        <v>33</v>
      </c>
      <c r="F615" s="41">
        <v>747.3</v>
      </c>
      <c r="G615" s="42" t="s">
        <v>54</v>
      </c>
      <c r="H615" s="43" t="str">
        <f>IFERROR(VLOOKUP($J615,'[9]FROM (3)'!$E$4:$F$230,2,FALSE),"")</f>
        <v>JTCS</v>
      </c>
      <c r="I615" s="44" t="str">
        <f t="shared" si="87"/>
        <v>RACK BAR</v>
      </c>
      <c r="J615" s="44" t="str">
        <f t="shared" si="88"/>
        <v>JGD10S000800-B</v>
      </c>
      <c r="K615" s="59" t="str">
        <f t="shared" si="85"/>
        <v>PD26010416</v>
      </c>
      <c r="L615" s="46" t="str" cm="1">
        <f t="array" ref="L615">IFERROR(_xlfn.IFS(
    LEN($A615)-LEN(SUBSTITUTE($A615,"|",""))=12, RIGHT(A615, LEN(A615)-FIND("~", SUBSTITUTE(A615,"|","~", LEN(A615)-LEN(SUBSTITUTE(A615,"|",""))))),
    LEN($A615)-LEN(SUBSTITUTE($A615,"|",""))=13, MID($A615, FIND("~", SUBSTITUTE($A615,"|","~", 11))+1, FIND("~", SUBSTITUTE($A615,"|","~", 12))-FIND("~", SUBSTITUTE($A615,"|","~", 11))-1),
    LEN($A615)-LEN(SUBSTITUTE($A615,"|",""))=14, MID($A615, FIND("~", SUBSTITUTE($A615,"|","~", 11))+1, FIND("~", SUBSTITUTE($A615,"|","~", 12))-FIND("~", SUBSTITUTE($A615,"|","~", 11))-1)
), "")</f>
        <v>E586236</v>
      </c>
      <c r="M615" s="47" t="str">
        <f t="shared" si="83"/>
        <v>SB010039/1/26</v>
      </c>
      <c r="N615" s="46" t="str">
        <f t="shared" si="86"/>
        <v/>
      </c>
      <c r="O615" s="60" t="s">
        <v>35</v>
      </c>
      <c r="P615" s="60" t="s">
        <v>35</v>
      </c>
      <c r="Q615" s="48">
        <v>99</v>
      </c>
      <c r="R615" s="48">
        <v>474</v>
      </c>
      <c r="S615" s="48"/>
      <c r="T615" s="48"/>
      <c r="U615" s="49"/>
      <c r="V615" s="49"/>
      <c r="W615" s="50">
        <f t="shared" si="84"/>
        <v>0</v>
      </c>
      <c r="X615" s="51">
        <f>IF(A615="", "", IF(COUNTIFS(C$3:C614, C615, D$3:D614, D615, G$3:G614, G615) &gt; 0, "", "11:00"-AW615))</f>
        <v>0.26388888888888884</v>
      </c>
      <c r="Y615" s="52" t="str">
        <f t="shared" si="89"/>
        <v>1:0</v>
      </c>
      <c r="Z615" s="53">
        <v>1.3888888888888888E-2</v>
      </c>
      <c r="AA615" s="54" t="s">
        <v>47</v>
      </c>
      <c r="AB615" s="53"/>
      <c r="AC615" s="54"/>
      <c r="AD615" s="53"/>
      <c r="AE615" s="54"/>
      <c r="AF615" s="53"/>
      <c r="AG615" s="54"/>
      <c r="AH615" s="55">
        <v>4.1666666666666699E-2</v>
      </c>
      <c r="AI615" s="53">
        <v>1.3888888888888888E-2</v>
      </c>
      <c r="AJ615" s="54" t="s">
        <v>82</v>
      </c>
      <c r="AK615" s="53">
        <v>4.1666666666666664E-2</v>
      </c>
      <c r="AL615" s="54" t="s">
        <v>67</v>
      </c>
      <c r="AM615" s="53"/>
      <c r="AN615" s="54"/>
      <c r="AO615" s="53"/>
      <c r="AP615" s="54"/>
      <c r="AQ615" s="53">
        <v>4.1666666666666664E-2</v>
      </c>
      <c r="AR615" s="54" t="s">
        <v>37</v>
      </c>
      <c r="AS615" s="53">
        <v>4.1666666666666664E-2</v>
      </c>
      <c r="AT615" s="54" t="s">
        <v>37</v>
      </c>
      <c r="AU615" s="53">
        <v>4.1666666666666699E-2</v>
      </c>
      <c r="AV615" s="54" t="s">
        <v>37</v>
      </c>
      <c r="AW615" s="57">
        <f t="shared" si="91"/>
        <v>0.19444444444444448</v>
      </c>
      <c r="AX615" s="58" t="s">
        <v>91</v>
      </c>
    </row>
    <row r="616" spans="1:50" ht="21.75" customHeight="1">
      <c r="A616" s="38" t="s">
        <v>573</v>
      </c>
      <c r="B616" s="39">
        <f t="shared" si="90"/>
        <v>612</v>
      </c>
      <c r="C616" s="40">
        <v>46038</v>
      </c>
      <c r="D616" s="40" t="s">
        <v>80</v>
      </c>
      <c r="E616" s="40" t="s">
        <v>33</v>
      </c>
      <c r="F616" s="41">
        <v>747.3</v>
      </c>
      <c r="G616" s="42" t="s">
        <v>54</v>
      </c>
      <c r="H616" s="43" t="str">
        <f>IFERROR(VLOOKUP($J616,'[9]FROM (3)'!$E$4:$F$230,2,FALSE),"")</f>
        <v>JTCS</v>
      </c>
      <c r="I616" s="44" t="str">
        <f t="shared" si="87"/>
        <v>RACK BAR</v>
      </c>
      <c r="J616" s="44" t="str">
        <f t="shared" si="88"/>
        <v>JGD10S000800-B</v>
      </c>
      <c r="K616" s="59" t="str">
        <f t="shared" si="85"/>
        <v>PD26010416</v>
      </c>
      <c r="L616" s="46" t="str" cm="1">
        <f t="array" ref="L616">IFERROR(_xlfn.IFS(
    LEN($A616)-LEN(SUBSTITUTE($A616,"|",""))=12, RIGHT(A616, LEN(A616)-FIND("~", SUBSTITUTE(A616,"|","~", LEN(A616)-LEN(SUBSTITUTE(A616,"|",""))))),
    LEN($A616)-LEN(SUBSTITUTE($A616,"|",""))=13, MID($A616, FIND("~", SUBSTITUTE($A616,"|","~", 11))+1, FIND("~", SUBSTITUTE($A616,"|","~", 12))-FIND("~", SUBSTITUTE($A616,"|","~", 11))-1),
    LEN($A616)-LEN(SUBSTITUTE($A616,"|",""))=14, MID($A616, FIND("~", SUBSTITUTE($A616,"|","~", 11))+1, FIND("~", SUBSTITUTE($A616,"|","~", 12))-FIND("~", SUBSTITUTE($A616,"|","~", 11))-1)
), "")</f>
        <v>E586236</v>
      </c>
      <c r="M616" s="47" t="str">
        <f t="shared" si="83"/>
        <v>SB010039/2/26</v>
      </c>
      <c r="N616" s="46" t="str">
        <f t="shared" si="86"/>
        <v/>
      </c>
      <c r="O616" s="60">
        <v>48</v>
      </c>
      <c r="P616" s="60">
        <v>971</v>
      </c>
      <c r="Q616" s="48">
        <v>192</v>
      </c>
      <c r="R616" s="48">
        <v>920</v>
      </c>
      <c r="S616" s="48"/>
      <c r="T616" s="48"/>
      <c r="U616" s="49"/>
      <c r="V616" s="49"/>
      <c r="W616" s="50">
        <f t="shared" si="84"/>
        <v>0</v>
      </c>
      <c r="X616" s="51" t="str">
        <f>IF(A616="", "", IF(COUNTIFS(C$3:C615, C616, D$3:D615, D616, G$3:G615, G616) &gt; 0, "", "11:00"-AW616))</f>
        <v/>
      </c>
      <c r="Y616" s="52" t="str">
        <f t="shared" si="89"/>
        <v/>
      </c>
      <c r="Z616" s="53"/>
      <c r="AA616" s="54"/>
      <c r="AB616" s="53"/>
      <c r="AC616" s="54"/>
      <c r="AD616" s="53"/>
      <c r="AE616" s="54"/>
      <c r="AF616" s="53"/>
      <c r="AG616" s="54"/>
      <c r="AH616" s="55">
        <v>4.1666666666666699E-2</v>
      </c>
      <c r="AI616" s="53"/>
      <c r="AJ616" s="54"/>
      <c r="AK616" s="53"/>
      <c r="AL616" s="54"/>
      <c r="AM616" s="53"/>
      <c r="AN616" s="54"/>
      <c r="AO616" s="53"/>
      <c r="AP616" s="54"/>
      <c r="AQ616" s="53"/>
      <c r="AR616" s="54"/>
      <c r="AS616" s="53"/>
      <c r="AT616" s="54"/>
      <c r="AU616" s="53">
        <v>4.1666666666666699E-2</v>
      </c>
      <c r="AV616" s="54" t="s">
        <v>37</v>
      </c>
      <c r="AW616" s="57">
        <f t="shared" si="91"/>
        <v>4.1666666666666699E-2</v>
      </c>
      <c r="AX616" s="58" t="s">
        <v>91</v>
      </c>
    </row>
    <row r="617" spans="1:50" ht="21.75" customHeight="1">
      <c r="A617" s="38" t="s">
        <v>574</v>
      </c>
      <c r="B617" s="39">
        <f t="shared" si="90"/>
        <v>613</v>
      </c>
      <c r="C617" s="40">
        <v>46038</v>
      </c>
      <c r="D617" s="40" t="s">
        <v>80</v>
      </c>
      <c r="E617" s="40" t="s">
        <v>33</v>
      </c>
      <c r="F617" s="41">
        <v>747.3</v>
      </c>
      <c r="G617" s="42" t="s">
        <v>54</v>
      </c>
      <c r="H617" s="43" t="str">
        <f>IFERROR(VLOOKUP($J617,'[9]FROM (3)'!$E$4:$F$230,2,FALSE),"")</f>
        <v>JTCS</v>
      </c>
      <c r="I617" s="44" t="str">
        <f t="shared" si="87"/>
        <v>RACK BAR</v>
      </c>
      <c r="J617" s="44" t="str">
        <f t="shared" si="88"/>
        <v>JGD10S000800-B</v>
      </c>
      <c r="K617" s="59" t="str">
        <f t="shared" si="85"/>
        <v>PD26010416</v>
      </c>
      <c r="L617" s="46" t="str" cm="1">
        <f t="array" ref="L617">IFERROR(_xlfn.IFS(
    LEN($A617)-LEN(SUBSTITUTE($A617,"|",""))=12, RIGHT(A617, LEN(A617)-FIND("~", SUBSTITUTE(A617,"|","~", LEN(A617)-LEN(SUBSTITUTE(A617,"|",""))))),
    LEN($A617)-LEN(SUBSTITUTE($A617,"|",""))=13, MID($A617, FIND("~", SUBSTITUTE($A617,"|","~", 11))+1, FIND("~", SUBSTITUTE($A617,"|","~", 12))-FIND("~", SUBSTITUTE($A617,"|","~", 11))-1),
    LEN($A617)-LEN(SUBSTITUTE($A617,"|",""))=14, MID($A617, FIND("~", SUBSTITUTE($A617,"|","~", 11))+1, FIND("~", SUBSTITUTE($A617,"|","~", 12))-FIND("~", SUBSTITUTE($A617,"|","~", 11))-1)
), "")</f>
        <v>E586236</v>
      </c>
      <c r="M617" s="47" t="str">
        <f t="shared" si="83"/>
        <v>SB010039/3/26</v>
      </c>
      <c r="N617" s="46" t="str">
        <f t="shared" si="86"/>
        <v/>
      </c>
      <c r="O617" s="60">
        <v>48</v>
      </c>
      <c r="P617" s="60">
        <v>971</v>
      </c>
      <c r="Q617" s="48">
        <v>192</v>
      </c>
      <c r="R617" s="48">
        <v>920</v>
      </c>
      <c r="S617" s="48"/>
      <c r="T617" s="48"/>
      <c r="U617" s="49">
        <v>159</v>
      </c>
      <c r="V617" s="49">
        <v>9</v>
      </c>
      <c r="W617" s="50">
        <f t="shared" si="84"/>
        <v>168</v>
      </c>
      <c r="X617" s="51" t="str">
        <f>IF(A617="", "", IF(COUNTIFS(C$3:C616, C617, D$3:D616, D617, G$3:G616, G617) &gt; 0, "", "11:00"-AW617))</f>
        <v/>
      </c>
      <c r="Y617" s="52" t="str">
        <f t="shared" si="89"/>
        <v/>
      </c>
      <c r="Z617" s="53"/>
      <c r="AA617" s="54"/>
      <c r="AB617" s="53"/>
      <c r="AC617" s="54"/>
      <c r="AD617" s="53"/>
      <c r="AE617" s="54"/>
      <c r="AF617" s="53"/>
      <c r="AG617" s="54"/>
      <c r="AH617" s="55">
        <v>4.1666666666666699E-2</v>
      </c>
      <c r="AI617" s="53"/>
      <c r="AJ617" s="54"/>
      <c r="AK617" s="53"/>
      <c r="AL617" s="54"/>
      <c r="AM617" s="53"/>
      <c r="AN617" s="54"/>
      <c r="AO617" s="53"/>
      <c r="AP617" s="54"/>
      <c r="AQ617" s="53"/>
      <c r="AR617" s="54"/>
      <c r="AS617" s="53"/>
      <c r="AT617" s="54"/>
      <c r="AU617" s="53">
        <v>4.1666666666666699E-2</v>
      </c>
      <c r="AV617" s="54" t="s">
        <v>37</v>
      </c>
      <c r="AW617" s="57">
        <f t="shared" si="91"/>
        <v>4.1666666666666699E-2</v>
      </c>
      <c r="AX617" s="58" t="s">
        <v>91</v>
      </c>
    </row>
    <row r="618" spans="1:50" ht="21.75" customHeight="1">
      <c r="A618" s="38" t="s">
        <v>575</v>
      </c>
      <c r="B618" s="39">
        <f t="shared" si="90"/>
        <v>614</v>
      </c>
      <c r="C618" s="40">
        <v>46038</v>
      </c>
      <c r="D618" s="40" t="s">
        <v>80</v>
      </c>
      <c r="E618" s="40" t="s">
        <v>33</v>
      </c>
      <c r="F618" s="41">
        <v>546.79999999999995</v>
      </c>
      <c r="G618" s="42" t="s">
        <v>54</v>
      </c>
      <c r="H618" s="43" t="str">
        <f>IFERROR(VLOOKUP($J618,'[9]FROM (3)'!$E$4:$F$230,2,FALSE),"")</f>
        <v>JTCS</v>
      </c>
      <c r="I618" s="44" t="str">
        <f t="shared" si="87"/>
        <v>RACK BAR</v>
      </c>
      <c r="J618" s="44" t="str">
        <f t="shared" si="88"/>
        <v>C10S028000</v>
      </c>
      <c r="K618" s="59" t="str">
        <f t="shared" si="85"/>
        <v>PD26010613</v>
      </c>
      <c r="L618" s="46" t="str" cm="1">
        <f t="array" ref="L618">IFERROR(_xlfn.IFS(
    LEN($A618)-LEN(SUBSTITUTE($A618,"|",""))=12, RIGHT(A618, LEN(A618)-FIND("~", SUBSTITUTE(A618,"|","~", LEN(A618)-LEN(SUBSTITUTE(A618,"|",""))))),
    LEN($A618)-LEN(SUBSTITUTE($A618,"|",""))=13, MID($A618, FIND("~", SUBSTITUTE($A618,"|","~", 11))+1, FIND("~", SUBSTITUTE($A618,"|","~", 12))-FIND("~", SUBSTITUTE($A618,"|","~", 11))-1),
    LEN($A618)-LEN(SUBSTITUTE($A618,"|",""))=14, MID($A618, FIND("~", SUBSTITUTE($A618,"|","~", 11))+1, FIND("~", SUBSTITUTE($A618,"|","~", 12))-FIND("~", SUBSTITUTE($A618,"|","~", 11))-1)
), "")</f>
        <v>E586613</v>
      </c>
      <c r="M618" s="47" t="str">
        <f t="shared" si="83"/>
        <v>SB010067/2/26</v>
      </c>
      <c r="N618" s="46" t="str">
        <f t="shared" si="86"/>
        <v/>
      </c>
      <c r="O618" s="60">
        <v>59</v>
      </c>
      <c r="P618" s="60">
        <v>856</v>
      </c>
      <c r="Q618" s="48">
        <v>230</v>
      </c>
      <c r="R618" s="48">
        <v>524</v>
      </c>
      <c r="S618" s="48"/>
      <c r="T618" s="48"/>
      <c r="U618" s="49"/>
      <c r="V618" s="49"/>
      <c r="W618" s="50">
        <f t="shared" si="84"/>
        <v>0</v>
      </c>
      <c r="X618" s="51" t="str">
        <f>IF(A618="", "", IF(COUNTIFS(C$3:C617, C618, D$3:D617, D618, G$3:G617, G618) &gt; 0, "", "11:00"-AW618))</f>
        <v/>
      </c>
      <c r="Y618" s="52" t="str">
        <f t="shared" si="89"/>
        <v/>
      </c>
      <c r="Z618" s="53"/>
      <c r="AA618" s="54"/>
      <c r="AB618" s="53"/>
      <c r="AC618" s="54"/>
      <c r="AD618" s="53"/>
      <c r="AE618" s="54"/>
      <c r="AF618" s="53"/>
      <c r="AG618" s="54"/>
      <c r="AH618" s="55">
        <v>4.1666666666666699E-2</v>
      </c>
      <c r="AI618" s="53"/>
      <c r="AJ618" s="54"/>
      <c r="AK618" s="53"/>
      <c r="AL618" s="54"/>
      <c r="AM618" s="53"/>
      <c r="AN618" s="54"/>
      <c r="AO618" s="53"/>
      <c r="AP618" s="54"/>
      <c r="AQ618" s="53"/>
      <c r="AR618" s="54"/>
      <c r="AS618" s="53"/>
      <c r="AT618" s="54"/>
      <c r="AU618" s="53">
        <v>4.1666666666666699E-2</v>
      </c>
      <c r="AV618" s="54" t="s">
        <v>37</v>
      </c>
      <c r="AW618" s="57">
        <f t="shared" si="91"/>
        <v>4.1666666666666699E-2</v>
      </c>
      <c r="AX618" s="58" t="s">
        <v>91</v>
      </c>
    </row>
    <row r="619" spans="1:50" ht="21.75" customHeight="1">
      <c r="A619" s="38" t="s">
        <v>551</v>
      </c>
      <c r="B619" s="39">
        <f t="shared" si="90"/>
        <v>615</v>
      </c>
      <c r="C619" s="40">
        <v>46038</v>
      </c>
      <c r="D619" s="40" t="s">
        <v>80</v>
      </c>
      <c r="E619" s="40" t="s">
        <v>33</v>
      </c>
      <c r="F619" s="41">
        <v>597.4</v>
      </c>
      <c r="G619" s="42" t="s">
        <v>75</v>
      </c>
      <c r="H619" s="43" t="str">
        <f>IFERROR(VLOOKUP($J619,'[9]FROM (3)'!$E$4:$F$230,2,FALSE),"")</f>
        <v>JTCS</v>
      </c>
      <c r="I619" s="44" t="str">
        <f t="shared" si="87"/>
        <v>Rack, MS</v>
      </c>
      <c r="J619" s="44" t="str">
        <f t="shared" si="88"/>
        <v>JGC10-003770-40-0</v>
      </c>
      <c r="K619" s="59" t="str">
        <f t="shared" si="85"/>
        <v>PD26010618</v>
      </c>
      <c r="L619" s="46" t="str" cm="1">
        <f t="array" ref="L619">IFERROR(_xlfn.IFS(
    LEN($A619)-LEN(SUBSTITUTE($A619,"|",""))=12, RIGHT(A619, LEN(A619)-FIND("~", SUBSTITUTE(A619,"|","~", LEN(A619)-LEN(SUBSTITUTE(A619,"|",""))))),
    LEN($A619)-LEN(SUBSTITUTE($A619,"|",""))=13, MID($A619, FIND("~", SUBSTITUTE($A619,"|","~", 11))+1, FIND("~", SUBSTITUTE($A619,"|","~", 12))-FIND("~", SUBSTITUTE($A619,"|","~", 11))-1),
    LEN($A619)-LEN(SUBSTITUTE($A619,"|",""))=14, MID($A619, FIND("~", SUBSTITUTE($A619,"|","~", 11))+1, FIND("~", SUBSTITUTE($A619,"|","~", 12))-FIND("~", SUBSTITUTE($A619,"|","~", 11))-1)
), "")</f>
        <v>E585971</v>
      </c>
      <c r="M619" s="47" t="str">
        <f t="shared" si="83"/>
        <v>SB010052/2/26</v>
      </c>
      <c r="N619" s="46" t="str">
        <f t="shared" si="86"/>
        <v/>
      </c>
      <c r="O619" s="60"/>
      <c r="P619" s="60"/>
      <c r="Q619" s="48">
        <v>311</v>
      </c>
      <c r="R619" s="48">
        <v>659</v>
      </c>
      <c r="S619" s="48"/>
      <c r="T619" s="48"/>
      <c r="U619" s="49"/>
      <c r="V619" s="49"/>
      <c r="W619" s="50">
        <f t="shared" si="84"/>
        <v>0</v>
      </c>
      <c r="X619" s="51">
        <f>IF(A619="", "", IF(COUNTIFS(C$3:C618, C619, D$3:D618, D619, G$3:G618, G619) &gt; 0, "", "11:00"-AW619))</f>
        <v>0.29166666666666663</v>
      </c>
      <c r="Y619" s="52" t="str">
        <f t="shared" si="89"/>
        <v>1:0</v>
      </c>
      <c r="Z619" s="53"/>
      <c r="AA619" s="54"/>
      <c r="AB619" s="53"/>
      <c r="AC619" s="54"/>
      <c r="AD619" s="53"/>
      <c r="AE619" s="54"/>
      <c r="AF619" s="53"/>
      <c r="AG619" s="54"/>
      <c r="AH619" s="55">
        <v>4.1666666666666699E-2</v>
      </c>
      <c r="AI619" s="53"/>
      <c r="AJ619" s="54"/>
      <c r="AK619" s="53"/>
      <c r="AL619" s="54"/>
      <c r="AM619" s="53">
        <v>4.1666666666666664E-2</v>
      </c>
      <c r="AN619" s="54" t="s">
        <v>67</v>
      </c>
      <c r="AO619" s="53"/>
      <c r="AP619" s="54"/>
      <c r="AQ619" s="53">
        <v>4.1666666666666664E-2</v>
      </c>
      <c r="AR619" s="54" t="s">
        <v>37</v>
      </c>
      <c r="AS619" s="53">
        <v>4.1666666666666664E-2</v>
      </c>
      <c r="AT619" s="54" t="s">
        <v>37</v>
      </c>
      <c r="AU619" s="53">
        <v>4.1666666666666699E-2</v>
      </c>
      <c r="AV619" s="54" t="s">
        <v>37</v>
      </c>
      <c r="AW619" s="57">
        <f t="shared" si="91"/>
        <v>0.16666666666666669</v>
      </c>
      <c r="AX619" s="58" t="s">
        <v>101</v>
      </c>
    </row>
    <row r="620" spans="1:50" ht="21.75" customHeight="1">
      <c r="A620" s="38" t="s">
        <v>576</v>
      </c>
      <c r="B620" s="39">
        <f t="shared" si="90"/>
        <v>616</v>
      </c>
      <c r="C620" s="40">
        <v>46038</v>
      </c>
      <c r="D620" s="40" t="s">
        <v>80</v>
      </c>
      <c r="E620" s="40" t="s">
        <v>33</v>
      </c>
      <c r="F620" s="41">
        <v>597.4</v>
      </c>
      <c r="G620" s="42" t="s">
        <v>75</v>
      </c>
      <c r="H620" s="43" t="str">
        <f>IFERROR(VLOOKUP($J620,'[9]FROM (3)'!$E$4:$F$230,2,FALSE),"")</f>
        <v>JTCS</v>
      </c>
      <c r="I620" s="44" t="str">
        <f t="shared" si="87"/>
        <v>Rack, MS</v>
      </c>
      <c r="J620" s="44" t="str">
        <f t="shared" si="88"/>
        <v>JGC10-003770-40-0</v>
      </c>
      <c r="K620" s="59" t="str">
        <f t="shared" si="85"/>
        <v>PD26010618</v>
      </c>
      <c r="L620" s="46" t="str" cm="1">
        <f t="array" ref="L620">IFERROR(_xlfn.IFS(
    LEN($A620)-LEN(SUBSTITUTE($A620,"|",""))=12, RIGHT(A620, LEN(A620)-FIND("~", SUBSTITUTE(A620,"|","~", LEN(A620)-LEN(SUBSTITUTE(A620,"|",""))))),
    LEN($A620)-LEN(SUBSTITUTE($A620,"|",""))=13, MID($A620, FIND("~", SUBSTITUTE($A620,"|","~", 11))+1, FIND("~", SUBSTITUTE($A620,"|","~", 12))-FIND("~", SUBSTITUTE($A620,"|","~", 11))-1),
    LEN($A620)-LEN(SUBSTITUTE($A620,"|",""))=14, MID($A620, FIND("~", SUBSTITUTE($A620,"|","~", 11))+1, FIND("~", SUBSTITUTE($A620,"|","~", 12))-FIND("~", SUBSTITUTE($A620,"|","~", 11))-1)
), "")</f>
        <v>E585971</v>
      </c>
      <c r="M620" s="47" t="str">
        <f t="shared" si="83"/>
        <v>SB010052/1/26</v>
      </c>
      <c r="N620" s="46" t="str">
        <f t="shared" si="86"/>
        <v/>
      </c>
      <c r="O620" s="60">
        <v>80</v>
      </c>
      <c r="P620" s="60">
        <v>900</v>
      </c>
      <c r="Q620" s="48">
        <v>400</v>
      </c>
      <c r="R620" s="48">
        <v>848</v>
      </c>
      <c r="S620" s="48"/>
      <c r="T620" s="48"/>
      <c r="U620" s="49">
        <v>147</v>
      </c>
      <c r="V620" s="49">
        <v>10</v>
      </c>
      <c r="W620" s="50">
        <f t="shared" si="84"/>
        <v>157</v>
      </c>
      <c r="X620" s="51" t="str">
        <f>IF(A620="", "", IF(COUNTIFS(C$3:C619, C620, D$3:D619, D620, G$3:G619, G620) &gt; 0, "", "11:00"-AW620))</f>
        <v/>
      </c>
      <c r="Y620" s="52" t="str">
        <f t="shared" si="89"/>
        <v/>
      </c>
      <c r="Z620" s="53"/>
      <c r="AA620" s="54"/>
      <c r="AB620" s="53"/>
      <c r="AC620" s="54"/>
      <c r="AD620" s="53"/>
      <c r="AE620" s="54"/>
      <c r="AF620" s="53"/>
      <c r="AG620" s="54"/>
      <c r="AH620" s="55">
        <v>4.1666666666666699E-2</v>
      </c>
      <c r="AI620" s="53"/>
      <c r="AJ620" s="54"/>
      <c r="AK620" s="53"/>
      <c r="AL620" s="54"/>
      <c r="AM620" s="53"/>
      <c r="AN620" s="54"/>
      <c r="AO620" s="53"/>
      <c r="AP620" s="54"/>
      <c r="AQ620" s="53"/>
      <c r="AR620" s="54"/>
      <c r="AS620" s="53"/>
      <c r="AT620" s="54"/>
      <c r="AU620" s="53">
        <v>4.1666666666666699E-2</v>
      </c>
      <c r="AV620" s="54" t="s">
        <v>37</v>
      </c>
      <c r="AW620" s="57">
        <f t="shared" si="91"/>
        <v>4.1666666666666699E-2</v>
      </c>
      <c r="AX620" s="58" t="s">
        <v>101</v>
      </c>
    </row>
    <row r="621" spans="1:50" ht="21.75" customHeight="1">
      <c r="A621" s="38" t="s">
        <v>577</v>
      </c>
      <c r="B621" s="39">
        <f t="shared" si="90"/>
        <v>617</v>
      </c>
      <c r="C621" s="40">
        <v>46038</v>
      </c>
      <c r="D621" s="40" t="s">
        <v>80</v>
      </c>
      <c r="E621" s="40" t="s">
        <v>33</v>
      </c>
      <c r="F621" s="41">
        <v>719.6</v>
      </c>
      <c r="G621" s="42" t="s">
        <v>75</v>
      </c>
      <c r="H621" s="43" t="str">
        <f>IFERROR(VLOOKUP($J621,'[9]FROM (3)'!$E$4:$F$230,2,FALSE),"")</f>
        <v>JAMY</v>
      </c>
      <c r="I621" s="44" t="str">
        <f t="shared" si="87"/>
        <v>RACK BAR</v>
      </c>
      <c r="J621" s="44" t="str">
        <f t="shared" si="88"/>
        <v>JGD10S000830-51-0</v>
      </c>
      <c r="K621" s="59" t="str">
        <f t="shared" si="85"/>
        <v>PD26010675</v>
      </c>
      <c r="L621" s="46" t="str" cm="1">
        <f t="array" ref="L621">IFERROR(_xlfn.IFS(
    LEN($A621)-LEN(SUBSTITUTE($A621,"|",""))=12, RIGHT(A621, LEN(A621)-FIND("~", SUBSTITUTE(A621,"|","~", LEN(A621)-LEN(SUBSTITUTE(A621,"|",""))))),
    LEN($A621)-LEN(SUBSTITUTE($A621,"|",""))=13, MID($A621, FIND("~", SUBSTITUTE($A621,"|","~", 11))+1, FIND("~", SUBSTITUTE($A621,"|","~", 12))-FIND("~", SUBSTITUTE($A621,"|","~", 11))-1),
    LEN($A621)-LEN(SUBSTITUTE($A621,"|",""))=14, MID($A621, FIND("~", SUBSTITUTE($A621,"|","~", 11))+1, FIND("~", SUBSTITUTE($A621,"|","~", 12))-FIND("~", SUBSTITUTE($A621,"|","~", 11))-1)
), "")</f>
        <v>E586442</v>
      </c>
      <c r="M621" s="47" t="str">
        <f t="shared" si="83"/>
        <v>SB010073/6/26</v>
      </c>
      <c r="N621" s="46" t="str">
        <f t="shared" si="86"/>
        <v/>
      </c>
      <c r="O621" s="60">
        <v>50</v>
      </c>
      <c r="P621" s="60">
        <v>864</v>
      </c>
      <c r="Q621" s="48">
        <v>95</v>
      </c>
      <c r="R621" s="48">
        <v>386</v>
      </c>
      <c r="S621" s="48"/>
      <c r="T621" s="48"/>
      <c r="U621" s="49"/>
      <c r="V621" s="49"/>
      <c r="W621" s="50">
        <f t="shared" si="84"/>
        <v>0</v>
      </c>
      <c r="X621" s="51" t="str">
        <f>IF(A621="", "", IF(COUNTIFS(C$3:C620, C621, D$3:D620, D621, G$3:G620, G621) &gt; 0, "", "11:00"-AW621))</f>
        <v/>
      </c>
      <c r="Y621" s="52" t="str">
        <f t="shared" si="89"/>
        <v/>
      </c>
      <c r="Z621" s="53"/>
      <c r="AA621" s="54"/>
      <c r="AB621" s="53"/>
      <c r="AC621" s="54"/>
      <c r="AD621" s="53"/>
      <c r="AE621" s="54"/>
      <c r="AF621" s="53"/>
      <c r="AG621" s="54"/>
      <c r="AH621" s="55">
        <v>4.1666666666666699E-2</v>
      </c>
      <c r="AI621" s="53"/>
      <c r="AJ621" s="54"/>
      <c r="AK621" s="53"/>
      <c r="AL621" s="54"/>
      <c r="AM621" s="53"/>
      <c r="AN621" s="54"/>
      <c r="AO621" s="53"/>
      <c r="AP621" s="54"/>
      <c r="AQ621" s="53"/>
      <c r="AR621" s="54"/>
      <c r="AS621" s="53"/>
      <c r="AT621" s="54"/>
      <c r="AU621" s="53">
        <v>4.1666666666666699E-2</v>
      </c>
      <c r="AV621" s="54" t="s">
        <v>37</v>
      </c>
      <c r="AW621" s="57">
        <f t="shared" si="91"/>
        <v>4.1666666666666699E-2</v>
      </c>
      <c r="AX621" s="58" t="s">
        <v>101</v>
      </c>
    </row>
    <row r="622" spans="1:50" ht="21.75" customHeight="1">
      <c r="A622" s="38" t="s">
        <v>565</v>
      </c>
      <c r="B622" s="39">
        <f t="shared" si="90"/>
        <v>618</v>
      </c>
      <c r="C622" s="40">
        <v>46038</v>
      </c>
      <c r="D622" s="40" t="s">
        <v>80</v>
      </c>
      <c r="E622" s="40" t="s">
        <v>33</v>
      </c>
      <c r="F622" s="41">
        <v>655.4</v>
      </c>
      <c r="G622" s="42" t="s">
        <v>66</v>
      </c>
      <c r="H622" s="43" t="str">
        <f>IFERROR(VLOOKUP($J622,'[9]FROM (3)'!$E$4:$F$230,2,FALSE),"")</f>
        <v>JAMY</v>
      </c>
      <c r="I622" s="44" t="str">
        <f t="shared" si="87"/>
        <v>RACK BAR</v>
      </c>
      <c r="J622" s="44" t="str">
        <f t="shared" si="88"/>
        <v>JGC10-M09008-51-0</v>
      </c>
      <c r="K622" s="59" t="str">
        <f t="shared" si="85"/>
        <v>PD26010567</v>
      </c>
      <c r="L622" s="46" t="str" cm="1">
        <f t="array" ref="L622">IFERROR(_xlfn.IFS(
    LEN($A622)-LEN(SUBSTITUTE($A622,"|",""))=12, RIGHT(A622, LEN(A622)-FIND("~", SUBSTITUTE(A622,"|","~", LEN(A622)-LEN(SUBSTITUTE(A622,"|",""))))),
    LEN($A622)-LEN(SUBSTITUTE($A622,"|",""))=13, MID($A622, FIND("~", SUBSTITUTE($A622,"|","~", 11))+1, FIND("~", SUBSTITUTE($A622,"|","~", 12))-FIND("~", SUBSTITUTE($A622,"|","~", 11))-1),
    LEN($A622)-LEN(SUBSTITUTE($A622,"|",""))=14, MID($A622, FIND("~", SUBSTITUTE($A622,"|","~", 11))+1, FIND("~", SUBSTITUTE($A622,"|","~", 12))-FIND("~", SUBSTITUTE($A622,"|","~", 11))-1)
), "")</f>
        <v>E586966</v>
      </c>
      <c r="M622" s="47" t="str">
        <f t="shared" si="83"/>
        <v>SB010053/4/26</v>
      </c>
      <c r="N622" s="46" t="str">
        <f t="shared" si="86"/>
        <v/>
      </c>
      <c r="O622" s="60" t="s">
        <v>35</v>
      </c>
      <c r="P622" s="60" t="s">
        <v>35</v>
      </c>
      <c r="Q622" s="48">
        <v>58</v>
      </c>
      <c r="R622" s="48">
        <v>158</v>
      </c>
      <c r="S622" s="48"/>
      <c r="T622" s="49"/>
      <c r="U622" s="65">
        <v>100</v>
      </c>
      <c r="V622" s="49">
        <v>6</v>
      </c>
      <c r="W622" s="50">
        <f>SUM(T622:V622)</f>
        <v>106</v>
      </c>
      <c r="X622" s="51">
        <f>IF(A622="", "", IF(COUNTIFS(C$3:C621, C622, D$3:D621, D622, G$3:G621, G622) &gt; 0, "", "11:00"-AW622))</f>
        <v>0.29166666666666663</v>
      </c>
      <c r="Y622" s="52" t="str">
        <f t="shared" si="89"/>
        <v>1:0</v>
      </c>
      <c r="Z622" s="53"/>
      <c r="AA622" s="54"/>
      <c r="AB622" s="53"/>
      <c r="AC622" s="54"/>
      <c r="AD622" s="53"/>
      <c r="AE622" s="54"/>
      <c r="AF622" s="53">
        <v>4.1666666666666664E-2</v>
      </c>
      <c r="AG622" s="54" t="s">
        <v>67</v>
      </c>
      <c r="AH622" s="55">
        <v>4.1666666666666699E-2</v>
      </c>
      <c r="AI622" s="53"/>
      <c r="AJ622" s="54"/>
      <c r="AK622" s="53"/>
      <c r="AL622" s="54"/>
      <c r="AM622" s="53"/>
      <c r="AN622" s="54"/>
      <c r="AO622" s="53"/>
      <c r="AP622" s="54"/>
      <c r="AQ622" s="53">
        <v>4.1666666666666664E-2</v>
      </c>
      <c r="AR622" s="54" t="s">
        <v>37</v>
      </c>
      <c r="AS622" s="53">
        <v>4.1666666666666664E-2</v>
      </c>
      <c r="AT622" s="54" t="s">
        <v>37</v>
      </c>
      <c r="AU622" s="53">
        <v>4.1666666666666699E-2</v>
      </c>
      <c r="AV622" s="54" t="s">
        <v>37</v>
      </c>
      <c r="AW622" s="57">
        <f t="shared" si="91"/>
        <v>0.16666666666666669</v>
      </c>
      <c r="AX622" s="58" t="s">
        <v>96</v>
      </c>
    </row>
    <row r="623" spans="1:50" ht="21.75" customHeight="1">
      <c r="A623" s="38" t="s">
        <v>578</v>
      </c>
      <c r="B623" s="39">
        <f t="shared" si="90"/>
        <v>619</v>
      </c>
      <c r="C623" s="40">
        <v>46038</v>
      </c>
      <c r="D623" s="40" t="s">
        <v>80</v>
      </c>
      <c r="E623" s="40" t="s">
        <v>33</v>
      </c>
      <c r="F623" s="41">
        <v>655.4</v>
      </c>
      <c r="G623" s="42" t="s">
        <v>66</v>
      </c>
      <c r="H623" s="43" t="str">
        <f>IFERROR(VLOOKUP($J623,'[9]FROM (3)'!$E$4:$F$230,2,FALSE),"")</f>
        <v>JAMY</v>
      </c>
      <c r="I623" s="44" t="str">
        <f t="shared" si="87"/>
        <v>RACK BAR</v>
      </c>
      <c r="J623" s="44" t="str">
        <f t="shared" si="88"/>
        <v>JGC10-M09008-51-0</v>
      </c>
      <c r="K623" s="59" t="str">
        <f t="shared" si="85"/>
        <v>PD26010567</v>
      </c>
      <c r="L623" s="46" t="str" cm="1">
        <f t="array" ref="L623">IFERROR(_xlfn.IFS(
    LEN($A623)-LEN(SUBSTITUTE($A623,"|",""))=12, RIGHT(A623, LEN(A623)-FIND("~", SUBSTITUTE(A623,"|","~", LEN(A623)-LEN(SUBSTITUTE(A623,"|",""))))),
    LEN($A623)-LEN(SUBSTITUTE($A623,"|",""))=13, MID($A623, FIND("~", SUBSTITUTE($A623,"|","~", 11))+1, FIND("~", SUBSTITUTE($A623,"|","~", 12))-FIND("~", SUBSTITUTE($A623,"|","~", 11))-1),
    LEN($A623)-LEN(SUBSTITUTE($A623,"|",""))=14, MID($A623, FIND("~", SUBSTITUTE($A623,"|","~", 11))+1, FIND("~", SUBSTITUTE($A623,"|","~", 12))-FIND("~", SUBSTITUTE($A623,"|","~", 11))-1)
), "")</f>
        <v>E586966</v>
      </c>
      <c r="M623" s="47" t="str">
        <f t="shared" si="83"/>
        <v>SB010053/6/26</v>
      </c>
      <c r="N623" s="46" t="str">
        <f t="shared" si="86"/>
        <v/>
      </c>
      <c r="O623" s="60">
        <v>8</v>
      </c>
      <c r="P623" s="60">
        <v>116</v>
      </c>
      <c r="Q623" s="48">
        <v>28</v>
      </c>
      <c r="R623" s="48">
        <v>76</v>
      </c>
      <c r="S623" s="48">
        <v>12</v>
      </c>
      <c r="T623" s="48" t="s">
        <v>143</v>
      </c>
      <c r="U623" s="49"/>
      <c r="V623" s="49"/>
      <c r="W623" s="50">
        <f t="shared" ref="W623:W686" si="92">SUM(U623:V623)</f>
        <v>0</v>
      </c>
      <c r="X623" s="51" t="str">
        <f>IF(A623="", "", IF(COUNTIFS(C$3:C622, C623, D$3:D622, D623, G$3:G622, G623) &gt; 0, "", "11:00"-AW623))</f>
        <v/>
      </c>
      <c r="Y623" s="52" t="str">
        <f t="shared" si="89"/>
        <v/>
      </c>
      <c r="Z623" s="53"/>
      <c r="AA623" s="54"/>
      <c r="AB623" s="53"/>
      <c r="AC623" s="54"/>
      <c r="AD623" s="53"/>
      <c r="AE623" s="54"/>
      <c r="AF623" s="53"/>
      <c r="AG623" s="54"/>
      <c r="AH623" s="55">
        <v>4.1666666666666699E-2</v>
      </c>
      <c r="AI623" s="53"/>
      <c r="AJ623" s="54"/>
      <c r="AK623" s="53"/>
      <c r="AL623" s="54"/>
      <c r="AM623" s="53"/>
      <c r="AN623" s="54"/>
      <c r="AO623" s="53"/>
      <c r="AP623" s="54"/>
      <c r="AQ623" s="53"/>
      <c r="AR623" s="54"/>
      <c r="AS623" s="53"/>
      <c r="AT623" s="54"/>
      <c r="AU623" s="53">
        <v>4.1666666666666699E-2</v>
      </c>
      <c r="AV623" s="54" t="s">
        <v>37</v>
      </c>
      <c r="AW623" s="57">
        <f t="shared" si="91"/>
        <v>4.1666666666666699E-2</v>
      </c>
      <c r="AX623" s="58" t="s">
        <v>96</v>
      </c>
    </row>
    <row r="624" spans="1:50" ht="21.75" customHeight="1">
      <c r="A624" s="38" t="s">
        <v>579</v>
      </c>
      <c r="B624" s="39">
        <f t="shared" si="90"/>
        <v>620</v>
      </c>
      <c r="C624" s="40">
        <v>46038</v>
      </c>
      <c r="D624" s="40" t="s">
        <v>80</v>
      </c>
      <c r="E624" s="40" t="s">
        <v>33</v>
      </c>
      <c r="F624" s="41">
        <v>655.4</v>
      </c>
      <c r="G624" s="42" t="s">
        <v>66</v>
      </c>
      <c r="H624" s="43" t="str">
        <f>IFERROR(VLOOKUP($J624,'[9]FROM (3)'!$E$4:$F$230,2,FALSE),"")</f>
        <v>JAMY</v>
      </c>
      <c r="I624" s="44" t="str">
        <f t="shared" si="87"/>
        <v>RACK BAR</v>
      </c>
      <c r="J624" s="44" t="str">
        <f t="shared" si="88"/>
        <v>JGC10-M09008-51-0</v>
      </c>
      <c r="K624" s="59" t="str">
        <f t="shared" si="85"/>
        <v>PD26010567</v>
      </c>
      <c r="L624" s="46" t="str" cm="1">
        <f t="array" ref="L624">IFERROR(_xlfn.IFS(
    LEN($A624)-LEN(SUBSTITUTE($A624,"|",""))=12, RIGHT(A624, LEN(A624)-FIND("~", SUBSTITUTE(A624,"|","~", LEN(A624)-LEN(SUBSTITUTE(A624,"|",""))))),
    LEN($A624)-LEN(SUBSTITUTE($A624,"|",""))=13, MID($A624, FIND("~", SUBSTITUTE($A624,"|","~", 11))+1, FIND("~", SUBSTITUTE($A624,"|","~", 12))-FIND("~", SUBSTITUTE($A624,"|","~", 11))-1),
    LEN($A624)-LEN(SUBSTITUTE($A624,"|",""))=14, MID($A624, FIND("~", SUBSTITUTE($A624,"|","~", 11))+1, FIND("~", SUBSTITUTE($A624,"|","~", 12))-FIND("~", SUBSTITUTE($A624,"|","~", 11))-1)
), "")</f>
        <v>E586966</v>
      </c>
      <c r="M624" s="47" t="str">
        <f t="shared" si="83"/>
        <v>SB010053/5/26</v>
      </c>
      <c r="N624" s="46" t="str">
        <f t="shared" si="86"/>
        <v/>
      </c>
      <c r="O624" s="60">
        <v>58</v>
      </c>
      <c r="P624" s="60">
        <v>841</v>
      </c>
      <c r="Q624" s="48">
        <v>290</v>
      </c>
      <c r="R624" s="48">
        <v>792</v>
      </c>
      <c r="S624" s="48"/>
      <c r="T624" s="48"/>
      <c r="U624" s="49"/>
      <c r="V624" s="49"/>
      <c r="W624" s="50">
        <f t="shared" si="92"/>
        <v>0</v>
      </c>
      <c r="X624" s="51" t="str">
        <f>IF(A624="", "", IF(COUNTIFS(C$3:C623, C624, D$3:D623, D624, G$3:G623, G624) &gt; 0, "", "11:00"-AW624))</f>
        <v/>
      </c>
      <c r="Y624" s="52" t="str">
        <f t="shared" si="89"/>
        <v/>
      </c>
      <c r="Z624" s="53"/>
      <c r="AA624" s="54"/>
      <c r="AB624" s="53"/>
      <c r="AC624" s="54"/>
      <c r="AD624" s="53"/>
      <c r="AE624" s="54"/>
      <c r="AF624" s="53"/>
      <c r="AG624" s="54"/>
      <c r="AH624" s="55">
        <v>4.1666666666666699E-2</v>
      </c>
      <c r="AI624" s="53"/>
      <c r="AJ624" s="54"/>
      <c r="AK624" s="53"/>
      <c r="AL624" s="54"/>
      <c r="AM624" s="53"/>
      <c r="AN624" s="54"/>
      <c r="AO624" s="53"/>
      <c r="AP624" s="54"/>
      <c r="AQ624" s="53"/>
      <c r="AR624" s="54"/>
      <c r="AS624" s="53"/>
      <c r="AT624" s="54"/>
      <c r="AU624" s="53">
        <v>4.1666666666666699E-2</v>
      </c>
      <c r="AV624" s="54" t="s">
        <v>37</v>
      </c>
      <c r="AW624" s="57">
        <f t="shared" si="91"/>
        <v>4.1666666666666699E-2</v>
      </c>
      <c r="AX624" s="58" t="s">
        <v>96</v>
      </c>
    </row>
    <row r="625" spans="1:50" ht="21.75" customHeight="1">
      <c r="A625" s="38" t="s">
        <v>580</v>
      </c>
      <c r="B625" s="39">
        <f t="shared" si="90"/>
        <v>621</v>
      </c>
      <c r="C625" s="40">
        <v>46038</v>
      </c>
      <c r="D625" s="40" t="s">
        <v>80</v>
      </c>
      <c r="E625" s="40" t="s">
        <v>33</v>
      </c>
      <c r="F625" s="41">
        <v>765.7</v>
      </c>
      <c r="G625" s="42" t="s">
        <v>66</v>
      </c>
      <c r="H625" s="43" t="str">
        <f>IFERROR(VLOOKUP($J625,'[9]FROM (3)'!$E$4:$F$230,2,FALSE),"")</f>
        <v>JTCS</v>
      </c>
      <c r="I625" s="44" t="str">
        <f t="shared" si="87"/>
        <v>RACK, PS</v>
      </c>
      <c r="J625" s="44" t="str">
        <f t="shared" si="88"/>
        <v>JGD10S00670-B</v>
      </c>
      <c r="K625" s="59" t="str">
        <f t="shared" si="85"/>
        <v>PD26010496</v>
      </c>
      <c r="L625" s="46" t="str" cm="1">
        <f t="array" ref="L625">IFERROR(_xlfn.IFS(
    LEN($A625)-LEN(SUBSTITUTE($A625,"|",""))=12, RIGHT(A625, LEN(A625)-FIND("~", SUBSTITUTE(A625,"|","~", LEN(A625)-LEN(SUBSTITUTE(A625,"|",""))))),
    LEN($A625)-LEN(SUBSTITUTE($A625,"|",""))=13, MID($A625, FIND("~", SUBSTITUTE($A625,"|","~", 11))+1, FIND("~", SUBSTITUTE($A625,"|","~", 12))-FIND("~", SUBSTITUTE($A625,"|","~", 11))-1),
    LEN($A625)-LEN(SUBSTITUTE($A625,"|",""))=14, MID($A625, FIND("~", SUBSTITUTE($A625,"|","~", 11))+1, FIND("~", SUBSTITUTE($A625,"|","~", 12))-FIND("~", SUBSTITUTE($A625,"|","~", 11))-1)
), "")</f>
        <v>E586447</v>
      </c>
      <c r="M625" s="47" t="str">
        <f t="shared" si="83"/>
        <v>SB010048/1/26</v>
      </c>
      <c r="N625" s="46" t="str">
        <f t="shared" si="86"/>
        <v/>
      </c>
      <c r="O625" s="60">
        <v>25</v>
      </c>
      <c r="P625" s="60">
        <v>890</v>
      </c>
      <c r="Q625" s="48">
        <v>175</v>
      </c>
      <c r="R625" s="48">
        <v>859</v>
      </c>
      <c r="S625" s="48"/>
      <c r="T625" s="48"/>
      <c r="U625" s="49"/>
      <c r="V625" s="49"/>
      <c r="W625" s="50">
        <f t="shared" si="92"/>
        <v>0</v>
      </c>
      <c r="X625" s="51" t="str">
        <f>IF(A625="", "", IF(COUNTIFS(C$3:C624, C625, D$3:D624, D625, G$3:G624, G625) &gt; 0, "", "11:00"-AW625))</f>
        <v/>
      </c>
      <c r="Y625" s="52" t="str">
        <f t="shared" si="89"/>
        <v/>
      </c>
      <c r="Z625" s="53"/>
      <c r="AA625" s="54"/>
      <c r="AB625" s="53"/>
      <c r="AC625" s="54"/>
      <c r="AD625" s="53"/>
      <c r="AE625" s="54"/>
      <c r="AF625" s="53"/>
      <c r="AG625" s="54"/>
      <c r="AH625" s="55">
        <v>4.1666666666666699E-2</v>
      </c>
      <c r="AI625" s="53"/>
      <c r="AJ625" s="54"/>
      <c r="AK625" s="53"/>
      <c r="AL625" s="54"/>
      <c r="AM625" s="53"/>
      <c r="AN625" s="54"/>
      <c r="AO625" s="53"/>
      <c r="AP625" s="54"/>
      <c r="AQ625" s="53"/>
      <c r="AR625" s="54"/>
      <c r="AS625" s="53"/>
      <c r="AT625" s="54"/>
      <c r="AU625" s="53">
        <v>4.1666666666666699E-2</v>
      </c>
      <c r="AV625" s="54" t="s">
        <v>37</v>
      </c>
      <c r="AW625" s="57">
        <f t="shared" si="91"/>
        <v>4.1666666666666699E-2</v>
      </c>
      <c r="AX625" s="58" t="s">
        <v>96</v>
      </c>
    </row>
    <row r="626" spans="1:50" ht="21.75" customHeight="1">
      <c r="A626" s="38" t="s">
        <v>581</v>
      </c>
      <c r="B626" s="39">
        <f t="shared" si="90"/>
        <v>622</v>
      </c>
      <c r="C626" s="40">
        <v>46038</v>
      </c>
      <c r="D626" s="40" t="s">
        <v>80</v>
      </c>
      <c r="E626" s="40" t="s">
        <v>33</v>
      </c>
      <c r="F626" s="41">
        <v>765.7</v>
      </c>
      <c r="G626" s="42" t="s">
        <v>66</v>
      </c>
      <c r="H626" s="43" t="str">
        <f>IFERROR(VLOOKUP($J626,'[9]FROM (3)'!$E$4:$F$230,2,FALSE),"")</f>
        <v>JTCS</v>
      </c>
      <c r="I626" s="44" t="str">
        <f t="shared" si="87"/>
        <v>RACK, PS</v>
      </c>
      <c r="J626" s="44" t="str">
        <f t="shared" si="88"/>
        <v>JGD10S00670-B</v>
      </c>
      <c r="K626" s="59" t="str">
        <f t="shared" si="85"/>
        <v>PD26010496</v>
      </c>
      <c r="L626" s="46" t="str" cm="1">
        <f t="array" ref="L626">IFERROR(_xlfn.IFS(
    LEN($A626)-LEN(SUBSTITUTE($A626,"|",""))=12, RIGHT(A626, LEN(A626)-FIND("~", SUBSTITUTE(A626,"|","~", LEN(A626)-LEN(SUBSTITUTE(A626,"|",""))))),
    LEN($A626)-LEN(SUBSTITUTE($A626,"|",""))=13, MID($A626, FIND("~", SUBSTITUTE($A626,"|","~", 11))+1, FIND("~", SUBSTITUTE($A626,"|","~", 12))-FIND("~", SUBSTITUTE($A626,"|","~", 11))-1),
    LEN($A626)-LEN(SUBSTITUTE($A626,"|",""))=14, MID($A626, FIND("~", SUBSTITUTE($A626,"|","~", 11))+1, FIND("~", SUBSTITUTE($A626,"|","~", 12))-FIND("~", SUBSTITUTE($A626,"|","~", 11))-1)
), "")</f>
        <v>E586447</v>
      </c>
      <c r="M626" s="47" t="str">
        <f t="shared" si="83"/>
        <v>SB010048/2/26</v>
      </c>
      <c r="N626" s="46" t="str">
        <f t="shared" si="86"/>
        <v/>
      </c>
      <c r="O626" s="60">
        <v>25</v>
      </c>
      <c r="P626" s="60">
        <v>890</v>
      </c>
      <c r="Q626" s="48">
        <v>175</v>
      </c>
      <c r="R626" s="48">
        <v>859</v>
      </c>
      <c r="S626" s="48"/>
      <c r="T626" s="48"/>
      <c r="U626" s="49"/>
      <c r="V626" s="49"/>
      <c r="W626" s="50">
        <f t="shared" si="92"/>
        <v>0</v>
      </c>
      <c r="X626" s="51" t="str">
        <f>IF(A626="", "", IF(COUNTIFS(C$3:C625, C626, D$3:D625, D626, G$3:G625, G626) &gt; 0, "", "11:00"-AW626))</f>
        <v/>
      </c>
      <c r="Y626" s="52" t="str">
        <f t="shared" si="89"/>
        <v/>
      </c>
      <c r="Z626" s="53"/>
      <c r="AA626" s="54"/>
      <c r="AB626" s="53"/>
      <c r="AC626" s="54"/>
      <c r="AD626" s="53"/>
      <c r="AE626" s="54"/>
      <c r="AF626" s="53"/>
      <c r="AG626" s="54"/>
      <c r="AH626" s="55">
        <v>4.1666666666666699E-2</v>
      </c>
      <c r="AI626" s="53"/>
      <c r="AJ626" s="54"/>
      <c r="AK626" s="53"/>
      <c r="AL626" s="54"/>
      <c r="AM626" s="53"/>
      <c r="AN626" s="54"/>
      <c r="AO626" s="53"/>
      <c r="AP626" s="54"/>
      <c r="AQ626" s="53"/>
      <c r="AR626" s="54"/>
      <c r="AS626" s="53"/>
      <c r="AT626" s="54"/>
      <c r="AU626" s="53">
        <v>4.1666666666666699E-2</v>
      </c>
      <c r="AV626" s="54" t="s">
        <v>37</v>
      </c>
      <c r="AW626" s="57">
        <f t="shared" si="91"/>
        <v>4.1666666666666699E-2</v>
      </c>
      <c r="AX626" s="58" t="s">
        <v>96</v>
      </c>
    </row>
    <row r="627" spans="1:50" ht="21.75" customHeight="1">
      <c r="A627" s="38" t="s">
        <v>582</v>
      </c>
      <c r="B627" s="39">
        <f t="shared" si="90"/>
        <v>623</v>
      </c>
      <c r="C627" s="40">
        <v>46038</v>
      </c>
      <c r="D627" s="40" t="s">
        <v>80</v>
      </c>
      <c r="E627" s="40" t="s">
        <v>33</v>
      </c>
      <c r="F627" s="41">
        <v>765.7</v>
      </c>
      <c r="G627" s="42" t="s">
        <v>66</v>
      </c>
      <c r="H627" s="43" t="str">
        <f>IFERROR(VLOOKUP($J627,'[9]FROM (3)'!$E$4:$F$230,2,FALSE),"")</f>
        <v>JTCS</v>
      </c>
      <c r="I627" s="44" t="str">
        <f t="shared" si="87"/>
        <v>RACK, PS</v>
      </c>
      <c r="J627" s="44" t="str">
        <f t="shared" si="88"/>
        <v>JGD10S00670-B</v>
      </c>
      <c r="K627" s="59" t="str">
        <f t="shared" si="85"/>
        <v>PD26010496</v>
      </c>
      <c r="L627" s="46" t="str" cm="1">
        <f t="array" ref="L627">IFERROR(_xlfn.IFS(
    LEN($A627)-LEN(SUBSTITUTE($A627,"|",""))=12, RIGHT(A627, LEN(A627)-FIND("~", SUBSTITUTE(A627,"|","~", LEN(A627)-LEN(SUBSTITUTE(A627,"|",""))))),
    LEN($A627)-LEN(SUBSTITUTE($A627,"|",""))=13, MID($A627, FIND("~", SUBSTITUTE($A627,"|","~", 11))+1, FIND("~", SUBSTITUTE($A627,"|","~", 12))-FIND("~", SUBSTITUTE($A627,"|","~", 11))-1),
    LEN($A627)-LEN(SUBSTITUTE($A627,"|",""))=14, MID($A627, FIND("~", SUBSTITUTE($A627,"|","~", 11))+1, FIND("~", SUBSTITUTE($A627,"|","~", 12))-FIND("~", SUBSTITUTE($A627,"|","~", 11))-1)
), "")</f>
        <v>E586447</v>
      </c>
      <c r="M627" s="47" t="str">
        <f t="shared" si="83"/>
        <v>SB010048/3/26</v>
      </c>
      <c r="N627" s="46" t="str">
        <f t="shared" si="86"/>
        <v/>
      </c>
      <c r="O627" s="60">
        <v>25</v>
      </c>
      <c r="P627" s="60">
        <v>890</v>
      </c>
      <c r="Q627" s="48">
        <v>68</v>
      </c>
      <c r="R627" s="48">
        <v>334</v>
      </c>
      <c r="S627" s="48"/>
      <c r="T627" s="48"/>
      <c r="U627" s="49"/>
      <c r="V627" s="49"/>
      <c r="W627" s="50">
        <f t="shared" si="92"/>
        <v>0</v>
      </c>
      <c r="X627" s="51" t="str">
        <f>IF(A627="", "", IF(COUNTIFS(C$3:C626, C627, D$3:D626, D627, G$3:G626, G627) &gt; 0, "", "11:00"-AW627))</f>
        <v/>
      </c>
      <c r="Y627" s="52" t="str">
        <f t="shared" si="89"/>
        <v/>
      </c>
      <c r="Z627" s="53"/>
      <c r="AA627" s="54"/>
      <c r="AB627" s="53"/>
      <c r="AC627" s="54"/>
      <c r="AD627" s="53"/>
      <c r="AE627" s="54"/>
      <c r="AF627" s="53"/>
      <c r="AG627" s="54"/>
      <c r="AH627" s="55">
        <v>4.1666666666666699E-2</v>
      </c>
      <c r="AI627" s="53"/>
      <c r="AJ627" s="54"/>
      <c r="AK627" s="53"/>
      <c r="AL627" s="54"/>
      <c r="AM627" s="53"/>
      <c r="AN627" s="54"/>
      <c r="AO627" s="53"/>
      <c r="AP627" s="54"/>
      <c r="AQ627" s="53"/>
      <c r="AR627" s="54"/>
      <c r="AS627" s="53"/>
      <c r="AT627" s="54"/>
      <c r="AU627" s="53">
        <v>4.1666666666666699E-2</v>
      </c>
      <c r="AV627" s="54" t="s">
        <v>37</v>
      </c>
      <c r="AW627" s="57">
        <f t="shared" si="91"/>
        <v>4.1666666666666699E-2</v>
      </c>
      <c r="AX627" s="58" t="s">
        <v>96</v>
      </c>
    </row>
    <row r="628" spans="1:50" ht="21.75" customHeight="1">
      <c r="A628" s="38" t="s">
        <v>583</v>
      </c>
      <c r="B628" s="39">
        <f t="shared" si="90"/>
        <v>624</v>
      </c>
      <c r="C628" s="40">
        <v>46038</v>
      </c>
      <c r="D628" s="40" t="s">
        <v>80</v>
      </c>
      <c r="E628" s="40" t="s">
        <v>33</v>
      </c>
      <c r="F628" s="41">
        <v>655.4</v>
      </c>
      <c r="G628" s="42" t="s">
        <v>85</v>
      </c>
      <c r="H628" s="43" t="str">
        <f>IFERROR(VLOOKUP($J628,'[9]FROM (3)'!$E$4:$F$230,2,FALSE),"")</f>
        <v>JAMY</v>
      </c>
      <c r="I628" s="44" t="str">
        <f t="shared" si="87"/>
        <v>RACK BAR</v>
      </c>
      <c r="J628" s="44" t="str">
        <f t="shared" si="88"/>
        <v>JGC10-M09008-51-0</v>
      </c>
      <c r="K628" s="59" t="str">
        <f t="shared" si="85"/>
        <v>PD26010685</v>
      </c>
      <c r="L628" s="46" t="str" cm="1">
        <f t="array" ref="L628">IFERROR(_xlfn.IFS(
    LEN($A628)-LEN(SUBSTITUTE($A628,"|",""))=12, RIGHT(A628, LEN(A628)-FIND("~", SUBSTITUTE(A628,"|","~", LEN(A628)-LEN(SUBSTITUTE(A628,"|",""))))),
    LEN($A628)-LEN(SUBSTITUTE($A628,"|",""))=13, MID($A628, FIND("~", SUBSTITUTE($A628,"|","~", 11))+1, FIND("~", SUBSTITUTE($A628,"|","~", 12))-FIND("~", SUBSTITUTE($A628,"|","~", 11))-1),
    LEN($A628)-LEN(SUBSTITUTE($A628,"|",""))=14, MID($A628, FIND("~", SUBSTITUTE($A628,"|","~", 11))+1, FIND("~", SUBSTITUTE($A628,"|","~", 12))-FIND("~", SUBSTITUTE($A628,"|","~", 11))-1)
), "")</f>
        <v>E586966</v>
      </c>
      <c r="M628" s="47" t="str">
        <f t="shared" si="83"/>
        <v>SB010071/1/26</v>
      </c>
      <c r="N628" s="46" t="str">
        <f t="shared" si="86"/>
        <v/>
      </c>
      <c r="O628" s="60">
        <v>60</v>
      </c>
      <c r="P628" s="60">
        <v>875</v>
      </c>
      <c r="Q628" s="48">
        <v>292</v>
      </c>
      <c r="R628" s="48">
        <v>797</v>
      </c>
      <c r="S628" s="48">
        <v>8</v>
      </c>
      <c r="T628" s="48" t="s">
        <v>464</v>
      </c>
      <c r="U628" s="49"/>
      <c r="V628" s="49"/>
      <c r="W628" s="50">
        <f t="shared" si="92"/>
        <v>0</v>
      </c>
      <c r="X628" s="51">
        <f>IF(A628="", "", IF(COUNTIFS(C$3:C627, C628, D$3:D627, D628, G$3:G627, G628) &gt; 0, "", "11:00"-AW628))</f>
        <v>0.20833333333333331</v>
      </c>
      <c r="Y628" s="52" t="str">
        <f t="shared" si="89"/>
        <v>1:0</v>
      </c>
      <c r="Z628" s="53">
        <v>4.1666666666666664E-2</v>
      </c>
      <c r="AA628" s="54" t="s">
        <v>129</v>
      </c>
      <c r="AB628" s="53">
        <v>4.1666666666666664E-2</v>
      </c>
      <c r="AC628" s="54" t="s">
        <v>67</v>
      </c>
      <c r="AD628" s="53">
        <v>4.1666666666666664E-2</v>
      </c>
      <c r="AE628" s="54" t="s">
        <v>82</v>
      </c>
      <c r="AF628" s="53"/>
      <c r="AG628" s="54"/>
      <c r="AH628" s="55">
        <v>4.1666666666666699E-2</v>
      </c>
      <c r="AI628" s="53"/>
      <c r="AJ628" s="54"/>
      <c r="AK628" s="53"/>
      <c r="AL628" s="54"/>
      <c r="AM628" s="53"/>
      <c r="AN628" s="54"/>
      <c r="AO628" s="53"/>
      <c r="AP628" s="54"/>
      <c r="AQ628" s="53">
        <v>4.1666666666666664E-2</v>
      </c>
      <c r="AR628" s="54" t="s">
        <v>37</v>
      </c>
      <c r="AS628" s="53">
        <v>4.1666666666666664E-2</v>
      </c>
      <c r="AT628" s="54" t="s">
        <v>37</v>
      </c>
      <c r="AU628" s="53">
        <v>4.1666666666666699E-2</v>
      </c>
      <c r="AV628" s="54" t="s">
        <v>37</v>
      </c>
      <c r="AW628" s="57">
        <f t="shared" si="91"/>
        <v>0.25</v>
      </c>
      <c r="AX628" s="58" t="s">
        <v>86</v>
      </c>
    </row>
    <row r="629" spans="1:50" ht="21.75" customHeight="1">
      <c r="A629" s="38" t="s">
        <v>584</v>
      </c>
      <c r="B629" s="39">
        <f t="shared" si="90"/>
        <v>625</v>
      </c>
      <c r="C629" s="40">
        <v>46038</v>
      </c>
      <c r="D629" s="40" t="s">
        <v>80</v>
      </c>
      <c r="E629" s="40" t="s">
        <v>33</v>
      </c>
      <c r="F629" s="41">
        <v>655.4</v>
      </c>
      <c r="G629" s="42" t="s">
        <v>85</v>
      </c>
      <c r="H629" s="43" t="str">
        <f>IFERROR(VLOOKUP($J629,'[9]FROM (3)'!$E$4:$F$230,2,FALSE),"")</f>
        <v>JAMY</v>
      </c>
      <c r="I629" s="44" t="str">
        <f t="shared" si="87"/>
        <v>RACK BAR</v>
      </c>
      <c r="J629" s="44" t="str">
        <f t="shared" si="88"/>
        <v>JGC10-M09008-51-0</v>
      </c>
      <c r="K629" s="59" t="str">
        <f t="shared" si="85"/>
        <v>PD26010685</v>
      </c>
      <c r="L629" s="46" t="str" cm="1">
        <f t="array" ref="L629">IFERROR(_xlfn.IFS(
    LEN($A629)-LEN(SUBSTITUTE($A629,"|",""))=12, RIGHT(A629, LEN(A629)-FIND("~", SUBSTITUTE(A629,"|","~", LEN(A629)-LEN(SUBSTITUTE(A629,"|",""))))),
    LEN($A629)-LEN(SUBSTITUTE($A629,"|",""))=13, MID($A629, FIND("~", SUBSTITUTE($A629,"|","~", 11))+1, FIND("~", SUBSTITUTE($A629,"|","~", 12))-FIND("~", SUBSTITUTE($A629,"|","~", 11))-1),
    LEN($A629)-LEN(SUBSTITUTE($A629,"|",""))=14, MID($A629, FIND("~", SUBSTITUTE($A629,"|","~", 11))+1, FIND("~", SUBSTITUTE($A629,"|","~", 12))-FIND("~", SUBSTITUTE($A629,"|","~", 11))-1)
), "")</f>
        <v>E586966</v>
      </c>
      <c r="M629" s="47" t="str">
        <f t="shared" si="83"/>
        <v>SB010071/2/26</v>
      </c>
      <c r="N629" s="46" t="str">
        <f t="shared" si="86"/>
        <v/>
      </c>
      <c r="O629" s="60">
        <v>60</v>
      </c>
      <c r="P629" s="60">
        <v>875</v>
      </c>
      <c r="Q629" s="48">
        <v>300</v>
      </c>
      <c r="R629" s="48">
        <v>819</v>
      </c>
      <c r="S629" s="48" t="s">
        <v>35</v>
      </c>
      <c r="T629" s="48"/>
      <c r="U629" s="49">
        <v>96</v>
      </c>
      <c r="V629" s="49">
        <v>6</v>
      </c>
      <c r="W629" s="50">
        <f t="shared" si="92"/>
        <v>102</v>
      </c>
      <c r="X629" s="51" t="str">
        <f>IF(A629="", "", IF(COUNTIFS(C$3:C628, C629, D$3:D628, D629, G$3:G628, G629) &gt; 0, "", "11:00"-AW629))</f>
        <v/>
      </c>
      <c r="Y629" s="52" t="str">
        <f t="shared" si="89"/>
        <v/>
      </c>
      <c r="Z629" s="53"/>
      <c r="AA629" s="54"/>
      <c r="AB629" s="53"/>
      <c r="AC629" s="54"/>
      <c r="AD629" s="53"/>
      <c r="AE629" s="54"/>
      <c r="AF629" s="53"/>
      <c r="AG629" s="54"/>
      <c r="AH629" s="55">
        <v>4.1666666666666699E-2</v>
      </c>
      <c r="AI629" s="53"/>
      <c r="AJ629" s="54"/>
      <c r="AK629" s="53"/>
      <c r="AL629" s="54"/>
      <c r="AM629" s="53"/>
      <c r="AN629" s="54"/>
      <c r="AO629" s="53"/>
      <c r="AP629" s="54"/>
      <c r="AQ629" s="53"/>
      <c r="AR629" s="54"/>
      <c r="AS629" s="53"/>
      <c r="AT629" s="54"/>
      <c r="AU629" s="53">
        <v>4.1666666666666699E-2</v>
      </c>
      <c r="AV629" s="54" t="s">
        <v>37</v>
      </c>
      <c r="AW629" s="57">
        <f t="shared" si="91"/>
        <v>4.1666666666666699E-2</v>
      </c>
      <c r="AX629" s="58" t="s">
        <v>86</v>
      </c>
    </row>
    <row r="630" spans="1:50" ht="21.75" customHeight="1">
      <c r="A630" s="38" t="s">
        <v>556</v>
      </c>
      <c r="B630" s="39">
        <f t="shared" si="90"/>
        <v>626</v>
      </c>
      <c r="C630" s="40">
        <v>46038</v>
      </c>
      <c r="D630" s="40" t="s">
        <v>80</v>
      </c>
      <c r="E630" s="40" t="s">
        <v>33</v>
      </c>
      <c r="F630" s="41">
        <v>92.5</v>
      </c>
      <c r="G630" s="42" t="s">
        <v>135</v>
      </c>
      <c r="H630" s="43" t="str">
        <f>IFERROR(VLOOKUP($J630,'[9]FROM (3)'!$E$4:$F$230,2,FALSE),"")</f>
        <v>DNTH</v>
      </c>
      <c r="I630" s="44" t="str">
        <f t="shared" si="87"/>
        <v>Pole Core</v>
      </c>
      <c r="J630" s="44" t="str">
        <f t="shared" si="88"/>
        <v>TG028152-5190</v>
      </c>
      <c r="K630" s="59" t="str">
        <f t="shared" si="85"/>
        <v>PD26010654</v>
      </c>
      <c r="L630" s="46" t="str" cm="1">
        <f t="array" ref="L630">IFERROR(_xlfn.IFS(
    LEN($A630)-LEN(SUBSTITUTE($A630,"|",""))=12, RIGHT(A630, LEN(A630)-FIND("~", SUBSTITUTE(A630,"|","~", LEN(A630)-LEN(SUBSTITUTE(A630,"|",""))))),
    LEN($A630)-LEN(SUBSTITUTE($A630,"|",""))=13, MID($A630, FIND("~", SUBSTITUTE($A630,"|","~", 11))+1, FIND("~", SUBSTITUTE($A630,"|","~", 12))-FIND("~", SUBSTITUTE($A630,"|","~", 11))-1),
    LEN($A630)-LEN(SUBSTITUTE($A630,"|",""))=14, MID($A630, FIND("~", SUBSTITUTE($A630,"|","~", 11))+1, FIND("~", SUBSTITUTE($A630,"|","~", 12))-FIND("~", SUBSTITUTE($A630,"|","~", 11))-1)
), "")</f>
        <v>KS005C9016</v>
      </c>
      <c r="M630" s="47" t="str">
        <f t="shared" si="83"/>
        <v>SB010063/2/26</v>
      </c>
      <c r="N630" s="46" t="str">
        <f t="shared" si="86"/>
        <v/>
      </c>
      <c r="O630" s="60"/>
      <c r="P630" s="60"/>
      <c r="Q630" s="48">
        <v>4483</v>
      </c>
      <c r="R630" s="48">
        <v>415</v>
      </c>
      <c r="S630" s="48"/>
      <c r="T630" s="48"/>
      <c r="U630" s="49"/>
      <c r="V630" s="49"/>
      <c r="W630" s="50">
        <f t="shared" si="92"/>
        <v>0</v>
      </c>
      <c r="X630" s="51">
        <f>IF(A630="", "", IF(COUNTIFS(C$3:C629, C630, D$3:D629, D630, G$3:G629, G630) &gt; 0, "", "11:00"-AW630))</f>
        <v>0.37499999999999994</v>
      </c>
      <c r="Y630" s="52" t="str">
        <f t="shared" si="89"/>
        <v>1:40</v>
      </c>
      <c r="Z630" s="53"/>
      <c r="AA630" s="54"/>
      <c r="AB630" s="53"/>
      <c r="AC630" s="54"/>
      <c r="AD630" s="53"/>
      <c r="AE630" s="54"/>
      <c r="AF630" s="53"/>
      <c r="AG630" s="54"/>
      <c r="AH630" s="55">
        <v>4.1666666666666699E-2</v>
      </c>
      <c r="AI630" s="53"/>
      <c r="AJ630" s="54"/>
      <c r="AK630" s="53"/>
      <c r="AL630" s="54"/>
      <c r="AM630" s="53"/>
      <c r="AN630" s="54"/>
      <c r="AO630" s="53"/>
      <c r="AP630" s="54"/>
      <c r="AQ630" s="53"/>
      <c r="AR630" s="54"/>
      <c r="AS630" s="53">
        <v>4.1666666666666664E-2</v>
      </c>
      <c r="AT630" s="54" t="s">
        <v>67</v>
      </c>
      <c r="AU630" s="53">
        <v>4.1666666666666699E-2</v>
      </c>
      <c r="AV630" s="54" t="s">
        <v>37</v>
      </c>
      <c r="AW630" s="57">
        <f t="shared" si="91"/>
        <v>8.333333333333337E-2</v>
      </c>
      <c r="AX630" s="58" t="s">
        <v>224</v>
      </c>
    </row>
    <row r="631" spans="1:50" ht="21.75" customHeight="1">
      <c r="A631" s="38" t="s">
        <v>585</v>
      </c>
      <c r="B631" s="39">
        <f t="shared" si="90"/>
        <v>627</v>
      </c>
      <c r="C631" s="40">
        <v>46038</v>
      </c>
      <c r="D631" s="40" t="s">
        <v>80</v>
      </c>
      <c r="E631" s="40" t="s">
        <v>33</v>
      </c>
      <c r="F631" s="41">
        <v>92.5</v>
      </c>
      <c r="G631" s="42" t="s">
        <v>135</v>
      </c>
      <c r="H631" s="43" t="str">
        <f>IFERROR(VLOOKUP($J631,'[9]FROM (3)'!$E$4:$F$230,2,FALSE),"")</f>
        <v>DNTH</v>
      </c>
      <c r="I631" s="44" t="str">
        <f t="shared" si="87"/>
        <v>Pole Core</v>
      </c>
      <c r="J631" s="44" t="str">
        <f t="shared" si="88"/>
        <v>TG028152-5190</v>
      </c>
      <c r="K631" s="59" t="str">
        <f t="shared" si="85"/>
        <v>PD26010654</v>
      </c>
      <c r="L631" s="46" t="str" cm="1">
        <f t="array" ref="L631">IFERROR(_xlfn.IFS(
    LEN($A631)-LEN(SUBSTITUTE($A631,"|",""))=12, RIGHT(A631, LEN(A631)-FIND("~", SUBSTITUTE(A631,"|","~", LEN(A631)-LEN(SUBSTITUTE(A631,"|",""))))),
    LEN($A631)-LEN(SUBSTITUTE($A631,"|",""))=13, MID($A631, FIND("~", SUBSTITUTE($A631,"|","~", 11))+1, FIND("~", SUBSTITUTE($A631,"|","~", 12))-FIND("~", SUBSTITUTE($A631,"|","~", 11))-1),
    LEN($A631)-LEN(SUBSTITUTE($A631,"|",""))=14, MID($A631, FIND("~", SUBSTITUTE($A631,"|","~", 11))+1, FIND("~", SUBSTITUTE($A631,"|","~", 12))-FIND("~", SUBSTITUTE($A631,"|","~", 11))-1)
), "")</f>
        <v>KS005C9016</v>
      </c>
      <c r="M631" s="47" t="str">
        <f t="shared" si="83"/>
        <v>SB010063/1/26</v>
      </c>
      <c r="N631" s="46" t="str">
        <f t="shared" si="86"/>
        <v/>
      </c>
      <c r="O631" s="60">
        <v>113</v>
      </c>
      <c r="P631" s="60">
        <v>1015</v>
      </c>
      <c r="Q631" s="48">
        <v>10724</v>
      </c>
      <c r="R631" s="48">
        <v>992</v>
      </c>
      <c r="S631" s="48"/>
      <c r="T631" s="48"/>
      <c r="U631" s="49"/>
      <c r="V631" s="49"/>
      <c r="W631" s="50">
        <f t="shared" si="92"/>
        <v>0</v>
      </c>
      <c r="X631" s="51" t="str">
        <f>IF(A631="", "", IF(COUNTIFS(C$3:C630, C631, D$3:D630, D631, G$3:G630, G631) &gt; 0, "", "11:00"-AW631))</f>
        <v/>
      </c>
      <c r="Y631" s="52" t="str">
        <f t="shared" si="89"/>
        <v/>
      </c>
      <c r="Z631" s="53"/>
      <c r="AA631" s="54"/>
      <c r="AB631" s="53"/>
      <c r="AC631" s="54"/>
      <c r="AD631" s="53"/>
      <c r="AE631" s="54"/>
      <c r="AF631" s="53"/>
      <c r="AG631" s="54"/>
      <c r="AH631" s="55">
        <v>4.1666666666666699E-2</v>
      </c>
      <c r="AI631" s="53"/>
      <c r="AJ631" s="54"/>
      <c r="AK631" s="53"/>
      <c r="AL631" s="54"/>
      <c r="AM631" s="53"/>
      <c r="AN631" s="54"/>
      <c r="AO631" s="53"/>
      <c r="AP631" s="54"/>
      <c r="AQ631" s="53"/>
      <c r="AR631" s="54"/>
      <c r="AS631" s="53">
        <v>4.1666666666666664E-2</v>
      </c>
      <c r="AT631" s="54" t="s">
        <v>67</v>
      </c>
      <c r="AU631" s="53">
        <v>4.1666666666666699E-2</v>
      </c>
      <c r="AV631" s="54" t="s">
        <v>37</v>
      </c>
      <c r="AW631" s="57">
        <f t="shared" si="91"/>
        <v>8.333333333333337E-2</v>
      </c>
      <c r="AX631" s="58" t="s">
        <v>224</v>
      </c>
    </row>
    <row r="632" spans="1:50" ht="21.75" customHeight="1">
      <c r="A632" s="38" t="s">
        <v>553</v>
      </c>
      <c r="B632" s="39">
        <f t="shared" si="90"/>
        <v>628</v>
      </c>
      <c r="C632" s="40">
        <v>46038</v>
      </c>
      <c r="D632" s="40" t="s">
        <v>80</v>
      </c>
      <c r="E632" s="40" t="s">
        <v>33</v>
      </c>
      <c r="F632" s="41">
        <v>191</v>
      </c>
      <c r="G632" s="42" t="s">
        <v>108</v>
      </c>
      <c r="H632" s="43" t="str">
        <f>IFERROR(VLOOKUP($J632,'[9]FROM (3)'!$E$4:$F$230,2,FALSE),"")</f>
        <v>SIAM NSK</v>
      </c>
      <c r="I632" s="44" t="str">
        <f t="shared" si="87"/>
        <v>STG.SHAFT</v>
      </c>
      <c r="J632" s="44" t="str">
        <f t="shared" si="88"/>
        <v>2528S0250C</v>
      </c>
      <c r="K632" s="59" t="str">
        <f t="shared" si="85"/>
        <v>PD26010424</v>
      </c>
      <c r="L632" s="46" t="str" cm="1">
        <f t="array" ref="L632">IFERROR(_xlfn.IFS(
    LEN($A632)-LEN(SUBSTITUTE($A632,"|",""))=12, RIGHT(A632, LEN(A632)-FIND("~", SUBSTITUTE(A632,"|","~", LEN(A632)-LEN(SUBSTITUTE(A632,"|",""))))),
    LEN($A632)-LEN(SUBSTITUTE($A632,"|",""))=13, MID($A632, FIND("~", SUBSTITUTE($A632,"|","~", 11))+1, FIND("~", SUBSTITUTE($A632,"|","~", 12))-FIND("~", SUBSTITUTE($A632,"|","~", 11))-1),
    LEN($A632)-LEN(SUBSTITUTE($A632,"|",""))=14, MID($A632, FIND("~", SUBSTITUTE($A632,"|","~", 11))+1, FIND("~", SUBSTITUTE($A632,"|","~", 12))-FIND("~", SUBSTITUTE($A632,"|","~", 11))-1)
), "")</f>
        <v>E484056</v>
      </c>
      <c r="M632" s="47" t="str">
        <f t="shared" si="83"/>
        <v>SB010038/2/26</v>
      </c>
      <c r="N632" s="46" t="str">
        <f t="shared" si="86"/>
        <v/>
      </c>
      <c r="O632" s="60" t="s">
        <v>35</v>
      </c>
      <c r="P632" s="60" t="s">
        <v>35</v>
      </c>
      <c r="Q632" s="48">
        <v>2073</v>
      </c>
      <c r="R632" s="48">
        <v>881</v>
      </c>
      <c r="S632" s="48" t="s">
        <v>35</v>
      </c>
      <c r="T632" s="48"/>
      <c r="U632" s="49">
        <v>80</v>
      </c>
      <c r="V632" s="49">
        <v>20</v>
      </c>
      <c r="W632" s="50">
        <f t="shared" si="92"/>
        <v>100</v>
      </c>
      <c r="X632" s="51">
        <f>IF(A632="", "", IF(COUNTIFS(C$3:C631, C632, D$3:D631, D632, G$3:G631, G632) &gt; 0, "", "11:00"-AW632))</f>
        <v>0.38194444444444442</v>
      </c>
      <c r="Y632" s="52" t="str">
        <f t="shared" si="89"/>
        <v>1:40</v>
      </c>
      <c r="Z632" s="53"/>
      <c r="AA632" s="54"/>
      <c r="AB632" s="53"/>
      <c r="AC632" s="54"/>
      <c r="AD632" s="53"/>
      <c r="AE632" s="54"/>
      <c r="AF632" s="53"/>
      <c r="AG632" s="54"/>
      <c r="AH632" s="55">
        <v>4.1666666666666699E-2</v>
      </c>
      <c r="AI632" s="53"/>
      <c r="AJ632" s="54"/>
      <c r="AK632" s="53">
        <v>3.4722222222222224E-2</v>
      </c>
      <c r="AL632" s="54" t="s">
        <v>67</v>
      </c>
      <c r="AM632" s="53"/>
      <c r="AN632" s="54"/>
      <c r="AO632" s="53"/>
      <c r="AP632" s="54"/>
      <c r="AQ632" s="53"/>
      <c r="AR632" s="54"/>
      <c r="AS632" s="53"/>
      <c r="AT632" s="54"/>
      <c r="AU632" s="53">
        <v>4.1666666666666699E-2</v>
      </c>
      <c r="AV632" s="54" t="s">
        <v>37</v>
      </c>
      <c r="AW632" s="57">
        <f t="shared" si="91"/>
        <v>7.6388888888888923E-2</v>
      </c>
      <c r="AX632" s="58" t="s">
        <v>109</v>
      </c>
    </row>
    <row r="633" spans="1:50" ht="21.75" customHeight="1">
      <c r="A633" s="38" t="s">
        <v>586</v>
      </c>
      <c r="B633" s="39">
        <f t="shared" si="90"/>
        <v>629</v>
      </c>
      <c r="C633" s="40">
        <v>46038</v>
      </c>
      <c r="D633" s="40" t="s">
        <v>80</v>
      </c>
      <c r="E633" s="40" t="s">
        <v>33</v>
      </c>
      <c r="F633" s="41">
        <v>201</v>
      </c>
      <c r="G633" s="42" t="s">
        <v>108</v>
      </c>
      <c r="H633" s="43" t="str">
        <f>IFERROR(VLOOKUP($J633,'[9]FROM (3)'!$E$4:$F$230,2,FALSE),"")</f>
        <v>SIAM NSK</v>
      </c>
      <c r="I633" s="44" t="str">
        <f t="shared" si="87"/>
        <v>SHAFT SPLINE</v>
      </c>
      <c r="J633" s="44" t="str">
        <f t="shared" si="88"/>
        <v>2528S0251P</v>
      </c>
      <c r="K633" s="59" t="str">
        <f t="shared" si="85"/>
        <v>PD26010336</v>
      </c>
      <c r="L633" s="46" t="str" cm="1">
        <f t="array" ref="L633">IFERROR(_xlfn.IFS(
    LEN($A633)-LEN(SUBSTITUTE($A633,"|",""))=12, RIGHT(A633, LEN(A633)-FIND("~", SUBSTITUTE(A633,"|","~", LEN(A633)-LEN(SUBSTITUTE(A633,"|",""))))),
    LEN($A633)-LEN(SUBSTITUTE($A633,"|",""))=13, MID($A633, FIND("~", SUBSTITUTE($A633,"|","~", 11))+1, FIND("~", SUBSTITUTE($A633,"|","~", 12))-FIND("~", SUBSTITUTE($A633,"|","~", 11))-1),
    LEN($A633)-LEN(SUBSTITUTE($A633,"|",""))=14, MID($A633, FIND("~", SUBSTITUTE($A633,"|","~", 11))+1, FIND("~", SUBSTITUTE($A633,"|","~", 12))-FIND("~", SUBSTITUTE($A633,"|","~", 11))-1)
), "")</f>
        <v>SF92937</v>
      </c>
      <c r="M633" s="47" t="str">
        <f t="shared" si="83"/>
        <v>SB010014/2/26</v>
      </c>
      <c r="N633" s="46" t="str">
        <f t="shared" si="86"/>
        <v/>
      </c>
      <c r="O633" s="60">
        <v>91</v>
      </c>
      <c r="P633" s="60">
        <v>994</v>
      </c>
      <c r="Q633" s="48">
        <v>1600</v>
      </c>
      <c r="R633" s="48">
        <v>792</v>
      </c>
      <c r="S633" s="48" t="s">
        <v>35</v>
      </c>
      <c r="T633" s="48"/>
      <c r="U633" s="49"/>
      <c r="V633" s="49"/>
      <c r="W633" s="50">
        <f t="shared" si="92"/>
        <v>0</v>
      </c>
      <c r="X633" s="51" t="str">
        <f>IF(A633="", "", IF(COUNTIFS(C$3:C632, C633, D$3:D632, D633, G$3:G632, G633) &gt; 0, "", "11:00"-AW633))</f>
        <v/>
      </c>
      <c r="Y633" s="52" t="str">
        <f t="shared" si="89"/>
        <v/>
      </c>
      <c r="Z633" s="53"/>
      <c r="AA633" s="54"/>
      <c r="AB633" s="53"/>
      <c r="AC633" s="54"/>
      <c r="AD633" s="53"/>
      <c r="AE633" s="54"/>
      <c r="AF633" s="53"/>
      <c r="AG633" s="54"/>
      <c r="AH633" s="55">
        <v>4.1666666666666699E-2</v>
      </c>
      <c r="AI633" s="53"/>
      <c r="AJ633" s="54"/>
      <c r="AK633" s="53"/>
      <c r="AL633" s="54"/>
      <c r="AM633" s="53"/>
      <c r="AN633" s="54"/>
      <c r="AO633" s="53"/>
      <c r="AP633" s="54"/>
      <c r="AQ633" s="53"/>
      <c r="AR633" s="54"/>
      <c r="AS633" s="53"/>
      <c r="AT633" s="54"/>
      <c r="AU633" s="53">
        <v>4.1666666666666699E-2</v>
      </c>
      <c r="AV633" s="54" t="s">
        <v>37</v>
      </c>
      <c r="AW633" s="57">
        <f t="shared" si="91"/>
        <v>4.1666666666666699E-2</v>
      </c>
      <c r="AX633" s="58" t="s">
        <v>109</v>
      </c>
    </row>
    <row r="634" spans="1:50" ht="21.75" customHeight="1">
      <c r="A634" s="38" t="s">
        <v>555</v>
      </c>
      <c r="B634" s="39">
        <f t="shared" si="90"/>
        <v>630</v>
      </c>
      <c r="C634" s="40">
        <v>46038</v>
      </c>
      <c r="D634" s="40" t="s">
        <v>80</v>
      </c>
      <c r="E634" s="40" t="s">
        <v>33</v>
      </c>
      <c r="F634" s="41">
        <v>375</v>
      </c>
      <c r="G634" s="42" t="s">
        <v>172</v>
      </c>
      <c r="H634" s="43" t="str">
        <f>IFERROR(VLOOKUP($J634,'[9]FROM (3)'!$E$4:$F$230,2,FALSE),"")</f>
        <v>ATAC</v>
      </c>
      <c r="I634" s="44" t="str">
        <f t="shared" si="87"/>
        <v>SEAT,WATER PUMP PULLEY</v>
      </c>
      <c r="J634" s="44" t="str">
        <f t="shared" si="88"/>
        <v>16171-05030</v>
      </c>
      <c r="K634" s="59" t="str">
        <f t="shared" si="85"/>
        <v>PD26010579</v>
      </c>
      <c r="L634" s="46" t="str" cm="1">
        <f t="array" ref="L634">IFERROR(_xlfn.IFS(
    LEN($A634)-LEN(SUBSTITUTE($A634,"|",""))=12, RIGHT(A634, LEN(A634)-FIND("~", SUBSTITUTE(A634,"|","~", LEN(A634)-LEN(SUBSTITUTE(A634,"|",""))))),
    LEN($A634)-LEN(SUBSTITUTE($A634,"|",""))=13, MID($A634, FIND("~", SUBSTITUTE($A634,"|","~", 11))+1, FIND("~", SUBSTITUTE($A634,"|","~", 12))-FIND("~", SUBSTITUTE($A634,"|","~", 11))-1),
    LEN($A634)-LEN(SUBSTITUTE($A634,"|",""))=14, MID($A634, FIND("~", SUBSTITUTE($A634,"|","~", 11))+1, FIND("~", SUBSTITUTE($A634,"|","~", 12))-FIND("~", SUBSTITUTE($A634,"|","~", 11))-1)
), "")</f>
        <v>665898</v>
      </c>
      <c r="M634" s="47" t="str">
        <f t="shared" si="83"/>
        <v>SB010056/2/26</v>
      </c>
      <c r="N634" s="46" t="str">
        <f t="shared" si="86"/>
        <v/>
      </c>
      <c r="O634" s="60" t="s">
        <v>35</v>
      </c>
      <c r="P634" s="60" t="s">
        <v>35</v>
      </c>
      <c r="Q634" s="48">
        <v>2020</v>
      </c>
      <c r="R634" s="48">
        <v>758</v>
      </c>
      <c r="S634" s="48" t="s">
        <v>35</v>
      </c>
      <c r="T634" s="48"/>
      <c r="U634" s="49"/>
      <c r="V634" s="49"/>
      <c r="W634" s="50">
        <f t="shared" si="92"/>
        <v>0</v>
      </c>
      <c r="X634" s="51">
        <f>IF(A634="", "", IF(COUNTIFS(C$3:C633, C634, D$3:D633, D634, G$3:G633, G634) &gt; 0, "", "11:00"-AW634))</f>
        <v>0.41666666666666663</v>
      </c>
      <c r="Y634" s="52" t="str">
        <f t="shared" si="89"/>
        <v>1:40</v>
      </c>
      <c r="Z634" s="53"/>
      <c r="AA634" s="54"/>
      <c r="AB634" s="53"/>
      <c r="AC634" s="54"/>
      <c r="AD634" s="53"/>
      <c r="AE634" s="54"/>
      <c r="AF634" s="53"/>
      <c r="AG634" s="54"/>
      <c r="AH634" s="55">
        <v>4.1666666666666699E-2</v>
      </c>
      <c r="AI634" s="53"/>
      <c r="AJ634" s="54"/>
      <c r="AK634" s="53"/>
      <c r="AL634" s="54"/>
      <c r="AM634" s="53"/>
      <c r="AN634" s="54"/>
      <c r="AO634" s="53"/>
      <c r="AP634" s="54"/>
      <c r="AQ634" s="53"/>
      <c r="AR634" s="54"/>
      <c r="AS634" s="53"/>
      <c r="AT634" s="54"/>
      <c r="AU634" s="53">
        <v>4.1666666666666699E-2</v>
      </c>
      <c r="AV634" s="54" t="s">
        <v>37</v>
      </c>
      <c r="AW634" s="57">
        <f t="shared" si="91"/>
        <v>4.1666666666666699E-2</v>
      </c>
      <c r="AX634" s="58" t="s">
        <v>109</v>
      </c>
    </row>
    <row r="635" spans="1:50" ht="21.75" customHeight="1">
      <c r="A635" s="38" t="s">
        <v>587</v>
      </c>
      <c r="B635" s="39">
        <f t="shared" si="90"/>
        <v>631</v>
      </c>
      <c r="C635" s="40">
        <v>46038</v>
      </c>
      <c r="D635" s="40" t="s">
        <v>80</v>
      </c>
      <c r="E635" s="40" t="s">
        <v>33</v>
      </c>
      <c r="F635" s="41">
        <v>375</v>
      </c>
      <c r="G635" s="42" t="s">
        <v>172</v>
      </c>
      <c r="H635" s="43" t="str">
        <f>IFERROR(VLOOKUP($J635,'[9]FROM (3)'!$E$4:$F$230,2,FALSE),"")</f>
        <v>ATAC</v>
      </c>
      <c r="I635" s="44" t="str">
        <f t="shared" si="87"/>
        <v>SEAT,WATER PUMP PULLEY</v>
      </c>
      <c r="J635" s="44" t="str">
        <f t="shared" si="88"/>
        <v>16171-05030</v>
      </c>
      <c r="K635" s="59" t="str">
        <f t="shared" si="85"/>
        <v>PD26010579</v>
      </c>
      <c r="L635" s="46" t="str" cm="1">
        <f t="array" ref="L635">IFERROR(_xlfn.IFS(
    LEN($A635)-LEN(SUBSTITUTE($A635,"|",""))=12, RIGHT(A635, LEN(A635)-FIND("~", SUBSTITUTE(A635,"|","~", LEN(A635)-LEN(SUBSTITUTE(A635,"|",""))))),
    LEN($A635)-LEN(SUBSTITUTE($A635,"|",""))=13, MID($A635, FIND("~", SUBSTITUTE($A635,"|","~", 11))+1, FIND("~", SUBSTITUTE($A635,"|","~", 12))-FIND("~", SUBSTITUTE($A635,"|","~", 11))-1),
    LEN($A635)-LEN(SUBSTITUTE($A635,"|",""))=14, MID($A635, FIND("~", SUBSTITUTE($A635,"|","~", 11))+1, FIND("~", SUBSTITUTE($A635,"|","~", 12))-FIND("~", SUBSTITUTE($A635,"|","~", 11))-1)
), "")</f>
        <v>665898</v>
      </c>
      <c r="M635" s="47" t="str">
        <f t="shared" si="83"/>
        <v>SB010056/1/26</v>
      </c>
      <c r="N635" s="46" t="str">
        <f t="shared" si="86"/>
        <v/>
      </c>
      <c r="O635" s="60">
        <v>14</v>
      </c>
      <c r="P635" s="60">
        <v>996</v>
      </c>
      <c r="Q635" s="48">
        <v>798</v>
      </c>
      <c r="R635" s="48">
        <v>299</v>
      </c>
      <c r="S635" s="48" t="s">
        <v>35</v>
      </c>
      <c r="T635" s="48"/>
      <c r="U635" s="49"/>
      <c r="V635" s="49"/>
      <c r="W635" s="50">
        <f t="shared" si="92"/>
        <v>0</v>
      </c>
      <c r="X635" s="51" t="str">
        <f>IF(A635="", "", IF(COUNTIFS(C$3:C634, C635, D$3:D634, D635, G$3:G634, G635) &gt; 0, "", "11:00"-AW635))</f>
        <v/>
      </c>
      <c r="Y635" s="52" t="str">
        <f t="shared" si="89"/>
        <v/>
      </c>
      <c r="Z635" s="53"/>
      <c r="AA635" s="54"/>
      <c r="AB635" s="53"/>
      <c r="AC635" s="54"/>
      <c r="AD635" s="53"/>
      <c r="AE635" s="54"/>
      <c r="AF635" s="53"/>
      <c r="AG635" s="54"/>
      <c r="AH635" s="55">
        <v>4.1666666666666699E-2</v>
      </c>
      <c r="AI635" s="53"/>
      <c r="AJ635" s="54"/>
      <c r="AK635" s="53"/>
      <c r="AL635" s="54"/>
      <c r="AM635" s="53"/>
      <c r="AN635" s="54"/>
      <c r="AO635" s="53"/>
      <c r="AP635" s="54"/>
      <c r="AQ635" s="53"/>
      <c r="AR635" s="54"/>
      <c r="AS635" s="53"/>
      <c r="AT635" s="54"/>
      <c r="AU635" s="53">
        <v>4.1666666666666699E-2</v>
      </c>
      <c r="AV635" s="54" t="s">
        <v>37</v>
      </c>
      <c r="AW635" s="57">
        <f t="shared" si="91"/>
        <v>4.1666666666666699E-2</v>
      </c>
      <c r="AX635" s="58" t="s">
        <v>109</v>
      </c>
    </row>
    <row r="636" spans="1:50" ht="21.75" customHeight="1">
      <c r="A636" s="38" t="s">
        <v>588</v>
      </c>
      <c r="B636" s="39">
        <f t="shared" si="90"/>
        <v>632</v>
      </c>
      <c r="C636" s="40">
        <v>46038</v>
      </c>
      <c r="D636" s="40" t="s">
        <v>80</v>
      </c>
      <c r="E636" s="40" t="s">
        <v>33</v>
      </c>
      <c r="F636" s="41">
        <v>157.9</v>
      </c>
      <c r="G636" s="42" t="s">
        <v>589</v>
      </c>
      <c r="H636" s="43" t="str">
        <f>IFERROR(VLOOKUP($J636,'[9]FROM (3)'!$E$4:$F$230,2,FALSE),"")</f>
        <v>DNTH</v>
      </c>
      <c r="I636" s="44" t="str">
        <f t="shared" si="87"/>
        <v>TGY95065-0010</v>
      </c>
      <c r="J636" s="44" t="str">
        <f t="shared" si="88"/>
        <v>SLUG CONNECTOR FUEL INLET (TGY95065-0010)</v>
      </c>
      <c r="K636" s="59" t="str">
        <f t="shared" si="85"/>
        <v>PD26010501</v>
      </c>
      <c r="L636" s="46" t="str" cm="1">
        <f t="array" ref="L636">IFERROR(_xlfn.IFS(
    LEN($A636)-LEN(SUBSTITUTE($A636,"|",""))=12, RIGHT(A636, LEN(A636)-FIND("~", SUBSTITUTE(A636,"|","~", LEN(A636)-LEN(SUBSTITUTE(A636,"|",""))))),
    LEN($A636)-LEN(SUBSTITUTE($A636,"|",""))=13, MID($A636, FIND("~", SUBSTITUTE($A636,"|","~", 11))+1, FIND("~", SUBSTITUTE($A636,"|","~", 12))-FIND("~", SUBSTITUTE($A636,"|","~", 11))-1),
    LEN($A636)-LEN(SUBSTITUTE($A636,"|",""))=14, MID($A636, FIND("~", SUBSTITUTE($A636,"|","~", 11))+1, FIND("~", SUBSTITUTE($A636,"|","~", 12))-FIND("~", SUBSTITUTE($A636,"|","~", 11))-1)
), "")</f>
        <v>E586354</v>
      </c>
      <c r="M636" s="47" t="str">
        <f t="shared" si="83"/>
        <v>TSK-PRD1</v>
      </c>
      <c r="N636" s="46" t="str">
        <f t="shared" si="86"/>
        <v>FP010147/2/26</v>
      </c>
      <c r="O636" s="60">
        <v>3500</v>
      </c>
      <c r="P636" s="60">
        <v>553</v>
      </c>
      <c r="Q636" s="48">
        <v>3500</v>
      </c>
      <c r="R636" s="48">
        <v>553</v>
      </c>
      <c r="S636" s="48"/>
      <c r="T636" s="48"/>
      <c r="U636" s="49"/>
      <c r="V636" s="49"/>
      <c r="W636" s="50">
        <f t="shared" si="92"/>
        <v>0</v>
      </c>
      <c r="X636" s="51">
        <f>IF(A636="", "", IF(COUNTIFS(C$3:C635, C636, D$3:D635, D636, G$3:G635, G636) &gt; 0, "", "11:00"-AW636))</f>
        <v>0.41666666666666663</v>
      </c>
      <c r="Y636" s="52" t="str">
        <f t="shared" si="89"/>
        <v>1:40</v>
      </c>
      <c r="Z636" s="53"/>
      <c r="AA636" s="54"/>
      <c r="AB636" s="53"/>
      <c r="AC636" s="54"/>
      <c r="AD636" s="53"/>
      <c r="AE636" s="54"/>
      <c r="AF636" s="53"/>
      <c r="AG636" s="54"/>
      <c r="AH636" s="55">
        <v>4.1666666666666699E-2</v>
      </c>
      <c r="AI636" s="53"/>
      <c r="AJ636" s="54"/>
      <c r="AK636" s="53"/>
      <c r="AL636" s="54"/>
      <c r="AM636" s="53"/>
      <c r="AN636" s="54"/>
      <c r="AO636" s="53"/>
      <c r="AP636" s="54"/>
      <c r="AQ636" s="53"/>
      <c r="AR636" s="54"/>
      <c r="AS636" s="53"/>
      <c r="AT636" s="54"/>
      <c r="AU636" s="53">
        <v>4.1666666666666699E-2</v>
      </c>
      <c r="AV636" s="54" t="s">
        <v>37</v>
      </c>
      <c r="AW636" s="57">
        <f t="shared" si="91"/>
        <v>4.1666666666666699E-2</v>
      </c>
      <c r="AX636" s="58" t="s">
        <v>113</v>
      </c>
    </row>
    <row r="637" spans="1:50" ht="21.75" customHeight="1">
      <c r="A637" s="38" t="s">
        <v>590</v>
      </c>
      <c r="B637" s="39">
        <f t="shared" si="90"/>
        <v>633</v>
      </c>
      <c r="C637" s="40">
        <v>46038</v>
      </c>
      <c r="D637" s="40" t="s">
        <v>80</v>
      </c>
      <c r="E637" s="40" t="s">
        <v>33</v>
      </c>
      <c r="F637" s="41">
        <v>157.9</v>
      </c>
      <c r="G637" s="42" t="s">
        <v>589</v>
      </c>
      <c r="H637" s="43" t="str">
        <f>IFERROR(VLOOKUP($J637,'[9]FROM (3)'!$E$4:$F$230,2,FALSE),"")</f>
        <v>DNTH</v>
      </c>
      <c r="I637" s="44" t="str">
        <f t="shared" si="87"/>
        <v>TGY95065-0010</v>
      </c>
      <c r="J637" s="44" t="str">
        <f t="shared" si="88"/>
        <v>SLUG CONNECTOR FUEL INLET (TGY95065-0010)</v>
      </c>
      <c r="K637" s="59" t="str">
        <f t="shared" si="85"/>
        <v>PD26010501</v>
      </c>
      <c r="L637" s="46" t="str" cm="1">
        <f t="array" ref="L637">IFERROR(_xlfn.IFS(
    LEN($A637)-LEN(SUBSTITUTE($A637,"|",""))=12, RIGHT(A637, LEN(A637)-FIND("~", SUBSTITUTE(A637,"|","~", LEN(A637)-LEN(SUBSTITUTE(A637,"|",""))))),
    LEN($A637)-LEN(SUBSTITUTE($A637,"|",""))=13, MID($A637, FIND("~", SUBSTITUTE($A637,"|","~", 11))+1, FIND("~", SUBSTITUTE($A637,"|","~", 12))-FIND("~", SUBSTITUTE($A637,"|","~", 11))-1),
    LEN($A637)-LEN(SUBSTITUTE($A637,"|",""))=14, MID($A637, FIND("~", SUBSTITUTE($A637,"|","~", 11))+1, FIND("~", SUBSTITUTE($A637,"|","~", 12))-FIND("~", SUBSTITUTE($A637,"|","~", 11))-1)
), "")</f>
        <v>E586354</v>
      </c>
      <c r="M637" s="47" t="str">
        <f t="shared" si="83"/>
        <v>TSK-PRD1</v>
      </c>
      <c r="N637" s="46" t="str">
        <f t="shared" si="86"/>
        <v>FP010147/4/26</v>
      </c>
      <c r="O637" s="60">
        <v>2030</v>
      </c>
      <c r="P637" s="60">
        <v>321</v>
      </c>
      <c r="Q637" s="48">
        <v>2030</v>
      </c>
      <c r="R637" s="48">
        <v>321</v>
      </c>
      <c r="S637" s="48"/>
      <c r="T637" s="48"/>
      <c r="U637" s="49"/>
      <c r="V637" s="49"/>
      <c r="W637" s="50">
        <f t="shared" si="92"/>
        <v>0</v>
      </c>
      <c r="X637" s="51" t="str">
        <f>IF(A637="", "", IF(COUNTIFS(C$3:C636, C637, D$3:D636, D637, G$3:G636, G637) &gt; 0, "", "11:00"-AW637))</f>
        <v/>
      </c>
      <c r="Y637" s="52" t="str">
        <f t="shared" si="89"/>
        <v/>
      </c>
      <c r="Z637" s="53"/>
      <c r="AA637" s="54"/>
      <c r="AB637" s="53"/>
      <c r="AC637" s="54"/>
      <c r="AD637" s="53"/>
      <c r="AE637" s="54"/>
      <c r="AF637" s="53"/>
      <c r="AG637" s="54"/>
      <c r="AH637" s="55">
        <v>4.1666666666666699E-2</v>
      </c>
      <c r="AI637" s="53"/>
      <c r="AJ637" s="54"/>
      <c r="AK637" s="53"/>
      <c r="AL637" s="54"/>
      <c r="AM637" s="53"/>
      <c r="AN637" s="54"/>
      <c r="AO637" s="53"/>
      <c r="AP637" s="54"/>
      <c r="AQ637" s="53"/>
      <c r="AR637" s="54"/>
      <c r="AS637" s="53"/>
      <c r="AT637" s="54"/>
      <c r="AU637" s="53">
        <v>4.1666666666666699E-2</v>
      </c>
      <c r="AV637" s="54" t="s">
        <v>37</v>
      </c>
      <c r="AW637" s="57">
        <f t="shared" si="91"/>
        <v>4.1666666666666699E-2</v>
      </c>
      <c r="AX637" s="58" t="s">
        <v>113</v>
      </c>
    </row>
    <row r="638" spans="1:50" ht="21.75" customHeight="1">
      <c r="A638" s="38" t="s">
        <v>591</v>
      </c>
      <c r="B638" s="39">
        <f t="shared" si="90"/>
        <v>634</v>
      </c>
      <c r="C638" s="40">
        <v>46038</v>
      </c>
      <c r="D638" s="40" t="s">
        <v>80</v>
      </c>
      <c r="E638" s="40" t="s">
        <v>33</v>
      </c>
      <c r="F638" s="41">
        <v>157.9</v>
      </c>
      <c r="G638" s="42" t="s">
        <v>589</v>
      </c>
      <c r="H638" s="43" t="str">
        <f>IFERROR(VLOOKUP($J638,'[9]FROM (3)'!$E$4:$F$230,2,FALSE),"")</f>
        <v>DNTH</v>
      </c>
      <c r="I638" s="44" t="str">
        <f t="shared" si="87"/>
        <v>TGY95065-0010</v>
      </c>
      <c r="J638" s="44" t="str">
        <f t="shared" si="88"/>
        <v>SLUG CONNECTOR FUEL INLET (TGY95065-0010)</v>
      </c>
      <c r="K638" s="59" t="str">
        <f t="shared" si="85"/>
        <v>PD26010501</v>
      </c>
      <c r="L638" s="46" t="str" cm="1">
        <f t="array" ref="L638">IFERROR(_xlfn.IFS(
    LEN($A638)-LEN(SUBSTITUTE($A638,"|",""))=12, RIGHT(A638, LEN(A638)-FIND("~", SUBSTITUTE(A638,"|","~", LEN(A638)-LEN(SUBSTITUTE(A638,"|",""))))),
    LEN($A638)-LEN(SUBSTITUTE($A638,"|",""))=13, MID($A638, FIND("~", SUBSTITUTE($A638,"|","~", 11))+1, FIND("~", SUBSTITUTE($A638,"|","~", 12))-FIND("~", SUBSTITUTE($A638,"|","~", 11))-1),
    LEN($A638)-LEN(SUBSTITUTE($A638,"|",""))=14, MID($A638, FIND("~", SUBSTITUTE($A638,"|","~", 11))+1, FIND("~", SUBSTITUTE($A638,"|","~", 12))-FIND("~", SUBSTITUTE($A638,"|","~", 11))-1)
), "")</f>
        <v>E586354</v>
      </c>
      <c r="M638" s="47" t="str">
        <f t="shared" si="83"/>
        <v>TSK-PRD1</v>
      </c>
      <c r="N638" s="46" t="str">
        <f t="shared" si="86"/>
        <v>FP010147/3/26</v>
      </c>
      <c r="O638" s="60">
        <v>3500</v>
      </c>
      <c r="P638" s="60">
        <v>553</v>
      </c>
      <c r="Q638" s="48">
        <v>3500</v>
      </c>
      <c r="R638" s="48">
        <v>553</v>
      </c>
      <c r="S638" s="48"/>
      <c r="T638" s="48"/>
      <c r="U638" s="49"/>
      <c r="V638" s="49"/>
      <c r="W638" s="50">
        <f t="shared" si="92"/>
        <v>0</v>
      </c>
      <c r="X638" s="51" t="str">
        <f>IF(A638="", "", IF(COUNTIFS(C$3:C637, C638, D$3:D637, D638, G$3:G637, G638) &gt; 0, "", "11:00"-AW638))</f>
        <v/>
      </c>
      <c r="Y638" s="52" t="str">
        <f t="shared" si="89"/>
        <v/>
      </c>
      <c r="Z638" s="53"/>
      <c r="AA638" s="54"/>
      <c r="AB638" s="53"/>
      <c r="AC638" s="54"/>
      <c r="AD638" s="53"/>
      <c r="AE638" s="54"/>
      <c r="AF638" s="53"/>
      <c r="AG638" s="54"/>
      <c r="AH638" s="55">
        <v>4.1666666666666699E-2</v>
      </c>
      <c r="AI638" s="53"/>
      <c r="AJ638" s="54"/>
      <c r="AK638" s="53"/>
      <c r="AL638" s="54"/>
      <c r="AM638" s="53"/>
      <c r="AN638" s="54"/>
      <c r="AO638" s="53"/>
      <c r="AP638" s="54"/>
      <c r="AQ638" s="53"/>
      <c r="AR638" s="54"/>
      <c r="AS638" s="53"/>
      <c r="AT638" s="54"/>
      <c r="AU638" s="53">
        <v>4.1666666666666699E-2</v>
      </c>
      <c r="AV638" s="54" t="s">
        <v>37</v>
      </c>
      <c r="AW638" s="57">
        <f t="shared" si="91"/>
        <v>4.1666666666666699E-2</v>
      </c>
      <c r="AX638" s="58" t="s">
        <v>113</v>
      </c>
    </row>
    <row r="639" spans="1:50" ht="21.75" customHeight="1">
      <c r="A639" s="38" t="s">
        <v>592</v>
      </c>
      <c r="B639" s="39">
        <f t="shared" si="90"/>
        <v>635</v>
      </c>
      <c r="C639" s="40">
        <v>46038</v>
      </c>
      <c r="D639" s="40" t="s">
        <v>80</v>
      </c>
      <c r="E639" s="40" t="s">
        <v>33</v>
      </c>
      <c r="F639" s="41">
        <v>157.9</v>
      </c>
      <c r="G639" s="42" t="s">
        <v>589</v>
      </c>
      <c r="H639" s="43" t="str">
        <f>IFERROR(VLOOKUP($J639,'[9]FROM (3)'!$E$4:$F$230,2,FALSE),"")</f>
        <v>DNTH</v>
      </c>
      <c r="I639" s="44" t="str">
        <f t="shared" si="87"/>
        <v>TGY95065-0010</v>
      </c>
      <c r="J639" s="44" t="str">
        <f t="shared" si="88"/>
        <v>SLUG CONNECTOR FUEL INLET (TGY95065-0010)</v>
      </c>
      <c r="K639" s="59" t="str">
        <f t="shared" si="85"/>
        <v>PD26010501</v>
      </c>
      <c r="L639" s="46" t="str" cm="1">
        <f t="array" ref="L639">IFERROR(_xlfn.IFS(
    LEN($A639)-LEN(SUBSTITUTE($A639,"|",""))=12, RIGHT(A639, LEN(A639)-FIND("~", SUBSTITUTE(A639,"|","~", LEN(A639)-LEN(SUBSTITUTE(A639,"|",""))))),
    LEN($A639)-LEN(SUBSTITUTE($A639,"|",""))=13, MID($A639, FIND("~", SUBSTITUTE($A639,"|","~", 11))+1, FIND("~", SUBSTITUTE($A639,"|","~", 12))-FIND("~", SUBSTITUTE($A639,"|","~", 11))-1),
    LEN($A639)-LEN(SUBSTITUTE($A639,"|",""))=14, MID($A639, FIND("~", SUBSTITUTE($A639,"|","~", 11))+1, FIND("~", SUBSTITUTE($A639,"|","~", 12))-FIND("~", SUBSTITUTE($A639,"|","~", 11))-1)
), "")</f>
        <v>E586354</v>
      </c>
      <c r="M639" s="47" t="str">
        <f t="shared" si="83"/>
        <v>TSK-PRD1</v>
      </c>
      <c r="N639" s="46" t="str">
        <f t="shared" si="86"/>
        <v>FP010147/1/26</v>
      </c>
      <c r="O639" s="60">
        <v>3500</v>
      </c>
      <c r="P639" s="60">
        <v>553</v>
      </c>
      <c r="Q639" s="48">
        <v>3500</v>
      </c>
      <c r="R639" s="48">
        <v>553</v>
      </c>
      <c r="S639" s="48"/>
      <c r="T639" s="48"/>
      <c r="U639" s="49"/>
      <c r="V639" s="49"/>
      <c r="W639" s="50">
        <f t="shared" si="92"/>
        <v>0</v>
      </c>
      <c r="X639" s="51" t="str">
        <f>IF(A639="", "", IF(COUNTIFS(C$3:C638, C639, D$3:D638, D639, G$3:G638, G639) &gt; 0, "", "11:00"-AW639))</f>
        <v/>
      </c>
      <c r="Y639" s="52" t="str">
        <f t="shared" si="89"/>
        <v/>
      </c>
      <c r="Z639" s="53"/>
      <c r="AA639" s="54"/>
      <c r="AB639" s="53"/>
      <c r="AC639" s="54"/>
      <c r="AD639" s="53"/>
      <c r="AE639" s="54"/>
      <c r="AF639" s="53"/>
      <c r="AG639" s="54"/>
      <c r="AH639" s="55">
        <v>4.1666666666666699E-2</v>
      </c>
      <c r="AI639" s="53"/>
      <c r="AJ639" s="54"/>
      <c r="AK639" s="53"/>
      <c r="AL639" s="54"/>
      <c r="AM639" s="53"/>
      <c r="AN639" s="54"/>
      <c r="AO639" s="53"/>
      <c r="AP639" s="54"/>
      <c r="AQ639" s="53"/>
      <c r="AR639" s="54"/>
      <c r="AS639" s="53"/>
      <c r="AT639" s="54"/>
      <c r="AU639" s="53">
        <v>4.1666666666666699E-2</v>
      </c>
      <c r="AV639" s="54" t="s">
        <v>37</v>
      </c>
      <c r="AW639" s="57">
        <f t="shared" si="91"/>
        <v>4.1666666666666699E-2</v>
      </c>
      <c r="AX639" s="58" t="s">
        <v>113</v>
      </c>
    </row>
    <row r="640" spans="1:50" ht="21.75" customHeight="1">
      <c r="A640" s="38" t="s">
        <v>582</v>
      </c>
      <c r="B640" s="39">
        <f t="shared" si="90"/>
        <v>636</v>
      </c>
      <c r="C640" s="40">
        <v>46038</v>
      </c>
      <c r="D640" s="40" t="s">
        <v>32</v>
      </c>
      <c r="E640" s="40" t="s">
        <v>81</v>
      </c>
      <c r="F640" s="41">
        <v>765.7</v>
      </c>
      <c r="G640" s="42" t="s">
        <v>66</v>
      </c>
      <c r="H640" s="43" t="str">
        <f>IFERROR(VLOOKUP($J640,'[9]FROM (3)'!$E$4:$F$230,2,FALSE),"")</f>
        <v>JTCS</v>
      </c>
      <c r="I640" s="44" t="str">
        <f t="shared" si="87"/>
        <v>RACK, PS</v>
      </c>
      <c r="J640" s="44" t="str">
        <f t="shared" si="88"/>
        <v>JGD10S00670-B</v>
      </c>
      <c r="K640" s="59" t="str">
        <f t="shared" si="85"/>
        <v>PD26010496</v>
      </c>
      <c r="L640" s="46" t="str" cm="1">
        <f t="array" ref="L640">IFERROR(_xlfn.IFS(
    LEN($A640)-LEN(SUBSTITUTE($A640,"|",""))=12, RIGHT(A640, LEN(A640)-FIND("~", SUBSTITUTE(A640,"|","~", LEN(A640)-LEN(SUBSTITUTE(A640,"|",""))))),
    LEN($A640)-LEN(SUBSTITUTE($A640,"|",""))=13, MID($A640, FIND("~", SUBSTITUTE($A640,"|","~", 11))+1, FIND("~", SUBSTITUTE($A640,"|","~", 12))-FIND("~", SUBSTITUTE($A640,"|","~", 11))-1),
    LEN($A640)-LEN(SUBSTITUTE($A640,"|",""))=14, MID($A640, FIND("~", SUBSTITUTE($A640,"|","~", 11))+1, FIND("~", SUBSTITUTE($A640,"|","~", 12))-FIND("~", SUBSTITUTE($A640,"|","~", 11))-1)
), "")</f>
        <v>E586447</v>
      </c>
      <c r="M640" s="47" t="str">
        <f t="shared" si="83"/>
        <v>SB010048/3/26</v>
      </c>
      <c r="N640" s="46" t="str">
        <f t="shared" si="86"/>
        <v/>
      </c>
      <c r="O640" s="60">
        <v>16</v>
      </c>
      <c r="P640" s="60">
        <v>570</v>
      </c>
      <c r="Q640" s="48">
        <v>107</v>
      </c>
      <c r="R640" s="48">
        <v>525</v>
      </c>
      <c r="S640" s="48"/>
      <c r="T640" s="48"/>
      <c r="U640" s="49">
        <v>80</v>
      </c>
      <c r="V640" s="49">
        <v>8</v>
      </c>
      <c r="W640" s="50">
        <f t="shared" si="92"/>
        <v>88</v>
      </c>
      <c r="X640" s="51">
        <f>IF(A640="", "", IF(COUNTIFS(C$3:C639, C640, D$3:D639, D640, G$3:G639, G640) &gt; 0, "", "11:00"-AW640))</f>
        <v>0.41666666666666663</v>
      </c>
      <c r="Y640" s="52" t="str">
        <f t="shared" si="89"/>
        <v>1:40</v>
      </c>
      <c r="Z640" s="53"/>
      <c r="AA640" s="54"/>
      <c r="AB640" s="53"/>
      <c r="AC640" s="54"/>
      <c r="AD640" s="53"/>
      <c r="AE640" s="54"/>
      <c r="AF640" s="53"/>
      <c r="AG640" s="54"/>
      <c r="AH640" s="55">
        <v>4.1666666666666699E-2</v>
      </c>
      <c r="AI640" s="53"/>
      <c r="AJ640" s="54"/>
      <c r="AK640" s="53"/>
      <c r="AL640" s="54"/>
      <c r="AM640" s="53"/>
      <c r="AN640" s="54"/>
      <c r="AO640" s="53"/>
      <c r="AP640" s="54"/>
      <c r="AQ640" s="53"/>
      <c r="AR640" s="54"/>
      <c r="AS640" s="53"/>
      <c r="AT640" s="54"/>
      <c r="AU640" s="53">
        <v>4.1666666666666699E-2</v>
      </c>
      <c r="AV640" s="54" t="s">
        <v>37</v>
      </c>
      <c r="AW640" s="57">
        <f t="shared" si="91"/>
        <v>4.1666666666666699E-2</v>
      </c>
      <c r="AX640" s="58" t="s">
        <v>68</v>
      </c>
    </row>
    <row r="641" spans="1:50" ht="21.75" customHeight="1">
      <c r="A641" s="38" t="s">
        <v>593</v>
      </c>
      <c r="B641" s="39">
        <f t="shared" si="90"/>
        <v>637</v>
      </c>
      <c r="C641" s="40">
        <v>46038</v>
      </c>
      <c r="D641" s="40" t="s">
        <v>32</v>
      </c>
      <c r="E641" s="40" t="s">
        <v>81</v>
      </c>
      <c r="F641" s="41">
        <v>765.7</v>
      </c>
      <c r="G641" s="42" t="s">
        <v>66</v>
      </c>
      <c r="H641" s="43" t="str">
        <f>IFERROR(VLOOKUP($J641,'[9]FROM (3)'!$E$4:$F$230,2,FALSE),"")</f>
        <v>JTCS</v>
      </c>
      <c r="I641" s="44" t="str">
        <f t="shared" si="87"/>
        <v>RACK, PS</v>
      </c>
      <c r="J641" s="44" t="str">
        <f t="shared" si="88"/>
        <v>JGD10S00670-B</v>
      </c>
      <c r="K641" s="59" t="str">
        <f t="shared" si="85"/>
        <v>PD26010497</v>
      </c>
      <c r="L641" s="46" t="str" cm="1">
        <f t="array" ref="L641">IFERROR(_xlfn.IFS(
    LEN($A641)-LEN(SUBSTITUTE($A641,"|",""))=12, RIGHT(A641, LEN(A641)-FIND("~", SUBSTITUTE(A641,"|","~", LEN(A641)-LEN(SUBSTITUTE(A641,"|",""))))),
    LEN($A641)-LEN(SUBSTITUTE($A641,"|",""))=13, MID($A641, FIND("~", SUBSTITUTE($A641,"|","~", 11))+1, FIND("~", SUBSTITUTE($A641,"|","~", 12))-FIND("~", SUBSTITUTE($A641,"|","~", 11))-1),
    LEN($A641)-LEN(SUBSTITUTE($A641,"|",""))=14, MID($A641, FIND("~", SUBSTITUTE($A641,"|","~", 11))+1, FIND("~", SUBSTITUTE($A641,"|","~", 12))-FIND("~", SUBSTITUTE($A641,"|","~", 11))-1)
), "")</f>
        <v>E586447</v>
      </c>
      <c r="M641" s="47" t="str">
        <f t="shared" si="83"/>
        <v>SB010048/4/26</v>
      </c>
      <c r="N641" s="46" t="str">
        <f t="shared" si="86"/>
        <v/>
      </c>
      <c r="O641" s="60">
        <v>25</v>
      </c>
      <c r="P641" s="60">
        <v>890</v>
      </c>
      <c r="Q641" s="48">
        <v>175</v>
      </c>
      <c r="R641" s="48">
        <v>859</v>
      </c>
      <c r="S641" s="48"/>
      <c r="T641" s="48"/>
      <c r="U641" s="49"/>
      <c r="V641" s="49"/>
      <c r="W641" s="50">
        <f t="shared" si="92"/>
        <v>0</v>
      </c>
      <c r="X641" s="51" t="str">
        <f>IF(A641="", "", IF(COUNTIFS(C$3:C640, C641, D$3:D640, D641, G$3:G640, G641) &gt; 0, "", "11:00"-AW641))</f>
        <v/>
      </c>
      <c r="Y641" s="52" t="str">
        <f t="shared" si="89"/>
        <v/>
      </c>
      <c r="Z641" s="53"/>
      <c r="AA641" s="54"/>
      <c r="AB641" s="53"/>
      <c r="AC641" s="54"/>
      <c r="AD641" s="53"/>
      <c r="AE641" s="54"/>
      <c r="AF641" s="53"/>
      <c r="AG641" s="54"/>
      <c r="AH641" s="55">
        <v>4.1666666666666699E-2</v>
      </c>
      <c r="AI641" s="53"/>
      <c r="AJ641" s="54"/>
      <c r="AK641" s="53"/>
      <c r="AL641" s="54"/>
      <c r="AM641" s="53"/>
      <c r="AN641" s="54"/>
      <c r="AO641" s="53"/>
      <c r="AP641" s="54"/>
      <c r="AQ641" s="53"/>
      <c r="AR641" s="54"/>
      <c r="AS641" s="53"/>
      <c r="AT641" s="54"/>
      <c r="AU641" s="53">
        <v>4.1666666666666699E-2</v>
      </c>
      <c r="AV641" s="54" t="s">
        <v>37</v>
      </c>
      <c r="AW641" s="57">
        <f t="shared" si="91"/>
        <v>4.1666666666666699E-2</v>
      </c>
      <c r="AX641" s="58" t="s">
        <v>68</v>
      </c>
    </row>
    <row r="642" spans="1:50" ht="21.75" customHeight="1">
      <c r="A642" s="38" t="s">
        <v>594</v>
      </c>
      <c r="B642" s="39">
        <f t="shared" si="90"/>
        <v>638</v>
      </c>
      <c r="C642" s="40">
        <v>46038</v>
      </c>
      <c r="D642" s="40" t="s">
        <v>32</v>
      </c>
      <c r="E642" s="40" t="s">
        <v>81</v>
      </c>
      <c r="F642" s="41">
        <v>765.7</v>
      </c>
      <c r="G642" s="42" t="s">
        <v>66</v>
      </c>
      <c r="H642" s="43" t="str">
        <f>IFERROR(VLOOKUP($J642,'[9]FROM (3)'!$E$4:$F$230,2,FALSE),"")</f>
        <v>JTCS</v>
      </c>
      <c r="I642" s="44" t="str">
        <f t="shared" si="87"/>
        <v>RACK, PS</v>
      </c>
      <c r="J642" s="44" t="str">
        <f t="shared" si="88"/>
        <v>JGD10S00670-B</v>
      </c>
      <c r="K642" s="59" t="str">
        <f t="shared" si="85"/>
        <v>PD26010497</v>
      </c>
      <c r="L642" s="46" t="str" cm="1">
        <f t="array" ref="L642">IFERROR(_xlfn.IFS(
    LEN($A642)-LEN(SUBSTITUTE($A642,"|",""))=12, RIGHT(A642, LEN(A642)-FIND("~", SUBSTITUTE(A642,"|","~", LEN(A642)-LEN(SUBSTITUTE(A642,"|",""))))),
    LEN($A642)-LEN(SUBSTITUTE($A642,"|",""))=13, MID($A642, FIND("~", SUBSTITUTE($A642,"|","~", 11))+1, FIND("~", SUBSTITUTE($A642,"|","~", 12))-FIND("~", SUBSTITUTE($A642,"|","~", 11))-1),
    LEN($A642)-LEN(SUBSTITUTE($A642,"|",""))=14, MID($A642, FIND("~", SUBSTITUTE($A642,"|","~", 11))+1, FIND("~", SUBSTITUTE($A642,"|","~", 12))-FIND("~", SUBSTITUTE($A642,"|","~", 11))-1)
), "")</f>
        <v>E586447</v>
      </c>
      <c r="M642" s="47" t="str">
        <f t="shared" si="83"/>
        <v>SB010048/5/26</v>
      </c>
      <c r="N642" s="46" t="str">
        <f t="shared" si="86"/>
        <v/>
      </c>
      <c r="O642" s="60">
        <v>25</v>
      </c>
      <c r="P642" s="60">
        <v>890</v>
      </c>
      <c r="Q642" s="48">
        <v>175</v>
      </c>
      <c r="R642" s="48">
        <v>859</v>
      </c>
      <c r="S642" s="48"/>
      <c r="T642" s="48"/>
      <c r="U642" s="49"/>
      <c r="V642" s="49"/>
      <c r="W642" s="50">
        <f t="shared" si="92"/>
        <v>0</v>
      </c>
      <c r="X642" s="51" t="str">
        <f>IF(A642="", "", IF(COUNTIFS(C$3:C641, C642, D$3:D641, D642, G$3:G641, G642) &gt; 0, "", "11:00"-AW642))</f>
        <v/>
      </c>
      <c r="Y642" s="52" t="str">
        <f t="shared" si="89"/>
        <v/>
      </c>
      <c r="Z642" s="53"/>
      <c r="AA642" s="54"/>
      <c r="AB642" s="53"/>
      <c r="AC642" s="54"/>
      <c r="AD642" s="53"/>
      <c r="AE642" s="54"/>
      <c r="AF642" s="53"/>
      <c r="AG642" s="54"/>
      <c r="AH642" s="55">
        <v>4.1666666666666699E-2</v>
      </c>
      <c r="AI642" s="53"/>
      <c r="AJ642" s="54"/>
      <c r="AK642" s="53"/>
      <c r="AL642" s="54"/>
      <c r="AM642" s="53"/>
      <c r="AN642" s="54"/>
      <c r="AO642" s="53"/>
      <c r="AP642" s="54"/>
      <c r="AQ642" s="53"/>
      <c r="AR642" s="54"/>
      <c r="AS642" s="53"/>
      <c r="AT642" s="54"/>
      <c r="AU642" s="53">
        <v>4.1666666666666699E-2</v>
      </c>
      <c r="AV642" s="54" t="s">
        <v>37</v>
      </c>
      <c r="AW642" s="57">
        <f t="shared" si="91"/>
        <v>4.1666666666666699E-2</v>
      </c>
      <c r="AX642" s="58" t="s">
        <v>68</v>
      </c>
    </row>
    <row r="643" spans="1:50" ht="21.75" customHeight="1">
      <c r="A643" s="38" t="s">
        <v>595</v>
      </c>
      <c r="B643" s="39">
        <f t="shared" si="90"/>
        <v>639</v>
      </c>
      <c r="C643" s="40">
        <v>46038</v>
      </c>
      <c r="D643" s="40" t="s">
        <v>32</v>
      </c>
      <c r="E643" s="40" t="s">
        <v>81</v>
      </c>
      <c r="F643" s="41">
        <v>765.7</v>
      </c>
      <c r="G643" s="42" t="s">
        <v>66</v>
      </c>
      <c r="H643" s="43" t="str">
        <f>IFERROR(VLOOKUP($J643,'[9]FROM (3)'!$E$4:$F$230,2,FALSE),"")</f>
        <v>JTCS</v>
      </c>
      <c r="I643" s="44" t="str">
        <f t="shared" si="87"/>
        <v>RACK, PS</v>
      </c>
      <c r="J643" s="44" t="str">
        <f t="shared" si="88"/>
        <v>JGD10S00670-B</v>
      </c>
      <c r="K643" s="59" t="str">
        <f t="shared" si="85"/>
        <v>PD26010497</v>
      </c>
      <c r="L643" s="46" t="str" cm="1">
        <f t="array" ref="L643">IFERROR(_xlfn.IFS(
    LEN($A643)-LEN(SUBSTITUTE($A643,"|",""))=12, RIGHT(A643, LEN(A643)-FIND("~", SUBSTITUTE(A643,"|","~", LEN(A643)-LEN(SUBSTITUTE(A643,"|",""))))),
    LEN($A643)-LEN(SUBSTITUTE($A643,"|",""))=13, MID($A643, FIND("~", SUBSTITUTE($A643,"|","~", 11))+1, FIND("~", SUBSTITUTE($A643,"|","~", 12))-FIND("~", SUBSTITUTE($A643,"|","~", 11))-1),
    LEN($A643)-LEN(SUBSTITUTE($A643,"|",""))=14, MID($A643, FIND("~", SUBSTITUTE($A643,"|","~", 11))+1, FIND("~", SUBSTITUTE($A643,"|","~", 12))-FIND("~", SUBSTITUTE($A643,"|","~", 11))-1)
), "")</f>
        <v>E586447</v>
      </c>
      <c r="M643" s="47" t="str">
        <f t="shared" si="83"/>
        <v>SB010048/6/26</v>
      </c>
      <c r="N643" s="46" t="str">
        <f t="shared" si="86"/>
        <v/>
      </c>
      <c r="O643" s="60">
        <v>25</v>
      </c>
      <c r="P643" s="60">
        <v>890</v>
      </c>
      <c r="Q643" s="48">
        <v>175</v>
      </c>
      <c r="R643" s="48">
        <v>859</v>
      </c>
      <c r="S643" s="48"/>
      <c r="T643" s="48"/>
      <c r="U643" s="49">
        <v>80</v>
      </c>
      <c r="V643" s="49">
        <v>8</v>
      </c>
      <c r="W643" s="50">
        <f t="shared" si="92"/>
        <v>88</v>
      </c>
      <c r="X643" s="51" t="str">
        <f>IF(A643="", "", IF(COUNTIFS(C$3:C642, C643, D$3:D642, D643, G$3:G642, G643) &gt; 0, "", "11:00"-AW643))</f>
        <v/>
      </c>
      <c r="Y643" s="52" t="str">
        <f t="shared" si="89"/>
        <v/>
      </c>
      <c r="Z643" s="53"/>
      <c r="AA643" s="54"/>
      <c r="AB643" s="53"/>
      <c r="AC643" s="54"/>
      <c r="AD643" s="53"/>
      <c r="AE643" s="54"/>
      <c r="AF643" s="53"/>
      <c r="AG643" s="54"/>
      <c r="AH643" s="55">
        <v>4.1666666666666699E-2</v>
      </c>
      <c r="AI643" s="53"/>
      <c r="AJ643" s="54"/>
      <c r="AK643" s="53"/>
      <c r="AL643" s="54"/>
      <c r="AM643" s="53"/>
      <c r="AN643" s="54"/>
      <c r="AO643" s="53"/>
      <c r="AP643" s="54"/>
      <c r="AQ643" s="53"/>
      <c r="AR643" s="54"/>
      <c r="AS643" s="53"/>
      <c r="AT643" s="54"/>
      <c r="AU643" s="53">
        <v>4.1666666666666699E-2</v>
      </c>
      <c r="AV643" s="54" t="s">
        <v>37</v>
      </c>
      <c r="AW643" s="57">
        <f t="shared" si="91"/>
        <v>4.1666666666666699E-2</v>
      </c>
      <c r="AX643" s="58" t="s">
        <v>68</v>
      </c>
    </row>
    <row r="644" spans="1:50" ht="21.75" customHeight="1">
      <c r="A644" s="38" t="s">
        <v>596</v>
      </c>
      <c r="B644" s="39">
        <f t="shared" si="90"/>
        <v>640</v>
      </c>
      <c r="C644" s="40">
        <v>46038</v>
      </c>
      <c r="D644" s="40" t="s">
        <v>32</v>
      </c>
      <c r="E644" s="40" t="s">
        <v>81</v>
      </c>
      <c r="F644" s="41">
        <v>765.7</v>
      </c>
      <c r="G644" s="42" t="s">
        <v>66</v>
      </c>
      <c r="H644" s="43" t="str">
        <f>IFERROR(VLOOKUP($J644,'[9]FROM (3)'!$E$4:$F$230,2,FALSE),"")</f>
        <v>JTCS</v>
      </c>
      <c r="I644" s="44" t="str">
        <f t="shared" si="87"/>
        <v>RACK, PS</v>
      </c>
      <c r="J644" s="44" t="str">
        <f t="shared" si="88"/>
        <v>JGD10S00670-B</v>
      </c>
      <c r="K644" s="59" t="str">
        <f t="shared" si="85"/>
        <v>PD26010494</v>
      </c>
      <c r="L644" s="46" t="str" cm="1">
        <f t="array" ref="L644">IFERROR(_xlfn.IFS(
    LEN($A644)-LEN(SUBSTITUTE($A644,"|",""))=12, RIGHT(A644, LEN(A644)-FIND("~", SUBSTITUTE(A644,"|","~", LEN(A644)-LEN(SUBSTITUTE(A644,"|",""))))),
    LEN($A644)-LEN(SUBSTITUTE($A644,"|",""))=13, MID($A644, FIND("~", SUBSTITUTE($A644,"|","~", 11))+1, FIND("~", SUBSTITUTE($A644,"|","~", 12))-FIND("~", SUBSTITUTE($A644,"|","~", 11))-1),
    LEN($A644)-LEN(SUBSTITUTE($A644,"|",""))=14, MID($A644, FIND("~", SUBSTITUTE($A644,"|","~", 11))+1, FIND("~", SUBSTITUTE($A644,"|","~", 12))-FIND("~", SUBSTITUTE($A644,"|","~", 11))-1)
), "")</f>
        <v>E586447</v>
      </c>
      <c r="M644" s="47" t="str">
        <f t="shared" si="83"/>
        <v>SB010046/3/26</v>
      </c>
      <c r="N644" s="46" t="str">
        <f t="shared" si="86"/>
        <v/>
      </c>
      <c r="O644" s="60">
        <v>25</v>
      </c>
      <c r="P644" s="60">
        <v>890</v>
      </c>
      <c r="Q644" s="48">
        <v>175</v>
      </c>
      <c r="R644" s="48">
        <v>859</v>
      </c>
      <c r="S644" s="48"/>
      <c r="T644" s="48"/>
      <c r="U644" s="49"/>
      <c r="V644" s="49"/>
      <c r="W644" s="50">
        <f t="shared" si="92"/>
        <v>0</v>
      </c>
      <c r="X644" s="51" t="str">
        <f>IF(A644="", "", IF(COUNTIFS(C$3:C643, C644, D$3:D643, D644, G$3:G643, G644) &gt; 0, "", "11:00"-AW644))</f>
        <v/>
      </c>
      <c r="Y644" s="52" t="str">
        <f t="shared" si="89"/>
        <v/>
      </c>
      <c r="Z644" s="53"/>
      <c r="AA644" s="54"/>
      <c r="AB644" s="53"/>
      <c r="AC644" s="54"/>
      <c r="AD644" s="53"/>
      <c r="AE644" s="54"/>
      <c r="AF644" s="53"/>
      <c r="AG644" s="54"/>
      <c r="AH644" s="55">
        <v>4.1666666666666699E-2</v>
      </c>
      <c r="AI644" s="53"/>
      <c r="AJ644" s="54"/>
      <c r="AK644" s="53"/>
      <c r="AL644" s="54"/>
      <c r="AM644" s="53"/>
      <c r="AN644" s="54"/>
      <c r="AO644" s="53"/>
      <c r="AP644" s="54"/>
      <c r="AQ644" s="53"/>
      <c r="AR644" s="54"/>
      <c r="AS644" s="53"/>
      <c r="AT644" s="54"/>
      <c r="AU644" s="53">
        <v>4.1666666666666699E-2</v>
      </c>
      <c r="AV644" s="54" t="s">
        <v>37</v>
      </c>
      <c r="AW644" s="57">
        <f t="shared" si="91"/>
        <v>4.1666666666666699E-2</v>
      </c>
      <c r="AX644" s="58" t="s">
        <v>68</v>
      </c>
    </row>
    <row r="645" spans="1:50" ht="21.75" customHeight="1">
      <c r="A645" s="38" t="s">
        <v>597</v>
      </c>
      <c r="B645" s="39">
        <f t="shared" si="90"/>
        <v>641</v>
      </c>
      <c r="C645" s="40">
        <v>46038</v>
      </c>
      <c r="D645" s="40" t="s">
        <v>32</v>
      </c>
      <c r="E645" s="40" t="s">
        <v>81</v>
      </c>
      <c r="F645" s="41">
        <v>765.7</v>
      </c>
      <c r="G645" s="42" t="s">
        <v>66</v>
      </c>
      <c r="H645" s="43" t="str">
        <f>IFERROR(VLOOKUP($J645,'[9]FROM (3)'!$E$4:$F$230,2,FALSE),"")</f>
        <v>JTCS</v>
      </c>
      <c r="I645" s="44" t="str">
        <f t="shared" si="87"/>
        <v>RACK, PS</v>
      </c>
      <c r="J645" s="44" t="str">
        <f t="shared" si="88"/>
        <v>JGD10S00670-B</v>
      </c>
      <c r="K645" s="59" t="str">
        <f t="shared" si="85"/>
        <v>PD26010494</v>
      </c>
      <c r="L645" s="46" t="str" cm="1">
        <f t="array" ref="L645">IFERROR(_xlfn.IFS(
    LEN($A645)-LEN(SUBSTITUTE($A645,"|",""))=12, RIGHT(A645, LEN(A645)-FIND("~", SUBSTITUTE(A645,"|","~", LEN(A645)-LEN(SUBSTITUTE(A645,"|",""))))),
    LEN($A645)-LEN(SUBSTITUTE($A645,"|",""))=13, MID($A645, FIND("~", SUBSTITUTE($A645,"|","~", 11))+1, FIND("~", SUBSTITUTE($A645,"|","~", 12))-FIND("~", SUBSTITUTE($A645,"|","~", 11))-1),
    LEN($A645)-LEN(SUBSTITUTE($A645,"|",""))=14, MID($A645, FIND("~", SUBSTITUTE($A645,"|","~", 11))+1, FIND("~", SUBSTITUTE($A645,"|","~", 12))-FIND("~", SUBSTITUTE($A645,"|","~", 11))-1)
), "")</f>
        <v>E586447</v>
      </c>
      <c r="M645" s="47" t="str">
        <f t="shared" ref="M645:M708" si="93">IFERROR(MID(A645,FIND("~",SUBSTITUTE(A645,"|","~",10))+1,FIND("~",SUBSTITUTE(A645,"|","~",11))-FIND("~",SUBSTITUTE(A645,"|","~",10))-1),"")</f>
        <v>SB010046/4/26</v>
      </c>
      <c r="N645" s="46" t="str">
        <f t="shared" si="86"/>
        <v/>
      </c>
      <c r="O645" s="60">
        <v>25</v>
      </c>
      <c r="P645" s="60">
        <v>890</v>
      </c>
      <c r="Q645" s="48">
        <v>175</v>
      </c>
      <c r="R645" s="48">
        <v>859</v>
      </c>
      <c r="S645" s="48"/>
      <c r="T645" s="48"/>
      <c r="U645" s="49">
        <v>53</v>
      </c>
      <c r="V645" s="49">
        <v>5</v>
      </c>
      <c r="W645" s="50">
        <f t="shared" si="92"/>
        <v>58</v>
      </c>
      <c r="X645" s="51" t="str">
        <f>IF(A645="", "", IF(COUNTIFS(C$3:C644, C645, D$3:D644, D645, G$3:G644, G645) &gt; 0, "", "11:00"-AW645))</f>
        <v/>
      </c>
      <c r="Y645" s="52" t="str">
        <f t="shared" si="89"/>
        <v/>
      </c>
      <c r="Z645" s="53"/>
      <c r="AA645" s="54"/>
      <c r="AB645" s="53"/>
      <c r="AC645" s="54"/>
      <c r="AD645" s="53"/>
      <c r="AE645" s="54"/>
      <c r="AF645" s="53"/>
      <c r="AG645" s="54"/>
      <c r="AH645" s="55">
        <v>4.1666666666666699E-2</v>
      </c>
      <c r="AI645" s="53"/>
      <c r="AJ645" s="54"/>
      <c r="AK645" s="53"/>
      <c r="AL645" s="54"/>
      <c r="AM645" s="53"/>
      <c r="AN645" s="54"/>
      <c r="AO645" s="53"/>
      <c r="AP645" s="54"/>
      <c r="AQ645" s="53"/>
      <c r="AR645" s="54"/>
      <c r="AS645" s="53"/>
      <c r="AT645" s="54"/>
      <c r="AU645" s="53">
        <v>4.1666666666666699E-2</v>
      </c>
      <c r="AV645" s="54" t="s">
        <v>37</v>
      </c>
      <c r="AW645" s="57">
        <f t="shared" si="91"/>
        <v>4.1666666666666699E-2</v>
      </c>
      <c r="AX645" s="58" t="s">
        <v>68</v>
      </c>
    </row>
    <row r="646" spans="1:50" ht="21.75" customHeight="1">
      <c r="A646" s="38" t="s">
        <v>587</v>
      </c>
      <c r="B646" s="39">
        <f t="shared" si="90"/>
        <v>642</v>
      </c>
      <c r="C646" s="40">
        <v>46038</v>
      </c>
      <c r="D646" s="40" t="s">
        <v>32</v>
      </c>
      <c r="E646" s="40" t="s">
        <v>81</v>
      </c>
      <c r="F646" s="41">
        <v>375</v>
      </c>
      <c r="G646" s="42" t="s">
        <v>172</v>
      </c>
      <c r="H646" s="43" t="str">
        <f>IFERROR(VLOOKUP($J646,'[9]FROM (3)'!$E$4:$F$230,2,FALSE),"")</f>
        <v>ATAC</v>
      </c>
      <c r="I646" s="44" t="str">
        <f t="shared" si="87"/>
        <v>SEAT,WATER PUMP PULLEY</v>
      </c>
      <c r="J646" s="44" t="str">
        <f t="shared" si="88"/>
        <v>16171-05030</v>
      </c>
      <c r="K646" s="59" t="str">
        <f t="shared" ref="K646:K709" si="94">IFERROR(LEFT(A646,SEARCH("|",A646)-1),"")</f>
        <v>PD26010579</v>
      </c>
      <c r="L646" s="46" t="str" cm="1">
        <f t="array" ref="L646">IFERROR(_xlfn.IFS(
    LEN($A646)-LEN(SUBSTITUTE($A646,"|",""))=12, RIGHT(A646, LEN(A646)-FIND("~", SUBSTITUTE(A646,"|","~", LEN(A646)-LEN(SUBSTITUTE(A646,"|",""))))),
    LEN($A646)-LEN(SUBSTITUTE($A646,"|",""))=13, MID($A646, FIND("~", SUBSTITUTE($A646,"|","~", 11))+1, FIND("~", SUBSTITUTE($A646,"|","~", 12))-FIND("~", SUBSTITUTE($A646,"|","~", 11))-1),
    LEN($A646)-LEN(SUBSTITUTE($A646,"|",""))=14, MID($A646, FIND("~", SUBSTITUTE($A646,"|","~", 11))+1, FIND("~", SUBSTITUTE($A646,"|","~", 12))-FIND("~", SUBSTITUTE($A646,"|","~", 11))-1)
), "")</f>
        <v>665898</v>
      </c>
      <c r="M646" s="47" t="str">
        <f t="shared" si="93"/>
        <v>SB010056/1/26</v>
      </c>
      <c r="N646" s="46" t="str">
        <f t="shared" ref="N646:N709" si="95">IFERROR(IF(LEN($A646)-LEN(SUBSTITUTE($A646,"|",""))=12,MID($A646,FIND("~",SUBSTITUTE($A646,"|","~",11))+1,FIND("~",SUBSTITUTE($A646,"|","~",12))-FIND("~",SUBSTITUTE($A646,"|","~",11))-1),IF(LEN($A646)-LEN(SUBSTITUTE($A646,"|",""))=13,MID($A646,FIND("~",SUBSTITUTE($A646,"|","~",10))+1,FIND("~",SUBSTITUTE($A646,"|","~",11))-FIND("~",SUBSTITUTE($A646,"|","~",10))-1), "")),"")</f>
        <v/>
      </c>
      <c r="O646" s="60" t="s">
        <v>35</v>
      </c>
      <c r="P646" s="60" t="s">
        <v>35</v>
      </c>
      <c r="Q646" s="48">
        <v>1631</v>
      </c>
      <c r="R646" s="48">
        <v>612</v>
      </c>
      <c r="S646" s="48"/>
      <c r="T646" s="48"/>
      <c r="U646" s="49"/>
      <c r="V646" s="49"/>
      <c r="W646" s="50">
        <f t="shared" si="92"/>
        <v>0</v>
      </c>
      <c r="X646" s="51">
        <f>IF(A646="", "", IF(COUNTIFS(C$3:C645, C646, D$3:D645, D646, G$3:G645, G646) &gt; 0, "", "11:00"-AW646))</f>
        <v>0.41666666666666663</v>
      </c>
      <c r="Y646" s="52" t="str">
        <f t="shared" si="89"/>
        <v>1:40</v>
      </c>
      <c r="Z646" s="53"/>
      <c r="AA646" s="54"/>
      <c r="AB646" s="53"/>
      <c r="AC646" s="54"/>
      <c r="AD646" s="53"/>
      <c r="AE646" s="54"/>
      <c r="AF646" s="53"/>
      <c r="AG646" s="54"/>
      <c r="AH646" s="55">
        <v>4.1666666666666699E-2</v>
      </c>
      <c r="AI646" s="53"/>
      <c r="AJ646" s="54"/>
      <c r="AK646" s="53"/>
      <c r="AL646" s="54"/>
      <c r="AM646" s="53"/>
      <c r="AN646" s="54"/>
      <c r="AO646" s="53"/>
      <c r="AP646" s="54"/>
      <c r="AQ646" s="53"/>
      <c r="AR646" s="54"/>
      <c r="AS646" s="53"/>
      <c r="AT646" s="54"/>
      <c r="AU646" s="53">
        <v>4.1666666666666699E-2</v>
      </c>
      <c r="AV646" s="54" t="s">
        <v>37</v>
      </c>
      <c r="AW646" s="57">
        <f t="shared" si="91"/>
        <v>4.1666666666666699E-2</v>
      </c>
      <c r="AX646" s="58" t="s">
        <v>380</v>
      </c>
    </row>
    <row r="647" spans="1:50" ht="21.75" customHeight="1">
      <c r="A647" s="38" t="s">
        <v>598</v>
      </c>
      <c r="B647" s="39">
        <f t="shared" si="90"/>
        <v>643</v>
      </c>
      <c r="C647" s="40">
        <v>46038</v>
      </c>
      <c r="D647" s="40" t="s">
        <v>32</v>
      </c>
      <c r="E647" s="40" t="s">
        <v>81</v>
      </c>
      <c r="F647" s="41">
        <v>375</v>
      </c>
      <c r="G647" s="42" t="s">
        <v>172</v>
      </c>
      <c r="H647" s="43" t="str">
        <f>IFERROR(VLOOKUP($J647,'[9]FROM (3)'!$E$4:$F$230,2,FALSE),"")</f>
        <v>ATAC</v>
      </c>
      <c r="I647" s="44" t="str">
        <f t="shared" ref="I647:I710" si="96">IFERROR(MID(A647,FIND("~",SUBSTITUTE(A647,"|","~",4))+1,FIND("~",SUBSTITUTE(A647,"|","~",5))-FIND("~",SUBSTITUTE(A647,"|","~",4))-1),"")</f>
        <v>SEAT,WATER PUMP PULLEY</v>
      </c>
      <c r="J647" s="44" t="str">
        <f t="shared" ref="J647:J710" si="97">IFERROR(MID(A647,FIND("~",SUBSTITUTE(A647,"|","~",3))+1,FIND("~",SUBSTITUTE(A647,"|","~",4))-FIND("~",SUBSTITUTE(A647,"|","~",3))-1),"")</f>
        <v>16171-05030</v>
      </c>
      <c r="K647" s="59" t="str">
        <f t="shared" si="94"/>
        <v>PD26010579</v>
      </c>
      <c r="L647" s="46" t="str" cm="1">
        <f t="array" ref="L647">IFERROR(_xlfn.IFS(
    LEN($A647)-LEN(SUBSTITUTE($A647,"|",""))=12, RIGHT(A647, LEN(A647)-FIND("~", SUBSTITUTE(A647,"|","~", LEN(A647)-LEN(SUBSTITUTE(A647,"|",""))))),
    LEN($A647)-LEN(SUBSTITUTE($A647,"|",""))=13, MID($A647, FIND("~", SUBSTITUTE($A647,"|","~", 11))+1, FIND("~", SUBSTITUTE($A647,"|","~", 12))-FIND("~", SUBSTITUTE($A647,"|","~", 11))-1),
    LEN($A647)-LEN(SUBSTITUTE($A647,"|",""))=14, MID($A647, FIND("~", SUBSTITUTE($A647,"|","~", 11))+1, FIND("~", SUBSTITUTE($A647,"|","~", 12))-FIND("~", SUBSTITUTE($A647,"|","~", 11))-1)
), "")</f>
        <v>665898</v>
      </c>
      <c r="M647" s="47" t="str">
        <f t="shared" si="93"/>
        <v>SB010056/3/26</v>
      </c>
      <c r="N647" s="46" t="str">
        <f t="shared" si="95"/>
        <v/>
      </c>
      <c r="O647" s="60">
        <v>14</v>
      </c>
      <c r="P647" s="60">
        <v>996</v>
      </c>
      <c r="Q647" s="48">
        <v>1187</v>
      </c>
      <c r="R647" s="48">
        <v>445</v>
      </c>
      <c r="S647" s="48"/>
      <c r="T647" s="48"/>
      <c r="U647" s="49"/>
      <c r="V647" s="49"/>
      <c r="W647" s="50">
        <f t="shared" si="92"/>
        <v>0</v>
      </c>
      <c r="X647" s="51" t="str">
        <f>IF(A647="", "", IF(COUNTIFS(C$3:C646, C647, D$3:D646, D647, G$3:G646, G647) &gt; 0, "", "11:00"-AW647))</f>
        <v/>
      </c>
      <c r="Y647" s="52" t="str">
        <f t="shared" ref="Y647:Y710" si="98">IF(X647="", "", IF(AND(A647&lt;&gt;"", AR647&lt;&gt;"NO OT"), "1:40", IF(AND(A647&lt;&gt;"", AR647="NO OT"), "1:0", "")))</f>
        <v/>
      </c>
      <c r="Z647" s="53"/>
      <c r="AA647" s="54"/>
      <c r="AB647" s="53"/>
      <c r="AC647" s="54"/>
      <c r="AD647" s="53"/>
      <c r="AE647" s="54"/>
      <c r="AF647" s="53"/>
      <c r="AG647" s="54"/>
      <c r="AH647" s="55">
        <v>4.1666666666666699E-2</v>
      </c>
      <c r="AI647" s="53"/>
      <c r="AJ647" s="54"/>
      <c r="AK647" s="53"/>
      <c r="AL647" s="54"/>
      <c r="AM647" s="53"/>
      <c r="AN647" s="54"/>
      <c r="AO647" s="53"/>
      <c r="AP647" s="54"/>
      <c r="AQ647" s="53"/>
      <c r="AR647" s="54"/>
      <c r="AS647" s="53"/>
      <c r="AT647" s="54"/>
      <c r="AU647" s="53">
        <v>4.1666666666666699E-2</v>
      </c>
      <c r="AV647" s="54" t="s">
        <v>37</v>
      </c>
      <c r="AW647" s="57">
        <f t="shared" si="91"/>
        <v>4.1666666666666699E-2</v>
      </c>
      <c r="AX647" s="58" t="s">
        <v>380</v>
      </c>
    </row>
    <row r="648" spans="1:50" ht="21.75" customHeight="1">
      <c r="A648" s="38" t="s">
        <v>599</v>
      </c>
      <c r="B648" s="39">
        <f t="shared" si="90"/>
        <v>644</v>
      </c>
      <c r="C648" s="40">
        <v>46038</v>
      </c>
      <c r="D648" s="40" t="s">
        <v>32</v>
      </c>
      <c r="E648" s="40" t="s">
        <v>81</v>
      </c>
      <c r="F648" s="41">
        <v>765.7</v>
      </c>
      <c r="G648" s="42" t="s">
        <v>66</v>
      </c>
      <c r="H648" s="43" t="str">
        <f>IFERROR(VLOOKUP($J648,'[9]FROM (3)'!$E$4:$F$230,2,FALSE),"")</f>
        <v>JTCS</v>
      </c>
      <c r="I648" s="44" t="str">
        <f t="shared" si="96"/>
        <v>RACK, PS</v>
      </c>
      <c r="J648" s="44" t="str">
        <f t="shared" si="97"/>
        <v>JGD10S00670-B</v>
      </c>
      <c r="K648" s="59" t="str">
        <f t="shared" si="94"/>
        <v>PD26010493</v>
      </c>
      <c r="L648" s="46" t="str" cm="1">
        <f t="array" ref="L648">IFERROR(_xlfn.IFS(
    LEN($A648)-LEN(SUBSTITUTE($A648,"|",""))=12, RIGHT(A648, LEN(A648)-FIND("~", SUBSTITUTE(A648,"|","~", LEN(A648)-LEN(SUBSTITUTE(A648,"|",""))))),
    LEN($A648)-LEN(SUBSTITUTE($A648,"|",""))=13, MID($A648, FIND("~", SUBSTITUTE($A648,"|","~", 11))+1, FIND("~", SUBSTITUTE($A648,"|","~", 12))-FIND("~", SUBSTITUTE($A648,"|","~", 11))-1),
    LEN($A648)-LEN(SUBSTITUTE($A648,"|",""))=14, MID($A648, FIND("~", SUBSTITUTE($A648,"|","~", 11))+1, FIND("~", SUBSTITUTE($A648,"|","~", 12))-FIND("~", SUBSTITUTE($A648,"|","~", 11))-1)
), "")</f>
        <v>E586447</v>
      </c>
      <c r="M648" s="47" t="str">
        <f t="shared" si="93"/>
        <v>SB010046/2/26</v>
      </c>
      <c r="N648" s="46" t="str">
        <f t="shared" si="95"/>
        <v/>
      </c>
      <c r="O648" s="60">
        <v>13</v>
      </c>
      <c r="P648" s="60">
        <v>463</v>
      </c>
      <c r="Q648" s="48">
        <v>87</v>
      </c>
      <c r="R648" s="48">
        <v>427</v>
      </c>
      <c r="S648" s="48"/>
      <c r="T648" s="48"/>
      <c r="U648" s="49"/>
      <c r="V648" s="49"/>
      <c r="W648" s="50">
        <f t="shared" si="92"/>
        <v>0</v>
      </c>
      <c r="X648" s="51" t="str">
        <f>IF(A648="", "", IF(COUNTIFS(C$3:C647, C648, D$3:D647, D648, G$3:G647, G648) &gt; 0, "", "11:00"-AW648))</f>
        <v/>
      </c>
      <c r="Y648" s="52" t="str">
        <f t="shared" si="98"/>
        <v/>
      </c>
      <c r="Z648" s="53"/>
      <c r="AA648" s="54"/>
      <c r="AB648" s="53"/>
      <c r="AC648" s="54"/>
      <c r="AD648" s="53"/>
      <c r="AE648" s="54"/>
      <c r="AF648" s="53"/>
      <c r="AG648" s="54"/>
      <c r="AH648" s="55">
        <v>4.1666666666666699E-2</v>
      </c>
      <c r="AI648" s="53"/>
      <c r="AJ648" s="54"/>
      <c r="AK648" s="53"/>
      <c r="AL648" s="54"/>
      <c r="AM648" s="53"/>
      <c r="AN648" s="54"/>
      <c r="AO648" s="53"/>
      <c r="AP648" s="54"/>
      <c r="AQ648" s="53"/>
      <c r="AR648" s="54"/>
      <c r="AS648" s="53"/>
      <c r="AT648" s="54"/>
      <c r="AU648" s="53">
        <v>4.1666666666666699E-2</v>
      </c>
      <c r="AV648" s="54" t="s">
        <v>37</v>
      </c>
      <c r="AW648" s="57">
        <f t="shared" si="91"/>
        <v>4.1666666666666699E-2</v>
      </c>
      <c r="AX648" s="58" t="s">
        <v>68</v>
      </c>
    </row>
    <row r="649" spans="1:50" ht="21.75" customHeight="1">
      <c r="A649" s="38" t="s">
        <v>575</v>
      </c>
      <c r="B649" s="39">
        <f t="shared" si="90"/>
        <v>645</v>
      </c>
      <c r="C649" s="40">
        <v>46038</v>
      </c>
      <c r="D649" s="40" t="s">
        <v>32</v>
      </c>
      <c r="E649" s="40" t="s">
        <v>81</v>
      </c>
      <c r="F649" s="41">
        <v>732.5</v>
      </c>
      <c r="G649" s="42" t="s">
        <v>54</v>
      </c>
      <c r="H649" s="43" t="str">
        <f>IFERROR(VLOOKUP($J649,'[9]FROM (3)'!$E$4:$F$230,2,FALSE),"")</f>
        <v>JTCS</v>
      </c>
      <c r="I649" s="44" t="str">
        <f t="shared" si="96"/>
        <v>RACK BAR</v>
      </c>
      <c r="J649" s="44" t="str">
        <f t="shared" si="97"/>
        <v>C10S028000</v>
      </c>
      <c r="K649" s="59" t="str">
        <f t="shared" si="94"/>
        <v>PD26010613</v>
      </c>
      <c r="L649" s="46" t="str" cm="1">
        <f t="array" ref="L649">IFERROR(_xlfn.IFS(
    LEN($A649)-LEN(SUBSTITUTE($A649,"|",""))=12, RIGHT(A649, LEN(A649)-FIND("~", SUBSTITUTE(A649,"|","~", LEN(A649)-LEN(SUBSTITUTE(A649,"|",""))))),
    LEN($A649)-LEN(SUBSTITUTE($A649,"|",""))=13, MID($A649, FIND("~", SUBSTITUTE($A649,"|","~", 11))+1, FIND("~", SUBSTITUTE($A649,"|","~", 12))-FIND("~", SUBSTITUTE($A649,"|","~", 11))-1),
    LEN($A649)-LEN(SUBSTITUTE($A649,"|",""))=14, MID($A649, FIND("~", SUBSTITUTE($A649,"|","~", 11))+1, FIND("~", SUBSTITUTE($A649,"|","~", 12))-FIND("~", SUBSTITUTE($A649,"|","~", 11))-1)
), "")</f>
        <v>E586613</v>
      </c>
      <c r="M649" s="47" t="str">
        <f t="shared" si="93"/>
        <v>SB010067/2/26</v>
      </c>
      <c r="N649" s="46" t="str">
        <f t="shared" si="95"/>
        <v/>
      </c>
      <c r="O649" s="60"/>
      <c r="P649" s="60"/>
      <c r="Q649" s="48">
        <v>124</v>
      </c>
      <c r="R649" s="48">
        <v>283</v>
      </c>
      <c r="S649" s="48"/>
      <c r="T649" s="48"/>
      <c r="U649" s="49"/>
      <c r="V649" s="49"/>
      <c r="W649" s="50">
        <f t="shared" si="92"/>
        <v>0</v>
      </c>
      <c r="X649" s="51">
        <f>IF(A649="", "", IF(COUNTIFS(C$3:C648, C649, D$3:D648, D649, G$3:G648, G649) &gt; 0, "", "11:00"-AW649))</f>
        <v>0.37499999999999994</v>
      </c>
      <c r="Y649" s="52" t="str">
        <f t="shared" si="98"/>
        <v>1:40</v>
      </c>
      <c r="Z649" s="53"/>
      <c r="AA649" s="54"/>
      <c r="AB649" s="53"/>
      <c r="AC649" s="54"/>
      <c r="AD649" s="53"/>
      <c r="AE649" s="54"/>
      <c r="AF649" s="53"/>
      <c r="AG649" s="54"/>
      <c r="AH649" s="55">
        <v>4.1666666666666699E-2</v>
      </c>
      <c r="AI649" s="53">
        <v>4.1666666666666664E-2</v>
      </c>
      <c r="AJ649" s="54" t="s">
        <v>67</v>
      </c>
      <c r="AK649" s="53"/>
      <c r="AL649" s="54"/>
      <c r="AM649" s="53"/>
      <c r="AN649" s="54"/>
      <c r="AO649" s="53"/>
      <c r="AP649" s="54"/>
      <c r="AQ649" s="53"/>
      <c r="AR649" s="54"/>
      <c r="AS649" s="53"/>
      <c r="AT649" s="54"/>
      <c r="AU649" s="53">
        <v>4.1666666666666699E-2</v>
      </c>
      <c r="AV649" s="54" t="s">
        <v>37</v>
      </c>
      <c r="AW649" s="57">
        <f t="shared" si="91"/>
        <v>8.333333333333337E-2</v>
      </c>
      <c r="AX649" s="58" t="s">
        <v>56</v>
      </c>
    </row>
    <row r="650" spans="1:50" ht="21.75" customHeight="1">
      <c r="A650" s="38" t="s">
        <v>600</v>
      </c>
      <c r="B650" s="39">
        <f t="shared" ref="B650:B713" si="99">IF(A650="","",B649+1)</f>
        <v>646</v>
      </c>
      <c r="C650" s="40">
        <v>46038</v>
      </c>
      <c r="D650" s="40" t="s">
        <v>32</v>
      </c>
      <c r="E650" s="40" t="s">
        <v>81</v>
      </c>
      <c r="F650" s="41">
        <v>732.5</v>
      </c>
      <c r="G650" s="42" t="s">
        <v>54</v>
      </c>
      <c r="H650" s="43" t="str">
        <f>IFERROR(VLOOKUP($J650,'[9]FROM (3)'!$E$4:$F$230,2,FALSE),"")</f>
        <v>JTCS</v>
      </c>
      <c r="I650" s="44" t="str">
        <f t="shared" si="96"/>
        <v>RACK BAR</v>
      </c>
      <c r="J650" s="44" t="str">
        <f t="shared" si="97"/>
        <v>C10S028000</v>
      </c>
      <c r="K650" s="59" t="str">
        <f t="shared" si="94"/>
        <v>PD26010613</v>
      </c>
      <c r="L650" s="46" t="str" cm="1">
        <f t="array" ref="L650">IFERROR(_xlfn.IFS(
    LEN($A650)-LEN(SUBSTITUTE($A650,"|",""))=12, RIGHT(A650, LEN(A650)-FIND("~", SUBSTITUTE(A650,"|","~", LEN(A650)-LEN(SUBSTITUTE(A650,"|",""))))),
    LEN($A650)-LEN(SUBSTITUTE($A650,"|",""))=13, MID($A650, FIND("~", SUBSTITUTE($A650,"|","~", 11))+1, FIND("~", SUBSTITUTE($A650,"|","~", 12))-FIND("~", SUBSTITUTE($A650,"|","~", 11))-1),
    LEN($A650)-LEN(SUBSTITUTE($A650,"|",""))=14, MID($A650, FIND("~", SUBSTITUTE($A650,"|","~", 11))+1, FIND("~", SUBSTITUTE($A650,"|","~", 12))-FIND("~", SUBSTITUTE($A650,"|","~", 11))-1)
), "")</f>
        <v>E586613</v>
      </c>
      <c r="M650" s="47" t="str">
        <f t="shared" si="93"/>
        <v>SB010067/1/26</v>
      </c>
      <c r="N650" s="46" t="str">
        <f t="shared" si="95"/>
        <v/>
      </c>
      <c r="O650" s="60">
        <v>59</v>
      </c>
      <c r="P650" s="60">
        <v>856</v>
      </c>
      <c r="Q650" s="48">
        <v>354</v>
      </c>
      <c r="R650" s="48">
        <v>807</v>
      </c>
      <c r="S650" s="48"/>
      <c r="T650" s="48"/>
      <c r="U650" s="49">
        <v>83</v>
      </c>
      <c r="V650" s="49">
        <v>7</v>
      </c>
      <c r="W650" s="50">
        <f t="shared" si="92"/>
        <v>90</v>
      </c>
      <c r="X650" s="51" t="str">
        <f>IF(A650="", "", IF(COUNTIFS(C$3:C649, C650, D$3:D649, D650, G$3:G649, G650) &gt; 0, "", "11:00"-AW650))</f>
        <v/>
      </c>
      <c r="Y650" s="52" t="str">
        <f t="shared" si="98"/>
        <v/>
      </c>
      <c r="Z650" s="53"/>
      <c r="AA650" s="54"/>
      <c r="AB650" s="53"/>
      <c r="AC650" s="54"/>
      <c r="AD650" s="53"/>
      <c r="AE650" s="54"/>
      <c r="AF650" s="53"/>
      <c r="AG650" s="54"/>
      <c r="AH650" s="55">
        <v>4.1666666666666699E-2</v>
      </c>
      <c r="AI650" s="53"/>
      <c r="AJ650" s="54"/>
      <c r="AK650" s="53"/>
      <c r="AL650" s="54"/>
      <c r="AM650" s="53"/>
      <c r="AN650" s="54"/>
      <c r="AO650" s="53"/>
      <c r="AP650" s="54"/>
      <c r="AQ650" s="53"/>
      <c r="AR650" s="54"/>
      <c r="AS650" s="53"/>
      <c r="AT650" s="54"/>
      <c r="AU650" s="53">
        <v>4.1666666666666699E-2</v>
      </c>
      <c r="AV650" s="54" t="s">
        <v>37</v>
      </c>
      <c r="AW650" s="57">
        <f t="shared" si="91"/>
        <v>4.1666666666666699E-2</v>
      </c>
      <c r="AX650" s="58" t="s">
        <v>56</v>
      </c>
    </row>
    <row r="651" spans="1:50" ht="21.75" customHeight="1">
      <c r="A651" s="38" t="s">
        <v>601</v>
      </c>
      <c r="B651" s="39">
        <f t="shared" si="99"/>
        <v>647</v>
      </c>
      <c r="C651" s="40">
        <v>46038</v>
      </c>
      <c r="D651" s="40" t="s">
        <v>32</v>
      </c>
      <c r="E651" s="40" t="s">
        <v>81</v>
      </c>
      <c r="F651" s="41">
        <v>546.79999999999995</v>
      </c>
      <c r="G651" s="42" t="s">
        <v>54</v>
      </c>
      <c r="H651" s="43" t="str">
        <f>IFERROR(VLOOKUP($J651,'[9]FROM (3)'!$E$4:$F$230,2,FALSE),"")</f>
        <v>JCTTH</v>
      </c>
      <c r="I651" s="44" t="str">
        <f t="shared" si="96"/>
        <v>RACK POWER STEERING</v>
      </c>
      <c r="J651" s="44" t="str">
        <f t="shared" si="97"/>
        <v>JGD10-BA0101-C</v>
      </c>
      <c r="K651" s="59" t="str">
        <f t="shared" si="94"/>
        <v>PD26010649</v>
      </c>
      <c r="L651" s="46" t="str" cm="1">
        <f t="array" ref="L651">IFERROR(_xlfn.IFS(
    LEN($A651)-LEN(SUBSTITUTE($A651,"|",""))=12, RIGHT(A651, LEN(A651)-FIND("~", SUBSTITUTE(A651,"|","~", LEN(A651)-LEN(SUBSTITUTE(A651,"|",""))))),
    LEN($A651)-LEN(SUBSTITUTE($A651,"|",""))=13, MID($A651, FIND("~", SUBSTITUTE($A651,"|","~", 11))+1, FIND("~", SUBSTITUTE($A651,"|","~", 12))-FIND("~", SUBSTITUTE($A651,"|","~", 11))-1),
    LEN($A651)-LEN(SUBSTITUTE($A651,"|",""))=14, MID($A651, FIND("~", SUBSTITUTE($A651,"|","~", 11))+1, FIND("~", SUBSTITUTE($A651,"|","~", 12))-FIND("~", SUBSTITUTE($A651,"|","~", 11))-1)
), "")</f>
        <v>E586100</v>
      </c>
      <c r="M651" s="47" t="str">
        <f t="shared" si="93"/>
        <v>SB010060/3/26</v>
      </c>
      <c r="N651" s="46" t="str">
        <f t="shared" si="95"/>
        <v/>
      </c>
      <c r="O651" s="60">
        <v>50</v>
      </c>
      <c r="P651" s="60">
        <v>880</v>
      </c>
      <c r="Q651" s="48">
        <v>200</v>
      </c>
      <c r="R651" s="48">
        <v>832</v>
      </c>
      <c r="S651" s="48"/>
      <c r="T651" s="48"/>
      <c r="U651" s="49"/>
      <c r="V651" s="49"/>
      <c r="W651" s="50">
        <f t="shared" si="92"/>
        <v>0</v>
      </c>
      <c r="X651" s="51" t="str">
        <f>IF(A651="", "", IF(COUNTIFS(C$3:C650, C651, D$3:D650, D651, G$3:G650, G651) &gt; 0, "", "11:00"-AW651))</f>
        <v/>
      </c>
      <c r="Y651" s="52" t="str">
        <f t="shared" si="98"/>
        <v/>
      </c>
      <c r="Z651" s="53"/>
      <c r="AA651" s="54"/>
      <c r="AB651" s="53"/>
      <c r="AC651" s="54"/>
      <c r="AD651" s="53"/>
      <c r="AE651" s="54"/>
      <c r="AF651" s="53"/>
      <c r="AG651" s="54"/>
      <c r="AH651" s="55">
        <v>4.1666666666666699E-2</v>
      </c>
      <c r="AI651" s="53"/>
      <c r="AJ651" s="54"/>
      <c r="AK651" s="53"/>
      <c r="AL651" s="54"/>
      <c r="AM651" s="53"/>
      <c r="AN651" s="54"/>
      <c r="AO651" s="53"/>
      <c r="AP651" s="54"/>
      <c r="AQ651" s="53"/>
      <c r="AR651" s="54"/>
      <c r="AS651" s="53"/>
      <c r="AT651" s="54"/>
      <c r="AU651" s="53">
        <v>4.1666666666666699E-2</v>
      </c>
      <c r="AV651" s="54" t="s">
        <v>37</v>
      </c>
      <c r="AW651" s="57">
        <f t="shared" si="91"/>
        <v>4.1666666666666699E-2</v>
      </c>
      <c r="AX651" s="58" t="s">
        <v>56</v>
      </c>
    </row>
    <row r="652" spans="1:50" ht="21.75" customHeight="1">
      <c r="A652" s="38" t="s">
        <v>602</v>
      </c>
      <c r="B652" s="39">
        <f t="shared" si="99"/>
        <v>648</v>
      </c>
      <c r="C652" s="40">
        <v>46038</v>
      </c>
      <c r="D652" s="40" t="s">
        <v>32</v>
      </c>
      <c r="E652" s="40" t="s">
        <v>81</v>
      </c>
      <c r="F652" s="41">
        <v>546.79999999999995</v>
      </c>
      <c r="G652" s="42" t="s">
        <v>54</v>
      </c>
      <c r="H652" s="43" t="str">
        <f>IFERROR(VLOOKUP($J652,'[9]FROM (3)'!$E$4:$F$230,2,FALSE),"")</f>
        <v>JCTTH</v>
      </c>
      <c r="I652" s="44" t="str">
        <f t="shared" si="96"/>
        <v>RACK POWER STEERING</v>
      </c>
      <c r="J652" s="44" t="str">
        <f t="shared" si="97"/>
        <v>JGD10-BA0101-C</v>
      </c>
      <c r="K652" s="59" t="str">
        <f t="shared" si="94"/>
        <v>PD26010649</v>
      </c>
      <c r="L652" s="46" t="str" cm="1">
        <f t="array" ref="L652">IFERROR(_xlfn.IFS(
    LEN($A652)-LEN(SUBSTITUTE($A652,"|",""))=12, RIGHT(A652, LEN(A652)-FIND("~", SUBSTITUTE(A652,"|","~", LEN(A652)-LEN(SUBSTITUTE(A652,"|",""))))),
    LEN($A652)-LEN(SUBSTITUTE($A652,"|",""))=13, MID($A652, FIND("~", SUBSTITUTE($A652,"|","~", 11))+1, FIND("~", SUBSTITUTE($A652,"|","~", 12))-FIND("~", SUBSTITUTE($A652,"|","~", 11))-1),
    LEN($A652)-LEN(SUBSTITUTE($A652,"|",""))=14, MID($A652, FIND("~", SUBSTITUTE($A652,"|","~", 11))+1, FIND("~", SUBSTITUTE($A652,"|","~", 12))-FIND("~", SUBSTITUTE($A652,"|","~", 11))-1)
), "")</f>
        <v>E586100</v>
      </c>
      <c r="M652" s="47" t="str">
        <f t="shared" si="93"/>
        <v>SB010060/1/26</v>
      </c>
      <c r="N652" s="46" t="str">
        <f t="shared" si="95"/>
        <v/>
      </c>
      <c r="O652" s="60">
        <v>50</v>
      </c>
      <c r="P652" s="60">
        <v>880</v>
      </c>
      <c r="Q652" s="48">
        <v>200</v>
      </c>
      <c r="R652" s="48">
        <v>832</v>
      </c>
      <c r="S652" s="48"/>
      <c r="T652" s="48"/>
      <c r="U652" s="49"/>
      <c r="V652" s="49"/>
      <c r="W652" s="50">
        <f t="shared" si="92"/>
        <v>0</v>
      </c>
      <c r="X652" s="51" t="str">
        <f>IF(A652="", "", IF(COUNTIFS(C$3:C651, C652, D$3:D651, D652, G$3:G651, G652) &gt; 0, "", "11:00"-AW652))</f>
        <v/>
      </c>
      <c r="Y652" s="52" t="str">
        <f t="shared" si="98"/>
        <v/>
      </c>
      <c r="Z652" s="53"/>
      <c r="AA652" s="54"/>
      <c r="AB652" s="53"/>
      <c r="AC652" s="54"/>
      <c r="AD652" s="53"/>
      <c r="AE652" s="54"/>
      <c r="AF652" s="53"/>
      <c r="AG652" s="54"/>
      <c r="AH652" s="55">
        <v>4.1666666666666699E-2</v>
      </c>
      <c r="AI652" s="53"/>
      <c r="AJ652" s="54"/>
      <c r="AK652" s="53"/>
      <c r="AL652" s="54"/>
      <c r="AM652" s="53"/>
      <c r="AN652" s="54"/>
      <c r="AO652" s="53"/>
      <c r="AP652" s="54"/>
      <c r="AQ652" s="53"/>
      <c r="AR652" s="54"/>
      <c r="AS652" s="53"/>
      <c r="AT652" s="54"/>
      <c r="AU652" s="53">
        <v>4.1666666666666699E-2</v>
      </c>
      <c r="AV652" s="54" t="s">
        <v>37</v>
      </c>
      <c r="AW652" s="57">
        <f t="shared" si="91"/>
        <v>4.1666666666666699E-2</v>
      </c>
      <c r="AX652" s="58" t="s">
        <v>56</v>
      </c>
    </row>
    <row r="653" spans="1:50" ht="21.75" customHeight="1">
      <c r="A653" s="38" t="s">
        <v>603</v>
      </c>
      <c r="B653" s="39">
        <f t="shared" si="99"/>
        <v>649</v>
      </c>
      <c r="C653" s="40">
        <v>46038</v>
      </c>
      <c r="D653" s="40" t="s">
        <v>32</v>
      </c>
      <c r="E653" s="40" t="s">
        <v>81</v>
      </c>
      <c r="F653" s="41">
        <v>546.79999999999995</v>
      </c>
      <c r="G653" s="42" t="s">
        <v>54</v>
      </c>
      <c r="H653" s="43" t="str">
        <f>IFERROR(VLOOKUP($J653,'[9]FROM (3)'!$E$4:$F$230,2,FALSE),"")</f>
        <v>JCTTH</v>
      </c>
      <c r="I653" s="44" t="str">
        <f t="shared" si="96"/>
        <v>RACK POWER STEERING</v>
      </c>
      <c r="J653" s="44" t="str">
        <f t="shared" si="97"/>
        <v>JGD10-BA0101-C</v>
      </c>
      <c r="K653" s="59" t="str">
        <f t="shared" si="94"/>
        <v>PD26010649</v>
      </c>
      <c r="L653" s="46" t="str" cm="1">
        <f t="array" ref="L653">IFERROR(_xlfn.IFS(
    LEN($A653)-LEN(SUBSTITUTE($A653,"|",""))=12, RIGHT(A653, LEN(A653)-FIND("~", SUBSTITUTE(A653,"|","~", LEN(A653)-LEN(SUBSTITUTE(A653,"|",""))))),
    LEN($A653)-LEN(SUBSTITUTE($A653,"|",""))=13, MID($A653, FIND("~", SUBSTITUTE($A653,"|","~", 11))+1, FIND("~", SUBSTITUTE($A653,"|","~", 12))-FIND("~", SUBSTITUTE($A653,"|","~", 11))-1),
    LEN($A653)-LEN(SUBSTITUTE($A653,"|",""))=14, MID($A653, FIND("~", SUBSTITUTE($A653,"|","~", 11))+1, FIND("~", SUBSTITUTE($A653,"|","~", 12))-FIND("~", SUBSTITUTE($A653,"|","~", 11))-1)
), "")</f>
        <v>E586100</v>
      </c>
      <c r="M653" s="47" t="str">
        <f t="shared" si="93"/>
        <v>SB010060/2/26</v>
      </c>
      <c r="N653" s="46" t="str">
        <f t="shared" si="95"/>
        <v/>
      </c>
      <c r="O653" s="60">
        <v>50</v>
      </c>
      <c r="P653" s="60">
        <v>880</v>
      </c>
      <c r="Q653" s="48">
        <v>103</v>
      </c>
      <c r="R653" s="48">
        <v>428</v>
      </c>
      <c r="S653" s="48"/>
      <c r="T653" s="48"/>
      <c r="U653" s="49"/>
      <c r="V653" s="49"/>
      <c r="W653" s="50">
        <f t="shared" si="92"/>
        <v>0</v>
      </c>
      <c r="X653" s="51" t="str">
        <f>IF(A653="", "", IF(COUNTIFS(C$3:C652, C653, D$3:D652, D653, G$3:G652, G653) &gt; 0, "", "11:00"-AW653))</f>
        <v/>
      </c>
      <c r="Y653" s="52" t="str">
        <f t="shared" si="98"/>
        <v/>
      </c>
      <c r="Z653" s="53"/>
      <c r="AA653" s="54"/>
      <c r="AB653" s="53"/>
      <c r="AC653" s="54"/>
      <c r="AD653" s="53"/>
      <c r="AE653" s="54"/>
      <c r="AF653" s="53"/>
      <c r="AG653" s="54"/>
      <c r="AH653" s="55">
        <v>4.1666666666666699E-2</v>
      </c>
      <c r="AI653" s="53"/>
      <c r="AJ653" s="54"/>
      <c r="AK653" s="53"/>
      <c r="AL653" s="54"/>
      <c r="AM653" s="53"/>
      <c r="AN653" s="54"/>
      <c r="AO653" s="53"/>
      <c r="AP653" s="54"/>
      <c r="AQ653" s="53"/>
      <c r="AR653" s="54"/>
      <c r="AS653" s="53"/>
      <c r="AT653" s="54"/>
      <c r="AU653" s="53">
        <v>4.1666666666666699E-2</v>
      </c>
      <c r="AV653" s="54" t="s">
        <v>37</v>
      </c>
      <c r="AW653" s="57">
        <f t="shared" si="91"/>
        <v>4.1666666666666699E-2</v>
      </c>
      <c r="AX653" s="58" t="s">
        <v>56</v>
      </c>
    </row>
    <row r="654" spans="1:50" ht="21.75" customHeight="1">
      <c r="A654" s="38" t="s">
        <v>604</v>
      </c>
      <c r="B654" s="39">
        <f t="shared" si="99"/>
        <v>650</v>
      </c>
      <c r="C654" s="40">
        <v>46038</v>
      </c>
      <c r="D654" s="40" t="s">
        <v>32</v>
      </c>
      <c r="E654" s="40" t="s">
        <v>81</v>
      </c>
      <c r="F654" s="41">
        <v>655.4</v>
      </c>
      <c r="G654" s="42" t="s">
        <v>85</v>
      </c>
      <c r="H654" s="43" t="str">
        <f>IFERROR(VLOOKUP($J654,'[9]FROM (3)'!$E$4:$F$230,2,FALSE),"")</f>
        <v>JAMY</v>
      </c>
      <c r="I654" s="44" t="str">
        <f t="shared" si="96"/>
        <v>RACK BAR</v>
      </c>
      <c r="J654" s="44" t="str">
        <f t="shared" si="97"/>
        <v>JGC10-M09008-51-0</v>
      </c>
      <c r="K654" s="59" t="str">
        <f t="shared" si="94"/>
        <v>PD26010686</v>
      </c>
      <c r="L654" s="46" t="str" cm="1">
        <f t="array" ref="L654">IFERROR(_xlfn.IFS(
    LEN($A654)-LEN(SUBSTITUTE($A654,"|",""))=12, RIGHT(A654, LEN(A654)-FIND("~", SUBSTITUTE(A654,"|","~", LEN(A654)-LEN(SUBSTITUTE(A654,"|",""))))),
    LEN($A654)-LEN(SUBSTITUTE($A654,"|",""))=13, MID($A654, FIND("~", SUBSTITUTE($A654,"|","~", 11))+1, FIND("~", SUBSTITUTE($A654,"|","~", 12))-FIND("~", SUBSTITUTE($A654,"|","~", 11))-1),
    LEN($A654)-LEN(SUBSTITUTE($A654,"|",""))=14, MID($A654, FIND("~", SUBSTITUTE($A654,"|","~", 11))+1, FIND("~", SUBSTITUTE($A654,"|","~", 12))-FIND("~", SUBSTITUTE($A654,"|","~", 11))-1)
), "")</f>
        <v>E586966</v>
      </c>
      <c r="M654" s="47" t="str">
        <f t="shared" si="93"/>
        <v>SB010071/3/26</v>
      </c>
      <c r="N654" s="46" t="str">
        <f t="shared" si="95"/>
        <v/>
      </c>
      <c r="O654" s="60">
        <v>60</v>
      </c>
      <c r="P654" s="60">
        <v>875</v>
      </c>
      <c r="Q654" s="48">
        <v>300</v>
      </c>
      <c r="R654" s="48">
        <v>819</v>
      </c>
      <c r="S654" s="48"/>
      <c r="T654" s="48"/>
      <c r="U654" s="49"/>
      <c r="V654" s="49"/>
      <c r="W654" s="50">
        <f t="shared" si="92"/>
        <v>0</v>
      </c>
      <c r="X654" s="51">
        <f>IF(A654="", "", IF(COUNTIFS(C$3:C653, C654, D$3:D653, D654, G$3:G653, G654) &gt; 0, "", "11:00"-AW654))</f>
        <v>0.41666666666666663</v>
      </c>
      <c r="Y654" s="52" t="str">
        <f t="shared" si="98"/>
        <v>1:40</v>
      </c>
      <c r="Z654" s="53"/>
      <c r="AA654" s="54"/>
      <c r="AB654" s="53"/>
      <c r="AC654" s="54"/>
      <c r="AD654" s="53"/>
      <c r="AE654" s="54"/>
      <c r="AF654" s="53"/>
      <c r="AG654" s="54"/>
      <c r="AH654" s="55">
        <v>4.1666666666666699E-2</v>
      </c>
      <c r="AI654" s="53"/>
      <c r="AJ654" s="54"/>
      <c r="AK654" s="53"/>
      <c r="AL654" s="54"/>
      <c r="AM654" s="53"/>
      <c r="AN654" s="54"/>
      <c r="AO654" s="53"/>
      <c r="AP654" s="54"/>
      <c r="AQ654" s="53"/>
      <c r="AR654" s="54"/>
      <c r="AS654" s="53"/>
      <c r="AT654" s="54"/>
      <c r="AU654" s="53">
        <v>4.1666666666666699E-2</v>
      </c>
      <c r="AV654" s="54" t="s">
        <v>37</v>
      </c>
      <c r="AW654" s="57">
        <f t="shared" si="91"/>
        <v>4.1666666666666699E-2</v>
      </c>
      <c r="AX654" s="58" t="s">
        <v>117</v>
      </c>
    </row>
    <row r="655" spans="1:50" ht="21.75" customHeight="1">
      <c r="A655" s="38" t="s">
        <v>605</v>
      </c>
      <c r="B655" s="39">
        <f t="shared" si="99"/>
        <v>651</v>
      </c>
      <c r="C655" s="40">
        <v>46038</v>
      </c>
      <c r="D655" s="40" t="s">
        <v>32</v>
      </c>
      <c r="E655" s="40" t="s">
        <v>81</v>
      </c>
      <c r="F655" s="41">
        <v>655.4</v>
      </c>
      <c r="G655" s="42" t="s">
        <v>85</v>
      </c>
      <c r="H655" s="43" t="str">
        <f>IFERROR(VLOOKUP($J655,'[9]FROM (3)'!$E$4:$F$230,2,FALSE),"")</f>
        <v>JAMY</v>
      </c>
      <c r="I655" s="44" t="str">
        <f t="shared" si="96"/>
        <v>RACK BAR</v>
      </c>
      <c r="J655" s="44" t="str">
        <f t="shared" si="97"/>
        <v>JGC10-M09008-51-0</v>
      </c>
      <c r="K655" s="59" t="str">
        <f t="shared" si="94"/>
        <v>PD26010686</v>
      </c>
      <c r="L655" s="46" t="str" cm="1">
        <f t="array" ref="L655">IFERROR(_xlfn.IFS(
    LEN($A655)-LEN(SUBSTITUTE($A655,"|",""))=12, RIGHT(A655, LEN(A655)-FIND("~", SUBSTITUTE(A655,"|","~", LEN(A655)-LEN(SUBSTITUTE(A655,"|",""))))),
    LEN($A655)-LEN(SUBSTITUTE($A655,"|",""))=13, MID($A655, FIND("~", SUBSTITUTE($A655,"|","~", 11))+1, FIND("~", SUBSTITUTE($A655,"|","~", 12))-FIND("~", SUBSTITUTE($A655,"|","~", 11))-1),
    LEN($A655)-LEN(SUBSTITUTE($A655,"|",""))=14, MID($A655, FIND("~", SUBSTITUTE($A655,"|","~", 11))+1, FIND("~", SUBSTITUTE($A655,"|","~", 12))-FIND("~", SUBSTITUTE($A655,"|","~", 11))-1)
), "")</f>
        <v>E586966</v>
      </c>
      <c r="M655" s="47" t="str">
        <f t="shared" si="93"/>
        <v>SB010071/4/26</v>
      </c>
      <c r="N655" s="46" t="str">
        <f t="shared" si="95"/>
        <v/>
      </c>
      <c r="O655" s="60">
        <v>60</v>
      </c>
      <c r="P655" s="60">
        <v>875</v>
      </c>
      <c r="Q655" s="48">
        <v>274</v>
      </c>
      <c r="R655" s="48">
        <v>748</v>
      </c>
      <c r="S655" s="48">
        <v>26</v>
      </c>
      <c r="T655" s="48" t="s">
        <v>167</v>
      </c>
      <c r="U655" s="49">
        <v>93</v>
      </c>
      <c r="V655" s="49">
        <v>6</v>
      </c>
      <c r="W655" s="50">
        <f t="shared" si="92"/>
        <v>99</v>
      </c>
      <c r="X655" s="51" t="str">
        <f>IF(A655="", "", IF(COUNTIFS(C$3:C654, C655, D$3:D654, D655, G$3:G654, G655) &gt; 0, "", "11:00"-AW655))</f>
        <v/>
      </c>
      <c r="Y655" s="52" t="str">
        <f t="shared" si="98"/>
        <v/>
      </c>
      <c r="Z655" s="53"/>
      <c r="AA655" s="54"/>
      <c r="AB655" s="53"/>
      <c r="AC655" s="54"/>
      <c r="AD655" s="53"/>
      <c r="AE655" s="54"/>
      <c r="AF655" s="53"/>
      <c r="AG655" s="54"/>
      <c r="AH655" s="55">
        <v>4.1666666666666699E-2</v>
      </c>
      <c r="AI655" s="53"/>
      <c r="AJ655" s="54"/>
      <c r="AK655" s="53"/>
      <c r="AL655" s="54"/>
      <c r="AM655" s="53"/>
      <c r="AN655" s="54"/>
      <c r="AO655" s="53"/>
      <c r="AP655" s="54"/>
      <c r="AQ655" s="53"/>
      <c r="AR655" s="54"/>
      <c r="AS655" s="53"/>
      <c r="AT655" s="54"/>
      <c r="AU655" s="53">
        <v>4.1666666666666699E-2</v>
      </c>
      <c r="AV655" s="54" t="s">
        <v>37</v>
      </c>
      <c r="AW655" s="57">
        <f t="shared" si="91"/>
        <v>4.1666666666666699E-2</v>
      </c>
      <c r="AX655" s="58" t="s">
        <v>117</v>
      </c>
    </row>
    <row r="656" spans="1:50" ht="21.75" customHeight="1">
      <c r="A656" s="38" t="s">
        <v>606</v>
      </c>
      <c r="B656" s="39">
        <f t="shared" si="99"/>
        <v>652</v>
      </c>
      <c r="C656" s="40">
        <v>46038</v>
      </c>
      <c r="D656" s="40" t="s">
        <v>32</v>
      </c>
      <c r="E656" s="40" t="s">
        <v>81</v>
      </c>
      <c r="F656" s="41">
        <v>655.4</v>
      </c>
      <c r="G656" s="42" t="s">
        <v>85</v>
      </c>
      <c r="H656" s="43" t="str">
        <f>IFERROR(VLOOKUP($J656,'[9]FROM (3)'!$E$4:$F$230,2,FALSE),"")</f>
        <v>JAMY</v>
      </c>
      <c r="I656" s="44" t="str">
        <f t="shared" si="96"/>
        <v>RACK BAR</v>
      </c>
      <c r="J656" s="44" t="str">
        <f t="shared" si="97"/>
        <v>JGC10-M09008-51-0</v>
      </c>
      <c r="K656" s="59" t="str">
        <f t="shared" si="94"/>
        <v>PD26010749</v>
      </c>
      <c r="L656" s="46" t="str" cm="1">
        <f t="array" ref="L656">IFERROR(_xlfn.IFS(
    LEN($A656)-LEN(SUBSTITUTE($A656,"|",""))=12, RIGHT(A656, LEN(A656)-FIND("~", SUBSTITUTE(A656,"|","~", LEN(A656)-LEN(SUBSTITUTE(A656,"|",""))))),
    LEN($A656)-LEN(SUBSTITUTE($A656,"|",""))=13, MID($A656, FIND("~", SUBSTITUTE($A656,"|","~", 11))+1, FIND("~", SUBSTITUTE($A656,"|","~", 12))-FIND("~", SUBSTITUTE($A656,"|","~", 11))-1),
    LEN($A656)-LEN(SUBSTITUTE($A656,"|",""))=14, MID($A656, FIND("~", SUBSTITUTE($A656,"|","~", 11))+1, FIND("~", SUBSTITUTE($A656,"|","~", 12))-FIND("~", SUBSTITUTE($A656,"|","~", 11))-1)
), "")</f>
        <v>E586966</v>
      </c>
      <c r="M656" s="47" t="str">
        <f t="shared" si="93"/>
        <v>SB010076/4/26</v>
      </c>
      <c r="N656" s="46" t="str">
        <f t="shared" si="95"/>
        <v/>
      </c>
      <c r="O656" s="60">
        <v>48</v>
      </c>
      <c r="P656" s="60">
        <v>700</v>
      </c>
      <c r="Q656" s="48">
        <v>238</v>
      </c>
      <c r="R656" s="48">
        <v>650</v>
      </c>
      <c r="S656" s="48">
        <v>2</v>
      </c>
      <c r="T656" s="48" t="s">
        <v>167</v>
      </c>
      <c r="U656" s="49"/>
      <c r="V656" s="49"/>
      <c r="W656" s="50">
        <f t="shared" si="92"/>
        <v>0</v>
      </c>
      <c r="X656" s="51" t="str">
        <f>IF(A656="", "", IF(COUNTIFS(C$3:C655, C656, D$3:D655, D656, G$3:G655, G656) &gt; 0, "", "11:00"-AW656))</f>
        <v/>
      </c>
      <c r="Y656" s="52" t="str">
        <f t="shared" si="98"/>
        <v/>
      </c>
      <c r="Z656" s="53"/>
      <c r="AA656" s="54"/>
      <c r="AB656" s="53"/>
      <c r="AC656" s="54"/>
      <c r="AD656" s="53"/>
      <c r="AE656" s="54"/>
      <c r="AF656" s="53"/>
      <c r="AG656" s="54"/>
      <c r="AH656" s="55">
        <v>4.1666666666666699E-2</v>
      </c>
      <c r="AI656" s="53"/>
      <c r="AJ656" s="54"/>
      <c r="AK656" s="53"/>
      <c r="AL656" s="54"/>
      <c r="AM656" s="53"/>
      <c r="AN656" s="54"/>
      <c r="AO656" s="53"/>
      <c r="AP656" s="54"/>
      <c r="AQ656" s="53"/>
      <c r="AR656" s="54"/>
      <c r="AS656" s="53"/>
      <c r="AT656" s="54"/>
      <c r="AU656" s="53">
        <v>4.1666666666666699E-2</v>
      </c>
      <c r="AV656" s="54" t="s">
        <v>37</v>
      </c>
      <c r="AW656" s="57">
        <f t="shared" si="91"/>
        <v>4.1666666666666699E-2</v>
      </c>
      <c r="AX656" s="58" t="s">
        <v>117</v>
      </c>
    </row>
    <row r="657" spans="1:50" ht="21.75" customHeight="1">
      <c r="A657" s="38" t="s">
        <v>607</v>
      </c>
      <c r="B657" s="39">
        <f t="shared" si="99"/>
        <v>653</v>
      </c>
      <c r="C657" s="40">
        <v>46038</v>
      </c>
      <c r="D657" s="40" t="s">
        <v>32</v>
      </c>
      <c r="E657" s="40" t="s">
        <v>81</v>
      </c>
      <c r="F657" s="41">
        <v>655.4</v>
      </c>
      <c r="G657" s="42" t="s">
        <v>85</v>
      </c>
      <c r="H657" s="43" t="str">
        <f>IFERROR(VLOOKUP($J657,'[9]FROM (3)'!$E$4:$F$230,2,FALSE),"")</f>
        <v>JAMY</v>
      </c>
      <c r="I657" s="44" t="str">
        <f t="shared" si="96"/>
        <v>RACK BAR</v>
      </c>
      <c r="J657" s="44" t="str">
        <f t="shared" si="97"/>
        <v>JGC10-M09008-51-0</v>
      </c>
      <c r="K657" s="59" t="str">
        <f t="shared" si="94"/>
        <v>PD26010749</v>
      </c>
      <c r="L657" s="46" t="str" cm="1">
        <f t="array" ref="L657">IFERROR(_xlfn.IFS(
    LEN($A657)-LEN(SUBSTITUTE($A657,"|",""))=12, RIGHT(A657, LEN(A657)-FIND("~", SUBSTITUTE(A657,"|","~", LEN(A657)-LEN(SUBSTITUTE(A657,"|",""))))),
    LEN($A657)-LEN(SUBSTITUTE($A657,"|",""))=13, MID($A657, FIND("~", SUBSTITUTE($A657,"|","~", 11))+1, FIND("~", SUBSTITUTE($A657,"|","~", 12))-FIND("~", SUBSTITUTE($A657,"|","~", 11))-1),
    LEN($A657)-LEN(SUBSTITUTE($A657,"|",""))=14, MID($A657, FIND("~", SUBSTITUTE($A657,"|","~", 11))+1, FIND("~", SUBSTITUTE($A657,"|","~", 12))-FIND("~", SUBSTITUTE($A657,"|","~", 11))-1)
), "")</f>
        <v>E586966</v>
      </c>
      <c r="M657" s="47" t="str">
        <f t="shared" si="93"/>
        <v>SB010076/3/26</v>
      </c>
      <c r="N657" s="46" t="str">
        <f t="shared" si="95"/>
        <v/>
      </c>
      <c r="O657" s="60">
        <v>48</v>
      </c>
      <c r="P657" s="60">
        <v>700</v>
      </c>
      <c r="Q657" s="48">
        <v>237</v>
      </c>
      <c r="R657" s="48">
        <v>647</v>
      </c>
      <c r="S657" s="48">
        <v>3</v>
      </c>
      <c r="T657" s="48" t="s">
        <v>167</v>
      </c>
      <c r="U657" s="49">
        <v>77</v>
      </c>
      <c r="V657" s="49">
        <v>5</v>
      </c>
      <c r="W657" s="50">
        <f t="shared" si="92"/>
        <v>82</v>
      </c>
      <c r="X657" s="51" t="str">
        <f>IF(A657="", "", IF(COUNTIFS(C$3:C656, C657, D$3:D656, D657, G$3:G656, G657) &gt; 0, "", "11:00"-AW657))</f>
        <v/>
      </c>
      <c r="Y657" s="52" t="str">
        <f t="shared" si="98"/>
        <v/>
      </c>
      <c r="Z657" s="53"/>
      <c r="AA657" s="54"/>
      <c r="AB657" s="53"/>
      <c r="AC657" s="54"/>
      <c r="AD657" s="53"/>
      <c r="AE657" s="54"/>
      <c r="AF657" s="53"/>
      <c r="AG657" s="54"/>
      <c r="AH657" s="55">
        <v>4.1666666666666699E-2</v>
      </c>
      <c r="AI657" s="53"/>
      <c r="AJ657" s="54"/>
      <c r="AK657" s="53"/>
      <c r="AL657" s="54"/>
      <c r="AM657" s="53"/>
      <c r="AN657" s="54"/>
      <c r="AO657" s="53"/>
      <c r="AP657" s="54"/>
      <c r="AQ657" s="53"/>
      <c r="AR657" s="54"/>
      <c r="AS657" s="53"/>
      <c r="AT657" s="54"/>
      <c r="AU657" s="53">
        <v>4.1666666666666699E-2</v>
      </c>
      <c r="AV657" s="54" t="s">
        <v>37</v>
      </c>
      <c r="AW657" s="57">
        <f t="shared" si="91"/>
        <v>4.1666666666666699E-2</v>
      </c>
      <c r="AX657" s="58" t="s">
        <v>117</v>
      </c>
    </row>
    <row r="658" spans="1:50" ht="21.75" customHeight="1">
      <c r="A658" s="38" t="s">
        <v>608</v>
      </c>
      <c r="B658" s="39">
        <f t="shared" si="99"/>
        <v>654</v>
      </c>
      <c r="C658" s="40">
        <v>46038</v>
      </c>
      <c r="D658" s="40" t="s">
        <v>32</v>
      </c>
      <c r="E658" s="40" t="s">
        <v>81</v>
      </c>
      <c r="F658" s="41">
        <v>655.4</v>
      </c>
      <c r="G658" s="42" t="s">
        <v>85</v>
      </c>
      <c r="H658" s="43" t="str">
        <f>IFERROR(VLOOKUP($J658,'[9]FROM (3)'!$E$4:$F$230,2,FALSE),"")</f>
        <v>JAMY</v>
      </c>
      <c r="I658" s="44" t="str">
        <f t="shared" si="96"/>
        <v>RACK BAR</v>
      </c>
      <c r="J658" s="44" t="str">
        <f t="shared" si="97"/>
        <v>JGC10-M09008-51-0</v>
      </c>
      <c r="K658" s="59" t="str">
        <f t="shared" si="94"/>
        <v>PD26010687</v>
      </c>
      <c r="L658" s="46" t="str" cm="1">
        <f t="array" ref="L658">IFERROR(_xlfn.IFS(
    LEN($A658)-LEN(SUBSTITUTE($A658,"|",""))=12, RIGHT(A658, LEN(A658)-FIND("~", SUBSTITUTE(A658,"|","~", LEN(A658)-LEN(SUBSTITUTE(A658,"|",""))))),
    LEN($A658)-LEN(SUBSTITUTE($A658,"|",""))=13, MID($A658, FIND("~", SUBSTITUTE($A658,"|","~", 11))+1, FIND("~", SUBSTITUTE($A658,"|","~", 12))-FIND("~", SUBSTITUTE($A658,"|","~", 11))-1),
    LEN($A658)-LEN(SUBSTITUTE($A658,"|",""))=14, MID($A658, FIND("~", SUBSTITUTE($A658,"|","~", 11))+1, FIND("~", SUBSTITUTE($A658,"|","~", 12))-FIND("~", SUBSTITUTE($A658,"|","~", 11))-1)
), "")</f>
        <v>E586966</v>
      </c>
      <c r="M658" s="47" t="str">
        <f t="shared" si="93"/>
        <v>SB010071/5/26</v>
      </c>
      <c r="N658" s="46" t="str">
        <f t="shared" si="95"/>
        <v/>
      </c>
      <c r="O658" s="60">
        <v>60</v>
      </c>
      <c r="P658" s="60">
        <v>875</v>
      </c>
      <c r="Q658" s="48">
        <v>128</v>
      </c>
      <c r="R658" s="48">
        <v>349</v>
      </c>
      <c r="S658" s="48"/>
      <c r="T658" s="48"/>
      <c r="U658" s="49"/>
      <c r="V658" s="49"/>
      <c r="W658" s="50">
        <f t="shared" si="92"/>
        <v>0</v>
      </c>
      <c r="X658" s="51" t="str">
        <f>IF(A658="", "", IF(COUNTIFS(C$3:C657, C658, D$3:D657, D658, G$3:G657, G658) &gt; 0, "", "11:00"-AW658))</f>
        <v/>
      </c>
      <c r="Y658" s="52" t="str">
        <f t="shared" si="98"/>
        <v/>
      </c>
      <c r="Z658" s="53"/>
      <c r="AA658" s="54"/>
      <c r="AB658" s="53"/>
      <c r="AC658" s="54"/>
      <c r="AD658" s="53"/>
      <c r="AE658" s="54"/>
      <c r="AF658" s="53"/>
      <c r="AG658" s="54"/>
      <c r="AH658" s="55">
        <v>4.1666666666666699E-2</v>
      </c>
      <c r="AI658" s="53"/>
      <c r="AJ658" s="54"/>
      <c r="AK658" s="53"/>
      <c r="AL658" s="54"/>
      <c r="AM658" s="53"/>
      <c r="AN658" s="54"/>
      <c r="AO658" s="53"/>
      <c r="AP658" s="54"/>
      <c r="AQ658" s="53"/>
      <c r="AR658" s="54"/>
      <c r="AS658" s="53"/>
      <c r="AT658" s="54"/>
      <c r="AU658" s="53">
        <v>4.1666666666666699E-2</v>
      </c>
      <c r="AV658" s="54" t="s">
        <v>37</v>
      </c>
      <c r="AW658" s="57">
        <f t="shared" si="91"/>
        <v>4.1666666666666699E-2</v>
      </c>
      <c r="AX658" s="58" t="s">
        <v>117</v>
      </c>
    </row>
    <row r="659" spans="1:50" ht="21.75" customHeight="1">
      <c r="A659" s="38" t="s">
        <v>572</v>
      </c>
      <c r="B659" s="39">
        <f t="shared" si="99"/>
        <v>655</v>
      </c>
      <c r="C659" s="40">
        <v>46038</v>
      </c>
      <c r="D659" s="40" t="s">
        <v>32</v>
      </c>
      <c r="E659" s="40" t="s">
        <v>81</v>
      </c>
      <c r="F659" s="41">
        <v>23.4</v>
      </c>
      <c r="G659" s="42" t="s">
        <v>34</v>
      </c>
      <c r="H659" s="43" t="str">
        <f>IFERROR(VLOOKUP($J659,'[9]FROM (3)'!$E$4:$F$230,2,FALSE),"")</f>
        <v/>
      </c>
      <c r="I659" s="44" t="str">
        <f t="shared" si="96"/>
        <v>FLANGE-13 SLUG</v>
      </c>
      <c r="J659" s="44" t="str">
        <f t="shared" si="97"/>
        <v>ZZ2B7401TX1</v>
      </c>
      <c r="K659" s="59" t="str">
        <f t="shared" si="94"/>
        <v>PD26010474</v>
      </c>
      <c r="L659" s="46" t="str" cm="1">
        <f t="array" ref="L659">IFERROR(_xlfn.IFS(
    LEN($A659)-LEN(SUBSTITUTE($A659,"|",""))=12, RIGHT(A659, LEN(A659)-FIND("~", SUBSTITUTE(A659,"|","~", LEN(A659)-LEN(SUBSTITUTE(A659,"|",""))))),
    LEN($A659)-LEN(SUBSTITUTE($A659,"|",""))=13, MID($A659, FIND("~", SUBSTITUTE($A659,"|","~", 11))+1, FIND("~", SUBSTITUTE($A659,"|","~", 12))-FIND("~", SUBSTITUTE($A659,"|","~", 11))-1),
    LEN($A659)-LEN(SUBSTITUTE($A659,"|",""))=14, MID($A659, FIND("~", SUBSTITUTE($A659,"|","~", 11))+1, FIND("~", SUBSTITUTE($A659,"|","~", 12))-FIND("~", SUBSTITUTE($A659,"|","~", 11))-1)
), "")</f>
        <v>1-79662</v>
      </c>
      <c r="M659" s="47" t="str">
        <f t="shared" si="93"/>
        <v>2B2600092</v>
      </c>
      <c r="N659" s="46" t="str">
        <f t="shared" si="95"/>
        <v/>
      </c>
      <c r="O659" s="60" t="s">
        <v>35</v>
      </c>
      <c r="P659" s="60" t="s">
        <v>35</v>
      </c>
      <c r="Q659" s="48">
        <v>3820</v>
      </c>
      <c r="R659" s="48">
        <v>757</v>
      </c>
      <c r="S659" s="48"/>
      <c r="T659" s="48"/>
      <c r="U659" s="49"/>
      <c r="V659" s="49"/>
      <c r="W659" s="50">
        <f t="shared" si="92"/>
        <v>0</v>
      </c>
      <c r="X659" s="51">
        <f>IF(A659="", "", IF(COUNTIFS(C$3:C658, C659, D$3:D658, D659, G$3:G658, G659) &gt; 0, "", "11:00"-AW659))</f>
        <v>0.41666666666666663</v>
      </c>
      <c r="Y659" s="52" t="str">
        <f t="shared" si="98"/>
        <v>1:40</v>
      </c>
      <c r="Z659" s="53"/>
      <c r="AA659" s="54"/>
      <c r="AB659" s="53"/>
      <c r="AC659" s="54"/>
      <c r="AD659" s="53"/>
      <c r="AE659" s="54"/>
      <c r="AF659" s="53"/>
      <c r="AG659" s="54"/>
      <c r="AH659" s="55">
        <v>4.1666666666666699E-2</v>
      </c>
      <c r="AI659" s="53"/>
      <c r="AJ659" s="54"/>
      <c r="AK659" s="53"/>
      <c r="AL659" s="54"/>
      <c r="AM659" s="53"/>
      <c r="AN659" s="54"/>
      <c r="AO659" s="53"/>
      <c r="AP659" s="54"/>
      <c r="AQ659" s="53"/>
      <c r="AR659" s="54"/>
      <c r="AS659" s="53"/>
      <c r="AT659" s="54"/>
      <c r="AU659" s="53">
        <v>4.1666666666666699E-2</v>
      </c>
      <c r="AV659" s="54" t="s">
        <v>37</v>
      </c>
      <c r="AW659" s="57">
        <f t="shared" si="91"/>
        <v>4.1666666666666699E-2</v>
      </c>
      <c r="AX659" s="58" t="s">
        <v>48</v>
      </c>
    </row>
    <row r="660" spans="1:50" ht="21.75" customHeight="1">
      <c r="A660" s="38" t="s">
        <v>546</v>
      </c>
      <c r="B660" s="39">
        <f t="shared" si="99"/>
        <v>656</v>
      </c>
      <c r="C660" s="40">
        <v>46038</v>
      </c>
      <c r="D660" s="40" t="s">
        <v>32</v>
      </c>
      <c r="E660" s="40" t="s">
        <v>81</v>
      </c>
      <c r="F660" s="41">
        <v>111.6</v>
      </c>
      <c r="G660" s="42" t="s">
        <v>41</v>
      </c>
      <c r="H660" s="43" t="str">
        <f>IFERROR(VLOOKUP($J660,'[9]FROM (3)'!$E$4:$F$230,2,FALSE),"")</f>
        <v>(Astemo)AS-TK</v>
      </c>
      <c r="I660" s="44" t="str">
        <f t="shared" si="96"/>
        <v>CAP RESERVOIR</v>
      </c>
      <c r="J660" s="44" t="str">
        <f t="shared" si="97"/>
        <v>8A10524</v>
      </c>
      <c r="K660" s="59" t="str">
        <f t="shared" si="94"/>
        <v>PD26010109</v>
      </c>
      <c r="L660" s="46" t="str" cm="1">
        <f t="array" ref="L660">IFERROR(_xlfn.IFS(
    LEN($A660)-LEN(SUBSTITUTE($A660,"|",""))=12, RIGHT(A660, LEN(A660)-FIND("~", SUBSTITUTE(A660,"|","~", LEN(A660)-LEN(SUBSTITUTE(A660,"|",""))))),
    LEN($A660)-LEN(SUBSTITUTE($A660,"|",""))=13, MID($A660, FIND("~", SUBSTITUTE($A660,"|","~", 11))+1, FIND("~", SUBSTITUTE($A660,"|","~", 12))-FIND("~", SUBSTITUTE($A660,"|","~", 11))-1),
    LEN($A660)-LEN(SUBSTITUTE($A660,"|",""))=14, MID($A660, FIND("~", SUBSTITUTE($A660,"|","~", 11))+1, FIND("~", SUBSTITUTE($A660,"|","~", 12))-FIND("~", SUBSTITUTE($A660,"|","~", 11))-1)
), "")</f>
        <v>3V096</v>
      </c>
      <c r="M660" s="47" t="str">
        <f t="shared" si="93"/>
        <v>SB010003/3/26</v>
      </c>
      <c r="N660" s="46" t="str">
        <f t="shared" si="95"/>
        <v/>
      </c>
      <c r="O660" s="60" t="s">
        <v>35</v>
      </c>
      <c r="P660" s="60" t="s">
        <v>35</v>
      </c>
      <c r="Q660" s="48">
        <v>3484</v>
      </c>
      <c r="R660" s="48">
        <v>389</v>
      </c>
      <c r="S660" s="48"/>
      <c r="T660" s="48"/>
      <c r="U660" s="49">
        <v>67</v>
      </c>
      <c r="V660" s="49">
        <v>244</v>
      </c>
      <c r="W660" s="50">
        <f t="shared" si="92"/>
        <v>311</v>
      </c>
      <c r="X660" s="51">
        <f>IF(A660="", "", IF(COUNTIFS(C$3:C659, C660, D$3:D659, D660, G$3:G659, G660) &gt; 0, "", "11:00"-AW660))</f>
        <v>0.33333333333333326</v>
      </c>
      <c r="Y660" s="52" t="str">
        <f t="shared" si="98"/>
        <v>1:40</v>
      </c>
      <c r="Z660" s="53"/>
      <c r="AA660" s="54"/>
      <c r="AB660" s="53"/>
      <c r="AC660" s="54"/>
      <c r="AD660" s="53"/>
      <c r="AE660" s="54"/>
      <c r="AF660" s="53"/>
      <c r="AG660" s="54"/>
      <c r="AH660" s="55">
        <v>4.1666666666666699E-2</v>
      </c>
      <c r="AI660" s="53"/>
      <c r="AJ660" s="54"/>
      <c r="AK660" s="53"/>
      <c r="AL660" s="54"/>
      <c r="AM660" s="53"/>
      <c r="AN660" s="54"/>
      <c r="AO660" s="53"/>
      <c r="AP660" s="54"/>
      <c r="AQ660" s="53">
        <v>4.1666666666666664E-2</v>
      </c>
      <c r="AR660" s="54" t="s">
        <v>129</v>
      </c>
      <c r="AS660" s="53">
        <v>4.1666666666666664E-2</v>
      </c>
      <c r="AT660" s="54" t="s">
        <v>129</v>
      </c>
      <c r="AU660" s="53">
        <v>4.1666666666666699E-2</v>
      </c>
      <c r="AV660" s="54" t="s">
        <v>37</v>
      </c>
      <c r="AW660" s="57">
        <f t="shared" si="91"/>
        <v>0.12500000000000003</v>
      </c>
      <c r="AX660" s="58" t="s">
        <v>48</v>
      </c>
    </row>
    <row r="661" spans="1:50" ht="21.75" customHeight="1">
      <c r="A661" s="38" t="s">
        <v>609</v>
      </c>
      <c r="B661" s="39">
        <f t="shared" si="99"/>
        <v>657</v>
      </c>
      <c r="C661" s="40">
        <v>46038</v>
      </c>
      <c r="D661" s="40" t="s">
        <v>32</v>
      </c>
      <c r="E661" s="40" t="s">
        <v>81</v>
      </c>
      <c r="F661" s="41">
        <v>56</v>
      </c>
      <c r="G661" s="42" t="s">
        <v>44</v>
      </c>
      <c r="H661" s="43" t="str">
        <f>IFERROR(VLOOKUP($J661,'[9]FROM (3)'!$E$4:$F$230,2,FALSE),"")</f>
        <v>DNTH</v>
      </c>
      <c r="I661" s="44" t="str">
        <f t="shared" si="96"/>
        <v>PLUNGER</v>
      </c>
      <c r="J661" s="44" t="str">
        <f t="shared" si="97"/>
        <v>TG053661-7151</v>
      </c>
      <c r="K661" s="59" t="str">
        <f t="shared" si="94"/>
        <v>PD26010430</v>
      </c>
      <c r="L661" s="46" t="str" cm="1">
        <f t="array" ref="L661">IFERROR(_xlfn.IFS(
    LEN($A661)-LEN(SUBSTITUTE($A661,"|",""))=12, RIGHT(A661, LEN(A661)-FIND("~", SUBSTITUTE(A661,"|","~", LEN(A661)-LEN(SUBSTITUTE(A661,"|",""))))),
    LEN($A661)-LEN(SUBSTITUTE($A661,"|",""))=13, MID($A661, FIND("~", SUBSTITUTE($A661,"|","~", 11))+1, FIND("~", SUBSTITUTE($A661,"|","~", 12))-FIND("~", SUBSTITUTE($A661,"|","~", 11))-1),
    LEN($A661)-LEN(SUBSTITUTE($A661,"|",""))=14, MID($A661, FIND("~", SUBSTITUTE($A661,"|","~", 11))+1, FIND("~", SUBSTITUTE($A661,"|","~", 12))-FIND("~", SUBSTITUTE($A661,"|","~", 11))-1)
), "")</f>
        <v>5B0161</v>
      </c>
      <c r="M661" s="47" t="str">
        <f t="shared" si="93"/>
        <v>SB010044/2/26</v>
      </c>
      <c r="N661" s="46" t="str">
        <f t="shared" si="95"/>
        <v/>
      </c>
      <c r="O661" s="60" t="s">
        <v>35</v>
      </c>
      <c r="P661" s="60" t="s">
        <v>35</v>
      </c>
      <c r="Q661" s="48">
        <v>2570</v>
      </c>
      <c r="R661" s="48">
        <v>380</v>
      </c>
      <c r="S661" s="48"/>
      <c r="T661" s="48"/>
      <c r="U661" s="49"/>
      <c r="V661" s="49"/>
      <c r="W661" s="50">
        <f t="shared" si="92"/>
        <v>0</v>
      </c>
      <c r="X661" s="51">
        <f>IF(A661="", "", IF(COUNTIFS(C$3:C660, C661, D$3:D660, D661, G$3:G660, G661) &gt; 0, "", "11:00"-AW661))</f>
        <v>0.41666666666666663</v>
      </c>
      <c r="Y661" s="52" t="str">
        <f t="shared" si="98"/>
        <v>1:40</v>
      </c>
      <c r="Z661" s="53"/>
      <c r="AA661" s="54"/>
      <c r="AB661" s="53"/>
      <c r="AC661" s="54"/>
      <c r="AD661" s="53"/>
      <c r="AE661" s="54"/>
      <c r="AF661" s="53"/>
      <c r="AG661" s="54"/>
      <c r="AH661" s="55">
        <v>4.1666666666666699E-2</v>
      </c>
      <c r="AI661" s="53"/>
      <c r="AJ661" s="54"/>
      <c r="AK661" s="53"/>
      <c r="AL661" s="54"/>
      <c r="AM661" s="53"/>
      <c r="AN661" s="54"/>
      <c r="AO661" s="53"/>
      <c r="AP661" s="54"/>
      <c r="AQ661" s="53"/>
      <c r="AR661" s="54"/>
      <c r="AS661" s="53"/>
      <c r="AT661" s="54"/>
      <c r="AU661" s="53">
        <v>4.1666666666666699E-2</v>
      </c>
      <c r="AV661" s="54" t="s">
        <v>37</v>
      </c>
      <c r="AW661" s="57">
        <f t="shared" si="91"/>
        <v>4.1666666666666699E-2</v>
      </c>
      <c r="AX661" s="58" t="s">
        <v>48</v>
      </c>
    </row>
    <row r="662" spans="1:50" ht="21.75" customHeight="1">
      <c r="A662" s="38" t="s">
        <v>610</v>
      </c>
      <c r="B662" s="39">
        <f t="shared" si="99"/>
        <v>658</v>
      </c>
      <c r="C662" s="40">
        <v>46038</v>
      </c>
      <c r="D662" s="40" t="s">
        <v>32</v>
      </c>
      <c r="E662" s="40" t="s">
        <v>81</v>
      </c>
      <c r="F662" s="41">
        <v>56</v>
      </c>
      <c r="G662" s="42" t="s">
        <v>44</v>
      </c>
      <c r="H662" s="43" t="str">
        <f>IFERROR(VLOOKUP($J662,'[9]FROM (3)'!$E$4:$F$230,2,FALSE),"")</f>
        <v>DNTH</v>
      </c>
      <c r="I662" s="44" t="str">
        <f t="shared" si="96"/>
        <v>PLUNGER</v>
      </c>
      <c r="J662" s="44" t="str">
        <f t="shared" si="97"/>
        <v>TG053661-7151</v>
      </c>
      <c r="K662" s="59" t="str">
        <f t="shared" si="94"/>
        <v>PD26010430</v>
      </c>
      <c r="L662" s="46" t="str" cm="1">
        <f t="array" ref="L662">IFERROR(_xlfn.IFS(
    LEN($A662)-LEN(SUBSTITUTE($A662,"|",""))=12, RIGHT(A662, LEN(A662)-FIND("~", SUBSTITUTE(A662,"|","~", LEN(A662)-LEN(SUBSTITUTE(A662,"|",""))))),
    LEN($A662)-LEN(SUBSTITUTE($A662,"|",""))=13, MID($A662, FIND("~", SUBSTITUTE($A662,"|","~", 11))+1, FIND("~", SUBSTITUTE($A662,"|","~", 12))-FIND("~", SUBSTITUTE($A662,"|","~", 11))-1),
    LEN($A662)-LEN(SUBSTITUTE($A662,"|",""))=14, MID($A662, FIND("~", SUBSTITUTE($A662,"|","~", 11))+1, FIND("~", SUBSTITUTE($A662,"|","~", 12))-FIND("~", SUBSTITUTE($A662,"|","~", 11))-1)
), "")</f>
        <v>5B0161</v>
      </c>
      <c r="M662" s="47" t="str">
        <f t="shared" si="93"/>
        <v>SB010044/1/26</v>
      </c>
      <c r="N662" s="46" t="str">
        <f t="shared" si="95"/>
        <v/>
      </c>
      <c r="O662" s="60">
        <v>54</v>
      </c>
      <c r="P662" s="60">
        <v>948</v>
      </c>
      <c r="Q662" s="48">
        <v>2263</v>
      </c>
      <c r="R662" s="48">
        <v>334</v>
      </c>
      <c r="S662" s="48"/>
      <c r="T662" s="48"/>
      <c r="U662" s="49"/>
      <c r="V662" s="49"/>
      <c r="W662" s="50">
        <f t="shared" si="92"/>
        <v>0</v>
      </c>
      <c r="X662" s="51" t="str">
        <f>IF(A662="", "", IF(COUNTIFS(C$3:C661, C662, D$3:D661, D662, G$3:G661, G662) &gt; 0, "", "11:00"-AW662))</f>
        <v/>
      </c>
      <c r="Y662" s="52" t="str">
        <f t="shared" si="98"/>
        <v/>
      </c>
      <c r="Z662" s="53"/>
      <c r="AA662" s="54"/>
      <c r="AB662" s="53"/>
      <c r="AC662" s="54"/>
      <c r="AD662" s="53"/>
      <c r="AE662" s="54"/>
      <c r="AF662" s="53"/>
      <c r="AG662" s="54"/>
      <c r="AH662" s="55">
        <v>4.1666666666666699E-2</v>
      </c>
      <c r="AI662" s="53"/>
      <c r="AJ662" s="54"/>
      <c r="AK662" s="53"/>
      <c r="AL662" s="54"/>
      <c r="AM662" s="53"/>
      <c r="AN662" s="54"/>
      <c r="AO662" s="53"/>
      <c r="AP662" s="54"/>
      <c r="AQ662" s="53"/>
      <c r="AR662" s="54"/>
      <c r="AS662" s="53"/>
      <c r="AT662" s="54"/>
      <c r="AU662" s="53">
        <v>4.1666666666666699E-2</v>
      </c>
      <c r="AV662" s="54" t="s">
        <v>37</v>
      </c>
      <c r="AW662" s="57">
        <f t="shared" si="91"/>
        <v>4.1666666666666699E-2</v>
      </c>
      <c r="AX662" s="58" t="s">
        <v>48</v>
      </c>
    </row>
    <row r="663" spans="1:50" ht="21.75" customHeight="1">
      <c r="A663" s="38" t="s">
        <v>611</v>
      </c>
      <c r="B663" s="39">
        <f t="shared" si="99"/>
        <v>659</v>
      </c>
      <c r="C663" s="40">
        <v>46038</v>
      </c>
      <c r="D663" s="40" t="s">
        <v>32</v>
      </c>
      <c r="E663" s="40" t="s">
        <v>81</v>
      </c>
      <c r="F663" s="41">
        <v>278</v>
      </c>
      <c r="G663" s="42" t="s">
        <v>46</v>
      </c>
      <c r="H663" s="43" t="str">
        <f>IFERROR(VLOOKUP($J663,'[9]FROM (3)'!$E$4:$F$230,2,FALSE),"")</f>
        <v>SIAM NSK</v>
      </c>
      <c r="I663" s="44" t="str">
        <f t="shared" si="96"/>
        <v>SHAFT SPLINE</v>
      </c>
      <c r="J663" s="44" t="str">
        <f t="shared" si="97"/>
        <v>2550T0749P</v>
      </c>
      <c r="K663" s="59" t="str">
        <f t="shared" si="94"/>
        <v>PD26010503</v>
      </c>
      <c r="L663" s="46" t="str" cm="1">
        <f t="array" ref="L663">IFERROR(_xlfn.IFS(
    LEN($A663)-LEN(SUBSTITUTE($A663,"|",""))=12, RIGHT(A663, LEN(A663)-FIND("~", SUBSTITUTE(A663,"|","~", LEN(A663)-LEN(SUBSTITUTE(A663,"|",""))))),
    LEN($A663)-LEN(SUBSTITUTE($A663,"|",""))=13, MID($A663, FIND("~", SUBSTITUTE($A663,"|","~", 11))+1, FIND("~", SUBSTITUTE($A663,"|","~", 12))-FIND("~", SUBSTITUTE($A663,"|","~", 11))-1),
    LEN($A663)-LEN(SUBSTITUTE($A663,"|",""))=14, MID($A663, FIND("~", SUBSTITUTE($A663,"|","~", 11))+1, FIND("~", SUBSTITUTE($A663,"|","~", 12))-FIND("~", SUBSTITUTE($A663,"|","~", 11))-1)
), "")</f>
        <v>SF93402</v>
      </c>
      <c r="M663" s="47" t="str">
        <f t="shared" si="93"/>
        <v>SB010049/2/26</v>
      </c>
      <c r="N663" s="46" t="str">
        <f t="shared" si="95"/>
        <v/>
      </c>
      <c r="O663" s="60">
        <v>105</v>
      </c>
      <c r="P663" s="60">
        <v>1010</v>
      </c>
      <c r="Q663" s="48">
        <v>1680</v>
      </c>
      <c r="R663" s="48">
        <v>960</v>
      </c>
      <c r="S663" s="48"/>
      <c r="T663" s="48"/>
      <c r="U663" s="49"/>
      <c r="V663" s="49"/>
      <c r="W663" s="50">
        <f t="shared" si="92"/>
        <v>0</v>
      </c>
      <c r="X663" s="51">
        <f>IF(A663="", "", IF(COUNTIFS(C$3:C662, C663, D$3:D662, D663, G$3:G662, G663) &gt; 0, "", "11:00"-AW663))</f>
        <v>0.39583333333333326</v>
      </c>
      <c r="Y663" s="52" t="str">
        <f t="shared" si="98"/>
        <v>1:40</v>
      </c>
      <c r="Z663" s="53">
        <v>2.0833333333333332E-2</v>
      </c>
      <c r="AA663" s="54" t="s">
        <v>67</v>
      </c>
      <c r="AB663" s="53"/>
      <c r="AC663" s="54"/>
      <c r="AD663" s="53"/>
      <c r="AE663" s="54"/>
      <c r="AF663" s="53"/>
      <c r="AG663" s="54"/>
      <c r="AH663" s="55">
        <v>4.1666666666666699E-2</v>
      </c>
      <c r="AI663" s="53"/>
      <c r="AJ663" s="54"/>
      <c r="AK663" s="53"/>
      <c r="AL663" s="54"/>
      <c r="AM663" s="53"/>
      <c r="AN663" s="54"/>
      <c r="AO663" s="53"/>
      <c r="AP663" s="54"/>
      <c r="AQ663" s="53"/>
      <c r="AR663" s="54"/>
      <c r="AS663" s="53"/>
      <c r="AT663" s="54"/>
      <c r="AU663" s="53">
        <v>4.1666666666666699E-2</v>
      </c>
      <c r="AV663" s="54" t="s">
        <v>37</v>
      </c>
      <c r="AW663" s="57">
        <f t="shared" si="91"/>
        <v>6.2500000000000028E-2</v>
      </c>
      <c r="AX663" s="58" t="s">
        <v>380</v>
      </c>
    </row>
    <row r="664" spans="1:50" ht="21.75" customHeight="1">
      <c r="A664" s="38" t="s">
        <v>612</v>
      </c>
      <c r="B664" s="39">
        <f t="shared" si="99"/>
        <v>660</v>
      </c>
      <c r="C664" s="40">
        <v>46038</v>
      </c>
      <c r="D664" s="40" t="s">
        <v>32</v>
      </c>
      <c r="E664" s="40" t="s">
        <v>81</v>
      </c>
      <c r="F664" s="41">
        <v>278</v>
      </c>
      <c r="G664" s="42" t="s">
        <v>46</v>
      </c>
      <c r="H664" s="43" t="str">
        <f>IFERROR(VLOOKUP($J664,'[9]FROM (3)'!$E$4:$F$230,2,FALSE),"")</f>
        <v>SIAM NSK</v>
      </c>
      <c r="I664" s="44" t="str">
        <f t="shared" si="96"/>
        <v>SHAFT SPLINE</v>
      </c>
      <c r="J664" s="44" t="str">
        <f t="shared" si="97"/>
        <v>2550T0749P</v>
      </c>
      <c r="K664" s="59" t="str">
        <f t="shared" si="94"/>
        <v>PD26010503</v>
      </c>
      <c r="L664" s="46" t="str" cm="1">
        <f t="array" ref="L664">IFERROR(_xlfn.IFS(
    LEN($A664)-LEN(SUBSTITUTE($A664,"|",""))=12, RIGHT(A664, LEN(A664)-FIND("~", SUBSTITUTE(A664,"|","~", LEN(A664)-LEN(SUBSTITUTE(A664,"|",""))))),
    LEN($A664)-LEN(SUBSTITUTE($A664,"|",""))=13, MID($A664, FIND("~", SUBSTITUTE($A664,"|","~", 11))+1, FIND("~", SUBSTITUTE($A664,"|","~", 12))-FIND("~", SUBSTITUTE($A664,"|","~", 11))-1),
    LEN($A664)-LEN(SUBSTITUTE($A664,"|",""))=14, MID($A664, FIND("~", SUBSTITUTE($A664,"|","~", 11))+1, FIND("~", SUBSTITUTE($A664,"|","~", 12))-FIND("~", SUBSTITUTE($A664,"|","~", 11))-1)
), "")</f>
        <v>SF93402</v>
      </c>
      <c r="M664" s="47" t="str">
        <f t="shared" si="93"/>
        <v>SB010049/1/26</v>
      </c>
      <c r="N664" s="46" t="str">
        <f t="shared" si="95"/>
        <v/>
      </c>
      <c r="O664" s="60">
        <v>105</v>
      </c>
      <c r="P664" s="60">
        <v>1010</v>
      </c>
      <c r="Q664" s="48">
        <v>1620</v>
      </c>
      <c r="R664" s="48">
        <v>923</v>
      </c>
      <c r="S664" s="48"/>
      <c r="T664" s="48"/>
      <c r="U664" s="49"/>
      <c r="V664" s="49"/>
      <c r="W664" s="50">
        <f t="shared" si="92"/>
        <v>0</v>
      </c>
      <c r="X664" s="51" t="str">
        <f>IF(A664="", "", IF(COUNTIFS(C$3:C663, C664, D$3:D663, D664, G$3:G663, G664) &gt; 0, "", "11:00"-AW664))</f>
        <v/>
      </c>
      <c r="Y664" s="52" t="str">
        <f t="shared" si="98"/>
        <v/>
      </c>
      <c r="Z664" s="53"/>
      <c r="AA664" s="54"/>
      <c r="AB664" s="53"/>
      <c r="AC664" s="54"/>
      <c r="AD664" s="53"/>
      <c r="AE664" s="54"/>
      <c r="AF664" s="53"/>
      <c r="AG664" s="54"/>
      <c r="AH664" s="55">
        <v>4.1666666666666699E-2</v>
      </c>
      <c r="AI664" s="53"/>
      <c r="AJ664" s="54"/>
      <c r="AK664" s="53"/>
      <c r="AL664" s="54"/>
      <c r="AM664" s="53"/>
      <c r="AN664" s="54"/>
      <c r="AO664" s="53"/>
      <c r="AP664" s="54"/>
      <c r="AQ664" s="53"/>
      <c r="AR664" s="54"/>
      <c r="AS664" s="53"/>
      <c r="AT664" s="54"/>
      <c r="AU664" s="53">
        <v>4.1666666666666699E-2</v>
      </c>
      <c r="AV664" s="54" t="s">
        <v>37</v>
      </c>
      <c r="AW664" s="57">
        <f t="shared" si="91"/>
        <v>4.1666666666666699E-2</v>
      </c>
      <c r="AX664" s="58" t="s">
        <v>380</v>
      </c>
    </row>
    <row r="665" spans="1:50" ht="21.75" customHeight="1">
      <c r="A665" s="38" t="s">
        <v>586</v>
      </c>
      <c r="B665" s="39">
        <f t="shared" si="99"/>
        <v>661</v>
      </c>
      <c r="C665" s="40">
        <v>46038</v>
      </c>
      <c r="D665" s="40" t="s">
        <v>32</v>
      </c>
      <c r="E665" s="40" t="s">
        <v>81</v>
      </c>
      <c r="F665" s="41">
        <v>201</v>
      </c>
      <c r="G665" s="42" t="s">
        <v>108</v>
      </c>
      <c r="H665" s="43" t="str">
        <f>IFERROR(VLOOKUP($J665,'[9]FROM (3)'!$E$4:$F$230,2,FALSE),"")</f>
        <v>SIAM NSK</v>
      </c>
      <c r="I665" s="44" t="str">
        <f t="shared" si="96"/>
        <v>SHAFT SPLINE</v>
      </c>
      <c r="J665" s="44" t="str">
        <f t="shared" si="97"/>
        <v>2528S0251P</v>
      </c>
      <c r="K665" s="59" t="str">
        <f t="shared" si="94"/>
        <v>PD26010336</v>
      </c>
      <c r="L665" s="46" t="str" cm="1">
        <f t="array" ref="L665">IFERROR(_xlfn.IFS(
    LEN($A665)-LEN(SUBSTITUTE($A665,"|",""))=12, RIGHT(A665, LEN(A665)-FIND("~", SUBSTITUTE(A665,"|","~", LEN(A665)-LEN(SUBSTITUTE(A665,"|",""))))),
    LEN($A665)-LEN(SUBSTITUTE($A665,"|",""))=13, MID($A665, FIND("~", SUBSTITUTE($A665,"|","~", 11))+1, FIND("~", SUBSTITUTE($A665,"|","~", 12))-FIND("~", SUBSTITUTE($A665,"|","~", 11))-1),
    LEN($A665)-LEN(SUBSTITUTE($A665,"|",""))=14, MID($A665, FIND("~", SUBSTITUTE($A665,"|","~", 11))+1, FIND("~", SUBSTITUTE($A665,"|","~", 12))-FIND("~", SUBSTITUTE($A665,"|","~", 11))-1)
), "")</f>
        <v>SF92937</v>
      </c>
      <c r="M665" s="47" t="str">
        <f t="shared" si="93"/>
        <v>SB010014/2/26</v>
      </c>
      <c r="N665" s="46" t="str">
        <f t="shared" si="95"/>
        <v/>
      </c>
      <c r="O665" s="60" t="s">
        <v>35</v>
      </c>
      <c r="P665" s="60" t="s">
        <v>35</v>
      </c>
      <c r="Q665" s="48">
        <v>311</v>
      </c>
      <c r="R665" s="48">
        <v>154</v>
      </c>
      <c r="S665" s="48"/>
      <c r="T665" s="48"/>
      <c r="U665" s="49"/>
      <c r="V665" s="49"/>
      <c r="W665" s="50">
        <f t="shared" si="92"/>
        <v>0</v>
      </c>
      <c r="X665" s="51">
        <f>IF(A665="", "", IF(COUNTIFS(C$3:C664, C665, D$3:D664, D665, G$3:G664, G665) &gt; 0, "", "11:00"-AW665))</f>
        <v>0.41666666666666663</v>
      </c>
      <c r="Y665" s="52" t="str">
        <f t="shared" si="98"/>
        <v>1:40</v>
      </c>
      <c r="Z665" s="53"/>
      <c r="AA665" s="54"/>
      <c r="AB665" s="53"/>
      <c r="AC665" s="54"/>
      <c r="AD665" s="53"/>
      <c r="AE665" s="54"/>
      <c r="AF665" s="53"/>
      <c r="AG665" s="54"/>
      <c r="AH665" s="55">
        <v>4.1666666666666699E-2</v>
      </c>
      <c r="AI665" s="53"/>
      <c r="AJ665" s="54"/>
      <c r="AK665" s="53"/>
      <c r="AL665" s="54"/>
      <c r="AM665" s="53"/>
      <c r="AN665" s="54"/>
      <c r="AO665" s="53"/>
      <c r="AP665" s="54"/>
      <c r="AQ665" s="53"/>
      <c r="AR665" s="54"/>
      <c r="AS665" s="53"/>
      <c r="AT665" s="54"/>
      <c r="AU665" s="53">
        <v>4.1666666666666699E-2</v>
      </c>
      <c r="AV665" s="54" t="s">
        <v>37</v>
      </c>
      <c r="AW665" s="57">
        <f t="shared" si="91"/>
        <v>4.1666666666666699E-2</v>
      </c>
      <c r="AX665" s="58"/>
    </row>
    <row r="666" spans="1:50" ht="21.75" customHeight="1">
      <c r="A666" s="38" t="s">
        <v>613</v>
      </c>
      <c r="B666" s="39">
        <f t="shared" si="99"/>
        <v>662</v>
      </c>
      <c r="C666" s="40">
        <v>46038</v>
      </c>
      <c r="D666" s="40" t="s">
        <v>32</v>
      </c>
      <c r="E666" s="40" t="s">
        <v>81</v>
      </c>
      <c r="F666" s="41">
        <v>201</v>
      </c>
      <c r="G666" s="42" t="s">
        <v>108</v>
      </c>
      <c r="H666" s="43" t="str">
        <f>IFERROR(VLOOKUP($J666,'[9]FROM (3)'!$E$4:$F$230,2,FALSE),"")</f>
        <v>SIAM NSK</v>
      </c>
      <c r="I666" s="44" t="str">
        <f t="shared" si="96"/>
        <v>SHAFT SPLINE</v>
      </c>
      <c r="J666" s="44" t="str">
        <f t="shared" si="97"/>
        <v>2528S0251P</v>
      </c>
      <c r="K666" s="59" t="str">
        <f t="shared" si="94"/>
        <v>PD26010336</v>
      </c>
      <c r="L666" s="46" t="str" cm="1">
        <f t="array" ref="L666">IFERROR(_xlfn.IFS(
    LEN($A666)-LEN(SUBSTITUTE($A666,"|",""))=12, RIGHT(A666, LEN(A666)-FIND("~", SUBSTITUTE(A666,"|","~", LEN(A666)-LEN(SUBSTITUTE(A666,"|",""))))),
    LEN($A666)-LEN(SUBSTITUTE($A666,"|",""))=13, MID($A666, FIND("~", SUBSTITUTE($A666,"|","~", 11))+1, FIND("~", SUBSTITUTE($A666,"|","~", 12))-FIND("~", SUBSTITUTE($A666,"|","~", 11))-1),
    LEN($A666)-LEN(SUBSTITUTE($A666,"|",""))=14, MID($A666, FIND("~", SUBSTITUTE($A666,"|","~", 11))+1, FIND("~", SUBSTITUTE($A666,"|","~", 12))-FIND("~", SUBSTITUTE($A666,"|","~", 11))-1)
), "")</f>
        <v>SF92937</v>
      </c>
      <c r="M666" s="47" t="str">
        <f t="shared" si="93"/>
        <v>SB010014/1/26</v>
      </c>
      <c r="N666" s="46" t="str">
        <f t="shared" si="95"/>
        <v/>
      </c>
      <c r="O666" s="60">
        <v>90</v>
      </c>
      <c r="P666" s="60">
        <v>984</v>
      </c>
      <c r="Q666" s="48">
        <v>1869</v>
      </c>
      <c r="R666" s="48">
        <v>925</v>
      </c>
      <c r="S666" s="48"/>
      <c r="T666" s="48"/>
      <c r="U666" s="49">
        <v>75</v>
      </c>
      <c r="V666" s="49">
        <v>20</v>
      </c>
      <c r="W666" s="50">
        <f t="shared" si="92"/>
        <v>95</v>
      </c>
      <c r="X666" s="51" t="str">
        <f>IF(A666="", "", IF(COUNTIFS(C$3:C665, C666, D$3:D665, D666, G$3:G665, G666) &gt; 0, "", "11:00"-AW666))</f>
        <v/>
      </c>
      <c r="Y666" s="52" t="str">
        <f t="shared" si="98"/>
        <v/>
      </c>
      <c r="Z666" s="53"/>
      <c r="AA666" s="54"/>
      <c r="AB666" s="53"/>
      <c r="AC666" s="54"/>
      <c r="AD666" s="53"/>
      <c r="AE666" s="54"/>
      <c r="AF666" s="53"/>
      <c r="AG666" s="54"/>
      <c r="AH666" s="55">
        <v>4.1666666666666699E-2</v>
      </c>
      <c r="AI666" s="53"/>
      <c r="AJ666" s="54"/>
      <c r="AK666" s="53"/>
      <c r="AL666" s="54" t="s">
        <v>614</v>
      </c>
      <c r="AM666" s="53"/>
      <c r="AN666" s="54"/>
      <c r="AO666" s="53"/>
      <c r="AP666" s="54"/>
      <c r="AQ666" s="53"/>
      <c r="AR666" s="54"/>
      <c r="AS666" s="53"/>
      <c r="AT666" s="54"/>
      <c r="AU666" s="53">
        <v>4.1666666666666699E-2</v>
      </c>
      <c r="AV666" s="54" t="s">
        <v>37</v>
      </c>
      <c r="AW666" s="57">
        <f t="shared" si="91"/>
        <v>4.1666666666666699E-2</v>
      </c>
      <c r="AX666" s="58"/>
    </row>
    <row r="667" spans="1:50" ht="21.75" customHeight="1">
      <c r="A667" s="38" t="s">
        <v>615</v>
      </c>
      <c r="B667" s="39">
        <f t="shared" si="99"/>
        <v>663</v>
      </c>
      <c r="C667" s="40">
        <v>46038</v>
      </c>
      <c r="D667" s="40" t="s">
        <v>32</v>
      </c>
      <c r="E667" s="40" t="s">
        <v>81</v>
      </c>
      <c r="F667" s="41">
        <v>201</v>
      </c>
      <c r="G667" s="42" t="s">
        <v>108</v>
      </c>
      <c r="H667" s="43" t="str">
        <f>IFERROR(VLOOKUP($J667,'[9]FROM (3)'!$E$4:$F$230,2,FALSE),"")</f>
        <v>SIAM NSK</v>
      </c>
      <c r="I667" s="44" t="str">
        <f t="shared" si="96"/>
        <v>SHAFT SPLINE</v>
      </c>
      <c r="J667" s="44" t="str">
        <f t="shared" si="97"/>
        <v>2528S0251P</v>
      </c>
      <c r="K667" s="59" t="str">
        <f t="shared" si="94"/>
        <v>PD26010337</v>
      </c>
      <c r="L667" s="46" t="str" cm="1">
        <f t="array" ref="L667">IFERROR(_xlfn.IFS(
    LEN($A667)-LEN(SUBSTITUTE($A667,"|",""))=12, RIGHT(A667, LEN(A667)-FIND("~", SUBSTITUTE(A667,"|","~", LEN(A667)-LEN(SUBSTITUTE(A667,"|",""))))),
    LEN($A667)-LEN(SUBSTITUTE($A667,"|",""))=13, MID($A667, FIND("~", SUBSTITUTE($A667,"|","~", 11))+1, FIND("~", SUBSTITUTE($A667,"|","~", 12))-FIND("~", SUBSTITUTE($A667,"|","~", 11))-1),
    LEN($A667)-LEN(SUBSTITUTE($A667,"|",""))=14, MID($A667, FIND("~", SUBSTITUTE($A667,"|","~", 11))+1, FIND("~", SUBSTITUTE($A667,"|","~", 12))-FIND("~", SUBSTITUTE($A667,"|","~", 11))-1)
), "")</f>
        <v>SF92937</v>
      </c>
      <c r="M667" s="47" t="str">
        <f t="shared" si="93"/>
        <v>SB010014/3/26</v>
      </c>
      <c r="N667" s="46" t="str">
        <f t="shared" si="95"/>
        <v/>
      </c>
      <c r="O667" s="60">
        <v>91</v>
      </c>
      <c r="P667" s="60">
        <v>994</v>
      </c>
      <c r="Q667" s="48">
        <v>1838</v>
      </c>
      <c r="R667" s="48">
        <v>910</v>
      </c>
      <c r="S667" s="48"/>
      <c r="T667" s="48"/>
      <c r="U667" s="49"/>
      <c r="V667" s="49"/>
      <c r="W667" s="50">
        <f t="shared" si="92"/>
        <v>0</v>
      </c>
      <c r="X667" s="51" t="str">
        <f>IF(A667="", "", IF(COUNTIFS(C$3:C666, C667, D$3:D666, D667, G$3:G666, G667) &gt; 0, "", "11:00"-AW667))</f>
        <v/>
      </c>
      <c r="Y667" s="52" t="str">
        <f t="shared" si="98"/>
        <v/>
      </c>
      <c r="Z667" s="53"/>
      <c r="AA667" s="54"/>
      <c r="AB667" s="53"/>
      <c r="AC667" s="54"/>
      <c r="AD667" s="53"/>
      <c r="AE667" s="54"/>
      <c r="AF667" s="53"/>
      <c r="AG667" s="54"/>
      <c r="AH667" s="55">
        <v>4.1666666666666699E-2</v>
      </c>
      <c r="AI667" s="53"/>
      <c r="AJ667" s="54"/>
      <c r="AK667" s="53"/>
      <c r="AL667" s="54"/>
      <c r="AM667" s="53"/>
      <c r="AN667" s="54"/>
      <c r="AO667" s="53"/>
      <c r="AP667" s="54"/>
      <c r="AQ667" s="53"/>
      <c r="AR667" s="54"/>
      <c r="AS667" s="53"/>
      <c r="AT667" s="54"/>
      <c r="AU667" s="53">
        <v>4.1666666666666699E-2</v>
      </c>
      <c r="AV667" s="54" t="s">
        <v>37</v>
      </c>
      <c r="AW667" s="57">
        <f t="shared" si="91"/>
        <v>4.1666666666666699E-2</v>
      </c>
      <c r="AX667" s="58"/>
    </row>
    <row r="668" spans="1:50" ht="21.75" customHeight="1">
      <c r="A668" s="38" t="s">
        <v>577</v>
      </c>
      <c r="B668" s="39">
        <f t="shared" si="99"/>
        <v>664</v>
      </c>
      <c r="C668" s="40">
        <v>46038</v>
      </c>
      <c r="D668" s="40" t="s">
        <v>32</v>
      </c>
      <c r="E668" s="40" t="s">
        <v>81</v>
      </c>
      <c r="F668" s="41">
        <v>719.6</v>
      </c>
      <c r="G668" s="42" t="s">
        <v>75</v>
      </c>
      <c r="H668" s="43" t="str">
        <f>IFERROR(VLOOKUP($J668,'[9]FROM (3)'!$E$4:$F$230,2,FALSE),"")</f>
        <v>JAMY</v>
      </c>
      <c r="I668" s="44" t="str">
        <f t="shared" si="96"/>
        <v>RACK BAR</v>
      </c>
      <c r="J668" s="44" t="str">
        <f t="shared" si="97"/>
        <v>JGD10S000830-51-0</v>
      </c>
      <c r="K668" s="59" t="str">
        <f t="shared" si="94"/>
        <v>PD26010675</v>
      </c>
      <c r="L668" s="46" t="str" cm="1">
        <f t="array" ref="L668">IFERROR(_xlfn.IFS(
    LEN($A668)-LEN(SUBSTITUTE($A668,"|",""))=12, RIGHT(A668, LEN(A668)-FIND("~", SUBSTITUTE(A668,"|","~", LEN(A668)-LEN(SUBSTITUTE(A668,"|",""))))),
    LEN($A668)-LEN(SUBSTITUTE($A668,"|",""))=13, MID($A668, FIND("~", SUBSTITUTE($A668,"|","~", 11))+1, FIND("~", SUBSTITUTE($A668,"|","~", 12))-FIND("~", SUBSTITUTE($A668,"|","~", 11))-1),
    LEN($A668)-LEN(SUBSTITUTE($A668,"|",""))=14, MID($A668, FIND("~", SUBSTITUTE($A668,"|","~", 11))+1, FIND("~", SUBSTITUTE($A668,"|","~", 12))-FIND("~", SUBSTITUTE($A668,"|","~", 11))-1)
), "")</f>
        <v>E586442</v>
      </c>
      <c r="M668" s="47" t="str">
        <f t="shared" si="93"/>
        <v>SB010073/6/26</v>
      </c>
      <c r="N668" s="46" t="str">
        <f t="shared" si="95"/>
        <v/>
      </c>
      <c r="O668" s="60">
        <v>0</v>
      </c>
      <c r="P668" s="60">
        <v>0</v>
      </c>
      <c r="Q668" s="48">
        <v>105</v>
      </c>
      <c r="R668" s="48">
        <v>426</v>
      </c>
      <c r="S668" s="48"/>
      <c r="T668" s="48"/>
      <c r="U668" s="49"/>
      <c r="V668" s="49"/>
      <c r="W668" s="50">
        <f t="shared" si="92"/>
        <v>0</v>
      </c>
      <c r="X668" s="51">
        <f>IF(A668="", "", IF(COUNTIFS(C$3:C667, C668, D$3:D667, D668, G$3:G667, G668) &gt; 0, "", "11:00"-AW668))</f>
        <v>0.41666666666666663</v>
      </c>
      <c r="Y668" s="52" t="str">
        <f t="shared" si="98"/>
        <v>1:40</v>
      </c>
      <c r="Z668" s="53"/>
      <c r="AA668" s="54"/>
      <c r="AB668" s="53"/>
      <c r="AC668" s="54"/>
      <c r="AD668" s="53"/>
      <c r="AE668" s="54"/>
      <c r="AF668" s="53"/>
      <c r="AG668" s="54"/>
      <c r="AH668" s="55">
        <v>4.1666666666666699E-2</v>
      </c>
      <c r="AI668" s="53"/>
      <c r="AJ668" s="54"/>
      <c r="AK668" s="53"/>
      <c r="AL668" s="54" t="s">
        <v>122</v>
      </c>
      <c r="AM668" s="53"/>
      <c r="AN668" s="54"/>
      <c r="AO668" s="53"/>
      <c r="AP668" s="54"/>
      <c r="AQ668" s="53"/>
      <c r="AR668" s="54"/>
      <c r="AS668" s="53"/>
      <c r="AT668" s="54"/>
      <c r="AU668" s="53">
        <v>4.1666666666666699E-2</v>
      </c>
      <c r="AV668" s="54" t="s">
        <v>37</v>
      </c>
      <c r="AW668" s="57">
        <f t="shared" si="91"/>
        <v>4.1666666666666699E-2</v>
      </c>
      <c r="AX668" s="58" t="s">
        <v>77</v>
      </c>
    </row>
    <row r="669" spans="1:50" ht="21.75" customHeight="1">
      <c r="A669" s="38" t="s">
        <v>616</v>
      </c>
      <c r="B669" s="39">
        <f t="shared" si="99"/>
        <v>665</v>
      </c>
      <c r="C669" s="40">
        <v>46038</v>
      </c>
      <c r="D669" s="40" t="s">
        <v>32</v>
      </c>
      <c r="E669" s="40" t="s">
        <v>81</v>
      </c>
      <c r="F669" s="41">
        <v>719.6</v>
      </c>
      <c r="G669" s="42" t="s">
        <v>75</v>
      </c>
      <c r="H669" s="43" t="str">
        <f>IFERROR(VLOOKUP($J669,'[9]FROM (3)'!$E$4:$F$230,2,FALSE),"")</f>
        <v>JAMY</v>
      </c>
      <c r="I669" s="44" t="str">
        <f t="shared" si="96"/>
        <v>RACK BAR</v>
      </c>
      <c r="J669" s="44" t="str">
        <f t="shared" si="97"/>
        <v>JGD10S000830-51-0</v>
      </c>
      <c r="K669" s="59" t="str">
        <f t="shared" si="94"/>
        <v>PD26010675</v>
      </c>
      <c r="L669" s="46" t="str" cm="1">
        <f t="array" ref="L669">IFERROR(_xlfn.IFS(
    LEN($A669)-LEN(SUBSTITUTE($A669,"|",""))=12, RIGHT(A669, LEN(A669)-FIND("~", SUBSTITUTE(A669,"|","~", LEN(A669)-LEN(SUBSTITUTE(A669,"|",""))))),
    LEN($A669)-LEN(SUBSTITUTE($A669,"|",""))=13, MID($A669, FIND("~", SUBSTITUTE($A669,"|","~", 11))+1, FIND("~", SUBSTITUTE($A669,"|","~", 12))-FIND("~", SUBSTITUTE($A669,"|","~", 11))-1),
    LEN($A669)-LEN(SUBSTITUTE($A669,"|",""))=14, MID($A669, FIND("~", SUBSTITUTE($A669,"|","~", 11))+1, FIND("~", SUBSTITUTE($A669,"|","~", 12))-FIND("~", SUBSTITUTE($A669,"|","~", 11))-1)
), "")</f>
        <v>E586442</v>
      </c>
      <c r="M669" s="47" t="str">
        <f t="shared" si="93"/>
        <v>SB010073/5/26</v>
      </c>
      <c r="N669" s="46" t="str">
        <f t="shared" si="95"/>
        <v/>
      </c>
      <c r="O669" s="60">
        <v>50</v>
      </c>
      <c r="P669" s="60">
        <v>864</v>
      </c>
      <c r="Q669" s="48">
        <v>200</v>
      </c>
      <c r="R669" s="48">
        <v>812</v>
      </c>
      <c r="S669" s="48"/>
      <c r="T669" s="48"/>
      <c r="U669" s="49"/>
      <c r="V669" s="49"/>
      <c r="W669" s="50">
        <f t="shared" si="92"/>
        <v>0</v>
      </c>
      <c r="X669" s="51" t="str">
        <f>IF(A669="", "", IF(COUNTIFS(C$3:C668, C669, D$3:D668, D669, G$3:G668, G669) &gt; 0, "", "11:00"-AW669))</f>
        <v/>
      </c>
      <c r="Y669" s="52" t="str">
        <f t="shared" si="98"/>
        <v/>
      </c>
      <c r="Z669" s="53"/>
      <c r="AA669" s="54"/>
      <c r="AB669" s="53"/>
      <c r="AC669" s="54"/>
      <c r="AD669" s="53"/>
      <c r="AE669" s="54"/>
      <c r="AF669" s="53"/>
      <c r="AG669" s="54"/>
      <c r="AH669" s="55">
        <v>4.1666666666666699E-2</v>
      </c>
      <c r="AI669" s="53"/>
      <c r="AJ669" s="54"/>
      <c r="AK669" s="53"/>
      <c r="AL669" s="54"/>
      <c r="AM669" s="53"/>
      <c r="AN669" s="54"/>
      <c r="AO669" s="53"/>
      <c r="AP669" s="54"/>
      <c r="AQ669" s="53"/>
      <c r="AR669" s="54"/>
      <c r="AS669" s="53"/>
      <c r="AT669" s="54"/>
      <c r="AU669" s="53">
        <v>4.1666666666666699E-2</v>
      </c>
      <c r="AV669" s="54" t="s">
        <v>37</v>
      </c>
      <c r="AW669" s="57">
        <f t="shared" si="91"/>
        <v>4.1666666666666699E-2</v>
      </c>
      <c r="AX669" s="58" t="s">
        <v>77</v>
      </c>
    </row>
    <row r="670" spans="1:50" ht="21.75" customHeight="1">
      <c r="A670" s="38" t="s">
        <v>617</v>
      </c>
      <c r="B670" s="39">
        <f t="shared" si="99"/>
        <v>666</v>
      </c>
      <c r="C670" s="40">
        <v>46038</v>
      </c>
      <c r="D670" s="40" t="s">
        <v>32</v>
      </c>
      <c r="E670" s="40" t="s">
        <v>81</v>
      </c>
      <c r="F670" s="41">
        <v>719.6</v>
      </c>
      <c r="G670" s="42" t="s">
        <v>75</v>
      </c>
      <c r="H670" s="43" t="str">
        <f>IFERROR(VLOOKUP($J670,'[9]FROM (3)'!$E$4:$F$230,2,FALSE),"")</f>
        <v>JAMY</v>
      </c>
      <c r="I670" s="44" t="str">
        <f t="shared" si="96"/>
        <v>RACK BAR</v>
      </c>
      <c r="J670" s="44" t="str">
        <f t="shared" si="97"/>
        <v>JGD10S000830-51-0</v>
      </c>
      <c r="K670" s="59" t="str">
        <f t="shared" si="94"/>
        <v>PD26010675</v>
      </c>
      <c r="L670" s="46" t="str" cm="1">
        <f t="array" ref="L670">IFERROR(_xlfn.IFS(
    LEN($A670)-LEN(SUBSTITUTE($A670,"|",""))=12, RIGHT(A670, LEN(A670)-FIND("~", SUBSTITUTE(A670,"|","~", LEN(A670)-LEN(SUBSTITUTE(A670,"|",""))))),
    LEN($A670)-LEN(SUBSTITUTE($A670,"|",""))=13, MID($A670, FIND("~", SUBSTITUTE($A670,"|","~", 11))+1, FIND("~", SUBSTITUTE($A670,"|","~", 12))-FIND("~", SUBSTITUTE($A670,"|","~", 11))-1),
    LEN($A670)-LEN(SUBSTITUTE($A670,"|",""))=14, MID($A670, FIND("~", SUBSTITUTE($A670,"|","~", 11))+1, FIND("~", SUBSTITUTE($A670,"|","~", 12))-FIND("~", SUBSTITUTE($A670,"|","~", 11))-1)
), "")</f>
        <v>E586442</v>
      </c>
      <c r="M670" s="47" t="str">
        <f t="shared" si="93"/>
        <v>SB010073/4/26</v>
      </c>
      <c r="N670" s="46" t="str">
        <f t="shared" si="95"/>
        <v/>
      </c>
      <c r="O670" s="60">
        <v>50</v>
      </c>
      <c r="P670" s="60">
        <v>864</v>
      </c>
      <c r="Q670" s="48">
        <v>200</v>
      </c>
      <c r="R670" s="48">
        <v>812</v>
      </c>
      <c r="S670" s="48"/>
      <c r="T670" s="48"/>
      <c r="U670" s="49">
        <v>139</v>
      </c>
      <c r="V670" s="49">
        <v>8</v>
      </c>
      <c r="W670" s="50">
        <f t="shared" si="92"/>
        <v>147</v>
      </c>
      <c r="X670" s="51" t="str">
        <f>IF(A670="", "", IF(COUNTIFS(C$3:C669, C670, D$3:D669, D670, G$3:G669, G670) &gt; 0, "", "11:00"-AW670))</f>
        <v/>
      </c>
      <c r="Y670" s="52" t="str">
        <f t="shared" si="98"/>
        <v/>
      </c>
      <c r="Z670" s="53"/>
      <c r="AA670" s="54"/>
      <c r="AB670" s="53"/>
      <c r="AC670" s="54"/>
      <c r="AD670" s="53"/>
      <c r="AE670" s="54"/>
      <c r="AF670" s="53"/>
      <c r="AG670" s="54"/>
      <c r="AH670" s="55">
        <v>4.1666666666666699E-2</v>
      </c>
      <c r="AI670" s="53"/>
      <c r="AJ670" s="54"/>
      <c r="AK670" s="53"/>
      <c r="AL670" s="54"/>
      <c r="AM670" s="53"/>
      <c r="AN670" s="54"/>
      <c r="AO670" s="53"/>
      <c r="AP670" s="54"/>
      <c r="AQ670" s="53"/>
      <c r="AR670" s="54"/>
      <c r="AS670" s="53"/>
      <c r="AT670" s="54"/>
      <c r="AU670" s="53">
        <v>4.1666666666666699E-2</v>
      </c>
      <c r="AV670" s="54" t="s">
        <v>37</v>
      </c>
      <c r="AW670" s="57">
        <f t="shared" ref="AW670:AW733" si="100">SUM(Z670,AB670,AD670,AF670,AI670,AK670,AM670,AO670,AQ670,AS670,AU670)</f>
        <v>4.1666666666666699E-2</v>
      </c>
      <c r="AX670" s="58" t="s">
        <v>77</v>
      </c>
    </row>
    <row r="671" spans="1:50" ht="21.75" customHeight="1">
      <c r="A671" s="38" t="s">
        <v>618</v>
      </c>
      <c r="B671" s="39">
        <f t="shared" si="99"/>
        <v>667</v>
      </c>
      <c r="C671" s="40">
        <v>46038</v>
      </c>
      <c r="D671" s="40" t="s">
        <v>32</v>
      </c>
      <c r="E671" s="40" t="s">
        <v>81</v>
      </c>
      <c r="F671" s="41">
        <v>719.6</v>
      </c>
      <c r="G671" s="42" t="s">
        <v>75</v>
      </c>
      <c r="H671" s="43" t="str">
        <f>IFERROR(VLOOKUP($J671,'[9]FROM (3)'!$E$4:$F$230,2,FALSE),"")</f>
        <v>JAMY</v>
      </c>
      <c r="I671" s="44" t="str">
        <f t="shared" si="96"/>
        <v>RACK BAR</v>
      </c>
      <c r="J671" s="44" t="str">
        <f t="shared" si="97"/>
        <v>JGD10S000830-51-0</v>
      </c>
      <c r="K671" s="59" t="str">
        <f t="shared" si="94"/>
        <v>PD26010674</v>
      </c>
      <c r="L671" s="46" t="str" cm="1">
        <f t="array" ref="L671">IFERROR(_xlfn.IFS(
    LEN($A671)-LEN(SUBSTITUTE($A671,"|",""))=12, RIGHT(A671, LEN(A671)-FIND("~", SUBSTITUTE(A671,"|","~", LEN(A671)-LEN(SUBSTITUTE(A671,"|",""))))),
    LEN($A671)-LEN(SUBSTITUTE($A671,"|",""))=13, MID($A671, FIND("~", SUBSTITUTE($A671,"|","~", 11))+1, FIND("~", SUBSTITUTE($A671,"|","~", 12))-FIND("~", SUBSTITUTE($A671,"|","~", 11))-1),
    LEN($A671)-LEN(SUBSTITUTE($A671,"|",""))=14, MID($A671, FIND("~", SUBSTITUTE($A671,"|","~", 11))+1, FIND("~", SUBSTITUTE($A671,"|","~", 12))-FIND("~", SUBSTITUTE($A671,"|","~", 11))-1)
), "")</f>
        <v>E586442</v>
      </c>
      <c r="M671" s="47" t="str">
        <f t="shared" si="93"/>
        <v>SB010073/1/26</v>
      </c>
      <c r="N671" s="46" t="str">
        <f t="shared" si="95"/>
        <v/>
      </c>
      <c r="O671" s="60">
        <v>50</v>
      </c>
      <c r="P671" s="60">
        <v>864</v>
      </c>
      <c r="Q671" s="48">
        <v>198</v>
      </c>
      <c r="R671" s="48">
        <v>804</v>
      </c>
      <c r="S671" s="48">
        <v>2</v>
      </c>
      <c r="T671" s="48" t="s">
        <v>167</v>
      </c>
      <c r="U671" s="49"/>
      <c r="V671" s="49"/>
      <c r="W671" s="50">
        <f t="shared" si="92"/>
        <v>0</v>
      </c>
      <c r="X671" s="51" t="str">
        <f>IF(A671="", "", IF(COUNTIFS(C$3:C670, C671, D$3:D670, D671, G$3:G670, G671) &gt; 0, "", "11:00"-AW671))</f>
        <v/>
      </c>
      <c r="Y671" s="52" t="str">
        <f t="shared" si="98"/>
        <v/>
      </c>
      <c r="Z671" s="53"/>
      <c r="AA671" s="54"/>
      <c r="AB671" s="53"/>
      <c r="AC671" s="54"/>
      <c r="AD671" s="53"/>
      <c r="AE671" s="54"/>
      <c r="AF671" s="53"/>
      <c r="AG671" s="54"/>
      <c r="AH671" s="55">
        <v>4.1666666666666699E-2</v>
      </c>
      <c r="AI671" s="53"/>
      <c r="AJ671" s="54"/>
      <c r="AK671" s="53"/>
      <c r="AL671" s="54"/>
      <c r="AM671" s="53"/>
      <c r="AN671" s="54"/>
      <c r="AO671" s="53"/>
      <c r="AP671" s="54"/>
      <c r="AQ671" s="53"/>
      <c r="AR671" s="54"/>
      <c r="AS671" s="53"/>
      <c r="AT671" s="54"/>
      <c r="AU671" s="53">
        <v>4.1666666666666699E-2</v>
      </c>
      <c r="AV671" s="54" t="s">
        <v>37</v>
      </c>
      <c r="AW671" s="57">
        <f t="shared" si="100"/>
        <v>4.1666666666666699E-2</v>
      </c>
      <c r="AX671" s="15" t="s">
        <v>77</v>
      </c>
    </row>
    <row r="672" spans="1:50" ht="21.75" customHeight="1">
      <c r="A672" s="38" t="s">
        <v>619</v>
      </c>
      <c r="B672" s="39">
        <f t="shared" si="99"/>
        <v>668</v>
      </c>
      <c r="C672" s="40">
        <v>46038</v>
      </c>
      <c r="D672" s="40" t="s">
        <v>32</v>
      </c>
      <c r="E672" s="40" t="s">
        <v>81</v>
      </c>
      <c r="F672" s="41">
        <v>719.6</v>
      </c>
      <c r="G672" s="42" t="s">
        <v>75</v>
      </c>
      <c r="H672" s="43" t="str">
        <f>IFERROR(VLOOKUP($J672,'[9]FROM (3)'!$E$4:$F$230,2,FALSE),"")</f>
        <v>JAMY</v>
      </c>
      <c r="I672" s="44" t="str">
        <f t="shared" si="96"/>
        <v>RACK BAR</v>
      </c>
      <c r="J672" s="44" t="str">
        <f t="shared" si="97"/>
        <v>JGD10S000830-51-0</v>
      </c>
      <c r="K672" s="59" t="str">
        <f t="shared" si="94"/>
        <v>PD26010674</v>
      </c>
      <c r="L672" s="46" t="str" cm="1">
        <f t="array" ref="L672">IFERROR(_xlfn.IFS(
    LEN($A672)-LEN(SUBSTITUTE($A672,"|",""))=12, RIGHT(A672, LEN(A672)-FIND("~", SUBSTITUTE(A672,"|","~", LEN(A672)-LEN(SUBSTITUTE(A672,"|",""))))),
    LEN($A672)-LEN(SUBSTITUTE($A672,"|",""))=13, MID($A672, FIND("~", SUBSTITUTE($A672,"|","~", 11))+1, FIND("~", SUBSTITUTE($A672,"|","~", 12))-FIND("~", SUBSTITUTE($A672,"|","~", 11))-1),
    LEN($A672)-LEN(SUBSTITUTE($A672,"|",""))=14, MID($A672, FIND("~", SUBSTITUTE($A672,"|","~", 11))+1, FIND("~", SUBSTITUTE($A672,"|","~", 12))-FIND("~", SUBSTITUTE($A672,"|","~", 11))-1)
), "")</f>
        <v>E586442</v>
      </c>
      <c r="M672" s="47" t="str">
        <f t="shared" si="93"/>
        <v>SB010073/3/26</v>
      </c>
      <c r="N672" s="46" t="str">
        <f t="shared" si="95"/>
        <v/>
      </c>
      <c r="O672" s="60">
        <v>50</v>
      </c>
      <c r="P672" s="60">
        <v>864</v>
      </c>
      <c r="Q672" s="48">
        <v>200</v>
      </c>
      <c r="R672" s="48">
        <v>812</v>
      </c>
      <c r="S672" s="48"/>
      <c r="T672" s="48"/>
      <c r="U672" s="49"/>
      <c r="V672" s="49"/>
      <c r="W672" s="50">
        <f t="shared" si="92"/>
        <v>0</v>
      </c>
      <c r="X672" s="51" t="str">
        <f>IF(A672="", "", IF(COUNTIFS(C$3:C671, C672, D$3:D671, D672, G$3:G671, G672) &gt; 0, "", "11:00"-AW672))</f>
        <v/>
      </c>
      <c r="Y672" s="52" t="str">
        <f t="shared" si="98"/>
        <v/>
      </c>
      <c r="Z672" s="53"/>
      <c r="AA672" s="54"/>
      <c r="AB672" s="53"/>
      <c r="AC672" s="54"/>
      <c r="AD672" s="53"/>
      <c r="AE672" s="54"/>
      <c r="AF672" s="53"/>
      <c r="AG672" s="54"/>
      <c r="AH672" s="55">
        <v>4.1666666666666699E-2</v>
      </c>
      <c r="AI672" s="53"/>
      <c r="AJ672" s="54"/>
      <c r="AK672" s="53"/>
      <c r="AL672" s="54"/>
      <c r="AM672" s="53"/>
      <c r="AN672" s="54"/>
      <c r="AO672" s="53"/>
      <c r="AP672" s="54"/>
      <c r="AQ672" s="53"/>
      <c r="AR672" s="54"/>
      <c r="AS672" s="53"/>
      <c r="AT672" s="54"/>
      <c r="AU672" s="53">
        <v>4.1666666666666699E-2</v>
      </c>
      <c r="AV672" s="54" t="s">
        <v>37</v>
      </c>
      <c r="AW672" s="57">
        <f t="shared" si="100"/>
        <v>4.1666666666666699E-2</v>
      </c>
      <c r="AX672" s="58" t="s">
        <v>77</v>
      </c>
    </row>
    <row r="673" spans="1:50" ht="21.75" customHeight="1">
      <c r="A673" s="38" t="s">
        <v>620</v>
      </c>
      <c r="B673" s="39">
        <f t="shared" si="99"/>
        <v>669</v>
      </c>
      <c r="C673" s="40">
        <v>46038</v>
      </c>
      <c r="D673" s="40" t="s">
        <v>32</v>
      </c>
      <c r="E673" s="40" t="s">
        <v>81</v>
      </c>
      <c r="F673" s="41">
        <v>719.6</v>
      </c>
      <c r="G673" s="42" t="s">
        <v>75</v>
      </c>
      <c r="H673" s="43" t="str">
        <f>IFERROR(VLOOKUP($J673,'[9]FROM (3)'!$E$4:$F$230,2,FALSE),"")</f>
        <v>JAMY</v>
      </c>
      <c r="I673" s="44" t="str">
        <f t="shared" si="96"/>
        <v>RACK BAR</v>
      </c>
      <c r="J673" s="44" t="str">
        <f t="shared" si="97"/>
        <v>JGD10S000830-51-0</v>
      </c>
      <c r="K673" s="59" t="str">
        <f t="shared" si="94"/>
        <v>PD26010674</v>
      </c>
      <c r="L673" s="46" t="str" cm="1">
        <f t="array" ref="L673">IFERROR(_xlfn.IFS(
    LEN($A673)-LEN(SUBSTITUTE($A673,"|",""))=12, RIGHT(A673, LEN(A673)-FIND("~", SUBSTITUTE(A673,"|","~", LEN(A673)-LEN(SUBSTITUTE(A673,"|",""))))),
    LEN($A673)-LEN(SUBSTITUTE($A673,"|",""))=13, MID($A673, FIND("~", SUBSTITUTE($A673,"|","~", 11))+1, FIND("~", SUBSTITUTE($A673,"|","~", 12))-FIND("~", SUBSTITUTE($A673,"|","~", 11))-1),
    LEN($A673)-LEN(SUBSTITUTE($A673,"|",""))=14, MID($A673, FIND("~", SUBSTITUTE($A673,"|","~", 11))+1, FIND("~", SUBSTITUTE($A673,"|","~", 12))-FIND("~", SUBSTITUTE($A673,"|","~", 11))-1)
), "")</f>
        <v>E586442</v>
      </c>
      <c r="M673" s="47" t="str">
        <f t="shared" si="93"/>
        <v>SB010073/2/26</v>
      </c>
      <c r="N673" s="46" t="str">
        <f t="shared" si="95"/>
        <v/>
      </c>
      <c r="O673" s="60">
        <v>50</v>
      </c>
      <c r="P673" s="60">
        <v>864</v>
      </c>
      <c r="Q673" s="48">
        <v>161</v>
      </c>
      <c r="R673" s="48">
        <v>653</v>
      </c>
      <c r="S673" s="48"/>
      <c r="T673" s="48"/>
      <c r="U673" s="49"/>
      <c r="V673" s="49"/>
      <c r="W673" s="50">
        <f t="shared" si="92"/>
        <v>0</v>
      </c>
      <c r="X673" s="51" t="str">
        <f>IF(A673="", "", IF(COUNTIFS(C$3:C672, C673, D$3:D672, D673, G$3:G672, G673) &gt; 0, "", "11:00"-AW673))</f>
        <v/>
      </c>
      <c r="Y673" s="52" t="str">
        <f t="shared" si="98"/>
        <v/>
      </c>
      <c r="Z673" s="53"/>
      <c r="AA673" s="54"/>
      <c r="AB673" s="53"/>
      <c r="AC673" s="54"/>
      <c r="AD673" s="53"/>
      <c r="AE673" s="54"/>
      <c r="AF673" s="53"/>
      <c r="AG673" s="54"/>
      <c r="AH673" s="55">
        <v>4.1666666666666699E-2</v>
      </c>
      <c r="AI673" s="53"/>
      <c r="AJ673" s="54"/>
      <c r="AK673" s="53"/>
      <c r="AL673" s="54"/>
      <c r="AM673" s="53"/>
      <c r="AN673" s="54"/>
      <c r="AO673" s="53"/>
      <c r="AP673" s="54"/>
      <c r="AQ673" s="53"/>
      <c r="AR673" s="54"/>
      <c r="AS673" s="53"/>
      <c r="AT673" s="54"/>
      <c r="AU673" s="53">
        <v>4.1666666666666699E-2</v>
      </c>
      <c r="AV673" s="54" t="s">
        <v>37</v>
      </c>
      <c r="AW673" s="57">
        <f t="shared" si="100"/>
        <v>4.1666666666666699E-2</v>
      </c>
      <c r="AX673" s="58" t="s">
        <v>77</v>
      </c>
    </row>
    <row r="674" spans="1:50" ht="21.75" customHeight="1">
      <c r="A674" s="38" t="s">
        <v>621</v>
      </c>
      <c r="B674" s="39">
        <f t="shared" si="99"/>
        <v>670</v>
      </c>
      <c r="C674" s="40">
        <v>46038</v>
      </c>
      <c r="D674" s="40" t="s">
        <v>32</v>
      </c>
      <c r="E674" s="40" t="s">
        <v>81</v>
      </c>
      <c r="F674" s="41">
        <v>129.4</v>
      </c>
      <c r="G674" s="42" t="s">
        <v>115</v>
      </c>
      <c r="H674" s="43" t="str">
        <f>IFERROR(VLOOKUP($J674,'[9]FROM (3)'!$E$4:$F$230,2,FALSE),"")</f>
        <v>DNTH</v>
      </c>
      <c r="I674" s="44" t="str">
        <f t="shared" si="96"/>
        <v>SHAFT, 2W</v>
      </c>
      <c r="J674" s="44" t="str">
        <f t="shared" si="97"/>
        <v>TG028383-0090</v>
      </c>
      <c r="K674" s="59" t="str">
        <f t="shared" si="94"/>
        <v>PD25110674</v>
      </c>
      <c r="L674" s="46" t="str" cm="1">
        <f t="array" ref="L674">IFERROR(_xlfn.IFS(
    LEN($A674)-LEN(SUBSTITUTE($A674,"|",""))=12, RIGHT(A674, LEN(A674)-FIND("~", SUBSTITUTE(A674,"|","~", LEN(A674)-LEN(SUBSTITUTE(A674,"|",""))))),
    LEN($A674)-LEN(SUBSTITUTE($A674,"|",""))=13, MID($A674, FIND("~", SUBSTITUTE($A674,"|","~", 11))+1, FIND("~", SUBSTITUTE($A674,"|","~", 12))-FIND("~", SUBSTITUTE($A674,"|","~", 11))-1),
    LEN($A674)-LEN(SUBSTITUTE($A674,"|",""))=14, MID($A674, FIND("~", SUBSTITUTE($A674,"|","~", 11))+1, FIND("~", SUBSTITUTE($A674,"|","~", 12))-FIND("~", SUBSTITUTE($A674,"|","~", 11))-1)
), "")</f>
        <v>E483074</v>
      </c>
      <c r="M674" s="47" t="str">
        <f t="shared" si="93"/>
        <v>FP120382/2/25</v>
      </c>
      <c r="N674" s="46" t="str">
        <f t="shared" si="95"/>
        <v>FP120382/2/25</v>
      </c>
      <c r="O674" s="60">
        <v>1500</v>
      </c>
      <c r="P674" s="60">
        <v>513</v>
      </c>
      <c r="Q674" s="48">
        <v>1500</v>
      </c>
      <c r="R674" s="48">
        <v>513</v>
      </c>
      <c r="S674" s="48"/>
      <c r="T674" s="48"/>
      <c r="U674" s="49"/>
      <c r="V674" s="49"/>
      <c r="W674" s="50">
        <f t="shared" si="92"/>
        <v>0</v>
      </c>
      <c r="X674" s="51">
        <f>IF(A674="", "", IF(COUNTIFS(C$3:C673, C674, D$3:D673, D674, G$3:G673, G674) &gt; 0, "", "11:00"-AW674))</f>
        <v>0.41666666666666663</v>
      </c>
      <c r="Y674" s="52" t="str">
        <f t="shared" si="98"/>
        <v>1:40</v>
      </c>
      <c r="Z674" s="53"/>
      <c r="AA674" s="54"/>
      <c r="AB674" s="53"/>
      <c r="AC674" s="54"/>
      <c r="AD674" s="53"/>
      <c r="AE674" s="54"/>
      <c r="AF674" s="53"/>
      <c r="AG674" s="54"/>
      <c r="AH674" s="55">
        <v>4.1666666666666699E-2</v>
      </c>
      <c r="AI674" s="53"/>
      <c r="AJ674" s="54"/>
      <c r="AK674" s="53"/>
      <c r="AL674" s="54"/>
      <c r="AM674" s="53"/>
      <c r="AN674" s="54"/>
      <c r="AO674" s="53"/>
      <c r="AP674" s="54"/>
      <c r="AQ674" s="53"/>
      <c r="AR674" s="54"/>
      <c r="AS674" s="53"/>
      <c r="AT674" s="54"/>
      <c r="AU674" s="53">
        <v>4.1666666666666699E-2</v>
      </c>
      <c r="AV674" s="54" t="s">
        <v>37</v>
      </c>
      <c r="AW674" s="57">
        <f t="shared" si="100"/>
        <v>4.1666666666666699E-2</v>
      </c>
      <c r="AX674" s="58" t="s">
        <v>64</v>
      </c>
    </row>
    <row r="675" spans="1:50" ht="21.75" customHeight="1">
      <c r="A675" s="38" t="s">
        <v>622</v>
      </c>
      <c r="B675" s="39">
        <f t="shared" si="99"/>
        <v>671</v>
      </c>
      <c r="C675" s="40">
        <v>46038</v>
      </c>
      <c r="D675" s="40" t="s">
        <v>32</v>
      </c>
      <c r="E675" s="40" t="s">
        <v>81</v>
      </c>
      <c r="F675" s="41">
        <v>129.4</v>
      </c>
      <c r="G675" s="42" t="s">
        <v>115</v>
      </c>
      <c r="H675" s="43" t="str">
        <f>IFERROR(VLOOKUP($J675,'[9]FROM (3)'!$E$4:$F$230,2,FALSE),"")</f>
        <v>DNTH</v>
      </c>
      <c r="I675" s="44" t="str">
        <f t="shared" si="96"/>
        <v>SHAFT, 2W</v>
      </c>
      <c r="J675" s="44" t="str">
        <f t="shared" si="97"/>
        <v>TG028383-0090</v>
      </c>
      <c r="K675" s="59" t="str">
        <f t="shared" si="94"/>
        <v>PD25110674</v>
      </c>
      <c r="L675" s="46" t="str" cm="1">
        <f t="array" ref="L675">IFERROR(_xlfn.IFS(
    LEN($A675)-LEN(SUBSTITUTE($A675,"|",""))=12, RIGHT(A675, LEN(A675)-FIND("~", SUBSTITUTE(A675,"|","~", LEN(A675)-LEN(SUBSTITUTE(A675,"|",""))))),
    LEN($A675)-LEN(SUBSTITUTE($A675,"|",""))=13, MID($A675, FIND("~", SUBSTITUTE($A675,"|","~", 11))+1, FIND("~", SUBSTITUTE($A675,"|","~", 12))-FIND("~", SUBSTITUTE($A675,"|","~", 11))-1),
    LEN($A675)-LEN(SUBSTITUTE($A675,"|",""))=14, MID($A675, FIND("~", SUBSTITUTE($A675,"|","~", 11))+1, FIND("~", SUBSTITUTE($A675,"|","~", 12))-FIND("~", SUBSTITUTE($A675,"|","~", 11))-1)
), "")</f>
        <v>E483074</v>
      </c>
      <c r="M675" s="47" t="str">
        <f t="shared" si="93"/>
        <v>FP120382/3/25</v>
      </c>
      <c r="N675" s="46" t="str">
        <f t="shared" si="95"/>
        <v>FP120382/3/25</v>
      </c>
      <c r="O675" s="60">
        <v>1500</v>
      </c>
      <c r="P675" s="60">
        <v>513</v>
      </c>
      <c r="Q675" s="48">
        <v>1500</v>
      </c>
      <c r="R675" s="48">
        <v>513</v>
      </c>
      <c r="S675" s="48"/>
      <c r="T675" s="48"/>
      <c r="U675" s="49"/>
      <c r="V675" s="49"/>
      <c r="W675" s="50">
        <f t="shared" si="92"/>
        <v>0</v>
      </c>
      <c r="X675" s="51" t="str">
        <f>IF(A675="", "", IF(COUNTIFS(C$3:C674, C675, D$3:D674, D675, G$3:G674, G675) &gt; 0, "", "11:00"-AW675))</f>
        <v/>
      </c>
      <c r="Y675" s="52" t="str">
        <f t="shared" si="98"/>
        <v/>
      </c>
      <c r="Z675" s="53"/>
      <c r="AA675" s="54"/>
      <c r="AB675" s="53"/>
      <c r="AC675" s="54"/>
      <c r="AD675" s="53"/>
      <c r="AE675" s="54"/>
      <c r="AF675" s="53"/>
      <c r="AG675" s="54"/>
      <c r="AH675" s="55">
        <v>4.1666666666666699E-2</v>
      </c>
      <c r="AI675" s="53"/>
      <c r="AJ675" s="54"/>
      <c r="AK675" s="53"/>
      <c r="AL675" s="54"/>
      <c r="AM675" s="53"/>
      <c r="AN675" s="54"/>
      <c r="AO675" s="53"/>
      <c r="AP675" s="54"/>
      <c r="AQ675" s="53"/>
      <c r="AR675" s="54"/>
      <c r="AS675" s="53"/>
      <c r="AT675" s="54"/>
      <c r="AU675" s="53">
        <v>4.1666666666666699E-2</v>
      </c>
      <c r="AV675" s="54" t="s">
        <v>37</v>
      </c>
      <c r="AW675" s="57">
        <f t="shared" si="100"/>
        <v>4.1666666666666699E-2</v>
      </c>
      <c r="AX675" s="58" t="s">
        <v>64</v>
      </c>
    </row>
    <row r="676" spans="1:50" ht="21.75" customHeight="1">
      <c r="A676" s="38" t="s">
        <v>623</v>
      </c>
      <c r="B676" s="39">
        <f t="shared" si="99"/>
        <v>672</v>
      </c>
      <c r="C676" s="40">
        <v>46038</v>
      </c>
      <c r="D676" s="40" t="s">
        <v>32</v>
      </c>
      <c r="E676" s="40" t="s">
        <v>81</v>
      </c>
      <c r="F676" s="41">
        <v>129.4</v>
      </c>
      <c r="G676" s="42" t="s">
        <v>115</v>
      </c>
      <c r="H676" s="43" t="str">
        <f>IFERROR(VLOOKUP($J676,'[9]FROM (3)'!$E$4:$F$230,2,FALSE),"")</f>
        <v>DNTH</v>
      </c>
      <c r="I676" s="44" t="str">
        <f t="shared" si="96"/>
        <v>SHAFT, 2W</v>
      </c>
      <c r="J676" s="44" t="str">
        <f t="shared" si="97"/>
        <v>TG028383-0090</v>
      </c>
      <c r="K676" s="59" t="str">
        <f t="shared" si="94"/>
        <v>PD25110674</v>
      </c>
      <c r="L676" s="46" t="str" cm="1">
        <f t="array" ref="L676">IFERROR(_xlfn.IFS(
    LEN($A676)-LEN(SUBSTITUTE($A676,"|",""))=12, RIGHT(A676, LEN(A676)-FIND("~", SUBSTITUTE(A676,"|","~", LEN(A676)-LEN(SUBSTITUTE(A676,"|",""))))),
    LEN($A676)-LEN(SUBSTITUTE($A676,"|",""))=13, MID($A676, FIND("~", SUBSTITUTE($A676,"|","~", 11))+1, FIND("~", SUBSTITUTE($A676,"|","~", 12))-FIND("~", SUBSTITUTE($A676,"|","~", 11))-1),
    LEN($A676)-LEN(SUBSTITUTE($A676,"|",""))=14, MID($A676, FIND("~", SUBSTITUTE($A676,"|","~", 11))+1, FIND("~", SUBSTITUTE($A676,"|","~", 12))-FIND("~", SUBSTITUTE($A676,"|","~", 11))-1)
), "")</f>
        <v>E483074</v>
      </c>
      <c r="M676" s="47" t="str">
        <f t="shared" si="93"/>
        <v>FP120382/4/25</v>
      </c>
      <c r="N676" s="46" t="str">
        <f t="shared" si="95"/>
        <v>FP120382/4/25</v>
      </c>
      <c r="O676" s="60">
        <v>1500</v>
      </c>
      <c r="P676" s="60">
        <v>513</v>
      </c>
      <c r="Q676" s="48">
        <v>1500</v>
      </c>
      <c r="R676" s="48">
        <v>513</v>
      </c>
      <c r="S676" s="48"/>
      <c r="T676" s="48"/>
      <c r="U676" s="49"/>
      <c r="V676" s="49"/>
      <c r="W676" s="50">
        <f t="shared" si="92"/>
        <v>0</v>
      </c>
      <c r="X676" s="51" t="str">
        <f>IF(A676="", "", IF(COUNTIFS(C$3:C675, C676, D$3:D675, D676, G$3:G675, G676) &gt; 0, "", "11:00"-AW676))</f>
        <v/>
      </c>
      <c r="Y676" s="52" t="str">
        <f t="shared" si="98"/>
        <v/>
      </c>
      <c r="Z676" s="53"/>
      <c r="AA676" s="54"/>
      <c r="AB676" s="53"/>
      <c r="AC676" s="54"/>
      <c r="AD676" s="53"/>
      <c r="AE676" s="54"/>
      <c r="AF676" s="53"/>
      <c r="AG676" s="54"/>
      <c r="AH676" s="55">
        <v>4.1666666666666699E-2</v>
      </c>
      <c r="AI676" s="53"/>
      <c r="AJ676" s="54"/>
      <c r="AK676" s="53"/>
      <c r="AL676" s="54"/>
      <c r="AM676" s="53"/>
      <c r="AN676" s="54"/>
      <c r="AO676" s="53"/>
      <c r="AP676" s="54"/>
      <c r="AQ676" s="53"/>
      <c r="AR676" s="54"/>
      <c r="AS676" s="53"/>
      <c r="AT676" s="54"/>
      <c r="AU676" s="53">
        <v>4.1666666666666699E-2</v>
      </c>
      <c r="AV676" s="54" t="s">
        <v>37</v>
      </c>
      <c r="AW676" s="57">
        <f t="shared" si="100"/>
        <v>4.1666666666666699E-2</v>
      </c>
      <c r="AX676" s="58" t="s">
        <v>64</v>
      </c>
    </row>
    <row r="677" spans="1:50" ht="21.75" customHeight="1">
      <c r="A677" s="38" t="s">
        <v>624</v>
      </c>
      <c r="B677" s="39">
        <f t="shared" si="99"/>
        <v>673</v>
      </c>
      <c r="C677" s="40">
        <v>46038</v>
      </c>
      <c r="D677" s="40" t="s">
        <v>32</v>
      </c>
      <c r="E677" s="40" t="s">
        <v>81</v>
      </c>
      <c r="F677" s="41">
        <v>146.80000000000001</v>
      </c>
      <c r="G677" s="42" t="s">
        <v>115</v>
      </c>
      <c r="H677" s="43" t="str">
        <f>IFERROR(VLOOKUP($J677,'[9]FROM (3)'!$E$4:$F$230,2,FALSE),"")</f>
        <v>DNTH</v>
      </c>
      <c r="I677" s="44" t="str">
        <f t="shared" si="96"/>
        <v>SHAFT, 2W</v>
      </c>
      <c r="J677" s="44" t="str">
        <f t="shared" si="97"/>
        <v>TG028383-0040</v>
      </c>
      <c r="K677" s="59" t="str">
        <f t="shared" si="94"/>
        <v>PD25111200</v>
      </c>
      <c r="L677" s="46" t="str" cm="1">
        <f t="array" ref="L677">IFERROR(_xlfn.IFS(
    LEN($A677)-LEN(SUBSTITUTE($A677,"|",""))=12, RIGHT(A677, LEN(A677)-FIND("~", SUBSTITUTE(A677,"|","~", LEN(A677)-LEN(SUBSTITUTE(A677,"|",""))))),
    LEN($A677)-LEN(SUBSTITUTE($A677,"|",""))=13, MID($A677, FIND("~", SUBSTITUTE($A677,"|","~", 11))+1, FIND("~", SUBSTITUTE($A677,"|","~", 12))-FIND("~", SUBSTITUTE($A677,"|","~", 11))-1),
    LEN($A677)-LEN(SUBSTITUTE($A677,"|",""))=14, MID($A677, FIND("~", SUBSTITUTE($A677,"|","~", 11))+1, FIND("~", SUBSTITUTE($A677,"|","~", 12))-FIND("~", SUBSTITUTE($A677,"|","~", 11))-1)
), "")</f>
        <v>E483074</v>
      </c>
      <c r="M677" s="47" t="str">
        <f t="shared" si="93"/>
        <v>FP120378/3/25</v>
      </c>
      <c r="N677" s="46" t="str">
        <f t="shared" si="95"/>
        <v>FP120378/3/25</v>
      </c>
      <c r="O677" s="60">
        <v>1500</v>
      </c>
      <c r="P677" s="60">
        <v>581</v>
      </c>
      <c r="Q677" s="48">
        <v>1500</v>
      </c>
      <c r="R677" s="48">
        <v>581</v>
      </c>
      <c r="S677" s="48"/>
      <c r="T677" s="48"/>
      <c r="U677" s="49"/>
      <c r="V677" s="49"/>
      <c r="W677" s="50">
        <f t="shared" si="92"/>
        <v>0</v>
      </c>
      <c r="X677" s="51" t="str">
        <f>IF(A677="", "", IF(COUNTIFS(C$3:C676, C677, D$3:D676, D677, G$3:G676, G677) &gt; 0, "", "11:00"-AW677))</f>
        <v/>
      </c>
      <c r="Y677" s="52" t="str">
        <f t="shared" si="98"/>
        <v/>
      </c>
      <c r="Z677" s="53"/>
      <c r="AA677" s="54"/>
      <c r="AB677" s="53"/>
      <c r="AC677" s="54"/>
      <c r="AD677" s="53"/>
      <c r="AE677" s="54"/>
      <c r="AF677" s="53"/>
      <c r="AG677" s="54"/>
      <c r="AH677" s="55">
        <v>4.1666666666666699E-2</v>
      </c>
      <c r="AI677" s="53"/>
      <c r="AJ677" s="54"/>
      <c r="AK677" s="53"/>
      <c r="AL677" s="54"/>
      <c r="AM677" s="53"/>
      <c r="AN677" s="54"/>
      <c r="AO677" s="53"/>
      <c r="AP677" s="54"/>
      <c r="AQ677" s="53"/>
      <c r="AR677" s="54"/>
      <c r="AS677" s="53"/>
      <c r="AT677" s="54"/>
      <c r="AU677" s="53">
        <v>4.1666666666666699E-2</v>
      </c>
      <c r="AV677" s="54" t="s">
        <v>37</v>
      </c>
      <c r="AW677" s="57">
        <f t="shared" si="100"/>
        <v>4.1666666666666699E-2</v>
      </c>
      <c r="AX677" s="58" t="s">
        <v>64</v>
      </c>
    </row>
    <row r="678" spans="1:50" ht="21.75" customHeight="1">
      <c r="A678" s="38" t="s">
        <v>625</v>
      </c>
      <c r="B678" s="39">
        <f t="shared" si="99"/>
        <v>674</v>
      </c>
      <c r="C678" s="40">
        <v>46038</v>
      </c>
      <c r="D678" s="40" t="s">
        <v>32</v>
      </c>
      <c r="E678" s="40" t="s">
        <v>81</v>
      </c>
      <c r="F678" s="41">
        <v>146.80000000000001</v>
      </c>
      <c r="G678" s="42" t="s">
        <v>115</v>
      </c>
      <c r="H678" s="43" t="str">
        <f>IFERROR(VLOOKUP($J678,'[9]FROM (3)'!$E$4:$F$230,2,FALSE),"")</f>
        <v>DNTH</v>
      </c>
      <c r="I678" s="44" t="str">
        <f t="shared" si="96"/>
        <v>SHAFT, 2W</v>
      </c>
      <c r="J678" s="44" t="str">
        <f t="shared" si="97"/>
        <v>TG028383-0040</v>
      </c>
      <c r="K678" s="59" t="str">
        <f t="shared" si="94"/>
        <v>PD25111200</v>
      </c>
      <c r="L678" s="46" t="str" cm="1">
        <f t="array" ref="L678">IFERROR(_xlfn.IFS(
    LEN($A678)-LEN(SUBSTITUTE($A678,"|",""))=12, RIGHT(A678, LEN(A678)-FIND("~", SUBSTITUTE(A678,"|","~", LEN(A678)-LEN(SUBSTITUTE(A678,"|",""))))),
    LEN($A678)-LEN(SUBSTITUTE($A678,"|",""))=13, MID($A678, FIND("~", SUBSTITUTE($A678,"|","~", 11))+1, FIND("~", SUBSTITUTE($A678,"|","~", 12))-FIND("~", SUBSTITUTE($A678,"|","~", 11))-1),
    LEN($A678)-LEN(SUBSTITUTE($A678,"|",""))=14, MID($A678, FIND("~", SUBSTITUTE($A678,"|","~", 11))+1, FIND("~", SUBSTITUTE($A678,"|","~", 12))-FIND("~", SUBSTITUTE($A678,"|","~", 11))-1)
), "")</f>
        <v>E483074</v>
      </c>
      <c r="M678" s="47" t="str">
        <f t="shared" si="93"/>
        <v>FP120378/4/25</v>
      </c>
      <c r="N678" s="46" t="str">
        <f t="shared" si="95"/>
        <v>FP120378/4/25</v>
      </c>
      <c r="O678" s="60">
        <v>1500</v>
      </c>
      <c r="P678" s="60">
        <v>581</v>
      </c>
      <c r="Q678" s="48">
        <v>1500</v>
      </c>
      <c r="R678" s="48">
        <v>581</v>
      </c>
      <c r="S678" s="48"/>
      <c r="T678" s="48"/>
      <c r="U678" s="49"/>
      <c r="V678" s="49"/>
      <c r="W678" s="50">
        <f t="shared" si="92"/>
        <v>0</v>
      </c>
      <c r="X678" s="51" t="str">
        <f>IF(A678="", "", IF(COUNTIFS(C$3:C677, C678, D$3:D677, D678, G$3:G677, G678) &gt; 0, "", "11:00"-AW678))</f>
        <v/>
      </c>
      <c r="Y678" s="52" t="str">
        <f t="shared" si="98"/>
        <v/>
      </c>
      <c r="Z678" s="53"/>
      <c r="AA678" s="54"/>
      <c r="AB678" s="53"/>
      <c r="AC678" s="54"/>
      <c r="AD678" s="53"/>
      <c r="AE678" s="54"/>
      <c r="AF678" s="53"/>
      <c r="AG678" s="54"/>
      <c r="AH678" s="55">
        <v>4.1666666666666699E-2</v>
      </c>
      <c r="AI678" s="53"/>
      <c r="AJ678" s="54"/>
      <c r="AK678" s="53"/>
      <c r="AL678" s="54"/>
      <c r="AM678" s="53"/>
      <c r="AN678" s="54"/>
      <c r="AO678" s="53"/>
      <c r="AP678" s="54"/>
      <c r="AQ678" s="53"/>
      <c r="AR678" s="54"/>
      <c r="AS678" s="53"/>
      <c r="AT678" s="54"/>
      <c r="AU678" s="53">
        <v>4.1666666666666699E-2</v>
      </c>
      <c r="AV678" s="54" t="s">
        <v>37</v>
      </c>
      <c r="AW678" s="57">
        <f t="shared" si="100"/>
        <v>4.1666666666666699E-2</v>
      </c>
      <c r="AX678" s="58" t="s">
        <v>64</v>
      </c>
    </row>
    <row r="679" spans="1:50" ht="21.75" customHeight="1">
      <c r="A679" s="38" t="s">
        <v>626</v>
      </c>
      <c r="B679" s="39">
        <f t="shared" si="99"/>
        <v>675</v>
      </c>
      <c r="C679" s="40">
        <v>46038</v>
      </c>
      <c r="D679" s="40" t="s">
        <v>32</v>
      </c>
      <c r="E679" s="40" t="s">
        <v>81</v>
      </c>
      <c r="F679" s="41">
        <v>756.8</v>
      </c>
      <c r="G679" s="42" t="s">
        <v>192</v>
      </c>
      <c r="H679" s="43" t="str">
        <f>IFERROR(VLOOKUP($J679,'[9]FROM (3)'!$E$4:$F$230,2,FALSE),"")</f>
        <v>JATH</v>
      </c>
      <c r="I679" s="44" t="str">
        <f t="shared" si="96"/>
        <v>JGF02-002190-31-2</v>
      </c>
      <c r="J679" s="44" t="str">
        <f t="shared" si="97"/>
        <v>RACK BAR BLANK (JGF02-002190-31-2) 5K45</v>
      </c>
      <c r="K679" s="59" t="str">
        <f t="shared" si="94"/>
        <v>PD25121243</v>
      </c>
      <c r="L679" s="46" t="str" cm="1">
        <f t="array" ref="L679">IFERROR(_xlfn.IFS(
    LEN($A679)-LEN(SUBSTITUTE($A679,"|",""))=12, RIGHT(A679, LEN(A679)-FIND("~", SUBSTITUTE(A679,"|","~", LEN(A679)-LEN(SUBSTITUTE(A679,"|",""))))),
    LEN($A679)-LEN(SUBSTITUTE($A679,"|",""))=13, MID($A679, FIND("~", SUBSTITUTE($A679,"|","~", 11))+1, FIND("~", SUBSTITUTE($A679,"|","~", 12))-FIND("~", SUBSTITUTE($A679,"|","~", 11))-1),
    LEN($A679)-LEN(SUBSTITUTE($A679,"|",""))=14, MID($A679, FIND("~", SUBSTITUTE($A679,"|","~", 11))+1, FIND("~", SUBSTITUTE($A679,"|","~", 12))-FIND("~", SUBSTITUTE($A679,"|","~", 11))-1)
), "")</f>
        <v>5A5658</v>
      </c>
      <c r="M679" s="47" t="str">
        <f t="shared" si="93"/>
        <v>TSK2</v>
      </c>
      <c r="N679" s="46" t="str">
        <f t="shared" si="95"/>
        <v>FB120351/11/25</v>
      </c>
      <c r="O679" s="60">
        <v>58</v>
      </c>
      <c r="P679" s="60">
        <v>280</v>
      </c>
      <c r="Q679" s="48">
        <v>58</v>
      </c>
      <c r="R679" s="48">
        <v>280</v>
      </c>
      <c r="S679" s="48"/>
      <c r="T679" s="48"/>
      <c r="U679" s="49"/>
      <c r="V679" s="49"/>
      <c r="W679" s="50">
        <f t="shared" si="92"/>
        <v>0</v>
      </c>
      <c r="X679" s="51">
        <f>IF(A679="", "", IF(COUNTIFS(C$3:C678, C679, D$3:D678, D679, G$3:G678, G679) &gt; 0, "", "11:00"-AW679))</f>
        <v>0.37499999999999994</v>
      </c>
      <c r="Y679" s="52" t="str">
        <f t="shared" si="98"/>
        <v>1:40</v>
      </c>
      <c r="Z679" s="53">
        <v>4.1666666666666664E-2</v>
      </c>
      <c r="AA679" s="54" t="s">
        <v>67</v>
      </c>
      <c r="AB679" s="53"/>
      <c r="AC679" s="54"/>
      <c r="AD679" s="53"/>
      <c r="AE679" s="54"/>
      <c r="AF679" s="53"/>
      <c r="AG679" s="54"/>
      <c r="AH679" s="55">
        <v>4.1666666666666699E-2</v>
      </c>
      <c r="AI679" s="53"/>
      <c r="AJ679" s="54"/>
      <c r="AK679" s="53"/>
      <c r="AL679" s="54"/>
      <c r="AM679" s="53"/>
      <c r="AN679" s="54"/>
      <c r="AO679" s="53"/>
      <c r="AP679" s="54"/>
      <c r="AQ679" s="53"/>
      <c r="AR679" s="54"/>
      <c r="AS679" s="53"/>
      <c r="AT679" s="54"/>
      <c r="AU679" s="53">
        <v>4.1666666666666699E-2</v>
      </c>
      <c r="AV679" s="54" t="s">
        <v>37</v>
      </c>
      <c r="AW679" s="57">
        <f t="shared" si="100"/>
        <v>8.333333333333337E-2</v>
      </c>
      <c r="AX679" s="58" t="s">
        <v>260</v>
      </c>
    </row>
    <row r="680" spans="1:50" ht="21.75" customHeight="1">
      <c r="A680" s="38" t="s">
        <v>627</v>
      </c>
      <c r="B680" s="39">
        <f t="shared" si="99"/>
        <v>676</v>
      </c>
      <c r="C680" s="40">
        <v>46038</v>
      </c>
      <c r="D680" s="40" t="s">
        <v>32</v>
      </c>
      <c r="E680" s="40" t="s">
        <v>81</v>
      </c>
      <c r="F680" s="41">
        <v>756.8</v>
      </c>
      <c r="G680" s="42" t="s">
        <v>192</v>
      </c>
      <c r="H680" s="43" t="str">
        <f>IFERROR(VLOOKUP($J680,'[9]FROM (3)'!$E$4:$F$230,2,FALSE),"")</f>
        <v>JATH</v>
      </c>
      <c r="I680" s="44" t="str">
        <f t="shared" si="96"/>
        <v>JGF02-002190-31-2</v>
      </c>
      <c r="J680" s="44" t="str">
        <f t="shared" si="97"/>
        <v>RACK BAR BLANK (JGF02-002190-31-2) 5K45</v>
      </c>
      <c r="K680" s="59" t="str">
        <f t="shared" si="94"/>
        <v>PD25121243</v>
      </c>
      <c r="L680" s="46" t="str" cm="1">
        <f t="array" ref="L680">IFERROR(_xlfn.IFS(
    LEN($A680)-LEN(SUBSTITUTE($A680,"|",""))=12, RIGHT(A680, LEN(A680)-FIND("~", SUBSTITUTE(A680,"|","~", LEN(A680)-LEN(SUBSTITUTE(A680,"|",""))))),
    LEN($A680)-LEN(SUBSTITUTE($A680,"|",""))=13, MID($A680, FIND("~", SUBSTITUTE($A680,"|","~", 11))+1, FIND("~", SUBSTITUTE($A680,"|","~", 12))-FIND("~", SUBSTITUTE($A680,"|","~", 11))-1),
    LEN($A680)-LEN(SUBSTITUTE($A680,"|",""))=14, MID($A680, FIND("~", SUBSTITUTE($A680,"|","~", 11))+1, FIND("~", SUBSTITUTE($A680,"|","~", 12))-FIND("~", SUBSTITUTE($A680,"|","~", 11))-1)
), "")</f>
        <v>5A5658</v>
      </c>
      <c r="M680" s="47" t="str">
        <f t="shared" si="93"/>
        <v>TSK2</v>
      </c>
      <c r="N680" s="46" t="str">
        <f t="shared" si="95"/>
        <v>FB120351/13/25</v>
      </c>
      <c r="O680" s="60">
        <v>58</v>
      </c>
      <c r="P680" s="60">
        <v>280</v>
      </c>
      <c r="Q680" s="48">
        <v>58</v>
      </c>
      <c r="R680" s="48">
        <v>280</v>
      </c>
      <c r="S680" s="48"/>
      <c r="T680" s="48"/>
      <c r="U680" s="49"/>
      <c r="V680" s="49"/>
      <c r="W680" s="50">
        <f t="shared" si="92"/>
        <v>0</v>
      </c>
      <c r="X680" s="51" t="str">
        <f>IF(A680="", "", IF(COUNTIFS(C$3:C679, C680, D$3:D679, D680, G$3:G679, G680) &gt; 0, "", "11:00"-AW680))</f>
        <v/>
      </c>
      <c r="Y680" s="52" t="str">
        <f t="shared" si="98"/>
        <v/>
      </c>
      <c r="Z680" s="53"/>
      <c r="AA680" s="54"/>
      <c r="AB680" s="53"/>
      <c r="AC680" s="54"/>
      <c r="AD680" s="53"/>
      <c r="AE680" s="54"/>
      <c r="AF680" s="53"/>
      <c r="AG680" s="54"/>
      <c r="AH680" s="55">
        <v>4.1666666666666699E-2</v>
      </c>
      <c r="AI680" s="53"/>
      <c r="AJ680" s="54"/>
      <c r="AK680" s="53"/>
      <c r="AL680" s="54"/>
      <c r="AM680" s="53"/>
      <c r="AN680" s="54"/>
      <c r="AO680" s="53"/>
      <c r="AP680" s="54"/>
      <c r="AQ680" s="53"/>
      <c r="AR680" s="54"/>
      <c r="AS680" s="53"/>
      <c r="AT680" s="54"/>
      <c r="AU680" s="53">
        <v>4.1666666666666699E-2</v>
      </c>
      <c r="AV680" s="54" t="s">
        <v>37</v>
      </c>
      <c r="AW680" s="57">
        <f t="shared" si="100"/>
        <v>4.1666666666666699E-2</v>
      </c>
      <c r="AX680" s="58" t="s">
        <v>260</v>
      </c>
    </row>
    <row r="681" spans="1:50" ht="21.75" customHeight="1">
      <c r="A681" s="38" t="s">
        <v>628</v>
      </c>
      <c r="B681" s="39">
        <f t="shared" si="99"/>
        <v>677</v>
      </c>
      <c r="C681" s="40">
        <v>46038</v>
      </c>
      <c r="D681" s="40" t="s">
        <v>32</v>
      </c>
      <c r="E681" s="40" t="s">
        <v>81</v>
      </c>
      <c r="F681" s="41">
        <v>756.8</v>
      </c>
      <c r="G681" s="42" t="s">
        <v>192</v>
      </c>
      <c r="H681" s="43" t="str">
        <f>IFERROR(VLOOKUP($J681,'[9]FROM (3)'!$E$4:$F$230,2,FALSE),"")</f>
        <v>JATH</v>
      </c>
      <c r="I681" s="44" t="str">
        <f t="shared" si="96"/>
        <v>JGF02-002190-31-2</v>
      </c>
      <c r="J681" s="44" t="str">
        <f t="shared" si="97"/>
        <v>RACK BAR BLANK (JGF02-002190-31-2) 5K45</v>
      </c>
      <c r="K681" s="59" t="str">
        <f t="shared" si="94"/>
        <v>PD25121243</v>
      </c>
      <c r="L681" s="46" t="str" cm="1">
        <f t="array" ref="L681">IFERROR(_xlfn.IFS(
    LEN($A681)-LEN(SUBSTITUTE($A681,"|",""))=12, RIGHT(A681, LEN(A681)-FIND("~", SUBSTITUTE(A681,"|","~", LEN(A681)-LEN(SUBSTITUTE(A681,"|",""))))),
    LEN($A681)-LEN(SUBSTITUTE($A681,"|",""))=13, MID($A681, FIND("~", SUBSTITUTE($A681,"|","~", 11))+1, FIND("~", SUBSTITUTE($A681,"|","~", 12))-FIND("~", SUBSTITUTE($A681,"|","~", 11))-1),
    LEN($A681)-LEN(SUBSTITUTE($A681,"|",""))=14, MID($A681, FIND("~", SUBSTITUTE($A681,"|","~", 11))+1, FIND("~", SUBSTITUTE($A681,"|","~", 12))-FIND("~", SUBSTITUTE($A681,"|","~", 11))-1)
), "")</f>
        <v>5A5658</v>
      </c>
      <c r="M681" s="47" t="str">
        <f t="shared" si="93"/>
        <v>TSK2</v>
      </c>
      <c r="N681" s="46" t="str">
        <f t="shared" si="95"/>
        <v>FB120351/12/25</v>
      </c>
      <c r="O681" s="60">
        <v>58</v>
      </c>
      <c r="P681" s="60">
        <v>280</v>
      </c>
      <c r="Q681" s="48">
        <v>58</v>
      </c>
      <c r="R681" s="48">
        <v>280</v>
      </c>
      <c r="S681" s="48"/>
      <c r="T681" s="48"/>
      <c r="U681" s="49"/>
      <c r="V681" s="49"/>
      <c r="W681" s="50">
        <f t="shared" si="92"/>
        <v>0</v>
      </c>
      <c r="X681" s="51" t="str">
        <f>IF(A681="", "", IF(COUNTIFS(C$3:C680, C681, D$3:D680, D681, G$3:G680, G681) &gt; 0, "", "11:00"-AW681))</f>
        <v/>
      </c>
      <c r="Y681" s="52" t="str">
        <f t="shared" si="98"/>
        <v/>
      </c>
      <c r="Z681" s="53"/>
      <c r="AA681" s="54"/>
      <c r="AB681" s="53"/>
      <c r="AC681" s="54"/>
      <c r="AD681" s="53"/>
      <c r="AE681" s="54"/>
      <c r="AF681" s="53"/>
      <c r="AG681" s="54"/>
      <c r="AH681" s="55">
        <v>4.1666666666666699E-2</v>
      </c>
      <c r="AI681" s="53"/>
      <c r="AJ681" s="54"/>
      <c r="AK681" s="53"/>
      <c r="AL681" s="54"/>
      <c r="AM681" s="53"/>
      <c r="AN681" s="54"/>
      <c r="AO681" s="53"/>
      <c r="AP681" s="54"/>
      <c r="AQ681" s="53"/>
      <c r="AR681" s="54"/>
      <c r="AS681" s="53"/>
      <c r="AT681" s="54"/>
      <c r="AU681" s="53">
        <v>4.1666666666666699E-2</v>
      </c>
      <c r="AV681" s="54" t="s">
        <v>37</v>
      </c>
      <c r="AW681" s="57">
        <f t="shared" si="100"/>
        <v>4.1666666666666699E-2</v>
      </c>
      <c r="AX681" s="58" t="s">
        <v>260</v>
      </c>
    </row>
    <row r="682" spans="1:50" ht="21.75" customHeight="1">
      <c r="A682" s="38" t="s">
        <v>629</v>
      </c>
      <c r="B682" s="39">
        <f t="shared" si="99"/>
        <v>678</v>
      </c>
      <c r="C682" s="40">
        <v>46038</v>
      </c>
      <c r="D682" s="40" t="s">
        <v>32</v>
      </c>
      <c r="E682" s="40" t="s">
        <v>81</v>
      </c>
      <c r="F682" s="41">
        <v>756.8</v>
      </c>
      <c r="G682" s="42" t="s">
        <v>192</v>
      </c>
      <c r="H682" s="43" t="str">
        <f>IFERROR(VLOOKUP($J682,'[9]FROM (3)'!$E$4:$F$230,2,FALSE),"")</f>
        <v>JATH</v>
      </c>
      <c r="I682" s="44" t="str">
        <f t="shared" si="96"/>
        <v>JGF02-002190-31-2</v>
      </c>
      <c r="J682" s="44" t="str">
        <f t="shared" si="97"/>
        <v>RACK BAR BLANK (JGF02-002190-31-2) 5K45</v>
      </c>
      <c r="K682" s="59" t="str">
        <f t="shared" si="94"/>
        <v>PD25121243</v>
      </c>
      <c r="L682" s="46" t="str" cm="1">
        <f t="array" ref="L682">IFERROR(_xlfn.IFS(
    LEN($A682)-LEN(SUBSTITUTE($A682,"|",""))=12, RIGHT(A682, LEN(A682)-FIND("~", SUBSTITUTE(A682,"|","~", LEN(A682)-LEN(SUBSTITUTE(A682,"|",""))))),
    LEN($A682)-LEN(SUBSTITUTE($A682,"|",""))=13, MID($A682, FIND("~", SUBSTITUTE($A682,"|","~", 11))+1, FIND("~", SUBSTITUTE($A682,"|","~", 12))-FIND("~", SUBSTITUTE($A682,"|","~", 11))-1),
    LEN($A682)-LEN(SUBSTITUTE($A682,"|",""))=14, MID($A682, FIND("~", SUBSTITUTE($A682,"|","~", 11))+1, FIND("~", SUBSTITUTE($A682,"|","~", 12))-FIND("~", SUBSTITUTE($A682,"|","~", 11))-1)
), "")</f>
        <v>5A5658</v>
      </c>
      <c r="M682" s="47" t="str">
        <f t="shared" si="93"/>
        <v>TSK2</v>
      </c>
      <c r="N682" s="46" t="str">
        <f t="shared" si="95"/>
        <v>FB120351/14/25</v>
      </c>
      <c r="O682" s="60">
        <v>19</v>
      </c>
      <c r="P682" s="60">
        <v>92</v>
      </c>
      <c r="Q682" s="48">
        <v>19</v>
      </c>
      <c r="R682" s="48">
        <v>92</v>
      </c>
      <c r="S682" s="48"/>
      <c r="T682" s="48"/>
      <c r="U682" s="49"/>
      <c r="V682" s="49"/>
      <c r="W682" s="50">
        <f t="shared" si="92"/>
        <v>0</v>
      </c>
      <c r="X682" s="51" t="str">
        <f>IF(A682="", "", IF(COUNTIFS(C$3:C681, C682, D$3:D681, D682, G$3:G681, G682) &gt; 0, "", "11:00"-AW682))</f>
        <v/>
      </c>
      <c r="Y682" s="52" t="str">
        <f t="shared" si="98"/>
        <v/>
      </c>
      <c r="Z682" s="53"/>
      <c r="AA682" s="54"/>
      <c r="AB682" s="53"/>
      <c r="AC682" s="54"/>
      <c r="AD682" s="53"/>
      <c r="AE682" s="54"/>
      <c r="AF682" s="53"/>
      <c r="AG682" s="54"/>
      <c r="AH682" s="55">
        <v>4.1666666666666699E-2</v>
      </c>
      <c r="AI682" s="53"/>
      <c r="AJ682" s="54"/>
      <c r="AK682" s="53"/>
      <c r="AL682" s="54"/>
      <c r="AM682" s="53"/>
      <c r="AN682" s="54"/>
      <c r="AO682" s="53"/>
      <c r="AP682" s="54"/>
      <c r="AQ682" s="53"/>
      <c r="AR682" s="54"/>
      <c r="AS682" s="53"/>
      <c r="AT682" s="54"/>
      <c r="AU682" s="53">
        <v>4.1666666666666699E-2</v>
      </c>
      <c r="AV682" s="54" t="s">
        <v>37</v>
      </c>
      <c r="AW682" s="57">
        <f t="shared" si="100"/>
        <v>4.1666666666666699E-2</v>
      </c>
      <c r="AX682" s="58" t="s">
        <v>260</v>
      </c>
    </row>
    <row r="683" spans="1:50" ht="21.75" customHeight="1">
      <c r="A683" s="38" t="s">
        <v>630</v>
      </c>
      <c r="B683" s="39">
        <f t="shared" si="99"/>
        <v>679</v>
      </c>
      <c r="C683" s="40">
        <v>46038</v>
      </c>
      <c r="D683" s="40" t="s">
        <v>32</v>
      </c>
      <c r="E683" s="40" t="s">
        <v>81</v>
      </c>
      <c r="F683" s="41">
        <v>756.8</v>
      </c>
      <c r="G683" s="42" t="s">
        <v>192</v>
      </c>
      <c r="H683" s="43" t="str">
        <f>IFERROR(VLOOKUP($J683,'[9]FROM (3)'!$E$4:$F$230,2,FALSE),"")</f>
        <v>JATH</v>
      </c>
      <c r="I683" s="44" t="str">
        <f t="shared" si="96"/>
        <v>JGF02-002190-31-2</v>
      </c>
      <c r="J683" s="44" t="str">
        <f t="shared" si="97"/>
        <v>RACK BAR BLANK (JGF02-002190-31-2) 5K45</v>
      </c>
      <c r="K683" s="59" t="str">
        <f t="shared" si="94"/>
        <v>PD25121244</v>
      </c>
      <c r="L683" s="46" t="str" cm="1">
        <f t="array" ref="L683">IFERROR(_xlfn.IFS(
    LEN($A683)-LEN(SUBSTITUTE($A683,"|",""))=12, RIGHT(A683, LEN(A683)-FIND("~", SUBSTITUTE(A683,"|","~", LEN(A683)-LEN(SUBSTITUTE(A683,"|",""))))),
    LEN($A683)-LEN(SUBSTITUTE($A683,"|",""))=13, MID($A683, FIND("~", SUBSTITUTE($A683,"|","~", 11))+1, FIND("~", SUBSTITUTE($A683,"|","~", 12))-FIND("~", SUBSTITUTE($A683,"|","~", 11))-1),
    LEN($A683)-LEN(SUBSTITUTE($A683,"|",""))=14, MID($A683, FIND("~", SUBSTITUTE($A683,"|","~", 11))+1, FIND("~", SUBSTITUTE($A683,"|","~", 12))-FIND("~", SUBSTITUTE($A683,"|","~", 11))-1)
), "")</f>
        <v>5A5658</v>
      </c>
      <c r="M683" s="47" t="str">
        <f t="shared" si="93"/>
        <v>TSK2</v>
      </c>
      <c r="N683" s="46" t="str">
        <f t="shared" si="95"/>
        <v>FB120363/1/25</v>
      </c>
      <c r="O683" s="60">
        <v>39</v>
      </c>
      <c r="P683" s="60">
        <v>188</v>
      </c>
      <c r="Q683" s="48">
        <v>39</v>
      </c>
      <c r="R683" s="48">
        <v>188</v>
      </c>
      <c r="S683" s="48"/>
      <c r="T683" s="48"/>
      <c r="U683" s="49"/>
      <c r="V683" s="49"/>
      <c r="W683" s="50">
        <f t="shared" si="92"/>
        <v>0</v>
      </c>
      <c r="X683" s="51" t="str">
        <f>IF(A683="", "", IF(COUNTIFS(C$3:C682, C683, D$3:D682, D683, G$3:G682, G683) &gt; 0, "", "11:00"-AW683))</f>
        <v/>
      </c>
      <c r="Y683" s="52" t="str">
        <f t="shared" si="98"/>
        <v/>
      </c>
      <c r="Z683" s="53"/>
      <c r="AA683" s="54"/>
      <c r="AB683" s="53"/>
      <c r="AC683" s="54"/>
      <c r="AD683" s="53"/>
      <c r="AE683" s="54"/>
      <c r="AF683" s="53"/>
      <c r="AG683" s="54"/>
      <c r="AH683" s="55">
        <v>4.1666666666666699E-2</v>
      </c>
      <c r="AI683" s="53"/>
      <c r="AJ683" s="54"/>
      <c r="AK683" s="53"/>
      <c r="AL683" s="54"/>
      <c r="AM683" s="53"/>
      <c r="AN683" s="54"/>
      <c r="AO683" s="53"/>
      <c r="AP683" s="54"/>
      <c r="AQ683" s="53"/>
      <c r="AR683" s="54"/>
      <c r="AS683" s="53"/>
      <c r="AT683" s="54"/>
      <c r="AU683" s="53">
        <v>4.1666666666666699E-2</v>
      </c>
      <c r="AV683" s="54" t="s">
        <v>37</v>
      </c>
      <c r="AW683" s="57">
        <f t="shared" si="100"/>
        <v>4.1666666666666699E-2</v>
      </c>
      <c r="AX683" s="58" t="s">
        <v>260</v>
      </c>
    </row>
    <row r="684" spans="1:50" ht="21.75" customHeight="1">
      <c r="A684" s="38" t="s">
        <v>631</v>
      </c>
      <c r="B684" s="39">
        <f t="shared" si="99"/>
        <v>680</v>
      </c>
      <c r="C684" s="40">
        <v>46038</v>
      </c>
      <c r="D684" s="40" t="s">
        <v>32</v>
      </c>
      <c r="E684" s="40" t="s">
        <v>81</v>
      </c>
      <c r="F684" s="41">
        <v>756.8</v>
      </c>
      <c r="G684" s="42" t="s">
        <v>192</v>
      </c>
      <c r="H684" s="43" t="str">
        <f>IFERROR(VLOOKUP($J684,'[9]FROM (3)'!$E$4:$F$230,2,FALSE),"")</f>
        <v>JATH</v>
      </c>
      <c r="I684" s="44" t="str">
        <f t="shared" si="96"/>
        <v>JGF02-002190-31-2</v>
      </c>
      <c r="J684" s="44" t="str">
        <f t="shared" si="97"/>
        <v>RACK BAR BLANK (JGF02-002190-31-2) 5K45</v>
      </c>
      <c r="K684" s="59" t="str">
        <f t="shared" si="94"/>
        <v>PD25121244</v>
      </c>
      <c r="L684" s="46" t="str" cm="1">
        <f t="array" ref="L684">IFERROR(_xlfn.IFS(
    LEN($A684)-LEN(SUBSTITUTE($A684,"|",""))=12, RIGHT(A684, LEN(A684)-FIND("~", SUBSTITUTE(A684,"|","~", LEN(A684)-LEN(SUBSTITUTE(A684,"|",""))))),
    LEN($A684)-LEN(SUBSTITUTE($A684,"|",""))=13, MID($A684, FIND("~", SUBSTITUTE($A684,"|","~", 11))+1, FIND("~", SUBSTITUTE($A684,"|","~", 12))-FIND("~", SUBSTITUTE($A684,"|","~", 11))-1),
    LEN($A684)-LEN(SUBSTITUTE($A684,"|",""))=14, MID($A684, FIND("~", SUBSTITUTE($A684,"|","~", 11))+1, FIND("~", SUBSTITUTE($A684,"|","~", 12))-FIND("~", SUBSTITUTE($A684,"|","~", 11))-1)
), "")</f>
        <v>5A5658</v>
      </c>
      <c r="M684" s="47" t="str">
        <f t="shared" si="93"/>
        <v>TSK2</v>
      </c>
      <c r="N684" s="46" t="str">
        <f t="shared" si="95"/>
        <v>FB120363/6/25</v>
      </c>
      <c r="O684" s="60">
        <v>58</v>
      </c>
      <c r="P684" s="60">
        <v>280</v>
      </c>
      <c r="Q684" s="48">
        <v>58</v>
      </c>
      <c r="R684" s="48">
        <v>280</v>
      </c>
      <c r="S684" s="48"/>
      <c r="T684" s="48"/>
      <c r="U684" s="49"/>
      <c r="V684" s="49"/>
      <c r="W684" s="50">
        <f t="shared" si="92"/>
        <v>0</v>
      </c>
      <c r="X684" s="51" t="str">
        <f>IF(A684="", "", IF(COUNTIFS(C$3:C683, C684, D$3:D683, D684, G$3:G683, G684) &gt; 0, "", "11:00"-AW684))</f>
        <v/>
      </c>
      <c r="Y684" s="52" t="str">
        <f t="shared" si="98"/>
        <v/>
      </c>
      <c r="Z684" s="53"/>
      <c r="AA684" s="54"/>
      <c r="AB684" s="53"/>
      <c r="AC684" s="54"/>
      <c r="AD684" s="53"/>
      <c r="AE684" s="54"/>
      <c r="AF684" s="53"/>
      <c r="AG684" s="54"/>
      <c r="AH684" s="55">
        <v>4.1666666666666699E-2</v>
      </c>
      <c r="AI684" s="53"/>
      <c r="AJ684" s="54"/>
      <c r="AK684" s="53"/>
      <c r="AL684" s="54"/>
      <c r="AM684" s="53"/>
      <c r="AN684" s="54"/>
      <c r="AO684" s="53"/>
      <c r="AP684" s="54"/>
      <c r="AQ684" s="53"/>
      <c r="AR684" s="54"/>
      <c r="AS684" s="53"/>
      <c r="AT684" s="54"/>
      <c r="AU684" s="53">
        <v>4.1666666666666699E-2</v>
      </c>
      <c r="AV684" s="54" t="s">
        <v>37</v>
      </c>
      <c r="AW684" s="57">
        <f t="shared" si="100"/>
        <v>4.1666666666666699E-2</v>
      </c>
      <c r="AX684" s="58" t="s">
        <v>260</v>
      </c>
    </row>
    <row r="685" spans="1:50" ht="21.75" customHeight="1">
      <c r="A685" s="38" t="s">
        <v>632</v>
      </c>
      <c r="B685" s="39">
        <f t="shared" si="99"/>
        <v>681</v>
      </c>
      <c r="C685" s="40">
        <v>46038</v>
      </c>
      <c r="D685" s="40" t="s">
        <v>32</v>
      </c>
      <c r="E685" s="40" t="s">
        <v>81</v>
      </c>
      <c r="F685" s="41">
        <v>756.8</v>
      </c>
      <c r="G685" s="42" t="s">
        <v>192</v>
      </c>
      <c r="H685" s="43" t="str">
        <f>IFERROR(VLOOKUP($J685,'[9]FROM (3)'!$E$4:$F$230,2,FALSE),"")</f>
        <v>JATH</v>
      </c>
      <c r="I685" s="44" t="str">
        <f t="shared" si="96"/>
        <v>JGF02-002190-31-2</v>
      </c>
      <c r="J685" s="44" t="str">
        <f t="shared" si="97"/>
        <v>RACK BAR BLANK (JGF02-002190-31-2) 5K45</v>
      </c>
      <c r="K685" s="59" t="str">
        <f t="shared" si="94"/>
        <v>PD25121244</v>
      </c>
      <c r="L685" s="46" t="str" cm="1">
        <f t="array" ref="L685">IFERROR(_xlfn.IFS(
    LEN($A685)-LEN(SUBSTITUTE($A685,"|",""))=12, RIGHT(A685, LEN(A685)-FIND("~", SUBSTITUTE(A685,"|","~", LEN(A685)-LEN(SUBSTITUTE(A685,"|",""))))),
    LEN($A685)-LEN(SUBSTITUTE($A685,"|",""))=13, MID($A685, FIND("~", SUBSTITUTE($A685,"|","~", 11))+1, FIND("~", SUBSTITUTE($A685,"|","~", 12))-FIND("~", SUBSTITUTE($A685,"|","~", 11))-1),
    LEN($A685)-LEN(SUBSTITUTE($A685,"|",""))=14, MID($A685, FIND("~", SUBSTITUTE($A685,"|","~", 11))+1, FIND("~", SUBSTITUTE($A685,"|","~", 12))-FIND("~", SUBSTITUTE($A685,"|","~", 11))-1)
), "")</f>
        <v>5A5658</v>
      </c>
      <c r="M685" s="47" t="str">
        <f t="shared" si="93"/>
        <v>TSK2</v>
      </c>
      <c r="N685" s="46" t="str">
        <f t="shared" si="95"/>
        <v>FB120363/5/25</v>
      </c>
      <c r="O685" s="60">
        <v>58</v>
      </c>
      <c r="P685" s="60">
        <v>280</v>
      </c>
      <c r="Q685" s="48">
        <v>58</v>
      </c>
      <c r="R685" s="48">
        <v>280</v>
      </c>
      <c r="S685" s="48"/>
      <c r="T685" s="48"/>
      <c r="U685" s="49"/>
      <c r="V685" s="49"/>
      <c r="W685" s="50">
        <f t="shared" si="92"/>
        <v>0</v>
      </c>
      <c r="X685" s="51" t="str">
        <f>IF(A685="", "", IF(COUNTIFS(C$3:C684, C685, D$3:D684, D685, G$3:G684, G685) &gt; 0, "", "11:00"-AW685))</f>
        <v/>
      </c>
      <c r="Y685" s="52" t="str">
        <f t="shared" si="98"/>
        <v/>
      </c>
      <c r="Z685" s="53"/>
      <c r="AA685" s="54"/>
      <c r="AB685" s="53"/>
      <c r="AC685" s="54"/>
      <c r="AD685" s="53"/>
      <c r="AE685" s="54"/>
      <c r="AF685" s="53"/>
      <c r="AG685" s="54"/>
      <c r="AH685" s="55">
        <v>4.1666666666666699E-2</v>
      </c>
      <c r="AI685" s="53"/>
      <c r="AJ685" s="54"/>
      <c r="AK685" s="53"/>
      <c r="AL685" s="54"/>
      <c r="AM685" s="53"/>
      <c r="AN685" s="54"/>
      <c r="AO685" s="53"/>
      <c r="AP685" s="54"/>
      <c r="AQ685" s="53"/>
      <c r="AR685" s="54"/>
      <c r="AS685" s="53"/>
      <c r="AT685" s="54"/>
      <c r="AU685" s="53">
        <v>4.1666666666666699E-2</v>
      </c>
      <c r="AV685" s="54" t="s">
        <v>37</v>
      </c>
      <c r="AW685" s="57">
        <f t="shared" si="100"/>
        <v>4.1666666666666699E-2</v>
      </c>
      <c r="AX685" s="58" t="s">
        <v>260</v>
      </c>
    </row>
    <row r="686" spans="1:50" ht="21.75" customHeight="1">
      <c r="A686" s="38" t="s">
        <v>633</v>
      </c>
      <c r="B686" s="39">
        <f t="shared" si="99"/>
        <v>682</v>
      </c>
      <c r="C686" s="40">
        <v>46038</v>
      </c>
      <c r="D686" s="40" t="s">
        <v>32</v>
      </c>
      <c r="E686" s="40" t="s">
        <v>81</v>
      </c>
      <c r="F686" s="41">
        <v>756.8</v>
      </c>
      <c r="G686" s="42" t="s">
        <v>192</v>
      </c>
      <c r="H686" s="43" t="str">
        <f>IFERROR(VLOOKUP($J686,'[9]FROM (3)'!$E$4:$F$230,2,FALSE),"")</f>
        <v>JATH</v>
      </c>
      <c r="I686" s="44" t="str">
        <f t="shared" si="96"/>
        <v>JGF02-002190-31-2</v>
      </c>
      <c r="J686" s="44" t="str">
        <f t="shared" si="97"/>
        <v>RACK BAR BLANK (JGF02-002190-31-2) 5K45</v>
      </c>
      <c r="K686" s="59" t="str">
        <f t="shared" si="94"/>
        <v>PD25121244</v>
      </c>
      <c r="L686" s="46" t="str" cm="1">
        <f t="array" ref="L686">IFERROR(_xlfn.IFS(
    LEN($A686)-LEN(SUBSTITUTE($A686,"|",""))=12, RIGHT(A686, LEN(A686)-FIND("~", SUBSTITUTE(A686,"|","~", LEN(A686)-LEN(SUBSTITUTE(A686,"|",""))))),
    LEN($A686)-LEN(SUBSTITUTE($A686,"|",""))=13, MID($A686, FIND("~", SUBSTITUTE($A686,"|","~", 11))+1, FIND("~", SUBSTITUTE($A686,"|","~", 12))-FIND("~", SUBSTITUTE($A686,"|","~", 11))-1),
    LEN($A686)-LEN(SUBSTITUTE($A686,"|",""))=14, MID($A686, FIND("~", SUBSTITUTE($A686,"|","~", 11))+1, FIND("~", SUBSTITUTE($A686,"|","~", 12))-FIND("~", SUBSTITUTE($A686,"|","~", 11))-1)
), "")</f>
        <v>5A5658</v>
      </c>
      <c r="M686" s="47" t="str">
        <f t="shared" si="93"/>
        <v>TSK2</v>
      </c>
      <c r="N686" s="46" t="str">
        <f t="shared" si="95"/>
        <v>FB120363/12/25</v>
      </c>
      <c r="O686" s="60">
        <v>58</v>
      </c>
      <c r="P686" s="60">
        <v>280</v>
      </c>
      <c r="Q686" s="48">
        <v>58</v>
      </c>
      <c r="R686" s="48">
        <v>280</v>
      </c>
      <c r="S686" s="48"/>
      <c r="T686" s="48"/>
      <c r="U686" s="49"/>
      <c r="V686" s="49"/>
      <c r="W686" s="50">
        <f t="shared" si="92"/>
        <v>0</v>
      </c>
      <c r="X686" s="51" t="str">
        <f>IF(A686="", "", IF(COUNTIFS(C$3:C685, C686, D$3:D685, D686, G$3:G685, G686) &gt; 0, "", "11:00"-AW686))</f>
        <v/>
      </c>
      <c r="Y686" s="52" t="str">
        <f t="shared" si="98"/>
        <v/>
      </c>
      <c r="Z686" s="53"/>
      <c r="AA686" s="54"/>
      <c r="AB686" s="53"/>
      <c r="AC686" s="54"/>
      <c r="AD686" s="53"/>
      <c r="AE686" s="54"/>
      <c r="AF686" s="53"/>
      <c r="AG686" s="54"/>
      <c r="AH686" s="55">
        <v>4.1666666666666699E-2</v>
      </c>
      <c r="AI686" s="53"/>
      <c r="AJ686" s="54"/>
      <c r="AK686" s="53"/>
      <c r="AL686" s="54"/>
      <c r="AM686" s="53"/>
      <c r="AN686" s="54"/>
      <c r="AO686" s="53"/>
      <c r="AP686" s="54"/>
      <c r="AQ686" s="53"/>
      <c r="AR686" s="54"/>
      <c r="AS686" s="53"/>
      <c r="AT686" s="54"/>
      <c r="AU686" s="53">
        <v>4.1666666666666699E-2</v>
      </c>
      <c r="AV686" s="54" t="s">
        <v>37</v>
      </c>
      <c r="AW686" s="57">
        <f t="shared" si="100"/>
        <v>4.1666666666666699E-2</v>
      </c>
      <c r="AX686" s="58" t="s">
        <v>260</v>
      </c>
    </row>
    <row r="687" spans="1:50" ht="21.75" customHeight="1">
      <c r="A687" s="66" t="s">
        <v>634</v>
      </c>
      <c r="B687" s="39">
        <f t="shared" si="99"/>
        <v>683</v>
      </c>
      <c r="C687" s="40">
        <v>46038</v>
      </c>
      <c r="D687" s="40" t="s">
        <v>32</v>
      </c>
      <c r="E687" s="40" t="s">
        <v>81</v>
      </c>
      <c r="F687" s="41">
        <v>756.8</v>
      </c>
      <c r="G687" s="42" t="s">
        <v>192</v>
      </c>
      <c r="H687" s="43" t="str">
        <f>IFERROR(VLOOKUP($J687,'[9]FROM (3)'!$E$4:$F$230,2,FALSE),"")</f>
        <v>JATH</v>
      </c>
      <c r="I687" s="44" t="str">
        <f t="shared" si="96"/>
        <v>JGF02-002190-31-2</v>
      </c>
      <c r="J687" s="44" t="str">
        <f t="shared" si="97"/>
        <v>RACK BAR BLANK (JGF02-002190-31-2) 5K45</v>
      </c>
      <c r="K687" s="59" t="str">
        <f t="shared" si="94"/>
        <v>PD25121244</v>
      </c>
      <c r="L687" s="46" t="str" cm="1">
        <f t="array" ref="L687">IFERROR(_xlfn.IFS(
    LEN($A687)-LEN(SUBSTITUTE($A687,"|",""))=12, RIGHT(A687, LEN(A687)-FIND("~", SUBSTITUTE(A687,"|","~", LEN(A687)-LEN(SUBSTITUTE(A687,"|",""))))),
    LEN($A687)-LEN(SUBSTITUTE($A687,"|",""))=13, MID($A687, FIND("~", SUBSTITUTE($A687,"|","~", 11))+1, FIND("~", SUBSTITUTE($A687,"|","~", 12))-FIND("~", SUBSTITUTE($A687,"|","~", 11))-1),
    LEN($A687)-LEN(SUBSTITUTE($A687,"|",""))=14, MID($A687, FIND("~", SUBSTITUTE($A687,"|","~", 11))+1, FIND("~", SUBSTITUTE($A687,"|","~", 12))-FIND("~", SUBSTITUTE($A687,"|","~", 11))-1)
), "")</f>
        <v>5A5658</v>
      </c>
      <c r="M687" s="47" t="str">
        <f t="shared" si="93"/>
        <v>TSK2</v>
      </c>
      <c r="N687" s="46" t="str">
        <f t="shared" si="95"/>
        <v>FB120363/13/25</v>
      </c>
      <c r="O687" s="60">
        <v>58</v>
      </c>
      <c r="P687" s="60">
        <v>280</v>
      </c>
      <c r="Q687" s="48">
        <v>58</v>
      </c>
      <c r="R687" s="48">
        <v>280</v>
      </c>
      <c r="S687" s="48"/>
      <c r="T687" s="48"/>
      <c r="U687" s="49"/>
      <c r="V687" s="49"/>
      <c r="W687" s="50">
        <f t="shared" ref="W687:W750" si="101">SUM(U687:V687)</f>
        <v>0</v>
      </c>
      <c r="X687" s="51" t="str">
        <f>IF(A687="", "", IF(COUNTIFS(C$3:C686, C687, D$3:D686, D687, G$3:G686, G687) &gt; 0, "", "11:00"-AW687))</f>
        <v/>
      </c>
      <c r="Y687" s="52" t="str">
        <f t="shared" si="98"/>
        <v/>
      </c>
      <c r="Z687" s="53"/>
      <c r="AA687" s="54"/>
      <c r="AB687" s="53"/>
      <c r="AC687" s="54"/>
      <c r="AD687" s="53"/>
      <c r="AE687" s="54"/>
      <c r="AF687" s="53"/>
      <c r="AG687" s="54"/>
      <c r="AH687" s="55">
        <v>4.1666666666666699E-2</v>
      </c>
      <c r="AI687" s="53"/>
      <c r="AJ687" s="54"/>
      <c r="AK687" s="53"/>
      <c r="AL687" s="54"/>
      <c r="AM687" s="53"/>
      <c r="AN687" s="54"/>
      <c r="AO687" s="53"/>
      <c r="AP687" s="54"/>
      <c r="AQ687" s="53"/>
      <c r="AR687" s="54"/>
      <c r="AS687" s="53"/>
      <c r="AT687" s="54"/>
      <c r="AU687" s="53">
        <v>4.1666666666666699E-2</v>
      </c>
      <c r="AV687" s="54" t="s">
        <v>37</v>
      </c>
      <c r="AW687" s="57">
        <f t="shared" si="100"/>
        <v>4.1666666666666699E-2</v>
      </c>
      <c r="AX687" s="58" t="s">
        <v>260</v>
      </c>
    </row>
    <row r="688" spans="1:50" ht="21.75" customHeight="1">
      <c r="A688" s="66" t="s">
        <v>635</v>
      </c>
      <c r="B688" s="39">
        <f t="shared" si="99"/>
        <v>684</v>
      </c>
      <c r="C688" s="40">
        <v>46041</v>
      </c>
      <c r="D688" s="40" t="s">
        <v>32</v>
      </c>
      <c r="E688" s="40" t="s">
        <v>33</v>
      </c>
      <c r="F688" s="41">
        <v>765.7</v>
      </c>
      <c r="G688" s="42" t="s">
        <v>75</v>
      </c>
      <c r="H688" s="43" t="str">
        <f>IFERROR(VLOOKUP($J688,'[9]FROM (3)'!$E$4:$F$230,2,FALSE),"")</f>
        <v>JTCS</v>
      </c>
      <c r="I688" s="44" t="str">
        <f t="shared" si="96"/>
        <v>RACK, PS</v>
      </c>
      <c r="J688" s="44" t="str">
        <f t="shared" si="97"/>
        <v>JGD10-001230-40-0</v>
      </c>
      <c r="K688" s="59" t="str">
        <f t="shared" si="94"/>
        <v>PD26010051</v>
      </c>
      <c r="L688" s="46" t="str" cm="1">
        <f t="array" ref="L688">IFERROR(_xlfn.IFS(
    LEN($A688)-LEN(SUBSTITUTE($A688,"|",""))=12, RIGHT(A688, LEN(A688)-FIND("~", SUBSTITUTE(A688,"|","~", LEN(A688)-LEN(SUBSTITUTE(A688,"|",""))))),
    LEN($A688)-LEN(SUBSTITUTE($A688,"|",""))=13, MID($A688, FIND("~", SUBSTITUTE($A688,"|","~", 11))+1, FIND("~", SUBSTITUTE($A688,"|","~", 12))-FIND("~", SUBSTITUTE($A688,"|","~", 11))-1),
    LEN($A688)-LEN(SUBSTITUTE($A688,"|",""))=14, MID($A688, FIND("~", SUBSTITUTE($A688,"|","~", 11))+1, FIND("~", SUBSTITUTE($A688,"|","~", 12))-FIND("~", SUBSTITUTE($A688,"|","~", 11))-1)
), "")</f>
        <v>E586236</v>
      </c>
      <c r="M688" s="47" t="str">
        <f t="shared" si="93"/>
        <v>SB120196/6/25</v>
      </c>
      <c r="N688" s="46" t="str">
        <f t="shared" si="95"/>
        <v/>
      </c>
      <c r="O688" s="60">
        <v>0</v>
      </c>
      <c r="P688" s="60">
        <v>0</v>
      </c>
      <c r="Q688" s="48">
        <v>136</v>
      </c>
      <c r="R688" s="48">
        <v>677</v>
      </c>
      <c r="S688" s="48"/>
      <c r="T688" s="48"/>
      <c r="U688" s="49">
        <v>80</v>
      </c>
      <c r="V688" s="49">
        <v>8</v>
      </c>
      <c r="W688" s="50">
        <f t="shared" si="101"/>
        <v>88</v>
      </c>
      <c r="X688" s="51">
        <f>IF(A688="", "", IF(COUNTIFS(C$3:C687, C688, D$3:D687, D688, G$3:G687, G688) &gt; 0, "", "11:00"-AW688))</f>
        <v>0.29166666666666663</v>
      </c>
      <c r="Y688" s="52" t="str">
        <f t="shared" si="98"/>
        <v>1:0</v>
      </c>
      <c r="Z688" s="53"/>
      <c r="AA688" s="54"/>
      <c r="AB688" s="53">
        <v>4.1666666666666664E-2</v>
      </c>
      <c r="AC688" s="54" t="s">
        <v>67</v>
      </c>
      <c r="AD688" s="53"/>
      <c r="AE688" s="54"/>
      <c r="AF688" s="53"/>
      <c r="AG688" s="54"/>
      <c r="AH688" s="55">
        <v>4.1666666666666699E-2</v>
      </c>
      <c r="AI688" s="53"/>
      <c r="AJ688" s="54"/>
      <c r="AK688" s="53"/>
      <c r="AL688" s="54"/>
      <c r="AM688" s="53"/>
      <c r="AN688" s="54"/>
      <c r="AO688" s="53"/>
      <c r="AP688" s="54"/>
      <c r="AQ688" s="53">
        <v>4.1666666666666664E-2</v>
      </c>
      <c r="AR688" s="54" t="s">
        <v>37</v>
      </c>
      <c r="AS688" s="53">
        <v>4.1666666666666664E-2</v>
      </c>
      <c r="AT688" s="54" t="s">
        <v>37</v>
      </c>
      <c r="AU688" s="53">
        <v>4.1666666666666699E-2</v>
      </c>
      <c r="AV688" s="54" t="s">
        <v>37</v>
      </c>
      <c r="AW688" s="57">
        <f t="shared" si="100"/>
        <v>0.16666666666666669</v>
      </c>
      <c r="AX688" s="58" t="s">
        <v>77</v>
      </c>
    </row>
    <row r="689" spans="1:50" ht="21.75" customHeight="1">
      <c r="A689" s="66" t="s">
        <v>636</v>
      </c>
      <c r="B689" s="39">
        <f t="shared" si="99"/>
        <v>685</v>
      </c>
      <c r="C689" s="40">
        <v>46041</v>
      </c>
      <c r="D689" s="40" t="s">
        <v>32</v>
      </c>
      <c r="E689" s="40" t="s">
        <v>33</v>
      </c>
      <c r="F689" s="41">
        <v>548.4</v>
      </c>
      <c r="G689" s="42" t="s">
        <v>75</v>
      </c>
      <c r="H689" s="43" t="str">
        <f>IFERROR(VLOOKUP($J689,'[9]FROM (3)'!$E$4:$F$230,2,FALSE),"")</f>
        <v>JTCS</v>
      </c>
      <c r="I689" s="44" t="str">
        <f t="shared" si="96"/>
        <v>RACK BAR</v>
      </c>
      <c r="J689" s="44" t="str">
        <f t="shared" si="97"/>
        <v>JGC10S002020-B</v>
      </c>
      <c r="K689" s="59" t="str">
        <f t="shared" si="94"/>
        <v>PD26010755</v>
      </c>
      <c r="L689" s="46" t="str" cm="1">
        <f t="array" ref="L689">IFERROR(_xlfn.IFS(
    LEN($A689)-LEN(SUBSTITUTE($A689,"|",""))=12, RIGHT(A689, LEN(A689)-FIND("~", SUBSTITUTE(A689,"|","~", LEN(A689)-LEN(SUBSTITUTE(A689,"|",""))))),
    LEN($A689)-LEN(SUBSTITUTE($A689,"|",""))=13, MID($A689, FIND("~", SUBSTITUTE($A689,"|","~", 11))+1, FIND("~", SUBSTITUTE($A689,"|","~", 12))-FIND("~", SUBSTITUTE($A689,"|","~", 11))-1),
    LEN($A689)-LEN(SUBSTITUTE($A689,"|",""))=14, MID($A689, FIND("~", SUBSTITUTE($A689,"|","~", 11))+1, FIND("~", SUBSTITUTE($A689,"|","~", 12))-FIND("~", SUBSTITUTE($A689,"|","~", 11))-1)
), "")</f>
        <v>E586664</v>
      </c>
      <c r="M689" s="47" t="str">
        <f t="shared" si="93"/>
        <v>SB010074/2/26</v>
      </c>
      <c r="N689" s="46" t="str">
        <f t="shared" si="95"/>
        <v/>
      </c>
      <c r="O689" s="60">
        <v>60</v>
      </c>
      <c r="P689" s="60">
        <v>878</v>
      </c>
      <c r="Q689" s="48">
        <v>360</v>
      </c>
      <c r="R689" s="48">
        <v>822</v>
      </c>
      <c r="S689" s="48"/>
      <c r="T689" s="48"/>
      <c r="U689" s="49"/>
      <c r="V689" s="49"/>
      <c r="W689" s="50">
        <f t="shared" si="101"/>
        <v>0</v>
      </c>
      <c r="X689" s="51" t="str">
        <f>IF(A689="", "", IF(COUNTIFS(C$3:C688, C689, D$3:D688, D689, G$3:G688, G689) &gt; 0, "", "11:00"-AW689))</f>
        <v/>
      </c>
      <c r="Y689" s="52" t="str">
        <f t="shared" si="98"/>
        <v/>
      </c>
      <c r="Z689" s="53"/>
      <c r="AA689" s="54"/>
      <c r="AB689" s="53"/>
      <c r="AC689" s="54"/>
      <c r="AD689" s="53"/>
      <c r="AE689" s="54"/>
      <c r="AF689" s="53"/>
      <c r="AG689" s="54"/>
      <c r="AH689" s="55">
        <v>4.1666666666666699E-2</v>
      </c>
      <c r="AI689" s="53"/>
      <c r="AJ689" s="54"/>
      <c r="AK689" s="53"/>
      <c r="AL689" s="54"/>
      <c r="AM689" s="53"/>
      <c r="AN689" s="54"/>
      <c r="AO689" s="53"/>
      <c r="AP689" s="54"/>
      <c r="AQ689" s="53"/>
      <c r="AR689" s="54"/>
      <c r="AS689" s="53"/>
      <c r="AT689" s="54"/>
      <c r="AU689" s="53">
        <v>4.1666666666666699E-2</v>
      </c>
      <c r="AV689" s="54" t="s">
        <v>37</v>
      </c>
      <c r="AW689" s="57">
        <f t="shared" si="100"/>
        <v>4.1666666666666699E-2</v>
      </c>
      <c r="AX689" s="58" t="s">
        <v>77</v>
      </c>
    </row>
    <row r="690" spans="1:50" ht="21.75" customHeight="1">
      <c r="A690" s="66" t="s">
        <v>637</v>
      </c>
      <c r="B690" s="39">
        <f t="shared" si="99"/>
        <v>686</v>
      </c>
      <c r="C690" s="40">
        <v>46041</v>
      </c>
      <c r="D690" s="40" t="s">
        <v>32</v>
      </c>
      <c r="E690" s="40" t="s">
        <v>33</v>
      </c>
      <c r="F690" s="41">
        <v>548.4</v>
      </c>
      <c r="G690" s="42" t="s">
        <v>75</v>
      </c>
      <c r="H690" s="43" t="str">
        <f>IFERROR(VLOOKUP($J690,'[9]FROM (3)'!$E$4:$F$230,2,FALSE),"")</f>
        <v>JTCS</v>
      </c>
      <c r="I690" s="44" t="str">
        <f t="shared" si="96"/>
        <v>RACK BAR</v>
      </c>
      <c r="J690" s="44" t="str">
        <f t="shared" si="97"/>
        <v>JGC10S002020-B</v>
      </c>
      <c r="K690" s="59" t="str">
        <f t="shared" si="94"/>
        <v>PD26010755</v>
      </c>
      <c r="L690" s="46" t="str" cm="1">
        <f t="array" ref="L690">IFERROR(_xlfn.IFS(
    LEN($A690)-LEN(SUBSTITUTE($A690,"|",""))=12, RIGHT(A690, LEN(A690)-FIND("~", SUBSTITUTE(A690,"|","~", LEN(A690)-LEN(SUBSTITUTE(A690,"|",""))))),
    LEN($A690)-LEN(SUBSTITUTE($A690,"|",""))=13, MID($A690, FIND("~", SUBSTITUTE($A690,"|","~", 11))+1, FIND("~", SUBSTITUTE($A690,"|","~", 12))-FIND("~", SUBSTITUTE($A690,"|","~", 11))-1),
    LEN($A690)-LEN(SUBSTITUTE($A690,"|",""))=14, MID($A690, FIND("~", SUBSTITUTE($A690,"|","~", 11))+1, FIND("~", SUBSTITUTE($A690,"|","~", 12))-FIND("~", SUBSTITUTE($A690,"|","~", 11))-1)
), "")</f>
        <v>E586664</v>
      </c>
      <c r="M690" s="47" t="str">
        <f t="shared" si="93"/>
        <v>SB010074/1/26</v>
      </c>
      <c r="N690" s="46" t="str">
        <f t="shared" si="95"/>
        <v/>
      </c>
      <c r="O690" s="60">
        <v>60</v>
      </c>
      <c r="P690" s="60">
        <v>878</v>
      </c>
      <c r="Q690" s="48">
        <v>354</v>
      </c>
      <c r="R690" s="48">
        <v>808</v>
      </c>
      <c r="S690" s="48">
        <v>6</v>
      </c>
      <c r="T690" s="48" t="s">
        <v>167</v>
      </c>
      <c r="U690" s="49">
        <v>89</v>
      </c>
      <c r="V690" s="49">
        <v>7</v>
      </c>
      <c r="W690" s="50">
        <f t="shared" si="101"/>
        <v>96</v>
      </c>
      <c r="X690" s="51" t="str">
        <f>IF(A690="", "", IF(COUNTIFS(C$3:C689, C690, D$3:D689, D690, G$3:G689, G690) &gt; 0, "", "11:00"-AW690))</f>
        <v/>
      </c>
      <c r="Y690" s="52" t="str">
        <f t="shared" si="98"/>
        <v/>
      </c>
      <c r="Z690" s="53"/>
      <c r="AA690" s="54"/>
      <c r="AB690" s="53"/>
      <c r="AC690" s="54"/>
      <c r="AD690" s="53"/>
      <c r="AE690" s="54"/>
      <c r="AF690" s="53"/>
      <c r="AG690" s="54"/>
      <c r="AH690" s="55">
        <v>4.1666666666666699E-2</v>
      </c>
      <c r="AI690" s="53"/>
      <c r="AJ690" s="54"/>
      <c r="AK690" s="53"/>
      <c r="AL690" s="54"/>
      <c r="AM690" s="53"/>
      <c r="AN690" s="54"/>
      <c r="AO690" s="53"/>
      <c r="AP690" s="54"/>
      <c r="AQ690" s="53"/>
      <c r="AR690" s="54"/>
      <c r="AS690" s="53"/>
      <c r="AT690" s="54"/>
      <c r="AU690" s="53">
        <v>4.1666666666666699E-2</v>
      </c>
      <c r="AV690" s="54" t="s">
        <v>37</v>
      </c>
      <c r="AW690" s="57">
        <f t="shared" si="100"/>
        <v>4.1666666666666699E-2</v>
      </c>
      <c r="AX690" s="58" t="s">
        <v>77</v>
      </c>
    </row>
    <row r="691" spans="1:50" ht="21.75" customHeight="1">
      <c r="A691" s="66" t="s">
        <v>638</v>
      </c>
      <c r="B691" s="39">
        <f t="shared" si="99"/>
        <v>687</v>
      </c>
      <c r="C691" s="40">
        <v>46041</v>
      </c>
      <c r="D691" s="40" t="s">
        <v>32</v>
      </c>
      <c r="E691" s="40" t="s">
        <v>33</v>
      </c>
      <c r="F691" s="41">
        <v>655.4</v>
      </c>
      <c r="G691" s="42" t="s">
        <v>85</v>
      </c>
      <c r="H691" s="43" t="str">
        <f>IFERROR(VLOOKUP($J691,'[9]FROM (3)'!$E$4:$F$230,2,FALSE),"")</f>
        <v>JAMY</v>
      </c>
      <c r="I691" s="44" t="str">
        <f t="shared" si="96"/>
        <v>RACK BAR</v>
      </c>
      <c r="J691" s="44" t="str">
        <f t="shared" si="97"/>
        <v>JGC10-M09008-51-0</v>
      </c>
      <c r="K691" s="59" t="str">
        <f t="shared" si="94"/>
        <v>PD26010748</v>
      </c>
      <c r="L691" s="46" t="str" cm="1">
        <f t="array" ref="L691">IFERROR(_xlfn.IFS(
    LEN($A691)-LEN(SUBSTITUTE($A691,"|",""))=12, RIGHT(A691, LEN(A691)-FIND("~", SUBSTITUTE(A691,"|","~", LEN(A691)-LEN(SUBSTITUTE(A691,"|",""))))),
    LEN($A691)-LEN(SUBSTITUTE($A691,"|",""))=13, MID($A691, FIND("~", SUBSTITUTE($A691,"|","~", 11))+1, FIND("~", SUBSTITUTE($A691,"|","~", 12))-FIND("~", SUBSTITUTE($A691,"|","~", 11))-1),
    LEN($A691)-LEN(SUBSTITUTE($A691,"|",""))=14, MID($A691, FIND("~", SUBSTITUTE($A691,"|","~", 11))+1, FIND("~", SUBSTITUTE($A691,"|","~", 12))-FIND("~", SUBSTITUTE($A691,"|","~", 11))-1)
), "")</f>
        <v>E586966</v>
      </c>
      <c r="M691" s="47" t="str">
        <f t="shared" si="93"/>
        <v>SB010076/1/26</v>
      </c>
      <c r="N691" s="46" t="str">
        <f t="shared" si="95"/>
        <v/>
      </c>
      <c r="O691" s="60"/>
      <c r="P691" s="60"/>
      <c r="Q691" s="48">
        <v>242</v>
      </c>
      <c r="R691" s="48">
        <v>661</v>
      </c>
      <c r="S691" s="48">
        <v>2</v>
      </c>
      <c r="T691" s="48" t="s">
        <v>167</v>
      </c>
      <c r="U691" s="49">
        <v>82</v>
      </c>
      <c r="V691" s="49">
        <v>5</v>
      </c>
      <c r="W691" s="50">
        <f t="shared" si="101"/>
        <v>87</v>
      </c>
      <c r="X691" s="51">
        <f>IF(A691="", "", IF(COUNTIFS(C$3:C690, C691, D$3:D690, D691, G$3:G690, G691) &gt; 0, "", "11:00"-AW691))</f>
        <v>0.41666666666666663</v>
      </c>
      <c r="Y691" s="52" t="str">
        <f t="shared" si="98"/>
        <v>1:40</v>
      </c>
      <c r="Z691" s="53"/>
      <c r="AA691" s="54"/>
      <c r="AB691" s="53"/>
      <c r="AC691" s="54"/>
      <c r="AD691" s="53"/>
      <c r="AE691" s="54"/>
      <c r="AF691" s="53"/>
      <c r="AG691" s="54"/>
      <c r="AH691" s="55">
        <v>4.1666666666666699E-2</v>
      </c>
      <c r="AI691" s="53"/>
      <c r="AJ691" s="54"/>
      <c r="AK691" s="53"/>
      <c r="AL691" s="54"/>
      <c r="AM691" s="53"/>
      <c r="AN691" s="54"/>
      <c r="AO691" s="53"/>
      <c r="AP691" s="54"/>
      <c r="AQ691" s="53"/>
      <c r="AR691" s="54"/>
      <c r="AS691" s="53"/>
      <c r="AT691" s="54"/>
      <c r="AU691" s="53">
        <v>4.1666666666666699E-2</v>
      </c>
      <c r="AV691" s="54" t="s">
        <v>37</v>
      </c>
      <c r="AW691" s="57">
        <f t="shared" si="100"/>
        <v>4.1666666666666699E-2</v>
      </c>
      <c r="AX691" s="58" t="s">
        <v>117</v>
      </c>
    </row>
    <row r="692" spans="1:50" ht="21.75" customHeight="1">
      <c r="A692" s="66" t="s">
        <v>639</v>
      </c>
      <c r="B692" s="39">
        <f t="shared" si="99"/>
        <v>688</v>
      </c>
      <c r="C692" s="40">
        <v>46041</v>
      </c>
      <c r="D692" s="40" t="s">
        <v>32</v>
      </c>
      <c r="E692" s="40" t="s">
        <v>33</v>
      </c>
      <c r="F692" s="41">
        <v>565.20000000000005</v>
      </c>
      <c r="G692" s="42" t="s">
        <v>85</v>
      </c>
      <c r="H692" s="43" t="str">
        <f>IFERROR(VLOOKUP($J692,'[9]FROM (3)'!$E$4:$F$230,2,FALSE),"")</f>
        <v>JTCS</v>
      </c>
      <c r="I692" s="44" t="str">
        <f t="shared" si="96"/>
        <v>RACK, MS</v>
      </c>
      <c r="J692" s="44" t="str">
        <f t="shared" si="97"/>
        <v>JGC10-003040-40-0</v>
      </c>
      <c r="K692" s="59" t="str">
        <f t="shared" si="94"/>
        <v>PD26010719</v>
      </c>
      <c r="L692" s="46" t="str" cm="1">
        <f t="array" ref="L692">IFERROR(_xlfn.IFS(
    LEN($A692)-LEN(SUBSTITUTE($A692,"|",""))=12, RIGHT(A692, LEN(A692)-FIND("~", SUBSTITUTE(A692,"|","~", LEN(A692)-LEN(SUBSTITUTE(A692,"|",""))))),
    LEN($A692)-LEN(SUBSTITUTE($A692,"|",""))=13, MID($A692, FIND("~", SUBSTITUTE($A692,"|","~", 11))+1, FIND("~", SUBSTITUTE($A692,"|","~", 12))-FIND("~", SUBSTITUTE($A692,"|","~", 11))-1),
    LEN($A692)-LEN(SUBSTITUTE($A692,"|",""))=14, MID($A692, FIND("~", SUBSTITUTE($A692,"|","~", 11))+1, FIND("~", SUBSTITUTE($A692,"|","~", 12))-FIND("~", SUBSTITUTE($A692,"|","~", 11))-1)
), "")</f>
        <v>E585615</v>
      </c>
      <c r="M692" s="47" t="str">
        <f t="shared" si="93"/>
        <v>SB120004/4/25</v>
      </c>
      <c r="N692" s="46" t="str">
        <f t="shared" si="95"/>
        <v/>
      </c>
      <c r="O692" s="60">
        <v>6</v>
      </c>
      <c r="P692" s="60">
        <v>92</v>
      </c>
      <c r="Q692" s="48">
        <v>30</v>
      </c>
      <c r="R692" s="48">
        <v>71</v>
      </c>
      <c r="S692" s="48"/>
      <c r="T692" s="48"/>
      <c r="U692" s="49"/>
      <c r="V692" s="49"/>
      <c r="W692" s="50">
        <f t="shared" si="101"/>
        <v>0</v>
      </c>
      <c r="X692" s="51" t="str">
        <f>IF(A692="", "", IF(COUNTIFS(C$3:C691, C692, D$3:D691, D692, G$3:G691, G692) &gt; 0, "", "11:00"-AW692))</f>
        <v/>
      </c>
      <c r="Y692" s="52" t="str">
        <f t="shared" si="98"/>
        <v/>
      </c>
      <c r="Z692" s="53"/>
      <c r="AA692" s="54"/>
      <c r="AB692" s="53"/>
      <c r="AC692" s="54"/>
      <c r="AD692" s="53">
        <v>4.1666666666666664E-2</v>
      </c>
      <c r="AE692" s="54" t="s">
        <v>67</v>
      </c>
      <c r="AF692" s="53"/>
      <c r="AG692" s="54"/>
      <c r="AH692" s="55">
        <v>4.1666666666666699E-2</v>
      </c>
      <c r="AI692" s="53"/>
      <c r="AJ692" s="54"/>
      <c r="AK692" s="53"/>
      <c r="AL692" s="54"/>
      <c r="AM692" s="53"/>
      <c r="AN692" s="54"/>
      <c r="AO692" s="53"/>
      <c r="AP692" s="54"/>
      <c r="AQ692" s="53"/>
      <c r="AR692" s="54"/>
      <c r="AS692" s="53"/>
      <c r="AT692" s="54"/>
      <c r="AU692" s="53">
        <v>4.1666666666666699E-2</v>
      </c>
      <c r="AV692" s="54" t="s">
        <v>37</v>
      </c>
      <c r="AW692" s="57">
        <f t="shared" si="100"/>
        <v>8.333333333333337E-2</v>
      </c>
      <c r="AX692" s="58" t="s">
        <v>117</v>
      </c>
    </row>
    <row r="693" spans="1:50" ht="21.75" customHeight="1">
      <c r="A693" s="66" t="s">
        <v>640</v>
      </c>
      <c r="B693" s="39">
        <f t="shared" si="99"/>
        <v>689</v>
      </c>
      <c r="C693" s="40">
        <v>46041</v>
      </c>
      <c r="D693" s="40" t="s">
        <v>32</v>
      </c>
      <c r="E693" s="40" t="s">
        <v>33</v>
      </c>
      <c r="F693" s="41">
        <v>565.20000000000005</v>
      </c>
      <c r="G693" s="42" t="s">
        <v>85</v>
      </c>
      <c r="H693" s="43" t="str">
        <f>IFERROR(VLOOKUP($J693,'[9]FROM (3)'!$E$4:$F$230,2,FALSE),"")</f>
        <v>JTCS</v>
      </c>
      <c r="I693" s="44" t="str">
        <f t="shared" si="96"/>
        <v>RACK, MS</v>
      </c>
      <c r="J693" s="44" t="str">
        <f t="shared" si="97"/>
        <v>JGC10-003040-40-0</v>
      </c>
      <c r="K693" s="59" t="str">
        <f t="shared" si="94"/>
        <v>PD26010719</v>
      </c>
      <c r="L693" s="46" t="str" cm="1">
        <f t="array" ref="L693">IFERROR(_xlfn.IFS(
    LEN($A693)-LEN(SUBSTITUTE($A693,"|",""))=12, RIGHT(A693, LEN(A693)-FIND("~", SUBSTITUTE(A693,"|","~", LEN(A693)-LEN(SUBSTITUTE(A693,"|",""))))),
    LEN($A693)-LEN(SUBSTITUTE($A693,"|",""))=13, MID($A693, FIND("~", SUBSTITUTE($A693,"|","~", 11))+1, FIND("~", SUBSTITUTE($A693,"|","~", 12))-FIND("~", SUBSTITUTE($A693,"|","~", 11))-1),
    LEN($A693)-LEN(SUBSTITUTE($A693,"|",""))=14, MID($A693, FIND("~", SUBSTITUTE($A693,"|","~", 11))+1, FIND("~", SUBSTITUTE($A693,"|","~", 12))-FIND("~", SUBSTITUTE($A693,"|","~", 11))-1)
), "")</f>
        <v>E585615</v>
      </c>
      <c r="M693" s="47" t="str">
        <f t="shared" si="93"/>
        <v>SB120004/5/25</v>
      </c>
      <c r="N693" s="46" t="str">
        <f t="shared" si="95"/>
        <v/>
      </c>
      <c r="O693" s="60">
        <v>10</v>
      </c>
      <c r="P693" s="60">
        <v>154</v>
      </c>
      <c r="Q693" s="48">
        <v>60</v>
      </c>
      <c r="R693" s="48">
        <v>141</v>
      </c>
      <c r="S693" s="48"/>
      <c r="T693" s="48"/>
      <c r="U693" s="49"/>
      <c r="V693" s="49"/>
      <c r="W693" s="50">
        <f t="shared" si="101"/>
        <v>0</v>
      </c>
      <c r="X693" s="51" t="str">
        <f>IF(A693="", "", IF(COUNTIFS(C$3:C692, C693, D$3:D692, D693, G$3:G692, G693) &gt; 0, "", "11:00"-AW693))</f>
        <v/>
      </c>
      <c r="Y693" s="52" t="str">
        <f t="shared" si="98"/>
        <v/>
      </c>
      <c r="Z693" s="53"/>
      <c r="AA693" s="54"/>
      <c r="AB693" s="53"/>
      <c r="AC693" s="54"/>
      <c r="AD693" s="53"/>
      <c r="AE693" s="54"/>
      <c r="AF693" s="53"/>
      <c r="AG693" s="54"/>
      <c r="AH693" s="55">
        <v>4.1666666666666699E-2</v>
      </c>
      <c r="AI693" s="53"/>
      <c r="AJ693" s="54"/>
      <c r="AK693" s="53"/>
      <c r="AL693" s="54"/>
      <c r="AM693" s="53"/>
      <c r="AN693" s="54"/>
      <c r="AO693" s="53"/>
      <c r="AP693" s="54"/>
      <c r="AQ693" s="53"/>
      <c r="AR693" s="54"/>
      <c r="AS693" s="53"/>
      <c r="AT693" s="54"/>
      <c r="AU693" s="53">
        <v>4.1666666666666699E-2</v>
      </c>
      <c r="AV693" s="54" t="s">
        <v>37</v>
      </c>
      <c r="AW693" s="57">
        <f t="shared" si="100"/>
        <v>4.1666666666666699E-2</v>
      </c>
      <c r="AX693" s="58" t="s">
        <v>117</v>
      </c>
    </row>
    <row r="694" spans="1:50" ht="21.75" customHeight="1">
      <c r="A694" s="66" t="s">
        <v>641</v>
      </c>
      <c r="B694" s="39">
        <f t="shared" si="99"/>
        <v>690</v>
      </c>
      <c r="C694" s="40">
        <v>46041</v>
      </c>
      <c r="D694" s="40" t="s">
        <v>32</v>
      </c>
      <c r="E694" s="40" t="s">
        <v>33</v>
      </c>
      <c r="F694" s="41">
        <v>565.20000000000005</v>
      </c>
      <c r="G694" s="42" t="s">
        <v>85</v>
      </c>
      <c r="H694" s="43" t="str">
        <f>IFERROR(VLOOKUP($J694,'[9]FROM (3)'!$E$4:$F$230,2,FALSE),"")</f>
        <v>JTCS</v>
      </c>
      <c r="I694" s="44" t="str">
        <f t="shared" si="96"/>
        <v>RACK, MS</v>
      </c>
      <c r="J694" s="44" t="str">
        <f t="shared" si="97"/>
        <v>JGC10-003040-40-0</v>
      </c>
      <c r="K694" s="59" t="str">
        <f t="shared" si="94"/>
        <v>PD26010719</v>
      </c>
      <c r="L694" s="46" t="str" cm="1">
        <f t="array" ref="L694">IFERROR(_xlfn.IFS(
    LEN($A694)-LEN(SUBSTITUTE($A694,"|",""))=12, RIGHT(A694, LEN(A694)-FIND("~", SUBSTITUTE(A694,"|","~", LEN(A694)-LEN(SUBSTITUTE(A694,"|",""))))),
    LEN($A694)-LEN(SUBSTITUTE($A694,"|",""))=13, MID($A694, FIND("~", SUBSTITUTE($A694,"|","~", 11))+1, FIND("~", SUBSTITUTE($A694,"|","~", 12))-FIND("~", SUBSTITUTE($A694,"|","~", 11))-1),
    LEN($A694)-LEN(SUBSTITUTE($A694,"|",""))=14, MID($A694, FIND("~", SUBSTITUTE($A694,"|","~", 11))+1, FIND("~", SUBSTITUTE($A694,"|","~", 12))-FIND("~", SUBSTITUTE($A694,"|","~", 11))-1)
), "")</f>
        <v>E585615</v>
      </c>
      <c r="M694" s="47" t="str">
        <f t="shared" si="93"/>
        <v>SB120004/7/25</v>
      </c>
      <c r="N694" s="46" t="str">
        <f t="shared" si="95"/>
        <v/>
      </c>
      <c r="O694" s="60">
        <v>1</v>
      </c>
      <c r="P694" s="60">
        <v>15</v>
      </c>
      <c r="Q694" s="48">
        <v>11</v>
      </c>
      <c r="R694" s="48">
        <v>26</v>
      </c>
      <c r="S694" s="48">
        <v>1</v>
      </c>
      <c r="T694" s="48" t="s">
        <v>143</v>
      </c>
      <c r="U694" s="49"/>
      <c r="V694" s="49"/>
      <c r="W694" s="50">
        <f t="shared" si="101"/>
        <v>0</v>
      </c>
      <c r="X694" s="51" t="str">
        <f>IF(A694="", "", IF(COUNTIFS(C$3:C693, C694, D$3:D693, D694, G$3:G693, G694) &gt; 0, "", "11:00"-AW694))</f>
        <v/>
      </c>
      <c r="Y694" s="52" t="str">
        <f t="shared" si="98"/>
        <v/>
      </c>
      <c r="Z694" s="53"/>
      <c r="AA694" s="54"/>
      <c r="AB694" s="53"/>
      <c r="AC694" s="54"/>
      <c r="AD694" s="53"/>
      <c r="AE694" s="54"/>
      <c r="AF694" s="53"/>
      <c r="AG694" s="54"/>
      <c r="AH694" s="55">
        <v>4.1666666666666699E-2</v>
      </c>
      <c r="AI694" s="53"/>
      <c r="AJ694" s="54"/>
      <c r="AK694" s="53"/>
      <c r="AL694" s="54"/>
      <c r="AM694" s="53"/>
      <c r="AN694" s="54"/>
      <c r="AO694" s="53"/>
      <c r="AP694" s="54"/>
      <c r="AQ694" s="53"/>
      <c r="AR694" s="54"/>
      <c r="AS694" s="53"/>
      <c r="AT694" s="54"/>
      <c r="AU694" s="53">
        <v>4.1666666666666699E-2</v>
      </c>
      <c r="AV694" s="54" t="s">
        <v>37</v>
      </c>
      <c r="AW694" s="57">
        <f t="shared" si="100"/>
        <v>4.1666666666666699E-2</v>
      </c>
      <c r="AX694" s="58" t="s">
        <v>117</v>
      </c>
    </row>
    <row r="695" spans="1:50" ht="21.75" customHeight="1">
      <c r="A695" s="66" t="s">
        <v>642</v>
      </c>
      <c r="B695" s="39">
        <f t="shared" si="99"/>
        <v>691</v>
      </c>
      <c r="C695" s="40">
        <v>46041</v>
      </c>
      <c r="D695" s="40" t="s">
        <v>32</v>
      </c>
      <c r="E695" s="40" t="s">
        <v>33</v>
      </c>
      <c r="F695" s="41">
        <v>565.20000000000005</v>
      </c>
      <c r="G695" s="42" t="s">
        <v>85</v>
      </c>
      <c r="H695" s="43" t="str">
        <f>IFERROR(VLOOKUP($J695,'[9]FROM (3)'!$E$4:$F$230,2,FALSE),"")</f>
        <v>JTCS</v>
      </c>
      <c r="I695" s="44" t="str">
        <f t="shared" si="96"/>
        <v>RACK, MS</v>
      </c>
      <c r="J695" s="44" t="str">
        <f t="shared" si="97"/>
        <v>JGC10-003040-40-0</v>
      </c>
      <c r="K695" s="59" t="str">
        <f t="shared" si="94"/>
        <v>PD26010719</v>
      </c>
      <c r="L695" s="46" t="str" cm="1">
        <f t="array" ref="L695">IFERROR(_xlfn.IFS(
    LEN($A695)-LEN(SUBSTITUTE($A695,"|",""))=12, RIGHT(A695, LEN(A695)-FIND("~", SUBSTITUTE(A695,"|","~", LEN(A695)-LEN(SUBSTITUTE(A695,"|",""))))),
    LEN($A695)-LEN(SUBSTITUTE($A695,"|",""))=13, MID($A695, FIND("~", SUBSTITUTE($A695,"|","~", 11))+1, FIND("~", SUBSTITUTE($A695,"|","~", 12))-FIND("~", SUBSTITUTE($A695,"|","~", 11))-1),
    LEN($A695)-LEN(SUBSTITUTE($A695,"|",""))=14, MID($A695, FIND("~", SUBSTITUTE($A695,"|","~", 11))+1, FIND("~", SUBSTITUTE($A695,"|","~", 12))-FIND("~", SUBSTITUTE($A695,"|","~", 11))-1)
), "")</f>
        <v>E585615</v>
      </c>
      <c r="M695" s="47" t="str">
        <f t="shared" si="93"/>
        <v>SB120004/6/25</v>
      </c>
      <c r="N695" s="46" t="str">
        <f t="shared" si="95"/>
        <v/>
      </c>
      <c r="O695" s="60">
        <v>5</v>
      </c>
      <c r="P695" s="60">
        <v>77</v>
      </c>
      <c r="Q695" s="48">
        <v>30</v>
      </c>
      <c r="R695" s="48">
        <v>71</v>
      </c>
      <c r="S695" s="48"/>
      <c r="T695" s="48"/>
      <c r="U695" s="49">
        <v>18</v>
      </c>
      <c r="V695" s="49">
        <v>1</v>
      </c>
      <c r="W695" s="50">
        <f t="shared" si="101"/>
        <v>19</v>
      </c>
      <c r="X695" s="51" t="str">
        <f>IF(A695="", "", IF(COUNTIFS(C$3:C694, C695, D$3:D694, D695, G$3:G694, G695) &gt; 0, "", "11:00"-AW695))</f>
        <v/>
      </c>
      <c r="Y695" s="52" t="str">
        <f t="shared" si="98"/>
        <v/>
      </c>
      <c r="Z695" s="53"/>
      <c r="AA695" s="54"/>
      <c r="AB695" s="53"/>
      <c r="AC695" s="54"/>
      <c r="AD695" s="53"/>
      <c r="AE695" s="54"/>
      <c r="AF695" s="53"/>
      <c r="AG695" s="54"/>
      <c r="AH695" s="55">
        <v>4.1666666666666699E-2</v>
      </c>
      <c r="AI695" s="53"/>
      <c r="AJ695" s="54"/>
      <c r="AK695" s="53"/>
      <c r="AL695" s="54"/>
      <c r="AM695" s="53"/>
      <c r="AN695" s="54"/>
      <c r="AO695" s="53"/>
      <c r="AP695" s="54"/>
      <c r="AQ695" s="53"/>
      <c r="AR695" s="54"/>
      <c r="AS695" s="53"/>
      <c r="AT695" s="54"/>
      <c r="AU695" s="53">
        <v>4.1666666666666699E-2</v>
      </c>
      <c r="AV695" s="54" t="s">
        <v>37</v>
      </c>
      <c r="AW695" s="57">
        <f t="shared" si="100"/>
        <v>4.1666666666666699E-2</v>
      </c>
      <c r="AX695" s="58" t="s">
        <v>117</v>
      </c>
    </row>
    <row r="696" spans="1:50" ht="21.75" customHeight="1">
      <c r="A696" s="66" t="s">
        <v>643</v>
      </c>
      <c r="B696" s="39">
        <f t="shared" si="99"/>
        <v>692</v>
      </c>
      <c r="C696" s="40">
        <v>46041</v>
      </c>
      <c r="D696" s="40" t="s">
        <v>32</v>
      </c>
      <c r="E696" s="40" t="s">
        <v>33</v>
      </c>
      <c r="F696" s="41">
        <v>655.4</v>
      </c>
      <c r="G696" s="42" t="s">
        <v>66</v>
      </c>
      <c r="H696" s="43" t="str">
        <f>IFERROR(VLOOKUP($J696,'[9]FROM (3)'!$E$4:$F$230,2,FALSE),"")</f>
        <v>JAMY</v>
      </c>
      <c r="I696" s="44" t="str">
        <f t="shared" si="96"/>
        <v>RACK BAR</v>
      </c>
      <c r="J696" s="44" t="str">
        <f t="shared" si="97"/>
        <v>JGC10-M09008-51-0</v>
      </c>
      <c r="K696" s="59" t="str">
        <f t="shared" si="94"/>
        <v>PD26010752</v>
      </c>
      <c r="L696" s="46" t="str" cm="1">
        <f t="array" ref="L696">IFERROR(_xlfn.IFS(
    LEN($A696)-LEN(SUBSTITUTE($A696,"|",""))=12, RIGHT(A696, LEN(A696)-FIND("~", SUBSTITUTE(A696,"|","~", LEN(A696)-LEN(SUBSTITUTE(A696,"|",""))))),
    LEN($A696)-LEN(SUBSTITUTE($A696,"|",""))=13, MID($A696, FIND("~", SUBSTITUTE($A696,"|","~", 11))+1, FIND("~", SUBSTITUTE($A696,"|","~", 12))-FIND("~", SUBSTITUTE($A696,"|","~", 11))-1),
    LEN($A696)-LEN(SUBSTITUTE($A696,"|",""))=14, MID($A696, FIND("~", SUBSTITUTE($A696,"|","~", 11))+1, FIND("~", SUBSTITUTE($A696,"|","~", 12))-FIND("~", SUBSTITUTE($A696,"|","~", 11))-1)
), "")</f>
        <v>E586966</v>
      </c>
      <c r="M696" s="47" t="str">
        <f t="shared" si="93"/>
        <v>SB010077/4/26</v>
      </c>
      <c r="N696" s="46" t="str">
        <f t="shared" si="95"/>
        <v/>
      </c>
      <c r="O696" s="60" t="s">
        <v>35</v>
      </c>
      <c r="P696" s="60" t="s">
        <v>35</v>
      </c>
      <c r="Q696" s="48">
        <v>158</v>
      </c>
      <c r="R696" s="48">
        <v>431</v>
      </c>
      <c r="S696" s="48"/>
      <c r="T696" s="48"/>
      <c r="U696" s="49">
        <v>85</v>
      </c>
      <c r="V696" s="49">
        <v>5</v>
      </c>
      <c r="W696" s="50">
        <f t="shared" si="101"/>
        <v>90</v>
      </c>
      <c r="X696" s="51">
        <f>IF(A696="", "", IF(COUNTIFS(C$3:C695, C696, D$3:D695, D696, G$3:G695, G696) &gt; 0, "", "11:00"-AW696))</f>
        <v>0.27083333333333331</v>
      </c>
      <c r="Y696" s="52" t="str">
        <f t="shared" si="98"/>
        <v>1:0</v>
      </c>
      <c r="Z696" s="53"/>
      <c r="AA696" s="54"/>
      <c r="AB696" s="53">
        <v>1.3888888888888888E-2</v>
      </c>
      <c r="AC696" s="54" t="s">
        <v>122</v>
      </c>
      <c r="AD696" s="53"/>
      <c r="AE696" s="54"/>
      <c r="AF696" s="53"/>
      <c r="AG696" s="54"/>
      <c r="AH696" s="55">
        <v>4.1666666666666699E-2</v>
      </c>
      <c r="AI696" s="53"/>
      <c r="AJ696" s="54"/>
      <c r="AK696" s="53">
        <v>4.1666666666666664E-2</v>
      </c>
      <c r="AL696" s="54" t="s">
        <v>129</v>
      </c>
      <c r="AM696" s="53">
        <v>6.9444444444444441E-3</v>
      </c>
      <c r="AN696" s="54" t="s">
        <v>122</v>
      </c>
      <c r="AO696" s="53"/>
      <c r="AP696" s="54"/>
      <c r="AQ696" s="53">
        <v>4.1666666666666664E-2</v>
      </c>
      <c r="AR696" s="54" t="s">
        <v>37</v>
      </c>
      <c r="AS696" s="53">
        <v>4.1666666666666664E-2</v>
      </c>
      <c r="AT696" s="54" t="s">
        <v>37</v>
      </c>
      <c r="AU696" s="53">
        <v>4.1666666666666699E-2</v>
      </c>
      <c r="AV696" s="54" t="s">
        <v>37</v>
      </c>
      <c r="AW696" s="57">
        <f t="shared" si="100"/>
        <v>0.1875</v>
      </c>
      <c r="AX696" s="58" t="s">
        <v>48</v>
      </c>
    </row>
    <row r="697" spans="1:50" ht="21.75" customHeight="1">
      <c r="A697" s="66" t="s">
        <v>644</v>
      </c>
      <c r="B697" s="39">
        <f t="shared" si="99"/>
        <v>693</v>
      </c>
      <c r="C697" s="40">
        <v>46041</v>
      </c>
      <c r="D697" s="40" t="s">
        <v>32</v>
      </c>
      <c r="E697" s="40" t="s">
        <v>33</v>
      </c>
      <c r="F697" s="41">
        <v>655.4</v>
      </c>
      <c r="G697" s="42" t="s">
        <v>66</v>
      </c>
      <c r="H697" s="43" t="str">
        <f>IFERROR(VLOOKUP($J697,'[9]FROM (3)'!$E$4:$F$230,2,FALSE),"")</f>
        <v>JAMY</v>
      </c>
      <c r="I697" s="44" t="str">
        <f t="shared" si="96"/>
        <v>RACK BAR</v>
      </c>
      <c r="J697" s="44" t="str">
        <f t="shared" si="97"/>
        <v>JGC10-M09008-51-0</v>
      </c>
      <c r="K697" s="59" t="str">
        <f t="shared" si="94"/>
        <v>PD26010751</v>
      </c>
      <c r="L697" s="46" t="str" cm="1">
        <f t="array" ref="L697">IFERROR(_xlfn.IFS(
    LEN($A697)-LEN(SUBSTITUTE($A697,"|",""))=12, RIGHT(A697, LEN(A697)-FIND("~", SUBSTITUTE(A697,"|","~", LEN(A697)-LEN(SUBSTITUTE(A697,"|",""))))),
    LEN($A697)-LEN(SUBSTITUTE($A697,"|",""))=13, MID($A697, FIND("~", SUBSTITUTE($A697,"|","~", 11))+1, FIND("~", SUBSTITUTE($A697,"|","~", 12))-FIND("~", SUBSTITUTE($A697,"|","~", 11))-1),
    LEN($A697)-LEN(SUBSTITUTE($A697,"|",""))=14, MID($A697, FIND("~", SUBSTITUTE($A697,"|","~", 11))+1, FIND("~", SUBSTITUTE($A697,"|","~", 12))-FIND("~", SUBSTITUTE($A697,"|","~", 11))-1)
), "")</f>
        <v>E586966</v>
      </c>
      <c r="M697" s="47" t="str">
        <f t="shared" si="93"/>
        <v>SB010077/2/26</v>
      </c>
      <c r="N697" s="46" t="str">
        <f t="shared" si="95"/>
        <v/>
      </c>
      <c r="O697" s="60">
        <v>60</v>
      </c>
      <c r="P697" s="60">
        <v>872</v>
      </c>
      <c r="Q697" s="48">
        <v>300</v>
      </c>
      <c r="R697" s="48">
        <v>819</v>
      </c>
      <c r="S697" s="48"/>
      <c r="T697" s="48"/>
      <c r="U697" s="49">
        <v>76</v>
      </c>
      <c r="V697" s="49">
        <v>5</v>
      </c>
      <c r="W697" s="50">
        <f t="shared" si="101"/>
        <v>81</v>
      </c>
      <c r="X697" s="51" t="str">
        <f>IF(A697="", "", IF(COUNTIFS(C$3:C696, C697, D$3:D696, D697, G$3:G696, G697) &gt; 0, "", "11:00"-AW697))</f>
        <v/>
      </c>
      <c r="Y697" s="52" t="str">
        <f t="shared" si="98"/>
        <v/>
      </c>
      <c r="Z697" s="53"/>
      <c r="AA697" s="54"/>
      <c r="AB697" s="53"/>
      <c r="AC697" s="54"/>
      <c r="AD697" s="53"/>
      <c r="AE697" s="54"/>
      <c r="AF697" s="53"/>
      <c r="AG697" s="54"/>
      <c r="AH697" s="55">
        <v>4.1666666666666699E-2</v>
      </c>
      <c r="AI697" s="53"/>
      <c r="AJ697" s="54"/>
      <c r="AK697" s="53"/>
      <c r="AL697" s="54"/>
      <c r="AM697" s="53"/>
      <c r="AN697" s="54"/>
      <c r="AO697" s="53"/>
      <c r="AP697" s="54"/>
      <c r="AQ697" s="53">
        <v>4.1666666666666664E-2</v>
      </c>
      <c r="AR697" s="54" t="s">
        <v>37</v>
      </c>
      <c r="AS697" s="53">
        <v>4.1666666666666664E-2</v>
      </c>
      <c r="AT697" s="54" t="s">
        <v>37</v>
      </c>
      <c r="AU697" s="53">
        <v>4.1666666666666699E-2</v>
      </c>
      <c r="AV697" s="54" t="s">
        <v>37</v>
      </c>
      <c r="AW697" s="57">
        <f t="shared" si="100"/>
        <v>0.12500000000000003</v>
      </c>
      <c r="AX697" s="58" t="s">
        <v>48</v>
      </c>
    </row>
    <row r="698" spans="1:50" ht="21.75" customHeight="1">
      <c r="A698" s="66" t="s">
        <v>645</v>
      </c>
      <c r="B698" s="39">
        <f t="shared" si="99"/>
        <v>694</v>
      </c>
      <c r="C698" s="40">
        <v>46041</v>
      </c>
      <c r="D698" s="40" t="s">
        <v>32</v>
      </c>
      <c r="E698" s="40" t="s">
        <v>33</v>
      </c>
      <c r="F698" s="41">
        <v>655.4</v>
      </c>
      <c r="G698" s="42" t="s">
        <v>66</v>
      </c>
      <c r="H698" s="43" t="str">
        <f>IFERROR(VLOOKUP($J698,'[9]FROM (3)'!$E$4:$F$230,2,FALSE),"")</f>
        <v>JAMY</v>
      </c>
      <c r="I698" s="44" t="str">
        <f t="shared" si="96"/>
        <v>RACK BAR</v>
      </c>
      <c r="J698" s="44" t="str">
        <f t="shared" si="97"/>
        <v>JGC10-M09008-51-0</v>
      </c>
      <c r="K698" s="59" t="str">
        <f t="shared" si="94"/>
        <v>PD26010751</v>
      </c>
      <c r="L698" s="46" t="str" cm="1">
        <f t="array" ref="L698">IFERROR(_xlfn.IFS(
    LEN($A698)-LEN(SUBSTITUTE($A698,"|",""))=12, RIGHT(A698, LEN(A698)-FIND("~", SUBSTITUTE(A698,"|","~", LEN(A698)-LEN(SUBSTITUTE(A698,"|",""))))),
    LEN($A698)-LEN(SUBSTITUTE($A698,"|",""))=13, MID($A698, FIND("~", SUBSTITUTE($A698,"|","~", 11))+1, FIND("~", SUBSTITUTE($A698,"|","~", 12))-FIND("~", SUBSTITUTE($A698,"|","~", 11))-1),
    LEN($A698)-LEN(SUBSTITUTE($A698,"|",""))=14, MID($A698, FIND("~", SUBSTITUTE($A698,"|","~", 11))+1, FIND("~", SUBSTITUTE($A698,"|","~", 12))-FIND("~", SUBSTITUTE($A698,"|","~", 11))-1)
), "")</f>
        <v>E586966</v>
      </c>
      <c r="M698" s="47" t="str">
        <f t="shared" si="93"/>
        <v>SB010077/1/26</v>
      </c>
      <c r="N698" s="46" t="str">
        <f t="shared" si="95"/>
        <v/>
      </c>
      <c r="O698" s="60">
        <v>46</v>
      </c>
      <c r="P698" s="60">
        <v>668</v>
      </c>
      <c r="Q698" s="48">
        <v>227</v>
      </c>
      <c r="R698" s="48">
        <v>620</v>
      </c>
      <c r="S698" s="48">
        <v>3</v>
      </c>
      <c r="T698" s="48" t="s">
        <v>167</v>
      </c>
      <c r="U698" s="49"/>
      <c r="V698" s="49"/>
      <c r="W698" s="50">
        <f t="shared" si="101"/>
        <v>0</v>
      </c>
      <c r="X698" s="51" t="str">
        <f>IF(A698="", "", IF(COUNTIFS(C$3:C697, C698, D$3:D697, D698, G$3:G697, G698) &gt; 0, "", "11:00"-AW698))</f>
        <v/>
      </c>
      <c r="Y698" s="52" t="str">
        <f t="shared" si="98"/>
        <v/>
      </c>
      <c r="Z698" s="53"/>
      <c r="AA698" s="54"/>
      <c r="AB698" s="53"/>
      <c r="AC698" s="54"/>
      <c r="AD698" s="53"/>
      <c r="AE698" s="54"/>
      <c r="AF698" s="53"/>
      <c r="AG698" s="54"/>
      <c r="AH698" s="55">
        <v>4.1666666666666699E-2</v>
      </c>
      <c r="AI698" s="53"/>
      <c r="AJ698" s="54"/>
      <c r="AK698" s="53"/>
      <c r="AL698" s="54"/>
      <c r="AM698" s="53"/>
      <c r="AN698" s="54"/>
      <c r="AO698" s="53"/>
      <c r="AP698" s="54"/>
      <c r="AQ698" s="53">
        <v>4.1666666666666664E-2</v>
      </c>
      <c r="AR698" s="54" t="s">
        <v>37</v>
      </c>
      <c r="AS698" s="53">
        <v>4.1666666666666664E-2</v>
      </c>
      <c r="AT698" s="54" t="s">
        <v>37</v>
      </c>
      <c r="AU698" s="53">
        <v>4.1666666666666699E-2</v>
      </c>
      <c r="AV698" s="54" t="s">
        <v>37</v>
      </c>
      <c r="AW698" s="57">
        <f t="shared" si="100"/>
        <v>0.12500000000000003</v>
      </c>
      <c r="AX698" s="58" t="s">
        <v>48</v>
      </c>
    </row>
    <row r="699" spans="1:50" ht="21.75" customHeight="1">
      <c r="A699" s="66" t="s">
        <v>646</v>
      </c>
      <c r="B699" s="39">
        <f t="shared" si="99"/>
        <v>695</v>
      </c>
      <c r="C699" s="40">
        <v>46041</v>
      </c>
      <c r="D699" s="40" t="s">
        <v>32</v>
      </c>
      <c r="E699" s="40" t="s">
        <v>33</v>
      </c>
      <c r="F699" s="41">
        <v>655.4</v>
      </c>
      <c r="G699" s="42" t="s">
        <v>66</v>
      </c>
      <c r="H699" s="43" t="str">
        <f>IFERROR(VLOOKUP($J699,'[9]FROM (3)'!$E$4:$F$230,2,FALSE),"")</f>
        <v>JAMY</v>
      </c>
      <c r="I699" s="44" t="str">
        <f t="shared" si="96"/>
        <v>RACK BAR</v>
      </c>
      <c r="J699" s="44" t="str">
        <f t="shared" si="97"/>
        <v>JGC10-M09008-51-0</v>
      </c>
      <c r="K699" s="59" t="str">
        <f t="shared" si="94"/>
        <v>PD26010753</v>
      </c>
      <c r="L699" s="46" t="str" cm="1">
        <f t="array" ref="L699">IFERROR(_xlfn.IFS(
    LEN($A699)-LEN(SUBSTITUTE($A699,"|",""))=12, RIGHT(A699, LEN(A699)-FIND("~", SUBSTITUTE(A699,"|","~", LEN(A699)-LEN(SUBSTITUTE(A699,"|",""))))),
    LEN($A699)-LEN(SUBSTITUTE($A699,"|",""))=13, MID($A699, FIND("~", SUBSTITUTE($A699,"|","~", 11))+1, FIND("~", SUBSTITUTE($A699,"|","~", 12))-FIND("~", SUBSTITUTE($A699,"|","~", 11))-1),
    LEN($A699)-LEN(SUBSTITUTE($A699,"|",""))=14, MID($A699, FIND("~", SUBSTITUTE($A699,"|","~", 11))+1, FIND("~", SUBSTITUTE($A699,"|","~", 12))-FIND("~", SUBSTITUTE($A699,"|","~", 11))-1)
), "")</f>
        <v>E586966</v>
      </c>
      <c r="M699" s="47" t="str">
        <f t="shared" si="93"/>
        <v>SB010077/5/26</v>
      </c>
      <c r="N699" s="46" t="str">
        <f t="shared" si="95"/>
        <v/>
      </c>
      <c r="O699" s="60">
        <v>60</v>
      </c>
      <c r="P699" s="60">
        <v>872</v>
      </c>
      <c r="Q699" s="48">
        <v>148</v>
      </c>
      <c r="R699" s="48">
        <v>404</v>
      </c>
      <c r="S699" s="48">
        <v>29</v>
      </c>
      <c r="T699" s="48" t="s">
        <v>167</v>
      </c>
      <c r="U699" s="49"/>
      <c r="V699" s="49"/>
      <c r="W699" s="50">
        <f t="shared" si="101"/>
        <v>0</v>
      </c>
      <c r="X699" s="51" t="str">
        <f>IF(A699="", "", IF(COUNTIFS(C$3:C698, C699, D$3:D698, D699, G$3:G698, G699) &gt; 0, "", "11:00"-AW699))</f>
        <v/>
      </c>
      <c r="Y699" s="52" t="str">
        <f t="shared" si="98"/>
        <v/>
      </c>
      <c r="Z699" s="53"/>
      <c r="AA699" s="54"/>
      <c r="AB699" s="53"/>
      <c r="AC699" s="54"/>
      <c r="AD699" s="53"/>
      <c r="AE699" s="54"/>
      <c r="AF699" s="53"/>
      <c r="AG699" s="54"/>
      <c r="AH699" s="55">
        <v>4.1666666666666699E-2</v>
      </c>
      <c r="AI699" s="53"/>
      <c r="AJ699" s="54"/>
      <c r="AK699" s="53"/>
      <c r="AL699" s="54"/>
      <c r="AM699" s="53"/>
      <c r="AN699" s="54"/>
      <c r="AO699" s="53"/>
      <c r="AP699" s="54"/>
      <c r="AQ699" s="53">
        <v>4.1666666666666664E-2</v>
      </c>
      <c r="AR699" s="54" t="s">
        <v>37</v>
      </c>
      <c r="AS699" s="53">
        <v>4.1666666666666664E-2</v>
      </c>
      <c r="AT699" s="54" t="s">
        <v>37</v>
      </c>
      <c r="AU699" s="53">
        <v>4.1666666666666699E-2</v>
      </c>
      <c r="AV699" s="54" t="s">
        <v>37</v>
      </c>
      <c r="AW699" s="57">
        <f t="shared" si="100"/>
        <v>0.12500000000000003</v>
      </c>
      <c r="AX699" s="58" t="s">
        <v>48</v>
      </c>
    </row>
    <row r="700" spans="1:50" ht="21.75" customHeight="1">
      <c r="A700" s="66" t="s">
        <v>647</v>
      </c>
      <c r="B700" s="39">
        <f t="shared" si="99"/>
        <v>696</v>
      </c>
      <c r="C700" s="40">
        <v>46041</v>
      </c>
      <c r="D700" s="40" t="s">
        <v>32</v>
      </c>
      <c r="E700" s="40" t="s">
        <v>33</v>
      </c>
      <c r="F700" s="41">
        <v>747.3</v>
      </c>
      <c r="G700" s="42" t="s">
        <v>54</v>
      </c>
      <c r="H700" s="43" t="str">
        <f>IFERROR(VLOOKUP($J700,'[9]FROM (3)'!$E$4:$F$230,2,FALSE),"")</f>
        <v>JTCS</v>
      </c>
      <c r="I700" s="44" t="str">
        <f t="shared" si="96"/>
        <v>RACK BAR</v>
      </c>
      <c r="J700" s="44" t="str">
        <f t="shared" si="97"/>
        <v>JGD10S000800-B</v>
      </c>
      <c r="K700" s="59" t="str">
        <f t="shared" si="94"/>
        <v>PD26010417</v>
      </c>
      <c r="L700" s="46" t="str" cm="1">
        <f t="array" ref="L700">IFERROR(_xlfn.IFS(
    LEN($A700)-LEN(SUBSTITUTE($A700,"|",""))=12, RIGHT(A700, LEN(A700)-FIND("~", SUBSTITUTE(A700,"|","~", LEN(A700)-LEN(SUBSTITUTE(A700,"|",""))))),
    LEN($A700)-LEN(SUBSTITUTE($A700,"|",""))=13, MID($A700, FIND("~", SUBSTITUTE($A700,"|","~", 11))+1, FIND("~", SUBSTITUTE($A700,"|","~", 12))-FIND("~", SUBSTITUTE($A700,"|","~", 11))-1),
    LEN($A700)-LEN(SUBSTITUTE($A700,"|",""))=14, MID($A700, FIND("~", SUBSTITUTE($A700,"|","~", 11))+1, FIND("~", SUBSTITUTE($A700,"|","~", 12))-FIND("~", SUBSTITUTE($A700,"|","~", 11))-1)
), "")</f>
        <v>E586236</v>
      </c>
      <c r="M700" s="47" t="str">
        <f t="shared" si="93"/>
        <v>SB010039/4/26</v>
      </c>
      <c r="N700" s="46" t="str">
        <f t="shared" si="95"/>
        <v/>
      </c>
      <c r="O700" s="60"/>
      <c r="P700" s="60"/>
      <c r="Q700" s="48">
        <v>116</v>
      </c>
      <c r="R700" s="48">
        <v>556</v>
      </c>
      <c r="S700" s="48"/>
      <c r="T700" s="48"/>
      <c r="U700" s="49"/>
      <c r="V700" s="49"/>
      <c r="W700" s="50">
        <f t="shared" si="101"/>
        <v>0</v>
      </c>
      <c r="X700" s="51">
        <f>IF(A700="", "", IF(COUNTIFS(C$3:C699, C700, D$3:D699, D700, G$3:G699, G700) &gt; 0, "", "11:00"-AW700))</f>
        <v>0.29166666666666663</v>
      </c>
      <c r="Y700" s="52" t="str">
        <f t="shared" si="98"/>
        <v>1:0</v>
      </c>
      <c r="Z700" s="53"/>
      <c r="AA700" s="54"/>
      <c r="AB700" s="53"/>
      <c r="AC700" s="54"/>
      <c r="AD700" s="53"/>
      <c r="AE700" s="54"/>
      <c r="AF700" s="53"/>
      <c r="AG700" s="54"/>
      <c r="AH700" s="55">
        <v>4.1666666666666699E-2</v>
      </c>
      <c r="AI700" s="53"/>
      <c r="AJ700" s="54"/>
      <c r="AK700" s="53"/>
      <c r="AL700" s="54"/>
      <c r="AM700" s="53">
        <v>1.3888888888888888E-2</v>
      </c>
      <c r="AN700" s="54" t="s">
        <v>67</v>
      </c>
      <c r="AO700" s="53">
        <v>2.7777777777777776E-2</v>
      </c>
      <c r="AP700" s="54" t="s">
        <v>67</v>
      </c>
      <c r="AQ700" s="53">
        <v>4.1666666666666664E-2</v>
      </c>
      <c r="AR700" s="54" t="s">
        <v>37</v>
      </c>
      <c r="AS700" s="53">
        <v>4.1666666666666664E-2</v>
      </c>
      <c r="AT700" s="54" t="s">
        <v>37</v>
      </c>
      <c r="AU700" s="53">
        <v>4.1666666666666699E-2</v>
      </c>
      <c r="AV700" s="54" t="s">
        <v>37</v>
      </c>
      <c r="AW700" s="57">
        <f t="shared" si="100"/>
        <v>0.16666666666666669</v>
      </c>
      <c r="AX700" s="58" t="s">
        <v>56</v>
      </c>
    </row>
    <row r="701" spans="1:50" ht="21.75" customHeight="1">
      <c r="A701" s="66" t="s">
        <v>648</v>
      </c>
      <c r="B701" s="39">
        <f t="shared" si="99"/>
        <v>697</v>
      </c>
      <c r="C701" s="40">
        <v>46041</v>
      </c>
      <c r="D701" s="40" t="s">
        <v>32</v>
      </c>
      <c r="E701" s="40" t="s">
        <v>33</v>
      </c>
      <c r="F701" s="41">
        <v>747.3</v>
      </c>
      <c r="G701" s="42" t="s">
        <v>54</v>
      </c>
      <c r="H701" s="43" t="str">
        <f>IFERROR(VLOOKUP($J701,'[9]FROM (3)'!$E$4:$F$230,2,FALSE),"")</f>
        <v>JTCS</v>
      </c>
      <c r="I701" s="44" t="str">
        <f t="shared" si="96"/>
        <v>RACK BAR</v>
      </c>
      <c r="J701" s="44" t="str">
        <f t="shared" si="97"/>
        <v>JGD10S000800-B</v>
      </c>
      <c r="K701" s="59" t="str">
        <f t="shared" si="94"/>
        <v>PD26010417</v>
      </c>
      <c r="L701" s="46" t="str" cm="1">
        <f t="array" ref="L701">IFERROR(_xlfn.IFS(
    LEN($A701)-LEN(SUBSTITUTE($A701,"|",""))=12, RIGHT(A701, LEN(A701)-FIND("~", SUBSTITUTE(A701,"|","~", LEN(A701)-LEN(SUBSTITUTE(A701,"|",""))))),
    LEN($A701)-LEN(SUBSTITUTE($A701,"|",""))=13, MID($A701, FIND("~", SUBSTITUTE($A701,"|","~", 11))+1, FIND("~", SUBSTITUTE($A701,"|","~", 12))-FIND("~", SUBSTITUTE($A701,"|","~", 11))-1),
    LEN($A701)-LEN(SUBSTITUTE($A701,"|",""))=14, MID($A701, FIND("~", SUBSTITUTE($A701,"|","~", 11))+1, FIND("~", SUBSTITUTE($A701,"|","~", 12))-FIND("~", SUBSTITUTE($A701,"|","~", 11))-1)
), "")</f>
        <v>E586236</v>
      </c>
      <c r="M701" s="47" t="str">
        <f t="shared" si="93"/>
        <v>SB010039/5/26</v>
      </c>
      <c r="N701" s="46" t="str">
        <f t="shared" si="95"/>
        <v/>
      </c>
      <c r="O701" s="60">
        <v>48</v>
      </c>
      <c r="P701" s="60">
        <v>971</v>
      </c>
      <c r="Q701" s="48">
        <v>192</v>
      </c>
      <c r="R701" s="48">
        <v>920</v>
      </c>
      <c r="S701" s="48"/>
      <c r="T701" s="48"/>
      <c r="U701" s="49"/>
      <c r="V701" s="49"/>
      <c r="W701" s="50">
        <f t="shared" si="101"/>
        <v>0</v>
      </c>
      <c r="X701" s="51" t="str">
        <f>IF(A701="", "", IF(COUNTIFS(C$3:C700, C701, D$3:D700, D701, G$3:G700, G701) &gt; 0, "", "11:00"-AW701))</f>
        <v/>
      </c>
      <c r="Y701" s="52" t="str">
        <f t="shared" si="98"/>
        <v/>
      </c>
      <c r="Z701" s="53"/>
      <c r="AA701" s="54"/>
      <c r="AB701" s="53"/>
      <c r="AC701" s="54"/>
      <c r="AD701" s="53"/>
      <c r="AE701" s="54"/>
      <c r="AF701" s="53"/>
      <c r="AG701" s="54"/>
      <c r="AH701" s="55">
        <v>4.1666666666666699E-2</v>
      </c>
      <c r="AI701" s="53"/>
      <c r="AJ701" s="54"/>
      <c r="AK701" s="53"/>
      <c r="AL701" s="54"/>
      <c r="AM701" s="53"/>
      <c r="AN701" s="54"/>
      <c r="AO701" s="53"/>
      <c r="AP701" s="54"/>
      <c r="AQ701" s="53">
        <v>4.1666666666666664E-2</v>
      </c>
      <c r="AR701" s="54" t="s">
        <v>37</v>
      </c>
      <c r="AS701" s="53">
        <v>4.1666666666666664E-2</v>
      </c>
      <c r="AT701" s="54" t="s">
        <v>37</v>
      </c>
      <c r="AU701" s="53">
        <v>4.1666666666666699E-2</v>
      </c>
      <c r="AV701" s="54" t="s">
        <v>37</v>
      </c>
      <c r="AW701" s="57">
        <f t="shared" si="100"/>
        <v>0.12500000000000003</v>
      </c>
      <c r="AX701" s="58" t="s">
        <v>56</v>
      </c>
    </row>
    <row r="702" spans="1:50" ht="21.75" customHeight="1">
      <c r="A702" s="66" t="s">
        <v>649</v>
      </c>
      <c r="B702" s="39">
        <f t="shared" si="99"/>
        <v>698</v>
      </c>
      <c r="C702" s="40">
        <v>46041</v>
      </c>
      <c r="D702" s="40" t="s">
        <v>32</v>
      </c>
      <c r="E702" s="40" t="s">
        <v>33</v>
      </c>
      <c r="F702" s="41">
        <v>747.3</v>
      </c>
      <c r="G702" s="42" t="s">
        <v>54</v>
      </c>
      <c r="H702" s="43" t="str">
        <f>IFERROR(VLOOKUP($J702,'[9]FROM (3)'!$E$4:$F$230,2,FALSE),"")</f>
        <v>JTCS</v>
      </c>
      <c r="I702" s="44" t="str">
        <f t="shared" si="96"/>
        <v>RACK BAR</v>
      </c>
      <c r="J702" s="44" t="str">
        <f t="shared" si="97"/>
        <v>JGD10S000800-B</v>
      </c>
      <c r="K702" s="59" t="str">
        <f t="shared" si="94"/>
        <v>PD26010417</v>
      </c>
      <c r="L702" s="46" t="str" cm="1">
        <f t="array" ref="L702">IFERROR(_xlfn.IFS(
    LEN($A702)-LEN(SUBSTITUTE($A702,"|",""))=12, RIGHT(A702, LEN(A702)-FIND("~", SUBSTITUTE(A702,"|","~", LEN(A702)-LEN(SUBSTITUTE(A702,"|",""))))),
    LEN($A702)-LEN(SUBSTITUTE($A702,"|",""))=13, MID($A702, FIND("~", SUBSTITUTE($A702,"|","~", 11))+1, FIND("~", SUBSTITUTE($A702,"|","~", 12))-FIND("~", SUBSTITUTE($A702,"|","~", 11))-1),
    LEN($A702)-LEN(SUBSTITUTE($A702,"|",""))=14, MID($A702, FIND("~", SUBSTITUTE($A702,"|","~", 11))+1, FIND("~", SUBSTITUTE($A702,"|","~", 12))-FIND("~", SUBSTITUTE($A702,"|","~", 11))-1)
), "")</f>
        <v>E586236</v>
      </c>
      <c r="M702" s="47" t="str">
        <f t="shared" si="93"/>
        <v>SB010039/6/26</v>
      </c>
      <c r="N702" s="46" t="str">
        <f t="shared" si="95"/>
        <v/>
      </c>
      <c r="O702" s="60">
        <v>48</v>
      </c>
      <c r="P702" s="60">
        <v>971</v>
      </c>
      <c r="Q702" s="48">
        <v>192</v>
      </c>
      <c r="R702" s="48">
        <v>920</v>
      </c>
      <c r="S702" s="48"/>
      <c r="T702" s="48"/>
      <c r="U702" s="49">
        <v>159</v>
      </c>
      <c r="V702" s="49">
        <v>9</v>
      </c>
      <c r="W702" s="50">
        <f t="shared" si="101"/>
        <v>168</v>
      </c>
      <c r="X702" s="51" t="str">
        <f>IF(A702="", "", IF(COUNTIFS(C$3:C701, C702, D$3:D701, D702, G$3:G701, G702) &gt; 0, "", "11:00"-AW702))</f>
        <v/>
      </c>
      <c r="Y702" s="52" t="str">
        <f t="shared" si="98"/>
        <v/>
      </c>
      <c r="Z702" s="53"/>
      <c r="AA702" s="54"/>
      <c r="AB702" s="53"/>
      <c r="AC702" s="54"/>
      <c r="AD702" s="53"/>
      <c r="AE702" s="54"/>
      <c r="AF702" s="53"/>
      <c r="AG702" s="54"/>
      <c r="AH702" s="55">
        <v>4.1666666666666699E-2</v>
      </c>
      <c r="AI702" s="53"/>
      <c r="AJ702" s="54"/>
      <c r="AK702" s="53"/>
      <c r="AL702" s="54"/>
      <c r="AM702" s="53"/>
      <c r="AN702" s="54"/>
      <c r="AO702" s="53"/>
      <c r="AP702" s="54"/>
      <c r="AQ702" s="53">
        <v>4.1666666666666664E-2</v>
      </c>
      <c r="AR702" s="54" t="s">
        <v>37</v>
      </c>
      <c r="AS702" s="53">
        <v>4.1666666666666664E-2</v>
      </c>
      <c r="AT702" s="54" t="s">
        <v>37</v>
      </c>
      <c r="AU702" s="53">
        <v>4.1666666666666699E-2</v>
      </c>
      <c r="AV702" s="54" t="s">
        <v>37</v>
      </c>
      <c r="AW702" s="57">
        <f t="shared" si="100"/>
        <v>0.12500000000000003</v>
      </c>
      <c r="AX702" s="58" t="s">
        <v>56</v>
      </c>
    </row>
    <row r="703" spans="1:50" ht="21.75" customHeight="1">
      <c r="A703" s="66" t="s">
        <v>650</v>
      </c>
      <c r="B703" s="39">
        <f t="shared" si="99"/>
        <v>699</v>
      </c>
      <c r="C703" s="40">
        <v>46041</v>
      </c>
      <c r="D703" s="40" t="s">
        <v>32</v>
      </c>
      <c r="E703" s="40" t="s">
        <v>33</v>
      </c>
      <c r="F703" s="41">
        <v>630.4</v>
      </c>
      <c r="G703" s="42" t="s">
        <v>54</v>
      </c>
      <c r="H703" s="43" t="str">
        <f>IFERROR(VLOOKUP($J703,'[9]FROM (3)'!$E$4:$F$230,2,FALSE),"")</f>
        <v>JTCS</v>
      </c>
      <c r="I703" s="44" t="str">
        <f t="shared" si="96"/>
        <v>RACK, MS</v>
      </c>
      <c r="J703" s="44" t="str">
        <f t="shared" si="97"/>
        <v>JGC10-003140-40-0</v>
      </c>
      <c r="K703" s="59" t="str">
        <f t="shared" si="94"/>
        <v>PD26010758</v>
      </c>
      <c r="L703" s="46" t="str" cm="1">
        <f t="array" ref="L703">IFERROR(_xlfn.IFS(
    LEN($A703)-LEN(SUBSTITUTE($A703,"|",""))=12, RIGHT(A703, LEN(A703)-FIND("~", SUBSTITUTE(A703,"|","~", LEN(A703)-LEN(SUBSTITUTE(A703,"|",""))))),
    LEN($A703)-LEN(SUBSTITUTE($A703,"|",""))=13, MID($A703, FIND("~", SUBSTITUTE($A703,"|","~", 11))+1, FIND("~", SUBSTITUTE($A703,"|","~", 12))-FIND("~", SUBSTITUTE($A703,"|","~", 11))-1),
    LEN($A703)-LEN(SUBSTITUTE($A703,"|",""))=14, MID($A703, FIND("~", SUBSTITUTE($A703,"|","~", 11))+1, FIND("~", SUBSTITUTE($A703,"|","~", 12))-FIND("~", SUBSTITUTE($A703,"|","~", 11))-1)
), "")</f>
        <v>E586613</v>
      </c>
      <c r="M703" s="47" t="str">
        <f t="shared" si="93"/>
        <v>SB010067/3/26</v>
      </c>
      <c r="N703" s="46" t="str">
        <f t="shared" si="95"/>
        <v/>
      </c>
      <c r="O703" s="60">
        <v>60</v>
      </c>
      <c r="P703" s="60">
        <v>870</v>
      </c>
      <c r="Q703" s="48">
        <v>31</v>
      </c>
      <c r="R703" s="48">
        <v>81</v>
      </c>
      <c r="S703" s="48"/>
      <c r="T703" s="48"/>
      <c r="U703" s="49"/>
      <c r="V703" s="49"/>
      <c r="W703" s="50">
        <f t="shared" si="101"/>
        <v>0</v>
      </c>
      <c r="X703" s="51" t="str">
        <f>IF(A703="", "", IF(COUNTIFS(C$3:C702, C703, D$3:D702, D703, G$3:G702, G703) &gt; 0, "", "11:00"-AW703))</f>
        <v/>
      </c>
      <c r="Y703" s="52" t="str">
        <f t="shared" si="98"/>
        <v/>
      </c>
      <c r="Z703" s="53"/>
      <c r="AA703" s="54"/>
      <c r="AB703" s="53"/>
      <c r="AC703" s="54"/>
      <c r="AD703" s="53"/>
      <c r="AE703" s="54"/>
      <c r="AF703" s="53"/>
      <c r="AG703" s="54"/>
      <c r="AH703" s="55">
        <v>4.1666666666666699E-2</v>
      </c>
      <c r="AI703" s="53"/>
      <c r="AJ703" s="54"/>
      <c r="AK703" s="53"/>
      <c r="AL703" s="54"/>
      <c r="AM703" s="53"/>
      <c r="AN703" s="54"/>
      <c r="AO703" s="53"/>
      <c r="AP703" s="54"/>
      <c r="AQ703" s="53">
        <v>4.1666666666666664E-2</v>
      </c>
      <c r="AR703" s="54" t="s">
        <v>37</v>
      </c>
      <c r="AS703" s="53">
        <v>4.1666666666666664E-2</v>
      </c>
      <c r="AT703" s="54" t="s">
        <v>37</v>
      </c>
      <c r="AU703" s="53">
        <v>4.1666666666666699E-2</v>
      </c>
      <c r="AV703" s="54" t="s">
        <v>37</v>
      </c>
      <c r="AW703" s="57">
        <f t="shared" si="100"/>
        <v>0.12500000000000003</v>
      </c>
      <c r="AX703" s="58" t="s">
        <v>56</v>
      </c>
    </row>
    <row r="704" spans="1:50" ht="21.75" customHeight="1">
      <c r="A704" s="66" t="s">
        <v>651</v>
      </c>
      <c r="B704" s="39">
        <f t="shared" si="99"/>
        <v>700</v>
      </c>
      <c r="C704" s="40">
        <v>46041</v>
      </c>
      <c r="D704" s="40" t="s">
        <v>32</v>
      </c>
      <c r="E704" s="40" t="s">
        <v>33</v>
      </c>
      <c r="F704" s="41">
        <v>24</v>
      </c>
      <c r="G704" s="42" t="s">
        <v>41</v>
      </c>
      <c r="H704" s="43" t="str">
        <f>IFERROR(VLOOKUP($J704,'[9]FROM (3)'!$E$4:$F$230,2,FALSE),"")</f>
        <v>DNTH</v>
      </c>
      <c r="I704" s="44" t="str">
        <f t="shared" si="96"/>
        <v>PINION STARTER 2W</v>
      </c>
      <c r="J704" s="44" t="str">
        <f t="shared" si="97"/>
        <v>TG028987-7870</v>
      </c>
      <c r="K704" s="59" t="str">
        <f t="shared" si="94"/>
        <v>PD26010717</v>
      </c>
      <c r="L704" s="46" t="str" cm="1">
        <f t="array" ref="L704">IFERROR(_xlfn.IFS(
    LEN($A704)-LEN(SUBSTITUTE($A704,"|",""))=12, RIGHT(A704, LEN(A704)-FIND("~", SUBSTITUTE(A704,"|","~", LEN(A704)-LEN(SUBSTITUTE(A704,"|",""))))),
    LEN($A704)-LEN(SUBSTITUTE($A704,"|",""))=13, MID($A704, FIND("~", SUBSTITUTE($A704,"|","~", 11))+1, FIND("~", SUBSTITUTE($A704,"|","~", 12))-FIND("~", SUBSTITUTE($A704,"|","~", 11))-1),
    LEN($A704)-LEN(SUBSTITUTE($A704,"|",""))=14, MID($A704, FIND("~", SUBSTITUTE($A704,"|","~", 11))+1, FIND("~", SUBSTITUTE($A704,"|","~", 12))-FIND("~", SUBSTITUTE($A704,"|","~", 11))-1)
), "")</f>
        <v>E379606</v>
      </c>
      <c r="M704" s="47" t="str">
        <f t="shared" si="93"/>
        <v>SB010079/1/26</v>
      </c>
      <c r="N704" s="46" t="str">
        <f t="shared" si="95"/>
        <v/>
      </c>
      <c r="O704" s="60">
        <v>0</v>
      </c>
      <c r="P704" s="60">
        <v>0</v>
      </c>
      <c r="Q704" s="48">
        <v>920</v>
      </c>
      <c r="R704" s="48">
        <v>263</v>
      </c>
      <c r="S704" s="48"/>
      <c r="T704" s="48"/>
      <c r="U704" s="49">
        <v>32</v>
      </c>
      <c r="V704" s="49">
        <v>87</v>
      </c>
      <c r="W704" s="50">
        <f t="shared" si="101"/>
        <v>119</v>
      </c>
      <c r="X704" s="51">
        <f>IF(A704="", "", IF(COUNTIFS(C$3:C703, C704, D$3:D703, D704, G$3:G703, G704) &gt; 0, "", "11:00"-AW704))</f>
        <v>0.41666666666666663</v>
      </c>
      <c r="Y704" s="52" t="str">
        <f t="shared" si="98"/>
        <v>1:40</v>
      </c>
      <c r="Z704" s="53"/>
      <c r="AA704" s="54"/>
      <c r="AB704" s="53"/>
      <c r="AC704" s="54"/>
      <c r="AD704" s="53"/>
      <c r="AE704" s="54"/>
      <c r="AF704" s="53"/>
      <c r="AG704" s="54"/>
      <c r="AH704" s="55">
        <v>4.1666666666666699E-2</v>
      </c>
      <c r="AI704" s="53"/>
      <c r="AJ704" s="54"/>
      <c r="AK704" s="53"/>
      <c r="AL704" s="54"/>
      <c r="AM704" s="53"/>
      <c r="AN704" s="54"/>
      <c r="AO704" s="53"/>
      <c r="AP704" s="54"/>
      <c r="AQ704" s="53"/>
      <c r="AR704" s="54"/>
      <c r="AS704" s="53"/>
      <c r="AT704" s="54"/>
      <c r="AU704" s="53">
        <v>4.1666666666666699E-2</v>
      </c>
      <c r="AV704" s="54" t="s">
        <v>37</v>
      </c>
      <c r="AW704" s="57">
        <f t="shared" si="100"/>
        <v>4.1666666666666699E-2</v>
      </c>
      <c r="AX704" s="58" t="s">
        <v>64</v>
      </c>
    </row>
    <row r="705" spans="1:50" ht="21.75" customHeight="1">
      <c r="A705" s="66" t="s">
        <v>652</v>
      </c>
      <c r="B705" s="39">
        <f t="shared" si="99"/>
        <v>701</v>
      </c>
      <c r="C705" s="40">
        <v>46041</v>
      </c>
      <c r="D705" s="40" t="s">
        <v>32</v>
      </c>
      <c r="E705" s="40" t="s">
        <v>33</v>
      </c>
      <c r="F705" s="41">
        <v>24</v>
      </c>
      <c r="G705" s="42" t="s">
        <v>41</v>
      </c>
      <c r="H705" s="43" t="str">
        <f>IFERROR(VLOOKUP($J705,'[9]FROM (3)'!$E$4:$F$230,2,FALSE),"")</f>
        <v>DNTH</v>
      </c>
      <c r="I705" s="44" t="str">
        <f t="shared" si="96"/>
        <v>PINION STARTER 2W</v>
      </c>
      <c r="J705" s="44" t="str">
        <f t="shared" si="97"/>
        <v>TG028987-7870</v>
      </c>
      <c r="K705" s="59" t="str">
        <f t="shared" si="94"/>
        <v>PD26010718</v>
      </c>
      <c r="L705" s="46" t="str" cm="1">
        <f t="array" ref="L705">IFERROR(_xlfn.IFS(
    LEN($A705)-LEN(SUBSTITUTE($A705,"|",""))=12, RIGHT(A705, LEN(A705)-FIND("~", SUBSTITUTE(A705,"|","~", LEN(A705)-LEN(SUBSTITUTE(A705,"|",""))))),
    LEN($A705)-LEN(SUBSTITUTE($A705,"|",""))=13, MID($A705, FIND("~", SUBSTITUTE($A705,"|","~", 11))+1, FIND("~", SUBSTITUTE($A705,"|","~", 12))-FIND("~", SUBSTITUTE($A705,"|","~", 11))-1),
    LEN($A705)-LEN(SUBSTITUTE($A705,"|",""))=14, MID($A705, FIND("~", SUBSTITUTE($A705,"|","~", 11))+1, FIND("~", SUBSTITUTE($A705,"|","~", 12))-FIND("~", SUBSTITUTE($A705,"|","~", 11))-1)
), "")</f>
        <v>E586666</v>
      </c>
      <c r="M705" s="47" t="str">
        <f t="shared" si="93"/>
        <v>SB010080/1/26</v>
      </c>
      <c r="N705" s="46" t="str">
        <f t="shared" si="95"/>
        <v/>
      </c>
      <c r="O705" s="60">
        <v>15</v>
      </c>
      <c r="P705" s="60">
        <v>962</v>
      </c>
      <c r="Q705" s="48">
        <v>2106</v>
      </c>
      <c r="R705" s="48">
        <v>603</v>
      </c>
      <c r="S705" s="48"/>
      <c r="T705" s="48"/>
      <c r="U705" s="49"/>
      <c r="V705" s="49"/>
      <c r="W705" s="50">
        <f t="shared" si="101"/>
        <v>0</v>
      </c>
      <c r="X705" s="51" t="str">
        <f>IF(A705="", "", IF(COUNTIFS(C$3:C704, C705, D$3:D704, D705, G$3:G704, G705) &gt; 0, "", "11:00"-AW705))</f>
        <v/>
      </c>
      <c r="Y705" s="52" t="str">
        <f t="shared" si="98"/>
        <v/>
      </c>
      <c r="Z705" s="53"/>
      <c r="AA705" s="54"/>
      <c r="AB705" s="53"/>
      <c r="AC705" s="54"/>
      <c r="AD705" s="53"/>
      <c r="AE705" s="54"/>
      <c r="AF705" s="53"/>
      <c r="AG705" s="54"/>
      <c r="AH705" s="55">
        <v>4.1666666666666699E-2</v>
      </c>
      <c r="AI705" s="53"/>
      <c r="AJ705" s="54"/>
      <c r="AK705" s="53"/>
      <c r="AL705" s="54"/>
      <c r="AM705" s="53"/>
      <c r="AN705" s="54"/>
      <c r="AO705" s="53"/>
      <c r="AP705" s="54"/>
      <c r="AQ705" s="53"/>
      <c r="AR705" s="54"/>
      <c r="AS705" s="53"/>
      <c r="AT705" s="54"/>
      <c r="AU705" s="53">
        <v>4.1666666666666699E-2</v>
      </c>
      <c r="AV705" s="54" t="s">
        <v>37</v>
      </c>
      <c r="AW705" s="57">
        <f t="shared" si="100"/>
        <v>4.1666666666666699E-2</v>
      </c>
      <c r="AX705" s="58" t="s">
        <v>64</v>
      </c>
    </row>
    <row r="706" spans="1:50" ht="21.75" customHeight="1">
      <c r="A706" s="66" t="s">
        <v>653</v>
      </c>
      <c r="B706" s="39">
        <f t="shared" si="99"/>
        <v>702</v>
      </c>
      <c r="C706" s="40">
        <v>46041</v>
      </c>
      <c r="D706" s="40" t="s">
        <v>32</v>
      </c>
      <c r="E706" s="40" t="s">
        <v>33</v>
      </c>
      <c r="F706" s="41">
        <v>496</v>
      </c>
      <c r="G706" s="42" t="s">
        <v>34</v>
      </c>
      <c r="H706" s="43" t="str">
        <f>IFERROR(VLOOKUP($J706,'[9]FROM (3)'!$E$4:$F$230,2,FALSE),"")</f>
        <v>KONSEI</v>
      </c>
      <c r="I706" s="44" t="str">
        <f t="shared" si="96"/>
        <v>SHAFT FLUID COUPLING</v>
      </c>
      <c r="J706" s="44" t="str">
        <f t="shared" si="97"/>
        <v>214341-10210</v>
      </c>
      <c r="K706" s="59" t="str">
        <f t="shared" si="94"/>
        <v>PD26010716</v>
      </c>
      <c r="L706" s="46" t="str" cm="1">
        <f t="array" ref="L706">IFERROR(_xlfn.IFS(
    LEN($A706)-LEN(SUBSTITUTE($A706,"|",""))=12, RIGHT(A706, LEN(A706)-FIND("~", SUBSTITUTE(A706,"|","~", LEN(A706)-LEN(SUBSTITUTE(A706,"|",""))))),
    LEN($A706)-LEN(SUBSTITUTE($A706,"|",""))=13, MID($A706, FIND("~", SUBSTITUTE($A706,"|","~", 11))+1, FIND("~", SUBSTITUTE($A706,"|","~", 12))-FIND("~", SUBSTITUTE($A706,"|","~", 11))-1),
    LEN($A706)-LEN(SUBSTITUTE($A706,"|",""))=14, MID($A706, FIND("~", SUBSTITUTE($A706,"|","~", 11))+1, FIND("~", SUBSTITUTE($A706,"|","~", 12))-FIND("~", SUBSTITUTE($A706,"|","~", 11))-1)
), "")</f>
        <v>E584968</v>
      </c>
      <c r="M706" s="47" t="str">
        <f t="shared" si="93"/>
        <v>SB010078/1/26</v>
      </c>
      <c r="N706" s="46" t="str">
        <f t="shared" si="95"/>
        <v/>
      </c>
      <c r="O706" s="60">
        <v>0</v>
      </c>
      <c r="P706" s="60">
        <v>0</v>
      </c>
      <c r="Q706" s="48">
        <v>607</v>
      </c>
      <c r="R706" s="48">
        <v>301</v>
      </c>
      <c r="S706" s="48"/>
      <c r="T706" s="48"/>
      <c r="U706" s="49">
        <v>31</v>
      </c>
      <c r="V706" s="49">
        <v>37</v>
      </c>
      <c r="W706" s="50">
        <f t="shared" si="101"/>
        <v>68</v>
      </c>
      <c r="X706" s="51">
        <f>IF(A706="", "", IF(COUNTIFS(C$3:C705, C706, D$3:D705, D706, G$3:G705, G706) &gt; 0, "", "11:00"-AW706))</f>
        <v>0.35416666666666663</v>
      </c>
      <c r="Y706" s="52" t="str">
        <f t="shared" si="98"/>
        <v>1:40</v>
      </c>
      <c r="Z706" s="53"/>
      <c r="AA706" s="54"/>
      <c r="AB706" s="53"/>
      <c r="AC706" s="54"/>
      <c r="AD706" s="53">
        <v>4.1666666666666664E-2</v>
      </c>
      <c r="AE706" s="54" t="s">
        <v>129</v>
      </c>
      <c r="AF706" s="53">
        <v>2.0833333333333332E-2</v>
      </c>
      <c r="AG706" s="54" t="s">
        <v>67</v>
      </c>
      <c r="AH706" s="55">
        <v>4.1666666666666699E-2</v>
      </c>
      <c r="AI706" s="53"/>
      <c r="AJ706" s="54"/>
      <c r="AK706" s="53"/>
      <c r="AL706" s="54"/>
      <c r="AM706" s="53"/>
      <c r="AN706" s="54"/>
      <c r="AO706" s="53"/>
      <c r="AP706" s="54"/>
      <c r="AQ706" s="53"/>
      <c r="AR706" s="54"/>
      <c r="AS706" s="53"/>
      <c r="AT706" s="54"/>
      <c r="AU706" s="53">
        <v>4.1666666666666699E-2</v>
      </c>
      <c r="AV706" s="54" t="s">
        <v>37</v>
      </c>
      <c r="AW706" s="57">
        <f t="shared" si="100"/>
        <v>0.1041666666666667</v>
      </c>
      <c r="AX706" s="58" t="s">
        <v>64</v>
      </c>
    </row>
    <row r="707" spans="1:50" ht="21.75" customHeight="1">
      <c r="A707" s="66" t="s">
        <v>654</v>
      </c>
      <c r="B707" s="39">
        <f t="shared" si="99"/>
        <v>703</v>
      </c>
      <c r="C707" s="40">
        <v>46041</v>
      </c>
      <c r="D707" s="40" t="s">
        <v>32</v>
      </c>
      <c r="E707" s="40" t="s">
        <v>33</v>
      </c>
      <c r="F707" s="41">
        <v>402.5</v>
      </c>
      <c r="G707" s="42" t="s">
        <v>34</v>
      </c>
      <c r="H707" s="43" t="str">
        <f>IFERROR(VLOOKUP($J707,'[9]FROM (3)'!$E$4:$F$230,2,FALSE),"")</f>
        <v>KYOWA GMB</v>
      </c>
      <c r="I707" s="44" t="str">
        <f t="shared" si="96"/>
        <v>SPLINE SHAFT FORGING DRAWING WITH FLANGE</v>
      </c>
      <c r="J707" s="44" t="str">
        <f t="shared" si="97"/>
        <v>HIS18-ZZ-014CCF</v>
      </c>
      <c r="K707" s="59" t="str">
        <f t="shared" si="94"/>
        <v>PD26010715</v>
      </c>
      <c r="L707" s="46" t="str" cm="1">
        <f t="array" ref="L707">IFERROR(_xlfn.IFS(
    LEN($A707)-LEN(SUBSTITUTE($A707,"|",""))=12, RIGHT(A707, LEN(A707)-FIND("~", SUBSTITUTE(A707,"|","~", LEN(A707)-LEN(SUBSTITUTE(A707,"|",""))))),
    LEN($A707)-LEN(SUBSTITUTE($A707,"|",""))=13, MID($A707, FIND("~", SUBSTITUTE($A707,"|","~", 11))+1, FIND("~", SUBSTITUTE($A707,"|","~", 12))-FIND("~", SUBSTITUTE($A707,"|","~", 11))-1),
    LEN($A707)-LEN(SUBSTITUTE($A707,"|",""))=14, MID($A707, FIND("~", SUBSTITUTE($A707,"|","~", 11))+1, FIND("~", SUBSTITUTE($A707,"|","~", 12))-FIND("~", SUBSTITUTE($A707,"|","~", 11))-1)
), "")</f>
        <v>665904</v>
      </c>
      <c r="M707" s="47" t="str">
        <f t="shared" si="93"/>
        <v>SB010019/1/26</v>
      </c>
      <c r="N707" s="46" t="str">
        <f t="shared" si="95"/>
        <v/>
      </c>
      <c r="O707" s="60">
        <v>88</v>
      </c>
      <c r="P707" s="60">
        <v>973</v>
      </c>
      <c r="Q707" s="48">
        <v>2255</v>
      </c>
      <c r="R707" s="48">
        <v>908</v>
      </c>
      <c r="S707" s="48"/>
      <c r="T707" s="48"/>
      <c r="U707" s="49"/>
      <c r="V707" s="49"/>
      <c r="W707" s="50">
        <f t="shared" si="101"/>
        <v>0</v>
      </c>
      <c r="X707" s="51" t="str">
        <f>IF(A707="", "", IF(COUNTIFS(C$3:C706, C707, D$3:D706, D707, G$3:G706, G707) &gt; 0, "", "11:00"-AW707))</f>
        <v/>
      </c>
      <c r="Y707" s="52" t="str">
        <f t="shared" si="98"/>
        <v/>
      </c>
      <c r="Z707" s="53"/>
      <c r="AA707" s="54"/>
      <c r="AB707" s="53"/>
      <c r="AC707" s="54"/>
      <c r="AD707" s="53"/>
      <c r="AE707" s="54"/>
      <c r="AF707" s="53"/>
      <c r="AG707" s="54"/>
      <c r="AH707" s="55">
        <v>4.1666666666666699E-2</v>
      </c>
      <c r="AI707" s="53"/>
      <c r="AJ707" s="54"/>
      <c r="AK707" s="53"/>
      <c r="AL707" s="54"/>
      <c r="AM707" s="53"/>
      <c r="AN707" s="54"/>
      <c r="AO707" s="53"/>
      <c r="AP707" s="54"/>
      <c r="AQ707" s="53"/>
      <c r="AR707" s="54"/>
      <c r="AS707" s="53"/>
      <c r="AT707" s="54"/>
      <c r="AU707" s="53">
        <v>4.1666666666666699E-2</v>
      </c>
      <c r="AV707" s="54" t="s">
        <v>37</v>
      </c>
      <c r="AW707" s="57">
        <f t="shared" si="100"/>
        <v>4.1666666666666699E-2</v>
      </c>
      <c r="AX707" s="58" t="s">
        <v>64</v>
      </c>
    </row>
    <row r="708" spans="1:50" ht="21.75" customHeight="1">
      <c r="A708" s="66" t="s">
        <v>655</v>
      </c>
      <c r="B708" s="39">
        <f t="shared" si="99"/>
        <v>704</v>
      </c>
      <c r="C708" s="40">
        <v>46041</v>
      </c>
      <c r="D708" s="40" t="s">
        <v>32</v>
      </c>
      <c r="E708" s="40" t="s">
        <v>33</v>
      </c>
      <c r="F708" s="41">
        <v>278</v>
      </c>
      <c r="G708" s="42" t="s">
        <v>46</v>
      </c>
      <c r="H708" s="43" t="str">
        <f>IFERROR(VLOOKUP($J708,'[9]FROM (3)'!$E$4:$F$230,2,FALSE),"")</f>
        <v>SIAM NSK</v>
      </c>
      <c r="I708" s="44" t="str">
        <f t="shared" si="96"/>
        <v>SHAFT SPLINE</v>
      </c>
      <c r="J708" s="44" t="str">
        <f t="shared" si="97"/>
        <v>2550T0749P</v>
      </c>
      <c r="K708" s="59" t="str">
        <f t="shared" si="94"/>
        <v>PD26010504</v>
      </c>
      <c r="L708" s="46" t="str" cm="1">
        <f t="array" ref="L708">IFERROR(_xlfn.IFS(
    LEN($A708)-LEN(SUBSTITUTE($A708,"|",""))=12, RIGHT(A708, LEN(A708)-FIND("~", SUBSTITUTE(A708,"|","~", LEN(A708)-LEN(SUBSTITUTE(A708,"|",""))))),
    LEN($A708)-LEN(SUBSTITUTE($A708,"|",""))=13, MID($A708, FIND("~", SUBSTITUTE($A708,"|","~", 11))+1, FIND("~", SUBSTITUTE($A708,"|","~", 12))-FIND("~", SUBSTITUTE($A708,"|","~", 11))-1),
    LEN($A708)-LEN(SUBSTITUTE($A708,"|",""))=14, MID($A708, FIND("~", SUBSTITUTE($A708,"|","~", 11))+1, FIND("~", SUBSTITUTE($A708,"|","~", 12))-FIND("~", SUBSTITUTE($A708,"|","~", 11))-1)
), "")</f>
        <v>SF93402</v>
      </c>
      <c r="M708" s="47" t="str">
        <f t="shared" si="93"/>
        <v>SB010049/5/26</v>
      </c>
      <c r="N708" s="46" t="str">
        <f t="shared" si="95"/>
        <v/>
      </c>
      <c r="O708" s="60">
        <v>0</v>
      </c>
      <c r="P708" s="60">
        <v>0</v>
      </c>
      <c r="Q708" s="48">
        <v>312</v>
      </c>
      <c r="R708" s="48">
        <v>87</v>
      </c>
      <c r="S708" s="48"/>
      <c r="T708" s="48"/>
      <c r="U708" s="49"/>
      <c r="V708" s="49"/>
      <c r="W708" s="50">
        <f t="shared" si="101"/>
        <v>0</v>
      </c>
      <c r="X708" s="51">
        <f>IF(A708="", "", IF(COUNTIFS(C$3:C707, C708, D$3:D707, D708, G$3:G707, G708) &gt; 0, "", "11:00"-AW708))</f>
        <v>0.40277777777777773</v>
      </c>
      <c r="Y708" s="52" t="str">
        <f t="shared" si="98"/>
        <v>1:40</v>
      </c>
      <c r="Z708" s="53"/>
      <c r="AA708" s="54"/>
      <c r="AB708" s="53"/>
      <c r="AC708" s="54"/>
      <c r="AD708" s="53"/>
      <c r="AE708" s="54"/>
      <c r="AF708" s="53"/>
      <c r="AG708" s="54"/>
      <c r="AH708" s="55">
        <v>4.1666666666666699E-2</v>
      </c>
      <c r="AI708" s="53"/>
      <c r="AJ708" s="54"/>
      <c r="AK708" s="53"/>
      <c r="AL708" s="54" t="s">
        <v>67</v>
      </c>
      <c r="AM708" s="53">
        <v>1.3888888888888888E-2</v>
      </c>
      <c r="AN708" s="54"/>
      <c r="AO708" s="53"/>
      <c r="AP708" s="54"/>
      <c r="AQ708" s="53"/>
      <c r="AR708" s="54"/>
      <c r="AS708" s="53"/>
      <c r="AT708" s="54"/>
      <c r="AU708" s="53">
        <v>4.1666666666666699E-2</v>
      </c>
      <c r="AV708" s="54" t="s">
        <v>37</v>
      </c>
      <c r="AW708" s="57">
        <f t="shared" si="100"/>
        <v>5.5555555555555587E-2</v>
      </c>
      <c r="AX708" s="58" t="s">
        <v>260</v>
      </c>
    </row>
    <row r="709" spans="1:50" ht="21.75" customHeight="1">
      <c r="A709" s="66" t="s">
        <v>656</v>
      </c>
      <c r="B709" s="39">
        <f t="shared" si="99"/>
        <v>705</v>
      </c>
      <c r="C709" s="40">
        <v>46041</v>
      </c>
      <c r="D709" s="40" t="s">
        <v>32</v>
      </c>
      <c r="E709" s="40" t="s">
        <v>33</v>
      </c>
      <c r="F709" s="41">
        <v>278</v>
      </c>
      <c r="G709" s="42" t="s">
        <v>46</v>
      </c>
      <c r="H709" s="43" t="str">
        <f>IFERROR(VLOOKUP($J709,'[9]FROM (3)'!$E$4:$F$230,2,FALSE),"")</f>
        <v>SIAM NSK</v>
      </c>
      <c r="I709" s="44" t="str">
        <f t="shared" si="96"/>
        <v>SHAFT SPLINE</v>
      </c>
      <c r="J709" s="44" t="str">
        <f t="shared" si="97"/>
        <v>2550T0749P</v>
      </c>
      <c r="K709" s="59" t="str">
        <f t="shared" si="94"/>
        <v>PD26010504</v>
      </c>
      <c r="L709" s="46" t="str" cm="1">
        <f t="array" ref="L709">IFERROR(_xlfn.IFS(
    LEN($A709)-LEN(SUBSTITUTE($A709,"|",""))=12, RIGHT(A709, LEN(A709)-FIND("~", SUBSTITUTE(A709,"|","~", LEN(A709)-LEN(SUBSTITUTE(A709,"|",""))))),
    LEN($A709)-LEN(SUBSTITUTE($A709,"|",""))=13, MID($A709, FIND("~", SUBSTITUTE($A709,"|","~", 11))+1, FIND("~", SUBSTITUTE($A709,"|","~", 12))-FIND("~", SUBSTITUTE($A709,"|","~", 11))-1),
    LEN($A709)-LEN(SUBSTITUTE($A709,"|",""))=14, MID($A709, FIND("~", SUBSTITUTE($A709,"|","~", 11))+1, FIND("~", SUBSTITUTE($A709,"|","~", 12))-FIND("~", SUBSTITUTE($A709,"|","~", 11))-1)
), "")</f>
        <v>SF93402</v>
      </c>
      <c r="M709" s="47" t="str">
        <f t="shared" ref="M709:M772" si="102">IFERROR(MID(A709,FIND("~",SUBSTITUTE(A709,"|","~",10))+1,FIND("~",SUBSTITUTE(A709,"|","~",11))-FIND("~",SUBSTITUTE(A709,"|","~",10))-1),"")</f>
        <v>SB010049/4/26</v>
      </c>
      <c r="N709" s="46" t="str">
        <f t="shared" si="95"/>
        <v/>
      </c>
      <c r="O709" s="60">
        <v>104</v>
      </c>
      <c r="P709" s="60">
        <v>1000</v>
      </c>
      <c r="Q709" s="48">
        <v>1663</v>
      </c>
      <c r="R709" s="48">
        <v>462</v>
      </c>
      <c r="S709" s="48"/>
      <c r="T709" s="48"/>
      <c r="U709" s="49"/>
      <c r="V709" s="49"/>
      <c r="W709" s="50">
        <f t="shared" si="101"/>
        <v>0</v>
      </c>
      <c r="X709" s="51" t="str">
        <f>IF(A709="", "", IF(COUNTIFS(C$3:C708, C709, D$3:D708, D709, G$3:G708, G709) &gt; 0, "", "11:00"-AW709))</f>
        <v/>
      </c>
      <c r="Y709" s="52" t="str">
        <f t="shared" si="98"/>
        <v/>
      </c>
      <c r="Z709" s="53"/>
      <c r="AA709" s="54"/>
      <c r="AB709" s="53"/>
      <c r="AC709" s="54"/>
      <c r="AD709" s="53"/>
      <c r="AE709" s="54"/>
      <c r="AF709" s="53"/>
      <c r="AG709" s="54"/>
      <c r="AH709" s="55">
        <v>4.1666666666666699E-2</v>
      </c>
      <c r="AI709" s="53"/>
      <c r="AJ709" s="54"/>
      <c r="AK709" s="53"/>
      <c r="AL709" s="54"/>
      <c r="AM709" s="53"/>
      <c r="AN709" s="54"/>
      <c r="AO709" s="53"/>
      <c r="AP709" s="54"/>
      <c r="AQ709" s="53"/>
      <c r="AR709" s="54"/>
      <c r="AS709" s="53"/>
      <c r="AT709" s="54"/>
      <c r="AU709" s="53">
        <v>4.1666666666666699E-2</v>
      </c>
      <c r="AV709" s="54" t="s">
        <v>37</v>
      </c>
      <c r="AW709" s="57">
        <f t="shared" si="100"/>
        <v>4.1666666666666699E-2</v>
      </c>
      <c r="AX709" s="58" t="s">
        <v>260</v>
      </c>
    </row>
    <row r="710" spans="1:50" ht="21.75" customHeight="1">
      <c r="A710" s="66" t="s">
        <v>657</v>
      </c>
      <c r="B710" s="39">
        <f t="shared" si="99"/>
        <v>706</v>
      </c>
      <c r="C710" s="40">
        <v>46041</v>
      </c>
      <c r="D710" s="40" t="s">
        <v>32</v>
      </c>
      <c r="E710" s="40" t="s">
        <v>33</v>
      </c>
      <c r="F710" s="41">
        <v>732.4</v>
      </c>
      <c r="G710" s="42" t="s">
        <v>46</v>
      </c>
      <c r="H710" s="43" t="str">
        <f>IFERROR(VLOOKUP($J710,'[9]FROM (3)'!$E$4:$F$230,2,FALSE),"")</f>
        <v>JATH</v>
      </c>
      <c r="I710" s="44" t="str">
        <f t="shared" si="96"/>
        <v>RACK BAR BLANK</v>
      </c>
      <c r="J710" s="44" t="str">
        <f t="shared" si="97"/>
        <v>JGF02-002060-31-3</v>
      </c>
      <c r="K710" s="59" t="str">
        <f t="shared" ref="K710:K773" si="103">IFERROR(LEFT(A710,SEARCH("|",A710)-1),"")</f>
        <v>PD26010787</v>
      </c>
      <c r="L710" s="46" t="str" cm="1">
        <f t="array" ref="L710">IFERROR(_xlfn.IFS(
    LEN($A710)-LEN(SUBSTITUTE($A710,"|",""))=12, RIGHT(A710, LEN(A710)-FIND("~", SUBSTITUTE(A710,"|","~", LEN(A710)-LEN(SUBSTITUTE(A710,"|",""))))),
    LEN($A710)-LEN(SUBSTITUTE($A710,"|",""))=13, MID($A710, FIND("~", SUBSTITUTE($A710,"|","~", 11))+1, FIND("~", SUBSTITUTE($A710,"|","~", 12))-FIND("~", SUBSTITUTE($A710,"|","~", 11))-1),
    LEN($A710)-LEN(SUBSTITUTE($A710,"|",""))=14, MID($A710, FIND("~", SUBSTITUTE($A710,"|","~", 11))+1, FIND("~", SUBSTITUTE($A710,"|","~", 12))-FIND("~", SUBSTITUTE($A710,"|","~", 11))-1)
), "")</f>
        <v>5B3838</v>
      </c>
      <c r="M710" s="47" t="str">
        <f t="shared" si="102"/>
        <v>SB010087/2/26</v>
      </c>
      <c r="N710" s="46" t="str">
        <f t="shared" ref="N710:N773" si="104">IFERROR(IF(LEN($A710)-LEN(SUBSTITUTE($A710,"|",""))=12,MID($A710,FIND("~",SUBSTITUTE($A710,"|","~",11))+1,FIND("~",SUBSTITUTE($A710,"|","~",12))-FIND("~",SUBSTITUTE($A710,"|","~",11))-1),IF(LEN($A710)-LEN(SUBSTITUTE($A710,"|",""))=13,MID($A710,FIND("~",SUBSTITUTE($A710,"|","~",10))+1,FIND("~",SUBSTITUTE($A710,"|","~",11))-FIND("~",SUBSTITUTE($A710,"|","~",10))-1), "")),"")</f>
        <v/>
      </c>
      <c r="O710" s="60">
        <v>28</v>
      </c>
      <c r="P710" s="60">
        <v>966</v>
      </c>
      <c r="Q710" s="48">
        <v>195</v>
      </c>
      <c r="R710" s="48">
        <v>911</v>
      </c>
      <c r="S710" s="48"/>
      <c r="T710" s="48"/>
      <c r="U710" s="49"/>
      <c r="V710" s="49"/>
      <c r="W710" s="50">
        <f t="shared" si="101"/>
        <v>0</v>
      </c>
      <c r="X710" s="51" t="str">
        <f>IF(A710="", "", IF(COUNTIFS(C$3:C709, C710, D$3:D709, D710, G$3:G709, G710) &gt; 0, "", "11:00"-AW710))</f>
        <v/>
      </c>
      <c r="Y710" s="52" t="str">
        <f t="shared" si="98"/>
        <v/>
      </c>
      <c r="Z710" s="53"/>
      <c r="AA710" s="54"/>
      <c r="AB710" s="53"/>
      <c r="AC710" s="54"/>
      <c r="AD710" s="53"/>
      <c r="AE710" s="54"/>
      <c r="AF710" s="53"/>
      <c r="AG710" s="54"/>
      <c r="AH710" s="55">
        <v>4.1666666666666699E-2</v>
      </c>
      <c r="AI710" s="53"/>
      <c r="AJ710" s="54"/>
      <c r="AK710" s="53"/>
      <c r="AL710" s="54"/>
      <c r="AM710" s="53"/>
      <c r="AN710" s="54"/>
      <c r="AO710" s="53"/>
      <c r="AP710" s="54"/>
      <c r="AQ710" s="53"/>
      <c r="AR710" s="54"/>
      <c r="AS710" s="53"/>
      <c r="AT710" s="54"/>
      <c r="AU710" s="53">
        <v>4.1666666666666699E-2</v>
      </c>
      <c r="AV710" s="54" t="s">
        <v>37</v>
      </c>
      <c r="AW710" s="57">
        <f t="shared" si="100"/>
        <v>4.1666666666666699E-2</v>
      </c>
      <c r="AX710" s="58" t="s">
        <v>260</v>
      </c>
    </row>
    <row r="711" spans="1:50" ht="21.75" customHeight="1">
      <c r="A711" s="66" t="s">
        <v>658</v>
      </c>
      <c r="B711" s="39">
        <f t="shared" si="99"/>
        <v>707</v>
      </c>
      <c r="C711" s="40">
        <v>46041</v>
      </c>
      <c r="D711" s="40" t="s">
        <v>32</v>
      </c>
      <c r="E711" s="40" t="s">
        <v>33</v>
      </c>
      <c r="F711" s="41">
        <v>732.4</v>
      </c>
      <c r="G711" s="42" t="s">
        <v>46</v>
      </c>
      <c r="H711" s="43" t="str">
        <f>IFERROR(VLOOKUP($J711,'[9]FROM (3)'!$E$4:$F$230,2,FALSE),"")</f>
        <v>JATH</v>
      </c>
      <c r="I711" s="44" t="str">
        <f t="shared" ref="I711:I774" si="105">IFERROR(MID(A711,FIND("~",SUBSTITUTE(A711,"|","~",4))+1,FIND("~",SUBSTITUTE(A711,"|","~",5))-FIND("~",SUBSTITUTE(A711,"|","~",4))-1),"")</f>
        <v>RACK BAR BLANK</v>
      </c>
      <c r="J711" s="44" t="str">
        <f t="shared" ref="J711:J774" si="106">IFERROR(MID(A711,FIND("~",SUBSTITUTE(A711,"|","~",3))+1,FIND("~",SUBSTITUTE(A711,"|","~",4))-FIND("~",SUBSTITUTE(A711,"|","~",3))-1),"")</f>
        <v>JGF02-002060-31-3</v>
      </c>
      <c r="K711" s="59" t="str">
        <f t="shared" si="103"/>
        <v>PD26010787</v>
      </c>
      <c r="L711" s="46" t="str" cm="1">
        <f t="array" ref="L711">IFERROR(_xlfn.IFS(
    LEN($A711)-LEN(SUBSTITUTE($A711,"|",""))=12, RIGHT(A711, LEN(A711)-FIND("~", SUBSTITUTE(A711,"|","~", LEN(A711)-LEN(SUBSTITUTE(A711,"|",""))))),
    LEN($A711)-LEN(SUBSTITUTE($A711,"|",""))=13, MID($A711, FIND("~", SUBSTITUTE($A711,"|","~", 11))+1, FIND("~", SUBSTITUTE($A711,"|","~", 12))-FIND("~", SUBSTITUTE($A711,"|","~", 11))-1),
    LEN($A711)-LEN(SUBSTITUTE($A711,"|",""))=14, MID($A711, FIND("~", SUBSTITUTE($A711,"|","~", 11))+1, FIND("~", SUBSTITUTE($A711,"|","~", 12))-FIND("~", SUBSTITUTE($A711,"|","~", 11))-1)
), "")</f>
        <v>5B3838</v>
      </c>
      <c r="M711" s="47" t="str">
        <f t="shared" si="102"/>
        <v>SB010087/1/26</v>
      </c>
      <c r="N711" s="46" t="str">
        <f t="shared" si="104"/>
        <v/>
      </c>
      <c r="O711" s="60">
        <v>28</v>
      </c>
      <c r="P711" s="60">
        <v>966</v>
      </c>
      <c r="Q711" s="48">
        <v>196</v>
      </c>
      <c r="R711" s="48">
        <v>916</v>
      </c>
      <c r="S711" s="48"/>
      <c r="T711" s="48"/>
      <c r="U711" s="49">
        <v>100</v>
      </c>
      <c r="V711" s="49">
        <v>6</v>
      </c>
      <c r="W711" s="50">
        <f t="shared" si="101"/>
        <v>106</v>
      </c>
      <c r="X711" s="51" t="str">
        <f>IF(A711="", "", IF(COUNTIFS(C$3:C710, C711, D$3:D710, D711, G$3:G710, G711) &gt; 0, "", "11:00"-AW711))</f>
        <v/>
      </c>
      <c r="Y711" s="52" t="str">
        <f t="shared" ref="Y711:Y774" si="107">IF(X711="", "", IF(AND(A711&lt;&gt;"", AR711&lt;&gt;"NO OT"), "1:40", IF(AND(A711&lt;&gt;"", AR711="NO OT"), "1:0", "")))</f>
        <v/>
      </c>
      <c r="Z711" s="53"/>
      <c r="AA711" s="54"/>
      <c r="AB711" s="53"/>
      <c r="AC711" s="54"/>
      <c r="AD711" s="53"/>
      <c r="AE711" s="54"/>
      <c r="AF711" s="53"/>
      <c r="AG711" s="54"/>
      <c r="AH711" s="55">
        <v>4.1666666666666699E-2</v>
      </c>
      <c r="AI711" s="53"/>
      <c r="AJ711" s="54"/>
      <c r="AK711" s="53"/>
      <c r="AL711" s="54"/>
      <c r="AM711" s="53"/>
      <c r="AN711" s="54"/>
      <c r="AO711" s="53"/>
      <c r="AP711" s="54"/>
      <c r="AQ711" s="53"/>
      <c r="AR711" s="54"/>
      <c r="AS711" s="53"/>
      <c r="AT711" s="54"/>
      <c r="AU711" s="53">
        <v>4.1666666666666699E-2</v>
      </c>
      <c r="AV711" s="54" t="s">
        <v>37</v>
      </c>
      <c r="AW711" s="57">
        <f t="shared" si="100"/>
        <v>4.1666666666666699E-2</v>
      </c>
      <c r="AX711" s="58" t="s">
        <v>260</v>
      </c>
    </row>
    <row r="712" spans="1:50" ht="21.75" customHeight="1">
      <c r="A712" s="66" t="s">
        <v>610</v>
      </c>
      <c r="B712" s="39">
        <f t="shared" si="99"/>
        <v>708</v>
      </c>
      <c r="C712" s="40">
        <v>46041</v>
      </c>
      <c r="D712" s="40" t="s">
        <v>32</v>
      </c>
      <c r="E712" s="40" t="s">
        <v>33</v>
      </c>
      <c r="F712" s="41">
        <v>56</v>
      </c>
      <c r="G712" s="42" t="s">
        <v>44</v>
      </c>
      <c r="H712" s="43" t="str">
        <f>IFERROR(VLOOKUP($J712,'[9]FROM (3)'!$E$4:$F$230,2,FALSE),"")</f>
        <v>DNTH</v>
      </c>
      <c r="I712" s="44" t="str">
        <f t="shared" si="105"/>
        <v>PLUNGER</v>
      </c>
      <c r="J712" s="44" t="str">
        <f t="shared" si="106"/>
        <v>TG053661-7151</v>
      </c>
      <c r="K712" s="59" t="str">
        <f t="shared" si="103"/>
        <v>PD26010430</v>
      </c>
      <c r="L712" s="46" t="str" cm="1">
        <f t="array" ref="L712">IFERROR(_xlfn.IFS(
    LEN($A712)-LEN(SUBSTITUTE($A712,"|",""))=12, RIGHT(A712, LEN(A712)-FIND("~", SUBSTITUTE(A712,"|","~", LEN(A712)-LEN(SUBSTITUTE(A712,"|",""))))),
    LEN($A712)-LEN(SUBSTITUTE($A712,"|",""))=13, MID($A712, FIND("~", SUBSTITUTE($A712,"|","~", 11))+1, FIND("~", SUBSTITUTE($A712,"|","~", 12))-FIND("~", SUBSTITUTE($A712,"|","~", 11))-1),
    LEN($A712)-LEN(SUBSTITUTE($A712,"|",""))=14, MID($A712, FIND("~", SUBSTITUTE($A712,"|","~", 11))+1, FIND("~", SUBSTITUTE($A712,"|","~", 12))-FIND("~", SUBSTITUTE($A712,"|","~", 11))-1)
), "")</f>
        <v>5B0161</v>
      </c>
      <c r="M712" s="47" t="str">
        <f t="shared" si="102"/>
        <v>SB010044/1/26</v>
      </c>
      <c r="N712" s="46" t="str">
        <f t="shared" si="104"/>
        <v/>
      </c>
      <c r="O712" s="60">
        <v>0</v>
      </c>
      <c r="P712" s="60">
        <v>0</v>
      </c>
      <c r="Q712" s="48">
        <v>3314</v>
      </c>
      <c r="R712" s="48">
        <v>490</v>
      </c>
      <c r="S712" s="48"/>
      <c r="T712" s="48"/>
      <c r="U712" s="49">
        <v>58</v>
      </c>
      <c r="V712" s="49">
        <v>64</v>
      </c>
      <c r="W712" s="50">
        <f t="shared" si="101"/>
        <v>122</v>
      </c>
      <c r="X712" s="51">
        <f>IF(A712="", "", IF(COUNTIFS(C$3:C711, C712, D$3:D711, D712, G$3:G711, G712) &gt; 0, "", "11:00"-AW712))</f>
        <v>0.39583333333333326</v>
      </c>
      <c r="Y712" s="52" t="str">
        <f t="shared" si="107"/>
        <v>1:40</v>
      </c>
      <c r="Z712" s="53"/>
      <c r="AA712" s="54"/>
      <c r="AB712" s="53"/>
      <c r="AC712" s="54"/>
      <c r="AD712" s="53"/>
      <c r="AE712" s="54"/>
      <c r="AF712" s="53"/>
      <c r="AG712" s="54"/>
      <c r="AH712" s="55">
        <v>4.1666666666666699E-2</v>
      </c>
      <c r="AI712" s="53"/>
      <c r="AJ712" s="54"/>
      <c r="AK712" s="53"/>
      <c r="AL712" s="54"/>
      <c r="AM712" s="53"/>
      <c r="AN712" s="54"/>
      <c r="AO712" s="53">
        <v>2.0833333333333332E-2</v>
      </c>
      <c r="AP712" s="54" t="s">
        <v>67</v>
      </c>
      <c r="AQ712" s="53"/>
      <c r="AR712" s="54"/>
      <c r="AS712" s="53"/>
      <c r="AT712" s="54"/>
      <c r="AU712" s="53">
        <v>4.1666666666666699E-2</v>
      </c>
      <c r="AV712" s="54" t="s">
        <v>37</v>
      </c>
      <c r="AW712" s="57">
        <f t="shared" si="100"/>
        <v>6.2500000000000028E-2</v>
      </c>
      <c r="AX712" s="58" t="s">
        <v>64</v>
      </c>
    </row>
    <row r="713" spans="1:50" ht="21.75" customHeight="1">
      <c r="A713" s="66" t="s">
        <v>659</v>
      </c>
      <c r="B713" s="39">
        <f t="shared" si="99"/>
        <v>709</v>
      </c>
      <c r="C713" s="40">
        <v>46041</v>
      </c>
      <c r="D713" s="40" t="s">
        <v>32</v>
      </c>
      <c r="E713" s="40" t="s">
        <v>33</v>
      </c>
      <c r="F713" s="41">
        <v>157.9</v>
      </c>
      <c r="G713" s="42" t="s">
        <v>44</v>
      </c>
      <c r="H713" s="43" t="str">
        <f>IFERROR(VLOOKUP($J713,'[9]FROM (3)'!$E$4:$F$230,2,FALSE),"")</f>
        <v>DNTH</v>
      </c>
      <c r="I713" s="44" t="str">
        <f t="shared" si="105"/>
        <v>SLUG CONNECTOR FUEL INLET</v>
      </c>
      <c r="J713" s="44" t="str">
        <f t="shared" si="106"/>
        <v>TGY95065-0010</v>
      </c>
      <c r="K713" s="59" t="str">
        <f t="shared" si="103"/>
        <v>PD26010502</v>
      </c>
      <c r="L713" s="46" t="str" cm="1">
        <f t="array" ref="L713">IFERROR(_xlfn.IFS(
    LEN($A713)-LEN(SUBSTITUTE($A713,"|",""))=12, RIGHT(A713, LEN(A713)-FIND("~", SUBSTITUTE(A713,"|","~", LEN(A713)-LEN(SUBSTITUTE(A713,"|",""))))),
    LEN($A713)-LEN(SUBSTITUTE($A713,"|",""))=13, MID($A713, FIND("~", SUBSTITUTE($A713,"|","~", 11))+1, FIND("~", SUBSTITUTE($A713,"|","~", 12))-FIND("~", SUBSTITUTE($A713,"|","~", 11))-1),
    LEN($A713)-LEN(SUBSTITUTE($A713,"|",""))=14, MID($A713, FIND("~", SUBSTITUTE($A713,"|","~", 11))+1, FIND("~", SUBSTITUTE($A713,"|","~", 12))-FIND("~", SUBSTITUTE($A713,"|","~", 11))-1)
), "")</f>
        <v>E586354</v>
      </c>
      <c r="M713" s="47" t="str">
        <f t="shared" si="102"/>
        <v>SB010006/3/26</v>
      </c>
      <c r="N713" s="46" t="str">
        <f t="shared" si="104"/>
        <v/>
      </c>
      <c r="O713" s="60">
        <v>136</v>
      </c>
      <c r="P713" s="60">
        <v>1055</v>
      </c>
      <c r="Q713" s="48">
        <v>1351</v>
      </c>
      <c r="R713" s="48">
        <v>213</v>
      </c>
      <c r="S713" s="48"/>
      <c r="T713" s="48"/>
      <c r="U713" s="49"/>
      <c r="V713" s="49"/>
      <c r="W713" s="50">
        <f t="shared" si="101"/>
        <v>0</v>
      </c>
      <c r="X713" s="51" t="str">
        <f>IF(A713="", "", IF(COUNTIFS(C$3:C712, C713, D$3:D712, D713, G$3:G712, G713) &gt; 0, "", "11:00"-AW713))</f>
        <v/>
      </c>
      <c r="Y713" s="52" t="str">
        <f t="shared" si="107"/>
        <v/>
      </c>
      <c r="Z713" s="53"/>
      <c r="AA713" s="54"/>
      <c r="AB713" s="53"/>
      <c r="AC713" s="54"/>
      <c r="AD713" s="53"/>
      <c r="AE713" s="54"/>
      <c r="AF713" s="53"/>
      <c r="AG713" s="54"/>
      <c r="AH713" s="55">
        <v>4.1666666666666699E-2</v>
      </c>
      <c r="AI713" s="53"/>
      <c r="AJ713" s="54"/>
      <c r="AK713" s="53"/>
      <c r="AL713" s="54"/>
      <c r="AM713" s="53"/>
      <c r="AN713" s="54"/>
      <c r="AO713" s="53"/>
      <c r="AP713" s="54"/>
      <c r="AQ713" s="53"/>
      <c r="AR713" s="54"/>
      <c r="AS713" s="53"/>
      <c r="AT713" s="54"/>
      <c r="AU713" s="53">
        <v>4.1666666666666699E-2</v>
      </c>
      <c r="AV713" s="54" t="s">
        <v>37</v>
      </c>
      <c r="AW713" s="57">
        <f t="shared" si="100"/>
        <v>4.1666666666666699E-2</v>
      </c>
      <c r="AX713" s="58" t="s">
        <v>64</v>
      </c>
    </row>
    <row r="714" spans="1:50" ht="21.75" customHeight="1">
      <c r="A714" s="66" t="s">
        <v>660</v>
      </c>
      <c r="B714" s="39">
        <f t="shared" ref="B714:B777" si="108">IF(A714="","",B713+1)</f>
        <v>710</v>
      </c>
      <c r="C714" s="40">
        <v>46041</v>
      </c>
      <c r="D714" s="40" t="s">
        <v>32</v>
      </c>
      <c r="E714" s="40" t="s">
        <v>33</v>
      </c>
      <c r="F714" s="41">
        <v>262</v>
      </c>
      <c r="G714" s="42" t="s">
        <v>85</v>
      </c>
      <c r="H714" s="43" t="str">
        <f>IFERROR(VLOOKUP($J714,'[9]FROM (3)'!$E$4:$F$230,2,FALSE),"")</f>
        <v/>
      </c>
      <c r="I714" s="44" t="str">
        <f t="shared" si="105"/>
        <v>RACK</v>
      </c>
      <c r="J714" s="44" t="str">
        <f t="shared" si="106"/>
        <v>510-30149-020</v>
      </c>
      <c r="K714" s="59" t="str">
        <f t="shared" si="103"/>
        <v>PD26010788</v>
      </c>
      <c r="L714" s="46" t="str" cm="1">
        <f t="array" ref="L714">IFERROR(_xlfn.IFS(
    LEN($A714)-LEN(SUBSTITUTE($A714,"|",""))=12, RIGHT(A714, LEN(A714)-FIND("~", SUBSTITUTE(A714,"|","~", LEN(A714)-LEN(SUBSTITUTE(A714,"|",""))))),
    LEN($A714)-LEN(SUBSTITUTE($A714,"|",""))=13, MID($A714, FIND("~", SUBSTITUTE($A714,"|","~", 11))+1, FIND("~", SUBSTITUTE($A714,"|","~", 12))-FIND("~", SUBSTITUTE($A714,"|","~", 11))-1),
    LEN($A714)-LEN(SUBSTITUTE($A714,"|",""))=14, MID($A714, FIND("~", SUBSTITUTE($A714,"|","~", 11))+1, FIND("~", SUBSTITUTE($A714,"|","~", 12))-FIND("~", SUBSTITUTE($A714,"|","~", 11))-1)
), "")</f>
        <v>5C1361</v>
      </c>
      <c r="M714" s="47" t="str">
        <f t="shared" si="102"/>
        <v>SB010086/1/26</v>
      </c>
      <c r="N714" s="46" t="str">
        <f t="shared" si="104"/>
        <v/>
      </c>
      <c r="O714" s="60">
        <v>40</v>
      </c>
      <c r="P714" s="60">
        <v>782</v>
      </c>
      <c r="Q714" s="48">
        <v>438</v>
      </c>
      <c r="R714" s="48">
        <v>716</v>
      </c>
      <c r="S714" s="48"/>
      <c r="T714" s="48"/>
      <c r="U714" s="49"/>
      <c r="V714" s="49"/>
      <c r="W714" s="50">
        <f t="shared" si="101"/>
        <v>0</v>
      </c>
      <c r="X714" s="51" t="str">
        <f>IF(A714="", "", IF(COUNTIFS(C$3:C713, C714, D$3:D713, D714, G$3:G713, G714) &gt; 0, "", "11:00"-AW714))</f>
        <v/>
      </c>
      <c r="Y714" s="52" t="str">
        <f t="shared" si="107"/>
        <v/>
      </c>
      <c r="Z714" s="53"/>
      <c r="AA714" s="54"/>
      <c r="AB714" s="53"/>
      <c r="AC714" s="54"/>
      <c r="AD714" s="53"/>
      <c r="AE714" s="54"/>
      <c r="AF714" s="53"/>
      <c r="AG714" s="54"/>
      <c r="AH714" s="55">
        <v>4.1666666666666699E-2</v>
      </c>
      <c r="AI714" s="53">
        <v>2.0833333333333332E-2</v>
      </c>
      <c r="AJ714" s="54" t="s">
        <v>76</v>
      </c>
      <c r="AK714" s="53">
        <v>2.0833333333333332E-2</v>
      </c>
      <c r="AL714" s="54" t="s">
        <v>67</v>
      </c>
      <c r="AM714" s="53"/>
      <c r="AN714" s="54"/>
      <c r="AO714" s="53"/>
      <c r="AP714" s="54"/>
      <c r="AQ714" s="53"/>
      <c r="AR714" s="54"/>
      <c r="AS714" s="53"/>
      <c r="AT714" s="54"/>
      <c r="AU714" s="53">
        <v>4.1666666666666699E-2</v>
      </c>
      <c r="AV714" s="54" t="s">
        <v>37</v>
      </c>
      <c r="AW714" s="57">
        <f t="shared" si="100"/>
        <v>8.333333333333337E-2</v>
      </c>
      <c r="AX714" s="58" t="s">
        <v>117</v>
      </c>
    </row>
    <row r="715" spans="1:50" ht="21.75" customHeight="1">
      <c r="A715" s="66" t="s">
        <v>661</v>
      </c>
      <c r="B715" s="39">
        <f t="shared" si="108"/>
        <v>711</v>
      </c>
      <c r="C715" s="40">
        <v>46041</v>
      </c>
      <c r="D715" s="40" t="s">
        <v>32</v>
      </c>
      <c r="E715" s="40" t="s">
        <v>33</v>
      </c>
      <c r="F715" s="41">
        <v>262</v>
      </c>
      <c r="G715" s="42" t="s">
        <v>85</v>
      </c>
      <c r="H715" s="43" t="str">
        <f>IFERROR(VLOOKUP($J715,'[9]FROM (3)'!$E$4:$F$230,2,FALSE),"")</f>
        <v/>
      </c>
      <c r="I715" s="44" t="str">
        <f t="shared" si="105"/>
        <v>RACK</v>
      </c>
      <c r="J715" s="44" t="str">
        <f t="shared" si="106"/>
        <v>510-30149-020</v>
      </c>
      <c r="K715" s="59" t="str">
        <f t="shared" si="103"/>
        <v>PD26010788</v>
      </c>
      <c r="L715" s="46" t="str" cm="1">
        <f t="array" ref="L715">IFERROR(_xlfn.IFS(
    LEN($A715)-LEN(SUBSTITUTE($A715,"|",""))=12, RIGHT(A715, LEN(A715)-FIND("~", SUBSTITUTE(A715,"|","~", LEN(A715)-LEN(SUBSTITUTE(A715,"|",""))))),
    LEN($A715)-LEN(SUBSTITUTE($A715,"|",""))=13, MID($A715, FIND("~", SUBSTITUTE($A715,"|","~", 11))+1, FIND("~", SUBSTITUTE($A715,"|","~", 12))-FIND("~", SUBSTITUTE($A715,"|","~", 11))-1),
    LEN($A715)-LEN(SUBSTITUTE($A715,"|",""))=14, MID($A715, FIND("~", SUBSTITUTE($A715,"|","~", 11))+1, FIND("~", SUBSTITUTE($A715,"|","~", 12))-FIND("~", SUBSTITUTE($A715,"|","~", 11))-1)
), "")</f>
        <v>5C1361</v>
      </c>
      <c r="M715" s="47" t="str">
        <f t="shared" si="102"/>
        <v>SB010086/3/26</v>
      </c>
      <c r="N715" s="46" t="str">
        <f t="shared" si="104"/>
        <v/>
      </c>
      <c r="O715" s="60">
        <v>40</v>
      </c>
      <c r="P715" s="60">
        <v>782</v>
      </c>
      <c r="Q715" s="48">
        <v>440</v>
      </c>
      <c r="R715" s="48">
        <v>719</v>
      </c>
      <c r="S715" s="48"/>
      <c r="T715" s="48"/>
      <c r="U715" s="49"/>
      <c r="V715" s="49"/>
      <c r="W715" s="50">
        <f t="shared" si="101"/>
        <v>0</v>
      </c>
      <c r="X715" s="51" t="str">
        <f>IF(A715="", "", IF(COUNTIFS(C$3:C714, C715, D$3:D714, D715, G$3:G714, G715) &gt; 0, "", "11:00"-AW715))</f>
        <v/>
      </c>
      <c r="Y715" s="52" t="str">
        <f t="shared" si="107"/>
        <v/>
      </c>
      <c r="Z715" s="53"/>
      <c r="AA715" s="54"/>
      <c r="AB715" s="53"/>
      <c r="AC715" s="54"/>
      <c r="AD715" s="53"/>
      <c r="AE715" s="54"/>
      <c r="AF715" s="53"/>
      <c r="AG715" s="54"/>
      <c r="AH715" s="55">
        <v>4.1666666666666699E-2</v>
      </c>
      <c r="AI715" s="53"/>
      <c r="AJ715" s="54"/>
      <c r="AK715" s="53"/>
      <c r="AL715" s="54"/>
      <c r="AM715" s="53"/>
      <c r="AN715" s="54"/>
      <c r="AO715" s="53"/>
      <c r="AP715" s="54"/>
      <c r="AQ715" s="53"/>
      <c r="AR715" s="54"/>
      <c r="AS715" s="53"/>
      <c r="AT715" s="54"/>
      <c r="AU715" s="53">
        <v>4.1666666666666699E-2</v>
      </c>
      <c r="AV715" s="54" t="s">
        <v>37</v>
      </c>
      <c r="AW715" s="57">
        <f t="shared" si="100"/>
        <v>4.1666666666666699E-2</v>
      </c>
      <c r="AX715" s="58" t="s">
        <v>117</v>
      </c>
    </row>
    <row r="716" spans="1:50" ht="21.75" customHeight="1">
      <c r="A716" s="66" t="s">
        <v>662</v>
      </c>
      <c r="B716" s="39">
        <f t="shared" si="108"/>
        <v>712</v>
      </c>
      <c r="C716" s="40">
        <v>46041</v>
      </c>
      <c r="D716" s="40" t="s">
        <v>32</v>
      </c>
      <c r="E716" s="40" t="s">
        <v>33</v>
      </c>
      <c r="F716" s="41">
        <v>262</v>
      </c>
      <c r="G716" s="42" t="s">
        <v>85</v>
      </c>
      <c r="H716" s="43" t="str">
        <f>IFERROR(VLOOKUP($J716,'[9]FROM (3)'!$E$4:$F$230,2,FALSE),"")</f>
        <v/>
      </c>
      <c r="I716" s="44" t="str">
        <f t="shared" si="105"/>
        <v>RACK</v>
      </c>
      <c r="J716" s="44" t="str">
        <f t="shared" si="106"/>
        <v>510-30149-020</v>
      </c>
      <c r="K716" s="59" t="str">
        <f t="shared" si="103"/>
        <v>PD26010788</v>
      </c>
      <c r="L716" s="46" t="str" cm="1">
        <f t="array" ref="L716">IFERROR(_xlfn.IFS(
    LEN($A716)-LEN(SUBSTITUTE($A716,"|",""))=12, RIGHT(A716, LEN(A716)-FIND("~", SUBSTITUTE(A716,"|","~", LEN(A716)-LEN(SUBSTITUTE(A716,"|",""))))),
    LEN($A716)-LEN(SUBSTITUTE($A716,"|",""))=13, MID($A716, FIND("~", SUBSTITUTE($A716,"|","~", 11))+1, FIND("~", SUBSTITUTE($A716,"|","~", 12))-FIND("~", SUBSTITUTE($A716,"|","~", 11))-1),
    LEN($A716)-LEN(SUBSTITUTE($A716,"|",""))=14, MID($A716, FIND("~", SUBSTITUTE($A716,"|","~", 11))+1, FIND("~", SUBSTITUTE($A716,"|","~", 12))-FIND("~", SUBSTITUTE($A716,"|","~", 11))-1)
), "")</f>
        <v>5C1361</v>
      </c>
      <c r="M716" s="47" t="str">
        <f t="shared" si="102"/>
        <v>SB010086/2/26</v>
      </c>
      <c r="N716" s="46" t="str">
        <f t="shared" si="104"/>
        <v/>
      </c>
      <c r="O716" s="60">
        <v>40</v>
      </c>
      <c r="P716" s="60">
        <v>782</v>
      </c>
      <c r="Q716" s="48">
        <v>77</v>
      </c>
      <c r="R716" s="48">
        <v>126</v>
      </c>
      <c r="S716" s="48"/>
      <c r="T716" s="48"/>
      <c r="U716" s="49"/>
      <c r="V716" s="49"/>
      <c r="W716" s="50">
        <f t="shared" si="101"/>
        <v>0</v>
      </c>
      <c r="X716" s="51" t="str">
        <f>IF(A716="", "", IF(COUNTIFS(C$3:C715, C716, D$3:D715, D716, G$3:G715, G716) &gt; 0, "", "11:00"-AW716))</f>
        <v/>
      </c>
      <c r="Y716" s="52" t="str">
        <f t="shared" si="107"/>
        <v/>
      </c>
      <c r="Z716" s="53"/>
      <c r="AA716" s="54"/>
      <c r="AB716" s="53"/>
      <c r="AC716" s="54"/>
      <c r="AD716" s="53"/>
      <c r="AE716" s="54"/>
      <c r="AF716" s="53"/>
      <c r="AG716" s="54"/>
      <c r="AH716" s="55">
        <v>4.1666666666666699E-2</v>
      </c>
      <c r="AI716" s="53"/>
      <c r="AJ716" s="54"/>
      <c r="AK716" s="53"/>
      <c r="AL716" s="54"/>
      <c r="AM716" s="53"/>
      <c r="AN716" s="54"/>
      <c r="AO716" s="53"/>
      <c r="AP716" s="54"/>
      <c r="AQ716" s="53"/>
      <c r="AR716" s="54"/>
      <c r="AS716" s="53"/>
      <c r="AT716" s="54"/>
      <c r="AU716" s="53">
        <v>4.1666666666666699E-2</v>
      </c>
      <c r="AV716" s="54" t="s">
        <v>37</v>
      </c>
      <c r="AW716" s="57">
        <f t="shared" si="100"/>
        <v>4.1666666666666699E-2</v>
      </c>
      <c r="AX716" s="58" t="s">
        <v>117</v>
      </c>
    </row>
    <row r="717" spans="1:50" ht="21.75" customHeight="1">
      <c r="A717" s="66" t="s">
        <v>663</v>
      </c>
      <c r="B717" s="39">
        <f t="shared" si="108"/>
        <v>713</v>
      </c>
      <c r="C717" s="40">
        <v>46041</v>
      </c>
      <c r="D717" s="40" t="s">
        <v>32</v>
      </c>
      <c r="E717" s="40" t="s">
        <v>33</v>
      </c>
      <c r="F717" s="41">
        <v>375</v>
      </c>
      <c r="G717" s="42" t="s">
        <v>172</v>
      </c>
      <c r="H717" s="43" t="str">
        <f>IFERROR(VLOOKUP($J717,'[9]FROM (3)'!$E$4:$F$230,2,FALSE),"")</f>
        <v>ATAC</v>
      </c>
      <c r="I717" s="44" t="str">
        <f t="shared" si="105"/>
        <v>SEAT,WATER PUMP PULLEY</v>
      </c>
      <c r="J717" s="44" t="str">
        <f t="shared" si="106"/>
        <v>16171-05030</v>
      </c>
      <c r="K717" s="59" t="str">
        <f t="shared" si="103"/>
        <v>PD26010580</v>
      </c>
      <c r="L717" s="46" t="str" cm="1">
        <f t="array" ref="L717">IFERROR(_xlfn.IFS(
    LEN($A717)-LEN(SUBSTITUTE($A717,"|",""))=12, RIGHT(A717, LEN(A717)-FIND("~", SUBSTITUTE(A717,"|","~", LEN(A717)-LEN(SUBSTITUTE(A717,"|",""))))),
    LEN($A717)-LEN(SUBSTITUTE($A717,"|",""))=13, MID($A717, FIND("~", SUBSTITUTE($A717,"|","~", 11))+1, FIND("~", SUBSTITUTE($A717,"|","~", 12))-FIND("~", SUBSTITUTE($A717,"|","~", 11))-1),
    LEN($A717)-LEN(SUBSTITUTE($A717,"|",""))=14, MID($A717, FIND("~", SUBSTITUTE($A717,"|","~", 11))+1, FIND("~", SUBSTITUTE($A717,"|","~", 12))-FIND("~", SUBSTITUTE($A717,"|","~", 11))-1)
), "")</f>
        <v>665898</v>
      </c>
      <c r="M717" s="47" t="str">
        <f t="shared" si="102"/>
        <v>SB010056/4/26</v>
      </c>
      <c r="N717" s="46" t="str">
        <f t="shared" si="104"/>
        <v/>
      </c>
      <c r="O717" s="60" t="s">
        <v>35</v>
      </c>
      <c r="P717" s="60" t="s">
        <v>35</v>
      </c>
      <c r="Q717" s="48">
        <v>848</v>
      </c>
      <c r="R717" s="48">
        <v>318</v>
      </c>
      <c r="S717" s="48"/>
      <c r="T717" s="48"/>
      <c r="U717" s="49"/>
      <c r="V717" s="49"/>
      <c r="W717" s="50">
        <f t="shared" si="101"/>
        <v>0</v>
      </c>
      <c r="X717" s="51">
        <f>IF(A717="", "", IF(COUNTIFS(C$3:C716, C717, D$3:D716, D717, G$3:G716, G717) &gt; 0, "", "11:00"-AW717))</f>
        <v>0.33333333333333326</v>
      </c>
      <c r="Y717" s="52" t="str">
        <f t="shared" si="107"/>
        <v>1:40</v>
      </c>
      <c r="Z717" s="53">
        <v>4.1666666666666664E-2</v>
      </c>
      <c r="AA717" s="54" t="s">
        <v>136</v>
      </c>
      <c r="AB717" s="53">
        <v>4.1666666666666664E-2</v>
      </c>
      <c r="AC717" s="54" t="s">
        <v>136</v>
      </c>
      <c r="AD717" s="53"/>
      <c r="AE717" s="54"/>
      <c r="AF717" s="53"/>
      <c r="AG717" s="54"/>
      <c r="AH717" s="55">
        <v>4.1666666666666699E-2</v>
      </c>
      <c r="AI717" s="53"/>
      <c r="AJ717" s="54"/>
      <c r="AK717" s="53"/>
      <c r="AL717" s="54"/>
      <c r="AM717" s="53"/>
      <c r="AN717" s="54"/>
      <c r="AO717" s="53"/>
      <c r="AP717" s="54"/>
      <c r="AQ717" s="53"/>
      <c r="AR717" s="54"/>
      <c r="AS717" s="53"/>
      <c r="AT717" s="54"/>
      <c r="AU717" s="53">
        <v>4.1666666666666699E-2</v>
      </c>
      <c r="AV717" s="54" t="s">
        <v>37</v>
      </c>
      <c r="AW717" s="57">
        <f t="shared" si="100"/>
        <v>0.12500000000000003</v>
      </c>
      <c r="AX717" s="58" t="s">
        <v>380</v>
      </c>
    </row>
    <row r="718" spans="1:50" ht="21.75" customHeight="1">
      <c r="A718" s="66" t="s">
        <v>664</v>
      </c>
      <c r="B718" s="39">
        <f t="shared" si="108"/>
        <v>714</v>
      </c>
      <c r="C718" s="40">
        <v>46041</v>
      </c>
      <c r="D718" s="40" t="s">
        <v>32</v>
      </c>
      <c r="E718" s="40" t="s">
        <v>33</v>
      </c>
      <c r="F718" s="41">
        <v>375</v>
      </c>
      <c r="G718" s="42" t="s">
        <v>172</v>
      </c>
      <c r="H718" s="43" t="str">
        <f>IFERROR(VLOOKUP($J718,'[9]FROM (3)'!$E$4:$F$230,2,FALSE),"")</f>
        <v>ATAC</v>
      </c>
      <c r="I718" s="44" t="str">
        <f t="shared" si="105"/>
        <v>SEAT,WATER PUMP PULLEY</v>
      </c>
      <c r="J718" s="44" t="str">
        <f t="shared" si="106"/>
        <v>16171-05030</v>
      </c>
      <c r="K718" s="59" t="str">
        <f t="shared" si="103"/>
        <v>PD26010580</v>
      </c>
      <c r="L718" s="46" t="str" cm="1">
        <f t="array" ref="L718">IFERROR(_xlfn.IFS(
    LEN($A718)-LEN(SUBSTITUTE($A718,"|",""))=12, RIGHT(A718, LEN(A718)-FIND("~", SUBSTITUTE(A718,"|","~", LEN(A718)-LEN(SUBSTITUTE(A718,"|",""))))),
    LEN($A718)-LEN(SUBSTITUTE($A718,"|",""))=13, MID($A718, FIND("~", SUBSTITUTE($A718,"|","~", 11))+1, FIND("~", SUBSTITUTE($A718,"|","~", 12))-FIND("~", SUBSTITUTE($A718,"|","~", 11))-1),
    LEN($A718)-LEN(SUBSTITUTE($A718,"|",""))=14, MID($A718, FIND("~", SUBSTITUTE($A718,"|","~", 11))+1, FIND("~", SUBSTITUTE($A718,"|","~", 12))-FIND("~", SUBSTITUTE($A718,"|","~", 11))-1)
), "")</f>
        <v>665898</v>
      </c>
      <c r="M718" s="47" t="str">
        <f t="shared" si="102"/>
        <v>SB010056/5/26</v>
      </c>
      <c r="N718" s="46" t="str">
        <f t="shared" si="104"/>
        <v/>
      </c>
      <c r="O718" s="60">
        <v>14</v>
      </c>
      <c r="P718" s="60">
        <v>996</v>
      </c>
      <c r="Q718" s="48">
        <v>1386</v>
      </c>
      <c r="R718" s="48">
        <v>520</v>
      </c>
      <c r="S718" s="48"/>
      <c r="T718" s="48"/>
      <c r="U718" s="49"/>
      <c r="V718" s="49"/>
      <c r="W718" s="50">
        <f t="shared" si="101"/>
        <v>0</v>
      </c>
      <c r="X718" s="51" t="str">
        <f>IF(A718="", "", IF(COUNTIFS(C$3:C717, C718, D$3:D717, D718, G$3:G717, G718) &gt; 0, "", "11:00"-AW718))</f>
        <v/>
      </c>
      <c r="Y718" s="52" t="str">
        <f t="shared" si="107"/>
        <v/>
      </c>
      <c r="Z718" s="53"/>
      <c r="AA718" s="54"/>
      <c r="AB718" s="53"/>
      <c r="AC718" s="54"/>
      <c r="AD718" s="53"/>
      <c r="AE718" s="54"/>
      <c r="AF718" s="53"/>
      <c r="AG718" s="54"/>
      <c r="AH718" s="55">
        <v>4.1666666666666699E-2</v>
      </c>
      <c r="AI718" s="53"/>
      <c r="AJ718" s="54"/>
      <c r="AK718" s="53"/>
      <c r="AL718" s="54"/>
      <c r="AM718" s="53"/>
      <c r="AN718" s="54"/>
      <c r="AO718" s="53"/>
      <c r="AP718" s="54"/>
      <c r="AQ718" s="53"/>
      <c r="AR718" s="54"/>
      <c r="AS718" s="53"/>
      <c r="AT718" s="54"/>
      <c r="AU718" s="53">
        <v>4.1666666666666699E-2</v>
      </c>
      <c r="AV718" s="54" t="s">
        <v>37</v>
      </c>
      <c r="AW718" s="57">
        <f t="shared" si="100"/>
        <v>4.1666666666666699E-2</v>
      </c>
      <c r="AX718" s="58" t="s">
        <v>380</v>
      </c>
    </row>
    <row r="719" spans="1:50" ht="21.75" customHeight="1">
      <c r="A719" s="66" t="s">
        <v>665</v>
      </c>
      <c r="B719" s="39">
        <f t="shared" si="108"/>
        <v>715</v>
      </c>
      <c r="C719" s="40">
        <v>46041</v>
      </c>
      <c r="D719" s="40" t="s">
        <v>32</v>
      </c>
      <c r="E719" s="40" t="s">
        <v>33</v>
      </c>
      <c r="F719" s="41">
        <v>263.5</v>
      </c>
      <c r="G719" s="42" t="s">
        <v>108</v>
      </c>
      <c r="H719" s="43" t="str">
        <f>IFERROR(VLOOKUP($J719,'[9]FROM (3)'!$E$4:$F$230,2,FALSE),"")</f>
        <v>SIAM NSK</v>
      </c>
      <c r="I719" s="44" t="str">
        <f t="shared" si="105"/>
        <v>SHAFT SPLINE</v>
      </c>
      <c r="J719" s="44" t="str">
        <f t="shared" si="106"/>
        <v>2550S0647P</v>
      </c>
      <c r="K719" s="59" t="str">
        <f t="shared" si="103"/>
        <v>PD26010397</v>
      </c>
      <c r="L719" s="46" t="str" cm="1">
        <f t="array" ref="L719">IFERROR(_xlfn.IFS(
    LEN($A719)-LEN(SUBSTITUTE($A719,"|",""))=12, RIGHT(A719, LEN(A719)-FIND("~", SUBSTITUTE(A719,"|","~", LEN(A719)-LEN(SUBSTITUTE(A719,"|",""))))),
    LEN($A719)-LEN(SUBSTITUTE($A719,"|",""))=13, MID($A719, FIND("~", SUBSTITUTE($A719,"|","~", 11))+1, FIND("~", SUBSTITUTE($A719,"|","~", 12))-FIND("~", SUBSTITUTE($A719,"|","~", 11))-1),
    LEN($A719)-LEN(SUBSTITUTE($A719,"|",""))=14, MID($A719, FIND("~", SUBSTITUTE($A719,"|","~", 11))+1, FIND("~", SUBSTITUTE($A719,"|","~", 12))-FIND("~", SUBSTITUTE($A719,"|","~", 11))-1)
), "")</f>
        <v>E586424</v>
      </c>
      <c r="M719" s="47" t="str">
        <f t="shared" si="102"/>
        <v>SB010027/3/26</v>
      </c>
      <c r="N719" s="46" t="str">
        <f t="shared" si="104"/>
        <v/>
      </c>
      <c r="O719" s="60" t="s">
        <v>35</v>
      </c>
      <c r="P719" s="60" t="s">
        <v>35</v>
      </c>
      <c r="Q719" s="48">
        <v>365</v>
      </c>
      <c r="R719" s="48">
        <v>198</v>
      </c>
      <c r="S719" s="48"/>
      <c r="T719" s="48"/>
      <c r="U719" s="49"/>
      <c r="V719" s="49"/>
      <c r="W719" s="50">
        <f t="shared" si="101"/>
        <v>0</v>
      </c>
      <c r="X719" s="51">
        <f>IF(A719="", "", IF(COUNTIFS(C$3:C718, C719, D$3:D718, D719, G$3:G718, G719) &gt; 0, "", "11:00"-AW719))</f>
        <v>0.41666666666666663</v>
      </c>
      <c r="Y719" s="52" t="str">
        <f t="shared" si="107"/>
        <v>1:40</v>
      </c>
      <c r="Z719" s="53"/>
      <c r="AA719" s="54"/>
      <c r="AB719" s="53"/>
      <c r="AC719" s="54"/>
      <c r="AD719" s="53"/>
      <c r="AE719" s="54"/>
      <c r="AF719" s="53"/>
      <c r="AG719" s="54"/>
      <c r="AH719" s="55">
        <v>4.1666666666666699E-2</v>
      </c>
      <c r="AI719" s="53"/>
      <c r="AJ719" s="54"/>
      <c r="AK719" s="53"/>
      <c r="AL719" s="54"/>
      <c r="AM719" s="53"/>
      <c r="AN719" s="54"/>
      <c r="AO719" s="53"/>
      <c r="AP719" s="54"/>
      <c r="AQ719" s="53"/>
      <c r="AR719" s="54"/>
      <c r="AS719" s="53"/>
      <c r="AT719" s="54"/>
      <c r="AU719" s="53">
        <v>4.1666666666666699E-2</v>
      </c>
      <c r="AV719" s="54" t="s">
        <v>37</v>
      </c>
      <c r="AW719" s="57">
        <f t="shared" si="100"/>
        <v>4.1666666666666699E-2</v>
      </c>
      <c r="AX719" s="58" t="s">
        <v>380</v>
      </c>
    </row>
    <row r="720" spans="1:50" ht="21.75" customHeight="1">
      <c r="A720" s="66" t="s">
        <v>666</v>
      </c>
      <c r="B720" s="39">
        <f t="shared" si="108"/>
        <v>716</v>
      </c>
      <c r="C720" s="40">
        <v>46041</v>
      </c>
      <c r="D720" s="40" t="s">
        <v>32</v>
      </c>
      <c r="E720" s="40" t="s">
        <v>33</v>
      </c>
      <c r="F720" s="41">
        <v>263.5</v>
      </c>
      <c r="G720" s="42" t="s">
        <v>108</v>
      </c>
      <c r="H720" s="43" t="str">
        <f>IFERROR(VLOOKUP($J720,'[9]FROM (3)'!$E$4:$F$230,2,FALSE),"")</f>
        <v>SIAM NSK</v>
      </c>
      <c r="I720" s="44" t="str">
        <f t="shared" si="105"/>
        <v>SHAFT SPLINE</v>
      </c>
      <c r="J720" s="44" t="str">
        <f t="shared" si="106"/>
        <v>2550S0647P</v>
      </c>
      <c r="K720" s="59" t="str">
        <f t="shared" si="103"/>
        <v>PD26010397</v>
      </c>
      <c r="L720" s="46" t="str" cm="1">
        <f t="array" ref="L720">IFERROR(_xlfn.IFS(
    LEN($A720)-LEN(SUBSTITUTE($A720,"|",""))=12, RIGHT(A720, LEN(A720)-FIND("~", SUBSTITUTE(A720,"|","~", LEN(A720)-LEN(SUBSTITUTE(A720,"|",""))))),
    LEN($A720)-LEN(SUBSTITUTE($A720,"|",""))=13, MID($A720, FIND("~", SUBSTITUTE($A720,"|","~", 11))+1, FIND("~", SUBSTITUTE($A720,"|","~", 12))-FIND("~", SUBSTITUTE($A720,"|","~", 11))-1),
    LEN($A720)-LEN(SUBSTITUTE($A720,"|",""))=14, MID($A720, FIND("~", SUBSTITUTE($A720,"|","~", 11))+1, FIND("~", SUBSTITUTE($A720,"|","~", 12))-FIND("~", SUBSTITUTE($A720,"|","~", 11))-1)
), "")</f>
        <v>E586424</v>
      </c>
      <c r="M720" s="47" t="str">
        <f t="shared" si="102"/>
        <v>SB010027/2/26</v>
      </c>
      <c r="N720" s="46" t="str">
        <f t="shared" si="104"/>
        <v/>
      </c>
      <c r="O720" s="60">
        <v>114</v>
      </c>
      <c r="P720" s="60">
        <v>1040</v>
      </c>
      <c r="Q720" s="48">
        <v>1824</v>
      </c>
      <c r="R720" s="48">
        <v>990</v>
      </c>
      <c r="S720" s="48"/>
      <c r="T720" s="48"/>
      <c r="U720" s="49"/>
      <c r="V720" s="49"/>
      <c r="W720" s="50">
        <f t="shared" si="101"/>
        <v>0</v>
      </c>
      <c r="X720" s="51" t="str">
        <f>IF(A720="", "", IF(COUNTIFS(C$3:C719, C720, D$3:D719, D720, G$3:G719, G720) &gt; 0, "", "11:00"-AW720))</f>
        <v/>
      </c>
      <c r="Y720" s="52" t="str">
        <f t="shared" si="107"/>
        <v/>
      </c>
      <c r="Z720" s="53"/>
      <c r="AA720" s="54"/>
      <c r="AB720" s="53"/>
      <c r="AC720" s="54"/>
      <c r="AD720" s="53"/>
      <c r="AE720" s="54"/>
      <c r="AF720" s="53"/>
      <c r="AG720" s="54"/>
      <c r="AH720" s="55">
        <v>4.1666666666666699E-2</v>
      </c>
      <c r="AI720" s="53"/>
      <c r="AJ720" s="54"/>
      <c r="AK720" s="53"/>
      <c r="AL720" s="54"/>
      <c r="AM720" s="53"/>
      <c r="AN720" s="54"/>
      <c r="AO720" s="53"/>
      <c r="AP720" s="54"/>
      <c r="AQ720" s="53"/>
      <c r="AR720" s="54"/>
      <c r="AS720" s="53"/>
      <c r="AT720" s="54"/>
      <c r="AU720" s="53">
        <v>4.1666666666666699E-2</v>
      </c>
      <c r="AV720" s="54" t="s">
        <v>37</v>
      </c>
      <c r="AW720" s="57">
        <f t="shared" si="100"/>
        <v>4.1666666666666699E-2</v>
      </c>
      <c r="AX720" s="58" t="s">
        <v>380</v>
      </c>
    </row>
    <row r="721" spans="1:50" ht="21.75" customHeight="1">
      <c r="A721" s="66" t="s">
        <v>667</v>
      </c>
      <c r="B721" s="39">
        <f t="shared" si="108"/>
        <v>717</v>
      </c>
      <c r="C721" s="40">
        <v>46041</v>
      </c>
      <c r="D721" s="40" t="s">
        <v>32</v>
      </c>
      <c r="E721" s="40" t="s">
        <v>33</v>
      </c>
      <c r="F721" s="41">
        <v>263.5</v>
      </c>
      <c r="G721" s="42" t="s">
        <v>108</v>
      </c>
      <c r="H721" s="43" t="str">
        <f>IFERROR(VLOOKUP($J721,'[9]FROM (3)'!$E$4:$F$230,2,FALSE),"")</f>
        <v>SIAM NSK</v>
      </c>
      <c r="I721" s="44" t="str">
        <f t="shared" si="105"/>
        <v>SHAFT SPLINE</v>
      </c>
      <c r="J721" s="44" t="str">
        <f t="shared" si="106"/>
        <v>2550S0647P</v>
      </c>
      <c r="K721" s="59" t="str">
        <f t="shared" si="103"/>
        <v>PD26010397</v>
      </c>
      <c r="L721" s="46" t="str" cm="1">
        <f t="array" ref="L721">IFERROR(_xlfn.IFS(
    LEN($A721)-LEN(SUBSTITUTE($A721,"|",""))=12, RIGHT(A721, LEN(A721)-FIND("~", SUBSTITUTE(A721,"|","~", LEN(A721)-LEN(SUBSTITUTE(A721,"|",""))))),
    LEN($A721)-LEN(SUBSTITUTE($A721,"|",""))=13, MID($A721, FIND("~", SUBSTITUTE($A721,"|","~", 11))+1, FIND("~", SUBSTITUTE($A721,"|","~", 12))-FIND("~", SUBSTITUTE($A721,"|","~", 11))-1),
    LEN($A721)-LEN(SUBSTITUTE($A721,"|",""))=14, MID($A721, FIND("~", SUBSTITUTE($A721,"|","~", 11))+1, FIND("~", SUBSTITUTE($A721,"|","~", 12))-FIND("~", SUBSTITUTE($A721,"|","~", 11))-1)
), "")</f>
        <v>E586424</v>
      </c>
      <c r="M721" s="47" t="str">
        <f t="shared" si="102"/>
        <v>SB010027/1/26</v>
      </c>
      <c r="N721" s="46" t="str">
        <f t="shared" si="104"/>
        <v/>
      </c>
      <c r="O721" s="60">
        <v>114</v>
      </c>
      <c r="P721" s="60">
        <v>1040</v>
      </c>
      <c r="Q721" s="48">
        <v>1451</v>
      </c>
      <c r="R721" s="48">
        <v>787</v>
      </c>
      <c r="S721" s="48"/>
      <c r="T721" s="48"/>
      <c r="U721" s="49"/>
      <c r="V721" s="49"/>
      <c r="W721" s="50">
        <f t="shared" si="101"/>
        <v>0</v>
      </c>
      <c r="X721" s="51" t="str">
        <f>IF(A721="", "", IF(COUNTIFS(C$3:C720, C721, D$3:D720, D721, G$3:G720, G721) &gt; 0, "", "11:00"-AW721))</f>
        <v/>
      </c>
      <c r="Y721" s="52" t="str">
        <f t="shared" si="107"/>
        <v/>
      </c>
      <c r="Z721" s="53"/>
      <c r="AA721" s="54"/>
      <c r="AB721" s="53"/>
      <c r="AC721" s="54"/>
      <c r="AD721" s="53"/>
      <c r="AE721" s="54"/>
      <c r="AF721" s="53"/>
      <c r="AG721" s="54"/>
      <c r="AH721" s="55">
        <v>4.1666666666666699E-2</v>
      </c>
      <c r="AI721" s="53"/>
      <c r="AJ721" s="54"/>
      <c r="AK721" s="53"/>
      <c r="AL721" s="54"/>
      <c r="AM721" s="53"/>
      <c r="AN721" s="54"/>
      <c r="AO721" s="53"/>
      <c r="AP721" s="54"/>
      <c r="AQ721" s="53"/>
      <c r="AR721" s="54"/>
      <c r="AS721" s="53"/>
      <c r="AT721" s="54"/>
      <c r="AU721" s="53">
        <v>4.1666666666666699E-2</v>
      </c>
      <c r="AV721" s="54" t="s">
        <v>37</v>
      </c>
      <c r="AW721" s="57">
        <f t="shared" si="100"/>
        <v>4.1666666666666699E-2</v>
      </c>
      <c r="AX721" s="58" t="s">
        <v>380</v>
      </c>
    </row>
    <row r="722" spans="1:50" ht="21.75" customHeight="1">
      <c r="A722" s="66" t="s">
        <v>668</v>
      </c>
      <c r="B722" s="39">
        <f t="shared" si="108"/>
        <v>718</v>
      </c>
      <c r="C722" s="40">
        <v>46040</v>
      </c>
      <c r="D722" s="40" t="s">
        <v>80</v>
      </c>
      <c r="E722" s="40" t="s">
        <v>81</v>
      </c>
      <c r="F722" s="41">
        <v>756.8</v>
      </c>
      <c r="G722" s="42" t="s">
        <v>192</v>
      </c>
      <c r="H722" s="43" t="str">
        <f>IFERROR(VLOOKUP($J722,'[9]FROM (3)'!$E$4:$F$230,2,FALSE),"")</f>
        <v>JATH</v>
      </c>
      <c r="I722" s="44" t="str">
        <f t="shared" si="105"/>
        <v>JGF02-002190-31-2</v>
      </c>
      <c r="J722" s="44" t="str">
        <f t="shared" si="106"/>
        <v>RACK BAR BLANK (JGF02-002190-31-2) 5K45</v>
      </c>
      <c r="K722" s="59" t="str">
        <f t="shared" si="103"/>
        <v>PD25121244</v>
      </c>
      <c r="L722" s="46" t="str" cm="1">
        <f t="array" ref="L722">IFERROR(_xlfn.IFS(
    LEN($A722)-LEN(SUBSTITUTE($A722,"|",""))=12, RIGHT(A722, LEN(A722)-FIND("~", SUBSTITUTE(A722,"|","~", LEN(A722)-LEN(SUBSTITUTE(A722,"|",""))))),
    LEN($A722)-LEN(SUBSTITUTE($A722,"|",""))=13, MID($A722, FIND("~", SUBSTITUTE($A722,"|","~", 11))+1, FIND("~", SUBSTITUTE($A722,"|","~", 12))-FIND("~", SUBSTITUTE($A722,"|","~", 11))-1),
    LEN($A722)-LEN(SUBSTITUTE($A722,"|",""))=14, MID($A722, FIND("~", SUBSTITUTE($A722,"|","~", 11))+1, FIND("~", SUBSTITUTE($A722,"|","~", 12))-FIND("~", SUBSTITUTE($A722,"|","~", 11))-1)
), "")</f>
        <v>5A5658</v>
      </c>
      <c r="M722" s="47" t="str">
        <f t="shared" si="102"/>
        <v>TSK2</v>
      </c>
      <c r="N722" s="46" t="str">
        <f t="shared" si="104"/>
        <v>FB120363/9/25</v>
      </c>
      <c r="O722" s="60">
        <v>58</v>
      </c>
      <c r="P722" s="60">
        <v>280</v>
      </c>
      <c r="Q722" s="48">
        <v>58</v>
      </c>
      <c r="R722" s="48">
        <v>280</v>
      </c>
      <c r="S722" s="48"/>
      <c r="T722" s="48"/>
      <c r="U722" s="49"/>
      <c r="V722" s="49"/>
      <c r="W722" s="50">
        <f t="shared" si="101"/>
        <v>0</v>
      </c>
      <c r="X722" s="51">
        <f>IF(A722="", "", IF(COUNTIFS(C$3:C721, C722, D$3:D721, D722, G$3:G721, G722) &gt; 0, "", "11:00"-AW722))</f>
        <v>0.41666666666666663</v>
      </c>
      <c r="Y722" s="52" t="str">
        <f t="shared" si="107"/>
        <v>1:40</v>
      </c>
      <c r="Z722" s="53"/>
      <c r="AA722" s="54"/>
      <c r="AB722" s="53"/>
      <c r="AC722" s="54"/>
      <c r="AD722" s="53"/>
      <c r="AE722" s="54"/>
      <c r="AF722" s="53"/>
      <c r="AG722" s="54"/>
      <c r="AH722" s="55">
        <v>4.1666666666666699E-2</v>
      </c>
      <c r="AI722" s="53"/>
      <c r="AJ722" s="54"/>
      <c r="AK722" s="53"/>
      <c r="AL722" s="54"/>
      <c r="AM722" s="53"/>
      <c r="AN722" s="54"/>
      <c r="AO722" s="53"/>
      <c r="AP722" s="54"/>
      <c r="AQ722" s="53"/>
      <c r="AR722" s="54"/>
      <c r="AS722" s="53"/>
      <c r="AT722" s="54"/>
      <c r="AU722" s="53">
        <v>4.1666666666666699E-2</v>
      </c>
      <c r="AV722" s="54" t="s">
        <v>37</v>
      </c>
      <c r="AW722" s="57">
        <f t="shared" si="100"/>
        <v>4.1666666666666699E-2</v>
      </c>
      <c r="AX722" s="58" t="s">
        <v>113</v>
      </c>
    </row>
    <row r="723" spans="1:50" ht="21.75" customHeight="1">
      <c r="A723" s="66" t="s">
        <v>669</v>
      </c>
      <c r="B723" s="39">
        <f t="shared" si="108"/>
        <v>719</v>
      </c>
      <c r="C723" s="40">
        <v>46040</v>
      </c>
      <c r="D723" s="40" t="s">
        <v>80</v>
      </c>
      <c r="E723" s="40" t="s">
        <v>81</v>
      </c>
      <c r="F723" s="41">
        <v>756.8</v>
      </c>
      <c r="G723" s="42" t="s">
        <v>192</v>
      </c>
      <c r="H723" s="43" t="str">
        <f>IFERROR(VLOOKUP($J723,'[9]FROM (3)'!$E$4:$F$230,2,FALSE),"")</f>
        <v>JATH</v>
      </c>
      <c r="I723" s="44" t="str">
        <f t="shared" si="105"/>
        <v>JGF02-002190-31-2</v>
      </c>
      <c r="J723" s="44" t="str">
        <f t="shared" si="106"/>
        <v>RACK BAR BLANK (JGF02-002190-31-2) 5K45</v>
      </c>
      <c r="K723" s="59" t="str">
        <f t="shared" si="103"/>
        <v>PD25121244</v>
      </c>
      <c r="L723" s="46" t="str" cm="1">
        <f t="array" ref="L723">IFERROR(_xlfn.IFS(
    LEN($A723)-LEN(SUBSTITUTE($A723,"|",""))=12, RIGHT(A723, LEN(A723)-FIND("~", SUBSTITUTE(A723,"|","~", LEN(A723)-LEN(SUBSTITUTE(A723,"|",""))))),
    LEN($A723)-LEN(SUBSTITUTE($A723,"|",""))=13, MID($A723, FIND("~", SUBSTITUTE($A723,"|","~", 11))+1, FIND("~", SUBSTITUTE($A723,"|","~", 12))-FIND("~", SUBSTITUTE($A723,"|","~", 11))-1),
    LEN($A723)-LEN(SUBSTITUTE($A723,"|",""))=14, MID($A723, FIND("~", SUBSTITUTE($A723,"|","~", 11))+1, FIND("~", SUBSTITUTE($A723,"|","~", 12))-FIND("~", SUBSTITUTE($A723,"|","~", 11))-1)
), "")</f>
        <v>5A5658</v>
      </c>
      <c r="M723" s="47" t="str">
        <f t="shared" si="102"/>
        <v>TSK2</v>
      </c>
      <c r="N723" s="46" t="str">
        <f t="shared" si="104"/>
        <v>FB120363/16/25</v>
      </c>
      <c r="O723" s="60">
        <v>58</v>
      </c>
      <c r="P723" s="60">
        <v>280</v>
      </c>
      <c r="Q723" s="48">
        <v>58</v>
      </c>
      <c r="R723" s="48">
        <v>280</v>
      </c>
      <c r="S723" s="48"/>
      <c r="T723" s="48"/>
      <c r="U723" s="49"/>
      <c r="V723" s="49"/>
      <c r="W723" s="50">
        <f t="shared" si="101"/>
        <v>0</v>
      </c>
      <c r="X723" s="51" t="str">
        <f>IF(A723="", "", IF(COUNTIFS(C$3:C722, C723, D$3:D722, D723, G$3:G722, G723) &gt; 0, "", "11:00"-AW723))</f>
        <v/>
      </c>
      <c r="Y723" s="52" t="str">
        <f t="shared" si="107"/>
        <v/>
      </c>
      <c r="Z723" s="53"/>
      <c r="AA723" s="54"/>
      <c r="AB723" s="53"/>
      <c r="AC723" s="54"/>
      <c r="AD723" s="53"/>
      <c r="AE723" s="54"/>
      <c r="AF723" s="53"/>
      <c r="AG723" s="54"/>
      <c r="AH723" s="55">
        <v>4.1666666666666699E-2</v>
      </c>
      <c r="AI723" s="53"/>
      <c r="AJ723" s="54"/>
      <c r="AK723" s="53"/>
      <c r="AL723" s="54"/>
      <c r="AM723" s="53"/>
      <c r="AN723" s="54"/>
      <c r="AO723" s="53"/>
      <c r="AP723" s="54"/>
      <c r="AQ723" s="53"/>
      <c r="AR723" s="54"/>
      <c r="AS723" s="53"/>
      <c r="AT723" s="54"/>
      <c r="AU723" s="53">
        <v>4.1666666666666699E-2</v>
      </c>
      <c r="AV723" s="54" t="s">
        <v>37</v>
      </c>
      <c r="AW723" s="57">
        <f t="shared" si="100"/>
        <v>4.1666666666666699E-2</v>
      </c>
      <c r="AX723" s="58" t="s">
        <v>113</v>
      </c>
    </row>
    <row r="724" spans="1:50" ht="21.75" customHeight="1">
      <c r="A724" s="66" t="s">
        <v>670</v>
      </c>
      <c r="B724" s="39">
        <f t="shared" si="108"/>
        <v>720</v>
      </c>
      <c r="C724" s="40">
        <v>46040</v>
      </c>
      <c r="D724" s="40" t="s">
        <v>80</v>
      </c>
      <c r="E724" s="40" t="s">
        <v>81</v>
      </c>
      <c r="F724" s="41">
        <v>756.8</v>
      </c>
      <c r="G724" s="42" t="s">
        <v>192</v>
      </c>
      <c r="H724" s="43" t="str">
        <f>IFERROR(VLOOKUP($J724,'[9]FROM (3)'!$E$4:$F$230,2,FALSE),"")</f>
        <v>JATH</v>
      </c>
      <c r="I724" s="44" t="str">
        <f t="shared" si="105"/>
        <v>JGF02-002190-31-2</v>
      </c>
      <c r="J724" s="44" t="str">
        <f t="shared" si="106"/>
        <v>RACK BAR BLANK (JGF02-002190-31-2) 5K45</v>
      </c>
      <c r="K724" s="59" t="str">
        <f t="shared" si="103"/>
        <v>PD25121244</v>
      </c>
      <c r="L724" s="46" t="str" cm="1">
        <f t="array" ref="L724">IFERROR(_xlfn.IFS(
    LEN($A724)-LEN(SUBSTITUTE($A724,"|",""))=12, RIGHT(A724, LEN(A724)-FIND("~", SUBSTITUTE(A724,"|","~", LEN(A724)-LEN(SUBSTITUTE(A724,"|",""))))),
    LEN($A724)-LEN(SUBSTITUTE($A724,"|",""))=13, MID($A724, FIND("~", SUBSTITUTE($A724,"|","~", 11))+1, FIND("~", SUBSTITUTE($A724,"|","~", 12))-FIND("~", SUBSTITUTE($A724,"|","~", 11))-1),
    LEN($A724)-LEN(SUBSTITUTE($A724,"|",""))=14, MID($A724, FIND("~", SUBSTITUTE($A724,"|","~", 11))+1, FIND("~", SUBSTITUTE($A724,"|","~", 12))-FIND("~", SUBSTITUTE($A724,"|","~", 11))-1)
), "")</f>
        <v>5A5658</v>
      </c>
      <c r="M724" s="47" t="str">
        <f t="shared" si="102"/>
        <v>TSK2</v>
      </c>
      <c r="N724" s="46" t="str">
        <f t="shared" si="104"/>
        <v>FB120363/7/25</v>
      </c>
      <c r="O724" s="60">
        <v>58</v>
      </c>
      <c r="P724" s="60">
        <v>28</v>
      </c>
      <c r="Q724" s="48">
        <v>58</v>
      </c>
      <c r="R724" s="48">
        <v>280</v>
      </c>
      <c r="S724" s="48"/>
      <c r="T724" s="48"/>
      <c r="U724" s="49"/>
      <c r="V724" s="49"/>
      <c r="W724" s="50">
        <f t="shared" si="101"/>
        <v>0</v>
      </c>
      <c r="X724" s="51" t="str">
        <f>IF(A724="", "", IF(COUNTIFS(C$3:C723, C724, D$3:D723, D724, G$3:G723, G724) &gt; 0, "", "11:00"-AW724))</f>
        <v/>
      </c>
      <c r="Y724" s="52" t="str">
        <f t="shared" si="107"/>
        <v/>
      </c>
      <c r="Z724" s="53"/>
      <c r="AA724" s="54"/>
      <c r="AB724" s="53"/>
      <c r="AC724" s="54"/>
      <c r="AD724" s="53"/>
      <c r="AE724" s="54"/>
      <c r="AF724" s="53"/>
      <c r="AG724" s="54"/>
      <c r="AH724" s="55">
        <v>4.1666666666666699E-2</v>
      </c>
      <c r="AI724" s="53"/>
      <c r="AJ724" s="54"/>
      <c r="AK724" s="53"/>
      <c r="AL724" s="54"/>
      <c r="AM724" s="53"/>
      <c r="AN724" s="54"/>
      <c r="AO724" s="53"/>
      <c r="AP724" s="54"/>
      <c r="AQ724" s="53"/>
      <c r="AR724" s="54"/>
      <c r="AS724" s="53"/>
      <c r="AT724" s="54"/>
      <c r="AU724" s="53">
        <v>4.1666666666666699E-2</v>
      </c>
      <c r="AV724" s="54" t="s">
        <v>37</v>
      </c>
      <c r="AW724" s="57">
        <f t="shared" si="100"/>
        <v>4.1666666666666699E-2</v>
      </c>
      <c r="AX724" s="58" t="s">
        <v>113</v>
      </c>
    </row>
    <row r="725" spans="1:50" ht="21.75" customHeight="1">
      <c r="A725" s="66" t="s">
        <v>671</v>
      </c>
      <c r="B725" s="39">
        <f t="shared" si="108"/>
        <v>721</v>
      </c>
      <c r="C725" s="40">
        <v>46040</v>
      </c>
      <c r="D725" s="40" t="s">
        <v>80</v>
      </c>
      <c r="E725" s="40" t="s">
        <v>81</v>
      </c>
      <c r="F725" s="41">
        <v>756.8</v>
      </c>
      <c r="G725" s="42" t="s">
        <v>192</v>
      </c>
      <c r="H725" s="43" t="str">
        <f>IFERROR(VLOOKUP($J725,'[9]FROM (3)'!$E$4:$F$230,2,FALSE),"")</f>
        <v>JATH</v>
      </c>
      <c r="I725" s="44" t="str">
        <f t="shared" si="105"/>
        <v>JGF02-002190-31-2</v>
      </c>
      <c r="J725" s="44" t="str">
        <f t="shared" si="106"/>
        <v>RACK BAR BLANK (JGF02-002190-31-2) 5K45</v>
      </c>
      <c r="K725" s="59" t="str">
        <f t="shared" si="103"/>
        <v>PD25121244</v>
      </c>
      <c r="L725" s="46" t="str" cm="1">
        <f t="array" ref="L725">IFERROR(_xlfn.IFS(
    LEN($A725)-LEN(SUBSTITUTE($A725,"|",""))=12, RIGHT(A725, LEN(A725)-FIND("~", SUBSTITUTE(A725,"|","~", LEN(A725)-LEN(SUBSTITUTE(A725,"|",""))))),
    LEN($A725)-LEN(SUBSTITUTE($A725,"|",""))=13, MID($A725, FIND("~", SUBSTITUTE($A725,"|","~", 11))+1, FIND("~", SUBSTITUTE($A725,"|","~", 12))-FIND("~", SUBSTITUTE($A725,"|","~", 11))-1),
    LEN($A725)-LEN(SUBSTITUTE($A725,"|",""))=14, MID($A725, FIND("~", SUBSTITUTE($A725,"|","~", 11))+1, FIND("~", SUBSTITUTE($A725,"|","~", 12))-FIND("~", SUBSTITUTE($A725,"|","~", 11))-1)
), "")</f>
        <v>5A5658</v>
      </c>
      <c r="M725" s="47" t="str">
        <f t="shared" si="102"/>
        <v>TSK2</v>
      </c>
      <c r="N725" s="46" t="str">
        <f t="shared" si="104"/>
        <v>FB120363/14/25</v>
      </c>
      <c r="O725" s="60">
        <v>58</v>
      </c>
      <c r="P725" s="60">
        <v>280</v>
      </c>
      <c r="Q725" s="48">
        <v>58</v>
      </c>
      <c r="R725" s="48">
        <v>280</v>
      </c>
      <c r="S725" s="48"/>
      <c r="T725" s="48"/>
      <c r="U725" s="49"/>
      <c r="V725" s="49"/>
      <c r="W725" s="50">
        <f t="shared" si="101"/>
        <v>0</v>
      </c>
      <c r="X725" s="51" t="str">
        <f>IF(A725="", "", IF(COUNTIFS(C$3:C724, C725, D$3:D724, D725, G$3:G724, G725) &gt; 0, "", "11:00"-AW725))</f>
        <v/>
      </c>
      <c r="Y725" s="52" t="str">
        <f t="shared" si="107"/>
        <v/>
      </c>
      <c r="Z725" s="53"/>
      <c r="AA725" s="54"/>
      <c r="AB725" s="53"/>
      <c r="AC725" s="54"/>
      <c r="AD725" s="53"/>
      <c r="AE725" s="54"/>
      <c r="AF725" s="53"/>
      <c r="AG725" s="54"/>
      <c r="AH725" s="55">
        <v>4.1666666666666699E-2</v>
      </c>
      <c r="AI725" s="53"/>
      <c r="AJ725" s="54"/>
      <c r="AK725" s="53"/>
      <c r="AL725" s="54"/>
      <c r="AM725" s="53"/>
      <c r="AN725" s="54"/>
      <c r="AO725" s="53"/>
      <c r="AP725" s="54"/>
      <c r="AQ725" s="53"/>
      <c r="AR725" s="54"/>
      <c r="AS725" s="53"/>
      <c r="AT725" s="54"/>
      <c r="AU725" s="53">
        <v>4.1666666666666699E-2</v>
      </c>
      <c r="AV725" s="54" t="s">
        <v>37</v>
      </c>
      <c r="AW725" s="57">
        <f t="shared" si="100"/>
        <v>4.1666666666666699E-2</v>
      </c>
      <c r="AX725" s="58" t="s">
        <v>113</v>
      </c>
    </row>
    <row r="726" spans="1:50" ht="21.75" customHeight="1">
      <c r="A726" s="66" t="s">
        <v>672</v>
      </c>
      <c r="B726" s="39">
        <f t="shared" si="108"/>
        <v>722</v>
      </c>
      <c r="C726" s="40">
        <v>46040</v>
      </c>
      <c r="D726" s="40" t="s">
        <v>80</v>
      </c>
      <c r="E726" s="40" t="s">
        <v>81</v>
      </c>
      <c r="F726" s="41">
        <v>756.8</v>
      </c>
      <c r="G726" s="42" t="s">
        <v>192</v>
      </c>
      <c r="H726" s="43" t="str">
        <f>IFERROR(VLOOKUP($J726,'[9]FROM (3)'!$E$4:$F$230,2,FALSE),"")</f>
        <v>JATH</v>
      </c>
      <c r="I726" s="44" t="str">
        <f t="shared" si="105"/>
        <v>JGF02-002190-31-2</v>
      </c>
      <c r="J726" s="44" t="str">
        <f t="shared" si="106"/>
        <v>RACK BAR BLANK (JGF02-002190-31-2) 5K45</v>
      </c>
      <c r="K726" s="59" t="str">
        <f t="shared" si="103"/>
        <v>PD25121244</v>
      </c>
      <c r="L726" s="46" t="str" cm="1">
        <f t="array" ref="L726">IFERROR(_xlfn.IFS(
    LEN($A726)-LEN(SUBSTITUTE($A726,"|",""))=12, RIGHT(A726, LEN(A726)-FIND("~", SUBSTITUTE(A726,"|","~", LEN(A726)-LEN(SUBSTITUTE(A726,"|",""))))),
    LEN($A726)-LEN(SUBSTITUTE($A726,"|",""))=13, MID($A726, FIND("~", SUBSTITUTE($A726,"|","~", 11))+1, FIND("~", SUBSTITUTE($A726,"|","~", 12))-FIND("~", SUBSTITUTE($A726,"|","~", 11))-1),
    LEN($A726)-LEN(SUBSTITUTE($A726,"|",""))=14, MID($A726, FIND("~", SUBSTITUTE($A726,"|","~", 11))+1, FIND("~", SUBSTITUTE($A726,"|","~", 12))-FIND("~", SUBSTITUTE($A726,"|","~", 11))-1)
), "")</f>
        <v>5A5658</v>
      </c>
      <c r="M726" s="47" t="str">
        <f t="shared" si="102"/>
        <v>TSK2</v>
      </c>
      <c r="N726" s="46" t="str">
        <f t="shared" si="104"/>
        <v>FB120363/8/25</v>
      </c>
      <c r="O726" s="60">
        <v>58</v>
      </c>
      <c r="P726" s="60">
        <v>280</v>
      </c>
      <c r="Q726" s="48">
        <v>58</v>
      </c>
      <c r="R726" s="48">
        <v>280</v>
      </c>
      <c r="S726" s="48"/>
      <c r="T726" s="48"/>
      <c r="U726" s="49"/>
      <c r="V726" s="49"/>
      <c r="W726" s="50">
        <f t="shared" si="101"/>
        <v>0</v>
      </c>
      <c r="X726" s="51" t="str">
        <f>IF(A726="", "", IF(COUNTIFS(C$3:C725, C726, D$3:D725, D726, G$3:G725, G726) &gt; 0, "", "11:00"-AW726))</f>
        <v/>
      </c>
      <c r="Y726" s="52" t="str">
        <f t="shared" si="107"/>
        <v/>
      </c>
      <c r="Z726" s="53"/>
      <c r="AA726" s="54"/>
      <c r="AB726" s="53"/>
      <c r="AC726" s="54"/>
      <c r="AD726" s="53"/>
      <c r="AE726" s="54"/>
      <c r="AF726" s="53"/>
      <c r="AG726" s="54"/>
      <c r="AH726" s="55">
        <v>4.1666666666666699E-2</v>
      </c>
      <c r="AI726" s="53"/>
      <c r="AJ726" s="54"/>
      <c r="AK726" s="53"/>
      <c r="AL726" s="54"/>
      <c r="AM726" s="53"/>
      <c r="AN726" s="54"/>
      <c r="AO726" s="53"/>
      <c r="AP726" s="54"/>
      <c r="AQ726" s="53"/>
      <c r="AR726" s="54"/>
      <c r="AS726" s="53"/>
      <c r="AT726" s="54"/>
      <c r="AU726" s="53">
        <v>4.1666666666666699E-2</v>
      </c>
      <c r="AV726" s="54" t="s">
        <v>37</v>
      </c>
      <c r="AW726" s="57">
        <f t="shared" si="100"/>
        <v>4.1666666666666699E-2</v>
      </c>
      <c r="AX726" s="58" t="s">
        <v>113</v>
      </c>
    </row>
    <row r="727" spans="1:50" ht="21.75" customHeight="1">
      <c r="A727" s="66" t="s">
        <v>673</v>
      </c>
      <c r="B727" s="39">
        <f t="shared" si="108"/>
        <v>723</v>
      </c>
      <c r="C727" s="40">
        <v>46040</v>
      </c>
      <c r="D727" s="40" t="s">
        <v>80</v>
      </c>
      <c r="E727" s="40" t="s">
        <v>81</v>
      </c>
      <c r="F727" s="41">
        <v>756.8</v>
      </c>
      <c r="G727" s="42" t="s">
        <v>192</v>
      </c>
      <c r="H727" s="43" t="str">
        <f>IFERROR(VLOOKUP($J727,'[9]FROM (3)'!$E$4:$F$230,2,FALSE),"")</f>
        <v>JATH</v>
      </c>
      <c r="I727" s="44" t="str">
        <f t="shared" si="105"/>
        <v>JGF02-002190-31-2</v>
      </c>
      <c r="J727" s="44" t="str">
        <f t="shared" si="106"/>
        <v>RACK BAR BLANK (JGF02-002190-31-2) 5K45</v>
      </c>
      <c r="K727" s="59" t="str">
        <f t="shared" si="103"/>
        <v>PD25121244</v>
      </c>
      <c r="L727" s="46" t="str" cm="1">
        <f t="array" ref="L727">IFERROR(_xlfn.IFS(
    LEN($A727)-LEN(SUBSTITUTE($A727,"|",""))=12, RIGHT(A727, LEN(A727)-FIND("~", SUBSTITUTE(A727,"|","~", LEN(A727)-LEN(SUBSTITUTE(A727,"|",""))))),
    LEN($A727)-LEN(SUBSTITUTE($A727,"|",""))=13, MID($A727, FIND("~", SUBSTITUTE($A727,"|","~", 11))+1, FIND("~", SUBSTITUTE($A727,"|","~", 12))-FIND("~", SUBSTITUTE($A727,"|","~", 11))-1),
    LEN($A727)-LEN(SUBSTITUTE($A727,"|",""))=14, MID($A727, FIND("~", SUBSTITUTE($A727,"|","~", 11))+1, FIND("~", SUBSTITUTE($A727,"|","~", 12))-FIND("~", SUBSTITUTE($A727,"|","~", 11))-1)
), "")</f>
        <v>5A5658</v>
      </c>
      <c r="M727" s="47" t="str">
        <f t="shared" si="102"/>
        <v>TSK2</v>
      </c>
      <c r="N727" s="46" t="str">
        <f t="shared" si="104"/>
        <v>FB120363/3/25</v>
      </c>
      <c r="O727" s="60">
        <v>58</v>
      </c>
      <c r="P727" s="60">
        <v>280</v>
      </c>
      <c r="Q727" s="48">
        <v>58</v>
      </c>
      <c r="R727" s="48">
        <v>280</v>
      </c>
      <c r="S727" s="48"/>
      <c r="T727" s="48"/>
      <c r="U727" s="49"/>
      <c r="V727" s="49"/>
      <c r="W727" s="50">
        <f t="shared" si="101"/>
        <v>0</v>
      </c>
      <c r="X727" s="51" t="str">
        <f>IF(A727="", "", IF(COUNTIFS(C$3:C726, C727, D$3:D726, D727, G$3:G726, G727) &gt; 0, "", "11:00"-AW727))</f>
        <v/>
      </c>
      <c r="Y727" s="52" t="str">
        <f t="shared" si="107"/>
        <v/>
      </c>
      <c r="Z727" s="53"/>
      <c r="AA727" s="54"/>
      <c r="AB727" s="53"/>
      <c r="AC727" s="54"/>
      <c r="AD727" s="53"/>
      <c r="AE727" s="54"/>
      <c r="AF727" s="53"/>
      <c r="AG727" s="54"/>
      <c r="AH727" s="55">
        <v>4.1666666666666699E-2</v>
      </c>
      <c r="AI727" s="53"/>
      <c r="AJ727" s="54"/>
      <c r="AK727" s="53"/>
      <c r="AL727" s="54"/>
      <c r="AM727" s="53"/>
      <c r="AN727" s="54"/>
      <c r="AO727" s="53"/>
      <c r="AP727" s="54"/>
      <c r="AQ727" s="53"/>
      <c r="AR727" s="54"/>
      <c r="AS727" s="53"/>
      <c r="AT727" s="54"/>
      <c r="AU727" s="53">
        <v>4.1666666666666699E-2</v>
      </c>
      <c r="AV727" s="54" t="s">
        <v>37</v>
      </c>
      <c r="AW727" s="57">
        <f t="shared" si="100"/>
        <v>4.1666666666666699E-2</v>
      </c>
      <c r="AX727" s="58" t="s">
        <v>113</v>
      </c>
    </row>
    <row r="728" spans="1:50" ht="21.75" customHeight="1">
      <c r="A728" s="66" t="s">
        <v>674</v>
      </c>
      <c r="B728" s="39">
        <f t="shared" si="108"/>
        <v>724</v>
      </c>
      <c r="C728" s="40">
        <v>46040</v>
      </c>
      <c r="D728" s="40" t="s">
        <v>80</v>
      </c>
      <c r="E728" s="40" t="s">
        <v>81</v>
      </c>
      <c r="F728" s="41">
        <v>756.8</v>
      </c>
      <c r="G728" s="42" t="s">
        <v>192</v>
      </c>
      <c r="H728" s="43" t="str">
        <f>IFERROR(VLOOKUP($J728,'[9]FROM (3)'!$E$4:$F$230,2,FALSE),"")</f>
        <v>JATH</v>
      </c>
      <c r="I728" s="44" t="str">
        <f t="shared" si="105"/>
        <v>JGF02-002190-31-2</v>
      </c>
      <c r="J728" s="44" t="str">
        <f t="shared" si="106"/>
        <v>RACK BAR BLANK (JGF02-002190-31-2) 5K45</v>
      </c>
      <c r="K728" s="59" t="str">
        <f t="shared" si="103"/>
        <v>PD25121244</v>
      </c>
      <c r="L728" s="46" t="str" cm="1">
        <f t="array" ref="L728">IFERROR(_xlfn.IFS(
    LEN($A728)-LEN(SUBSTITUTE($A728,"|",""))=12, RIGHT(A728, LEN(A728)-FIND("~", SUBSTITUTE(A728,"|","~", LEN(A728)-LEN(SUBSTITUTE(A728,"|",""))))),
    LEN($A728)-LEN(SUBSTITUTE($A728,"|",""))=13, MID($A728, FIND("~", SUBSTITUTE($A728,"|","~", 11))+1, FIND("~", SUBSTITUTE($A728,"|","~", 12))-FIND("~", SUBSTITUTE($A728,"|","~", 11))-1),
    LEN($A728)-LEN(SUBSTITUTE($A728,"|",""))=14, MID($A728, FIND("~", SUBSTITUTE($A728,"|","~", 11))+1, FIND("~", SUBSTITUTE($A728,"|","~", 12))-FIND("~", SUBSTITUTE($A728,"|","~", 11))-1)
), "")</f>
        <v>5A5658</v>
      </c>
      <c r="M728" s="47" t="str">
        <f t="shared" si="102"/>
        <v>TSK2</v>
      </c>
      <c r="N728" s="46" t="str">
        <f t="shared" si="104"/>
        <v>FB120363/15/25</v>
      </c>
      <c r="O728" s="60">
        <v>58</v>
      </c>
      <c r="P728" s="60">
        <v>280</v>
      </c>
      <c r="Q728" s="48">
        <v>58</v>
      </c>
      <c r="R728" s="48">
        <v>280</v>
      </c>
      <c r="S728" s="48"/>
      <c r="T728" s="48"/>
      <c r="U728" s="49"/>
      <c r="V728" s="49"/>
      <c r="W728" s="50">
        <f t="shared" si="101"/>
        <v>0</v>
      </c>
      <c r="X728" s="51" t="str">
        <f>IF(A728="", "", IF(COUNTIFS(C$3:C727, C728, D$3:D727, D728, G$3:G727, G728) &gt; 0, "", "11:00"-AW728))</f>
        <v/>
      </c>
      <c r="Y728" s="52" t="str">
        <f t="shared" si="107"/>
        <v/>
      </c>
      <c r="Z728" s="53"/>
      <c r="AA728" s="54"/>
      <c r="AB728" s="53"/>
      <c r="AC728" s="54"/>
      <c r="AD728" s="53"/>
      <c r="AE728" s="54"/>
      <c r="AF728" s="53"/>
      <c r="AG728" s="54"/>
      <c r="AH728" s="55">
        <v>4.1666666666666699E-2</v>
      </c>
      <c r="AI728" s="53"/>
      <c r="AJ728" s="54"/>
      <c r="AK728" s="53"/>
      <c r="AL728" s="54"/>
      <c r="AM728" s="53"/>
      <c r="AN728" s="54"/>
      <c r="AO728" s="53"/>
      <c r="AP728" s="54"/>
      <c r="AQ728" s="53"/>
      <c r="AR728" s="54"/>
      <c r="AS728" s="53"/>
      <c r="AT728" s="54"/>
      <c r="AU728" s="53">
        <v>4.1666666666666699E-2</v>
      </c>
      <c r="AV728" s="54" t="s">
        <v>37</v>
      </c>
      <c r="AW728" s="57">
        <f t="shared" si="100"/>
        <v>4.1666666666666699E-2</v>
      </c>
      <c r="AX728" s="58" t="s">
        <v>113</v>
      </c>
    </row>
    <row r="729" spans="1:50" ht="21.75" customHeight="1">
      <c r="A729" s="66" t="s">
        <v>675</v>
      </c>
      <c r="B729" s="39">
        <f t="shared" si="108"/>
        <v>725</v>
      </c>
      <c r="C729" s="40">
        <v>46040</v>
      </c>
      <c r="D729" s="40" t="s">
        <v>80</v>
      </c>
      <c r="E729" s="40" t="s">
        <v>81</v>
      </c>
      <c r="F729" s="41">
        <v>756.8</v>
      </c>
      <c r="G729" s="42" t="s">
        <v>192</v>
      </c>
      <c r="H729" s="43" t="str">
        <f>IFERROR(VLOOKUP($J729,'[9]FROM (3)'!$E$4:$F$230,2,FALSE),"")</f>
        <v>JATH</v>
      </c>
      <c r="I729" s="44" t="str">
        <f t="shared" si="105"/>
        <v>JGF02-002190-31-2</v>
      </c>
      <c r="J729" s="44" t="str">
        <f t="shared" si="106"/>
        <v>RACK BAR BLANK (JGF02-002190-31-2) 5K45</v>
      </c>
      <c r="K729" s="59" t="str">
        <f t="shared" si="103"/>
        <v>PD25121244</v>
      </c>
      <c r="L729" s="46" t="str" cm="1">
        <f t="array" ref="L729">IFERROR(_xlfn.IFS(
    LEN($A729)-LEN(SUBSTITUTE($A729,"|",""))=12, RIGHT(A729, LEN(A729)-FIND("~", SUBSTITUTE(A729,"|","~", LEN(A729)-LEN(SUBSTITUTE(A729,"|",""))))),
    LEN($A729)-LEN(SUBSTITUTE($A729,"|",""))=13, MID($A729, FIND("~", SUBSTITUTE($A729,"|","~", 11))+1, FIND("~", SUBSTITUTE($A729,"|","~", 12))-FIND("~", SUBSTITUTE($A729,"|","~", 11))-1),
    LEN($A729)-LEN(SUBSTITUTE($A729,"|",""))=14, MID($A729, FIND("~", SUBSTITUTE($A729,"|","~", 11))+1, FIND("~", SUBSTITUTE($A729,"|","~", 12))-FIND("~", SUBSTITUTE($A729,"|","~", 11))-1)
), "")</f>
        <v>5A5658</v>
      </c>
      <c r="M729" s="47" t="str">
        <f t="shared" si="102"/>
        <v>TSK2</v>
      </c>
      <c r="N729" s="46" t="str">
        <f t="shared" si="104"/>
        <v>FB120363/11/25</v>
      </c>
      <c r="O729" s="60">
        <v>58</v>
      </c>
      <c r="P729" s="60">
        <v>280</v>
      </c>
      <c r="Q729" s="48">
        <v>58</v>
      </c>
      <c r="R729" s="48">
        <v>280</v>
      </c>
      <c r="S729" s="48"/>
      <c r="T729" s="48"/>
      <c r="U729" s="49"/>
      <c r="V729" s="49"/>
      <c r="W729" s="50">
        <f t="shared" si="101"/>
        <v>0</v>
      </c>
      <c r="X729" s="51" t="str">
        <f>IF(A729="", "", IF(COUNTIFS(C$3:C728, C729, D$3:D728, D729, G$3:G728, G729) &gt; 0, "", "11:00"-AW729))</f>
        <v/>
      </c>
      <c r="Y729" s="52" t="str">
        <f t="shared" si="107"/>
        <v/>
      </c>
      <c r="Z729" s="53"/>
      <c r="AA729" s="54"/>
      <c r="AB729" s="53"/>
      <c r="AC729" s="54"/>
      <c r="AD729" s="53"/>
      <c r="AE729" s="54"/>
      <c r="AF729" s="53"/>
      <c r="AG729" s="54"/>
      <c r="AH729" s="55">
        <v>4.1666666666666699E-2</v>
      </c>
      <c r="AI729" s="53"/>
      <c r="AJ729" s="54"/>
      <c r="AK729" s="53"/>
      <c r="AL729" s="54"/>
      <c r="AM729" s="53"/>
      <c r="AN729" s="54"/>
      <c r="AO729" s="53"/>
      <c r="AP729" s="54"/>
      <c r="AQ729" s="53"/>
      <c r="AR729" s="54"/>
      <c r="AS729" s="53"/>
      <c r="AT729" s="54"/>
      <c r="AU729" s="53">
        <v>4.1666666666666699E-2</v>
      </c>
      <c r="AV729" s="54" t="s">
        <v>37</v>
      </c>
      <c r="AW729" s="57">
        <f t="shared" si="100"/>
        <v>4.1666666666666699E-2</v>
      </c>
      <c r="AX729" s="58" t="s">
        <v>113</v>
      </c>
    </row>
    <row r="730" spans="1:50" ht="21.75" customHeight="1">
      <c r="A730" s="66" t="s">
        <v>603</v>
      </c>
      <c r="B730" s="39">
        <f t="shared" si="108"/>
        <v>726</v>
      </c>
      <c r="C730" s="40">
        <v>46040</v>
      </c>
      <c r="D730" s="40" t="s">
        <v>80</v>
      </c>
      <c r="E730" s="40" t="s">
        <v>81</v>
      </c>
      <c r="F730" s="41">
        <v>732.5</v>
      </c>
      <c r="G730" s="42" t="s">
        <v>54</v>
      </c>
      <c r="H730" s="43" t="str">
        <f>IFERROR(VLOOKUP($J730,'[9]FROM (3)'!$E$4:$F$230,2,FALSE),"")</f>
        <v>JCTTH</v>
      </c>
      <c r="I730" s="44" t="str">
        <f t="shared" si="105"/>
        <v>RACK POWER STEERING</v>
      </c>
      <c r="J730" s="44" t="str">
        <f t="shared" si="106"/>
        <v>JGD10-BA0101-C</v>
      </c>
      <c r="K730" s="59" t="str">
        <f t="shared" si="103"/>
        <v>PD26010649</v>
      </c>
      <c r="L730" s="46" t="str" cm="1">
        <f t="array" ref="L730">IFERROR(_xlfn.IFS(
    LEN($A730)-LEN(SUBSTITUTE($A730,"|",""))=12, RIGHT(A730, LEN(A730)-FIND("~", SUBSTITUTE(A730,"|","~", LEN(A730)-LEN(SUBSTITUTE(A730,"|",""))))),
    LEN($A730)-LEN(SUBSTITUTE($A730,"|",""))=13, MID($A730, FIND("~", SUBSTITUTE($A730,"|","~", 11))+1, FIND("~", SUBSTITUTE($A730,"|","~", 12))-FIND("~", SUBSTITUTE($A730,"|","~", 11))-1),
    LEN($A730)-LEN(SUBSTITUTE($A730,"|",""))=14, MID($A730, FIND("~", SUBSTITUTE($A730,"|","~", 11))+1, FIND("~", SUBSTITUTE($A730,"|","~", 12))-FIND("~", SUBSTITUTE($A730,"|","~", 11))-1)
), "")</f>
        <v>E586100</v>
      </c>
      <c r="M730" s="47" t="str">
        <f t="shared" si="102"/>
        <v>SB010060/2/26</v>
      </c>
      <c r="N730" s="46" t="str">
        <f t="shared" si="104"/>
        <v/>
      </c>
      <c r="O730" s="60" t="s">
        <v>35</v>
      </c>
      <c r="P730" s="60" t="s">
        <v>35</v>
      </c>
      <c r="Q730" s="48">
        <v>97</v>
      </c>
      <c r="R730" s="48">
        <v>404</v>
      </c>
      <c r="S730" s="48"/>
      <c r="T730" s="48"/>
      <c r="U730" s="49">
        <v>134</v>
      </c>
      <c r="V730" s="49">
        <v>10</v>
      </c>
      <c r="W730" s="50">
        <f t="shared" si="101"/>
        <v>144</v>
      </c>
      <c r="X730" s="51">
        <f>IF(A730="", "", IF(COUNTIFS(C$3:C729, C730, D$3:D729, D730, G$3:G729, G730) &gt; 0, "", "11:00"-AW730))</f>
        <v>0.33333333333333326</v>
      </c>
      <c r="Y730" s="52" t="str">
        <f t="shared" si="107"/>
        <v>1:40</v>
      </c>
      <c r="Z730" s="53"/>
      <c r="AA730" s="54"/>
      <c r="AB730" s="53">
        <v>4.1666666666666664E-2</v>
      </c>
      <c r="AC730" s="54" t="s">
        <v>67</v>
      </c>
      <c r="AD730" s="53"/>
      <c r="AE730" s="54"/>
      <c r="AF730" s="53"/>
      <c r="AG730" s="54"/>
      <c r="AH730" s="55">
        <v>4.1666666666666699E-2</v>
      </c>
      <c r="AI730" s="54"/>
      <c r="AK730" s="53"/>
      <c r="AL730" s="54"/>
      <c r="AM730" s="53"/>
      <c r="AN730" s="54"/>
      <c r="AO730" s="53"/>
      <c r="AP730" s="54"/>
      <c r="AQ730" s="53">
        <v>4.1666666666666664E-2</v>
      </c>
      <c r="AR730" s="54" t="s">
        <v>67</v>
      </c>
      <c r="AS730" s="53"/>
      <c r="AT730" s="54"/>
      <c r="AU730" s="53">
        <v>4.1666666666666699E-2</v>
      </c>
      <c r="AV730" s="54" t="s">
        <v>37</v>
      </c>
      <c r="AW730" s="57">
        <f t="shared" si="100"/>
        <v>0.12500000000000003</v>
      </c>
      <c r="AX730" s="58" t="s">
        <v>91</v>
      </c>
    </row>
    <row r="731" spans="1:50" ht="21.75" customHeight="1">
      <c r="A731" s="66" t="s">
        <v>676</v>
      </c>
      <c r="B731" s="39">
        <f t="shared" si="108"/>
        <v>727</v>
      </c>
      <c r="C731" s="40">
        <v>46040</v>
      </c>
      <c r="D731" s="40" t="s">
        <v>80</v>
      </c>
      <c r="E731" s="40" t="s">
        <v>81</v>
      </c>
      <c r="F731" s="41">
        <v>565.20000000000005</v>
      </c>
      <c r="G731" s="42" t="s">
        <v>54</v>
      </c>
      <c r="H731" s="43" t="str">
        <f>IFERROR(VLOOKUP($J731,'[9]FROM (3)'!$E$4:$F$230,2,FALSE),"")</f>
        <v>JTCS</v>
      </c>
      <c r="I731" s="44" t="str">
        <f t="shared" si="105"/>
        <v>RACK, MS</v>
      </c>
      <c r="J731" s="44" t="str">
        <f t="shared" si="106"/>
        <v>JGC10-003040-40-0</v>
      </c>
      <c r="K731" s="59" t="str">
        <f t="shared" si="103"/>
        <v>PD26010712</v>
      </c>
      <c r="L731" s="46" t="str" cm="1">
        <f t="array" ref="L731">IFERROR(_xlfn.IFS(
    LEN($A731)-LEN(SUBSTITUTE($A731,"|",""))=12, RIGHT(A731, LEN(A731)-FIND("~", SUBSTITUTE(A731,"|","~", LEN(A731)-LEN(SUBSTITUTE(A731,"|",""))))),
    LEN($A731)-LEN(SUBSTITUTE($A731,"|",""))=13, MID($A731, FIND("~", SUBSTITUTE($A731,"|","~", 11))+1, FIND("~", SUBSTITUTE($A731,"|","~", 12))-FIND("~", SUBSTITUTE($A731,"|","~", 11))-1),
    LEN($A731)-LEN(SUBSTITUTE($A731,"|",""))=14, MID($A731, FIND("~", SUBSTITUTE($A731,"|","~", 11))+1, FIND("~", SUBSTITUTE($A731,"|","~", 12))-FIND("~", SUBSTITUTE($A731,"|","~", 11))-1)
), "")</f>
        <v>E586613</v>
      </c>
      <c r="M731" s="47" t="str">
        <f t="shared" si="102"/>
        <v>SB010081/2/26</v>
      </c>
      <c r="N731" s="46" t="str">
        <f t="shared" si="104"/>
        <v/>
      </c>
      <c r="O731" s="60">
        <v>60</v>
      </c>
      <c r="P731" s="60">
        <v>912</v>
      </c>
      <c r="Q731" s="48">
        <v>360</v>
      </c>
      <c r="R731" s="48">
        <v>848</v>
      </c>
      <c r="S731" s="48"/>
      <c r="T731" s="48"/>
      <c r="U731" s="49"/>
      <c r="V731" s="49"/>
      <c r="W731" s="50">
        <f t="shared" si="101"/>
        <v>0</v>
      </c>
      <c r="X731" s="51" t="str">
        <f>IF(A731="", "", IF(COUNTIFS(C$3:C730, C731, D$3:D730, D731, G$3:G730, G731) &gt; 0, "", "11:00"-AW731))</f>
        <v/>
      </c>
      <c r="Y731" s="52" t="str">
        <f t="shared" si="107"/>
        <v/>
      </c>
      <c r="Z731" s="53"/>
      <c r="AA731" s="54"/>
      <c r="AB731" s="53"/>
      <c r="AC731" s="54"/>
      <c r="AD731" s="53"/>
      <c r="AE731" s="54"/>
      <c r="AF731" s="53"/>
      <c r="AG731" s="54"/>
      <c r="AH731" s="55">
        <v>4.1666666666666699E-2</v>
      </c>
      <c r="AI731" s="53"/>
      <c r="AJ731" s="54"/>
      <c r="AK731" s="53"/>
      <c r="AL731" s="54"/>
      <c r="AM731" s="53"/>
      <c r="AN731" s="54"/>
      <c r="AO731" s="53"/>
      <c r="AP731" s="54"/>
      <c r="AQ731" s="53"/>
      <c r="AR731" s="54"/>
      <c r="AS731" s="53"/>
      <c r="AT731" s="54"/>
      <c r="AU731" s="53">
        <v>4.1666666666666699E-2</v>
      </c>
      <c r="AV731" s="54" t="s">
        <v>37</v>
      </c>
      <c r="AW731" s="57">
        <f t="shared" si="100"/>
        <v>4.1666666666666699E-2</v>
      </c>
      <c r="AX731" s="58" t="s">
        <v>91</v>
      </c>
    </row>
    <row r="732" spans="1:50" ht="21.75" customHeight="1">
      <c r="A732" s="66" t="s">
        <v>677</v>
      </c>
      <c r="B732" s="39">
        <f t="shared" si="108"/>
        <v>728</v>
      </c>
      <c r="C732" s="40">
        <v>46040</v>
      </c>
      <c r="D732" s="40" t="s">
        <v>80</v>
      </c>
      <c r="E732" s="40" t="s">
        <v>81</v>
      </c>
      <c r="F732" s="41">
        <v>565.20000000000005</v>
      </c>
      <c r="G732" s="42" t="s">
        <v>54</v>
      </c>
      <c r="H732" s="43" t="str">
        <f>IFERROR(VLOOKUP($J732,'[9]FROM (3)'!$E$4:$F$230,2,FALSE),"")</f>
        <v>JTCS</v>
      </c>
      <c r="I732" s="44" t="str">
        <f t="shared" si="105"/>
        <v>RACK, MS</v>
      </c>
      <c r="J732" s="44" t="str">
        <f t="shared" si="106"/>
        <v>JGC10-003040-40-0</v>
      </c>
      <c r="K732" s="59" t="str">
        <f t="shared" si="103"/>
        <v>PD26010712</v>
      </c>
      <c r="L732" s="46" t="str" cm="1">
        <f t="array" ref="L732">IFERROR(_xlfn.IFS(
    LEN($A732)-LEN(SUBSTITUTE($A732,"|",""))=12, RIGHT(A732, LEN(A732)-FIND("~", SUBSTITUTE(A732,"|","~", LEN(A732)-LEN(SUBSTITUTE(A732,"|",""))))),
    LEN($A732)-LEN(SUBSTITUTE($A732,"|",""))=13, MID($A732, FIND("~", SUBSTITUTE($A732,"|","~", 11))+1, FIND("~", SUBSTITUTE($A732,"|","~", 12))-FIND("~", SUBSTITUTE($A732,"|","~", 11))-1),
    LEN($A732)-LEN(SUBSTITUTE($A732,"|",""))=14, MID($A732, FIND("~", SUBSTITUTE($A732,"|","~", 11))+1, FIND("~", SUBSTITUTE($A732,"|","~", 12))-FIND("~", SUBSTITUTE($A732,"|","~", 11))-1)
), "")</f>
        <v>E586613</v>
      </c>
      <c r="M732" s="47" t="str">
        <f t="shared" si="102"/>
        <v>SB010081/1/26</v>
      </c>
      <c r="N732" s="46" t="str">
        <f t="shared" si="104"/>
        <v/>
      </c>
      <c r="O732" s="60">
        <v>60</v>
      </c>
      <c r="P732" s="60">
        <v>912</v>
      </c>
      <c r="Q732" s="48">
        <v>360</v>
      </c>
      <c r="R732" s="48">
        <v>848</v>
      </c>
      <c r="S732" s="48"/>
      <c r="T732" s="48"/>
      <c r="U732" s="49">
        <v>100</v>
      </c>
      <c r="V732" s="49">
        <v>7</v>
      </c>
      <c r="W732" s="50">
        <f t="shared" si="101"/>
        <v>107</v>
      </c>
      <c r="X732" s="51" t="str">
        <f>IF(A732="", "", IF(COUNTIFS(C$3:C731, C732, D$3:D731, D732, G$3:G731, G732) &gt; 0, "", "11:00"-AW732))</f>
        <v/>
      </c>
      <c r="Y732" s="52" t="str">
        <f t="shared" si="107"/>
        <v/>
      </c>
      <c r="Z732" s="53"/>
      <c r="AA732" s="54"/>
      <c r="AB732" s="53"/>
      <c r="AC732" s="54"/>
      <c r="AD732" s="53"/>
      <c r="AE732" s="54"/>
      <c r="AF732" s="53"/>
      <c r="AG732" s="54"/>
      <c r="AH732" s="55">
        <v>4.1666666666666699E-2</v>
      </c>
      <c r="AI732" s="53"/>
      <c r="AJ732" s="54"/>
      <c r="AK732" s="53"/>
      <c r="AL732" s="54"/>
      <c r="AM732" s="53"/>
      <c r="AN732" s="54"/>
      <c r="AO732" s="53"/>
      <c r="AP732" s="54"/>
      <c r="AQ732" s="53"/>
      <c r="AR732" s="54"/>
      <c r="AS732" s="53"/>
      <c r="AT732" s="54"/>
      <c r="AU732" s="53">
        <v>4.1666666666666699E-2</v>
      </c>
      <c r="AV732" s="54" t="s">
        <v>37</v>
      </c>
      <c r="AW732" s="57">
        <f t="shared" si="100"/>
        <v>4.1666666666666699E-2</v>
      </c>
      <c r="AX732" s="58" t="s">
        <v>91</v>
      </c>
    </row>
    <row r="733" spans="1:50" ht="21.75" customHeight="1">
      <c r="A733" s="66" t="s">
        <v>647</v>
      </c>
      <c r="B733" s="39">
        <f t="shared" si="108"/>
        <v>729</v>
      </c>
      <c r="C733" s="40">
        <v>46040</v>
      </c>
      <c r="D733" s="40" t="s">
        <v>80</v>
      </c>
      <c r="E733" s="40" t="s">
        <v>81</v>
      </c>
      <c r="F733" s="41">
        <v>747.3</v>
      </c>
      <c r="G733" s="42" t="s">
        <v>54</v>
      </c>
      <c r="H733" s="43" t="str">
        <f>IFERROR(VLOOKUP($J733,'[9]FROM (3)'!$E$4:$F$230,2,FALSE),"")</f>
        <v>JTCS</v>
      </c>
      <c r="I733" s="44" t="str">
        <f t="shared" si="105"/>
        <v>RACK BAR</v>
      </c>
      <c r="J733" s="44" t="str">
        <f t="shared" si="106"/>
        <v>JGD10S000800-B</v>
      </c>
      <c r="K733" s="59" t="str">
        <f t="shared" si="103"/>
        <v>PD26010417</v>
      </c>
      <c r="L733" s="46" t="str" cm="1">
        <f t="array" ref="L733">IFERROR(_xlfn.IFS(
    LEN($A733)-LEN(SUBSTITUTE($A733,"|",""))=12, RIGHT(A733, LEN(A733)-FIND("~", SUBSTITUTE(A733,"|","~", LEN(A733)-LEN(SUBSTITUTE(A733,"|",""))))),
    LEN($A733)-LEN(SUBSTITUTE($A733,"|",""))=13, MID($A733, FIND("~", SUBSTITUTE($A733,"|","~", 11))+1, FIND("~", SUBSTITUTE($A733,"|","~", 12))-FIND("~", SUBSTITUTE($A733,"|","~", 11))-1),
    LEN($A733)-LEN(SUBSTITUTE($A733,"|",""))=14, MID($A733, FIND("~", SUBSTITUTE($A733,"|","~", 11))+1, FIND("~", SUBSTITUTE($A733,"|","~", 12))-FIND("~", SUBSTITUTE($A733,"|","~", 11))-1)
), "")</f>
        <v>E586236</v>
      </c>
      <c r="M733" s="47" t="str">
        <f t="shared" si="102"/>
        <v>SB010039/4/26</v>
      </c>
      <c r="N733" s="46" t="str">
        <f t="shared" si="104"/>
        <v/>
      </c>
      <c r="O733" s="60">
        <v>48</v>
      </c>
      <c r="P733" s="60">
        <v>971</v>
      </c>
      <c r="Q733" s="48">
        <v>76</v>
      </c>
      <c r="R733" s="48">
        <v>364</v>
      </c>
      <c r="S733" s="48"/>
      <c r="T733" s="48"/>
      <c r="U733" s="49"/>
      <c r="V733" s="49"/>
      <c r="W733" s="50">
        <f t="shared" si="101"/>
        <v>0</v>
      </c>
      <c r="X733" s="51" t="str">
        <f>IF(A733="", "", IF(COUNTIFS(C$3:C732, C733, D$3:D732, D733, G$3:G732, G733) &gt; 0, "", "11:00"-AW733))</f>
        <v/>
      </c>
      <c r="Y733" s="52" t="str">
        <f t="shared" si="107"/>
        <v/>
      </c>
      <c r="Z733" s="53"/>
      <c r="AA733" s="54"/>
      <c r="AB733" s="53"/>
      <c r="AC733" s="54"/>
      <c r="AD733" s="53"/>
      <c r="AE733" s="54"/>
      <c r="AF733" s="53"/>
      <c r="AG733" s="54"/>
      <c r="AH733" s="55">
        <v>4.1666666666666699E-2</v>
      </c>
      <c r="AI733" s="53"/>
      <c r="AJ733" s="54"/>
      <c r="AK733" s="53"/>
      <c r="AL733" s="54"/>
      <c r="AM733" s="53"/>
      <c r="AN733" s="54"/>
      <c r="AO733" s="53"/>
      <c r="AP733" s="54"/>
      <c r="AQ733" s="53"/>
      <c r="AR733" s="54"/>
      <c r="AS733" s="53"/>
      <c r="AT733" s="54"/>
      <c r="AU733" s="53">
        <v>4.1666666666666699E-2</v>
      </c>
      <c r="AV733" s="54" t="s">
        <v>37</v>
      </c>
      <c r="AW733" s="57">
        <f t="shared" si="100"/>
        <v>4.1666666666666699E-2</v>
      </c>
      <c r="AX733" s="58" t="s">
        <v>91</v>
      </c>
    </row>
    <row r="734" spans="1:50" ht="21.75" customHeight="1">
      <c r="A734" s="66" t="s">
        <v>620</v>
      </c>
      <c r="B734" s="39">
        <f t="shared" si="108"/>
        <v>730</v>
      </c>
      <c r="C734" s="40">
        <v>46040</v>
      </c>
      <c r="D734" s="40" t="s">
        <v>80</v>
      </c>
      <c r="E734" s="40" t="s">
        <v>81</v>
      </c>
      <c r="F734" s="41">
        <v>719.6</v>
      </c>
      <c r="G734" s="42" t="s">
        <v>75</v>
      </c>
      <c r="H734" s="43" t="str">
        <f>IFERROR(VLOOKUP($J734,'[9]FROM (3)'!$E$4:$F$230,2,FALSE),"")</f>
        <v>JAMY</v>
      </c>
      <c r="I734" s="44" t="str">
        <f t="shared" si="105"/>
        <v>RACK BAR</v>
      </c>
      <c r="J734" s="44" t="str">
        <f t="shared" si="106"/>
        <v>JGD10S000830-51-0</v>
      </c>
      <c r="K734" s="59" t="str">
        <f t="shared" si="103"/>
        <v>PD26010674</v>
      </c>
      <c r="L734" s="46" t="str" cm="1">
        <f t="array" ref="L734">IFERROR(_xlfn.IFS(
    LEN($A734)-LEN(SUBSTITUTE($A734,"|",""))=12, RIGHT(A734, LEN(A734)-FIND("~", SUBSTITUTE(A734,"|","~", LEN(A734)-LEN(SUBSTITUTE(A734,"|",""))))),
    LEN($A734)-LEN(SUBSTITUTE($A734,"|",""))=13, MID($A734, FIND("~", SUBSTITUTE($A734,"|","~", 11))+1, FIND("~", SUBSTITUTE($A734,"|","~", 12))-FIND("~", SUBSTITUTE($A734,"|","~", 11))-1),
    LEN($A734)-LEN(SUBSTITUTE($A734,"|",""))=14, MID($A734, FIND("~", SUBSTITUTE($A734,"|","~", 11))+1, FIND("~", SUBSTITUTE($A734,"|","~", 12))-FIND("~", SUBSTITUTE($A734,"|","~", 11))-1)
), "")</f>
        <v>E586442</v>
      </c>
      <c r="M734" s="47" t="str">
        <f t="shared" si="102"/>
        <v>SB010073/2/26</v>
      </c>
      <c r="N734" s="46" t="str">
        <f t="shared" si="104"/>
        <v/>
      </c>
      <c r="O734" s="60"/>
      <c r="P734" s="60"/>
      <c r="Q734" s="48">
        <v>39</v>
      </c>
      <c r="R734" s="48">
        <v>158</v>
      </c>
      <c r="S734" s="48"/>
      <c r="T734" s="48"/>
      <c r="U734" s="49">
        <v>146</v>
      </c>
      <c r="V734" s="49">
        <v>8</v>
      </c>
      <c r="W734" s="50">
        <f t="shared" si="101"/>
        <v>154</v>
      </c>
      <c r="X734" s="51">
        <f>IF(A734="", "", IF(COUNTIFS(C$3:C733, C734, D$3:D733, D734, G$3:G733, G734) &gt; 0, "", "11:00"-AW734))</f>
        <v>0.37499999999999994</v>
      </c>
      <c r="Y734" s="52" t="str">
        <f t="shared" si="107"/>
        <v>1:40</v>
      </c>
      <c r="Z734" s="53">
        <v>2.0833333333333332E-2</v>
      </c>
      <c r="AA734" s="54" t="s">
        <v>67</v>
      </c>
      <c r="AB734" s="53">
        <v>2.0833333333333332E-2</v>
      </c>
      <c r="AC734" s="54" t="s">
        <v>67</v>
      </c>
      <c r="AD734" s="53"/>
      <c r="AE734" s="54"/>
      <c r="AF734" s="53"/>
      <c r="AG734" s="54"/>
      <c r="AH734" s="55">
        <v>4.1666666666666699E-2</v>
      </c>
      <c r="AI734" s="53"/>
      <c r="AJ734" s="54"/>
      <c r="AK734" s="53"/>
      <c r="AL734" s="54"/>
      <c r="AM734" s="53"/>
      <c r="AN734" s="54"/>
      <c r="AO734" s="53"/>
      <c r="AP734" s="54"/>
      <c r="AQ734" s="53"/>
      <c r="AR734" s="54"/>
      <c r="AS734" s="53"/>
      <c r="AT734" s="54"/>
      <c r="AU734" s="53">
        <v>4.1666666666666699E-2</v>
      </c>
      <c r="AV734" s="54" t="s">
        <v>37</v>
      </c>
      <c r="AW734" s="57">
        <f t="shared" ref="AW734:AW797" si="109">SUM(Z734,AB734,AD734,AF734,AI734,AK734,AM734,AO734,AQ734,AS734,AU734)</f>
        <v>8.333333333333337E-2</v>
      </c>
      <c r="AX734" s="58" t="s">
        <v>101</v>
      </c>
    </row>
    <row r="735" spans="1:50" ht="21.75" customHeight="1">
      <c r="A735" s="66" t="s">
        <v>678</v>
      </c>
      <c r="B735" s="39">
        <f t="shared" si="108"/>
        <v>731</v>
      </c>
      <c r="C735" s="40">
        <v>46040</v>
      </c>
      <c r="D735" s="40" t="s">
        <v>80</v>
      </c>
      <c r="E735" s="40" t="s">
        <v>81</v>
      </c>
      <c r="F735" s="41">
        <v>765.7</v>
      </c>
      <c r="G735" s="42" t="s">
        <v>75</v>
      </c>
      <c r="H735" s="43" t="str">
        <f>IFERROR(VLOOKUP($J735,'[9]FROM (3)'!$E$4:$F$230,2,FALSE),"")</f>
        <v>JTCS</v>
      </c>
      <c r="I735" s="44" t="str">
        <f t="shared" si="105"/>
        <v>RACK, PS</v>
      </c>
      <c r="J735" s="44" t="str">
        <f t="shared" si="106"/>
        <v>JGD10-001230-40-0</v>
      </c>
      <c r="K735" s="59" t="str">
        <f t="shared" si="103"/>
        <v>PD26010050</v>
      </c>
      <c r="L735" s="46" t="str" cm="1">
        <f t="array" ref="L735">IFERROR(_xlfn.IFS(
    LEN($A735)-LEN(SUBSTITUTE($A735,"|",""))=12, RIGHT(A735, LEN(A735)-FIND("~", SUBSTITUTE(A735,"|","~", LEN(A735)-LEN(SUBSTITUTE(A735,"|",""))))),
    LEN($A735)-LEN(SUBSTITUTE($A735,"|",""))=13, MID($A735, FIND("~", SUBSTITUTE($A735,"|","~", 11))+1, FIND("~", SUBSTITUTE($A735,"|","~", 12))-FIND("~", SUBSTITUTE($A735,"|","~", 11))-1),
    LEN($A735)-LEN(SUBSTITUTE($A735,"|",""))=14, MID($A735, FIND("~", SUBSTITUTE($A735,"|","~", 11))+1, FIND("~", SUBSTITUTE($A735,"|","~", 12))-FIND("~", SUBSTITUTE($A735,"|","~", 11))-1)
), "")</f>
        <v>E586236</v>
      </c>
      <c r="M735" s="47" t="str">
        <f t="shared" si="102"/>
        <v>SB120196/2/25</v>
      </c>
      <c r="N735" s="46" t="str">
        <f t="shared" si="104"/>
        <v/>
      </c>
      <c r="O735" s="60">
        <v>25</v>
      </c>
      <c r="P735" s="60">
        <v>890</v>
      </c>
      <c r="Q735" s="48">
        <v>175</v>
      </c>
      <c r="R735" s="48">
        <v>859</v>
      </c>
      <c r="S735" s="48"/>
      <c r="T735" s="48"/>
      <c r="U735" s="49"/>
      <c r="V735" s="49"/>
      <c r="W735" s="50">
        <f t="shared" si="101"/>
        <v>0</v>
      </c>
      <c r="X735" s="51" t="str">
        <f>IF(A735="", "", IF(COUNTIFS(C$3:C734, C735, D$3:D734, D735, G$3:G734, G735) &gt; 0, "", "11:00"-AW735))</f>
        <v/>
      </c>
      <c r="Y735" s="52" t="str">
        <f t="shared" si="107"/>
        <v/>
      </c>
      <c r="Z735" s="53"/>
      <c r="AA735" s="54"/>
      <c r="AB735" s="53"/>
      <c r="AC735" s="54"/>
      <c r="AD735" s="53"/>
      <c r="AE735" s="54"/>
      <c r="AF735" s="53"/>
      <c r="AG735" s="54"/>
      <c r="AH735" s="55">
        <v>4.1666666666666699E-2</v>
      </c>
      <c r="AI735" s="53"/>
      <c r="AJ735" s="54"/>
      <c r="AK735" s="53"/>
      <c r="AL735" s="54"/>
      <c r="AM735" s="53"/>
      <c r="AN735" s="54"/>
      <c r="AO735" s="53"/>
      <c r="AP735" s="54"/>
      <c r="AQ735" s="53"/>
      <c r="AR735" s="54"/>
      <c r="AS735" s="53"/>
      <c r="AT735" s="54"/>
      <c r="AU735" s="53">
        <v>4.1666666666666699E-2</v>
      </c>
      <c r="AV735" s="54" t="s">
        <v>37</v>
      </c>
      <c r="AW735" s="57">
        <f t="shared" si="109"/>
        <v>4.1666666666666699E-2</v>
      </c>
      <c r="AX735" s="58" t="s">
        <v>101</v>
      </c>
    </row>
    <row r="736" spans="1:50" ht="21.75" customHeight="1">
      <c r="A736" s="66" t="s">
        <v>679</v>
      </c>
      <c r="B736" s="39">
        <f t="shared" si="108"/>
        <v>732</v>
      </c>
      <c r="C736" s="40">
        <v>46040</v>
      </c>
      <c r="D736" s="40" t="s">
        <v>80</v>
      </c>
      <c r="E736" s="40" t="s">
        <v>81</v>
      </c>
      <c r="F736" s="41">
        <v>765.7</v>
      </c>
      <c r="G736" s="42" t="s">
        <v>75</v>
      </c>
      <c r="H736" s="43" t="str">
        <f>IFERROR(VLOOKUP($J736,'[9]FROM (3)'!$E$4:$F$230,2,FALSE),"")</f>
        <v>JTCS</v>
      </c>
      <c r="I736" s="44" t="str">
        <f t="shared" si="105"/>
        <v>RACK, PS</v>
      </c>
      <c r="J736" s="44" t="str">
        <f t="shared" si="106"/>
        <v>JGD10-001230-40-0</v>
      </c>
      <c r="K736" s="59" t="str">
        <f t="shared" si="103"/>
        <v>PD26010050</v>
      </c>
      <c r="L736" s="46" t="str" cm="1">
        <f t="array" ref="L736">IFERROR(_xlfn.IFS(
    LEN($A736)-LEN(SUBSTITUTE($A736,"|",""))=12, RIGHT(A736, LEN(A736)-FIND("~", SUBSTITUTE(A736,"|","~", LEN(A736)-LEN(SUBSTITUTE(A736,"|",""))))),
    LEN($A736)-LEN(SUBSTITUTE($A736,"|",""))=13, MID($A736, FIND("~", SUBSTITUTE($A736,"|","~", 11))+1, FIND("~", SUBSTITUTE($A736,"|","~", 12))-FIND("~", SUBSTITUTE($A736,"|","~", 11))-1),
    LEN($A736)-LEN(SUBSTITUTE($A736,"|",""))=14, MID($A736, FIND("~", SUBSTITUTE($A736,"|","~", 11))+1, FIND("~", SUBSTITUTE($A736,"|","~", 12))-FIND("~", SUBSTITUTE($A736,"|","~", 11))-1)
), "")</f>
        <v>E586236</v>
      </c>
      <c r="M736" s="47" t="str">
        <f t="shared" si="102"/>
        <v>SB120196/1/25</v>
      </c>
      <c r="N736" s="46" t="str">
        <f t="shared" si="104"/>
        <v/>
      </c>
      <c r="O736" s="60">
        <v>25</v>
      </c>
      <c r="P736" s="60">
        <v>890</v>
      </c>
      <c r="Q736" s="48">
        <v>175</v>
      </c>
      <c r="R736" s="48">
        <v>859</v>
      </c>
      <c r="S736" s="48"/>
      <c r="T736" s="48"/>
      <c r="U736" s="49"/>
      <c r="V736" s="49"/>
      <c r="W736" s="50">
        <f t="shared" si="101"/>
        <v>0</v>
      </c>
      <c r="X736" s="51" t="str">
        <f>IF(A736="", "", IF(COUNTIFS(C$3:C735, C736, D$3:D735, D736, G$3:G735, G736) &gt; 0, "", "11:00"-AW736))</f>
        <v/>
      </c>
      <c r="Y736" s="52" t="str">
        <f t="shared" si="107"/>
        <v/>
      </c>
      <c r="Z736" s="53"/>
      <c r="AA736" s="54"/>
      <c r="AB736" s="53"/>
      <c r="AC736" s="54"/>
      <c r="AD736" s="53"/>
      <c r="AE736" s="54"/>
      <c r="AF736" s="53"/>
      <c r="AG736" s="54"/>
      <c r="AH736" s="55">
        <v>4.1666666666666699E-2</v>
      </c>
      <c r="AI736" s="53"/>
      <c r="AJ736" s="54"/>
      <c r="AK736" s="53"/>
      <c r="AL736" s="54"/>
      <c r="AM736" s="53"/>
      <c r="AN736" s="54"/>
      <c r="AO736" s="53"/>
      <c r="AP736" s="54"/>
      <c r="AQ736" s="53"/>
      <c r="AR736" s="54"/>
      <c r="AS736" s="53"/>
      <c r="AT736" s="54"/>
      <c r="AU736" s="53">
        <v>4.1666666666666699E-2</v>
      </c>
      <c r="AV736" s="54" t="s">
        <v>37</v>
      </c>
      <c r="AW736" s="57">
        <f t="shared" si="109"/>
        <v>4.1666666666666699E-2</v>
      </c>
      <c r="AX736" s="58" t="s">
        <v>101</v>
      </c>
    </row>
    <row r="737" spans="1:50" ht="21.75" customHeight="1">
      <c r="A737" s="66" t="s">
        <v>680</v>
      </c>
      <c r="B737" s="39">
        <f t="shared" si="108"/>
        <v>733</v>
      </c>
      <c r="C737" s="40">
        <v>46040</v>
      </c>
      <c r="D737" s="40" t="s">
        <v>80</v>
      </c>
      <c r="E737" s="40" t="s">
        <v>81</v>
      </c>
      <c r="F737" s="41">
        <v>765.7</v>
      </c>
      <c r="G737" s="42" t="s">
        <v>75</v>
      </c>
      <c r="H737" s="43" t="str">
        <f>IFERROR(VLOOKUP($J737,'[9]FROM (3)'!$E$4:$F$230,2,FALSE),"")</f>
        <v>JTCS</v>
      </c>
      <c r="I737" s="44" t="str">
        <f t="shared" si="105"/>
        <v>RACK, PS</v>
      </c>
      <c r="J737" s="44" t="str">
        <f t="shared" si="106"/>
        <v>JGD10-001230-40-0</v>
      </c>
      <c r="K737" s="59" t="str">
        <f t="shared" si="103"/>
        <v>PD26010050</v>
      </c>
      <c r="L737" s="46" t="str" cm="1">
        <f t="array" ref="L737">IFERROR(_xlfn.IFS(
    LEN($A737)-LEN(SUBSTITUTE($A737,"|",""))=12, RIGHT(A737, LEN(A737)-FIND("~", SUBSTITUTE(A737,"|","~", LEN(A737)-LEN(SUBSTITUTE(A737,"|",""))))),
    LEN($A737)-LEN(SUBSTITUTE($A737,"|",""))=13, MID($A737, FIND("~", SUBSTITUTE($A737,"|","~", 11))+1, FIND("~", SUBSTITUTE($A737,"|","~", 12))-FIND("~", SUBSTITUTE($A737,"|","~", 11))-1),
    LEN($A737)-LEN(SUBSTITUTE($A737,"|",""))=14, MID($A737, FIND("~", SUBSTITUTE($A737,"|","~", 11))+1, FIND("~", SUBSTITUTE($A737,"|","~", 12))-FIND("~", SUBSTITUTE($A737,"|","~", 11))-1)
), "")</f>
        <v>E586236</v>
      </c>
      <c r="M737" s="47" t="str">
        <f t="shared" si="102"/>
        <v>SB120196/3/25</v>
      </c>
      <c r="N737" s="46" t="str">
        <f t="shared" si="104"/>
        <v/>
      </c>
      <c r="O737" s="60">
        <v>25</v>
      </c>
      <c r="P737" s="60">
        <v>890</v>
      </c>
      <c r="Q737" s="48">
        <v>170</v>
      </c>
      <c r="R737" s="48">
        <v>835</v>
      </c>
      <c r="S737" s="48">
        <v>5</v>
      </c>
      <c r="T737" s="48" t="s">
        <v>143</v>
      </c>
      <c r="U737" s="49">
        <v>79</v>
      </c>
      <c r="V737" s="49">
        <v>8</v>
      </c>
      <c r="W737" s="50">
        <f t="shared" si="101"/>
        <v>87</v>
      </c>
      <c r="X737" s="51" t="str">
        <f>IF(A737="", "", IF(COUNTIFS(C$3:C736, C737, D$3:D736, D737, G$3:G736, G737) &gt; 0, "", "11:00"-AW737))</f>
        <v/>
      </c>
      <c r="Y737" s="52" t="str">
        <f t="shared" si="107"/>
        <v/>
      </c>
      <c r="Z737" s="53"/>
      <c r="AA737" s="54"/>
      <c r="AB737" s="53"/>
      <c r="AC737" s="54"/>
      <c r="AD737" s="53"/>
      <c r="AE737" s="54"/>
      <c r="AF737" s="53"/>
      <c r="AG737" s="54"/>
      <c r="AH737" s="55">
        <v>4.1666666666666699E-2</v>
      </c>
      <c r="AI737" s="53"/>
      <c r="AJ737" s="54"/>
      <c r="AK737" s="53"/>
      <c r="AL737" s="54"/>
      <c r="AM737" s="53"/>
      <c r="AN737" s="54"/>
      <c r="AO737" s="53"/>
      <c r="AP737" s="54"/>
      <c r="AQ737" s="53"/>
      <c r="AR737" s="54"/>
      <c r="AS737" s="53"/>
      <c r="AT737" s="54"/>
      <c r="AU737" s="53">
        <v>4.1666666666666699E-2</v>
      </c>
      <c r="AV737" s="54" t="s">
        <v>37</v>
      </c>
      <c r="AW737" s="57">
        <f t="shared" si="109"/>
        <v>4.1666666666666699E-2</v>
      </c>
      <c r="AX737" s="58" t="s">
        <v>101</v>
      </c>
    </row>
    <row r="738" spans="1:50" ht="21.75" customHeight="1">
      <c r="A738" s="66" t="s">
        <v>681</v>
      </c>
      <c r="B738" s="39">
        <f t="shared" si="108"/>
        <v>734</v>
      </c>
      <c r="C738" s="40">
        <v>46040</v>
      </c>
      <c r="D738" s="40" t="s">
        <v>80</v>
      </c>
      <c r="E738" s="40" t="s">
        <v>81</v>
      </c>
      <c r="F738" s="41">
        <v>765.7</v>
      </c>
      <c r="G738" s="42" t="s">
        <v>75</v>
      </c>
      <c r="H738" s="43" t="str">
        <f>IFERROR(VLOOKUP($J738,'[9]FROM (3)'!$E$4:$F$230,2,FALSE),"")</f>
        <v>JTCS</v>
      </c>
      <c r="I738" s="44" t="str">
        <f t="shared" si="105"/>
        <v>RACK, PS</v>
      </c>
      <c r="J738" s="44" t="str">
        <f t="shared" si="106"/>
        <v>JGD10-001230-40-0</v>
      </c>
      <c r="K738" s="59" t="str">
        <f t="shared" si="103"/>
        <v>PD26010051</v>
      </c>
      <c r="L738" s="46" t="str" cm="1">
        <f t="array" ref="L738">IFERROR(_xlfn.IFS(
    LEN($A738)-LEN(SUBSTITUTE($A738,"|",""))=12, RIGHT(A738, LEN(A738)-FIND("~", SUBSTITUTE(A738,"|","~", LEN(A738)-LEN(SUBSTITUTE(A738,"|",""))))),
    LEN($A738)-LEN(SUBSTITUTE($A738,"|",""))=13, MID($A738, FIND("~", SUBSTITUTE($A738,"|","~", 11))+1, FIND("~", SUBSTITUTE($A738,"|","~", 12))-FIND("~", SUBSTITUTE($A738,"|","~", 11))-1),
    LEN($A738)-LEN(SUBSTITUTE($A738,"|",""))=14, MID($A738, FIND("~", SUBSTITUTE($A738,"|","~", 11))+1, FIND("~", SUBSTITUTE($A738,"|","~", 12))-FIND("~", SUBSTITUTE($A738,"|","~", 11))-1)
), "")</f>
        <v>E586236</v>
      </c>
      <c r="M738" s="47" t="str">
        <f t="shared" si="102"/>
        <v>SB120196/4/25</v>
      </c>
      <c r="N738" s="46" t="str">
        <f t="shared" si="104"/>
        <v/>
      </c>
      <c r="O738" s="60">
        <v>25</v>
      </c>
      <c r="P738" s="60">
        <v>890</v>
      </c>
      <c r="Q738" s="48">
        <v>175</v>
      </c>
      <c r="R738" s="48">
        <v>859</v>
      </c>
      <c r="S738" s="48"/>
      <c r="T738" s="48"/>
      <c r="U738" s="49"/>
      <c r="V738" s="49"/>
      <c r="W738" s="50">
        <f t="shared" si="101"/>
        <v>0</v>
      </c>
      <c r="X738" s="51" t="str">
        <f>IF(A738="", "", IF(COUNTIFS(C$3:C737, C738, D$3:D737, D738, G$3:G737, G738) &gt; 0, "", "11:00"-AW738))</f>
        <v/>
      </c>
      <c r="Y738" s="52" t="str">
        <f t="shared" si="107"/>
        <v/>
      </c>
      <c r="Z738" s="53"/>
      <c r="AA738" s="54"/>
      <c r="AB738" s="53"/>
      <c r="AC738" s="54"/>
      <c r="AD738" s="53"/>
      <c r="AE738" s="54"/>
      <c r="AF738" s="53"/>
      <c r="AG738" s="54"/>
      <c r="AH738" s="55">
        <v>4.1666666666666699E-2</v>
      </c>
      <c r="AI738" s="53"/>
      <c r="AJ738" s="54"/>
      <c r="AK738" s="53"/>
      <c r="AL738" s="54"/>
      <c r="AM738" s="53"/>
      <c r="AN738" s="54"/>
      <c r="AO738" s="53"/>
      <c r="AP738" s="54"/>
      <c r="AQ738" s="53"/>
      <c r="AR738" s="54"/>
      <c r="AS738" s="53"/>
      <c r="AT738" s="54"/>
      <c r="AU738" s="53">
        <v>4.1666666666666699E-2</v>
      </c>
      <c r="AV738" s="54" t="s">
        <v>37</v>
      </c>
      <c r="AW738" s="57">
        <f t="shared" si="109"/>
        <v>4.1666666666666699E-2</v>
      </c>
      <c r="AX738" s="58" t="s">
        <v>101</v>
      </c>
    </row>
    <row r="739" spans="1:50" ht="21.75" customHeight="1">
      <c r="A739" s="66" t="s">
        <v>682</v>
      </c>
      <c r="B739" s="39">
        <f t="shared" si="108"/>
        <v>735</v>
      </c>
      <c r="C739" s="40">
        <v>46040</v>
      </c>
      <c r="D739" s="40" t="s">
        <v>80</v>
      </c>
      <c r="E739" s="40" t="s">
        <v>81</v>
      </c>
      <c r="F739" s="41">
        <v>765.7</v>
      </c>
      <c r="G739" s="42" t="s">
        <v>75</v>
      </c>
      <c r="H739" s="43" t="str">
        <f>IFERROR(VLOOKUP($J739,'[9]FROM (3)'!$E$4:$F$230,2,FALSE),"")</f>
        <v>JTCS</v>
      </c>
      <c r="I739" s="44" t="str">
        <f t="shared" si="105"/>
        <v>RACK, PS</v>
      </c>
      <c r="J739" s="44" t="str">
        <f t="shared" si="106"/>
        <v>JGD10-001230-40-0</v>
      </c>
      <c r="K739" s="59" t="str">
        <f t="shared" si="103"/>
        <v>PD26010051</v>
      </c>
      <c r="L739" s="46" t="str" cm="1">
        <f t="array" ref="L739">IFERROR(_xlfn.IFS(
    LEN($A739)-LEN(SUBSTITUTE($A739,"|",""))=12, RIGHT(A739, LEN(A739)-FIND("~", SUBSTITUTE(A739,"|","~", LEN(A739)-LEN(SUBSTITUTE(A739,"|",""))))),
    LEN($A739)-LEN(SUBSTITUTE($A739,"|",""))=13, MID($A739, FIND("~", SUBSTITUTE($A739,"|","~", 11))+1, FIND("~", SUBSTITUTE($A739,"|","~", 12))-FIND("~", SUBSTITUTE($A739,"|","~", 11))-1),
    LEN($A739)-LEN(SUBSTITUTE($A739,"|",""))=14, MID($A739, FIND("~", SUBSTITUTE($A739,"|","~", 11))+1, FIND("~", SUBSTITUTE($A739,"|","~", 12))-FIND("~", SUBSTITUTE($A739,"|","~", 11))-1)
), "")</f>
        <v>E586236</v>
      </c>
      <c r="M739" s="47" t="str">
        <f t="shared" si="102"/>
        <v>SB120196/5/25</v>
      </c>
      <c r="N739" s="46" t="str">
        <f t="shared" si="104"/>
        <v/>
      </c>
      <c r="O739" s="60">
        <v>25</v>
      </c>
      <c r="P739" s="60">
        <v>890</v>
      </c>
      <c r="Q739" s="48">
        <v>175</v>
      </c>
      <c r="R739" s="48">
        <v>859</v>
      </c>
      <c r="S739" s="48"/>
      <c r="T739" s="48"/>
      <c r="U739" s="49"/>
      <c r="V739" s="49"/>
      <c r="W739" s="50">
        <f t="shared" si="101"/>
        <v>0</v>
      </c>
      <c r="X739" s="51" t="str">
        <f>IF(A739="", "", IF(COUNTIFS(C$3:C738, C739, D$3:D738, D739, G$3:G738, G739) &gt; 0, "", "11:00"-AW739))</f>
        <v/>
      </c>
      <c r="Y739" s="52" t="str">
        <f t="shared" si="107"/>
        <v/>
      </c>
      <c r="Z739" s="53"/>
      <c r="AA739" s="54"/>
      <c r="AB739" s="53"/>
      <c r="AC739" s="54"/>
      <c r="AD739" s="53"/>
      <c r="AE739" s="54"/>
      <c r="AF739" s="53"/>
      <c r="AG739" s="54"/>
      <c r="AH739" s="55">
        <v>4.1666666666666699E-2</v>
      </c>
      <c r="AI739" s="53"/>
      <c r="AJ739" s="54"/>
      <c r="AK739" s="53"/>
      <c r="AL739" s="54"/>
      <c r="AM739" s="53"/>
      <c r="AN739" s="54"/>
      <c r="AO739" s="53"/>
      <c r="AP739" s="54"/>
      <c r="AQ739" s="53"/>
      <c r="AR739" s="54"/>
      <c r="AS739" s="53"/>
      <c r="AT739" s="54"/>
      <c r="AU739" s="53">
        <v>4.1666666666666699E-2</v>
      </c>
      <c r="AV739" s="54" t="s">
        <v>37</v>
      </c>
      <c r="AW739" s="57">
        <f t="shared" si="109"/>
        <v>4.1666666666666699E-2</v>
      </c>
      <c r="AX739" s="58" t="s">
        <v>101</v>
      </c>
    </row>
    <row r="740" spans="1:50" ht="21.75" customHeight="1">
      <c r="A740" s="66" t="s">
        <v>635</v>
      </c>
      <c r="B740" s="39">
        <f t="shared" si="108"/>
        <v>736</v>
      </c>
      <c r="C740" s="40">
        <v>46040</v>
      </c>
      <c r="D740" s="40" t="s">
        <v>80</v>
      </c>
      <c r="E740" s="40" t="s">
        <v>81</v>
      </c>
      <c r="F740" s="41">
        <v>765.7</v>
      </c>
      <c r="G740" s="42" t="s">
        <v>75</v>
      </c>
      <c r="H740" s="43" t="str">
        <f>IFERROR(VLOOKUP($J740,'[9]FROM (3)'!$E$4:$F$230,2,FALSE),"")</f>
        <v>JTCS</v>
      </c>
      <c r="I740" s="44" t="str">
        <f t="shared" si="105"/>
        <v>RACK, PS</v>
      </c>
      <c r="J740" s="44" t="str">
        <f t="shared" si="106"/>
        <v>JGD10-001230-40-0</v>
      </c>
      <c r="K740" s="59" t="str">
        <f t="shared" si="103"/>
        <v>PD26010051</v>
      </c>
      <c r="L740" s="46" t="str" cm="1">
        <f t="array" ref="L740">IFERROR(_xlfn.IFS(
    LEN($A740)-LEN(SUBSTITUTE($A740,"|",""))=12, RIGHT(A740, LEN(A740)-FIND("~", SUBSTITUTE(A740,"|","~", LEN(A740)-LEN(SUBSTITUTE(A740,"|",""))))),
    LEN($A740)-LEN(SUBSTITUTE($A740,"|",""))=13, MID($A740, FIND("~", SUBSTITUTE($A740,"|","~", 11))+1, FIND("~", SUBSTITUTE($A740,"|","~", 12))-FIND("~", SUBSTITUTE($A740,"|","~", 11))-1),
    LEN($A740)-LEN(SUBSTITUTE($A740,"|",""))=14, MID($A740, FIND("~", SUBSTITUTE($A740,"|","~", 11))+1, FIND("~", SUBSTITUTE($A740,"|","~", 12))-FIND("~", SUBSTITUTE($A740,"|","~", 11))-1)
), "")</f>
        <v>E586236</v>
      </c>
      <c r="M740" s="47" t="str">
        <f t="shared" si="102"/>
        <v>SB120196/6/25</v>
      </c>
      <c r="N740" s="46" t="str">
        <f t="shared" si="104"/>
        <v/>
      </c>
      <c r="O740" s="60">
        <v>25</v>
      </c>
      <c r="P740" s="60">
        <v>890</v>
      </c>
      <c r="Q740" s="48">
        <v>36</v>
      </c>
      <c r="R740" s="48">
        <v>177</v>
      </c>
      <c r="S740" s="48">
        <v>3</v>
      </c>
      <c r="T740" s="48" t="s">
        <v>143</v>
      </c>
      <c r="U740" s="49"/>
      <c r="V740" s="49"/>
      <c r="W740" s="50">
        <f t="shared" si="101"/>
        <v>0</v>
      </c>
      <c r="X740" s="51" t="str">
        <f>IF(A740="", "", IF(COUNTIFS(C$3:C739, C740, D$3:D739, D740, G$3:G739, G740) &gt; 0, "", "11:00"-AW740))</f>
        <v/>
      </c>
      <c r="Y740" s="52" t="str">
        <f t="shared" si="107"/>
        <v/>
      </c>
      <c r="Z740" s="53"/>
      <c r="AA740" s="54"/>
      <c r="AB740" s="53"/>
      <c r="AC740" s="54"/>
      <c r="AD740" s="53"/>
      <c r="AE740" s="54"/>
      <c r="AF740" s="53"/>
      <c r="AG740" s="54"/>
      <c r="AH740" s="55">
        <v>4.1666666666666699E-2</v>
      </c>
      <c r="AI740" s="53"/>
      <c r="AJ740" s="54"/>
      <c r="AK740" s="53"/>
      <c r="AL740" s="54"/>
      <c r="AM740" s="53"/>
      <c r="AN740" s="54"/>
      <c r="AO740" s="53"/>
      <c r="AP740" s="54"/>
      <c r="AQ740" s="53"/>
      <c r="AR740" s="54"/>
      <c r="AS740" s="53"/>
      <c r="AT740" s="54"/>
      <c r="AU740" s="53">
        <v>4.1666666666666699E-2</v>
      </c>
      <c r="AV740" s="54" t="s">
        <v>37</v>
      </c>
      <c r="AW740" s="57">
        <f t="shared" si="109"/>
        <v>4.1666666666666699E-2</v>
      </c>
      <c r="AX740" s="58" t="s">
        <v>101</v>
      </c>
    </row>
    <row r="741" spans="1:50" ht="21.75" customHeight="1">
      <c r="A741" s="66" t="s">
        <v>662</v>
      </c>
      <c r="B741" s="39">
        <f t="shared" si="108"/>
        <v>737</v>
      </c>
      <c r="C741" s="40">
        <v>46041</v>
      </c>
      <c r="D741" s="40" t="s">
        <v>80</v>
      </c>
      <c r="E741" s="40" t="s">
        <v>81</v>
      </c>
      <c r="F741" s="41">
        <v>262</v>
      </c>
      <c r="G741" s="42" t="s">
        <v>85</v>
      </c>
      <c r="H741" s="43" t="str">
        <f>IFERROR(VLOOKUP($J741,'[9]FROM (3)'!$E$4:$F$230,2,FALSE),"")</f>
        <v/>
      </c>
      <c r="I741" s="44" t="str">
        <f t="shared" si="105"/>
        <v>RACK</v>
      </c>
      <c r="J741" s="44" t="str">
        <f t="shared" si="106"/>
        <v>510-30149-020</v>
      </c>
      <c r="K741" s="59" t="str">
        <f t="shared" si="103"/>
        <v>PD26010788</v>
      </c>
      <c r="L741" s="46" t="str" cm="1">
        <f t="array" ref="L741">IFERROR(_xlfn.IFS(
    LEN($A741)-LEN(SUBSTITUTE($A741,"|",""))=12, RIGHT(A741, LEN(A741)-FIND("~", SUBSTITUTE(A741,"|","~", LEN(A741)-LEN(SUBSTITUTE(A741,"|",""))))),
    LEN($A741)-LEN(SUBSTITUTE($A741,"|",""))=13, MID($A741, FIND("~", SUBSTITUTE($A741,"|","~", 11))+1, FIND("~", SUBSTITUTE($A741,"|","~", 12))-FIND("~", SUBSTITUTE($A741,"|","~", 11))-1),
    LEN($A741)-LEN(SUBSTITUTE($A741,"|",""))=14, MID($A741, FIND("~", SUBSTITUTE($A741,"|","~", 11))+1, FIND("~", SUBSTITUTE($A741,"|","~", 12))-FIND("~", SUBSTITUTE($A741,"|","~", 11))-1)
), "")</f>
        <v>5C1361</v>
      </c>
      <c r="M741" s="47" t="str">
        <f t="shared" si="102"/>
        <v>SB010086/2/26</v>
      </c>
      <c r="N741" s="46" t="str">
        <f t="shared" si="104"/>
        <v/>
      </c>
      <c r="O741" s="60"/>
      <c r="P741" s="60"/>
      <c r="Q741" s="48">
        <v>313</v>
      </c>
      <c r="R741" s="48">
        <v>511</v>
      </c>
      <c r="S741" s="48"/>
      <c r="T741" s="48"/>
      <c r="U741" s="49">
        <v>176</v>
      </c>
      <c r="V741" s="49">
        <v>18</v>
      </c>
      <c r="W741" s="50">
        <f t="shared" si="101"/>
        <v>194</v>
      </c>
      <c r="X741" s="51">
        <f>IF(A741="", "", IF(COUNTIFS(C$3:C740, C741, D$3:D740, D741, G$3:G740, G741) &gt; 0, "", "11:00"-AW741))</f>
        <v>0.41666666666666663</v>
      </c>
      <c r="Y741" s="52" t="str">
        <f t="shared" si="107"/>
        <v>1:40</v>
      </c>
      <c r="Z741" s="53"/>
      <c r="AA741" s="54"/>
      <c r="AB741" s="53"/>
      <c r="AC741" s="54"/>
      <c r="AD741" s="53"/>
      <c r="AE741" s="54"/>
      <c r="AF741" s="53"/>
      <c r="AG741" s="54"/>
      <c r="AH741" s="55">
        <v>4.1666666666666699E-2</v>
      </c>
      <c r="AI741" s="53"/>
      <c r="AJ741" s="54"/>
      <c r="AK741" s="53"/>
      <c r="AL741" s="54"/>
      <c r="AM741" s="53"/>
      <c r="AN741" s="54"/>
      <c r="AO741" s="53"/>
      <c r="AP741" s="54"/>
      <c r="AQ741" s="53"/>
      <c r="AR741" s="54"/>
      <c r="AS741" s="53"/>
      <c r="AT741" s="54"/>
      <c r="AU741" s="53">
        <v>4.1666666666666699E-2</v>
      </c>
      <c r="AV741" s="54" t="s">
        <v>37</v>
      </c>
      <c r="AW741" s="57">
        <f t="shared" si="109"/>
        <v>4.1666666666666699E-2</v>
      </c>
      <c r="AX741" s="58" t="s">
        <v>203</v>
      </c>
    </row>
    <row r="742" spans="1:50" ht="21.75" customHeight="1">
      <c r="A742" s="66" t="s">
        <v>683</v>
      </c>
      <c r="B742" s="39">
        <f t="shared" si="108"/>
        <v>738</v>
      </c>
      <c r="C742" s="40">
        <v>46041</v>
      </c>
      <c r="D742" s="40" t="s">
        <v>80</v>
      </c>
      <c r="E742" s="40" t="s">
        <v>81</v>
      </c>
      <c r="F742" s="41">
        <v>262</v>
      </c>
      <c r="G742" s="42" t="s">
        <v>85</v>
      </c>
      <c r="H742" s="43" t="str">
        <f>IFERROR(VLOOKUP($J742,'[9]FROM (3)'!$E$4:$F$230,2,FALSE),"")</f>
        <v/>
      </c>
      <c r="I742" s="44" t="str">
        <f t="shared" si="105"/>
        <v>RACK</v>
      </c>
      <c r="J742" s="44" t="str">
        <f t="shared" si="106"/>
        <v>510-30149-020</v>
      </c>
      <c r="K742" s="59" t="str">
        <f t="shared" si="103"/>
        <v>PD26010789</v>
      </c>
      <c r="L742" s="46" t="str" cm="1">
        <f t="array" ref="L742">IFERROR(_xlfn.IFS(
    LEN($A742)-LEN(SUBSTITUTE($A742,"|",""))=12, RIGHT(A742, LEN(A742)-FIND("~", SUBSTITUTE(A742,"|","~", LEN(A742)-LEN(SUBSTITUTE(A742,"|",""))))),
    LEN($A742)-LEN(SUBSTITUTE($A742,"|",""))=13, MID($A742, FIND("~", SUBSTITUTE($A742,"|","~", 11))+1, FIND("~", SUBSTITUTE($A742,"|","~", 12))-FIND("~", SUBSTITUTE($A742,"|","~", 11))-1),
    LEN($A742)-LEN(SUBSTITUTE($A742,"|",""))=14, MID($A742, FIND("~", SUBSTITUTE($A742,"|","~", 11))+1, FIND("~", SUBSTITUTE($A742,"|","~", 12))-FIND("~", SUBSTITUTE($A742,"|","~", 11))-1)
), "")</f>
        <v>5C1361</v>
      </c>
      <c r="M742" s="47" t="str">
        <f t="shared" si="102"/>
        <v>SB010086/5/26</v>
      </c>
      <c r="N742" s="46" t="str">
        <f t="shared" si="104"/>
        <v/>
      </c>
      <c r="O742" s="60">
        <v>120</v>
      </c>
      <c r="P742" s="60">
        <v>2346</v>
      </c>
      <c r="Q742" s="48">
        <v>930</v>
      </c>
      <c r="R742" s="48">
        <v>1521</v>
      </c>
      <c r="S742" s="48"/>
      <c r="T742" s="48"/>
      <c r="U742" s="49"/>
      <c r="V742" s="49"/>
      <c r="W742" s="50">
        <f t="shared" si="101"/>
        <v>0</v>
      </c>
      <c r="X742" s="51" t="str">
        <f>IF(A742="", "", IF(COUNTIFS(C$3:C741, C742, D$3:D741, D742, G$3:G741, G742) &gt; 0, "", "11:00"-AW742))</f>
        <v/>
      </c>
      <c r="Y742" s="52" t="str">
        <f t="shared" si="107"/>
        <v/>
      </c>
      <c r="Z742" s="53"/>
      <c r="AA742" s="54"/>
      <c r="AB742" s="53"/>
      <c r="AC742" s="54"/>
      <c r="AD742" s="53"/>
      <c r="AE742" s="54"/>
      <c r="AF742" s="53"/>
      <c r="AG742" s="54"/>
      <c r="AH742" s="55">
        <v>4.1666666666666699E-2</v>
      </c>
      <c r="AI742" s="53"/>
      <c r="AJ742" s="54"/>
      <c r="AK742" s="53"/>
      <c r="AL742" s="54"/>
      <c r="AM742" s="53"/>
      <c r="AN742" s="54"/>
      <c r="AO742" s="53"/>
      <c r="AP742" s="54"/>
      <c r="AQ742" s="53"/>
      <c r="AR742" s="54"/>
      <c r="AS742" s="53"/>
      <c r="AT742" s="54"/>
      <c r="AU742" s="53">
        <v>4.1666666666666699E-2</v>
      </c>
      <c r="AV742" s="54" t="s">
        <v>37</v>
      </c>
      <c r="AW742" s="57">
        <f t="shared" si="109"/>
        <v>4.1666666666666699E-2</v>
      </c>
      <c r="AX742" s="58" t="s">
        <v>203</v>
      </c>
    </row>
    <row r="743" spans="1:50" ht="21.75" customHeight="1">
      <c r="A743" s="66" t="s">
        <v>659</v>
      </c>
      <c r="B743" s="39">
        <f t="shared" si="108"/>
        <v>739</v>
      </c>
      <c r="C743" s="40">
        <v>46041</v>
      </c>
      <c r="D743" s="62" t="s">
        <v>80</v>
      </c>
      <c r="E743" s="40" t="s">
        <v>81</v>
      </c>
      <c r="F743" s="41">
        <v>157.9</v>
      </c>
      <c r="G743" s="42" t="s">
        <v>44</v>
      </c>
      <c r="H743" s="43" t="str">
        <f>IFERROR(VLOOKUP($J743,'[9]FROM (3)'!$E$4:$F$230,2,FALSE),"")</f>
        <v>DNTH</v>
      </c>
      <c r="I743" s="44" t="str">
        <f t="shared" si="105"/>
        <v>SLUG CONNECTOR FUEL INLET</v>
      </c>
      <c r="J743" s="44" t="str">
        <f t="shared" si="106"/>
        <v>TGY95065-0010</v>
      </c>
      <c r="K743" s="59" t="str">
        <f t="shared" si="103"/>
        <v>PD26010502</v>
      </c>
      <c r="L743" s="46" t="str" cm="1">
        <f t="array" ref="L743">IFERROR(_xlfn.IFS(
    LEN($A743)-LEN(SUBSTITUTE($A743,"|",""))=12, RIGHT(A743, LEN(A743)-FIND("~", SUBSTITUTE(A743,"|","~", LEN(A743)-LEN(SUBSTITUTE(A743,"|",""))))),
    LEN($A743)-LEN(SUBSTITUTE($A743,"|",""))=13, MID($A743, FIND("~", SUBSTITUTE($A743,"|","~", 11))+1, FIND("~", SUBSTITUTE($A743,"|","~", 12))-FIND("~", SUBSTITUTE($A743,"|","~", 11))-1),
    LEN($A743)-LEN(SUBSTITUTE($A743,"|",""))=14, MID($A743, FIND("~", SUBSTITUTE($A743,"|","~", 11))+1, FIND("~", SUBSTITUTE($A743,"|","~", 12))-FIND("~", SUBSTITUTE($A743,"|","~", 11))-1)
), "")</f>
        <v>E586354</v>
      </c>
      <c r="M743" s="47" t="str">
        <f t="shared" si="102"/>
        <v>SB010006/3/26</v>
      </c>
      <c r="N743" s="46" t="str">
        <f t="shared" si="104"/>
        <v/>
      </c>
      <c r="O743" s="60"/>
      <c r="P743" s="60"/>
      <c r="Q743" s="48">
        <v>4139</v>
      </c>
      <c r="R743" s="48">
        <v>654</v>
      </c>
      <c r="S743" s="48"/>
      <c r="T743" s="48"/>
      <c r="U743" s="49"/>
      <c r="V743" s="49"/>
      <c r="W743" s="50">
        <f t="shared" si="101"/>
        <v>0</v>
      </c>
      <c r="X743" s="51">
        <f>IF(A743="", "", IF(COUNTIFS(C$3:C742, C743, D$3:D742, D743, G$3:G742, G743) &gt; 0, "", "11:00"-AW743))</f>
        <v>0.41666666666666663</v>
      </c>
      <c r="Y743" s="52" t="str">
        <f t="shared" si="107"/>
        <v>1:40</v>
      </c>
      <c r="Z743" s="53"/>
      <c r="AA743" s="54"/>
      <c r="AB743" s="53"/>
      <c r="AC743" s="54"/>
      <c r="AD743" s="53"/>
      <c r="AE743" s="54"/>
      <c r="AF743" s="53"/>
      <c r="AG743" s="54"/>
      <c r="AH743" s="55">
        <v>4.1666666666666699E-2</v>
      </c>
      <c r="AI743" s="53"/>
      <c r="AJ743" s="54"/>
      <c r="AK743" s="53"/>
      <c r="AL743" s="54"/>
      <c r="AM743" s="53"/>
      <c r="AN743" s="54"/>
      <c r="AO743" s="53"/>
      <c r="AP743" s="54"/>
      <c r="AQ743" s="53"/>
      <c r="AR743" s="54"/>
      <c r="AS743" s="53"/>
      <c r="AT743" s="54"/>
      <c r="AU743" s="53">
        <v>4.1666666666666699E-2</v>
      </c>
      <c r="AV743" s="54" t="s">
        <v>37</v>
      </c>
      <c r="AW743" s="57">
        <f t="shared" si="109"/>
        <v>4.1666666666666699E-2</v>
      </c>
      <c r="AX743" s="58" t="s">
        <v>203</v>
      </c>
    </row>
    <row r="744" spans="1:50" ht="21.75" customHeight="1">
      <c r="A744" s="66" t="s">
        <v>615</v>
      </c>
      <c r="B744" s="39">
        <f t="shared" si="108"/>
        <v>740</v>
      </c>
      <c r="C744" s="40">
        <v>46040</v>
      </c>
      <c r="D744" s="40" t="s">
        <v>80</v>
      </c>
      <c r="E744" s="40" t="s">
        <v>81</v>
      </c>
      <c r="F744" s="41">
        <v>201</v>
      </c>
      <c r="G744" s="42" t="s">
        <v>108</v>
      </c>
      <c r="H744" s="43" t="str">
        <f>IFERROR(VLOOKUP($J744,'[9]FROM (3)'!$E$4:$F$230,2,FALSE),"")</f>
        <v>SIAM NSK</v>
      </c>
      <c r="I744" s="44" t="str">
        <f t="shared" si="105"/>
        <v>SHAFT SPLINE</v>
      </c>
      <c r="J744" s="44" t="str">
        <f t="shared" si="106"/>
        <v>2528S0251P</v>
      </c>
      <c r="K744" s="59" t="str">
        <f t="shared" si="103"/>
        <v>PD26010337</v>
      </c>
      <c r="L744" s="46" t="str" cm="1">
        <f t="array" ref="L744">IFERROR(_xlfn.IFS(
    LEN($A744)-LEN(SUBSTITUTE($A744,"|",""))=12, RIGHT(A744, LEN(A744)-FIND("~", SUBSTITUTE(A744,"|","~", LEN(A744)-LEN(SUBSTITUTE(A744,"|",""))))),
    LEN($A744)-LEN(SUBSTITUTE($A744,"|",""))=13, MID($A744, FIND("~", SUBSTITUTE($A744,"|","~", 11))+1, FIND("~", SUBSTITUTE($A744,"|","~", 12))-FIND("~", SUBSTITUTE($A744,"|","~", 11))-1),
    LEN($A744)-LEN(SUBSTITUTE($A744,"|",""))=14, MID($A744, FIND("~", SUBSTITUTE($A744,"|","~", 11))+1, FIND("~", SUBSTITUTE($A744,"|","~", 12))-FIND("~", SUBSTITUTE($A744,"|","~", 11))-1)
), "")</f>
        <v>SF92937</v>
      </c>
      <c r="M744" s="47" t="str">
        <f t="shared" si="102"/>
        <v>SB010014/3/26</v>
      </c>
      <c r="N744" s="46" t="str">
        <f t="shared" si="104"/>
        <v/>
      </c>
      <c r="O744" s="60" t="s">
        <v>35</v>
      </c>
      <c r="P744" s="60" t="s">
        <v>35</v>
      </c>
      <c r="Q744" s="48">
        <v>94</v>
      </c>
      <c r="R744" s="48">
        <v>47</v>
      </c>
      <c r="S744" s="48" t="s">
        <v>35</v>
      </c>
      <c r="T744" s="48"/>
      <c r="U744" s="49"/>
      <c r="V744" s="49"/>
      <c r="W744" s="50">
        <f t="shared" si="101"/>
        <v>0</v>
      </c>
      <c r="X744" s="51">
        <f>IF(A744="", "", IF(COUNTIFS(C$3:C743, C744, D$3:D743, D744, G$3:G743, G744) &gt; 0, "", "11:00"-AW744))</f>
        <v>0.37499999999999994</v>
      </c>
      <c r="Y744" s="52" t="str">
        <f t="shared" si="107"/>
        <v>1:40</v>
      </c>
      <c r="Z744" s="53"/>
      <c r="AA744" s="54"/>
      <c r="AB744" s="53"/>
      <c r="AC744" s="54"/>
      <c r="AD744" s="53"/>
      <c r="AE744" s="54"/>
      <c r="AF744" s="53"/>
      <c r="AG744" s="54"/>
      <c r="AH744" s="55">
        <v>4.1666666666666699E-2</v>
      </c>
      <c r="AI744" s="53"/>
      <c r="AJ744" s="54"/>
      <c r="AK744" s="53">
        <v>4.1666666666666664E-2</v>
      </c>
      <c r="AL744" s="54" t="s">
        <v>67</v>
      </c>
      <c r="AM744" s="53"/>
      <c r="AN744" s="54"/>
      <c r="AO744" s="53"/>
      <c r="AP744" s="54"/>
      <c r="AQ744" s="53"/>
      <c r="AR744" s="54"/>
      <c r="AS744" s="53"/>
      <c r="AT744" s="54"/>
      <c r="AU744" s="53">
        <v>4.1666666666666699E-2</v>
      </c>
      <c r="AV744" s="54" t="s">
        <v>37</v>
      </c>
      <c r="AW744" s="57">
        <f t="shared" si="109"/>
        <v>8.333333333333337E-2</v>
      </c>
      <c r="AX744" s="58" t="s">
        <v>109</v>
      </c>
    </row>
    <row r="745" spans="1:50" ht="21.75" customHeight="1">
      <c r="A745" s="66" t="s">
        <v>684</v>
      </c>
      <c r="B745" s="39">
        <f t="shared" si="108"/>
        <v>741</v>
      </c>
      <c r="C745" s="40">
        <v>46040</v>
      </c>
      <c r="D745" s="40" t="s">
        <v>80</v>
      </c>
      <c r="E745" s="40" t="s">
        <v>81</v>
      </c>
      <c r="F745" s="41">
        <v>201</v>
      </c>
      <c r="G745" s="42" t="s">
        <v>108</v>
      </c>
      <c r="H745" s="43" t="str">
        <f>IFERROR(VLOOKUP($J745,'[9]FROM (3)'!$E$4:$F$230,2,FALSE),"")</f>
        <v>SIAM NSK</v>
      </c>
      <c r="I745" s="44" t="str">
        <f t="shared" si="105"/>
        <v>SHAFT SPLINE</v>
      </c>
      <c r="J745" s="44" t="str">
        <f t="shared" si="106"/>
        <v>2528S0251P</v>
      </c>
      <c r="K745" s="59" t="str">
        <f t="shared" si="103"/>
        <v>PD26010337</v>
      </c>
      <c r="L745" s="46" t="str" cm="1">
        <f t="array" ref="L745">IFERROR(_xlfn.IFS(
    LEN($A745)-LEN(SUBSTITUTE($A745,"|",""))=12, RIGHT(A745, LEN(A745)-FIND("~", SUBSTITUTE(A745,"|","~", LEN(A745)-LEN(SUBSTITUTE(A745,"|",""))))),
    LEN($A745)-LEN(SUBSTITUTE($A745,"|",""))=13, MID($A745, FIND("~", SUBSTITUTE($A745,"|","~", 11))+1, FIND("~", SUBSTITUTE($A745,"|","~", 12))-FIND("~", SUBSTITUTE($A745,"|","~", 11))-1),
    LEN($A745)-LEN(SUBSTITUTE($A745,"|",""))=14, MID($A745, FIND("~", SUBSTITUTE($A745,"|","~", 11))+1, FIND("~", SUBSTITUTE($A745,"|","~", 12))-FIND("~", SUBSTITUTE($A745,"|","~", 11))-1)
), "")</f>
        <v>SF92937</v>
      </c>
      <c r="M745" s="47" t="str">
        <f t="shared" si="102"/>
        <v>SB010014/4/26</v>
      </c>
      <c r="N745" s="46" t="str">
        <f t="shared" si="104"/>
        <v/>
      </c>
      <c r="O745" s="60">
        <v>89</v>
      </c>
      <c r="P745" s="60">
        <v>972</v>
      </c>
      <c r="Q745" s="48">
        <v>1869</v>
      </c>
      <c r="R745" s="48">
        <v>952</v>
      </c>
      <c r="S745" s="48" t="s">
        <v>35</v>
      </c>
      <c r="T745" s="48"/>
      <c r="U745" s="49">
        <v>74</v>
      </c>
      <c r="V745" s="49">
        <v>20</v>
      </c>
      <c r="W745" s="50">
        <f t="shared" si="101"/>
        <v>94</v>
      </c>
      <c r="X745" s="51" t="str">
        <f>IF(A745="", "", IF(COUNTIFS(C$3:C744, C745, D$3:D744, D745, G$3:G744, G745) &gt; 0, "", "11:00"-AW745))</f>
        <v/>
      </c>
      <c r="Y745" s="52" t="str">
        <f t="shared" si="107"/>
        <v/>
      </c>
      <c r="Z745" s="53"/>
      <c r="AA745" s="54"/>
      <c r="AB745" s="53"/>
      <c r="AC745" s="54"/>
      <c r="AD745" s="53"/>
      <c r="AE745" s="54"/>
      <c r="AF745" s="53"/>
      <c r="AG745" s="54"/>
      <c r="AH745" s="55">
        <v>4.1666666666666699E-2</v>
      </c>
      <c r="AI745" s="53"/>
      <c r="AJ745" s="54"/>
      <c r="AK745" s="53"/>
      <c r="AL745" s="54"/>
      <c r="AM745" s="53"/>
      <c r="AN745" s="54"/>
      <c r="AO745" s="53"/>
      <c r="AP745" s="54"/>
      <c r="AQ745" s="53"/>
      <c r="AR745" s="54"/>
      <c r="AS745" s="53"/>
      <c r="AT745" s="54"/>
      <c r="AU745" s="53">
        <v>4.1666666666666699E-2</v>
      </c>
      <c r="AV745" s="54" t="s">
        <v>37</v>
      </c>
      <c r="AW745" s="57">
        <f t="shared" si="109"/>
        <v>4.1666666666666699E-2</v>
      </c>
      <c r="AX745" s="58" t="s">
        <v>109</v>
      </c>
    </row>
    <row r="746" spans="1:50" ht="21.75" customHeight="1">
      <c r="A746" s="66" t="s">
        <v>665</v>
      </c>
      <c r="B746" s="39">
        <f t="shared" si="108"/>
        <v>742</v>
      </c>
      <c r="C746" s="40">
        <v>46040</v>
      </c>
      <c r="D746" s="40" t="s">
        <v>80</v>
      </c>
      <c r="E746" s="40" t="s">
        <v>81</v>
      </c>
      <c r="F746" s="41">
        <v>263.5</v>
      </c>
      <c r="G746" s="42" t="s">
        <v>108</v>
      </c>
      <c r="H746" s="43" t="str">
        <f>IFERROR(VLOOKUP($J746,'[9]FROM (3)'!$E$4:$F$230,2,FALSE),"")</f>
        <v>SIAM NSK</v>
      </c>
      <c r="I746" s="44" t="str">
        <f t="shared" si="105"/>
        <v>SHAFT SPLINE</v>
      </c>
      <c r="J746" s="44" t="str">
        <f t="shared" si="106"/>
        <v>2550S0647P</v>
      </c>
      <c r="K746" s="59" t="str">
        <f t="shared" si="103"/>
        <v>PD26010397</v>
      </c>
      <c r="L746" s="46" t="str" cm="1">
        <f t="array" ref="L746">IFERROR(_xlfn.IFS(
    LEN($A746)-LEN(SUBSTITUTE($A746,"|",""))=12, RIGHT(A746, LEN(A746)-FIND("~", SUBSTITUTE(A746,"|","~", LEN(A746)-LEN(SUBSTITUTE(A746,"|",""))))),
    LEN($A746)-LEN(SUBSTITUTE($A746,"|",""))=13, MID($A746, FIND("~", SUBSTITUTE($A746,"|","~", 11))+1, FIND("~", SUBSTITUTE($A746,"|","~", 12))-FIND("~", SUBSTITUTE($A746,"|","~", 11))-1),
    LEN($A746)-LEN(SUBSTITUTE($A746,"|",""))=14, MID($A746, FIND("~", SUBSTITUTE($A746,"|","~", 11))+1, FIND("~", SUBSTITUTE($A746,"|","~", 12))-FIND("~", SUBSTITUTE($A746,"|","~", 11))-1)
), "")</f>
        <v>E586424</v>
      </c>
      <c r="M746" s="47" t="str">
        <f t="shared" si="102"/>
        <v>SB010027/3/26</v>
      </c>
      <c r="N746" s="46" t="str">
        <f t="shared" si="104"/>
        <v/>
      </c>
      <c r="O746" s="60">
        <v>113</v>
      </c>
      <c r="P746" s="60">
        <v>1032</v>
      </c>
      <c r="Q746" s="48">
        <v>1443</v>
      </c>
      <c r="R746" s="48">
        <v>783</v>
      </c>
      <c r="S746" s="48" t="s">
        <v>35</v>
      </c>
      <c r="T746" s="48"/>
      <c r="U746" s="49"/>
      <c r="V746" s="49"/>
      <c r="W746" s="50">
        <f t="shared" si="101"/>
        <v>0</v>
      </c>
      <c r="X746" s="51" t="str">
        <f>IF(A746="", "", IF(COUNTIFS(C$3:C745, C746, D$3:D745, D746, G$3:G745, G746) &gt; 0, "", "11:00"-AW746))</f>
        <v/>
      </c>
      <c r="Y746" s="52" t="str">
        <f t="shared" si="107"/>
        <v/>
      </c>
      <c r="Z746" s="53"/>
      <c r="AA746" s="54"/>
      <c r="AB746" s="53"/>
      <c r="AC746" s="54"/>
      <c r="AD746" s="53"/>
      <c r="AE746" s="54"/>
      <c r="AF746" s="53"/>
      <c r="AG746" s="54"/>
      <c r="AH746" s="55">
        <v>4.1666666666666699E-2</v>
      </c>
      <c r="AI746" s="53"/>
      <c r="AJ746" s="54"/>
      <c r="AK746" s="53"/>
      <c r="AL746" s="54"/>
      <c r="AM746" s="53"/>
      <c r="AN746" s="54"/>
      <c r="AO746" s="53"/>
      <c r="AP746" s="54"/>
      <c r="AQ746" s="53"/>
      <c r="AR746" s="54"/>
      <c r="AS746" s="53"/>
      <c r="AT746" s="54"/>
      <c r="AU746" s="53">
        <v>4.1666666666666699E-2</v>
      </c>
      <c r="AV746" s="54" t="s">
        <v>37</v>
      </c>
      <c r="AW746" s="57">
        <f t="shared" si="109"/>
        <v>4.1666666666666699E-2</v>
      </c>
      <c r="AX746" s="58" t="s">
        <v>109</v>
      </c>
    </row>
    <row r="747" spans="1:50" ht="21.75" customHeight="1">
      <c r="A747" s="66" t="s">
        <v>598</v>
      </c>
      <c r="B747" s="39">
        <f t="shared" si="108"/>
        <v>743</v>
      </c>
      <c r="C747" s="40">
        <v>46040</v>
      </c>
      <c r="D747" s="40" t="s">
        <v>80</v>
      </c>
      <c r="E747" s="40" t="s">
        <v>81</v>
      </c>
      <c r="F747" s="41">
        <v>375</v>
      </c>
      <c r="G747" s="42" t="s">
        <v>172</v>
      </c>
      <c r="H747" s="43" t="str">
        <f>IFERROR(VLOOKUP($J747,'[9]FROM (3)'!$E$4:$F$230,2,FALSE),"")</f>
        <v>ATAC</v>
      </c>
      <c r="I747" s="44" t="str">
        <f t="shared" si="105"/>
        <v>SEAT,WATER PUMP PULLEY</v>
      </c>
      <c r="J747" s="44" t="str">
        <f t="shared" si="106"/>
        <v>16171-05030</v>
      </c>
      <c r="K747" s="59" t="str">
        <f t="shared" si="103"/>
        <v>PD26010579</v>
      </c>
      <c r="L747" s="46" t="str" cm="1">
        <f t="array" ref="L747">IFERROR(_xlfn.IFS(
    LEN($A747)-LEN(SUBSTITUTE($A747,"|",""))=12, RIGHT(A747, LEN(A747)-FIND("~", SUBSTITUTE(A747,"|","~", LEN(A747)-LEN(SUBSTITUTE(A747,"|",""))))),
    LEN($A747)-LEN(SUBSTITUTE($A747,"|",""))=13, MID($A747, FIND("~", SUBSTITUTE($A747,"|","~", 11))+1, FIND("~", SUBSTITUTE($A747,"|","~", 12))-FIND("~", SUBSTITUTE($A747,"|","~", 11))-1),
    LEN($A747)-LEN(SUBSTITUTE($A747,"|",""))=14, MID($A747, FIND("~", SUBSTITUTE($A747,"|","~", 11))+1, FIND("~", SUBSTITUTE($A747,"|","~", 12))-FIND("~", SUBSTITUTE($A747,"|","~", 11))-1)
), "")</f>
        <v>665898</v>
      </c>
      <c r="M747" s="47" t="str">
        <f t="shared" si="102"/>
        <v>SB010056/3/26</v>
      </c>
      <c r="N747" s="46" t="str">
        <f t="shared" si="104"/>
        <v/>
      </c>
      <c r="O747" s="60" t="s">
        <v>35</v>
      </c>
      <c r="P747" s="60" t="s">
        <v>35</v>
      </c>
      <c r="Q747" s="48">
        <v>1237</v>
      </c>
      <c r="R747" s="48">
        <v>464</v>
      </c>
      <c r="S747" s="48" t="s">
        <v>35</v>
      </c>
      <c r="T747" s="48"/>
      <c r="U747" s="49">
        <v>87</v>
      </c>
      <c r="V747" s="49">
        <v>168</v>
      </c>
      <c r="W747" s="50">
        <f t="shared" si="101"/>
        <v>255</v>
      </c>
      <c r="X747" s="51">
        <f>IF(A747="", "", IF(COUNTIFS(C$3:C746, C747, D$3:D746, D747, G$3:G746, G747) &gt; 0, "", "11:00"-AW747))</f>
        <v>0.41666666666666663</v>
      </c>
      <c r="Y747" s="52" t="str">
        <f t="shared" si="107"/>
        <v>1:40</v>
      </c>
      <c r="Z747" s="53"/>
      <c r="AA747" s="54"/>
      <c r="AB747" s="53"/>
      <c r="AC747" s="54"/>
      <c r="AD747" s="53"/>
      <c r="AE747" s="54"/>
      <c r="AF747" s="53"/>
      <c r="AG747" s="54"/>
      <c r="AH747" s="55">
        <v>4.1666666666666699E-2</v>
      </c>
      <c r="AI747" s="53"/>
      <c r="AJ747" s="54"/>
      <c r="AK747" s="53"/>
      <c r="AL747" s="54"/>
      <c r="AM747" s="53"/>
      <c r="AN747" s="54"/>
      <c r="AO747" s="53"/>
      <c r="AP747" s="54"/>
      <c r="AQ747" s="53"/>
      <c r="AR747" s="54"/>
      <c r="AS747" s="53"/>
      <c r="AT747" s="54"/>
      <c r="AU747" s="53">
        <v>4.1666666666666699E-2</v>
      </c>
      <c r="AV747" s="54" t="s">
        <v>37</v>
      </c>
      <c r="AW747" s="57">
        <f t="shared" si="109"/>
        <v>4.1666666666666699E-2</v>
      </c>
      <c r="AX747" s="58" t="s">
        <v>109</v>
      </c>
    </row>
    <row r="748" spans="1:50" ht="21.75" customHeight="1">
      <c r="A748" s="66" t="s">
        <v>663</v>
      </c>
      <c r="B748" s="39">
        <f t="shared" si="108"/>
        <v>744</v>
      </c>
      <c r="C748" s="40">
        <v>46040</v>
      </c>
      <c r="D748" s="40" t="s">
        <v>80</v>
      </c>
      <c r="E748" s="40" t="s">
        <v>81</v>
      </c>
      <c r="F748" s="41">
        <v>375</v>
      </c>
      <c r="G748" s="42" t="s">
        <v>172</v>
      </c>
      <c r="H748" s="43" t="str">
        <f>IFERROR(VLOOKUP($J748,'[9]FROM (3)'!$E$4:$F$230,2,FALSE),"")</f>
        <v>ATAC</v>
      </c>
      <c r="I748" s="44" t="str">
        <f t="shared" si="105"/>
        <v>SEAT,WATER PUMP PULLEY</v>
      </c>
      <c r="J748" s="44" t="str">
        <f t="shared" si="106"/>
        <v>16171-05030</v>
      </c>
      <c r="K748" s="59" t="str">
        <f t="shared" si="103"/>
        <v>PD26010580</v>
      </c>
      <c r="L748" s="46" t="str" cm="1">
        <f t="array" ref="L748">IFERROR(_xlfn.IFS(
    LEN($A748)-LEN(SUBSTITUTE($A748,"|",""))=12, RIGHT(A748, LEN(A748)-FIND("~", SUBSTITUTE(A748,"|","~", LEN(A748)-LEN(SUBSTITUTE(A748,"|",""))))),
    LEN($A748)-LEN(SUBSTITUTE($A748,"|",""))=13, MID($A748, FIND("~", SUBSTITUTE($A748,"|","~", 11))+1, FIND("~", SUBSTITUTE($A748,"|","~", 12))-FIND("~", SUBSTITUTE($A748,"|","~", 11))-1),
    LEN($A748)-LEN(SUBSTITUTE($A748,"|",""))=14, MID($A748, FIND("~", SUBSTITUTE($A748,"|","~", 11))+1, FIND("~", SUBSTITUTE($A748,"|","~", 12))-FIND("~", SUBSTITUTE($A748,"|","~", 11))-1)
), "")</f>
        <v>665898</v>
      </c>
      <c r="M748" s="47" t="str">
        <f t="shared" si="102"/>
        <v>SB010056/4/26</v>
      </c>
      <c r="N748" s="46" t="str">
        <f t="shared" si="104"/>
        <v/>
      </c>
      <c r="O748" s="60">
        <v>14</v>
      </c>
      <c r="P748" s="60">
        <v>996</v>
      </c>
      <c r="Q748" s="48">
        <v>1581</v>
      </c>
      <c r="R748" s="48">
        <v>593</v>
      </c>
      <c r="S748" s="48" t="s">
        <v>35</v>
      </c>
      <c r="T748" s="48"/>
      <c r="U748" s="49"/>
      <c r="V748" s="49"/>
      <c r="W748" s="50">
        <f t="shared" si="101"/>
        <v>0</v>
      </c>
      <c r="X748" s="51" t="str">
        <f>IF(A748="", "", IF(COUNTIFS(C$3:C747, C748, D$3:D747, D748, G$3:G747, G748) &gt; 0, "", "11:00"-AW748))</f>
        <v/>
      </c>
      <c r="Y748" s="52" t="str">
        <f t="shared" si="107"/>
        <v/>
      </c>
      <c r="Z748" s="53"/>
      <c r="AA748" s="54"/>
      <c r="AB748" s="53"/>
      <c r="AC748" s="54"/>
      <c r="AD748" s="53"/>
      <c r="AE748" s="54"/>
      <c r="AF748" s="53"/>
      <c r="AG748" s="54"/>
      <c r="AH748" s="55">
        <v>4.1666666666666699E-2</v>
      </c>
      <c r="AI748" s="53"/>
      <c r="AJ748" s="54"/>
      <c r="AK748" s="53"/>
      <c r="AL748" s="54"/>
      <c r="AM748" s="53"/>
      <c r="AN748" s="54"/>
      <c r="AO748" s="53"/>
      <c r="AP748" s="54"/>
      <c r="AQ748" s="53"/>
      <c r="AR748" s="54"/>
      <c r="AS748" s="53"/>
      <c r="AT748" s="54"/>
      <c r="AU748" s="53">
        <v>4.1666666666666699E-2</v>
      </c>
      <c r="AV748" s="54" t="s">
        <v>37</v>
      </c>
      <c r="AW748" s="57">
        <f t="shared" si="109"/>
        <v>4.1666666666666699E-2</v>
      </c>
      <c r="AX748" s="58" t="s">
        <v>109</v>
      </c>
    </row>
    <row r="749" spans="1:50" ht="21.75" customHeight="1">
      <c r="A749" s="66" t="s">
        <v>685</v>
      </c>
      <c r="B749" s="39">
        <f t="shared" si="108"/>
        <v>745</v>
      </c>
      <c r="C749" s="40">
        <v>46040</v>
      </c>
      <c r="D749" s="40" t="s">
        <v>80</v>
      </c>
      <c r="E749" s="40" t="s">
        <v>81</v>
      </c>
      <c r="F749" s="41">
        <v>278</v>
      </c>
      <c r="G749" s="42" t="s">
        <v>46</v>
      </c>
      <c r="H749" s="43" t="str">
        <f>IFERROR(VLOOKUP($J749,'[9]FROM (3)'!$E$4:$F$230,2,FALSE),"")</f>
        <v>SIAM NSK</v>
      </c>
      <c r="I749" s="44" t="str">
        <f t="shared" si="105"/>
        <v>SHAFT SPLINE</v>
      </c>
      <c r="J749" s="44" t="str">
        <f t="shared" si="106"/>
        <v>2550T0749P</v>
      </c>
      <c r="K749" s="59" t="str">
        <f t="shared" si="103"/>
        <v>PD26010503</v>
      </c>
      <c r="L749" s="46" t="str" cm="1">
        <f t="array" ref="L749">IFERROR(_xlfn.IFS(
    LEN($A749)-LEN(SUBSTITUTE($A749,"|",""))=12, RIGHT(A749, LEN(A749)-FIND("~", SUBSTITUTE(A749,"|","~", LEN(A749)-LEN(SUBSTITUTE(A749,"|",""))))),
    LEN($A749)-LEN(SUBSTITUTE($A749,"|",""))=13, MID($A749, FIND("~", SUBSTITUTE($A749,"|","~", 11))+1, FIND("~", SUBSTITUTE($A749,"|","~", 12))-FIND("~", SUBSTITUTE($A749,"|","~", 11))-1),
    LEN($A749)-LEN(SUBSTITUTE($A749,"|",""))=14, MID($A749, FIND("~", SUBSTITUTE($A749,"|","~", 11))+1, FIND("~", SUBSTITUTE($A749,"|","~", 12))-FIND("~", SUBSTITUTE($A749,"|","~", 11))-1)
), "")</f>
        <v>SF93402</v>
      </c>
      <c r="M749" s="47" t="str">
        <f t="shared" si="102"/>
        <v>SB010049/3/26</v>
      </c>
      <c r="N749" s="46" t="str">
        <f t="shared" si="104"/>
        <v/>
      </c>
      <c r="O749" s="60" t="s">
        <v>35</v>
      </c>
      <c r="P749" s="60" t="s">
        <v>35</v>
      </c>
      <c r="Q749" s="48">
        <v>1771</v>
      </c>
      <c r="R749" s="48">
        <v>1012</v>
      </c>
      <c r="S749" s="48" t="s">
        <v>35</v>
      </c>
      <c r="T749" s="48"/>
      <c r="U749" s="49">
        <v>116</v>
      </c>
      <c r="V749" s="49">
        <v>22</v>
      </c>
      <c r="W749" s="50">
        <f t="shared" si="101"/>
        <v>138</v>
      </c>
      <c r="X749" s="51">
        <f>IF(A749="", "", IF(COUNTIFS(C$3:C748, C749, D$3:D748, D749, G$3:G748, G749) &gt; 0, "", "11:00"-AW749))</f>
        <v>0.41666666666666663</v>
      </c>
      <c r="Y749" s="52" t="str">
        <f t="shared" si="107"/>
        <v>1:40</v>
      </c>
      <c r="Z749" s="53"/>
      <c r="AA749" s="54"/>
      <c r="AB749" s="53"/>
      <c r="AC749" s="54"/>
      <c r="AD749" s="53"/>
      <c r="AE749" s="54"/>
      <c r="AF749" s="53"/>
      <c r="AG749" s="54"/>
      <c r="AH749" s="55">
        <v>4.1666666666666699E-2</v>
      </c>
      <c r="AI749" s="53"/>
      <c r="AJ749" s="54"/>
      <c r="AK749" s="53"/>
      <c r="AL749" s="54"/>
      <c r="AM749" s="53"/>
      <c r="AN749" s="54"/>
      <c r="AO749" s="53"/>
      <c r="AP749" s="54"/>
      <c r="AQ749" s="53"/>
      <c r="AR749" s="54"/>
      <c r="AS749" s="53"/>
      <c r="AT749" s="54"/>
      <c r="AU749" s="53">
        <v>4.1666666666666699E-2</v>
      </c>
      <c r="AV749" s="54" t="s">
        <v>37</v>
      </c>
      <c r="AW749" s="57">
        <f t="shared" si="109"/>
        <v>4.1666666666666699E-2</v>
      </c>
      <c r="AX749" s="58" t="s">
        <v>109</v>
      </c>
    </row>
    <row r="750" spans="1:50" ht="21.75" customHeight="1">
      <c r="A750" s="66" t="s">
        <v>655</v>
      </c>
      <c r="B750" s="39">
        <f t="shared" si="108"/>
        <v>746</v>
      </c>
      <c r="C750" s="40">
        <v>46040</v>
      </c>
      <c r="D750" s="40" t="s">
        <v>80</v>
      </c>
      <c r="E750" s="40" t="s">
        <v>81</v>
      </c>
      <c r="F750" s="41">
        <v>278</v>
      </c>
      <c r="G750" s="42" t="s">
        <v>46</v>
      </c>
      <c r="H750" s="43" t="str">
        <f>IFERROR(VLOOKUP($J750,'[9]FROM (3)'!$E$4:$F$230,2,FALSE),"")</f>
        <v>SIAM NSK</v>
      </c>
      <c r="I750" s="44" t="str">
        <f t="shared" si="105"/>
        <v>SHAFT SPLINE</v>
      </c>
      <c r="J750" s="44" t="str">
        <f t="shared" si="106"/>
        <v>2550T0749P</v>
      </c>
      <c r="K750" s="59" t="str">
        <f t="shared" si="103"/>
        <v>PD26010504</v>
      </c>
      <c r="L750" s="46" t="str" cm="1">
        <f t="array" ref="L750">IFERROR(_xlfn.IFS(
    LEN($A750)-LEN(SUBSTITUTE($A750,"|",""))=12, RIGHT(A750, LEN(A750)-FIND("~", SUBSTITUTE(A750,"|","~", LEN(A750)-LEN(SUBSTITUTE(A750,"|",""))))),
    LEN($A750)-LEN(SUBSTITUTE($A750,"|",""))=13, MID($A750, FIND("~", SUBSTITUTE($A750,"|","~", 11))+1, FIND("~", SUBSTITUTE($A750,"|","~", 12))-FIND("~", SUBSTITUTE($A750,"|","~", 11))-1),
    LEN($A750)-LEN(SUBSTITUTE($A750,"|",""))=14, MID($A750, FIND("~", SUBSTITUTE($A750,"|","~", 11))+1, FIND("~", SUBSTITUTE($A750,"|","~", 12))-FIND("~", SUBSTITUTE($A750,"|","~", 11))-1)
), "")</f>
        <v>SF93402</v>
      </c>
      <c r="M750" s="47" t="str">
        <f t="shared" si="102"/>
        <v>SB010049/5/26</v>
      </c>
      <c r="N750" s="46" t="str">
        <f t="shared" si="104"/>
        <v/>
      </c>
      <c r="O750" s="60">
        <v>107</v>
      </c>
      <c r="P750" s="60">
        <v>1027</v>
      </c>
      <c r="Q750" s="48">
        <v>1400</v>
      </c>
      <c r="R750" s="48">
        <v>80</v>
      </c>
      <c r="S750" s="48" t="s">
        <v>35</v>
      </c>
      <c r="T750" s="48"/>
      <c r="U750" s="49"/>
      <c r="V750" s="49"/>
      <c r="W750" s="50">
        <f t="shared" si="101"/>
        <v>0</v>
      </c>
      <c r="X750" s="51" t="str">
        <f>IF(A750="", "", IF(COUNTIFS(C$3:C749, C750, D$3:D749, D750, G$3:G749, G750) &gt; 0, "", "11:00"-AW750))</f>
        <v/>
      </c>
      <c r="Y750" s="52" t="str">
        <f t="shared" si="107"/>
        <v/>
      </c>
      <c r="Z750" s="53"/>
      <c r="AA750" s="54"/>
      <c r="AB750" s="53"/>
      <c r="AC750" s="54"/>
      <c r="AD750" s="53"/>
      <c r="AE750" s="54"/>
      <c r="AF750" s="53"/>
      <c r="AG750" s="54"/>
      <c r="AH750" s="55">
        <v>4.1666666666666699E-2</v>
      </c>
      <c r="AI750" s="53"/>
      <c r="AJ750" s="54"/>
      <c r="AK750" s="53"/>
      <c r="AL750" s="54"/>
      <c r="AM750" s="53"/>
      <c r="AN750" s="54"/>
      <c r="AO750" s="53"/>
      <c r="AP750" s="54"/>
      <c r="AQ750" s="53"/>
      <c r="AR750" s="54"/>
      <c r="AS750" s="53"/>
      <c r="AT750" s="54"/>
      <c r="AU750" s="53">
        <v>4.1666666666666699E-2</v>
      </c>
      <c r="AV750" s="54" t="s">
        <v>37</v>
      </c>
      <c r="AW750" s="57">
        <f t="shared" si="109"/>
        <v>4.1666666666666699E-2</v>
      </c>
      <c r="AX750" s="58" t="s">
        <v>109</v>
      </c>
    </row>
    <row r="751" spans="1:50" ht="21.75" customHeight="1">
      <c r="A751" s="66" t="s">
        <v>686</v>
      </c>
      <c r="B751" s="39">
        <f t="shared" si="108"/>
        <v>747</v>
      </c>
      <c r="C751" s="40">
        <v>46041</v>
      </c>
      <c r="D751" s="40" t="s">
        <v>80</v>
      </c>
      <c r="E751" s="40" t="s">
        <v>81</v>
      </c>
      <c r="F751" s="41">
        <v>402.5</v>
      </c>
      <c r="G751" s="42" t="s">
        <v>34</v>
      </c>
      <c r="H751" s="43" t="str">
        <f>IFERROR(VLOOKUP($J751,'[9]FROM (3)'!$E$4:$F$230,2,FALSE),"")</f>
        <v>KYOWA GMB</v>
      </c>
      <c r="I751" s="44" t="str">
        <f t="shared" si="105"/>
        <v>SPLINE SHAFT FORGING DRAWING WITH FLANGE</v>
      </c>
      <c r="J751" s="44" t="str">
        <f t="shared" si="106"/>
        <v>HIS18-ZZ-014CCF</v>
      </c>
      <c r="K751" s="59" t="str">
        <f t="shared" si="103"/>
        <v>PD26010715</v>
      </c>
      <c r="L751" s="46" t="str" cm="1">
        <f t="array" ref="L751">IFERROR(_xlfn.IFS(
    LEN($A751)-LEN(SUBSTITUTE($A751,"|",""))=12, RIGHT(A751, LEN(A751)-FIND("~", SUBSTITUTE(A751,"|","~", LEN(A751)-LEN(SUBSTITUTE(A751,"|",""))))),
    LEN($A751)-LEN(SUBSTITUTE($A751,"|",""))=13, MID($A751, FIND("~", SUBSTITUTE($A751,"|","~", 11))+1, FIND("~", SUBSTITUTE($A751,"|","~", 12))-FIND("~", SUBSTITUTE($A751,"|","~", 11))-1),
    LEN($A751)-LEN(SUBSTITUTE($A751,"|",""))=14, MID($A751, FIND("~", SUBSTITUTE($A751,"|","~", 11))+1, FIND("~", SUBSTITUTE($A751,"|","~", 12))-FIND("~", SUBSTITUTE($A751,"|","~", 11))-1)
), "")</f>
        <v>665904</v>
      </c>
      <c r="M751" s="47" t="str">
        <f t="shared" si="102"/>
        <v>SB010019/2/26</v>
      </c>
      <c r="N751" s="46" t="str">
        <f t="shared" si="104"/>
        <v/>
      </c>
      <c r="O751" s="60"/>
      <c r="P751" s="60"/>
      <c r="Q751" s="48">
        <v>2347</v>
      </c>
      <c r="R751" s="48">
        <v>945</v>
      </c>
      <c r="S751" s="48"/>
      <c r="T751" s="48"/>
      <c r="U751" s="49">
        <v>78</v>
      </c>
      <c r="V751" s="49">
        <v>18</v>
      </c>
      <c r="W751" s="50">
        <f t="shared" ref="W751:W814" si="110">SUM(U751:V751)</f>
        <v>96</v>
      </c>
      <c r="X751" s="51">
        <f>IF(A751="", "", IF(COUNTIFS(C$3:C750, C751, D$3:D750, D751, G$3:G750, G751) &gt; 0, "", "11:00"-AW751))</f>
        <v>0.41666666666666663</v>
      </c>
      <c r="Y751" s="52" t="str">
        <f t="shared" si="107"/>
        <v>1:40</v>
      </c>
      <c r="Z751" s="53"/>
      <c r="AA751" s="54"/>
      <c r="AB751" s="53"/>
      <c r="AC751" s="54"/>
      <c r="AD751" s="53"/>
      <c r="AE751" s="54"/>
      <c r="AF751" s="53"/>
      <c r="AG751" s="54"/>
      <c r="AH751" s="55">
        <v>4.1666666666666699E-2</v>
      </c>
      <c r="AI751" s="53"/>
      <c r="AJ751" s="54"/>
      <c r="AK751" s="53"/>
      <c r="AL751" s="54"/>
      <c r="AM751" s="53"/>
      <c r="AN751" s="54"/>
      <c r="AO751" s="53"/>
      <c r="AP751" s="54"/>
      <c r="AQ751" s="53"/>
      <c r="AR751" s="54"/>
      <c r="AS751" s="53"/>
      <c r="AT751" s="54"/>
      <c r="AU751" s="53">
        <v>4.1666666666666699E-2</v>
      </c>
      <c r="AV751" s="54" t="s">
        <v>37</v>
      </c>
      <c r="AW751" s="57">
        <f t="shared" si="109"/>
        <v>4.1666666666666699E-2</v>
      </c>
      <c r="AX751" s="58" t="s">
        <v>203</v>
      </c>
    </row>
    <row r="752" spans="1:50" ht="21.75" customHeight="1">
      <c r="A752" s="66" t="s">
        <v>687</v>
      </c>
      <c r="B752" s="39">
        <f t="shared" si="108"/>
        <v>748</v>
      </c>
      <c r="C752" s="40">
        <v>46041</v>
      </c>
      <c r="D752" s="40" t="s">
        <v>80</v>
      </c>
      <c r="E752" s="40" t="s">
        <v>81</v>
      </c>
      <c r="F752" s="41">
        <v>316.39999999999998</v>
      </c>
      <c r="G752" s="42" t="s">
        <v>34</v>
      </c>
      <c r="H752" s="43" t="str">
        <f>IFERROR(VLOOKUP($J752,'[9]FROM (3)'!$E$4:$F$230,2,FALSE),"")</f>
        <v>YS TECH</v>
      </c>
      <c r="I752" s="44" t="str">
        <f t="shared" si="105"/>
        <v>RACE-INR 1ST GEAR</v>
      </c>
      <c r="J752" s="44" t="str">
        <f t="shared" si="106"/>
        <v>32262-CD70A</v>
      </c>
      <c r="K752" s="59" t="str">
        <f t="shared" si="103"/>
        <v>PD26010818</v>
      </c>
      <c r="L752" s="46" t="str" cm="1">
        <f t="array" ref="L752">IFERROR(_xlfn.IFS(
    LEN($A752)-LEN(SUBSTITUTE($A752,"|",""))=12, RIGHT(A752, LEN(A752)-FIND("~", SUBSTITUTE(A752,"|","~", LEN(A752)-LEN(SUBSTITUTE(A752,"|",""))))),
    LEN($A752)-LEN(SUBSTITUTE($A752,"|",""))=13, MID($A752, FIND("~", SUBSTITUTE($A752,"|","~", 11))+1, FIND("~", SUBSTITUTE($A752,"|","~", 12))-FIND("~", SUBSTITUTE($A752,"|","~", 11))-1),
    LEN($A752)-LEN(SUBSTITUTE($A752,"|",""))=14, MID($A752, FIND("~", SUBSTITUTE($A752,"|","~", 11))+1, FIND("~", SUBSTITUTE($A752,"|","~", 12))-FIND("~", SUBSTITUTE($A752,"|","~", 11))-1)
), "")</f>
        <v>E276629</v>
      </c>
      <c r="M752" s="47" t="str">
        <f t="shared" si="102"/>
        <v>SB010100/1/26</v>
      </c>
      <c r="N752" s="46" t="str">
        <f t="shared" si="104"/>
        <v/>
      </c>
      <c r="O752" s="60">
        <v>20</v>
      </c>
      <c r="P752" s="60">
        <v>1960</v>
      </c>
      <c r="Q752" s="48">
        <v>765</v>
      </c>
      <c r="R752" s="48">
        <v>242</v>
      </c>
      <c r="S752" s="48"/>
      <c r="T752" s="48"/>
      <c r="U752" s="49"/>
      <c r="V752" s="49"/>
      <c r="W752" s="50">
        <f t="shared" si="110"/>
        <v>0</v>
      </c>
      <c r="X752" s="51" t="str">
        <f>IF(A752="", "", IF(COUNTIFS(C$3:C751, C752, D$3:D751, D752, G$3:G751, G752) &gt; 0, "", "11:00"-AW752))</f>
        <v/>
      </c>
      <c r="Y752" s="52" t="str">
        <f t="shared" si="107"/>
        <v/>
      </c>
      <c r="Z752" s="53"/>
      <c r="AA752" s="54"/>
      <c r="AB752" s="53"/>
      <c r="AC752" s="54"/>
      <c r="AD752" s="53"/>
      <c r="AE752" s="54"/>
      <c r="AF752" s="53"/>
      <c r="AG752" s="54"/>
      <c r="AH752" s="55">
        <v>4.1666666666666699E-2</v>
      </c>
      <c r="AI752" s="53"/>
      <c r="AJ752" s="54"/>
      <c r="AK752" s="53"/>
      <c r="AL752" s="54"/>
      <c r="AM752" s="53">
        <v>2.0833333333333332E-2</v>
      </c>
      <c r="AN752" s="54" t="s">
        <v>67</v>
      </c>
      <c r="AO752" s="53"/>
      <c r="AP752" s="54"/>
      <c r="AQ752" s="53"/>
      <c r="AR752" s="54"/>
      <c r="AS752" s="53"/>
      <c r="AT752" s="54"/>
      <c r="AU752" s="53">
        <v>4.1666666666666699E-2</v>
      </c>
      <c r="AV752" s="54" t="s">
        <v>37</v>
      </c>
      <c r="AW752" s="57">
        <f t="shared" si="109"/>
        <v>6.2500000000000028E-2</v>
      </c>
      <c r="AX752" s="58" t="s">
        <v>203</v>
      </c>
    </row>
    <row r="753" spans="1:50" ht="21.75" customHeight="1">
      <c r="A753" s="66" t="s">
        <v>652</v>
      </c>
      <c r="B753" s="39">
        <f t="shared" si="108"/>
        <v>749</v>
      </c>
      <c r="C753" s="40">
        <v>46041</v>
      </c>
      <c r="D753" s="40" t="s">
        <v>80</v>
      </c>
      <c r="E753" s="40" t="s">
        <v>81</v>
      </c>
      <c r="F753" s="41">
        <v>24</v>
      </c>
      <c r="G753" s="42" t="s">
        <v>41</v>
      </c>
      <c r="H753" s="43" t="str">
        <f>IFERROR(VLOOKUP($J753,'[9]FROM (3)'!$E$4:$F$230,2,FALSE),"")</f>
        <v>DNTH</v>
      </c>
      <c r="I753" s="44" t="str">
        <f t="shared" si="105"/>
        <v>PINION STARTER 2W</v>
      </c>
      <c r="J753" s="44" t="str">
        <f t="shared" si="106"/>
        <v>TG028987-7870</v>
      </c>
      <c r="K753" s="59" t="str">
        <f t="shared" si="103"/>
        <v>PD26010718</v>
      </c>
      <c r="L753" s="46" t="str" cm="1">
        <f t="array" ref="L753">IFERROR(_xlfn.IFS(
    LEN($A753)-LEN(SUBSTITUTE($A753,"|",""))=12, RIGHT(A753, LEN(A753)-FIND("~", SUBSTITUTE(A753,"|","~", LEN(A753)-LEN(SUBSTITUTE(A753,"|",""))))),
    LEN($A753)-LEN(SUBSTITUTE($A753,"|",""))=13, MID($A753, FIND("~", SUBSTITUTE($A753,"|","~", 11))+1, FIND("~", SUBSTITUTE($A753,"|","~", 12))-FIND("~", SUBSTITUTE($A753,"|","~", 11))-1),
    LEN($A753)-LEN(SUBSTITUTE($A753,"|",""))=14, MID($A753, FIND("~", SUBSTITUTE($A753,"|","~", 11))+1, FIND("~", SUBSTITUTE($A753,"|","~", 12))-FIND("~", SUBSTITUTE($A753,"|","~", 11))-1)
), "")</f>
        <v>E586666</v>
      </c>
      <c r="M753" s="47" t="str">
        <f t="shared" si="102"/>
        <v>SB010080/1/26</v>
      </c>
      <c r="N753" s="46" t="str">
        <f t="shared" si="104"/>
        <v/>
      </c>
      <c r="O753" s="60"/>
      <c r="P753" s="60"/>
      <c r="Q753" s="48">
        <v>914</v>
      </c>
      <c r="R753" s="48">
        <v>262</v>
      </c>
      <c r="S753" s="48"/>
      <c r="T753" s="48"/>
      <c r="U753" s="49">
        <v>27</v>
      </c>
      <c r="V753" s="49">
        <v>72</v>
      </c>
      <c r="W753" s="50">
        <f t="shared" si="110"/>
        <v>99</v>
      </c>
      <c r="X753" s="51">
        <f>IF(A753="", "", IF(COUNTIFS(C$3:C752, C753, D$3:D752, D753, G$3:G752, G753) &gt; 0, "", "11:00"-AW753))</f>
        <v>0.41666666666666663</v>
      </c>
      <c r="Y753" s="52" t="str">
        <f t="shared" si="107"/>
        <v>1:40</v>
      </c>
      <c r="Z753" s="53"/>
      <c r="AA753" s="54"/>
      <c r="AB753" s="53"/>
      <c r="AC753" s="54"/>
      <c r="AD753" s="53"/>
      <c r="AE753" s="54"/>
      <c r="AF753" s="53"/>
      <c r="AG753" s="54"/>
      <c r="AH753" s="55">
        <v>4.1666666666666699E-2</v>
      </c>
      <c r="AI753" s="53"/>
      <c r="AJ753" s="54"/>
      <c r="AK753" s="53"/>
      <c r="AL753" s="54"/>
      <c r="AM753" s="53"/>
      <c r="AN753" s="54"/>
      <c r="AO753" s="53"/>
      <c r="AP753" s="54"/>
      <c r="AQ753" s="53"/>
      <c r="AR753" s="54"/>
      <c r="AS753" s="53"/>
      <c r="AT753" s="54"/>
      <c r="AU753" s="53">
        <v>4.1666666666666699E-2</v>
      </c>
      <c r="AV753" s="54" t="s">
        <v>37</v>
      </c>
      <c r="AW753" s="57">
        <f t="shared" si="109"/>
        <v>4.1666666666666699E-2</v>
      </c>
      <c r="AX753" s="58" t="s">
        <v>203</v>
      </c>
    </row>
    <row r="754" spans="1:50" ht="21.75" customHeight="1">
      <c r="A754" s="66" t="s">
        <v>650</v>
      </c>
      <c r="B754" s="39">
        <f t="shared" si="108"/>
        <v>750</v>
      </c>
      <c r="C754" s="40">
        <v>46041</v>
      </c>
      <c r="D754" s="40" t="s">
        <v>80</v>
      </c>
      <c r="E754" s="40" t="s">
        <v>81</v>
      </c>
      <c r="F754" s="41">
        <v>630.4</v>
      </c>
      <c r="G754" s="42" t="s">
        <v>54</v>
      </c>
      <c r="H754" s="43" t="str">
        <f>IFERROR(VLOOKUP($J754,'[9]FROM (3)'!$E$4:$F$230,2,FALSE),"")</f>
        <v>JTCS</v>
      </c>
      <c r="I754" s="44" t="str">
        <f t="shared" si="105"/>
        <v>RACK, MS</v>
      </c>
      <c r="J754" s="44" t="str">
        <f t="shared" si="106"/>
        <v>JGC10-003140-40-0</v>
      </c>
      <c r="K754" s="59" t="str">
        <f t="shared" si="103"/>
        <v>PD26010758</v>
      </c>
      <c r="L754" s="46" t="str" cm="1">
        <f t="array" ref="L754">IFERROR(_xlfn.IFS(
    LEN($A754)-LEN(SUBSTITUTE($A754,"|",""))=12, RIGHT(A754, LEN(A754)-FIND("~", SUBSTITUTE(A754,"|","~", LEN(A754)-LEN(SUBSTITUTE(A754,"|",""))))),
    LEN($A754)-LEN(SUBSTITUTE($A754,"|",""))=13, MID($A754, FIND("~", SUBSTITUTE($A754,"|","~", 11))+1, FIND("~", SUBSTITUTE($A754,"|","~", 12))-FIND("~", SUBSTITUTE($A754,"|","~", 11))-1),
    LEN($A754)-LEN(SUBSTITUTE($A754,"|",""))=14, MID($A754, FIND("~", SUBSTITUTE($A754,"|","~", 11))+1, FIND("~", SUBSTITUTE($A754,"|","~", 12))-FIND("~", SUBSTITUTE($A754,"|","~", 11))-1)
), "")</f>
        <v>E586613</v>
      </c>
      <c r="M754" s="47" t="str">
        <f t="shared" si="102"/>
        <v>SB010067/3/26</v>
      </c>
      <c r="N754" s="46" t="str">
        <f t="shared" si="104"/>
        <v/>
      </c>
      <c r="O754" s="60" t="s">
        <v>35</v>
      </c>
      <c r="P754" s="60" t="s">
        <v>35</v>
      </c>
      <c r="Q754" s="48">
        <v>269</v>
      </c>
      <c r="R754" s="48">
        <v>706</v>
      </c>
      <c r="S754" s="48"/>
      <c r="T754" s="48"/>
      <c r="U754" s="49"/>
      <c r="V754" s="49"/>
      <c r="W754" s="50">
        <f t="shared" si="110"/>
        <v>0</v>
      </c>
      <c r="X754" s="51">
        <f>IF(A754="", "", IF(COUNTIFS(C$3:C753, C754, D$3:D753, D754, G$3:G753, G754) &gt; 0, "", "11:00"-AW754))</f>
        <v>0.37499999999999994</v>
      </c>
      <c r="Y754" s="52" t="str">
        <f t="shared" si="107"/>
        <v>1:40</v>
      </c>
      <c r="Z754" s="53"/>
      <c r="AA754" s="54"/>
      <c r="AB754" s="53"/>
      <c r="AC754" s="54"/>
      <c r="AD754" s="53"/>
      <c r="AE754" s="54"/>
      <c r="AF754" s="53"/>
      <c r="AG754" s="54"/>
      <c r="AH754" s="55">
        <v>4.1666666666666699E-2</v>
      </c>
      <c r="AI754" s="53"/>
      <c r="AJ754" s="54"/>
      <c r="AK754" s="53">
        <v>4.1666666666666664E-2</v>
      </c>
      <c r="AL754" s="54" t="s">
        <v>67</v>
      </c>
      <c r="AM754" s="53"/>
      <c r="AN754" s="54"/>
      <c r="AO754" s="53"/>
      <c r="AP754" s="54"/>
      <c r="AQ754" s="53"/>
      <c r="AR754" s="54"/>
      <c r="AS754" s="53"/>
      <c r="AT754" s="54"/>
      <c r="AU754" s="53">
        <v>4.1666666666666699E-2</v>
      </c>
      <c r="AV754" s="54" t="s">
        <v>37</v>
      </c>
      <c r="AW754" s="57">
        <f t="shared" si="109"/>
        <v>8.333333333333337E-2</v>
      </c>
      <c r="AX754" s="58" t="s">
        <v>91</v>
      </c>
    </row>
    <row r="755" spans="1:50" ht="21.75" customHeight="1">
      <c r="A755" s="66" t="s">
        <v>688</v>
      </c>
      <c r="B755" s="39">
        <f t="shared" si="108"/>
        <v>751</v>
      </c>
      <c r="C755" s="40">
        <v>46041</v>
      </c>
      <c r="D755" s="40" t="s">
        <v>80</v>
      </c>
      <c r="E755" s="40" t="s">
        <v>81</v>
      </c>
      <c r="F755" s="41">
        <v>630.4</v>
      </c>
      <c r="G755" s="42" t="s">
        <v>54</v>
      </c>
      <c r="H755" s="43" t="str">
        <f>IFERROR(VLOOKUP($J755,'[9]FROM (3)'!$E$4:$F$230,2,FALSE),"")</f>
        <v>JTCS</v>
      </c>
      <c r="I755" s="44" t="str">
        <f t="shared" si="105"/>
        <v>RACK, MS</v>
      </c>
      <c r="J755" s="44" t="str">
        <f t="shared" si="106"/>
        <v>JGC10-003140-40-0</v>
      </c>
      <c r="K755" s="59" t="str">
        <f t="shared" si="103"/>
        <v>PD26010758</v>
      </c>
      <c r="L755" s="46" t="str" cm="1">
        <f t="array" ref="L755">IFERROR(_xlfn.IFS(
    LEN($A755)-LEN(SUBSTITUTE($A755,"|",""))=12, RIGHT(A755, LEN(A755)-FIND("~", SUBSTITUTE(A755,"|","~", LEN(A755)-LEN(SUBSTITUTE(A755,"|",""))))),
    LEN($A755)-LEN(SUBSTITUTE($A755,"|",""))=13, MID($A755, FIND("~", SUBSTITUTE($A755,"|","~", 11))+1, FIND("~", SUBSTITUTE($A755,"|","~", 12))-FIND("~", SUBSTITUTE($A755,"|","~", 11))-1),
    LEN($A755)-LEN(SUBSTITUTE($A755,"|",""))=14, MID($A755, FIND("~", SUBSTITUTE($A755,"|","~", 11))+1, FIND("~", SUBSTITUTE($A755,"|","~", 12))-FIND("~", SUBSTITUTE($A755,"|","~", 11))-1)
), "")</f>
        <v>E586613</v>
      </c>
      <c r="M755" s="47" t="str">
        <f t="shared" si="102"/>
        <v>SB010067/4/26</v>
      </c>
      <c r="N755" s="46" t="str">
        <f t="shared" si="104"/>
        <v/>
      </c>
      <c r="O755" s="60">
        <v>60</v>
      </c>
      <c r="P755" s="60">
        <v>870</v>
      </c>
      <c r="Q755" s="48">
        <v>300</v>
      </c>
      <c r="R755" s="48">
        <v>788</v>
      </c>
      <c r="S755" s="48"/>
      <c r="T755" s="48"/>
      <c r="U755" s="49">
        <v>150</v>
      </c>
      <c r="V755" s="49">
        <v>6</v>
      </c>
      <c r="W755" s="50">
        <f t="shared" si="110"/>
        <v>156</v>
      </c>
      <c r="X755" s="51" t="str">
        <f>IF(A755="", "", IF(COUNTIFS(C$3:C754, C755, D$3:D754, D755, G$3:G754, G755) &gt; 0, "", "11:00"-AW755))</f>
        <v/>
      </c>
      <c r="Y755" s="52" t="str">
        <f t="shared" si="107"/>
        <v/>
      </c>
      <c r="Z755" s="53"/>
      <c r="AA755" s="54"/>
      <c r="AB755" s="53"/>
      <c r="AC755" s="54"/>
      <c r="AD755" s="53"/>
      <c r="AE755" s="54"/>
      <c r="AF755" s="53"/>
      <c r="AG755" s="54"/>
      <c r="AH755" s="55">
        <v>4.1666666666666699E-2</v>
      </c>
      <c r="AI755" s="53"/>
      <c r="AJ755" s="54"/>
      <c r="AK755" s="53"/>
      <c r="AL755" s="54"/>
      <c r="AM755" s="53"/>
      <c r="AN755" s="54"/>
      <c r="AO755" s="53"/>
      <c r="AP755" s="54"/>
      <c r="AQ755" s="53"/>
      <c r="AR755" s="54"/>
      <c r="AS755" s="53"/>
      <c r="AT755" s="54"/>
      <c r="AU755" s="53">
        <v>4.1666666666666699E-2</v>
      </c>
      <c r="AV755" s="54" t="s">
        <v>37</v>
      </c>
      <c r="AW755" s="57">
        <f t="shared" si="109"/>
        <v>4.1666666666666699E-2</v>
      </c>
      <c r="AX755" s="58" t="s">
        <v>91</v>
      </c>
    </row>
    <row r="756" spans="1:50" ht="21.75" customHeight="1">
      <c r="A756" s="66" t="s">
        <v>689</v>
      </c>
      <c r="B756" s="39">
        <f t="shared" si="108"/>
        <v>752</v>
      </c>
      <c r="C756" s="40">
        <v>46041</v>
      </c>
      <c r="D756" s="40" t="s">
        <v>80</v>
      </c>
      <c r="E756" s="40" t="s">
        <v>81</v>
      </c>
      <c r="F756" s="41">
        <v>719.6</v>
      </c>
      <c r="G756" s="42" t="s">
        <v>54</v>
      </c>
      <c r="H756" s="43" t="str">
        <f>IFERROR(VLOOKUP($J756,'[9]FROM (3)'!$E$4:$F$230,2,FALSE),"")</f>
        <v>JAMY</v>
      </c>
      <c r="I756" s="44" t="str">
        <f t="shared" si="105"/>
        <v>RACK BAR</v>
      </c>
      <c r="J756" s="44" t="str">
        <f t="shared" si="106"/>
        <v>JGD10S000830-51-0</v>
      </c>
      <c r="K756" s="59" t="str">
        <f t="shared" si="103"/>
        <v>PD26010677</v>
      </c>
      <c r="L756" s="46" t="str" cm="1">
        <f t="array" ref="L756">IFERROR(_xlfn.IFS(
    LEN($A756)-LEN(SUBSTITUTE($A756,"|",""))=12, RIGHT(A756, LEN(A756)-FIND("~", SUBSTITUTE(A756,"|","~", LEN(A756)-LEN(SUBSTITUTE(A756,"|",""))))),
    LEN($A756)-LEN(SUBSTITUTE($A756,"|",""))=13, MID($A756, FIND("~", SUBSTITUTE($A756,"|","~", 11))+1, FIND("~", SUBSTITUTE($A756,"|","~", 12))-FIND("~", SUBSTITUTE($A756,"|","~", 11))-1),
    LEN($A756)-LEN(SUBSTITUTE($A756,"|",""))=14, MID($A756, FIND("~", SUBSTITUTE($A756,"|","~", 11))+1, FIND("~", SUBSTITUTE($A756,"|","~", 12))-FIND("~", SUBSTITUTE($A756,"|","~", 11))-1)
), "")</f>
        <v>E586442</v>
      </c>
      <c r="M756" s="47" t="str">
        <f t="shared" si="102"/>
        <v>SB010075/6/26</v>
      </c>
      <c r="N756" s="46" t="str">
        <f t="shared" si="104"/>
        <v/>
      </c>
      <c r="O756" s="60">
        <v>50</v>
      </c>
      <c r="P756" s="60">
        <v>864</v>
      </c>
      <c r="Q756" s="48">
        <v>200</v>
      </c>
      <c r="R756" s="48">
        <v>812</v>
      </c>
      <c r="S756" s="48"/>
      <c r="T756" s="48"/>
      <c r="U756" s="49"/>
      <c r="V756" s="49"/>
      <c r="W756" s="50">
        <f t="shared" si="110"/>
        <v>0</v>
      </c>
      <c r="X756" s="51" t="str">
        <f>IF(A756="", "", IF(COUNTIFS(C$3:C755, C756, D$3:D755, D756, G$3:G755, G756) &gt; 0, "", "11:00"-AW756))</f>
        <v/>
      </c>
      <c r="Y756" s="52" t="str">
        <f t="shared" si="107"/>
        <v/>
      </c>
      <c r="Z756" s="53"/>
      <c r="AA756" s="54"/>
      <c r="AB756" s="53"/>
      <c r="AC756" s="54"/>
      <c r="AD756" s="53"/>
      <c r="AE756" s="54"/>
      <c r="AF756" s="53"/>
      <c r="AG756" s="54"/>
      <c r="AH756" s="55">
        <v>4.1666666666666699E-2</v>
      </c>
      <c r="AI756" s="53"/>
      <c r="AJ756" s="54"/>
      <c r="AK756" s="53"/>
      <c r="AL756" s="54"/>
      <c r="AM756" s="53"/>
      <c r="AN756" s="54"/>
      <c r="AO756" s="53"/>
      <c r="AP756" s="54"/>
      <c r="AQ756" s="53"/>
      <c r="AR756" s="54"/>
      <c r="AS756" s="53"/>
      <c r="AT756" s="54"/>
      <c r="AU756" s="53">
        <v>4.1666666666666699E-2</v>
      </c>
      <c r="AV756" s="54" t="s">
        <v>37</v>
      </c>
      <c r="AW756" s="57">
        <f t="shared" si="109"/>
        <v>4.1666666666666699E-2</v>
      </c>
      <c r="AX756" s="58" t="s">
        <v>91</v>
      </c>
    </row>
    <row r="757" spans="1:50" ht="21.75" customHeight="1">
      <c r="A757" s="66" t="s">
        <v>690</v>
      </c>
      <c r="B757" s="39">
        <f t="shared" si="108"/>
        <v>753</v>
      </c>
      <c r="C757" s="40">
        <v>46041</v>
      </c>
      <c r="D757" s="40" t="s">
        <v>80</v>
      </c>
      <c r="E757" s="40" t="s">
        <v>81</v>
      </c>
      <c r="F757" s="41">
        <v>719.6</v>
      </c>
      <c r="G757" s="42" t="s">
        <v>54</v>
      </c>
      <c r="H757" s="43" t="str">
        <f>IFERROR(VLOOKUP($J757,'[9]FROM (3)'!$E$4:$F$230,2,FALSE),"")</f>
        <v>JAMY</v>
      </c>
      <c r="I757" s="44" t="str">
        <f t="shared" si="105"/>
        <v>RACK BAR</v>
      </c>
      <c r="J757" s="44" t="str">
        <f t="shared" si="106"/>
        <v>JGD10S000830-51-0</v>
      </c>
      <c r="K757" s="59" t="str">
        <f t="shared" si="103"/>
        <v>PD26010677</v>
      </c>
      <c r="L757" s="46" t="str" cm="1">
        <f t="array" ref="L757">IFERROR(_xlfn.IFS(
    LEN($A757)-LEN(SUBSTITUTE($A757,"|",""))=12, RIGHT(A757, LEN(A757)-FIND("~", SUBSTITUTE(A757,"|","~", LEN(A757)-LEN(SUBSTITUTE(A757,"|",""))))),
    LEN($A757)-LEN(SUBSTITUTE($A757,"|",""))=13, MID($A757, FIND("~", SUBSTITUTE($A757,"|","~", 11))+1, FIND("~", SUBSTITUTE($A757,"|","~", 12))-FIND("~", SUBSTITUTE($A757,"|","~", 11))-1),
    LEN($A757)-LEN(SUBSTITUTE($A757,"|",""))=14, MID($A757, FIND("~", SUBSTITUTE($A757,"|","~", 11))+1, FIND("~", SUBSTITUTE($A757,"|","~", 12))-FIND("~", SUBSTITUTE($A757,"|","~", 11))-1)
), "")</f>
        <v>E586442</v>
      </c>
      <c r="M757" s="47" t="str">
        <f t="shared" si="102"/>
        <v>SB010075/5/26</v>
      </c>
      <c r="N757" s="46" t="str">
        <f t="shared" si="104"/>
        <v/>
      </c>
      <c r="O757" s="60">
        <v>50</v>
      </c>
      <c r="P757" s="60">
        <v>864</v>
      </c>
      <c r="Q757" s="48">
        <v>200</v>
      </c>
      <c r="R757" s="48">
        <v>812</v>
      </c>
      <c r="S757" s="48"/>
      <c r="T757" s="48"/>
      <c r="U757" s="49"/>
      <c r="V757" s="49"/>
      <c r="W757" s="50">
        <f t="shared" si="110"/>
        <v>0</v>
      </c>
      <c r="X757" s="51" t="str">
        <f>IF(A757="", "", IF(COUNTIFS(C$3:C756, C757, D$3:D756, D757, G$3:G756, G757) &gt; 0, "", "11:00"-AW757))</f>
        <v/>
      </c>
      <c r="Y757" s="52" t="str">
        <f t="shared" si="107"/>
        <v/>
      </c>
      <c r="Z757" s="53"/>
      <c r="AA757" s="54"/>
      <c r="AB757" s="53"/>
      <c r="AC757" s="54"/>
      <c r="AD757" s="53"/>
      <c r="AE757" s="54"/>
      <c r="AF757" s="53"/>
      <c r="AG757" s="54"/>
      <c r="AH757" s="55">
        <v>4.1666666666666699E-2</v>
      </c>
      <c r="AI757" s="53"/>
      <c r="AJ757" s="54"/>
      <c r="AK757" s="53"/>
      <c r="AL757" s="54"/>
      <c r="AM757" s="53"/>
      <c r="AN757" s="54"/>
      <c r="AO757" s="53"/>
      <c r="AP757" s="54"/>
      <c r="AQ757" s="53"/>
      <c r="AR757" s="54"/>
      <c r="AS757" s="53"/>
      <c r="AT757" s="54"/>
      <c r="AU757" s="53">
        <v>4.1666666666666699E-2</v>
      </c>
      <c r="AV757" s="54" t="s">
        <v>37</v>
      </c>
      <c r="AW757" s="57">
        <f t="shared" si="109"/>
        <v>4.1666666666666699E-2</v>
      </c>
      <c r="AX757" s="58" t="s">
        <v>91</v>
      </c>
    </row>
    <row r="758" spans="1:50" ht="21.75" customHeight="1">
      <c r="A758" s="66" t="s">
        <v>646</v>
      </c>
      <c r="B758" s="39">
        <f t="shared" si="108"/>
        <v>754</v>
      </c>
      <c r="C758" s="40">
        <v>46041</v>
      </c>
      <c r="D758" s="40" t="s">
        <v>80</v>
      </c>
      <c r="E758" s="40" t="s">
        <v>81</v>
      </c>
      <c r="F758" s="41">
        <v>655.4</v>
      </c>
      <c r="G758" s="42" t="s">
        <v>66</v>
      </c>
      <c r="H758" s="43" t="str">
        <f>IFERROR(VLOOKUP($J758,'[9]FROM (3)'!$E$4:$F$230,2,FALSE),"")</f>
        <v>JAMY</v>
      </c>
      <c r="I758" s="44" t="str">
        <f t="shared" si="105"/>
        <v>RACK BAR</v>
      </c>
      <c r="J758" s="44" t="str">
        <f t="shared" si="106"/>
        <v>JGC10-M09008-51-0</v>
      </c>
      <c r="K758" s="59" t="str">
        <f t="shared" si="103"/>
        <v>PD26010753</v>
      </c>
      <c r="L758" s="46" t="str" cm="1">
        <f t="array" ref="L758">IFERROR(_xlfn.IFS(
    LEN($A758)-LEN(SUBSTITUTE($A758,"|",""))=12, RIGHT(A758, LEN(A758)-FIND("~", SUBSTITUTE(A758,"|","~", LEN(A758)-LEN(SUBSTITUTE(A758,"|",""))))),
    LEN($A758)-LEN(SUBSTITUTE($A758,"|",""))=13, MID($A758, FIND("~", SUBSTITUTE($A758,"|","~", 11))+1, FIND("~", SUBSTITUTE($A758,"|","~", 12))-FIND("~", SUBSTITUTE($A758,"|","~", 11))-1),
    LEN($A758)-LEN(SUBSTITUTE($A758,"|",""))=14, MID($A758, FIND("~", SUBSTITUTE($A758,"|","~", 11))+1, FIND("~", SUBSTITUTE($A758,"|","~", 12))-FIND("~", SUBSTITUTE($A758,"|","~", 11))-1)
), "")</f>
        <v>E586966</v>
      </c>
      <c r="M758" s="47" t="str">
        <f t="shared" si="102"/>
        <v>SB010077/5/26</v>
      </c>
      <c r="N758" s="46" t="str">
        <f t="shared" si="104"/>
        <v/>
      </c>
      <c r="O758" s="60" t="s">
        <v>35</v>
      </c>
      <c r="P758" s="60" t="s">
        <v>35</v>
      </c>
      <c r="Q758" s="48">
        <v>152</v>
      </c>
      <c r="R758" s="48">
        <v>415</v>
      </c>
      <c r="S758" s="48">
        <v>29</v>
      </c>
      <c r="T758" s="48" t="s">
        <v>143</v>
      </c>
      <c r="U758" s="49">
        <v>81</v>
      </c>
      <c r="V758" s="49">
        <v>5</v>
      </c>
      <c r="W758" s="50">
        <f t="shared" si="110"/>
        <v>86</v>
      </c>
      <c r="X758" s="51">
        <f>IF(A758="", "", IF(COUNTIFS(C$3:C757, C758, D$3:D757, D758, G$3:G757, G758) &gt; 0, "", "11:00"-AW758))</f>
        <v>0.37499999999999994</v>
      </c>
      <c r="Y758" s="52" t="str">
        <f t="shared" si="107"/>
        <v>1:40</v>
      </c>
      <c r="Z758" s="53"/>
      <c r="AA758" s="54"/>
      <c r="AB758" s="53"/>
      <c r="AC758" s="54"/>
      <c r="AD758" s="53"/>
      <c r="AE758" s="54"/>
      <c r="AF758" s="53">
        <v>4.1666666666666664E-2</v>
      </c>
      <c r="AG758" s="54" t="s">
        <v>67</v>
      </c>
      <c r="AH758" s="55">
        <v>4.1666666666666699E-2</v>
      </c>
      <c r="AI758" s="53"/>
      <c r="AJ758" s="54"/>
      <c r="AK758" s="53"/>
      <c r="AL758" s="54"/>
      <c r="AM758" s="53"/>
      <c r="AN758" s="54"/>
      <c r="AO758" s="53"/>
      <c r="AP758" s="54"/>
      <c r="AQ758" s="53"/>
      <c r="AR758" s="54"/>
      <c r="AS758" s="53"/>
      <c r="AT758" s="54"/>
      <c r="AU758" s="53">
        <v>4.1666666666666699E-2</v>
      </c>
      <c r="AV758" s="54" t="s">
        <v>37</v>
      </c>
      <c r="AW758" s="57">
        <f t="shared" si="109"/>
        <v>8.333333333333337E-2</v>
      </c>
      <c r="AX758" s="58" t="s">
        <v>96</v>
      </c>
    </row>
    <row r="759" spans="1:50" ht="21.75" customHeight="1">
      <c r="A759" s="66" t="s">
        <v>691</v>
      </c>
      <c r="B759" s="39">
        <f t="shared" si="108"/>
        <v>755</v>
      </c>
      <c r="C759" s="40">
        <v>46041</v>
      </c>
      <c r="D759" s="40" t="s">
        <v>80</v>
      </c>
      <c r="E759" s="40" t="s">
        <v>81</v>
      </c>
      <c r="F759" s="41">
        <v>655.4</v>
      </c>
      <c r="G759" s="42" t="s">
        <v>66</v>
      </c>
      <c r="H759" s="43" t="str">
        <f>IFERROR(VLOOKUP($J759,'[9]FROM (3)'!$E$4:$F$230,2,FALSE),"")</f>
        <v>JAMY</v>
      </c>
      <c r="I759" s="44" t="str">
        <f t="shared" si="105"/>
        <v>RACK BAR</v>
      </c>
      <c r="J759" s="44" t="str">
        <f t="shared" si="106"/>
        <v>JGC10-M09008-51-0</v>
      </c>
      <c r="K759" s="59" t="str">
        <f t="shared" si="103"/>
        <v>PD26010753</v>
      </c>
      <c r="L759" s="46" t="str" cm="1">
        <f t="array" ref="L759">IFERROR(_xlfn.IFS(
    LEN($A759)-LEN(SUBSTITUTE($A759,"|",""))=12, RIGHT(A759, LEN(A759)-FIND("~", SUBSTITUTE(A759,"|","~", LEN(A759)-LEN(SUBSTITUTE(A759,"|",""))))),
    LEN($A759)-LEN(SUBSTITUTE($A759,"|",""))=13, MID($A759, FIND("~", SUBSTITUTE($A759,"|","~", 11))+1, FIND("~", SUBSTITUTE($A759,"|","~", 12))-FIND("~", SUBSTITUTE($A759,"|","~", 11))-1),
    LEN($A759)-LEN(SUBSTITUTE($A759,"|",""))=14, MID($A759, FIND("~", SUBSTITUTE($A759,"|","~", 11))+1, FIND("~", SUBSTITUTE($A759,"|","~", 12))-FIND("~", SUBSTITUTE($A759,"|","~", 11))-1)
), "")</f>
        <v>E586966</v>
      </c>
      <c r="M759" s="47" t="str">
        <f t="shared" si="102"/>
        <v>SB010077/6/26</v>
      </c>
      <c r="N759" s="46" t="str">
        <f t="shared" si="104"/>
        <v/>
      </c>
      <c r="O759" s="60">
        <v>36</v>
      </c>
      <c r="P759" s="60">
        <v>522</v>
      </c>
      <c r="Q759" s="48">
        <v>180</v>
      </c>
      <c r="R759" s="48">
        <v>491</v>
      </c>
      <c r="S759" s="48"/>
      <c r="T759" s="48"/>
      <c r="U759" s="49"/>
      <c r="V759" s="49"/>
      <c r="W759" s="50">
        <f t="shared" si="110"/>
        <v>0</v>
      </c>
      <c r="X759" s="51" t="str">
        <f>IF(A759="", "", IF(COUNTIFS(C$3:C758, C759, D$3:D758, D759, G$3:G758, G759) &gt; 0, "", "11:00"-AW759))</f>
        <v/>
      </c>
      <c r="Y759" s="52" t="str">
        <f t="shared" si="107"/>
        <v/>
      </c>
      <c r="Z759" s="53"/>
      <c r="AA759" s="54"/>
      <c r="AB759" s="53"/>
      <c r="AC759" s="54"/>
      <c r="AD759" s="53"/>
      <c r="AE759" s="54"/>
      <c r="AF759" s="53"/>
      <c r="AG759" s="54"/>
      <c r="AH759" s="55">
        <v>4.1666666666666699E-2</v>
      </c>
      <c r="AI759" s="53"/>
      <c r="AJ759" s="54"/>
      <c r="AK759" s="53"/>
      <c r="AL759" s="54"/>
      <c r="AM759" s="53"/>
      <c r="AN759" s="54"/>
      <c r="AO759" s="53"/>
      <c r="AP759" s="54"/>
      <c r="AQ759" s="53"/>
      <c r="AR759" s="54"/>
      <c r="AS759" s="53"/>
      <c r="AT759" s="54"/>
      <c r="AU759" s="53">
        <v>4.1666666666666699E-2</v>
      </c>
      <c r="AV759" s="54" t="s">
        <v>37</v>
      </c>
      <c r="AW759" s="57">
        <f t="shared" si="109"/>
        <v>4.1666666666666699E-2</v>
      </c>
      <c r="AX759" s="58" t="s">
        <v>96</v>
      </c>
    </row>
    <row r="760" spans="1:50" ht="21.75" customHeight="1">
      <c r="A760" s="66" t="s">
        <v>692</v>
      </c>
      <c r="B760" s="39">
        <f t="shared" si="108"/>
        <v>756</v>
      </c>
      <c r="C760" s="40">
        <v>46041</v>
      </c>
      <c r="D760" s="40" t="s">
        <v>80</v>
      </c>
      <c r="E760" s="40" t="s">
        <v>81</v>
      </c>
      <c r="F760" s="41">
        <v>655.4</v>
      </c>
      <c r="G760" s="42" t="s">
        <v>66</v>
      </c>
      <c r="H760" s="43" t="str">
        <f>IFERROR(VLOOKUP($J760,'[9]FROM (3)'!$E$4:$F$230,2,FALSE),"")</f>
        <v>JAMY</v>
      </c>
      <c r="I760" s="44" t="str">
        <f t="shared" si="105"/>
        <v>RACK BAR</v>
      </c>
      <c r="J760" s="44" t="str">
        <f t="shared" si="106"/>
        <v>JGC10-M09008-51-0</v>
      </c>
      <c r="K760" s="59" t="str">
        <f t="shared" si="103"/>
        <v>PD26010753</v>
      </c>
      <c r="L760" s="46" t="str" cm="1">
        <f t="array" ref="L760">IFERROR(_xlfn.IFS(
    LEN($A760)-LEN(SUBSTITUTE($A760,"|",""))=12, RIGHT(A760, LEN(A760)-FIND("~", SUBSTITUTE(A760,"|","~", LEN(A760)-LEN(SUBSTITUTE(A760,"|",""))))),
    LEN($A760)-LEN(SUBSTITUTE($A760,"|",""))=13, MID($A760, FIND("~", SUBSTITUTE($A760,"|","~", 11))+1, FIND("~", SUBSTITUTE($A760,"|","~", 12))-FIND("~", SUBSTITUTE($A760,"|","~", 11))-1),
    LEN($A760)-LEN(SUBSTITUTE($A760,"|",""))=14, MID($A760, FIND("~", SUBSTITUTE($A760,"|","~", 11))+1, FIND("~", SUBSTITUTE($A760,"|","~", 12))-FIND("~", SUBSTITUTE($A760,"|","~", 11))-1)
), "")</f>
        <v>E586966</v>
      </c>
      <c r="M760" s="47" t="str">
        <f t="shared" si="102"/>
        <v>SB010077/7/26</v>
      </c>
      <c r="N760" s="46" t="str">
        <f t="shared" si="104"/>
        <v/>
      </c>
      <c r="O760" s="60">
        <v>10</v>
      </c>
      <c r="P760" s="60">
        <v>146</v>
      </c>
      <c r="Q760" s="48">
        <v>21</v>
      </c>
      <c r="R760" s="48">
        <v>57</v>
      </c>
      <c r="S760" s="48"/>
      <c r="T760" s="48"/>
      <c r="U760" s="49"/>
      <c r="V760" s="49"/>
      <c r="W760" s="50">
        <f t="shared" si="110"/>
        <v>0</v>
      </c>
      <c r="X760" s="51" t="str">
        <f>IF(A760="", "", IF(COUNTIFS(C$3:C759, C760, D$3:D759, D760, G$3:G759, G760) &gt; 0, "", "11:00"-AW760))</f>
        <v/>
      </c>
      <c r="Y760" s="52" t="str">
        <f t="shared" si="107"/>
        <v/>
      </c>
      <c r="Z760" s="53"/>
      <c r="AA760" s="54"/>
      <c r="AB760" s="53"/>
      <c r="AC760" s="54"/>
      <c r="AD760" s="53"/>
      <c r="AE760" s="54"/>
      <c r="AF760" s="53"/>
      <c r="AG760" s="54"/>
      <c r="AH760" s="55">
        <v>4.1666666666666699E-2</v>
      </c>
      <c r="AI760" s="53"/>
      <c r="AJ760" s="54"/>
      <c r="AK760" s="53"/>
      <c r="AL760" s="54"/>
      <c r="AM760" s="53"/>
      <c r="AN760" s="54"/>
      <c r="AO760" s="53"/>
      <c r="AP760" s="54"/>
      <c r="AQ760" s="53"/>
      <c r="AR760" s="54"/>
      <c r="AS760" s="53"/>
      <c r="AT760" s="54"/>
      <c r="AU760" s="53">
        <v>4.1666666666666699E-2</v>
      </c>
      <c r="AV760" s="54" t="s">
        <v>37</v>
      </c>
      <c r="AW760" s="57">
        <f t="shared" si="109"/>
        <v>4.1666666666666699E-2</v>
      </c>
      <c r="AX760" s="58" t="s">
        <v>96</v>
      </c>
    </row>
    <row r="761" spans="1:50" ht="21.75" customHeight="1">
      <c r="A761" s="66" t="s">
        <v>693</v>
      </c>
      <c r="B761" s="39">
        <f t="shared" si="108"/>
        <v>757</v>
      </c>
      <c r="C761" s="40">
        <v>46041</v>
      </c>
      <c r="D761" s="40" t="s">
        <v>80</v>
      </c>
      <c r="E761" s="40" t="s">
        <v>81</v>
      </c>
      <c r="F761" s="41">
        <v>765.7</v>
      </c>
      <c r="G761" s="42" t="s">
        <v>66</v>
      </c>
      <c r="H761" s="43" t="str">
        <f>IFERROR(VLOOKUP($J761,'[9]FROM (3)'!$E$4:$F$230,2,FALSE),"")</f>
        <v>JTCS</v>
      </c>
      <c r="I761" s="44" t="str">
        <f t="shared" si="105"/>
        <v>RACK, PS</v>
      </c>
      <c r="J761" s="44" t="str">
        <f t="shared" si="106"/>
        <v>JGD10S00670-B</v>
      </c>
      <c r="K761" s="59" t="str">
        <f t="shared" si="103"/>
        <v>PD26010710</v>
      </c>
      <c r="L761" s="46" t="str" cm="1">
        <f t="array" ref="L761">IFERROR(_xlfn.IFS(
    LEN($A761)-LEN(SUBSTITUTE($A761,"|",""))=12, RIGHT(A761, LEN(A761)-FIND("~", SUBSTITUTE(A761,"|","~", LEN(A761)-LEN(SUBSTITUTE(A761,"|",""))))),
    LEN($A761)-LEN(SUBSTITUTE($A761,"|",""))=13, MID($A761, FIND("~", SUBSTITUTE($A761,"|","~", 11))+1, FIND("~", SUBSTITUTE($A761,"|","~", 12))-FIND("~", SUBSTITUTE($A761,"|","~", 11))-1),
    LEN($A761)-LEN(SUBSTITUTE($A761,"|",""))=14, MID($A761, FIND("~", SUBSTITUTE($A761,"|","~", 11))+1, FIND("~", SUBSTITUTE($A761,"|","~", 12))-FIND("~", SUBSTITUTE($A761,"|","~", 11))-1)
), "")</f>
        <v>E586447</v>
      </c>
      <c r="M761" s="47" t="str">
        <f t="shared" si="102"/>
        <v>SB010072/3/26</v>
      </c>
      <c r="N761" s="46" t="str">
        <f t="shared" si="104"/>
        <v/>
      </c>
      <c r="O761" s="60">
        <v>25</v>
      </c>
      <c r="P761" s="60">
        <v>892</v>
      </c>
      <c r="Q761" s="48">
        <v>175</v>
      </c>
      <c r="R761" s="48">
        <v>859</v>
      </c>
      <c r="S761" s="48"/>
      <c r="T761" s="48"/>
      <c r="U761" s="49">
        <v>53</v>
      </c>
      <c r="V761" s="49">
        <v>5</v>
      </c>
      <c r="W761" s="50">
        <f t="shared" si="110"/>
        <v>58</v>
      </c>
      <c r="X761" s="51" t="str">
        <f>IF(A761="", "", IF(COUNTIFS(C$3:C760, C761, D$3:D760, D761, G$3:G760, G761) &gt; 0, "", "11:00"-AW761))</f>
        <v/>
      </c>
      <c r="Y761" s="52" t="str">
        <f t="shared" si="107"/>
        <v/>
      </c>
      <c r="Z761" s="53"/>
      <c r="AA761" s="54"/>
      <c r="AB761" s="53"/>
      <c r="AC761" s="54"/>
      <c r="AD761" s="53"/>
      <c r="AE761" s="54"/>
      <c r="AF761" s="53"/>
      <c r="AG761" s="54"/>
      <c r="AH761" s="55">
        <v>4.1666666666666699E-2</v>
      </c>
      <c r="AI761" s="53"/>
      <c r="AJ761" s="54"/>
      <c r="AK761" s="53"/>
      <c r="AL761" s="54"/>
      <c r="AM761" s="53"/>
      <c r="AN761" s="54"/>
      <c r="AO761" s="53"/>
      <c r="AP761" s="54"/>
      <c r="AQ761" s="53"/>
      <c r="AR761" s="54"/>
      <c r="AS761" s="53"/>
      <c r="AT761" s="54"/>
      <c r="AU761" s="53">
        <v>4.1666666666666699E-2</v>
      </c>
      <c r="AV761" s="54" t="s">
        <v>37</v>
      </c>
      <c r="AW761" s="57">
        <f t="shared" si="109"/>
        <v>4.1666666666666699E-2</v>
      </c>
      <c r="AX761" s="58" t="s">
        <v>96</v>
      </c>
    </row>
    <row r="762" spans="1:50" ht="21.75" customHeight="1">
      <c r="A762" s="66" t="s">
        <v>694</v>
      </c>
      <c r="B762" s="39">
        <f t="shared" si="108"/>
        <v>758</v>
      </c>
      <c r="C762" s="40">
        <v>46041</v>
      </c>
      <c r="D762" s="40" t="s">
        <v>80</v>
      </c>
      <c r="E762" s="40" t="s">
        <v>81</v>
      </c>
      <c r="F762" s="41">
        <v>765.7</v>
      </c>
      <c r="G762" s="42" t="s">
        <v>66</v>
      </c>
      <c r="H762" s="43" t="str">
        <f>IFERROR(VLOOKUP($J762,'[9]FROM (3)'!$E$4:$F$230,2,FALSE),"")</f>
        <v>JTCS</v>
      </c>
      <c r="I762" s="44" t="str">
        <f t="shared" si="105"/>
        <v>RACK, PS</v>
      </c>
      <c r="J762" s="44" t="str">
        <f t="shared" si="106"/>
        <v>JGD10S00670-B</v>
      </c>
      <c r="K762" s="59" t="str">
        <f t="shared" si="103"/>
        <v>PD26010710</v>
      </c>
      <c r="L762" s="46" t="str" cm="1">
        <f t="array" ref="L762">IFERROR(_xlfn.IFS(
    LEN($A762)-LEN(SUBSTITUTE($A762,"|",""))=12, RIGHT(A762, LEN(A762)-FIND("~", SUBSTITUTE(A762,"|","~", LEN(A762)-LEN(SUBSTITUTE(A762,"|",""))))),
    LEN($A762)-LEN(SUBSTITUTE($A762,"|",""))=13, MID($A762, FIND("~", SUBSTITUTE($A762,"|","~", 11))+1, FIND("~", SUBSTITUTE($A762,"|","~", 12))-FIND("~", SUBSTITUTE($A762,"|","~", 11))-1),
    LEN($A762)-LEN(SUBSTITUTE($A762,"|",""))=14, MID($A762, FIND("~", SUBSTITUTE($A762,"|","~", 11))+1, FIND("~", SUBSTITUTE($A762,"|","~", 12))-FIND("~", SUBSTITUTE($A762,"|","~", 11))-1)
), "")</f>
        <v>E586447</v>
      </c>
      <c r="M762" s="47" t="str">
        <f t="shared" si="102"/>
        <v>SB010072/4/26</v>
      </c>
      <c r="N762" s="46" t="str">
        <f t="shared" si="104"/>
        <v/>
      </c>
      <c r="O762" s="60">
        <v>25</v>
      </c>
      <c r="P762" s="60">
        <v>892</v>
      </c>
      <c r="Q762" s="48">
        <v>175</v>
      </c>
      <c r="R762" s="48">
        <v>859</v>
      </c>
      <c r="S762" s="48"/>
      <c r="T762" s="48"/>
      <c r="U762" s="49"/>
      <c r="V762" s="49"/>
      <c r="W762" s="50">
        <f t="shared" si="110"/>
        <v>0</v>
      </c>
      <c r="X762" s="51" t="str">
        <f>IF(A762="", "", IF(COUNTIFS(C$3:C761, C762, D$3:D761, D762, G$3:G761, G762) &gt; 0, "", "11:00"-AW762))</f>
        <v/>
      </c>
      <c r="Y762" s="52" t="str">
        <f t="shared" si="107"/>
        <v/>
      </c>
      <c r="Z762" s="53"/>
      <c r="AA762" s="54"/>
      <c r="AB762" s="53"/>
      <c r="AC762" s="54"/>
      <c r="AD762" s="53"/>
      <c r="AE762" s="54"/>
      <c r="AF762" s="53"/>
      <c r="AG762" s="54"/>
      <c r="AH762" s="55">
        <v>4.1666666666666699E-2</v>
      </c>
      <c r="AI762" s="53"/>
      <c r="AJ762" s="54"/>
      <c r="AK762" s="53"/>
      <c r="AL762" s="54"/>
      <c r="AM762" s="53"/>
      <c r="AN762" s="54"/>
      <c r="AO762" s="53"/>
      <c r="AP762" s="54"/>
      <c r="AQ762" s="53"/>
      <c r="AR762" s="54"/>
      <c r="AS762" s="53"/>
      <c r="AT762" s="54"/>
      <c r="AU762" s="53">
        <v>4.1666666666666699E-2</v>
      </c>
      <c r="AV762" s="54" t="s">
        <v>37</v>
      </c>
      <c r="AW762" s="57">
        <f t="shared" si="109"/>
        <v>4.1666666666666699E-2</v>
      </c>
      <c r="AX762" s="58" t="s">
        <v>96</v>
      </c>
    </row>
    <row r="763" spans="1:50" ht="21.75" customHeight="1">
      <c r="A763" s="66" t="s">
        <v>695</v>
      </c>
      <c r="B763" s="39">
        <f t="shared" si="108"/>
        <v>759</v>
      </c>
      <c r="C763" s="40">
        <v>46041</v>
      </c>
      <c r="D763" s="40" t="s">
        <v>80</v>
      </c>
      <c r="E763" s="40" t="s">
        <v>81</v>
      </c>
      <c r="F763" s="41">
        <v>765.7</v>
      </c>
      <c r="G763" s="42" t="s">
        <v>66</v>
      </c>
      <c r="H763" s="43" t="str">
        <f>IFERROR(VLOOKUP($J763,'[9]FROM (3)'!$E$4:$F$230,2,FALSE),"")</f>
        <v>JTCS</v>
      </c>
      <c r="I763" s="44" t="str">
        <f t="shared" si="105"/>
        <v>RACK, PS</v>
      </c>
      <c r="J763" s="44" t="str">
        <f t="shared" si="106"/>
        <v>JGD10S00670-B</v>
      </c>
      <c r="K763" s="59" t="str">
        <f t="shared" si="103"/>
        <v>PD26010709</v>
      </c>
      <c r="L763" s="46" t="str" cm="1">
        <f t="array" ref="L763">IFERROR(_xlfn.IFS(
    LEN($A763)-LEN(SUBSTITUTE($A763,"|",""))=12, RIGHT(A763, LEN(A763)-FIND("~", SUBSTITUTE(A763,"|","~", LEN(A763)-LEN(SUBSTITUTE(A763,"|",""))))),
    LEN($A763)-LEN(SUBSTITUTE($A763,"|",""))=13, MID($A763, FIND("~", SUBSTITUTE($A763,"|","~", 11))+1, FIND("~", SUBSTITUTE($A763,"|","~", 12))-FIND("~", SUBSTITUTE($A763,"|","~", 11))-1),
    LEN($A763)-LEN(SUBSTITUTE($A763,"|",""))=14, MID($A763, FIND("~", SUBSTITUTE($A763,"|","~", 11))+1, FIND("~", SUBSTITUTE($A763,"|","~", 12))-FIND("~", SUBSTITUTE($A763,"|","~", 11))-1)
), "")</f>
        <v>E586447</v>
      </c>
      <c r="M763" s="47" t="str">
        <f t="shared" si="102"/>
        <v>SB010072/1/26</v>
      </c>
      <c r="N763" s="46" t="str">
        <f t="shared" si="104"/>
        <v/>
      </c>
      <c r="O763" s="60">
        <v>25</v>
      </c>
      <c r="P763" s="60">
        <v>892</v>
      </c>
      <c r="Q763" s="48">
        <v>175</v>
      </c>
      <c r="R763" s="48">
        <v>859</v>
      </c>
      <c r="S763" s="48"/>
      <c r="T763" s="48"/>
      <c r="U763" s="49"/>
      <c r="V763" s="49"/>
      <c r="W763" s="50">
        <f t="shared" si="110"/>
        <v>0</v>
      </c>
      <c r="X763" s="51" t="str">
        <f>IF(A763="", "", IF(COUNTIFS(C$3:C762, C763, D$3:D762, D763, G$3:G762, G763) &gt; 0, "", "11:00"-AW763))</f>
        <v/>
      </c>
      <c r="Y763" s="52" t="str">
        <f t="shared" si="107"/>
        <v/>
      </c>
      <c r="Z763" s="53"/>
      <c r="AA763" s="54"/>
      <c r="AB763" s="53"/>
      <c r="AC763" s="54"/>
      <c r="AD763" s="53"/>
      <c r="AE763" s="54"/>
      <c r="AF763" s="53"/>
      <c r="AG763" s="54"/>
      <c r="AH763" s="55">
        <v>4.1666666666666699E-2</v>
      </c>
      <c r="AI763" s="53"/>
      <c r="AJ763" s="54"/>
      <c r="AK763" s="53"/>
      <c r="AL763" s="54"/>
      <c r="AM763" s="53"/>
      <c r="AN763" s="54"/>
      <c r="AO763" s="53"/>
      <c r="AP763" s="54"/>
      <c r="AQ763" s="53"/>
      <c r="AR763" s="54"/>
      <c r="AS763" s="53"/>
      <c r="AT763" s="54"/>
      <c r="AU763" s="53">
        <v>4.1666666666666699E-2</v>
      </c>
      <c r="AV763" s="54" t="s">
        <v>37</v>
      </c>
      <c r="AW763" s="57">
        <f t="shared" si="109"/>
        <v>4.1666666666666699E-2</v>
      </c>
      <c r="AX763" s="58" t="s">
        <v>96</v>
      </c>
    </row>
    <row r="764" spans="1:50" ht="21.75" customHeight="1">
      <c r="A764" s="66" t="s">
        <v>696</v>
      </c>
      <c r="B764" s="39">
        <f t="shared" si="108"/>
        <v>760</v>
      </c>
      <c r="C764" s="40">
        <v>46041</v>
      </c>
      <c r="D764" s="40" t="s">
        <v>80</v>
      </c>
      <c r="E764" s="40" t="s">
        <v>81</v>
      </c>
      <c r="F764" s="41">
        <v>765.7</v>
      </c>
      <c r="G764" s="42" t="s">
        <v>66</v>
      </c>
      <c r="H764" s="43" t="str">
        <f>IFERROR(VLOOKUP($J764,'[9]FROM (3)'!$E$4:$F$230,2,FALSE),"")</f>
        <v>JTCS</v>
      </c>
      <c r="I764" s="44" t="str">
        <f t="shared" si="105"/>
        <v>RACK, PS</v>
      </c>
      <c r="J764" s="44" t="str">
        <f t="shared" si="106"/>
        <v>JGD10S00670-B</v>
      </c>
      <c r="K764" s="59" t="str">
        <f t="shared" si="103"/>
        <v>PD26010709</v>
      </c>
      <c r="L764" s="46" t="str" cm="1">
        <f t="array" ref="L764">IFERROR(_xlfn.IFS(
    LEN($A764)-LEN(SUBSTITUTE($A764,"|",""))=12, RIGHT(A764, LEN(A764)-FIND("~", SUBSTITUTE(A764,"|","~", LEN(A764)-LEN(SUBSTITUTE(A764,"|",""))))),
    LEN($A764)-LEN(SUBSTITUTE($A764,"|",""))=13, MID($A764, FIND("~", SUBSTITUTE($A764,"|","~", 11))+1, FIND("~", SUBSTITUTE($A764,"|","~", 12))-FIND("~", SUBSTITUTE($A764,"|","~", 11))-1),
    LEN($A764)-LEN(SUBSTITUTE($A764,"|",""))=14, MID($A764, FIND("~", SUBSTITUTE($A764,"|","~", 11))+1, FIND("~", SUBSTITUTE($A764,"|","~", 12))-FIND("~", SUBSTITUTE($A764,"|","~", 11))-1)
), "")</f>
        <v>E586447</v>
      </c>
      <c r="M764" s="47" t="str">
        <f t="shared" si="102"/>
        <v>SB010072/2/26</v>
      </c>
      <c r="N764" s="46" t="str">
        <f t="shared" si="104"/>
        <v/>
      </c>
      <c r="O764" s="60">
        <v>25</v>
      </c>
      <c r="P764" s="60">
        <v>892</v>
      </c>
      <c r="Q764" s="48">
        <v>105</v>
      </c>
      <c r="R764" s="48">
        <v>516</v>
      </c>
      <c r="S764" s="48"/>
      <c r="T764" s="48"/>
      <c r="U764" s="49"/>
      <c r="V764" s="49"/>
      <c r="W764" s="50">
        <f t="shared" si="110"/>
        <v>0</v>
      </c>
      <c r="X764" s="51" t="str">
        <f>IF(A764="", "", IF(COUNTIFS(C$3:C763, C764, D$3:D763, D764, G$3:G763, G764) &gt; 0, "", "11:00"-AW764))</f>
        <v/>
      </c>
      <c r="Y764" s="52" t="str">
        <f t="shared" si="107"/>
        <v/>
      </c>
      <c r="Z764" s="53"/>
      <c r="AA764" s="54"/>
      <c r="AB764" s="53"/>
      <c r="AC764" s="54"/>
      <c r="AD764" s="53"/>
      <c r="AE764" s="54"/>
      <c r="AF764" s="53"/>
      <c r="AG764" s="54"/>
      <c r="AH764" s="55">
        <v>4.1666666666666699E-2</v>
      </c>
      <c r="AI764" s="53"/>
      <c r="AJ764" s="54"/>
      <c r="AK764" s="53"/>
      <c r="AL764" s="54"/>
      <c r="AM764" s="53"/>
      <c r="AN764" s="54"/>
      <c r="AO764" s="53"/>
      <c r="AP764" s="54"/>
      <c r="AQ764" s="53"/>
      <c r="AR764" s="54"/>
      <c r="AS764" s="53"/>
      <c r="AT764" s="54"/>
      <c r="AU764" s="53">
        <v>4.1666666666666699E-2</v>
      </c>
      <c r="AV764" s="54" t="s">
        <v>37</v>
      </c>
      <c r="AW764" s="57">
        <f t="shared" si="109"/>
        <v>4.1666666666666699E-2</v>
      </c>
      <c r="AX764" s="58" t="s">
        <v>96</v>
      </c>
    </row>
    <row r="765" spans="1:50" ht="21.75" customHeight="1">
      <c r="A765" s="66" t="s">
        <v>599</v>
      </c>
      <c r="B765" s="39">
        <f t="shared" si="108"/>
        <v>761</v>
      </c>
      <c r="C765" s="40">
        <v>46040</v>
      </c>
      <c r="D765" s="40" t="s">
        <v>80</v>
      </c>
      <c r="E765" s="40" t="s">
        <v>81</v>
      </c>
      <c r="F765" s="41">
        <v>765.7</v>
      </c>
      <c r="G765" s="42" t="s">
        <v>66</v>
      </c>
      <c r="H765" s="43" t="str">
        <f>IFERROR(VLOOKUP($J765,'[9]FROM (3)'!$E$4:$F$230,2,FALSE),"")</f>
        <v>JTCS</v>
      </c>
      <c r="I765" s="44" t="str">
        <f t="shared" si="105"/>
        <v>RACK, PS</v>
      </c>
      <c r="J765" s="44" t="str">
        <f t="shared" si="106"/>
        <v>JGD10S00670-B</v>
      </c>
      <c r="K765" s="59" t="str">
        <f t="shared" si="103"/>
        <v>PD26010493</v>
      </c>
      <c r="L765" s="46" t="str" cm="1">
        <f t="array" ref="L765">IFERROR(_xlfn.IFS(
    LEN($A765)-LEN(SUBSTITUTE($A765,"|",""))=12, RIGHT(A765, LEN(A765)-FIND("~", SUBSTITUTE(A765,"|","~", LEN(A765)-LEN(SUBSTITUTE(A765,"|",""))))),
    LEN($A765)-LEN(SUBSTITUTE($A765,"|",""))=13, MID($A765, FIND("~", SUBSTITUTE($A765,"|","~", 11))+1, FIND("~", SUBSTITUTE($A765,"|","~", 12))-FIND("~", SUBSTITUTE($A765,"|","~", 11))-1),
    LEN($A765)-LEN(SUBSTITUTE($A765,"|",""))=14, MID($A765, FIND("~", SUBSTITUTE($A765,"|","~", 11))+1, FIND("~", SUBSTITUTE($A765,"|","~", 12))-FIND("~", SUBSTITUTE($A765,"|","~", 11))-1)
), "")</f>
        <v>E586447</v>
      </c>
      <c r="M765" s="47" t="str">
        <f t="shared" si="102"/>
        <v>SB010046/2/26</v>
      </c>
      <c r="N765" s="46" t="str">
        <f t="shared" si="104"/>
        <v/>
      </c>
      <c r="O765" s="60" t="s">
        <v>35</v>
      </c>
      <c r="P765" s="60" t="s">
        <v>35</v>
      </c>
      <c r="Q765" s="48">
        <v>88</v>
      </c>
      <c r="R765" s="48">
        <v>432</v>
      </c>
      <c r="S765" s="48"/>
      <c r="T765" s="48"/>
      <c r="U765" s="49">
        <v>53</v>
      </c>
      <c r="V765" s="49">
        <v>5</v>
      </c>
      <c r="W765" s="50">
        <f t="shared" si="110"/>
        <v>58</v>
      </c>
      <c r="X765" s="51">
        <f>IF(A765="", "", IF(COUNTIFS(C$3:C764, C765, D$3:D764, D765, G$3:G764, G765) &gt; 0, "", "11:00"-AW765))</f>
        <v>0.37499999999999994</v>
      </c>
      <c r="Y765" s="52" t="str">
        <f t="shared" si="107"/>
        <v>1:40</v>
      </c>
      <c r="Z765" s="53"/>
      <c r="AA765" s="54"/>
      <c r="AB765" s="53"/>
      <c r="AC765" s="54"/>
      <c r="AD765" s="53"/>
      <c r="AE765" s="54"/>
      <c r="AF765" s="53"/>
      <c r="AG765" s="54"/>
      <c r="AH765" s="55">
        <v>4.1666666666666699E-2</v>
      </c>
      <c r="AI765" s="53"/>
      <c r="AJ765" s="54"/>
      <c r="AK765" s="53">
        <v>4.1666666666666664E-2</v>
      </c>
      <c r="AL765" s="54" t="s">
        <v>67</v>
      </c>
      <c r="AM765" s="53"/>
      <c r="AN765" s="54"/>
      <c r="AO765" s="53"/>
      <c r="AP765" s="54"/>
      <c r="AQ765" s="53"/>
      <c r="AR765" s="54"/>
      <c r="AS765" s="53"/>
      <c r="AT765" s="54"/>
      <c r="AU765" s="53">
        <v>4.1666666666666699E-2</v>
      </c>
      <c r="AV765" s="54" t="s">
        <v>37</v>
      </c>
      <c r="AW765" s="57">
        <f t="shared" si="109"/>
        <v>8.333333333333337E-2</v>
      </c>
      <c r="AX765" s="58" t="s">
        <v>96</v>
      </c>
    </row>
    <row r="766" spans="1:50" ht="21.75" customHeight="1">
      <c r="A766" s="66" t="s">
        <v>697</v>
      </c>
      <c r="B766" s="39">
        <f t="shared" si="108"/>
        <v>762</v>
      </c>
      <c r="C766" s="40">
        <v>46040</v>
      </c>
      <c r="D766" s="40" t="s">
        <v>80</v>
      </c>
      <c r="E766" s="40" t="s">
        <v>81</v>
      </c>
      <c r="F766" s="41">
        <v>765.7</v>
      </c>
      <c r="G766" s="42" t="s">
        <v>66</v>
      </c>
      <c r="H766" s="43" t="str">
        <f>IFERROR(VLOOKUP($J766,'[9]FROM (3)'!$E$4:$F$230,2,FALSE),"")</f>
        <v>JTCS</v>
      </c>
      <c r="I766" s="44" t="str">
        <f t="shared" si="105"/>
        <v>RACK, PS</v>
      </c>
      <c r="J766" s="44" t="str">
        <f t="shared" si="106"/>
        <v>JGD10S00670-B</v>
      </c>
      <c r="K766" s="59" t="str">
        <f t="shared" si="103"/>
        <v>PD26010493</v>
      </c>
      <c r="L766" s="46" t="str" cm="1">
        <f t="array" ref="L766">IFERROR(_xlfn.IFS(
    LEN($A766)-LEN(SUBSTITUTE($A766,"|",""))=12, RIGHT(A766, LEN(A766)-FIND("~", SUBSTITUTE(A766,"|","~", LEN(A766)-LEN(SUBSTITUTE(A766,"|",""))))),
    LEN($A766)-LEN(SUBSTITUTE($A766,"|",""))=13, MID($A766, FIND("~", SUBSTITUTE($A766,"|","~", 11))+1, FIND("~", SUBSTITUTE($A766,"|","~", 12))-FIND("~", SUBSTITUTE($A766,"|","~", 11))-1),
    LEN($A766)-LEN(SUBSTITUTE($A766,"|",""))=14, MID($A766, FIND("~", SUBSTITUTE($A766,"|","~", 11))+1, FIND("~", SUBSTITUTE($A766,"|","~", 12))-FIND("~", SUBSTITUTE($A766,"|","~", 11))-1)
), "")</f>
        <v>E586447</v>
      </c>
      <c r="M766" s="47" t="str">
        <f t="shared" si="102"/>
        <v>SB010046/1/26</v>
      </c>
      <c r="N766" s="46" t="str">
        <f t="shared" si="104"/>
        <v/>
      </c>
      <c r="O766" s="60">
        <v>25</v>
      </c>
      <c r="P766" s="60">
        <v>890</v>
      </c>
      <c r="Q766" s="48">
        <v>175</v>
      </c>
      <c r="R766" s="48">
        <v>859</v>
      </c>
      <c r="S766" s="48">
        <v>2</v>
      </c>
      <c r="T766" s="48" t="s">
        <v>143</v>
      </c>
      <c r="U766" s="49">
        <v>53</v>
      </c>
      <c r="V766" s="49">
        <v>5</v>
      </c>
      <c r="W766" s="50">
        <f t="shared" si="110"/>
        <v>58</v>
      </c>
      <c r="X766" s="51" t="str">
        <f>IF(A766="", "", IF(COUNTIFS(C$3:C765, C766, D$3:D765, D766, G$3:G765, G766) &gt; 0, "", "11:00"-AW766))</f>
        <v/>
      </c>
      <c r="Y766" s="52" t="str">
        <f t="shared" si="107"/>
        <v/>
      </c>
      <c r="Z766" s="53"/>
      <c r="AA766" s="54"/>
      <c r="AB766" s="53"/>
      <c r="AC766" s="54"/>
      <c r="AD766" s="53"/>
      <c r="AE766" s="54"/>
      <c r="AF766" s="53"/>
      <c r="AG766" s="54"/>
      <c r="AH766" s="55">
        <v>4.1666666666666699E-2</v>
      </c>
      <c r="AI766" s="53"/>
      <c r="AJ766" s="54"/>
      <c r="AK766" s="53"/>
      <c r="AL766" s="54"/>
      <c r="AM766" s="53"/>
      <c r="AN766" s="54"/>
      <c r="AO766" s="53"/>
      <c r="AP766" s="54"/>
      <c r="AQ766" s="53"/>
      <c r="AR766" s="54"/>
      <c r="AS766" s="53"/>
      <c r="AT766" s="54"/>
      <c r="AU766" s="53">
        <v>4.1666666666666699E-2</v>
      </c>
      <c r="AV766" s="54" t="s">
        <v>37</v>
      </c>
      <c r="AW766" s="57">
        <f t="shared" si="109"/>
        <v>4.1666666666666699E-2</v>
      </c>
      <c r="AX766" s="58" t="s">
        <v>96</v>
      </c>
    </row>
    <row r="767" spans="1:50" ht="21.75" customHeight="1">
      <c r="A767" s="66" t="s">
        <v>698</v>
      </c>
      <c r="B767" s="39">
        <f t="shared" si="108"/>
        <v>763</v>
      </c>
      <c r="C767" s="40">
        <v>46040</v>
      </c>
      <c r="D767" s="40" t="s">
        <v>80</v>
      </c>
      <c r="E767" s="40" t="s">
        <v>81</v>
      </c>
      <c r="F767" s="41">
        <v>765.7</v>
      </c>
      <c r="G767" s="42" t="s">
        <v>66</v>
      </c>
      <c r="H767" s="43" t="str">
        <f>IFERROR(VLOOKUP($J767,'[9]FROM (3)'!$E$4:$F$230,2,FALSE),"")</f>
        <v>JTCS</v>
      </c>
      <c r="I767" s="44" t="str">
        <f t="shared" si="105"/>
        <v>RACK, PS</v>
      </c>
      <c r="J767" s="44" t="str">
        <f t="shared" si="106"/>
        <v>JGD10S00670-B</v>
      </c>
      <c r="K767" s="59" t="str">
        <f t="shared" si="103"/>
        <v>PD26010495</v>
      </c>
      <c r="L767" s="46" t="str" cm="1">
        <f t="array" ref="L767">IFERROR(_xlfn.IFS(
    LEN($A767)-LEN(SUBSTITUTE($A767,"|",""))=12, RIGHT(A767, LEN(A767)-FIND("~", SUBSTITUTE(A767,"|","~", LEN(A767)-LEN(SUBSTITUTE(A767,"|",""))))),
    LEN($A767)-LEN(SUBSTITUTE($A767,"|",""))=13, MID($A767, FIND("~", SUBSTITUTE($A767,"|","~", 11))+1, FIND("~", SUBSTITUTE($A767,"|","~", 12))-FIND("~", SUBSTITUTE($A767,"|","~", 11))-1),
    LEN($A767)-LEN(SUBSTITUTE($A767,"|",""))=14, MID($A767, FIND("~", SUBSTITUTE($A767,"|","~", 11))+1, FIND("~", SUBSTITUTE($A767,"|","~", 12))-FIND("~", SUBSTITUTE($A767,"|","~", 11))-1)
), "")</f>
        <v>E586447</v>
      </c>
      <c r="M767" s="47" t="str">
        <f t="shared" si="102"/>
        <v>SB010046/5/26</v>
      </c>
      <c r="N767" s="46" t="str">
        <f t="shared" si="104"/>
        <v/>
      </c>
      <c r="O767" s="60">
        <v>25</v>
      </c>
      <c r="P767" s="60">
        <v>890</v>
      </c>
      <c r="Q767" s="48">
        <v>175</v>
      </c>
      <c r="R767" s="48">
        <v>859</v>
      </c>
      <c r="S767" s="48"/>
      <c r="T767" s="48"/>
      <c r="U767" s="49"/>
      <c r="V767" s="49"/>
      <c r="W767" s="50">
        <f t="shared" si="110"/>
        <v>0</v>
      </c>
      <c r="X767" s="51" t="str">
        <f>IF(A767="", "", IF(COUNTIFS(C$3:C766, C767, D$3:D766, D767, G$3:G766, G767) &gt; 0, "", "11:00"-AW767))</f>
        <v/>
      </c>
      <c r="Y767" s="52" t="str">
        <f t="shared" si="107"/>
        <v/>
      </c>
      <c r="Z767" s="53"/>
      <c r="AA767" s="54"/>
      <c r="AB767" s="53"/>
      <c r="AC767" s="54"/>
      <c r="AD767" s="53"/>
      <c r="AE767" s="54"/>
      <c r="AF767" s="53"/>
      <c r="AG767" s="54"/>
      <c r="AH767" s="55">
        <v>4.1666666666666699E-2</v>
      </c>
      <c r="AI767" s="53"/>
      <c r="AJ767" s="54"/>
      <c r="AK767" s="53"/>
      <c r="AL767" s="54"/>
      <c r="AM767" s="53"/>
      <c r="AN767" s="54"/>
      <c r="AO767" s="53"/>
      <c r="AP767" s="54"/>
      <c r="AQ767" s="53"/>
      <c r="AR767" s="54"/>
      <c r="AS767" s="53"/>
      <c r="AT767" s="54"/>
      <c r="AU767" s="53">
        <v>4.1666666666666699E-2</v>
      </c>
      <c r="AV767" s="54" t="s">
        <v>37</v>
      </c>
      <c r="AW767" s="57">
        <f t="shared" si="109"/>
        <v>4.1666666666666699E-2</v>
      </c>
      <c r="AX767" s="58" t="s">
        <v>96</v>
      </c>
    </row>
    <row r="768" spans="1:50" ht="21.75" customHeight="1">
      <c r="A768" s="66" t="s">
        <v>699</v>
      </c>
      <c r="B768" s="39">
        <f t="shared" si="108"/>
        <v>764</v>
      </c>
      <c r="C768" s="40">
        <v>46040</v>
      </c>
      <c r="D768" s="40" t="s">
        <v>80</v>
      </c>
      <c r="E768" s="40" t="s">
        <v>81</v>
      </c>
      <c r="F768" s="41">
        <v>765.7</v>
      </c>
      <c r="G768" s="42" t="s">
        <v>66</v>
      </c>
      <c r="H768" s="43" t="str">
        <f>IFERROR(VLOOKUP($J768,'[9]FROM (3)'!$E$4:$F$230,2,FALSE),"")</f>
        <v>JTCS</v>
      </c>
      <c r="I768" s="44" t="str">
        <f t="shared" si="105"/>
        <v>RACK, PS</v>
      </c>
      <c r="J768" s="44" t="str">
        <f t="shared" si="106"/>
        <v>JGD10S00670-B</v>
      </c>
      <c r="K768" s="59" t="str">
        <f t="shared" si="103"/>
        <v>PD26010495</v>
      </c>
      <c r="L768" s="46" t="str" cm="1">
        <f t="array" ref="L768">IFERROR(_xlfn.IFS(
    LEN($A768)-LEN(SUBSTITUTE($A768,"|",""))=12, RIGHT(A768, LEN(A768)-FIND("~", SUBSTITUTE(A768,"|","~", LEN(A768)-LEN(SUBSTITUTE(A768,"|",""))))),
    LEN($A768)-LEN(SUBSTITUTE($A768,"|",""))=13, MID($A768, FIND("~", SUBSTITUTE($A768,"|","~", 11))+1, FIND("~", SUBSTITUTE($A768,"|","~", 12))-FIND("~", SUBSTITUTE($A768,"|","~", 11))-1),
    LEN($A768)-LEN(SUBSTITUTE($A768,"|",""))=14, MID($A768, FIND("~", SUBSTITUTE($A768,"|","~", 11))+1, FIND("~", SUBSTITUTE($A768,"|","~", 12))-FIND("~", SUBSTITUTE($A768,"|","~", 11))-1)
), "")</f>
        <v>E586447</v>
      </c>
      <c r="M768" s="47" t="str">
        <f t="shared" si="102"/>
        <v>SB010046/7/26</v>
      </c>
      <c r="N768" s="46" t="str">
        <f t="shared" si="104"/>
        <v/>
      </c>
      <c r="O768" s="60">
        <v>2</v>
      </c>
      <c r="P768" s="60">
        <v>70</v>
      </c>
      <c r="Q768" s="48">
        <v>12</v>
      </c>
      <c r="R768" s="48">
        <v>59</v>
      </c>
      <c r="S768" s="48"/>
      <c r="T768" s="48"/>
      <c r="U768" s="49"/>
      <c r="V768" s="49"/>
      <c r="W768" s="50">
        <f t="shared" si="110"/>
        <v>0</v>
      </c>
      <c r="X768" s="51" t="str">
        <f>IF(A768="", "", IF(COUNTIFS(C$3:C767, C768, D$3:D767, D768, G$3:G767, G768) &gt; 0, "", "11:00"-AW768))</f>
        <v/>
      </c>
      <c r="Y768" s="52" t="str">
        <f t="shared" si="107"/>
        <v/>
      </c>
      <c r="Z768" s="53"/>
      <c r="AA768" s="54"/>
      <c r="AB768" s="53"/>
      <c r="AC768" s="54"/>
      <c r="AD768" s="53"/>
      <c r="AE768" s="54"/>
      <c r="AF768" s="53"/>
      <c r="AG768" s="54"/>
      <c r="AH768" s="55">
        <v>4.1666666666666699E-2</v>
      </c>
      <c r="AI768" s="53"/>
      <c r="AJ768" s="54"/>
      <c r="AK768" s="53"/>
      <c r="AL768" s="54"/>
      <c r="AM768" s="53"/>
      <c r="AN768" s="54"/>
      <c r="AO768" s="53"/>
      <c r="AP768" s="54"/>
      <c r="AQ768" s="53"/>
      <c r="AR768" s="54"/>
      <c r="AS768" s="53"/>
      <c r="AT768" s="54"/>
      <c r="AU768" s="53">
        <v>4.1666666666666699E-2</v>
      </c>
      <c r="AV768" s="54" t="s">
        <v>37</v>
      </c>
      <c r="AW768" s="57">
        <f t="shared" si="109"/>
        <v>4.1666666666666699E-2</v>
      </c>
      <c r="AX768" s="58" t="s">
        <v>96</v>
      </c>
    </row>
    <row r="769" spans="1:50" ht="21.75" customHeight="1">
      <c r="A769" s="66" t="s">
        <v>700</v>
      </c>
      <c r="B769" s="39">
        <f t="shared" si="108"/>
        <v>765</v>
      </c>
      <c r="C769" s="40">
        <v>46040</v>
      </c>
      <c r="D769" s="40" t="s">
        <v>80</v>
      </c>
      <c r="E769" s="40" t="s">
        <v>81</v>
      </c>
      <c r="F769" s="41">
        <v>765.7</v>
      </c>
      <c r="G769" s="42" t="s">
        <v>66</v>
      </c>
      <c r="H769" s="43" t="str">
        <f>IFERROR(VLOOKUP($J769,'[9]FROM (3)'!$E$4:$F$230,2,FALSE),"")</f>
        <v>JTCS</v>
      </c>
      <c r="I769" s="44" t="str">
        <f t="shared" si="105"/>
        <v>RACK, PS</v>
      </c>
      <c r="J769" s="44" t="str">
        <f t="shared" si="106"/>
        <v>JGD10S00670-B</v>
      </c>
      <c r="K769" s="59" t="str">
        <f t="shared" si="103"/>
        <v>PD26010495</v>
      </c>
      <c r="L769" s="46" t="str" cm="1">
        <f t="array" ref="L769">IFERROR(_xlfn.IFS(
    LEN($A769)-LEN(SUBSTITUTE($A769,"|",""))=12, RIGHT(A769, LEN(A769)-FIND("~", SUBSTITUTE(A769,"|","~", LEN(A769)-LEN(SUBSTITUTE(A769,"|",""))))),
    LEN($A769)-LEN(SUBSTITUTE($A769,"|",""))=13, MID($A769, FIND("~", SUBSTITUTE($A769,"|","~", 11))+1, FIND("~", SUBSTITUTE($A769,"|","~", 12))-FIND("~", SUBSTITUTE($A769,"|","~", 11))-1),
    LEN($A769)-LEN(SUBSTITUTE($A769,"|",""))=14, MID($A769, FIND("~", SUBSTITUTE($A769,"|","~", 11))+1, FIND("~", SUBSTITUTE($A769,"|","~", 12))-FIND("~", SUBSTITUTE($A769,"|","~", 11))-1)
), "")</f>
        <v>E586447</v>
      </c>
      <c r="M769" s="47" t="str">
        <f t="shared" si="102"/>
        <v>SB010046/6/26</v>
      </c>
      <c r="N769" s="46" t="str">
        <f t="shared" si="104"/>
        <v/>
      </c>
      <c r="O769" s="60">
        <v>23</v>
      </c>
      <c r="P769" s="60">
        <v>820</v>
      </c>
      <c r="Q769" s="48">
        <v>161</v>
      </c>
      <c r="R769" s="48">
        <v>791</v>
      </c>
      <c r="S769" s="48"/>
      <c r="T769" s="48"/>
      <c r="U769" s="49"/>
      <c r="V769" s="49"/>
      <c r="W769" s="50">
        <f t="shared" si="110"/>
        <v>0</v>
      </c>
      <c r="X769" s="51" t="str">
        <f>IF(A769="", "", IF(COUNTIFS(C$3:C768, C769, D$3:D768, D769, G$3:G768, G769) &gt; 0, "", "11:00"-AW769))</f>
        <v/>
      </c>
      <c r="Y769" s="52" t="str">
        <f t="shared" si="107"/>
        <v/>
      </c>
      <c r="Z769" s="53"/>
      <c r="AA769" s="54"/>
      <c r="AB769" s="53"/>
      <c r="AC769" s="54"/>
      <c r="AD769" s="53"/>
      <c r="AE769" s="54"/>
      <c r="AF769" s="53"/>
      <c r="AG769" s="54"/>
      <c r="AH769" s="55">
        <v>4.1666666666666699E-2</v>
      </c>
      <c r="AI769" s="53"/>
      <c r="AJ769" s="54"/>
      <c r="AK769" s="53"/>
      <c r="AL769" s="54"/>
      <c r="AM769" s="53"/>
      <c r="AN769" s="54"/>
      <c r="AO769" s="53"/>
      <c r="AP769" s="54"/>
      <c r="AQ769" s="53"/>
      <c r="AR769" s="54"/>
      <c r="AS769" s="53"/>
      <c r="AT769" s="54"/>
      <c r="AU769" s="53">
        <v>4.1666666666666699E-2</v>
      </c>
      <c r="AV769" s="54" t="s">
        <v>37</v>
      </c>
      <c r="AW769" s="57">
        <f t="shared" si="109"/>
        <v>4.1666666666666699E-2</v>
      </c>
      <c r="AX769" s="58" t="s">
        <v>96</v>
      </c>
    </row>
    <row r="770" spans="1:50" ht="21.75" customHeight="1">
      <c r="A770" s="66" t="s">
        <v>701</v>
      </c>
      <c r="B770" s="39">
        <f t="shared" si="108"/>
        <v>766</v>
      </c>
      <c r="C770" s="40">
        <v>46040</v>
      </c>
      <c r="D770" s="40" t="s">
        <v>80</v>
      </c>
      <c r="E770" s="40" t="s">
        <v>81</v>
      </c>
      <c r="F770" s="41">
        <v>655.4</v>
      </c>
      <c r="G770" s="42" t="s">
        <v>66</v>
      </c>
      <c r="H770" s="43" t="str">
        <f>IFERROR(VLOOKUP($J770,'[9]FROM (3)'!$E$4:$F$230,2,FALSE),"")</f>
        <v>JAMY</v>
      </c>
      <c r="I770" s="44" t="str">
        <f t="shared" si="105"/>
        <v>RACK BAR</v>
      </c>
      <c r="J770" s="44" t="str">
        <f t="shared" si="106"/>
        <v>JGC10-M09008-51-0</v>
      </c>
      <c r="K770" s="59" t="str">
        <f t="shared" si="103"/>
        <v>PD26010752</v>
      </c>
      <c r="L770" s="46" t="str" cm="1">
        <f t="array" ref="L770">IFERROR(_xlfn.IFS(
    LEN($A770)-LEN(SUBSTITUTE($A770,"|",""))=12, RIGHT(A770, LEN(A770)-FIND("~", SUBSTITUTE(A770,"|","~", LEN(A770)-LEN(SUBSTITUTE(A770,"|",""))))),
    LEN($A770)-LEN(SUBSTITUTE($A770,"|",""))=13, MID($A770, FIND("~", SUBSTITUTE($A770,"|","~", 11))+1, FIND("~", SUBSTITUTE($A770,"|","~", 12))-FIND("~", SUBSTITUTE($A770,"|","~", 11))-1),
    LEN($A770)-LEN(SUBSTITUTE($A770,"|",""))=14, MID($A770, FIND("~", SUBSTITUTE($A770,"|","~", 11))+1, FIND("~", SUBSTITUTE($A770,"|","~", 12))-FIND("~", SUBSTITUTE($A770,"|","~", 11))-1)
), "")</f>
        <v>E586966</v>
      </c>
      <c r="M770" s="47" t="str">
        <f t="shared" si="102"/>
        <v>SB010077/3/26</v>
      </c>
      <c r="N770" s="46" t="str">
        <f t="shared" si="104"/>
        <v/>
      </c>
      <c r="O770" s="60">
        <v>60</v>
      </c>
      <c r="P770" s="60">
        <v>872</v>
      </c>
      <c r="Q770" s="48">
        <v>300</v>
      </c>
      <c r="R770" s="48">
        <v>819</v>
      </c>
      <c r="S770" s="48"/>
      <c r="T770" s="48"/>
      <c r="U770" s="49"/>
      <c r="V770" s="49"/>
      <c r="W770" s="50">
        <f t="shared" si="110"/>
        <v>0</v>
      </c>
      <c r="X770" s="51" t="str">
        <f>IF(A770="", "", IF(COUNTIFS(C$3:C769, C770, D$3:D769, D770, G$3:G769, G770) &gt; 0, "", "11:00"-AW770))</f>
        <v/>
      </c>
      <c r="Y770" s="52" t="str">
        <f t="shared" si="107"/>
        <v/>
      </c>
      <c r="Z770" s="53"/>
      <c r="AA770" s="54"/>
      <c r="AB770" s="53"/>
      <c r="AC770" s="54"/>
      <c r="AD770" s="53"/>
      <c r="AE770" s="54"/>
      <c r="AF770" s="53"/>
      <c r="AG770" s="54"/>
      <c r="AH770" s="55">
        <v>4.1666666666666699E-2</v>
      </c>
      <c r="AI770" s="53"/>
      <c r="AJ770" s="54"/>
      <c r="AK770" s="53"/>
      <c r="AL770" s="54"/>
      <c r="AM770" s="53"/>
      <c r="AN770" s="54"/>
      <c r="AO770" s="53"/>
      <c r="AP770" s="54"/>
      <c r="AQ770" s="53"/>
      <c r="AR770" s="54"/>
      <c r="AS770" s="53"/>
      <c r="AT770" s="54"/>
      <c r="AU770" s="53">
        <v>4.1666666666666699E-2</v>
      </c>
      <c r="AV770" s="54" t="s">
        <v>37</v>
      </c>
      <c r="AW770" s="57">
        <f t="shared" si="109"/>
        <v>4.1666666666666699E-2</v>
      </c>
      <c r="AX770" s="58" t="s">
        <v>96</v>
      </c>
    </row>
    <row r="771" spans="1:50" ht="21.75" customHeight="1">
      <c r="A771" s="66" t="s">
        <v>643</v>
      </c>
      <c r="B771" s="39">
        <f t="shared" si="108"/>
        <v>767</v>
      </c>
      <c r="C771" s="40">
        <v>46040</v>
      </c>
      <c r="D771" s="40" t="s">
        <v>80</v>
      </c>
      <c r="E771" s="40" t="s">
        <v>81</v>
      </c>
      <c r="F771" s="41">
        <v>655.4</v>
      </c>
      <c r="G771" s="42" t="s">
        <v>66</v>
      </c>
      <c r="H771" s="43" t="str">
        <f>IFERROR(VLOOKUP($J771,'[9]FROM (3)'!$E$4:$F$230,2,FALSE),"")</f>
        <v>JAMY</v>
      </c>
      <c r="I771" s="44" t="str">
        <f t="shared" si="105"/>
        <v>RACK BAR</v>
      </c>
      <c r="J771" s="44" t="str">
        <f t="shared" si="106"/>
        <v>JGC10-M09008-51-0</v>
      </c>
      <c r="K771" s="59" t="str">
        <f t="shared" si="103"/>
        <v>PD26010752</v>
      </c>
      <c r="L771" s="46" t="str" cm="1">
        <f t="array" ref="L771">IFERROR(_xlfn.IFS(
    LEN($A771)-LEN(SUBSTITUTE($A771,"|",""))=12, RIGHT(A771, LEN(A771)-FIND("~", SUBSTITUTE(A771,"|","~", LEN(A771)-LEN(SUBSTITUTE(A771,"|",""))))),
    LEN($A771)-LEN(SUBSTITUTE($A771,"|",""))=13, MID($A771, FIND("~", SUBSTITUTE($A771,"|","~", 11))+1, FIND("~", SUBSTITUTE($A771,"|","~", 12))-FIND("~", SUBSTITUTE($A771,"|","~", 11))-1),
    LEN($A771)-LEN(SUBSTITUTE($A771,"|",""))=14, MID($A771, FIND("~", SUBSTITUTE($A771,"|","~", 11))+1, FIND("~", SUBSTITUTE($A771,"|","~", 12))-FIND("~", SUBSTITUTE($A771,"|","~", 11))-1)
), "")</f>
        <v>E586966</v>
      </c>
      <c r="M771" s="47" t="str">
        <f t="shared" si="102"/>
        <v>SB010077/4/26</v>
      </c>
      <c r="N771" s="46" t="str">
        <f t="shared" si="104"/>
        <v/>
      </c>
      <c r="O771" s="60">
        <v>46</v>
      </c>
      <c r="P771" s="60">
        <v>668</v>
      </c>
      <c r="Q771" s="48">
        <v>72</v>
      </c>
      <c r="R771" s="48">
        <v>197</v>
      </c>
      <c r="S771" s="48"/>
      <c r="T771" s="48"/>
      <c r="U771" s="49"/>
      <c r="V771" s="49"/>
      <c r="W771" s="50">
        <f t="shared" si="110"/>
        <v>0</v>
      </c>
      <c r="X771" s="51" t="str">
        <f>IF(A771="", "", IF(COUNTIFS(C$3:C770, C771, D$3:D770, D771, G$3:G770, G771) &gt; 0, "", "11:00"-AW771))</f>
        <v/>
      </c>
      <c r="Y771" s="52" t="str">
        <f t="shared" si="107"/>
        <v/>
      </c>
      <c r="Z771" s="53"/>
      <c r="AA771" s="54"/>
      <c r="AB771" s="53"/>
      <c r="AC771" s="54"/>
      <c r="AD771" s="53"/>
      <c r="AE771" s="54"/>
      <c r="AF771" s="53"/>
      <c r="AG771" s="54"/>
      <c r="AH771" s="55">
        <v>4.1666666666666699E-2</v>
      </c>
      <c r="AI771" s="53"/>
      <c r="AJ771" s="54"/>
      <c r="AK771" s="53"/>
      <c r="AL771" s="54"/>
      <c r="AM771" s="53"/>
      <c r="AN771" s="54"/>
      <c r="AO771" s="53"/>
      <c r="AP771" s="54"/>
      <c r="AQ771" s="53"/>
      <c r="AR771" s="54"/>
      <c r="AS771" s="53"/>
      <c r="AT771" s="54"/>
      <c r="AU771" s="53">
        <v>4.1666666666666699E-2</v>
      </c>
      <c r="AV771" s="54" t="s">
        <v>37</v>
      </c>
      <c r="AW771" s="57">
        <f t="shared" si="109"/>
        <v>4.1666666666666699E-2</v>
      </c>
      <c r="AX771" s="58" t="s">
        <v>96</v>
      </c>
    </row>
    <row r="772" spans="1:50" ht="21.75" customHeight="1">
      <c r="A772" s="66" t="s">
        <v>702</v>
      </c>
      <c r="B772" s="39">
        <f t="shared" si="108"/>
        <v>768</v>
      </c>
      <c r="C772" s="40">
        <v>46041</v>
      </c>
      <c r="D772" s="40" t="s">
        <v>80</v>
      </c>
      <c r="E772" s="40" t="s">
        <v>81</v>
      </c>
      <c r="F772" s="41">
        <v>278</v>
      </c>
      <c r="G772" s="42" t="s">
        <v>46</v>
      </c>
      <c r="H772" s="43" t="str">
        <f>IFERROR(VLOOKUP($J772,'[9]FROM (3)'!$E$4:$F$230,2,FALSE),"")</f>
        <v>SIAM NSK</v>
      </c>
      <c r="I772" s="44" t="str">
        <f t="shared" si="105"/>
        <v>SHAFT SPLINE</v>
      </c>
      <c r="J772" s="44" t="str">
        <f t="shared" si="106"/>
        <v>2550T0749P</v>
      </c>
      <c r="K772" s="59" t="str">
        <f t="shared" si="103"/>
        <v>PD26010504</v>
      </c>
      <c r="L772" s="46" t="str" cm="1">
        <f t="array" ref="L772">IFERROR(_xlfn.IFS(
    LEN($A772)-LEN(SUBSTITUTE($A772,"|",""))=12, RIGHT(A772, LEN(A772)-FIND("~", SUBSTITUTE(A772,"|","~", LEN(A772)-LEN(SUBSTITUTE(A772,"|",""))))),
    LEN($A772)-LEN(SUBSTITUTE($A772,"|",""))=13, MID($A772, FIND("~", SUBSTITUTE($A772,"|","~", 11))+1, FIND("~", SUBSTITUTE($A772,"|","~", 12))-FIND("~", SUBSTITUTE($A772,"|","~", 11))-1),
    LEN($A772)-LEN(SUBSTITUTE($A772,"|",""))=14, MID($A772, FIND("~", SUBSTITUTE($A772,"|","~", 11))+1, FIND("~", SUBSTITUTE($A772,"|","~", 12))-FIND("~", SUBSTITUTE($A772,"|","~", 11))-1)
), "")</f>
        <v>SF93402</v>
      </c>
      <c r="M772" s="47" t="str">
        <f t="shared" si="102"/>
        <v>SB010049/6/26</v>
      </c>
      <c r="N772" s="46" t="str">
        <f t="shared" si="104"/>
        <v/>
      </c>
      <c r="O772" s="60">
        <v>107</v>
      </c>
      <c r="P772" s="60">
        <v>1027</v>
      </c>
      <c r="Q772" s="48">
        <v>1632</v>
      </c>
      <c r="R772" s="48">
        <v>933</v>
      </c>
      <c r="S772" s="48" t="s">
        <v>35</v>
      </c>
      <c r="T772" s="48"/>
      <c r="U772" s="49">
        <v>118</v>
      </c>
      <c r="V772" s="49">
        <v>22</v>
      </c>
      <c r="W772" s="50">
        <f t="shared" si="110"/>
        <v>140</v>
      </c>
      <c r="X772" s="51">
        <f>IF(A772="", "", IF(COUNTIFS(C$3:C771, C772, D$3:D771, D772, G$3:G771, G772) &gt; 0, "", "11:00"-AW772))</f>
        <v>0.20833333333333331</v>
      </c>
      <c r="Y772" s="52" t="str">
        <f t="shared" si="107"/>
        <v>1:40</v>
      </c>
      <c r="Z772" s="53"/>
      <c r="AA772" s="54"/>
      <c r="AB772" s="53"/>
      <c r="AC772" s="54"/>
      <c r="AD772" s="53"/>
      <c r="AE772" s="54"/>
      <c r="AF772" s="53"/>
      <c r="AG772" s="54"/>
      <c r="AH772" s="55">
        <v>4.1666666666666699E-2</v>
      </c>
      <c r="AI772" s="53"/>
      <c r="AJ772" s="54"/>
      <c r="AK772" s="53">
        <v>4.1666666666666664E-2</v>
      </c>
      <c r="AL772" s="54" t="s">
        <v>129</v>
      </c>
      <c r="AM772" s="53">
        <v>4.1666666666666664E-2</v>
      </c>
      <c r="AN772" s="54" t="s">
        <v>129</v>
      </c>
      <c r="AO772" s="53">
        <v>4.1666666666666664E-2</v>
      </c>
      <c r="AP772" s="54" t="s">
        <v>129</v>
      </c>
      <c r="AQ772" s="53">
        <v>4.1666666666666664E-2</v>
      </c>
      <c r="AR772" s="54" t="s">
        <v>129</v>
      </c>
      <c r="AS772" s="53">
        <v>4.1666666666666664E-2</v>
      </c>
      <c r="AT772" s="54" t="s">
        <v>129</v>
      </c>
      <c r="AU772" s="53">
        <v>4.1666666666666699E-2</v>
      </c>
      <c r="AV772" s="54" t="s">
        <v>37</v>
      </c>
      <c r="AW772" s="57">
        <f t="shared" si="109"/>
        <v>0.25</v>
      </c>
      <c r="AX772" s="58" t="s">
        <v>109</v>
      </c>
    </row>
    <row r="773" spans="1:50" ht="21.75" customHeight="1">
      <c r="A773" s="66" t="s">
        <v>653</v>
      </c>
      <c r="B773" s="39">
        <f t="shared" si="108"/>
        <v>769</v>
      </c>
      <c r="C773" s="40">
        <v>46040</v>
      </c>
      <c r="D773" s="40" t="s">
        <v>80</v>
      </c>
      <c r="E773" s="40" t="s">
        <v>81</v>
      </c>
      <c r="F773" s="41">
        <v>496</v>
      </c>
      <c r="G773" s="42" t="s">
        <v>34</v>
      </c>
      <c r="H773" s="43" t="str">
        <f>IFERROR(VLOOKUP($J773,'[9]FROM (3)'!$E$4:$F$230,2,FALSE),"")</f>
        <v>KONSEI</v>
      </c>
      <c r="I773" s="44" t="str">
        <f t="shared" si="105"/>
        <v>SHAFT FLUID COUPLING</v>
      </c>
      <c r="J773" s="44" t="str">
        <f t="shared" si="106"/>
        <v>214341-10210</v>
      </c>
      <c r="K773" s="59" t="str">
        <f t="shared" si="103"/>
        <v>PD26010716</v>
      </c>
      <c r="L773" s="46" t="str" cm="1">
        <f t="array" ref="L773">IFERROR(_xlfn.IFS(
    LEN($A773)-LEN(SUBSTITUTE($A773,"|",""))=12, RIGHT(A773, LEN(A773)-FIND("~", SUBSTITUTE(A773,"|","~", LEN(A773)-LEN(SUBSTITUTE(A773,"|",""))))),
    LEN($A773)-LEN(SUBSTITUTE($A773,"|",""))=13, MID($A773, FIND("~", SUBSTITUTE($A773,"|","~", 11))+1, FIND("~", SUBSTITUTE($A773,"|","~", 12))-FIND("~", SUBSTITUTE($A773,"|","~", 11))-1),
    LEN($A773)-LEN(SUBSTITUTE($A773,"|",""))=14, MID($A773, FIND("~", SUBSTITUTE($A773,"|","~", 11))+1, FIND("~", SUBSTITUTE($A773,"|","~", 12))-FIND("~", SUBSTITUTE($A773,"|","~", 11))-1)
), "")</f>
        <v>E584968</v>
      </c>
      <c r="M773" s="47" t="str">
        <f t="shared" ref="M773:M836" si="111">IFERROR(MID(A773,FIND("~",SUBSTITUTE(A773,"|","~",10))+1,FIND("~",SUBSTITUTE(A773,"|","~",11))-FIND("~",SUBSTITUTE(A773,"|","~",10))-1),"")</f>
        <v>SB010078/1/26</v>
      </c>
      <c r="N773" s="46" t="str">
        <f t="shared" si="104"/>
        <v/>
      </c>
      <c r="O773" s="60"/>
      <c r="P773" s="60"/>
      <c r="Q773" s="48">
        <v>1301</v>
      </c>
      <c r="R773" s="48">
        <v>645</v>
      </c>
      <c r="S773" s="48"/>
      <c r="T773" s="48"/>
      <c r="U773" s="49"/>
      <c r="V773" s="49"/>
      <c r="W773" s="50">
        <f t="shared" si="110"/>
        <v>0</v>
      </c>
      <c r="X773" s="51">
        <f>IF(A773="", "", IF(COUNTIFS(C$3:C772, C773, D$3:D772, D773, G$3:G772, G773) &gt; 0, "", "11:00"-AW773))</f>
        <v>0.41666666666666663</v>
      </c>
      <c r="Y773" s="52" t="str">
        <f t="shared" si="107"/>
        <v>1:40</v>
      </c>
      <c r="Z773" s="53"/>
      <c r="AA773" s="54"/>
      <c r="AB773" s="53"/>
      <c r="AC773" s="54"/>
      <c r="AD773" s="53"/>
      <c r="AE773" s="54"/>
      <c r="AF773" s="53"/>
      <c r="AG773" s="54"/>
      <c r="AH773" s="55">
        <v>4.1666666666666699E-2</v>
      </c>
      <c r="AI773" s="53"/>
      <c r="AJ773" s="54"/>
      <c r="AK773" s="53"/>
      <c r="AL773" s="54"/>
      <c r="AM773" s="53"/>
      <c r="AN773" s="54"/>
      <c r="AO773" s="53"/>
      <c r="AP773" s="54"/>
      <c r="AQ773" s="53"/>
      <c r="AR773" s="54"/>
      <c r="AS773" s="53"/>
      <c r="AT773" s="54"/>
      <c r="AU773" s="53">
        <v>4.1666666666666699E-2</v>
      </c>
      <c r="AV773" s="54" t="s">
        <v>37</v>
      </c>
      <c r="AW773" s="57">
        <f t="shared" si="109"/>
        <v>4.1666666666666699E-2</v>
      </c>
      <c r="AX773" s="58" t="s">
        <v>203</v>
      </c>
    </row>
    <row r="774" spans="1:50" ht="21.75" customHeight="1">
      <c r="A774" s="66" t="s">
        <v>651</v>
      </c>
      <c r="B774" s="39">
        <f t="shared" si="108"/>
        <v>770</v>
      </c>
      <c r="C774" s="40">
        <v>46040</v>
      </c>
      <c r="D774" s="40" t="s">
        <v>80</v>
      </c>
      <c r="E774" s="40" t="s">
        <v>81</v>
      </c>
      <c r="F774" s="41">
        <v>24</v>
      </c>
      <c r="G774" s="42" t="s">
        <v>41</v>
      </c>
      <c r="H774" s="43" t="str">
        <f>IFERROR(VLOOKUP($J774,'[9]FROM (3)'!$E$4:$F$230,2,FALSE),"")</f>
        <v>DNTH</v>
      </c>
      <c r="I774" s="44" t="str">
        <f t="shared" si="105"/>
        <v>PINION STARTER 2W</v>
      </c>
      <c r="J774" s="44" t="str">
        <f t="shared" si="106"/>
        <v>TG028987-7870</v>
      </c>
      <c r="K774" s="59" t="str">
        <f t="shared" ref="K774:K837" si="112">IFERROR(LEFT(A774,SEARCH("|",A774)-1),"")</f>
        <v>PD26010717</v>
      </c>
      <c r="L774" s="46" t="str" cm="1">
        <f t="array" ref="L774">IFERROR(_xlfn.IFS(
    LEN($A774)-LEN(SUBSTITUTE($A774,"|",""))=12, RIGHT(A774, LEN(A774)-FIND("~", SUBSTITUTE(A774,"|","~", LEN(A774)-LEN(SUBSTITUTE(A774,"|",""))))),
    LEN($A774)-LEN(SUBSTITUTE($A774,"|",""))=13, MID($A774, FIND("~", SUBSTITUTE($A774,"|","~", 11))+1, FIND("~", SUBSTITUTE($A774,"|","~", 12))-FIND("~", SUBSTITUTE($A774,"|","~", 11))-1),
    LEN($A774)-LEN(SUBSTITUTE($A774,"|",""))=14, MID($A774, FIND("~", SUBSTITUTE($A774,"|","~", 11))+1, FIND("~", SUBSTITUTE($A774,"|","~", 12))-FIND("~", SUBSTITUTE($A774,"|","~", 11))-1)
), "")</f>
        <v>E379606</v>
      </c>
      <c r="M774" s="47" t="str">
        <f t="shared" si="111"/>
        <v>SB010079/1/26</v>
      </c>
      <c r="N774" s="46" t="str">
        <f t="shared" ref="N774:N837" si="113">IFERROR(IF(LEN($A774)-LEN(SUBSTITUTE($A774,"|",""))=12,MID($A774,FIND("~",SUBSTITUTE($A774,"|","~",11))+1,FIND("~",SUBSTITUTE($A774,"|","~",12))-FIND("~",SUBSTITUTE($A774,"|","~",11))-1),IF(LEN($A774)-LEN(SUBSTITUTE($A774,"|",""))=13,MID($A774,FIND("~",SUBSTITUTE($A774,"|","~",10))+1,FIND("~",SUBSTITUTE($A774,"|","~",11))-FIND("~",SUBSTITUTE($A774,"|","~",10))-1), "")),"")</f>
        <v/>
      </c>
      <c r="O774" s="60">
        <v>18</v>
      </c>
      <c r="P774" s="60">
        <v>1155</v>
      </c>
      <c r="Q774" s="48">
        <v>2700</v>
      </c>
      <c r="R774" s="48">
        <v>773</v>
      </c>
      <c r="S774" s="48"/>
      <c r="T774" s="48"/>
      <c r="U774" s="49"/>
      <c r="V774" s="49"/>
      <c r="W774" s="50">
        <f t="shared" si="110"/>
        <v>0</v>
      </c>
      <c r="X774" s="51">
        <f>IF(A774="", "", IF(COUNTIFS(C$3:C773, C774, D$3:D773, D774, G$3:G773, G774) &gt; 0, "", "11:00"-AW774))</f>
        <v>0.41666666666666663</v>
      </c>
      <c r="Y774" s="52" t="str">
        <f t="shared" si="107"/>
        <v>1:40</v>
      </c>
      <c r="Z774" s="53"/>
      <c r="AA774" s="54"/>
      <c r="AB774" s="53"/>
      <c r="AC774" s="54"/>
      <c r="AD774" s="53"/>
      <c r="AE774" s="54"/>
      <c r="AF774" s="53"/>
      <c r="AG774" s="54"/>
      <c r="AH774" s="55">
        <v>4.1666666666666699E-2</v>
      </c>
      <c r="AI774" s="53"/>
      <c r="AJ774" s="54"/>
      <c r="AK774" s="53"/>
      <c r="AL774" s="54"/>
      <c r="AM774" s="53"/>
      <c r="AN774" s="54"/>
      <c r="AO774" s="53"/>
      <c r="AP774" s="54"/>
      <c r="AQ774" s="53"/>
      <c r="AR774" s="54"/>
      <c r="AS774" s="53"/>
      <c r="AT774" s="54"/>
      <c r="AU774" s="53">
        <v>4.1666666666666699E-2</v>
      </c>
      <c r="AV774" s="54" t="s">
        <v>37</v>
      </c>
      <c r="AW774" s="57">
        <f t="shared" si="109"/>
        <v>4.1666666666666699E-2</v>
      </c>
      <c r="AX774" s="58" t="s">
        <v>203</v>
      </c>
    </row>
    <row r="775" spans="1:50" ht="21.75" customHeight="1">
      <c r="A775" s="66" t="s">
        <v>610</v>
      </c>
      <c r="B775" s="39">
        <f t="shared" si="108"/>
        <v>771</v>
      </c>
      <c r="C775" s="40">
        <v>46040</v>
      </c>
      <c r="D775" s="40" t="s">
        <v>80</v>
      </c>
      <c r="E775" s="40" t="s">
        <v>81</v>
      </c>
      <c r="F775" s="41">
        <v>56</v>
      </c>
      <c r="G775" s="42" t="s">
        <v>44</v>
      </c>
      <c r="H775" s="43" t="str">
        <f>IFERROR(VLOOKUP($J775,'[9]FROM (3)'!$E$4:$F$230,2,FALSE),"")</f>
        <v>DNTH</v>
      </c>
      <c r="I775" s="44" t="str">
        <f t="shared" ref="I775:I838" si="114">IFERROR(MID(A775,FIND("~",SUBSTITUTE(A775,"|","~",4))+1,FIND("~",SUBSTITUTE(A775,"|","~",5))-FIND("~",SUBSTITUTE(A775,"|","~",4))-1),"")</f>
        <v>PLUNGER</v>
      </c>
      <c r="J775" s="44" t="str">
        <f t="shared" ref="J775:J838" si="115">IFERROR(MID(A775,FIND("~",SUBSTITUTE(A775,"|","~",3))+1,FIND("~",SUBSTITUTE(A775,"|","~",4))-FIND("~",SUBSTITUTE(A775,"|","~",3))-1),"")</f>
        <v>TG053661-7151</v>
      </c>
      <c r="K775" s="59" t="str">
        <f t="shared" si="112"/>
        <v>PD26010430</v>
      </c>
      <c r="L775" s="46" t="str" cm="1">
        <f t="array" ref="L775">IFERROR(_xlfn.IFS(
    LEN($A775)-LEN(SUBSTITUTE($A775,"|",""))=12, RIGHT(A775, LEN(A775)-FIND("~", SUBSTITUTE(A775,"|","~", LEN(A775)-LEN(SUBSTITUTE(A775,"|",""))))),
    LEN($A775)-LEN(SUBSTITUTE($A775,"|",""))=13, MID($A775, FIND("~", SUBSTITUTE($A775,"|","~", 11))+1, FIND("~", SUBSTITUTE($A775,"|","~", 12))-FIND("~", SUBSTITUTE($A775,"|","~", 11))-1),
    LEN($A775)-LEN(SUBSTITUTE($A775,"|",""))=14, MID($A775, FIND("~", SUBSTITUTE($A775,"|","~", 11))+1, FIND("~", SUBSTITUTE($A775,"|","~", 12))-FIND("~", SUBSTITUTE($A775,"|","~", 11))-1)
), "")</f>
        <v>5B0161</v>
      </c>
      <c r="M775" s="47" t="str">
        <f t="shared" si="111"/>
        <v>SB010044/1/26</v>
      </c>
      <c r="N775" s="46" t="str">
        <f t="shared" si="113"/>
        <v/>
      </c>
      <c r="O775" s="60"/>
      <c r="P775" s="60"/>
      <c r="Q775" s="48">
        <v>4833</v>
      </c>
      <c r="R775" s="48">
        <v>714</v>
      </c>
      <c r="S775" s="48"/>
      <c r="T775" s="48"/>
      <c r="U775" s="49"/>
      <c r="V775" s="49"/>
      <c r="W775" s="50">
        <f t="shared" si="110"/>
        <v>0</v>
      </c>
      <c r="X775" s="51">
        <f>IF(A775="", "", IF(COUNTIFS(C$3:C774, C775, D$3:D774, D775, G$3:G774, G775) &gt; 0, "", "11:00"-AW775))</f>
        <v>0.41666666666666663</v>
      </c>
      <c r="Y775" s="52" t="str">
        <f t="shared" ref="Y775:Y838" si="116">IF(X775="", "", IF(AND(A775&lt;&gt;"", AR775&lt;&gt;"NO OT"), "1:40", IF(AND(A775&lt;&gt;"", AR775="NO OT"), "1:0", "")))</f>
        <v>1:40</v>
      </c>
      <c r="Z775" s="53"/>
      <c r="AA775" s="54"/>
      <c r="AB775" s="53"/>
      <c r="AC775" s="54"/>
      <c r="AD775" s="53"/>
      <c r="AE775" s="54"/>
      <c r="AF775" s="53"/>
      <c r="AG775" s="54"/>
      <c r="AH775" s="55">
        <v>4.1666666666666699E-2</v>
      </c>
      <c r="AI775" s="53"/>
      <c r="AJ775" s="54"/>
      <c r="AK775" s="53"/>
      <c r="AL775" s="54"/>
      <c r="AM775" s="53"/>
      <c r="AN775" s="54"/>
      <c r="AO775" s="53"/>
      <c r="AP775" s="54"/>
      <c r="AQ775" s="53"/>
      <c r="AR775" s="54"/>
      <c r="AS775" s="53"/>
      <c r="AT775" s="54"/>
      <c r="AU775" s="53">
        <v>4.1666666666666699E-2</v>
      </c>
      <c r="AV775" s="54" t="s">
        <v>37</v>
      </c>
      <c r="AW775" s="57">
        <f t="shared" si="109"/>
        <v>4.1666666666666699E-2</v>
      </c>
      <c r="AX775" s="58" t="s">
        <v>203</v>
      </c>
    </row>
    <row r="776" spans="1:50" ht="21.75" customHeight="1">
      <c r="A776" s="66" t="s">
        <v>703</v>
      </c>
      <c r="B776" s="39">
        <f t="shared" si="108"/>
        <v>772</v>
      </c>
      <c r="C776" s="40">
        <v>46041</v>
      </c>
      <c r="D776" s="40" t="s">
        <v>80</v>
      </c>
      <c r="E776" s="40" t="s">
        <v>81</v>
      </c>
      <c r="F776" s="41">
        <v>721.5</v>
      </c>
      <c r="G776" s="42" t="s">
        <v>75</v>
      </c>
      <c r="H776" s="43" t="str">
        <f>IFERROR(VLOOKUP($J776,'[9]FROM (3)'!$E$4:$F$230,2,FALSE),"")</f>
        <v>JCTTH</v>
      </c>
      <c r="I776" s="44" t="str">
        <f t="shared" si="114"/>
        <v>RACK POWER STEERING</v>
      </c>
      <c r="J776" s="44" t="str">
        <f t="shared" si="115"/>
        <v>2-30JG-0711</v>
      </c>
      <c r="K776" s="59" t="str">
        <f t="shared" si="112"/>
        <v>PD25121190</v>
      </c>
      <c r="L776" s="46" t="str" cm="1">
        <f t="array" ref="L776">IFERROR(_xlfn.IFS(
    LEN($A776)-LEN(SUBSTITUTE($A776,"|",""))=12, RIGHT(A776, LEN(A776)-FIND("~", SUBSTITUTE(A776,"|","~", LEN(A776)-LEN(SUBSTITUTE(A776,"|",""))))),
    LEN($A776)-LEN(SUBSTITUTE($A776,"|",""))=13, MID($A776, FIND("~", SUBSTITUTE($A776,"|","~", 11))+1, FIND("~", SUBSTITUTE($A776,"|","~", 12))-FIND("~", SUBSTITUTE($A776,"|","~", 11))-1),
    LEN($A776)-LEN(SUBSTITUTE($A776,"|",""))=14, MID($A776, FIND("~", SUBSTITUTE($A776,"|","~", 11))+1, FIND("~", SUBSTITUTE($A776,"|","~", 12))-FIND("~", SUBSTITUTE($A776,"|","~", 11))-1)
), "")</f>
        <v>E585581</v>
      </c>
      <c r="M776" s="47" t="str">
        <f t="shared" si="111"/>
        <v>SB120161/2/25</v>
      </c>
      <c r="N776" s="46" t="str">
        <f t="shared" si="113"/>
        <v/>
      </c>
      <c r="O776" s="60">
        <v>50</v>
      </c>
      <c r="P776" s="60">
        <v>876</v>
      </c>
      <c r="Q776" s="48">
        <v>200</v>
      </c>
      <c r="R776" s="48">
        <v>820</v>
      </c>
      <c r="S776" s="48"/>
      <c r="T776" s="48"/>
      <c r="U776" s="49"/>
      <c r="V776" s="49"/>
      <c r="W776" s="50">
        <f t="shared" si="110"/>
        <v>0</v>
      </c>
      <c r="X776" s="51">
        <f>IF(A776="", "", IF(COUNTIFS(C$3:C775, C776, D$3:D775, D776, G$3:G775, G776) &gt; 0, "", "11:00"-AW776))</f>
        <v>0.37499999999999994</v>
      </c>
      <c r="Y776" s="52" t="str">
        <f t="shared" si="116"/>
        <v>1:40</v>
      </c>
      <c r="Z776" s="53">
        <v>4.1666666666666664E-2</v>
      </c>
      <c r="AA776" s="54" t="s">
        <v>67</v>
      </c>
      <c r="AB776" s="53"/>
      <c r="AC776" s="54"/>
      <c r="AD776" s="53"/>
      <c r="AE776" s="54"/>
      <c r="AF776" s="53"/>
      <c r="AG776" s="54"/>
      <c r="AH776" s="55">
        <v>4.1666666666666699E-2</v>
      </c>
      <c r="AI776" s="53"/>
      <c r="AJ776" s="54"/>
      <c r="AK776" s="53"/>
      <c r="AL776" s="54"/>
      <c r="AM776" s="53"/>
      <c r="AN776" s="54"/>
      <c r="AO776" s="53"/>
      <c r="AP776" s="54"/>
      <c r="AQ776" s="53"/>
      <c r="AR776" s="54"/>
      <c r="AS776" s="53"/>
      <c r="AT776" s="54"/>
      <c r="AU776" s="53">
        <v>4.1666666666666699E-2</v>
      </c>
      <c r="AV776" s="54" t="s">
        <v>37</v>
      </c>
      <c r="AW776" s="57">
        <f t="shared" si="109"/>
        <v>8.333333333333337E-2</v>
      </c>
      <c r="AX776" s="58" t="s">
        <v>101</v>
      </c>
    </row>
    <row r="777" spans="1:50" ht="21.75" customHeight="1">
      <c r="A777" s="66" t="s">
        <v>704</v>
      </c>
      <c r="B777" s="39">
        <f t="shared" si="108"/>
        <v>773</v>
      </c>
      <c r="C777" s="40">
        <v>46041</v>
      </c>
      <c r="D777" s="40" t="s">
        <v>80</v>
      </c>
      <c r="E777" s="40" t="s">
        <v>81</v>
      </c>
      <c r="F777" s="41">
        <v>721.5</v>
      </c>
      <c r="G777" s="42" t="s">
        <v>75</v>
      </c>
      <c r="H777" s="43" t="str">
        <f>IFERROR(VLOOKUP($J777,'[9]FROM (3)'!$E$4:$F$230,2,FALSE),"")</f>
        <v>JCTTH</v>
      </c>
      <c r="I777" s="44" t="str">
        <f t="shared" si="114"/>
        <v>RACK POWER STEERING</v>
      </c>
      <c r="J777" s="44" t="str">
        <f t="shared" si="115"/>
        <v>2-30JG-0711</v>
      </c>
      <c r="K777" s="59" t="str">
        <f t="shared" si="112"/>
        <v>PD25121190</v>
      </c>
      <c r="L777" s="46" t="str" cm="1">
        <f t="array" ref="L777">IFERROR(_xlfn.IFS(
    LEN($A777)-LEN(SUBSTITUTE($A777,"|",""))=12, RIGHT(A777, LEN(A777)-FIND("~", SUBSTITUTE(A777,"|","~", LEN(A777)-LEN(SUBSTITUTE(A777,"|",""))))),
    LEN($A777)-LEN(SUBSTITUTE($A777,"|",""))=13, MID($A777, FIND("~", SUBSTITUTE($A777,"|","~", 11))+1, FIND("~", SUBSTITUTE($A777,"|","~", 12))-FIND("~", SUBSTITUTE($A777,"|","~", 11))-1),
    LEN($A777)-LEN(SUBSTITUTE($A777,"|",""))=14, MID($A777, FIND("~", SUBSTITUTE($A777,"|","~", 11))+1, FIND("~", SUBSTITUTE($A777,"|","~", 12))-FIND("~", SUBSTITUTE($A777,"|","~", 11))-1)
), "")</f>
        <v>E585581</v>
      </c>
      <c r="M777" s="47" t="str">
        <f t="shared" si="111"/>
        <v>SB120161/1/25</v>
      </c>
      <c r="N777" s="46" t="str">
        <f t="shared" si="113"/>
        <v/>
      </c>
      <c r="O777" s="60">
        <v>50</v>
      </c>
      <c r="P777" s="60">
        <v>876</v>
      </c>
      <c r="Q777" s="48">
        <v>200</v>
      </c>
      <c r="R777" s="48">
        <v>820</v>
      </c>
      <c r="S777" s="48"/>
      <c r="T777" s="48"/>
      <c r="U777" s="49">
        <v>95</v>
      </c>
      <c r="V777" s="49">
        <v>6</v>
      </c>
      <c r="W777" s="50">
        <f t="shared" si="110"/>
        <v>101</v>
      </c>
      <c r="X777" s="51" t="str">
        <f>IF(A777="", "", IF(COUNTIFS(C$3:C776, C777, D$3:D776, D777, G$3:G776, G777) &gt; 0, "", "11:00"-AW777))</f>
        <v/>
      </c>
      <c r="Y777" s="52" t="str">
        <f t="shared" si="116"/>
        <v/>
      </c>
      <c r="Z777" s="53"/>
      <c r="AA777" s="54"/>
      <c r="AB777" s="53"/>
      <c r="AC777" s="54"/>
      <c r="AD777" s="53"/>
      <c r="AE777" s="54"/>
      <c r="AF777" s="53"/>
      <c r="AG777" s="54"/>
      <c r="AH777" s="55">
        <v>4.1666666666666699E-2</v>
      </c>
      <c r="AI777" s="53"/>
      <c r="AJ777" s="54"/>
      <c r="AK777" s="53"/>
      <c r="AL777" s="54"/>
      <c r="AM777" s="53"/>
      <c r="AN777" s="54"/>
      <c r="AO777" s="53"/>
      <c r="AP777" s="54"/>
      <c r="AQ777" s="53"/>
      <c r="AR777" s="54"/>
      <c r="AS777" s="53"/>
      <c r="AT777" s="54"/>
      <c r="AU777" s="53">
        <v>4.1666666666666699E-2</v>
      </c>
      <c r="AV777" s="54" t="s">
        <v>37</v>
      </c>
      <c r="AW777" s="57">
        <f t="shared" si="109"/>
        <v>4.1666666666666699E-2</v>
      </c>
      <c r="AX777" s="58" t="s">
        <v>101</v>
      </c>
    </row>
    <row r="778" spans="1:50" ht="21.75" customHeight="1">
      <c r="A778" s="66" t="s">
        <v>705</v>
      </c>
      <c r="B778" s="39">
        <f t="shared" ref="B778:B841" si="117">IF(A778="","",B777+1)</f>
        <v>774</v>
      </c>
      <c r="C778" s="40">
        <v>46041</v>
      </c>
      <c r="D778" s="40" t="s">
        <v>80</v>
      </c>
      <c r="E778" s="40" t="s">
        <v>81</v>
      </c>
      <c r="F778" s="41">
        <v>721.5</v>
      </c>
      <c r="G778" s="42" t="s">
        <v>75</v>
      </c>
      <c r="H778" s="43" t="str">
        <f>IFERROR(VLOOKUP($J778,'[9]FROM (3)'!$E$4:$F$230,2,FALSE),"")</f>
        <v>JCTTH</v>
      </c>
      <c r="I778" s="44" t="str">
        <f t="shared" si="114"/>
        <v>RACK POWER STEERING</v>
      </c>
      <c r="J778" s="44" t="str">
        <f t="shared" si="115"/>
        <v>2-30JG-0711</v>
      </c>
      <c r="K778" s="59" t="str">
        <f t="shared" si="112"/>
        <v>PD25121191</v>
      </c>
      <c r="L778" s="46" t="str" cm="1">
        <f t="array" ref="L778">IFERROR(_xlfn.IFS(
    LEN($A778)-LEN(SUBSTITUTE($A778,"|",""))=12, RIGHT(A778, LEN(A778)-FIND("~", SUBSTITUTE(A778,"|","~", LEN(A778)-LEN(SUBSTITUTE(A778,"|",""))))),
    LEN($A778)-LEN(SUBSTITUTE($A778,"|",""))=13, MID($A778, FIND("~", SUBSTITUTE($A778,"|","~", 11))+1, FIND("~", SUBSTITUTE($A778,"|","~", 12))-FIND("~", SUBSTITUTE($A778,"|","~", 11))-1),
    LEN($A778)-LEN(SUBSTITUTE($A778,"|",""))=14, MID($A778, FIND("~", SUBSTITUTE($A778,"|","~", 11))+1, FIND("~", SUBSTITUTE($A778,"|","~", 12))-FIND("~", SUBSTITUTE($A778,"|","~", 11))-1)
), "")</f>
        <v>E585581</v>
      </c>
      <c r="M778" s="47" t="str">
        <f t="shared" si="111"/>
        <v>SB120161/3/25</v>
      </c>
      <c r="N778" s="46" t="str">
        <f t="shared" si="113"/>
        <v/>
      </c>
      <c r="O778" s="60">
        <v>66</v>
      </c>
      <c r="P778" s="60">
        <v>1160</v>
      </c>
      <c r="Q778" s="48">
        <v>264</v>
      </c>
      <c r="R778" s="48">
        <v>1082</v>
      </c>
      <c r="S778" s="48"/>
      <c r="T778" s="48"/>
      <c r="U778" s="49"/>
      <c r="V778" s="49"/>
      <c r="W778" s="50">
        <f t="shared" si="110"/>
        <v>0</v>
      </c>
      <c r="X778" s="51" t="str">
        <f>IF(A778="", "", IF(COUNTIFS(C$3:C777, C778, D$3:D777, D778, G$3:G777, G778) &gt; 0, "", "11:00"-AW778))</f>
        <v/>
      </c>
      <c r="Y778" s="52" t="str">
        <f t="shared" si="116"/>
        <v/>
      </c>
      <c r="Z778" s="53"/>
      <c r="AA778" s="54"/>
      <c r="AB778" s="53"/>
      <c r="AC778" s="54"/>
      <c r="AD778" s="53"/>
      <c r="AE778" s="54"/>
      <c r="AF778" s="53"/>
      <c r="AG778" s="54"/>
      <c r="AH778" s="55">
        <v>4.1666666666666699E-2</v>
      </c>
      <c r="AI778" s="53"/>
      <c r="AJ778" s="54"/>
      <c r="AK778" s="53"/>
      <c r="AL778" s="54"/>
      <c r="AM778" s="53"/>
      <c r="AN778" s="54"/>
      <c r="AO778" s="53"/>
      <c r="AP778" s="54"/>
      <c r="AQ778" s="53"/>
      <c r="AR778" s="54"/>
      <c r="AS778" s="53"/>
      <c r="AT778" s="54"/>
      <c r="AU778" s="53">
        <v>4.1666666666666699E-2</v>
      </c>
      <c r="AV778" s="54" t="s">
        <v>37</v>
      </c>
      <c r="AW778" s="57">
        <f t="shared" si="109"/>
        <v>4.1666666666666699E-2</v>
      </c>
      <c r="AX778" s="58" t="s">
        <v>101</v>
      </c>
    </row>
    <row r="779" spans="1:50" ht="21.75" customHeight="1">
      <c r="A779" s="66" t="s">
        <v>706</v>
      </c>
      <c r="B779" s="39">
        <f t="shared" si="117"/>
        <v>775</v>
      </c>
      <c r="C779" s="40">
        <v>46041</v>
      </c>
      <c r="D779" s="40" t="s">
        <v>80</v>
      </c>
      <c r="E779" s="40" t="s">
        <v>81</v>
      </c>
      <c r="F779" s="41">
        <v>721.5</v>
      </c>
      <c r="G779" s="42" t="s">
        <v>75</v>
      </c>
      <c r="H779" s="43" t="str">
        <f>IFERROR(VLOOKUP($J779,'[9]FROM (3)'!$E$4:$F$230,2,FALSE),"")</f>
        <v>JCTTH</v>
      </c>
      <c r="I779" s="44" t="str">
        <f t="shared" si="114"/>
        <v>RACK POWER STEERING</v>
      </c>
      <c r="J779" s="44" t="str">
        <f t="shared" si="115"/>
        <v>2-30JG-0711</v>
      </c>
      <c r="K779" s="59" t="str">
        <f t="shared" si="112"/>
        <v>PD25121191</v>
      </c>
      <c r="L779" s="46" t="str" cm="1">
        <f t="array" ref="L779">IFERROR(_xlfn.IFS(
    LEN($A779)-LEN(SUBSTITUTE($A779,"|",""))=12, RIGHT(A779, LEN(A779)-FIND("~", SUBSTITUTE(A779,"|","~", LEN(A779)-LEN(SUBSTITUTE(A779,"|",""))))),
    LEN($A779)-LEN(SUBSTITUTE($A779,"|",""))=13, MID($A779, FIND("~", SUBSTITUTE($A779,"|","~", 11))+1, FIND("~", SUBSTITUTE($A779,"|","~", 12))-FIND("~", SUBSTITUTE($A779,"|","~", 11))-1),
    LEN($A779)-LEN(SUBSTITUTE($A779,"|",""))=14, MID($A779, FIND("~", SUBSTITUTE($A779,"|","~", 11))+1, FIND("~", SUBSTITUTE($A779,"|","~", 12))-FIND("~", SUBSTITUTE($A779,"|","~", 11))-1)
), "")</f>
        <v>E585581</v>
      </c>
      <c r="M779" s="47" t="str">
        <f t="shared" si="111"/>
        <v>SB120161/4/25</v>
      </c>
      <c r="N779" s="46" t="str">
        <f t="shared" si="113"/>
        <v/>
      </c>
      <c r="O779" s="60">
        <v>68</v>
      </c>
      <c r="P779" s="60">
        <v>1195</v>
      </c>
      <c r="Q779" s="48">
        <v>271</v>
      </c>
      <c r="R779" s="48">
        <v>1111</v>
      </c>
      <c r="S779" s="48"/>
      <c r="T779" s="48"/>
      <c r="U779" s="49">
        <v>128</v>
      </c>
      <c r="V779" s="49">
        <v>8</v>
      </c>
      <c r="W779" s="50">
        <f t="shared" si="110"/>
        <v>136</v>
      </c>
      <c r="X779" s="51" t="str">
        <f>IF(A779="", "", IF(COUNTIFS(C$3:C778, C779, D$3:D778, D779, G$3:G778, G779) &gt; 0, "", "11:00"-AW779))</f>
        <v/>
      </c>
      <c r="Y779" s="52" t="str">
        <f t="shared" si="116"/>
        <v/>
      </c>
      <c r="Z779" s="53"/>
      <c r="AA779" s="54"/>
      <c r="AB779" s="53"/>
      <c r="AC779" s="54"/>
      <c r="AD779" s="53"/>
      <c r="AE779" s="54"/>
      <c r="AF779" s="53"/>
      <c r="AG779" s="54"/>
      <c r="AH779" s="55">
        <v>4.1666666666666699E-2</v>
      </c>
      <c r="AI779" s="53"/>
      <c r="AJ779" s="54"/>
      <c r="AK779" s="53"/>
      <c r="AL779" s="54"/>
      <c r="AM779" s="53"/>
      <c r="AN779" s="54"/>
      <c r="AO779" s="53"/>
      <c r="AP779" s="54"/>
      <c r="AQ779" s="53"/>
      <c r="AR779" s="54"/>
      <c r="AS779" s="53"/>
      <c r="AT779" s="54"/>
      <c r="AU779" s="53">
        <v>4.1666666666666699E-2</v>
      </c>
      <c r="AV779" s="54" t="s">
        <v>37</v>
      </c>
      <c r="AW779" s="57">
        <f t="shared" si="109"/>
        <v>4.1666666666666699E-2</v>
      </c>
      <c r="AX779" s="58" t="s">
        <v>101</v>
      </c>
    </row>
    <row r="780" spans="1:50" ht="21.75" customHeight="1">
      <c r="A780" s="66" t="s">
        <v>667</v>
      </c>
      <c r="B780" s="39">
        <f t="shared" si="117"/>
        <v>776</v>
      </c>
      <c r="C780" s="40">
        <v>46041</v>
      </c>
      <c r="D780" s="40" t="s">
        <v>80</v>
      </c>
      <c r="E780" s="40" t="s">
        <v>81</v>
      </c>
      <c r="F780" s="41">
        <v>263.5</v>
      </c>
      <c r="G780" s="42" t="s">
        <v>108</v>
      </c>
      <c r="H780" s="43" t="str">
        <f>IFERROR(VLOOKUP($J780,'[9]FROM (3)'!$E$4:$F$230,2,FALSE),"")</f>
        <v>SIAM NSK</v>
      </c>
      <c r="I780" s="44" t="str">
        <f t="shared" si="114"/>
        <v>SHAFT SPLINE</v>
      </c>
      <c r="J780" s="44" t="str">
        <f t="shared" si="115"/>
        <v>2550S0647P</v>
      </c>
      <c r="K780" s="59" t="str">
        <f t="shared" si="112"/>
        <v>PD26010397</v>
      </c>
      <c r="L780" s="46" t="str" cm="1">
        <f t="array" ref="L780">IFERROR(_xlfn.IFS(
    LEN($A780)-LEN(SUBSTITUTE($A780,"|",""))=12, RIGHT(A780, LEN(A780)-FIND("~", SUBSTITUTE(A780,"|","~", LEN(A780)-LEN(SUBSTITUTE(A780,"|",""))))),
    LEN($A780)-LEN(SUBSTITUTE($A780,"|",""))=13, MID($A780, FIND("~", SUBSTITUTE($A780,"|","~", 11))+1, FIND("~", SUBSTITUTE($A780,"|","~", 12))-FIND("~", SUBSTITUTE($A780,"|","~", 11))-1),
    LEN($A780)-LEN(SUBSTITUTE($A780,"|",""))=14, MID($A780, FIND("~", SUBSTITUTE($A780,"|","~", 11))+1, FIND("~", SUBSTITUTE($A780,"|","~", 12))-FIND("~", SUBSTITUTE($A780,"|","~", 11))-1)
), "")</f>
        <v>E586424</v>
      </c>
      <c r="M780" s="47" t="str">
        <f t="shared" si="111"/>
        <v>SB010027/1/26</v>
      </c>
      <c r="N780" s="46" t="str">
        <f t="shared" si="113"/>
        <v/>
      </c>
      <c r="O780" s="60" t="s">
        <v>35</v>
      </c>
      <c r="P780" s="60" t="s">
        <v>35</v>
      </c>
      <c r="Q780" s="48">
        <v>371</v>
      </c>
      <c r="R780" s="48">
        <v>201</v>
      </c>
      <c r="S780" s="48" t="s">
        <v>35</v>
      </c>
      <c r="T780" s="48"/>
      <c r="U780" s="49">
        <v>121</v>
      </c>
      <c r="V780" s="49">
        <v>24</v>
      </c>
      <c r="W780" s="50">
        <f t="shared" si="110"/>
        <v>145</v>
      </c>
      <c r="X780" s="51">
        <f>IF(A780="", "", IF(COUNTIFS(C$3:C779, C780, D$3:D779, D780, G$3:G779, G780) &gt; 0, "", "11:00"-AW780))</f>
        <v>0.41666666666666663</v>
      </c>
      <c r="Y780" s="52" t="str">
        <f t="shared" si="116"/>
        <v>1:40</v>
      </c>
      <c r="Z780" s="53"/>
      <c r="AA780" s="54"/>
      <c r="AB780" s="53"/>
      <c r="AC780" s="54"/>
      <c r="AD780" s="53"/>
      <c r="AE780" s="54"/>
      <c r="AF780" s="53"/>
      <c r="AG780" s="54"/>
      <c r="AH780" s="55">
        <v>4.1666666666666699E-2</v>
      </c>
      <c r="AI780" s="53"/>
      <c r="AJ780" s="54"/>
      <c r="AK780" s="53"/>
      <c r="AL780" s="54"/>
      <c r="AM780" s="53"/>
      <c r="AN780" s="54"/>
      <c r="AO780" s="53"/>
      <c r="AP780" s="54"/>
      <c r="AQ780" s="53"/>
      <c r="AR780" s="54"/>
      <c r="AS780" s="53"/>
      <c r="AT780" s="54"/>
      <c r="AU780" s="53">
        <v>4.1666666666666699E-2</v>
      </c>
      <c r="AV780" s="54" t="s">
        <v>37</v>
      </c>
      <c r="AW780" s="57">
        <f t="shared" si="109"/>
        <v>4.1666666666666699E-2</v>
      </c>
      <c r="AX780" s="58" t="s">
        <v>109</v>
      </c>
    </row>
    <row r="781" spans="1:50" ht="21.75" customHeight="1">
      <c r="A781" s="66" t="s">
        <v>707</v>
      </c>
      <c r="B781" s="39">
        <f t="shared" si="117"/>
        <v>777</v>
      </c>
      <c r="C781" s="40">
        <v>46041</v>
      </c>
      <c r="D781" s="40" t="s">
        <v>80</v>
      </c>
      <c r="E781" s="40" t="s">
        <v>81</v>
      </c>
      <c r="F781" s="41">
        <v>263.5</v>
      </c>
      <c r="G781" s="42" t="s">
        <v>108</v>
      </c>
      <c r="H781" s="43" t="str">
        <f>IFERROR(VLOOKUP($J781,'[9]FROM (3)'!$E$4:$F$230,2,FALSE),"")</f>
        <v>SIAM NSK</v>
      </c>
      <c r="I781" s="44" t="str">
        <f t="shared" si="114"/>
        <v>SHAFT SPLINE</v>
      </c>
      <c r="J781" s="44" t="str">
        <f t="shared" si="115"/>
        <v>2550S0647P</v>
      </c>
      <c r="K781" s="59" t="str">
        <f t="shared" si="112"/>
        <v>PD26010398</v>
      </c>
      <c r="L781" s="46" t="str" cm="1">
        <f t="array" ref="L781">IFERROR(_xlfn.IFS(
    LEN($A781)-LEN(SUBSTITUTE($A781,"|",""))=12, RIGHT(A781, LEN(A781)-FIND("~", SUBSTITUTE(A781,"|","~", LEN(A781)-LEN(SUBSTITUTE(A781,"|",""))))),
    LEN($A781)-LEN(SUBSTITUTE($A781,"|",""))=13, MID($A781, FIND("~", SUBSTITUTE($A781,"|","~", 11))+1, FIND("~", SUBSTITUTE($A781,"|","~", 12))-FIND("~", SUBSTITUTE($A781,"|","~", 11))-1),
    LEN($A781)-LEN(SUBSTITUTE($A781,"|",""))=14, MID($A781, FIND("~", SUBSTITUTE($A781,"|","~", 11))+1, FIND("~", SUBSTITUTE($A781,"|","~", 12))-FIND("~", SUBSTITUTE($A781,"|","~", 11))-1)
), "")</f>
        <v>E586424</v>
      </c>
      <c r="M781" s="47" t="str">
        <f t="shared" si="111"/>
        <v>SB010027/4/26</v>
      </c>
      <c r="N781" s="46" t="str">
        <f t="shared" si="113"/>
        <v/>
      </c>
      <c r="O781" s="60">
        <v>113</v>
      </c>
      <c r="P781" s="60">
        <v>1032</v>
      </c>
      <c r="Q781" s="48">
        <v>1808</v>
      </c>
      <c r="R781" s="48">
        <v>981</v>
      </c>
      <c r="S781" s="48" t="s">
        <v>35</v>
      </c>
      <c r="T781" s="48"/>
      <c r="U781" s="49"/>
      <c r="V781" s="49"/>
      <c r="W781" s="50">
        <f t="shared" si="110"/>
        <v>0</v>
      </c>
      <c r="X781" s="51" t="str">
        <f>IF(A781="", "", IF(COUNTIFS(C$3:C780, C781, D$3:D780, D781, G$3:G780, G781) &gt; 0, "", "11:00"-AW781))</f>
        <v/>
      </c>
      <c r="Y781" s="52" t="str">
        <f t="shared" si="116"/>
        <v/>
      </c>
      <c r="Z781" s="53"/>
      <c r="AA781" s="54"/>
      <c r="AB781" s="53"/>
      <c r="AC781" s="54"/>
      <c r="AD781" s="53"/>
      <c r="AE781" s="54"/>
      <c r="AF781" s="53"/>
      <c r="AG781" s="54"/>
      <c r="AH781" s="55">
        <v>4.1666666666666699E-2</v>
      </c>
      <c r="AI781" s="53"/>
      <c r="AJ781" s="54"/>
      <c r="AK781" s="53"/>
      <c r="AL781" s="54"/>
      <c r="AM781" s="53"/>
      <c r="AN781" s="54"/>
      <c r="AO781" s="53"/>
      <c r="AP781" s="54"/>
      <c r="AQ781" s="53"/>
      <c r="AR781" s="54"/>
      <c r="AS781" s="53"/>
      <c r="AT781" s="54"/>
      <c r="AU781" s="53">
        <v>4.1666666666666699E-2</v>
      </c>
      <c r="AV781" s="54" t="s">
        <v>37</v>
      </c>
      <c r="AW781" s="57">
        <f t="shared" si="109"/>
        <v>4.1666666666666699E-2</v>
      </c>
      <c r="AX781" s="58" t="s">
        <v>109</v>
      </c>
    </row>
    <row r="782" spans="1:50" ht="21.75" customHeight="1">
      <c r="A782" s="66" t="s">
        <v>708</v>
      </c>
      <c r="B782" s="39">
        <f t="shared" si="117"/>
        <v>778</v>
      </c>
      <c r="C782" s="40">
        <v>46041</v>
      </c>
      <c r="D782" s="40" t="s">
        <v>80</v>
      </c>
      <c r="E782" s="40" t="s">
        <v>81</v>
      </c>
      <c r="F782" s="41" t="s">
        <v>709</v>
      </c>
      <c r="G782" s="42" t="s">
        <v>108</v>
      </c>
      <c r="H782" s="43" t="str">
        <f>IFERROR(VLOOKUP($J782,'[9]FROM (3)'!$E$4:$F$230,2,FALSE),"")</f>
        <v>SIAM NSK</v>
      </c>
      <c r="I782" s="44" t="str">
        <f t="shared" si="114"/>
        <v>SHAFT SPLINE</v>
      </c>
      <c r="J782" s="44" t="str">
        <f t="shared" si="115"/>
        <v>2550S0647P</v>
      </c>
      <c r="K782" s="59" t="str">
        <f t="shared" si="112"/>
        <v>PD26010398</v>
      </c>
      <c r="L782" s="46" t="str" cm="1">
        <f t="array" ref="L782">IFERROR(_xlfn.IFS(
    LEN($A782)-LEN(SUBSTITUTE($A782,"|",""))=12, RIGHT(A782, LEN(A782)-FIND("~", SUBSTITUTE(A782,"|","~", LEN(A782)-LEN(SUBSTITUTE(A782,"|",""))))),
    LEN($A782)-LEN(SUBSTITUTE($A782,"|",""))=13, MID($A782, FIND("~", SUBSTITUTE($A782,"|","~", 11))+1, FIND("~", SUBSTITUTE($A782,"|","~", 12))-FIND("~", SUBSTITUTE($A782,"|","~", 11))-1),
    LEN($A782)-LEN(SUBSTITUTE($A782,"|",""))=14, MID($A782, FIND("~", SUBSTITUTE($A782,"|","~", 11))+1, FIND("~", SUBSTITUTE($A782,"|","~", 12))-FIND("~", SUBSTITUTE($A782,"|","~", 11))-1)
), "")</f>
        <v>E586424</v>
      </c>
      <c r="M782" s="47" t="str">
        <f t="shared" si="111"/>
        <v>SB010027/6/26</v>
      </c>
      <c r="N782" s="46" t="str">
        <f t="shared" si="113"/>
        <v/>
      </c>
      <c r="O782" s="60">
        <v>110</v>
      </c>
      <c r="P782" s="60">
        <v>1004</v>
      </c>
      <c r="Q782" s="48">
        <v>1392</v>
      </c>
      <c r="R782" s="48">
        <v>755</v>
      </c>
      <c r="S782" s="48" t="s">
        <v>35</v>
      </c>
      <c r="T782" s="48"/>
      <c r="U782" s="49"/>
      <c r="V782" s="49"/>
      <c r="W782" s="50">
        <f t="shared" si="110"/>
        <v>0</v>
      </c>
      <c r="X782" s="51" t="str">
        <f>IF(A782="", "", IF(COUNTIFS(C$3:C781, C782, D$3:D781, D782, G$3:G781, G782) &gt; 0, "", "11:00"-AW782))</f>
        <v/>
      </c>
      <c r="Y782" s="52" t="str">
        <f t="shared" si="116"/>
        <v/>
      </c>
      <c r="Z782" s="53"/>
      <c r="AA782" s="54"/>
      <c r="AB782" s="53"/>
      <c r="AC782" s="54"/>
      <c r="AD782" s="53"/>
      <c r="AE782" s="54"/>
      <c r="AF782" s="53"/>
      <c r="AG782" s="54"/>
      <c r="AH782" s="55">
        <v>4.1666666666666699E-2</v>
      </c>
      <c r="AI782" s="53"/>
      <c r="AJ782" s="54"/>
      <c r="AK782" s="53"/>
      <c r="AL782" s="54"/>
      <c r="AM782" s="53"/>
      <c r="AN782" s="54"/>
      <c r="AO782" s="53"/>
      <c r="AP782" s="54"/>
      <c r="AQ782" s="53"/>
      <c r="AR782" s="54"/>
      <c r="AS782" s="53"/>
      <c r="AT782" s="54"/>
      <c r="AU782" s="53">
        <v>4.1666666666666699E-2</v>
      </c>
      <c r="AV782" s="54" t="s">
        <v>37</v>
      </c>
      <c r="AW782" s="57">
        <f t="shared" si="109"/>
        <v>4.1666666666666699E-2</v>
      </c>
      <c r="AX782" s="58" t="s">
        <v>109</v>
      </c>
    </row>
    <row r="783" spans="1:50" ht="21.75" customHeight="1">
      <c r="A783" s="66" t="s">
        <v>710</v>
      </c>
      <c r="B783" s="39">
        <f t="shared" si="117"/>
        <v>779</v>
      </c>
      <c r="C783" s="40">
        <v>46041</v>
      </c>
      <c r="D783" s="40" t="s">
        <v>80</v>
      </c>
      <c r="E783" s="40" t="s">
        <v>81</v>
      </c>
      <c r="F783" s="41">
        <v>756.8</v>
      </c>
      <c r="G783" s="42" t="s">
        <v>192</v>
      </c>
      <c r="H783" s="43" t="str">
        <f>IFERROR(VLOOKUP($J783,'[9]FROM (3)'!$E$4:$F$230,2,FALSE),"")</f>
        <v>JATH</v>
      </c>
      <c r="I783" s="44" t="str">
        <f t="shared" si="114"/>
        <v>JGF02-002190-31-2</v>
      </c>
      <c r="J783" s="44" t="str">
        <f t="shared" si="115"/>
        <v>RACK BAR BLANK (JGF02-002190-31-2) 5K45</v>
      </c>
      <c r="K783" s="59" t="str">
        <f t="shared" si="112"/>
        <v>PD25121244</v>
      </c>
      <c r="L783" s="46" t="str" cm="1">
        <f t="array" ref="L783">IFERROR(_xlfn.IFS(
    LEN($A783)-LEN(SUBSTITUTE($A783,"|",""))=12, RIGHT(A783, LEN(A783)-FIND("~", SUBSTITUTE(A783,"|","~", LEN(A783)-LEN(SUBSTITUTE(A783,"|",""))))),
    LEN($A783)-LEN(SUBSTITUTE($A783,"|",""))=13, MID($A783, FIND("~", SUBSTITUTE($A783,"|","~", 11))+1, FIND("~", SUBSTITUTE($A783,"|","~", 12))-FIND("~", SUBSTITUTE($A783,"|","~", 11))-1),
    LEN($A783)-LEN(SUBSTITUTE($A783,"|",""))=14, MID($A783, FIND("~", SUBSTITUTE($A783,"|","~", 11))+1, FIND("~", SUBSTITUTE($A783,"|","~", 12))-FIND("~", SUBSTITUTE($A783,"|","~", 11))-1)
), "")</f>
        <v>5A5658</v>
      </c>
      <c r="M783" s="47" t="str">
        <f t="shared" si="111"/>
        <v>TSK2</v>
      </c>
      <c r="N783" s="46" t="str">
        <f t="shared" si="113"/>
        <v>FB120363/4/25</v>
      </c>
      <c r="O783" s="60">
        <v>58</v>
      </c>
      <c r="P783" s="60">
        <v>280</v>
      </c>
      <c r="Q783" s="48">
        <v>58</v>
      </c>
      <c r="R783" s="48">
        <v>280</v>
      </c>
      <c r="S783" s="48"/>
      <c r="T783" s="48"/>
      <c r="U783" s="49"/>
      <c r="V783" s="49"/>
      <c r="W783" s="50">
        <f t="shared" si="110"/>
        <v>0</v>
      </c>
      <c r="X783" s="51">
        <f>IF(A783="", "", IF(COUNTIFS(C$3:C782, C783, D$3:D782, D783, G$3:G782, G783) &gt; 0, "", "11:00"-AW783))</f>
        <v>0.33333333333333326</v>
      </c>
      <c r="Y783" s="52" t="str">
        <f t="shared" si="116"/>
        <v>1:40</v>
      </c>
      <c r="Z783" s="53">
        <v>4.1666666666666664E-2</v>
      </c>
      <c r="AA783" s="54" t="s">
        <v>90</v>
      </c>
      <c r="AB783" s="53">
        <v>4.1666666666666664E-2</v>
      </c>
      <c r="AC783" s="54" t="s">
        <v>90</v>
      </c>
      <c r="AD783" s="53"/>
      <c r="AE783" s="54"/>
      <c r="AF783" s="53"/>
      <c r="AG783" s="54"/>
      <c r="AH783" s="55">
        <v>4.1666666666666699E-2</v>
      </c>
      <c r="AI783" s="53"/>
      <c r="AJ783" s="54"/>
      <c r="AK783" s="53"/>
      <c r="AL783" s="54"/>
      <c r="AM783" s="53"/>
      <c r="AN783" s="54"/>
      <c r="AO783" s="53"/>
      <c r="AP783" s="54"/>
      <c r="AQ783" s="53"/>
      <c r="AR783" s="54"/>
      <c r="AS783" s="53"/>
      <c r="AT783" s="54"/>
      <c r="AU783" s="53">
        <v>4.1666666666666699E-2</v>
      </c>
      <c r="AV783" s="54" t="s">
        <v>37</v>
      </c>
      <c r="AW783" s="57">
        <f t="shared" si="109"/>
        <v>0.12500000000000003</v>
      </c>
      <c r="AX783" s="58" t="s">
        <v>113</v>
      </c>
    </row>
    <row r="784" spans="1:50" ht="21.75" customHeight="1">
      <c r="A784" s="66" t="s">
        <v>711</v>
      </c>
      <c r="B784" s="39">
        <f t="shared" si="117"/>
        <v>780</v>
      </c>
      <c r="C784" s="40">
        <v>46041</v>
      </c>
      <c r="D784" s="40" t="s">
        <v>80</v>
      </c>
      <c r="E784" s="40" t="s">
        <v>81</v>
      </c>
      <c r="F784" s="41">
        <v>756.8</v>
      </c>
      <c r="G784" s="42" t="s">
        <v>192</v>
      </c>
      <c r="H784" s="43" t="str">
        <f>IFERROR(VLOOKUP($J784,'[9]FROM (3)'!$E$4:$F$230,2,FALSE),"")</f>
        <v>JATH</v>
      </c>
      <c r="I784" s="44" t="str">
        <f t="shared" si="114"/>
        <v>JGF02-002190-31-2</v>
      </c>
      <c r="J784" s="44" t="str">
        <f t="shared" si="115"/>
        <v>RACK BAR BLANK (JGF02-002190-31-2) 5K45</v>
      </c>
      <c r="K784" s="59" t="str">
        <f t="shared" si="112"/>
        <v>PD25121244</v>
      </c>
      <c r="L784" s="46" t="str" cm="1">
        <f t="array" ref="L784">IFERROR(_xlfn.IFS(
    LEN($A784)-LEN(SUBSTITUTE($A784,"|",""))=12, RIGHT(A784, LEN(A784)-FIND("~", SUBSTITUTE(A784,"|","~", LEN(A784)-LEN(SUBSTITUTE(A784,"|",""))))),
    LEN($A784)-LEN(SUBSTITUTE($A784,"|",""))=13, MID($A784, FIND("~", SUBSTITUTE($A784,"|","~", 11))+1, FIND("~", SUBSTITUTE($A784,"|","~", 12))-FIND("~", SUBSTITUTE($A784,"|","~", 11))-1),
    LEN($A784)-LEN(SUBSTITUTE($A784,"|",""))=14, MID($A784, FIND("~", SUBSTITUTE($A784,"|","~", 11))+1, FIND("~", SUBSTITUTE($A784,"|","~", 12))-FIND("~", SUBSTITUTE($A784,"|","~", 11))-1)
), "")</f>
        <v>5A5658</v>
      </c>
      <c r="M784" s="47" t="str">
        <f t="shared" si="111"/>
        <v>TSK2</v>
      </c>
      <c r="N784" s="46" t="str">
        <f t="shared" si="113"/>
        <v>FB120363/18/25</v>
      </c>
      <c r="O784" s="60">
        <v>58</v>
      </c>
      <c r="P784" s="60">
        <v>280</v>
      </c>
      <c r="Q784" s="48">
        <v>58</v>
      </c>
      <c r="R784" s="48">
        <v>280</v>
      </c>
      <c r="S784" s="48"/>
      <c r="T784" s="48"/>
      <c r="U784" s="49"/>
      <c r="V784" s="49"/>
      <c r="W784" s="50">
        <f t="shared" si="110"/>
        <v>0</v>
      </c>
      <c r="X784" s="51" t="str">
        <f>IF(A784="", "", IF(COUNTIFS(C$3:C783, C784, D$3:D783, D784, G$3:G783, G784) &gt; 0, "", "11:00"-AW784))</f>
        <v/>
      </c>
      <c r="Y784" s="52" t="str">
        <f t="shared" si="116"/>
        <v/>
      </c>
      <c r="Z784" s="53"/>
      <c r="AA784" s="54"/>
      <c r="AB784" s="53"/>
      <c r="AC784" s="54"/>
      <c r="AD784" s="53"/>
      <c r="AE784" s="54"/>
      <c r="AF784" s="53"/>
      <c r="AG784" s="54"/>
      <c r="AH784" s="55">
        <v>4.1666666666666699E-2</v>
      </c>
      <c r="AI784" s="53"/>
      <c r="AJ784" s="54"/>
      <c r="AK784" s="53"/>
      <c r="AL784" s="54"/>
      <c r="AM784" s="53"/>
      <c r="AN784" s="54"/>
      <c r="AO784" s="53"/>
      <c r="AP784" s="54"/>
      <c r="AQ784" s="53"/>
      <c r="AR784" s="54"/>
      <c r="AS784" s="53"/>
      <c r="AT784" s="54"/>
      <c r="AU784" s="53">
        <v>4.1666666666666699E-2</v>
      </c>
      <c r="AV784" s="54" t="s">
        <v>37</v>
      </c>
      <c r="AW784" s="57">
        <f t="shared" si="109"/>
        <v>4.1666666666666699E-2</v>
      </c>
      <c r="AX784" s="58" t="s">
        <v>113</v>
      </c>
    </row>
    <row r="785" spans="1:50" ht="21.75" customHeight="1">
      <c r="A785" s="66" t="s">
        <v>712</v>
      </c>
      <c r="B785" s="39">
        <f t="shared" si="117"/>
        <v>781</v>
      </c>
      <c r="C785" s="40">
        <v>46041</v>
      </c>
      <c r="D785" s="40" t="s">
        <v>80</v>
      </c>
      <c r="E785" s="40" t="s">
        <v>81</v>
      </c>
      <c r="F785" s="41">
        <v>756.8</v>
      </c>
      <c r="G785" s="42" t="s">
        <v>192</v>
      </c>
      <c r="H785" s="43" t="str">
        <f>IFERROR(VLOOKUP($J785,'[9]FROM (3)'!$E$4:$F$230,2,FALSE),"")</f>
        <v>JATH</v>
      </c>
      <c r="I785" s="44" t="str">
        <f t="shared" si="114"/>
        <v>JGF02-002190-31-2</v>
      </c>
      <c r="J785" s="44" t="str">
        <f t="shared" si="115"/>
        <v>RACK BAR BLANK (JGF02-002190-31-2) 5K45</v>
      </c>
      <c r="K785" s="59" t="str">
        <f t="shared" si="112"/>
        <v>PD25121244</v>
      </c>
      <c r="L785" s="46" t="str" cm="1">
        <f t="array" ref="L785">IFERROR(_xlfn.IFS(
    LEN($A785)-LEN(SUBSTITUTE($A785,"|",""))=12, RIGHT(A785, LEN(A785)-FIND("~", SUBSTITUTE(A785,"|","~", LEN(A785)-LEN(SUBSTITUTE(A785,"|",""))))),
    LEN($A785)-LEN(SUBSTITUTE($A785,"|",""))=13, MID($A785, FIND("~", SUBSTITUTE($A785,"|","~", 11))+1, FIND("~", SUBSTITUTE($A785,"|","~", 12))-FIND("~", SUBSTITUTE($A785,"|","~", 11))-1),
    LEN($A785)-LEN(SUBSTITUTE($A785,"|",""))=14, MID($A785, FIND("~", SUBSTITUTE($A785,"|","~", 11))+1, FIND("~", SUBSTITUTE($A785,"|","~", 12))-FIND("~", SUBSTITUTE($A785,"|","~", 11))-1)
), "")</f>
        <v>5A5658</v>
      </c>
      <c r="M785" s="47" t="str">
        <f t="shared" si="111"/>
        <v>TSK2</v>
      </c>
      <c r="N785" s="46" t="str">
        <f t="shared" si="113"/>
        <v>FB120363/2/25</v>
      </c>
      <c r="O785" s="60">
        <v>58</v>
      </c>
      <c r="P785" s="60">
        <v>280</v>
      </c>
      <c r="Q785" s="48">
        <v>58</v>
      </c>
      <c r="R785" s="48">
        <v>280</v>
      </c>
      <c r="S785" s="48"/>
      <c r="T785" s="48"/>
      <c r="U785" s="49"/>
      <c r="V785" s="49"/>
      <c r="W785" s="50">
        <f t="shared" si="110"/>
        <v>0</v>
      </c>
      <c r="X785" s="51" t="str">
        <f>IF(A785="", "", IF(COUNTIFS(C$3:C784, C785, D$3:D784, D785, G$3:G784, G785) &gt; 0, "", "11:00"-AW785))</f>
        <v/>
      </c>
      <c r="Y785" s="52" t="str">
        <f t="shared" si="116"/>
        <v/>
      </c>
      <c r="Z785" s="53"/>
      <c r="AA785" s="54"/>
      <c r="AB785" s="53"/>
      <c r="AC785" s="54"/>
      <c r="AD785" s="53"/>
      <c r="AE785" s="54"/>
      <c r="AF785" s="53"/>
      <c r="AG785" s="54"/>
      <c r="AH785" s="55">
        <v>4.1666666666666699E-2</v>
      </c>
      <c r="AI785" s="53"/>
      <c r="AJ785" s="54"/>
      <c r="AK785" s="53"/>
      <c r="AL785" s="54"/>
      <c r="AM785" s="53"/>
      <c r="AN785" s="54"/>
      <c r="AO785" s="53"/>
      <c r="AP785" s="54"/>
      <c r="AQ785" s="53"/>
      <c r="AR785" s="54"/>
      <c r="AS785" s="53"/>
      <c r="AT785" s="54"/>
      <c r="AU785" s="53">
        <v>4.1666666666666699E-2</v>
      </c>
      <c r="AV785" s="54" t="s">
        <v>37</v>
      </c>
      <c r="AW785" s="57">
        <f t="shared" si="109"/>
        <v>4.1666666666666699E-2</v>
      </c>
      <c r="AX785" s="58" t="s">
        <v>113</v>
      </c>
    </row>
    <row r="786" spans="1:50" ht="21.75" customHeight="1">
      <c r="A786" s="66" t="s">
        <v>713</v>
      </c>
      <c r="B786" s="39">
        <f t="shared" si="117"/>
        <v>782</v>
      </c>
      <c r="C786" s="40">
        <v>46041</v>
      </c>
      <c r="D786" s="40" t="s">
        <v>80</v>
      </c>
      <c r="E786" s="40" t="s">
        <v>81</v>
      </c>
      <c r="F786" s="41">
        <v>756.8</v>
      </c>
      <c r="G786" s="42" t="s">
        <v>192</v>
      </c>
      <c r="H786" s="43" t="str">
        <f>IFERROR(VLOOKUP($J786,'[9]FROM (3)'!$E$4:$F$230,2,FALSE),"")</f>
        <v>JATH</v>
      </c>
      <c r="I786" s="44" t="str">
        <f t="shared" si="114"/>
        <v>JGF02-002190-31-2</v>
      </c>
      <c r="J786" s="44" t="str">
        <f t="shared" si="115"/>
        <v>RACK BAR BLANK (JGF02-002190-31-2) 5K45</v>
      </c>
      <c r="K786" s="59" t="str">
        <f t="shared" si="112"/>
        <v>PD25121244</v>
      </c>
      <c r="L786" s="46" t="str" cm="1">
        <f t="array" ref="L786">IFERROR(_xlfn.IFS(
    LEN($A786)-LEN(SUBSTITUTE($A786,"|",""))=12, RIGHT(A786, LEN(A786)-FIND("~", SUBSTITUTE(A786,"|","~", LEN(A786)-LEN(SUBSTITUTE(A786,"|",""))))),
    LEN($A786)-LEN(SUBSTITUTE($A786,"|",""))=13, MID($A786, FIND("~", SUBSTITUTE($A786,"|","~", 11))+1, FIND("~", SUBSTITUTE($A786,"|","~", 12))-FIND("~", SUBSTITUTE($A786,"|","~", 11))-1),
    LEN($A786)-LEN(SUBSTITUTE($A786,"|",""))=14, MID($A786, FIND("~", SUBSTITUTE($A786,"|","~", 11))+1, FIND("~", SUBSTITUTE($A786,"|","~", 12))-FIND("~", SUBSTITUTE($A786,"|","~", 11))-1)
), "")</f>
        <v>5A5658</v>
      </c>
      <c r="M786" s="47" t="str">
        <f t="shared" si="111"/>
        <v>TSK2</v>
      </c>
      <c r="N786" s="46" t="str">
        <f t="shared" si="113"/>
        <v>FB120363/19/25</v>
      </c>
      <c r="O786" s="60">
        <v>58</v>
      </c>
      <c r="P786" s="60">
        <v>280</v>
      </c>
      <c r="Q786" s="48">
        <v>58</v>
      </c>
      <c r="R786" s="48">
        <v>280</v>
      </c>
      <c r="S786" s="48"/>
      <c r="T786" s="48"/>
      <c r="U786" s="49"/>
      <c r="V786" s="49"/>
      <c r="W786" s="50">
        <f t="shared" si="110"/>
        <v>0</v>
      </c>
      <c r="X786" s="51" t="str">
        <f>IF(A786="", "", IF(COUNTIFS(C$3:C785, C786, D$3:D785, D786, G$3:G785, G786) &gt; 0, "", "11:00"-AW786))</f>
        <v/>
      </c>
      <c r="Y786" s="52" t="str">
        <f t="shared" si="116"/>
        <v/>
      </c>
      <c r="Z786" s="53"/>
      <c r="AA786" s="54"/>
      <c r="AB786" s="53"/>
      <c r="AC786" s="54"/>
      <c r="AD786" s="53"/>
      <c r="AE786" s="54"/>
      <c r="AF786" s="53"/>
      <c r="AG786" s="54"/>
      <c r="AH786" s="55">
        <v>4.1666666666666699E-2</v>
      </c>
      <c r="AI786" s="53"/>
      <c r="AJ786" s="54"/>
      <c r="AK786" s="53"/>
      <c r="AL786" s="54"/>
      <c r="AM786" s="53"/>
      <c r="AN786" s="54"/>
      <c r="AO786" s="53"/>
      <c r="AP786" s="54"/>
      <c r="AQ786" s="53"/>
      <c r="AR786" s="54"/>
      <c r="AS786" s="53"/>
      <c r="AT786" s="54"/>
      <c r="AU786" s="53">
        <v>4.1666666666666699E-2</v>
      </c>
      <c r="AV786" s="54" t="s">
        <v>37</v>
      </c>
      <c r="AW786" s="57">
        <f t="shared" si="109"/>
        <v>4.1666666666666699E-2</v>
      </c>
      <c r="AX786" s="58" t="s">
        <v>113</v>
      </c>
    </row>
    <row r="787" spans="1:50" ht="21.75" customHeight="1">
      <c r="A787" s="66" t="s">
        <v>714</v>
      </c>
      <c r="B787" s="39">
        <f t="shared" si="117"/>
        <v>783</v>
      </c>
      <c r="C787" s="40">
        <v>46041</v>
      </c>
      <c r="D787" s="40" t="s">
        <v>80</v>
      </c>
      <c r="E787" s="40" t="s">
        <v>81</v>
      </c>
      <c r="F787" s="41">
        <v>756.8</v>
      </c>
      <c r="G787" s="42" t="s">
        <v>192</v>
      </c>
      <c r="H787" s="43" t="str">
        <f>IFERROR(VLOOKUP($J787,'[9]FROM (3)'!$E$4:$F$230,2,FALSE),"")</f>
        <v>JATH</v>
      </c>
      <c r="I787" s="44" t="str">
        <f t="shared" si="114"/>
        <v>JGF02-002190-31-2</v>
      </c>
      <c r="J787" s="44" t="str">
        <f t="shared" si="115"/>
        <v>RACK BAR BLANK (JGF02-002190-31-2) 5K45</v>
      </c>
      <c r="K787" s="59" t="str">
        <f t="shared" si="112"/>
        <v>PD25121244</v>
      </c>
      <c r="L787" s="46" t="str" cm="1">
        <f t="array" ref="L787">IFERROR(_xlfn.IFS(
    LEN($A787)-LEN(SUBSTITUTE($A787,"|",""))=12, RIGHT(A787, LEN(A787)-FIND("~", SUBSTITUTE(A787,"|","~", LEN(A787)-LEN(SUBSTITUTE(A787,"|",""))))),
    LEN($A787)-LEN(SUBSTITUTE($A787,"|",""))=13, MID($A787, FIND("~", SUBSTITUTE($A787,"|","~", 11))+1, FIND("~", SUBSTITUTE($A787,"|","~", 12))-FIND("~", SUBSTITUTE($A787,"|","~", 11))-1),
    LEN($A787)-LEN(SUBSTITUTE($A787,"|",""))=14, MID($A787, FIND("~", SUBSTITUTE($A787,"|","~", 11))+1, FIND("~", SUBSTITUTE($A787,"|","~", 12))-FIND("~", SUBSTITUTE($A787,"|","~", 11))-1)
), "")</f>
        <v>5A5658</v>
      </c>
      <c r="M787" s="47" t="str">
        <f t="shared" si="111"/>
        <v>TSK2</v>
      </c>
      <c r="N787" s="46" t="str">
        <f t="shared" si="113"/>
        <v>FB120363/20/25</v>
      </c>
      <c r="O787" s="60">
        <v>51</v>
      </c>
      <c r="P787" s="60">
        <v>246</v>
      </c>
      <c r="Q787" s="48">
        <v>51</v>
      </c>
      <c r="R787" s="48">
        <v>246</v>
      </c>
      <c r="S787" s="48"/>
      <c r="T787" s="48"/>
      <c r="U787" s="49"/>
      <c r="V787" s="49"/>
      <c r="W787" s="50">
        <f t="shared" si="110"/>
        <v>0</v>
      </c>
      <c r="X787" s="51" t="str">
        <f>IF(A787="", "", IF(COUNTIFS(C$3:C786, C787, D$3:D786, D787, G$3:G786, G787) &gt; 0, "", "11:00"-AW787))</f>
        <v/>
      </c>
      <c r="Y787" s="52" t="str">
        <f t="shared" si="116"/>
        <v/>
      </c>
      <c r="Z787" s="53"/>
      <c r="AA787" s="54"/>
      <c r="AB787" s="53"/>
      <c r="AC787" s="54"/>
      <c r="AD787" s="53"/>
      <c r="AE787" s="54"/>
      <c r="AF787" s="53"/>
      <c r="AG787" s="54"/>
      <c r="AH787" s="55">
        <v>4.1666666666666699E-2</v>
      </c>
      <c r="AI787" s="53"/>
      <c r="AJ787" s="54"/>
      <c r="AK787" s="53"/>
      <c r="AL787" s="54"/>
      <c r="AM787" s="53"/>
      <c r="AN787" s="54"/>
      <c r="AO787" s="53"/>
      <c r="AP787" s="54"/>
      <c r="AQ787" s="53"/>
      <c r="AR787" s="54"/>
      <c r="AS787" s="53"/>
      <c r="AT787" s="54"/>
      <c r="AU787" s="53">
        <v>4.1666666666666699E-2</v>
      </c>
      <c r="AV787" s="54" t="s">
        <v>37</v>
      </c>
      <c r="AW787" s="57">
        <f t="shared" si="109"/>
        <v>4.1666666666666699E-2</v>
      </c>
      <c r="AX787" s="58" t="s">
        <v>113</v>
      </c>
    </row>
    <row r="788" spans="1:50" ht="21.75" customHeight="1">
      <c r="A788" s="66" t="s">
        <v>715</v>
      </c>
      <c r="B788" s="39">
        <f t="shared" si="117"/>
        <v>784</v>
      </c>
      <c r="C788" s="40">
        <v>46041</v>
      </c>
      <c r="D788" s="40" t="s">
        <v>80</v>
      </c>
      <c r="E788" s="40" t="s">
        <v>81</v>
      </c>
      <c r="F788" s="41">
        <v>756.8</v>
      </c>
      <c r="G788" s="42" t="s">
        <v>192</v>
      </c>
      <c r="H788" s="43" t="str">
        <f>IFERROR(VLOOKUP($J788,'[9]FROM (3)'!$E$4:$F$230,2,FALSE),"")</f>
        <v>JATH</v>
      </c>
      <c r="I788" s="44" t="str">
        <f t="shared" si="114"/>
        <v>JGF02-002190-31-2</v>
      </c>
      <c r="J788" s="44" t="str">
        <f t="shared" si="115"/>
        <v>RACK BAR BLANK (JGF02-002190-31-2) 5K45</v>
      </c>
      <c r="K788" s="59" t="str">
        <f t="shared" si="112"/>
        <v>PD25121245</v>
      </c>
      <c r="L788" s="46" t="str" cm="1">
        <f t="array" ref="L788">IFERROR(_xlfn.IFS(
    LEN($A788)-LEN(SUBSTITUTE($A788,"|",""))=12, RIGHT(A788, LEN(A788)-FIND("~", SUBSTITUTE(A788,"|","~", LEN(A788)-LEN(SUBSTITUTE(A788,"|",""))))),
    LEN($A788)-LEN(SUBSTITUTE($A788,"|",""))=13, MID($A788, FIND("~", SUBSTITUTE($A788,"|","~", 11))+1, FIND("~", SUBSTITUTE($A788,"|","~", 12))-FIND("~", SUBSTITUTE($A788,"|","~", 11))-1),
    LEN($A788)-LEN(SUBSTITUTE($A788,"|",""))=14, MID($A788, FIND("~", SUBSTITUTE($A788,"|","~", 11))+1, FIND("~", SUBSTITUTE($A788,"|","~", 12))-FIND("~", SUBSTITUTE($A788,"|","~", 11))-1)
), "")</f>
        <v>5A5913</v>
      </c>
      <c r="M788" s="47" t="str">
        <f t="shared" si="111"/>
        <v>TSK2</v>
      </c>
      <c r="N788" s="46" t="str">
        <f t="shared" si="113"/>
        <v>FB010002/1/26</v>
      </c>
      <c r="O788" s="60">
        <v>7</v>
      </c>
      <c r="P788" s="60">
        <v>34</v>
      </c>
      <c r="Q788" s="48">
        <v>7</v>
      </c>
      <c r="R788" s="48">
        <v>34</v>
      </c>
      <c r="S788" s="48"/>
      <c r="T788" s="48"/>
      <c r="U788" s="49"/>
      <c r="V788" s="49"/>
      <c r="W788" s="50">
        <f t="shared" si="110"/>
        <v>0</v>
      </c>
      <c r="X788" s="51" t="str">
        <f>IF(A788="", "", IF(COUNTIFS(C$3:C787, C788, D$3:D787, D788, G$3:G787, G788) &gt; 0, "", "11:00"-AW788))</f>
        <v/>
      </c>
      <c r="Y788" s="52" t="str">
        <f t="shared" si="116"/>
        <v/>
      </c>
      <c r="Z788" s="53"/>
      <c r="AA788" s="54"/>
      <c r="AB788" s="53"/>
      <c r="AC788" s="54"/>
      <c r="AD788" s="53"/>
      <c r="AE788" s="54"/>
      <c r="AF788" s="53"/>
      <c r="AG788" s="54"/>
      <c r="AH788" s="55">
        <v>4.1666666666666699E-2</v>
      </c>
      <c r="AI788" s="53"/>
      <c r="AJ788" s="54"/>
      <c r="AK788" s="53"/>
      <c r="AL788" s="54"/>
      <c r="AM788" s="53"/>
      <c r="AN788" s="54"/>
      <c r="AO788" s="53"/>
      <c r="AP788" s="54"/>
      <c r="AQ788" s="53"/>
      <c r="AR788" s="54"/>
      <c r="AS788" s="53"/>
      <c r="AT788" s="54"/>
      <c r="AU788" s="53">
        <v>4.1666666666666699E-2</v>
      </c>
      <c r="AV788" s="54" t="s">
        <v>37</v>
      </c>
      <c r="AW788" s="57">
        <f t="shared" si="109"/>
        <v>4.1666666666666699E-2</v>
      </c>
      <c r="AX788" s="58" t="s">
        <v>113</v>
      </c>
    </row>
    <row r="789" spans="1:50" ht="21.75" customHeight="1">
      <c r="A789" s="66" t="s">
        <v>716</v>
      </c>
      <c r="B789" s="39">
        <f t="shared" si="117"/>
        <v>785</v>
      </c>
      <c r="C789" s="40">
        <v>46041</v>
      </c>
      <c r="D789" s="40" t="s">
        <v>80</v>
      </c>
      <c r="E789" s="40" t="s">
        <v>81</v>
      </c>
      <c r="F789" s="41">
        <v>756.8</v>
      </c>
      <c r="G789" s="42" t="s">
        <v>192</v>
      </c>
      <c r="H789" s="43" t="str">
        <f>IFERROR(VLOOKUP($J789,'[9]FROM (3)'!$E$4:$F$230,2,FALSE),"")</f>
        <v>JATH</v>
      </c>
      <c r="I789" s="44" t="str">
        <f t="shared" si="114"/>
        <v>JGF02-002190-31-2</v>
      </c>
      <c r="J789" s="44" t="str">
        <f t="shared" si="115"/>
        <v>RACK BAR BLANK (JGF02-002190-31-2) 5K45</v>
      </c>
      <c r="K789" s="59" t="str">
        <f t="shared" si="112"/>
        <v>PD25121245</v>
      </c>
      <c r="L789" s="46" t="str" cm="1">
        <f t="array" ref="L789">IFERROR(_xlfn.IFS(
    LEN($A789)-LEN(SUBSTITUTE($A789,"|",""))=12, RIGHT(A789, LEN(A789)-FIND("~", SUBSTITUTE(A789,"|","~", LEN(A789)-LEN(SUBSTITUTE(A789,"|",""))))),
    LEN($A789)-LEN(SUBSTITUTE($A789,"|",""))=13, MID($A789, FIND("~", SUBSTITUTE($A789,"|","~", 11))+1, FIND("~", SUBSTITUTE($A789,"|","~", 12))-FIND("~", SUBSTITUTE($A789,"|","~", 11))-1),
    LEN($A789)-LEN(SUBSTITUTE($A789,"|",""))=14, MID($A789, FIND("~", SUBSTITUTE($A789,"|","~", 11))+1, FIND("~", SUBSTITUTE($A789,"|","~", 12))-FIND("~", SUBSTITUTE($A789,"|","~", 11))-1)
), "")</f>
        <v>5A5913</v>
      </c>
      <c r="M789" s="47" t="str">
        <f t="shared" si="111"/>
        <v>TSK2</v>
      </c>
      <c r="N789" s="46" t="str">
        <f t="shared" si="113"/>
        <v>FB010002/14/26</v>
      </c>
      <c r="O789" s="60">
        <v>58</v>
      </c>
      <c r="P789" s="60">
        <v>280</v>
      </c>
      <c r="Q789" s="48">
        <v>58</v>
      </c>
      <c r="R789" s="48">
        <v>280</v>
      </c>
      <c r="S789" s="48"/>
      <c r="T789" s="48"/>
      <c r="U789" s="49"/>
      <c r="V789" s="49"/>
      <c r="W789" s="50">
        <f t="shared" si="110"/>
        <v>0</v>
      </c>
      <c r="X789" s="51" t="str">
        <f>IF(A789="", "", IF(COUNTIFS(C$3:C788, C789, D$3:D788, D789, G$3:G788, G789) &gt; 0, "", "11:00"-AW789))</f>
        <v/>
      </c>
      <c r="Y789" s="52" t="str">
        <f t="shared" si="116"/>
        <v/>
      </c>
      <c r="Z789" s="53"/>
      <c r="AA789" s="54"/>
      <c r="AB789" s="53"/>
      <c r="AC789" s="54"/>
      <c r="AD789" s="53"/>
      <c r="AE789" s="54"/>
      <c r="AF789" s="53"/>
      <c r="AG789" s="54"/>
      <c r="AH789" s="55">
        <v>4.1666666666666699E-2</v>
      </c>
      <c r="AI789" s="53"/>
      <c r="AJ789" s="54"/>
      <c r="AK789" s="53"/>
      <c r="AL789" s="54"/>
      <c r="AM789" s="53"/>
      <c r="AN789" s="54"/>
      <c r="AO789" s="53"/>
      <c r="AP789" s="54"/>
      <c r="AQ789" s="53"/>
      <c r="AR789" s="54"/>
      <c r="AS789" s="53"/>
      <c r="AT789" s="54"/>
      <c r="AU789" s="53">
        <v>4.1666666666666699E-2</v>
      </c>
      <c r="AV789" s="54" t="s">
        <v>37</v>
      </c>
      <c r="AW789" s="57">
        <f t="shared" si="109"/>
        <v>4.1666666666666699E-2</v>
      </c>
      <c r="AX789" s="58" t="s">
        <v>113</v>
      </c>
    </row>
    <row r="790" spans="1:50" ht="21.75" customHeight="1">
      <c r="A790" s="66" t="s">
        <v>717</v>
      </c>
      <c r="B790" s="39">
        <f t="shared" si="117"/>
        <v>786</v>
      </c>
      <c r="C790" s="40">
        <v>46041</v>
      </c>
      <c r="D790" s="40" t="s">
        <v>80</v>
      </c>
      <c r="E790" s="40" t="s">
        <v>81</v>
      </c>
      <c r="F790" s="41">
        <v>756.8</v>
      </c>
      <c r="G790" s="42" t="s">
        <v>192</v>
      </c>
      <c r="H790" s="43" t="str">
        <f>IFERROR(VLOOKUP($J790,'[9]FROM (3)'!$E$4:$F$230,2,FALSE),"")</f>
        <v>JATH</v>
      </c>
      <c r="I790" s="44" t="str">
        <f t="shared" si="114"/>
        <v>JGF02-002190-31-2</v>
      </c>
      <c r="J790" s="44" t="str">
        <f t="shared" si="115"/>
        <v>RACK BAR BLANK (JGF02-002190-31-2) 5K45</v>
      </c>
      <c r="K790" s="59" t="str">
        <f t="shared" si="112"/>
        <v>PD25121245</v>
      </c>
      <c r="L790" s="46" t="str" cm="1">
        <f t="array" ref="L790">IFERROR(_xlfn.IFS(
    LEN($A790)-LEN(SUBSTITUTE($A790,"|",""))=12, RIGHT(A790, LEN(A790)-FIND("~", SUBSTITUTE(A790,"|","~", LEN(A790)-LEN(SUBSTITUTE(A790,"|",""))))),
    LEN($A790)-LEN(SUBSTITUTE($A790,"|",""))=13, MID($A790, FIND("~", SUBSTITUTE($A790,"|","~", 11))+1, FIND("~", SUBSTITUTE($A790,"|","~", 12))-FIND("~", SUBSTITUTE($A790,"|","~", 11))-1),
    LEN($A790)-LEN(SUBSTITUTE($A790,"|",""))=14, MID($A790, FIND("~", SUBSTITUTE($A790,"|","~", 11))+1, FIND("~", SUBSTITUTE($A790,"|","~", 12))-FIND("~", SUBSTITUTE($A790,"|","~", 11))-1)
), "")</f>
        <v>5A5913</v>
      </c>
      <c r="M790" s="47" t="str">
        <f t="shared" si="111"/>
        <v>TSK2</v>
      </c>
      <c r="N790" s="46" t="str">
        <f t="shared" si="113"/>
        <v>FB010002/12/26</v>
      </c>
      <c r="O790" s="60">
        <v>58</v>
      </c>
      <c r="P790" s="60">
        <v>280</v>
      </c>
      <c r="Q790" s="48">
        <v>58</v>
      </c>
      <c r="R790" s="48">
        <v>280</v>
      </c>
      <c r="S790" s="48"/>
      <c r="T790" s="48"/>
      <c r="U790" s="49"/>
      <c r="V790" s="49"/>
      <c r="W790" s="50">
        <f t="shared" si="110"/>
        <v>0</v>
      </c>
      <c r="X790" s="51" t="str">
        <f>IF(A790="", "", IF(COUNTIFS(C$3:C789, C790, D$3:D789, D790, G$3:G789, G790) &gt; 0, "", "11:00"-AW790))</f>
        <v/>
      </c>
      <c r="Y790" s="52" t="str">
        <f t="shared" si="116"/>
        <v/>
      </c>
      <c r="Z790" s="53"/>
      <c r="AA790" s="54"/>
      <c r="AB790" s="53"/>
      <c r="AC790" s="54"/>
      <c r="AD790" s="53"/>
      <c r="AE790" s="54"/>
      <c r="AF790" s="53"/>
      <c r="AG790" s="54"/>
      <c r="AH790" s="55">
        <v>4.1666666666666699E-2</v>
      </c>
      <c r="AI790" s="53"/>
      <c r="AJ790" s="54"/>
      <c r="AK790" s="53"/>
      <c r="AL790" s="54"/>
      <c r="AM790" s="53"/>
      <c r="AN790" s="54"/>
      <c r="AO790" s="53"/>
      <c r="AP790" s="54"/>
      <c r="AQ790" s="53"/>
      <c r="AR790" s="54"/>
      <c r="AS790" s="53"/>
      <c r="AT790" s="54"/>
      <c r="AU790" s="53">
        <v>4.1666666666666699E-2</v>
      </c>
      <c r="AV790" s="54" t="s">
        <v>37</v>
      </c>
      <c r="AW790" s="57">
        <f t="shared" si="109"/>
        <v>4.1666666666666699E-2</v>
      </c>
      <c r="AX790" s="58" t="s">
        <v>113</v>
      </c>
    </row>
    <row r="791" spans="1:50" ht="21.75" customHeight="1">
      <c r="A791" s="66" t="s">
        <v>718</v>
      </c>
      <c r="B791" s="39">
        <f t="shared" si="117"/>
        <v>787</v>
      </c>
      <c r="C791" s="40">
        <v>46041</v>
      </c>
      <c r="D791" s="40" t="s">
        <v>80</v>
      </c>
      <c r="E791" s="40" t="s">
        <v>81</v>
      </c>
      <c r="F791" s="41">
        <v>756.8</v>
      </c>
      <c r="G791" s="42" t="s">
        <v>192</v>
      </c>
      <c r="H791" s="43" t="str">
        <f>IFERROR(VLOOKUP($J791,'[9]FROM (3)'!$E$4:$F$230,2,FALSE),"")</f>
        <v>JATH</v>
      </c>
      <c r="I791" s="44" t="str">
        <f t="shared" si="114"/>
        <v>JGF02-002190-31-2</v>
      </c>
      <c r="J791" s="44" t="str">
        <f t="shared" si="115"/>
        <v>RACK BAR BLANK (JGF02-002190-31-2) 5K45</v>
      </c>
      <c r="K791" s="59" t="str">
        <f t="shared" si="112"/>
        <v>PD25121245</v>
      </c>
      <c r="L791" s="46" t="str" cm="1">
        <f t="array" ref="L791">IFERROR(_xlfn.IFS(
    LEN($A791)-LEN(SUBSTITUTE($A791,"|",""))=12, RIGHT(A791, LEN(A791)-FIND("~", SUBSTITUTE(A791,"|","~", LEN(A791)-LEN(SUBSTITUTE(A791,"|",""))))),
    LEN($A791)-LEN(SUBSTITUTE($A791,"|",""))=13, MID($A791, FIND("~", SUBSTITUTE($A791,"|","~", 11))+1, FIND("~", SUBSTITUTE($A791,"|","~", 12))-FIND("~", SUBSTITUTE($A791,"|","~", 11))-1),
    LEN($A791)-LEN(SUBSTITUTE($A791,"|",""))=14, MID($A791, FIND("~", SUBSTITUTE($A791,"|","~", 11))+1, FIND("~", SUBSTITUTE($A791,"|","~", 12))-FIND("~", SUBSTITUTE($A791,"|","~", 11))-1)
), "")</f>
        <v>5A5913</v>
      </c>
      <c r="M791" s="47" t="str">
        <f t="shared" si="111"/>
        <v>TSK2</v>
      </c>
      <c r="N791" s="46" t="str">
        <f t="shared" si="113"/>
        <v>FB010002/4/26</v>
      </c>
      <c r="O791" s="60">
        <v>58</v>
      </c>
      <c r="P791" s="60">
        <v>280</v>
      </c>
      <c r="Q791" s="48">
        <v>58</v>
      </c>
      <c r="R791" s="48">
        <v>280</v>
      </c>
      <c r="S791" s="48"/>
      <c r="T791" s="48"/>
      <c r="U791" s="49"/>
      <c r="V791" s="49"/>
      <c r="W791" s="50">
        <f t="shared" si="110"/>
        <v>0</v>
      </c>
      <c r="X791" s="51" t="str">
        <f>IF(A791="", "", IF(COUNTIFS(C$3:C790, C791, D$3:D790, D791, G$3:G790, G791) &gt; 0, "", "11:00"-AW791))</f>
        <v/>
      </c>
      <c r="Y791" s="52" t="str">
        <f t="shared" si="116"/>
        <v/>
      </c>
      <c r="Z791" s="53"/>
      <c r="AA791" s="54"/>
      <c r="AB791" s="53"/>
      <c r="AC791" s="54"/>
      <c r="AD791" s="53"/>
      <c r="AE791" s="54"/>
      <c r="AF791" s="53"/>
      <c r="AG791" s="54"/>
      <c r="AH791" s="55">
        <v>4.1666666666666699E-2</v>
      </c>
      <c r="AI791" s="53"/>
      <c r="AJ791" s="54"/>
      <c r="AK791" s="53"/>
      <c r="AL791" s="54"/>
      <c r="AM791" s="53"/>
      <c r="AN791" s="54"/>
      <c r="AO791" s="53"/>
      <c r="AP791" s="54"/>
      <c r="AQ791" s="53"/>
      <c r="AR791" s="54"/>
      <c r="AS791" s="53"/>
      <c r="AT791" s="54"/>
      <c r="AU791" s="53">
        <v>4.1666666666666699E-2</v>
      </c>
      <c r="AV791" s="54" t="s">
        <v>37</v>
      </c>
      <c r="AW791" s="57">
        <f t="shared" si="109"/>
        <v>4.1666666666666699E-2</v>
      </c>
      <c r="AX791" s="58" t="s">
        <v>113</v>
      </c>
    </row>
    <row r="792" spans="1:50" ht="21.75" customHeight="1">
      <c r="A792" s="66" t="s">
        <v>719</v>
      </c>
      <c r="B792" s="39">
        <f t="shared" si="117"/>
        <v>788</v>
      </c>
      <c r="C792" s="40">
        <v>46041</v>
      </c>
      <c r="D792" s="40" t="s">
        <v>80</v>
      </c>
      <c r="E792" s="40" t="s">
        <v>81</v>
      </c>
      <c r="F792" s="41">
        <v>262</v>
      </c>
      <c r="G792" s="42" t="s">
        <v>176</v>
      </c>
      <c r="H792" s="43" t="str">
        <f>IFERROR(VLOOKUP($J792,'[9]FROM (3)'!$E$4:$F$230,2,FALSE),"")</f>
        <v/>
      </c>
      <c r="I792" s="44" t="str">
        <f t="shared" si="114"/>
        <v>RACK</v>
      </c>
      <c r="J792" s="44" t="str">
        <f t="shared" si="115"/>
        <v>510-30149-020</v>
      </c>
      <c r="K792" s="59" t="str">
        <f t="shared" si="112"/>
        <v>PD26010788</v>
      </c>
      <c r="L792" s="46" t="str" cm="1">
        <f t="array" ref="L792">IFERROR(_xlfn.IFS(
    LEN($A792)-LEN(SUBSTITUTE($A792,"|",""))=12, RIGHT(A792, LEN(A792)-FIND("~", SUBSTITUTE(A792,"|","~", LEN(A792)-LEN(SUBSTITUTE(A792,"|",""))))),
    LEN($A792)-LEN(SUBSTITUTE($A792,"|",""))=13, MID($A792, FIND("~", SUBSTITUTE($A792,"|","~", 11))+1, FIND("~", SUBSTITUTE($A792,"|","~", 12))-FIND("~", SUBSTITUTE($A792,"|","~", 11))-1),
    LEN($A792)-LEN(SUBSTITUTE($A792,"|",""))=14, MID($A792, FIND("~", SUBSTITUTE($A792,"|","~", 11))+1, FIND("~", SUBSTITUTE($A792,"|","~", 12))-FIND("~", SUBSTITUTE($A792,"|","~", 11))-1)
), "")</f>
        <v>5C1361</v>
      </c>
      <c r="M792" s="47" t="str">
        <f t="shared" si="111"/>
        <v>FB010224/1/26</v>
      </c>
      <c r="N792" s="46" t="str">
        <f t="shared" si="113"/>
        <v>FB010224/1/26</v>
      </c>
      <c r="O792" s="60" t="s">
        <v>35</v>
      </c>
      <c r="P792" s="60" t="s">
        <v>35</v>
      </c>
      <c r="Q792" s="48">
        <v>50</v>
      </c>
      <c r="R792" s="48">
        <v>82</v>
      </c>
      <c r="S792" s="48" t="s">
        <v>35</v>
      </c>
      <c r="T792" s="48"/>
      <c r="U792" s="49"/>
      <c r="V792" s="49"/>
      <c r="W792" s="50">
        <f t="shared" si="110"/>
        <v>0</v>
      </c>
      <c r="X792" s="51">
        <f>IF(A792="", "", IF(COUNTIFS(C$3:C791, C792, D$3:D791, D792, G$3:G791, G792) &gt; 0, "", "11:00"-AW792))</f>
        <v>0.41666666666666663</v>
      </c>
      <c r="Y792" s="52" t="str">
        <f t="shared" si="116"/>
        <v>1:40</v>
      </c>
      <c r="Z792" s="53"/>
      <c r="AA792" s="54"/>
      <c r="AB792" s="53"/>
      <c r="AC792" s="54"/>
      <c r="AD792" s="53"/>
      <c r="AE792" s="54"/>
      <c r="AF792" s="53"/>
      <c r="AG792" s="54"/>
      <c r="AH792" s="55">
        <v>4.1666666666666699E-2</v>
      </c>
      <c r="AI792" s="53"/>
      <c r="AJ792" s="54"/>
      <c r="AK792" s="53"/>
      <c r="AL792" s="54"/>
      <c r="AM792" s="53"/>
      <c r="AN792" s="54"/>
      <c r="AO792" s="53"/>
      <c r="AP792" s="54"/>
      <c r="AQ792" s="53"/>
      <c r="AR792" s="54"/>
      <c r="AS792" s="53"/>
      <c r="AT792" s="54"/>
      <c r="AU792" s="53">
        <v>4.1666666666666699E-2</v>
      </c>
      <c r="AV792" s="54" t="s">
        <v>37</v>
      </c>
      <c r="AW792" s="57">
        <f t="shared" si="109"/>
        <v>4.1666666666666699E-2</v>
      </c>
      <c r="AX792" s="58" t="s">
        <v>86</v>
      </c>
    </row>
    <row r="793" spans="1:50" ht="21.75" customHeight="1">
      <c r="A793" s="66" t="s">
        <v>720</v>
      </c>
      <c r="B793" s="39">
        <f t="shared" si="117"/>
        <v>789</v>
      </c>
      <c r="C793" s="40">
        <v>46041</v>
      </c>
      <c r="D793" s="40" t="s">
        <v>80</v>
      </c>
      <c r="E793" s="40" t="s">
        <v>81</v>
      </c>
      <c r="F793" s="41">
        <v>262</v>
      </c>
      <c r="G793" s="42" t="s">
        <v>176</v>
      </c>
      <c r="H793" s="43" t="str">
        <f>IFERROR(VLOOKUP($J793,'[9]FROM (3)'!$E$4:$F$230,2,FALSE),"")</f>
        <v/>
      </c>
      <c r="I793" s="44" t="str">
        <f t="shared" si="114"/>
        <v>RACK</v>
      </c>
      <c r="J793" s="44" t="str">
        <f t="shared" si="115"/>
        <v>510-30149-020</v>
      </c>
      <c r="K793" s="59" t="str">
        <f t="shared" si="112"/>
        <v>PD26010111</v>
      </c>
      <c r="L793" s="46" t="str" cm="1">
        <f t="array" ref="L793">IFERROR(_xlfn.IFS(
    LEN($A793)-LEN(SUBSTITUTE($A793,"|",""))=12, RIGHT(A793, LEN(A793)-FIND("~", SUBSTITUTE(A793,"|","~", LEN(A793)-LEN(SUBSTITUTE(A793,"|",""))))),
    LEN($A793)-LEN(SUBSTITUTE($A793,"|",""))=13, MID($A793, FIND("~", SUBSTITUTE($A793,"|","~", 11))+1, FIND("~", SUBSTITUTE($A793,"|","~", 12))-FIND("~", SUBSTITUTE($A793,"|","~", 11))-1),
    LEN($A793)-LEN(SUBSTITUTE($A793,"|",""))=14, MID($A793, FIND("~", SUBSTITUTE($A793,"|","~", 11))+1, FIND("~", SUBSTITUTE($A793,"|","~", 12))-FIND("~", SUBSTITUTE($A793,"|","~", 11))-1)
), "")</f>
        <v>5C1361</v>
      </c>
      <c r="M793" s="47" t="str">
        <f t="shared" si="111"/>
        <v>FB010061/7/26</v>
      </c>
      <c r="N793" s="46" t="str">
        <f t="shared" si="113"/>
        <v>FB010061/7/26</v>
      </c>
      <c r="O793" s="60" t="s">
        <v>35</v>
      </c>
      <c r="P793" s="60" t="s">
        <v>35</v>
      </c>
      <c r="Q793" s="48">
        <v>150</v>
      </c>
      <c r="R793" s="48">
        <v>245</v>
      </c>
      <c r="S793" s="48" t="s">
        <v>35</v>
      </c>
      <c r="T793" s="48"/>
      <c r="U793" s="49"/>
      <c r="V793" s="49"/>
      <c r="W793" s="50">
        <f t="shared" si="110"/>
        <v>0</v>
      </c>
      <c r="X793" s="51" t="str">
        <f>IF(A793="", "", IF(COUNTIFS(C$3:C792, C793, D$3:D792, D793, G$3:G792, G793) &gt; 0, "", "11:00"-AW793))</f>
        <v/>
      </c>
      <c r="Y793" s="52" t="str">
        <f t="shared" si="116"/>
        <v/>
      </c>
      <c r="Z793" s="53"/>
      <c r="AA793" s="54"/>
      <c r="AB793" s="53"/>
      <c r="AC793" s="54"/>
      <c r="AD793" s="53"/>
      <c r="AE793" s="54"/>
      <c r="AF793" s="53"/>
      <c r="AG793" s="54"/>
      <c r="AH793" s="55">
        <v>4.1666666666666699E-2</v>
      </c>
      <c r="AI793" s="53"/>
      <c r="AJ793" s="54"/>
      <c r="AK793" s="53"/>
      <c r="AL793" s="54"/>
      <c r="AM793" s="53"/>
      <c r="AN793" s="54"/>
      <c r="AO793" s="53"/>
      <c r="AP793" s="54"/>
      <c r="AQ793" s="53"/>
      <c r="AR793" s="54"/>
      <c r="AS793" s="53"/>
      <c r="AT793" s="54"/>
      <c r="AU793" s="53">
        <v>4.1666666666666699E-2</v>
      </c>
      <c r="AV793" s="54" t="s">
        <v>37</v>
      </c>
      <c r="AW793" s="57">
        <f t="shared" si="109"/>
        <v>4.1666666666666699E-2</v>
      </c>
      <c r="AX793" s="58" t="s">
        <v>86</v>
      </c>
    </row>
    <row r="794" spans="1:50" ht="21.75" customHeight="1">
      <c r="A794" s="66" t="s">
        <v>721</v>
      </c>
      <c r="B794" s="39">
        <f t="shared" si="117"/>
        <v>790</v>
      </c>
      <c r="C794" s="40">
        <v>46041</v>
      </c>
      <c r="D794" s="40" t="s">
        <v>80</v>
      </c>
      <c r="E794" s="40" t="s">
        <v>81</v>
      </c>
      <c r="F794" s="41">
        <v>262</v>
      </c>
      <c r="G794" s="42" t="s">
        <v>176</v>
      </c>
      <c r="H794" s="43" t="str">
        <f>IFERROR(VLOOKUP($J794,'[9]FROM (3)'!$E$4:$F$230,2,FALSE),"")</f>
        <v/>
      </c>
      <c r="I794" s="44" t="str">
        <f t="shared" si="114"/>
        <v>RACK</v>
      </c>
      <c r="J794" s="44" t="str">
        <f t="shared" si="115"/>
        <v>510-30149-020</v>
      </c>
      <c r="K794" s="59" t="str">
        <f t="shared" si="112"/>
        <v>PD26010788</v>
      </c>
      <c r="L794" s="46" t="str" cm="1">
        <f t="array" ref="L794">IFERROR(_xlfn.IFS(
    LEN($A794)-LEN(SUBSTITUTE($A794,"|",""))=12, RIGHT(A794, LEN(A794)-FIND("~", SUBSTITUTE(A794,"|","~", LEN(A794)-LEN(SUBSTITUTE(A794,"|",""))))),
    LEN($A794)-LEN(SUBSTITUTE($A794,"|",""))=13, MID($A794, FIND("~", SUBSTITUTE($A794,"|","~", 11))+1, FIND("~", SUBSTITUTE($A794,"|","~", 12))-FIND("~", SUBSTITUTE($A794,"|","~", 11))-1),
    LEN($A794)-LEN(SUBSTITUTE($A794,"|",""))=14, MID($A794, FIND("~", SUBSTITUTE($A794,"|","~", 11))+1, FIND("~", SUBSTITUTE($A794,"|","~", 12))-FIND("~", SUBSTITUTE($A794,"|","~", 11))-1)
), "")</f>
        <v>5C1361</v>
      </c>
      <c r="M794" s="47" t="str">
        <f t="shared" si="111"/>
        <v>FB010224/2/26</v>
      </c>
      <c r="N794" s="46" t="str">
        <f t="shared" si="113"/>
        <v>FB010224/2/26</v>
      </c>
      <c r="O794" s="60" t="s">
        <v>35</v>
      </c>
      <c r="P794" s="60" t="s">
        <v>35</v>
      </c>
      <c r="Q794" s="48">
        <v>200</v>
      </c>
      <c r="R794" s="48">
        <v>327</v>
      </c>
      <c r="S794" s="48" t="s">
        <v>35</v>
      </c>
      <c r="T794" s="48"/>
      <c r="U794" s="49"/>
      <c r="V794" s="49"/>
      <c r="W794" s="50">
        <f t="shared" si="110"/>
        <v>0</v>
      </c>
      <c r="X794" s="51" t="str">
        <f>IF(A794="", "", IF(COUNTIFS(C$3:C793, C794, D$3:D793, D794, G$3:G793, G794) &gt; 0, "", "11:00"-AW794))</f>
        <v/>
      </c>
      <c r="Y794" s="52" t="str">
        <f t="shared" si="116"/>
        <v/>
      </c>
      <c r="Z794" s="53"/>
      <c r="AA794" s="54"/>
      <c r="AB794" s="53"/>
      <c r="AC794" s="54"/>
      <c r="AD794" s="53"/>
      <c r="AE794" s="54"/>
      <c r="AF794" s="53"/>
      <c r="AG794" s="54"/>
      <c r="AH794" s="55">
        <v>4.1666666666666699E-2</v>
      </c>
      <c r="AI794" s="53"/>
      <c r="AJ794" s="54"/>
      <c r="AK794" s="53"/>
      <c r="AL794" s="54"/>
      <c r="AM794" s="53"/>
      <c r="AN794" s="54"/>
      <c r="AO794" s="53"/>
      <c r="AP794" s="54"/>
      <c r="AQ794" s="53"/>
      <c r="AR794" s="54"/>
      <c r="AS794" s="53"/>
      <c r="AT794" s="54"/>
      <c r="AU794" s="53">
        <v>4.1666666666666699E-2</v>
      </c>
      <c r="AV794" s="54" t="s">
        <v>37</v>
      </c>
      <c r="AW794" s="57">
        <f t="shared" si="109"/>
        <v>4.1666666666666699E-2</v>
      </c>
      <c r="AX794" s="58" t="s">
        <v>86</v>
      </c>
    </row>
    <row r="795" spans="1:50" ht="21.75" customHeight="1">
      <c r="A795" s="66" t="s">
        <v>722</v>
      </c>
      <c r="B795" s="39">
        <f t="shared" si="117"/>
        <v>791</v>
      </c>
      <c r="C795" s="40">
        <v>46041</v>
      </c>
      <c r="D795" s="40" t="s">
        <v>80</v>
      </c>
      <c r="E795" s="40" t="s">
        <v>81</v>
      </c>
      <c r="F795" s="41">
        <v>262</v>
      </c>
      <c r="G795" s="42" t="s">
        <v>176</v>
      </c>
      <c r="H795" s="43" t="str">
        <f>IFERROR(VLOOKUP($J795,'[9]FROM (3)'!$E$4:$F$230,2,FALSE),"")</f>
        <v/>
      </c>
      <c r="I795" s="44" t="str">
        <f t="shared" si="114"/>
        <v>RACK</v>
      </c>
      <c r="J795" s="44" t="str">
        <f t="shared" si="115"/>
        <v>510-30149-020</v>
      </c>
      <c r="K795" s="59" t="str">
        <f t="shared" si="112"/>
        <v>PD26010788</v>
      </c>
      <c r="L795" s="46" t="str" cm="1">
        <f t="array" ref="L795">IFERROR(_xlfn.IFS(
    LEN($A795)-LEN(SUBSTITUTE($A795,"|",""))=12, RIGHT(A795, LEN(A795)-FIND("~", SUBSTITUTE(A795,"|","~", LEN(A795)-LEN(SUBSTITUTE(A795,"|",""))))),
    LEN($A795)-LEN(SUBSTITUTE($A795,"|",""))=13, MID($A795, FIND("~", SUBSTITUTE($A795,"|","~", 11))+1, FIND("~", SUBSTITUTE($A795,"|","~", 12))-FIND("~", SUBSTITUTE($A795,"|","~", 11))-1),
    LEN($A795)-LEN(SUBSTITUTE($A795,"|",""))=14, MID($A795, FIND("~", SUBSTITUTE($A795,"|","~", 11))+1, FIND("~", SUBSTITUTE($A795,"|","~", 12))-FIND("~", SUBSTITUTE($A795,"|","~", 11))-1)
), "")</f>
        <v>5C1361</v>
      </c>
      <c r="M795" s="47" t="str">
        <f t="shared" si="111"/>
        <v>FB010224/5/26</v>
      </c>
      <c r="N795" s="46" t="str">
        <f t="shared" si="113"/>
        <v>FB010224/5/26</v>
      </c>
      <c r="O795" s="60" t="s">
        <v>35</v>
      </c>
      <c r="P795" s="60" t="s">
        <v>35</v>
      </c>
      <c r="Q795" s="48">
        <v>200</v>
      </c>
      <c r="R795" s="48">
        <v>327</v>
      </c>
      <c r="S795" s="48" t="s">
        <v>35</v>
      </c>
      <c r="T795" s="48"/>
      <c r="U795" s="49"/>
      <c r="V795" s="49"/>
      <c r="W795" s="50">
        <f t="shared" si="110"/>
        <v>0</v>
      </c>
      <c r="X795" s="51" t="str">
        <f>IF(A795="", "", IF(COUNTIFS(C$3:C794, C795, D$3:D794, D795, G$3:G794, G795) &gt; 0, "", "11:00"-AW795))</f>
        <v/>
      </c>
      <c r="Y795" s="52" t="str">
        <f t="shared" si="116"/>
        <v/>
      </c>
      <c r="Z795" s="53"/>
      <c r="AA795" s="54"/>
      <c r="AB795" s="53"/>
      <c r="AC795" s="54"/>
      <c r="AD795" s="53"/>
      <c r="AE795" s="54"/>
      <c r="AF795" s="53"/>
      <c r="AG795" s="54"/>
      <c r="AH795" s="55">
        <v>4.1666666666666699E-2</v>
      </c>
      <c r="AI795" s="53"/>
      <c r="AJ795" s="54"/>
      <c r="AK795" s="53"/>
      <c r="AL795" s="54"/>
      <c r="AM795" s="53"/>
      <c r="AN795" s="54"/>
      <c r="AO795" s="53"/>
      <c r="AP795" s="54"/>
      <c r="AQ795" s="53"/>
      <c r="AR795" s="54"/>
      <c r="AS795" s="53"/>
      <c r="AT795" s="54"/>
      <c r="AU795" s="53">
        <v>4.1666666666666699E-2</v>
      </c>
      <c r="AV795" s="54" t="s">
        <v>37</v>
      </c>
      <c r="AW795" s="57">
        <f t="shared" si="109"/>
        <v>4.1666666666666699E-2</v>
      </c>
      <c r="AX795" s="58" t="s">
        <v>86</v>
      </c>
    </row>
    <row r="796" spans="1:50" ht="21.75" customHeight="1">
      <c r="A796" s="66" t="s">
        <v>723</v>
      </c>
      <c r="B796" s="39">
        <f t="shared" si="117"/>
        <v>792</v>
      </c>
      <c r="C796" s="40">
        <v>46041</v>
      </c>
      <c r="D796" s="40" t="s">
        <v>80</v>
      </c>
      <c r="E796" s="40" t="s">
        <v>81</v>
      </c>
      <c r="F796" s="41">
        <v>262</v>
      </c>
      <c r="G796" s="42" t="s">
        <v>176</v>
      </c>
      <c r="H796" s="43" t="str">
        <f>IFERROR(VLOOKUP($J796,'[9]FROM (3)'!$E$4:$F$230,2,FALSE),"")</f>
        <v/>
      </c>
      <c r="I796" s="44" t="str">
        <f t="shared" si="114"/>
        <v>RACK</v>
      </c>
      <c r="J796" s="44" t="str">
        <f t="shared" si="115"/>
        <v>510-30149-020</v>
      </c>
      <c r="K796" s="59" t="str">
        <f t="shared" si="112"/>
        <v>PD26010788</v>
      </c>
      <c r="L796" s="46" t="str" cm="1">
        <f t="array" ref="L796">IFERROR(_xlfn.IFS(
    LEN($A796)-LEN(SUBSTITUTE($A796,"|",""))=12, RIGHT(A796, LEN(A796)-FIND("~", SUBSTITUTE(A796,"|","~", LEN(A796)-LEN(SUBSTITUTE(A796,"|",""))))),
    LEN($A796)-LEN(SUBSTITUTE($A796,"|",""))=13, MID($A796, FIND("~", SUBSTITUTE($A796,"|","~", 11))+1, FIND("~", SUBSTITUTE($A796,"|","~", 12))-FIND("~", SUBSTITUTE($A796,"|","~", 11))-1),
    LEN($A796)-LEN(SUBSTITUTE($A796,"|",""))=14, MID($A796, FIND("~", SUBSTITUTE($A796,"|","~", 11))+1, FIND("~", SUBSTITUTE($A796,"|","~", 12))-FIND("~", SUBSTITUTE($A796,"|","~", 11))-1)
), "")</f>
        <v>5C1361</v>
      </c>
      <c r="M796" s="47" t="str">
        <f t="shared" si="111"/>
        <v>FB010224/6/26</v>
      </c>
      <c r="N796" s="46" t="str">
        <f t="shared" si="113"/>
        <v>FB010224/6/26</v>
      </c>
      <c r="O796" s="60" t="s">
        <v>35</v>
      </c>
      <c r="P796" s="60" t="s">
        <v>35</v>
      </c>
      <c r="Q796" s="48">
        <v>200</v>
      </c>
      <c r="R796" s="48">
        <v>327</v>
      </c>
      <c r="S796" s="48" t="s">
        <v>35</v>
      </c>
      <c r="T796" s="48"/>
      <c r="U796" s="49"/>
      <c r="V796" s="49"/>
      <c r="W796" s="50">
        <f t="shared" si="110"/>
        <v>0</v>
      </c>
      <c r="X796" s="51" t="str">
        <f>IF(A796="", "", IF(COUNTIFS(C$3:C795, C796, D$3:D795, D796, G$3:G795, G796) &gt; 0, "", "11:00"-AW796))</f>
        <v/>
      </c>
      <c r="Y796" s="52" t="str">
        <f t="shared" si="116"/>
        <v/>
      </c>
      <c r="Z796" s="53"/>
      <c r="AA796" s="54"/>
      <c r="AB796" s="53"/>
      <c r="AC796" s="54"/>
      <c r="AD796" s="53"/>
      <c r="AE796" s="54"/>
      <c r="AF796" s="53"/>
      <c r="AG796" s="54"/>
      <c r="AH796" s="55">
        <v>4.1666666666666699E-2</v>
      </c>
      <c r="AI796" s="53"/>
      <c r="AJ796" s="54"/>
      <c r="AK796" s="53"/>
      <c r="AL796" s="54"/>
      <c r="AM796" s="53"/>
      <c r="AN796" s="54"/>
      <c r="AO796" s="53"/>
      <c r="AP796" s="54"/>
      <c r="AQ796" s="53"/>
      <c r="AR796" s="54"/>
      <c r="AS796" s="53"/>
      <c r="AT796" s="54"/>
      <c r="AU796" s="53">
        <v>4.1666666666666699E-2</v>
      </c>
      <c r="AV796" s="54" t="s">
        <v>37</v>
      </c>
      <c r="AW796" s="57">
        <f t="shared" si="109"/>
        <v>4.1666666666666699E-2</v>
      </c>
      <c r="AX796" s="58" t="s">
        <v>86</v>
      </c>
    </row>
    <row r="797" spans="1:50" ht="21.75" customHeight="1">
      <c r="A797" s="66" t="s">
        <v>724</v>
      </c>
      <c r="B797" s="39">
        <f t="shared" si="117"/>
        <v>793</v>
      </c>
      <c r="C797" s="40">
        <v>46041</v>
      </c>
      <c r="D797" s="40" t="s">
        <v>80</v>
      </c>
      <c r="E797" s="40" t="s">
        <v>81</v>
      </c>
      <c r="F797" s="41">
        <v>262</v>
      </c>
      <c r="G797" s="42" t="s">
        <v>176</v>
      </c>
      <c r="H797" s="43" t="str">
        <f>IFERROR(VLOOKUP($J797,'[9]FROM (3)'!$E$4:$F$230,2,FALSE),"")</f>
        <v/>
      </c>
      <c r="I797" s="44" t="str">
        <f t="shared" si="114"/>
        <v>RACK</v>
      </c>
      <c r="J797" s="44" t="str">
        <f t="shared" si="115"/>
        <v>510-30149-020</v>
      </c>
      <c r="K797" s="59" t="str">
        <f t="shared" si="112"/>
        <v>PD26010789</v>
      </c>
      <c r="L797" s="46" t="str" cm="1">
        <f t="array" ref="L797">IFERROR(_xlfn.IFS(
    LEN($A797)-LEN(SUBSTITUTE($A797,"|",""))=12, RIGHT(A797, LEN(A797)-FIND("~", SUBSTITUTE(A797,"|","~", LEN(A797)-LEN(SUBSTITUTE(A797,"|",""))))),
    LEN($A797)-LEN(SUBSTITUTE($A797,"|",""))=13, MID($A797, FIND("~", SUBSTITUTE($A797,"|","~", 11))+1, FIND("~", SUBSTITUTE($A797,"|","~", 12))-FIND("~", SUBSTITUTE($A797,"|","~", 11))-1),
    LEN($A797)-LEN(SUBSTITUTE($A797,"|",""))=14, MID($A797, FIND("~", SUBSTITUTE($A797,"|","~", 11))+1, FIND("~", SUBSTITUTE($A797,"|","~", 12))-FIND("~", SUBSTITUTE($A797,"|","~", 11))-1)
), "")</f>
        <v>5C1361</v>
      </c>
      <c r="M797" s="47" t="str">
        <f t="shared" si="111"/>
        <v>FB010232/2/26</v>
      </c>
      <c r="N797" s="46" t="str">
        <f t="shared" si="113"/>
        <v>FB010232/2/26</v>
      </c>
      <c r="O797" s="60" t="s">
        <v>35</v>
      </c>
      <c r="P797" s="60" t="s">
        <v>35</v>
      </c>
      <c r="Q797" s="48">
        <v>200</v>
      </c>
      <c r="R797" s="48">
        <v>327</v>
      </c>
      <c r="S797" s="48" t="s">
        <v>35</v>
      </c>
      <c r="T797" s="48"/>
      <c r="U797" s="49"/>
      <c r="V797" s="49"/>
      <c r="W797" s="50">
        <f t="shared" si="110"/>
        <v>0</v>
      </c>
      <c r="X797" s="51" t="str">
        <f>IF(A797="", "", IF(COUNTIFS(C$3:C796, C797, D$3:D796, D797, G$3:G796, G797) &gt; 0, "", "11:00"-AW797))</f>
        <v/>
      </c>
      <c r="Y797" s="52" t="str">
        <f t="shared" si="116"/>
        <v/>
      </c>
      <c r="Z797" s="53"/>
      <c r="AA797" s="54"/>
      <c r="AB797" s="53"/>
      <c r="AC797" s="54"/>
      <c r="AD797" s="53"/>
      <c r="AE797" s="54"/>
      <c r="AF797" s="53"/>
      <c r="AG797" s="54"/>
      <c r="AH797" s="55">
        <v>4.1666666666666699E-2</v>
      </c>
      <c r="AI797" s="53"/>
      <c r="AJ797" s="54"/>
      <c r="AK797" s="53"/>
      <c r="AL797" s="54"/>
      <c r="AM797" s="53"/>
      <c r="AN797" s="54"/>
      <c r="AO797" s="53"/>
      <c r="AP797" s="54"/>
      <c r="AQ797" s="53"/>
      <c r="AR797" s="54"/>
      <c r="AS797" s="53"/>
      <c r="AT797" s="54"/>
      <c r="AU797" s="53">
        <v>4.1666666666666699E-2</v>
      </c>
      <c r="AV797" s="54" t="s">
        <v>37</v>
      </c>
      <c r="AW797" s="57">
        <f t="shared" si="109"/>
        <v>4.1666666666666699E-2</v>
      </c>
      <c r="AX797" s="58" t="s">
        <v>86</v>
      </c>
    </row>
    <row r="798" spans="1:50" ht="21.75" customHeight="1">
      <c r="A798" s="66" t="s">
        <v>725</v>
      </c>
      <c r="B798" s="39">
        <f t="shared" si="117"/>
        <v>794</v>
      </c>
      <c r="C798" s="40">
        <v>46040</v>
      </c>
      <c r="D798" s="40" t="s">
        <v>80</v>
      </c>
      <c r="E798" s="40" t="s">
        <v>81</v>
      </c>
      <c r="F798" s="41">
        <v>45</v>
      </c>
      <c r="G798" s="42" t="s">
        <v>135</v>
      </c>
      <c r="H798" s="43" t="str">
        <f>IFERROR(VLOOKUP($J798,'[9]FROM (3)'!$E$4:$F$230,2,FALSE),"")</f>
        <v>DNTH</v>
      </c>
      <c r="I798" s="44" t="str">
        <f t="shared" si="114"/>
        <v>Pole Core</v>
      </c>
      <c r="J798" s="44" t="str">
        <f t="shared" si="115"/>
        <v>TG028152-5240</v>
      </c>
      <c r="K798" s="59" t="str">
        <f t="shared" si="112"/>
        <v>PD26010656</v>
      </c>
      <c r="L798" s="46" t="str" cm="1">
        <f t="array" ref="L798">IFERROR(_xlfn.IFS(
    LEN($A798)-LEN(SUBSTITUTE($A798,"|",""))=12, RIGHT(A798, LEN(A798)-FIND("~", SUBSTITUTE(A798,"|","~", LEN(A798)-LEN(SUBSTITUTE(A798,"|",""))))),
    LEN($A798)-LEN(SUBSTITUTE($A798,"|",""))=13, MID($A798, FIND("~", SUBSTITUTE($A798,"|","~", 11))+1, FIND("~", SUBSTITUTE($A798,"|","~", 12))-FIND("~", SUBSTITUTE($A798,"|","~", 11))-1),
    LEN($A798)-LEN(SUBSTITUTE($A798,"|",""))=14, MID($A798, FIND("~", SUBSTITUTE($A798,"|","~", 11))+1, FIND("~", SUBSTITUTE($A798,"|","~", 12))-FIND("~", SUBSTITUTE($A798,"|","~", 11))-1)
), "")</f>
        <v>KS005C9016</v>
      </c>
      <c r="M798" s="47" t="str">
        <f t="shared" si="111"/>
        <v>SB010066/1/26</v>
      </c>
      <c r="N798" s="46" t="str">
        <f t="shared" si="113"/>
        <v/>
      </c>
      <c r="O798" s="60">
        <v>152</v>
      </c>
      <c r="P798" s="60">
        <v>1022</v>
      </c>
      <c r="Q798" s="48">
        <v>3673</v>
      </c>
      <c r="R798" s="48">
        <v>165</v>
      </c>
      <c r="S798" s="48"/>
      <c r="T798" s="48"/>
      <c r="U798" s="49"/>
      <c r="V798" s="49"/>
      <c r="W798" s="50">
        <f t="shared" si="110"/>
        <v>0</v>
      </c>
      <c r="X798" s="51">
        <f>IF(A798="", "", IF(COUNTIFS(C$3:C797, C798, D$3:D797, D798, G$3:G797, G798) &gt; 0, "", "11:00"-AW798))</f>
        <v>8.3333333333333315E-2</v>
      </c>
      <c r="Y798" s="52" t="str">
        <f t="shared" si="116"/>
        <v>1:40</v>
      </c>
      <c r="Z798" s="53">
        <v>4.1666666666666664E-2</v>
      </c>
      <c r="AA798" s="54" t="s">
        <v>67</v>
      </c>
      <c r="AB798" s="53">
        <v>4.1666666666666664E-2</v>
      </c>
      <c r="AC798" s="54" t="s">
        <v>136</v>
      </c>
      <c r="AD798" s="53">
        <v>4.1666666666666664E-2</v>
      </c>
      <c r="AE798" s="54" t="s">
        <v>136</v>
      </c>
      <c r="AF798" s="53">
        <v>4.1666666666666664E-2</v>
      </c>
      <c r="AG798" s="54" t="s">
        <v>136</v>
      </c>
      <c r="AH798" s="55">
        <v>4.1666666666666699E-2</v>
      </c>
      <c r="AI798" s="53">
        <v>4.1666666666666664E-2</v>
      </c>
      <c r="AJ798" s="54" t="s">
        <v>136</v>
      </c>
      <c r="AK798" s="53">
        <v>4.1666666666666664E-2</v>
      </c>
      <c r="AL798" s="54" t="s">
        <v>136</v>
      </c>
      <c r="AM798" s="53">
        <v>4.1666666666666664E-2</v>
      </c>
      <c r="AN798" s="54" t="s">
        <v>136</v>
      </c>
      <c r="AO798" s="53">
        <v>4.1666666666666664E-2</v>
      </c>
      <c r="AP798" s="54" t="s">
        <v>136</v>
      </c>
      <c r="AQ798" s="53"/>
      <c r="AR798" s="54"/>
      <c r="AS798" s="53"/>
      <c r="AT798" s="54"/>
      <c r="AU798" s="53">
        <v>4.1666666666666699E-2</v>
      </c>
      <c r="AV798" s="54" t="s">
        <v>37</v>
      </c>
      <c r="AW798" s="57">
        <f t="shared" ref="AW798:AW861" si="118">SUM(Z798,AB798,AD798,AF798,AI798,AK798,AM798,AO798,AQ798,AS798,AU798)</f>
        <v>0.375</v>
      </c>
      <c r="AX798" s="58" t="s">
        <v>224</v>
      </c>
    </row>
    <row r="799" spans="1:50" ht="21.75" customHeight="1">
      <c r="A799" s="66" t="s">
        <v>725</v>
      </c>
      <c r="B799" s="39">
        <f t="shared" si="117"/>
        <v>795</v>
      </c>
      <c r="C799" s="40">
        <v>46041</v>
      </c>
      <c r="D799" s="40" t="s">
        <v>80</v>
      </c>
      <c r="E799" s="40" t="s">
        <v>81</v>
      </c>
      <c r="F799" s="41">
        <v>45</v>
      </c>
      <c r="G799" s="42" t="s">
        <v>135</v>
      </c>
      <c r="H799" s="43" t="str">
        <f>IFERROR(VLOOKUP($J799,'[9]FROM (3)'!$E$4:$F$230,2,FALSE),"")</f>
        <v>DNTH</v>
      </c>
      <c r="I799" s="44" t="str">
        <f t="shared" si="114"/>
        <v>Pole Core</v>
      </c>
      <c r="J799" s="44" t="str">
        <f t="shared" si="115"/>
        <v>TG028152-5240</v>
      </c>
      <c r="K799" s="59" t="str">
        <f t="shared" si="112"/>
        <v>PD26010656</v>
      </c>
      <c r="L799" s="46" t="str" cm="1">
        <f t="array" ref="L799">IFERROR(_xlfn.IFS(
    LEN($A799)-LEN(SUBSTITUTE($A799,"|",""))=12, RIGHT(A799, LEN(A799)-FIND("~", SUBSTITUTE(A799,"|","~", LEN(A799)-LEN(SUBSTITUTE(A799,"|",""))))),
    LEN($A799)-LEN(SUBSTITUTE($A799,"|",""))=13, MID($A799, FIND("~", SUBSTITUTE($A799,"|","~", 11))+1, FIND("~", SUBSTITUTE($A799,"|","~", 12))-FIND("~", SUBSTITUTE($A799,"|","~", 11))-1),
    LEN($A799)-LEN(SUBSTITUTE($A799,"|",""))=14, MID($A799, FIND("~", SUBSTITUTE($A799,"|","~", 11))+1, FIND("~", SUBSTITUTE($A799,"|","~", 12))-FIND("~", SUBSTITUTE($A799,"|","~", 11))-1)
), "")</f>
        <v>KS005C9016</v>
      </c>
      <c r="M799" s="47" t="str">
        <f t="shared" si="111"/>
        <v>SB010066/1/26</v>
      </c>
      <c r="N799" s="46" t="str">
        <f t="shared" si="113"/>
        <v/>
      </c>
      <c r="O799" s="60"/>
      <c r="P799" s="60"/>
      <c r="Q799" s="48">
        <v>7000</v>
      </c>
      <c r="R799" s="48">
        <v>315</v>
      </c>
      <c r="S799" s="48"/>
      <c r="T799" s="48"/>
      <c r="U799" s="49"/>
      <c r="V799" s="49"/>
      <c r="W799" s="50">
        <f t="shared" si="110"/>
        <v>0</v>
      </c>
      <c r="X799" s="51">
        <f>IF(A799="", "", IF(COUNTIFS(C$3:C798, C799, D$3:D798, D799, G$3:G798, G799) &gt; 0, "", "11:00"-AW799))</f>
        <v>0.33333333333333326</v>
      </c>
      <c r="Y799" s="52" t="str">
        <f t="shared" si="116"/>
        <v>1:40</v>
      </c>
      <c r="Z799" s="53">
        <v>4.1666666666666664E-2</v>
      </c>
      <c r="AA799" s="54" t="s">
        <v>67</v>
      </c>
      <c r="AB799" s="53">
        <v>4.1666666666666664E-2</v>
      </c>
      <c r="AC799" s="54" t="s">
        <v>67</v>
      </c>
      <c r="AD799" s="53"/>
      <c r="AE799" s="54"/>
      <c r="AF799" s="53"/>
      <c r="AG799" s="54"/>
      <c r="AH799" s="55">
        <v>4.1666666666666699E-2</v>
      </c>
      <c r="AI799" s="53"/>
      <c r="AJ799" s="54"/>
      <c r="AK799" s="53"/>
      <c r="AL799" s="54"/>
      <c r="AM799" s="53"/>
      <c r="AN799" s="54"/>
      <c r="AO799" s="53"/>
      <c r="AP799" s="54"/>
      <c r="AQ799" s="53"/>
      <c r="AR799" s="54"/>
      <c r="AS799" s="53"/>
      <c r="AT799" s="54"/>
      <c r="AU799" s="53">
        <v>4.1666666666666699E-2</v>
      </c>
      <c r="AV799" s="54" t="s">
        <v>37</v>
      </c>
      <c r="AW799" s="57">
        <f t="shared" si="118"/>
        <v>0.12500000000000003</v>
      </c>
      <c r="AX799" s="58" t="s">
        <v>224</v>
      </c>
    </row>
    <row r="800" spans="1:50" ht="21.75" customHeight="1">
      <c r="A800" s="66" t="s">
        <v>664</v>
      </c>
      <c r="B800" s="39">
        <f t="shared" si="117"/>
        <v>796</v>
      </c>
      <c r="C800" s="40">
        <v>46041</v>
      </c>
      <c r="D800" s="40" t="s">
        <v>80</v>
      </c>
      <c r="E800" s="40" t="s">
        <v>81</v>
      </c>
      <c r="F800" s="41">
        <v>375</v>
      </c>
      <c r="G800" s="42" t="s">
        <v>172</v>
      </c>
      <c r="H800" s="43" t="str">
        <f>IFERROR(VLOOKUP($J800,'[9]FROM (3)'!$E$4:$F$230,2,FALSE),"")</f>
        <v>ATAC</v>
      </c>
      <c r="I800" s="44" t="str">
        <f t="shared" si="114"/>
        <v>SEAT,WATER PUMP PULLEY</v>
      </c>
      <c r="J800" s="44" t="str">
        <f t="shared" si="115"/>
        <v>16171-05030</v>
      </c>
      <c r="K800" s="59" t="str">
        <f t="shared" si="112"/>
        <v>PD26010580</v>
      </c>
      <c r="L800" s="46" t="str" cm="1">
        <f t="array" ref="L800">IFERROR(_xlfn.IFS(
    LEN($A800)-LEN(SUBSTITUTE($A800,"|",""))=12, RIGHT(A800, LEN(A800)-FIND("~", SUBSTITUTE(A800,"|","~", LEN(A800)-LEN(SUBSTITUTE(A800,"|",""))))),
    LEN($A800)-LEN(SUBSTITUTE($A800,"|",""))=13, MID($A800, FIND("~", SUBSTITUTE($A800,"|","~", 11))+1, FIND("~", SUBSTITUTE($A800,"|","~", 12))-FIND("~", SUBSTITUTE($A800,"|","~", 11))-1),
    LEN($A800)-LEN(SUBSTITUTE($A800,"|",""))=14, MID($A800, FIND("~", SUBSTITUTE($A800,"|","~", 11))+1, FIND("~", SUBSTITUTE($A800,"|","~", 12))-FIND("~", SUBSTITUTE($A800,"|","~", 11))-1)
), "")</f>
        <v>665898</v>
      </c>
      <c r="M800" s="47" t="str">
        <f t="shared" si="111"/>
        <v>SB010056/5/26</v>
      </c>
      <c r="N800" s="46" t="str">
        <f t="shared" si="113"/>
        <v/>
      </c>
      <c r="O800" s="60" t="s">
        <v>35</v>
      </c>
      <c r="P800" s="60" t="s">
        <v>35</v>
      </c>
      <c r="Q800" s="48">
        <v>1039</v>
      </c>
      <c r="R800" s="48">
        <v>390</v>
      </c>
      <c r="S800" s="48" t="s">
        <v>35</v>
      </c>
      <c r="T800" s="48"/>
      <c r="U800" s="49"/>
      <c r="V800" s="49"/>
      <c r="W800" s="50">
        <f t="shared" si="110"/>
        <v>0</v>
      </c>
      <c r="X800" s="51">
        <f>IF(A800="", "", IF(COUNTIFS(C$3:C799, C800, D$3:D799, D800, G$3:G799, G800) &gt; 0, "", "11:00"-AW800))</f>
        <v>0.41666666666666663</v>
      </c>
      <c r="Y800" s="52" t="str">
        <f t="shared" si="116"/>
        <v>1:40</v>
      </c>
      <c r="Z800" s="53"/>
      <c r="AA800" s="54"/>
      <c r="AB800" s="53"/>
      <c r="AC800" s="54"/>
      <c r="AD800" s="53"/>
      <c r="AE800" s="54"/>
      <c r="AF800" s="53"/>
      <c r="AG800" s="54"/>
      <c r="AH800" s="55">
        <v>4.1666666666666699E-2</v>
      </c>
      <c r="AI800" s="53"/>
      <c r="AJ800" s="54"/>
      <c r="AK800" s="53"/>
      <c r="AL800" s="54"/>
      <c r="AM800" s="53"/>
      <c r="AN800" s="54"/>
      <c r="AO800" s="53"/>
      <c r="AP800" s="54"/>
      <c r="AQ800" s="53"/>
      <c r="AR800" s="54"/>
      <c r="AS800" s="53"/>
      <c r="AT800" s="54"/>
      <c r="AU800" s="53">
        <v>4.1666666666666699E-2</v>
      </c>
      <c r="AV800" s="54" t="s">
        <v>37</v>
      </c>
      <c r="AW800" s="57">
        <f t="shared" si="118"/>
        <v>4.1666666666666699E-2</v>
      </c>
      <c r="AX800" s="58" t="s">
        <v>109</v>
      </c>
    </row>
    <row r="801" spans="1:50" ht="21.75" customHeight="1">
      <c r="A801" s="66" t="s">
        <v>726</v>
      </c>
      <c r="B801" s="39">
        <f t="shared" si="117"/>
        <v>797</v>
      </c>
      <c r="C801" s="40">
        <v>46041</v>
      </c>
      <c r="D801" s="40" t="s">
        <v>80</v>
      </c>
      <c r="E801" s="40" t="s">
        <v>81</v>
      </c>
      <c r="F801" s="41">
        <v>375</v>
      </c>
      <c r="G801" s="42" t="s">
        <v>172</v>
      </c>
      <c r="H801" s="43" t="str">
        <f>IFERROR(VLOOKUP($J801,'[9]FROM (3)'!$E$4:$F$230,2,FALSE),"")</f>
        <v>ATAC</v>
      </c>
      <c r="I801" s="44" t="str">
        <f t="shared" si="114"/>
        <v>SEAT,WATER PUMP PULLEY</v>
      </c>
      <c r="J801" s="44" t="str">
        <f t="shared" si="115"/>
        <v>16171-05030</v>
      </c>
      <c r="K801" s="59" t="str">
        <f t="shared" si="112"/>
        <v>PD26010580</v>
      </c>
      <c r="L801" s="46" t="str" cm="1">
        <f t="array" ref="L801">IFERROR(_xlfn.IFS(
    LEN($A801)-LEN(SUBSTITUTE($A801,"|",""))=12, RIGHT(A801, LEN(A801)-FIND("~", SUBSTITUTE(A801,"|","~", LEN(A801)-LEN(SUBSTITUTE(A801,"|",""))))),
    LEN($A801)-LEN(SUBSTITUTE($A801,"|",""))=13, MID($A801, FIND("~", SUBSTITUTE($A801,"|","~", 11))+1, FIND("~", SUBSTITUTE($A801,"|","~", 12))-FIND("~", SUBSTITUTE($A801,"|","~", 11))-1),
    LEN($A801)-LEN(SUBSTITUTE($A801,"|",""))=14, MID($A801, FIND("~", SUBSTITUTE($A801,"|","~", 11))+1, FIND("~", SUBSTITUTE($A801,"|","~", 12))-FIND("~", SUBSTITUTE($A801,"|","~", 11))-1)
), "")</f>
        <v>665898</v>
      </c>
      <c r="M801" s="47" t="str">
        <f t="shared" si="111"/>
        <v>SB010056/6/26</v>
      </c>
      <c r="N801" s="46" t="str">
        <f t="shared" si="113"/>
        <v/>
      </c>
      <c r="O801" s="60">
        <v>14</v>
      </c>
      <c r="P801" s="60">
        <v>996</v>
      </c>
      <c r="Q801" s="48">
        <v>1779</v>
      </c>
      <c r="R801" s="48">
        <v>667</v>
      </c>
      <c r="S801" s="48" t="s">
        <v>35</v>
      </c>
      <c r="T801" s="48"/>
      <c r="U801" s="49"/>
      <c r="V801" s="49"/>
      <c r="W801" s="50">
        <f t="shared" si="110"/>
        <v>0</v>
      </c>
      <c r="X801" s="51" t="str">
        <f>IF(A801="", "", IF(COUNTIFS(C$3:C800, C801, D$3:D800, D801, G$3:G800, G801) &gt; 0, "", "11:00"-AW801))</f>
        <v/>
      </c>
      <c r="Y801" s="52" t="str">
        <f t="shared" si="116"/>
        <v/>
      </c>
      <c r="Z801" s="53"/>
      <c r="AA801" s="54"/>
      <c r="AB801" s="53"/>
      <c r="AC801" s="54"/>
      <c r="AD801" s="53"/>
      <c r="AE801" s="54"/>
      <c r="AF801" s="53"/>
      <c r="AG801" s="54"/>
      <c r="AH801" s="55">
        <v>4.1666666666666699E-2</v>
      </c>
      <c r="AI801" s="53"/>
      <c r="AJ801" s="54"/>
      <c r="AK801" s="53"/>
      <c r="AL801" s="54"/>
      <c r="AM801" s="53"/>
      <c r="AN801" s="54"/>
      <c r="AO801" s="53"/>
      <c r="AP801" s="54"/>
      <c r="AQ801" s="53"/>
      <c r="AR801" s="54"/>
      <c r="AS801" s="53"/>
      <c r="AT801" s="54"/>
      <c r="AU801" s="53">
        <v>4.1666666666666699E-2</v>
      </c>
      <c r="AV801" s="54" t="s">
        <v>37</v>
      </c>
      <c r="AW801" s="57">
        <f t="shared" si="118"/>
        <v>4.1666666666666699E-2</v>
      </c>
      <c r="AX801" s="58" t="s">
        <v>109</v>
      </c>
    </row>
    <row r="802" spans="1:50" ht="21.75" customHeight="1">
      <c r="A802" s="66" t="s">
        <v>727</v>
      </c>
      <c r="B802" s="39">
        <f t="shared" si="117"/>
        <v>798</v>
      </c>
      <c r="C802" s="40">
        <v>46042</v>
      </c>
      <c r="D802" s="40" t="s">
        <v>32</v>
      </c>
      <c r="E802" s="40" t="s">
        <v>33</v>
      </c>
      <c r="F802" s="41">
        <v>756.8</v>
      </c>
      <c r="G802" s="42" t="s">
        <v>192</v>
      </c>
      <c r="H802" s="43" t="str">
        <f>IFERROR(VLOOKUP($J802,'[9]FROM (3)'!$E$4:$F$230,2,FALSE),"")</f>
        <v>JATH</v>
      </c>
      <c r="I802" s="44" t="str">
        <f t="shared" si="114"/>
        <v>JGF02-002190-31-2</v>
      </c>
      <c r="J802" s="44" t="str">
        <f t="shared" si="115"/>
        <v>RACK BAR BLANK (JGF02-002190-31-2) 5K45</v>
      </c>
      <c r="K802" s="59" t="str">
        <f t="shared" si="112"/>
        <v>PD25121244</v>
      </c>
      <c r="L802" s="46" t="str" cm="1">
        <f t="array" ref="L802">IFERROR(_xlfn.IFS(
    LEN($A802)-LEN(SUBSTITUTE($A802,"|",""))=12, RIGHT(A802, LEN(A802)-FIND("~", SUBSTITUTE(A802,"|","~", LEN(A802)-LEN(SUBSTITUTE(A802,"|",""))))),
    LEN($A802)-LEN(SUBSTITUTE($A802,"|",""))=13, MID($A802, FIND("~", SUBSTITUTE($A802,"|","~", 11))+1, FIND("~", SUBSTITUTE($A802,"|","~", 12))-FIND("~", SUBSTITUTE($A802,"|","~", 11))-1),
    LEN($A802)-LEN(SUBSTITUTE($A802,"|",""))=14, MID($A802, FIND("~", SUBSTITUTE($A802,"|","~", 11))+1, FIND("~", SUBSTITUTE($A802,"|","~", 12))-FIND("~", SUBSTITUTE($A802,"|","~", 11))-1)
), "")</f>
        <v>5A5658</v>
      </c>
      <c r="M802" s="47" t="str">
        <f t="shared" si="111"/>
        <v>TSK2</v>
      </c>
      <c r="N802" s="46" t="str">
        <f t="shared" si="113"/>
        <v>FB120363/10/25</v>
      </c>
      <c r="O802" s="60">
        <v>58</v>
      </c>
      <c r="P802" s="60">
        <v>280</v>
      </c>
      <c r="Q802" s="48">
        <v>58</v>
      </c>
      <c r="R802" s="48">
        <v>280</v>
      </c>
      <c r="S802" s="48"/>
      <c r="T802" s="48"/>
      <c r="U802" s="49"/>
      <c r="V802" s="49"/>
      <c r="W802" s="50">
        <f t="shared" si="110"/>
        <v>0</v>
      </c>
      <c r="X802" s="51">
        <f>IF(A802="", "", IF(COUNTIFS(C$3:C801, C802, D$3:D801, D802, G$3:G801, G802) &gt; 0, "", "11:00"-AW802))</f>
        <v>8.3333333333333315E-2</v>
      </c>
      <c r="Y802" s="52" t="str">
        <f t="shared" si="116"/>
        <v>1:40</v>
      </c>
      <c r="Z802" s="53"/>
      <c r="AA802" s="54"/>
      <c r="AB802" s="53"/>
      <c r="AC802" s="54"/>
      <c r="AD802" s="53">
        <v>4.1666666666666664E-2</v>
      </c>
      <c r="AE802" s="54" t="s">
        <v>129</v>
      </c>
      <c r="AF802" s="53">
        <v>4.1666666666666664E-2</v>
      </c>
      <c r="AG802" s="54" t="s">
        <v>129</v>
      </c>
      <c r="AH802" s="55">
        <v>4.1666666666666699E-2</v>
      </c>
      <c r="AI802" s="53">
        <v>4.1666666666666664E-2</v>
      </c>
      <c r="AJ802" s="54" t="s">
        <v>129</v>
      </c>
      <c r="AK802" s="53">
        <v>4.1666666666666664E-2</v>
      </c>
      <c r="AL802" s="54" t="s">
        <v>129</v>
      </c>
      <c r="AM802" s="53">
        <v>4.1666666666666664E-2</v>
      </c>
      <c r="AN802" s="54" t="s">
        <v>129</v>
      </c>
      <c r="AO802" s="53">
        <v>4.1666666666666664E-2</v>
      </c>
      <c r="AP802" s="54" t="s">
        <v>129</v>
      </c>
      <c r="AQ802" s="53">
        <v>4.1666666666666664E-2</v>
      </c>
      <c r="AR802" s="54" t="s">
        <v>129</v>
      </c>
      <c r="AS802" s="53">
        <v>4.1666666666666664E-2</v>
      </c>
      <c r="AT802" s="54" t="s">
        <v>129</v>
      </c>
      <c r="AU802" s="53">
        <v>4.1666666666666699E-2</v>
      </c>
      <c r="AV802" s="54" t="s">
        <v>37</v>
      </c>
      <c r="AW802" s="57">
        <f t="shared" si="118"/>
        <v>0.375</v>
      </c>
      <c r="AX802" s="58" t="s">
        <v>728</v>
      </c>
    </row>
    <row r="803" spans="1:50" ht="21.75" customHeight="1">
      <c r="A803" s="66" t="s">
        <v>729</v>
      </c>
      <c r="B803" s="39">
        <f t="shared" si="117"/>
        <v>799</v>
      </c>
      <c r="C803" s="40">
        <v>46042</v>
      </c>
      <c r="D803" s="40" t="s">
        <v>32</v>
      </c>
      <c r="E803" s="40" t="s">
        <v>33</v>
      </c>
      <c r="F803" s="41">
        <v>756.8</v>
      </c>
      <c r="G803" s="42" t="s">
        <v>192</v>
      </c>
      <c r="H803" s="43" t="str">
        <f>IFERROR(VLOOKUP($J803,'[9]FROM (3)'!$E$4:$F$230,2,FALSE),"")</f>
        <v>JATH</v>
      </c>
      <c r="I803" s="44" t="str">
        <f t="shared" si="114"/>
        <v>JGF02-002190-31-2</v>
      </c>
      <c r="J803" s="44" t="str">
        <f t="shared" si="115"/>
        <v>RACK BAR BLANK (JGF02-002190-31-2) 5K45</v>
      </c>
      <c r="K803" s="59" t="str">
        <f t="shared" si="112"/>
        <v>PD25121244</v>
      </c>
      <c r="L803" s="46" t="str" cm="1">
        <f t="array" ref="L803">IFERROR(_xlfn.IFS(
    LEN($A803)-LEN(SUBSTITUTE($A803,"|",""))=12, RIGHT(A803, LEN(A803)-FIND("~", SUBSTITUTE(A803,"|","~", LEN(A803)-LEN(SUBSTITUTE(A803,"|",""))))),
    LEN($A803)-LEN(SUBSTITUTE($A803,"|",""))=13, MID($A803, FIND("~", SUBSTITUTE($A803,"|","~", 11))+1, FIND("~", SUBSTITUTE($A803,"|","~", 12))-FIND("~", SUBSTITUTE($A803,"|","~", 11))-1),
    LEN($A803)-LEN(SUBSTITUTE($A803,"|",""))=14, MID($A803, FIND("~", SUBSTITUTE($A803,"|","~", 11))+1, FIND("~", SUBSTITUTE($A803,"|","~", 12))-FIND("~", SUBSTITUTE($A803,"|","~", 11))-1)
), "")</f>
        <v>5A5658</v>
      </c>
      <c r="M803" s="47" t="str">
        <f t="shared" si="111"/>
        <v>TSK2</v>
      </c>
      <c r="N803" s="46" t="str">
        <f t="shared" si="113"/>
        <v>FB120363/17/25</v>
      </c>
      <c r="O803" s="60">
        <v>58</v>
      </c>
      <c r="P803" s="60">
        <v>280</v>
      </c>
      <c r="Q803" s="48">
        <v>58</v>
      </c>
      <c r="R803" s="48">
        <v>280</v>
      </c>
      <c r="S803" s="48"/>
      <c r="T803" s="48"/>
      <c r="U803" s="49"/>
      <c r="V803" s="49"/>
      <c r="W803" s="50">
        <f t="shared" si="110"/>
        <v>0</v>
      </c>
      <c r="X803" s="51" t="str">
        <f>IF(A803="", "", IF(COUNTIFS(C$3:C802, C803, D$3:D802, D803, G$3:G802, G803) &gt; 0, "", "11:00"-AW803))</f>
        <v/>
      </c>
      <c r="Y803" s="52" t="str">
        <f t="shared" si="116"/>
        <v/>
      </c>
      <c r="Z803" s="53"/>
      <c r="AA803" s="54"/>
      <c r="AB803" s="53"/>
      <c r="AC803" s="54"/>
      <c r="AD803" s="53"/>
      <c r="AE803" s="54"/>
      <c r="AF803" s="53"/>
      <c r="AG803" s="54"/>
      <c r="AH803" s="55">
        <v>4.1666666666666699E-2</v>
      </c>
      <c r="AI803" s="53"/>
      <c r="AJ803" s="54"/>
      <c r="AK803" s="53"/>
      <c r="AL803" s="54"/>
      <c r="AM803" s="53"/>
      <c r="AN803" s="54"/>
      <c r="AO803" s="53"/>
      <c r="AP803" s="54"/>
      <c r="AQ803" s="53"/>
      <c r="AR803" s="54"/>
      <c r="AS803" s="53"/>
      <c r="AT803" s="54"/>
      <c r="AU803" s="53">
        <v>4.1666666666666699E-2</v>
      </c>
      <c r="AV803" s="54" t="s">
        <v>37</v>
      </c>
      <c r="AW803" s="57">
        <f t="shared" si="118"/>
        <v>4.1666666666666699E-2</v>
      </c>
      <c r="AX803" s="58" t="s">
        <v>728</v>
      </c>
    </row>
    <row r="804" spans="1:50" ht="21.75" customHeight="1">
      <c r="A804" s="66" t="s">
        <v>726</v>
      </c>
      <c r="B804" s="39">
        <f t="shared" si="117"/>
        <v>800</v>
      </c>
      <c r="C804" s="40">
        <v>46042</v>
      </c>
      <c r="D804" s="40" t="s">
        <v>32</v>
      </c>
      <c r="E804" s="40" t="s">
        <v>33</v>
      </c>
      <c r="F804" s="41">
        <v>375</v>
      </c>
      <c r="G804" s="42" t="s">
        <v>172</v>
      </c>
      <c r="H804" s="43" t="str">
        <f>IFERROR(VLOOKUP($J804,'[9]FROM (3)'!$E$4:$F$230,2,FALSE),"")</f>
        <v>ATAC</v>
      </c>
      <c r="I804" s="44" t="str">
        <f t="shared" si="114"/>
        <v>SEAT,WATER PUMP PULLEY</v>
      </c>
      <c r="J804" s="44" t="str">
        <f t="shared" si="115"/>
        <v>16171-05030</v>
      </c>
      <c r="K804" s="59" t="str">
        <f t="shared" si="112"/>
        <v>PD26010580</v>
      </c>
      <c r="L804" s="46" t="str" cm="1">
        <f t="array" ref="L804">IFERROR(_xlfn.IFS(
    LEN($A804)-LEN(SUBSTITUTE($A804,"|",""))=12, RIGHT(A804, LEN(A804)-FIND("~", SUBSTITUTE(A804,"|","~", LEN(A804)-LEN(SUBSTITUTE(A804,"|",""))))),
    LEN($A804)-LEN(SUBSTITUTE($A804,"|",""))=13, MID($A804, FIND("~", SUBSTITUTE($A804,"|","~", 11))+1, FIND("~", SUBSTITUTE($A804,"|","~", 12))-FIND("~", SUBSTITUTE($A804,"|","~", 11))-1),
    LEN($A804)-LEN(SUBSTITUTE($A804,"|",""))=14, MID($A804, FIND("~", SUBSTITUTE($A804,"|","~", 11))+1, FIND("~", SUBSTITUTE($A804,"|","~", 12))-FIND("~", SUBSTITUTE($A804,"|","~", 11))-1)
), "")</f>
        <v>665898</v>
      </c>
      <c r="M804" s="47" t="str">
        <f t="shared" si="111"/>
        <v>SB010056/6/26</v>
      </c>
      <c r="N804" s="46" t="str">
        <f t="shared" si="113"/>
        <v/>
      </c>
      <c r="O804" s="60" t="s">
        <v>35</v>
      </c>
      <c r="P804" s="60" t="s">
        <v>35</v>
      </c>
      <c r="Q804" s="48">
        <v>643</v>
      </c>
      <c r="R804" s="48">
        <v>241</v>
      </c>
      <c r="S804" s="48"/>
      <c r="T804" s="48"/>
      <c r="U804" s="49">
        <v>87</v>
      </c>
      <c r="V804" s="49">
        <v>168</v>
      </c>
      <c r="W804" s="50">
        <f t="shared" si="110"/>
        <v>255</v>
      </c>
      <c r="X804" s="51">
        <f>IF(A804="", "", IF(COUNTIFS(C$3:C803, C804, D$3:D803, D804, G$3:G803, G804) &gt; 0, "", "11:00"-AW804))</f>
        <v>0.41666666666666663</v>
      </c>
      <c r="Y804" s="52" t="str">
        <f t="shared" si="116"/>
        <v>1:40</v>
      </c>
      <c r="Z804" s="53"/>
      <c r="AA804" s="54"/>
      <c r="AB804" s="53"/>
      <c r="AC804" s="54"/>
      <c r="AD804" s="53"/>
      <c r="AE804" s="54"/>
      <c r="AF804" s="53"/>
      <c r="AG804" s="54"/>
      <c r="AH804" s="55">
        <v>4.1666666666666699E-2</v>
      </c>
      <c r="AI804" s="53"/>
      <c r="AJ804" s="54"/>
      <c r="AK804" s="53"/>
      <c r="AL804" s="54"/>
      <c r="AM804" s="53"/>
      <c r="AN804" s="54"/>
      <c r="AO804" s="53"/>
      <c r="AP804" s="54"/>
      <c r="AQ804" s="53"/>
      <c r="AR804" s="54"/>
      <c r="AS804" s="53"/>
      <c r="AT804" s="54"/>
      <c r="AU804" s="53">
        <v>4.1666666666666699E-2</v>
      </c>
      <c r="AV804" s="54" t="s">
        <v>37</v>
      </c>
      <c r="AW804" s="57">
        <f t="shared" si="118"/>
        <v>4.1666666666666699E-2</v>
      </c>
      <c r="AX804" s="58" t="s">
        <v>380</v>
      </c>
    </row>
    <row r="805" spans="1:50" ht="21.75" customHeight="1">
      <c r="A805" s="66" t="s">
        <v>730</v>
      </c>
      <c r="B805" s="39">
        <f t="shared" si="117"/>
        <v>801</v>
      </c>
      <c r="C805" s="40">
        <v>46042</v>
      </c>
      <c r="D805" s="40" t="s">
        <v>32</v>
      </c>
      <c r="E805" s="40" t="s">
        <v>33</v>
      </c>
      <c r="F805" s="41">
        <v>375</v>
      </c>
      <c r="G805" s="42" t="s">
        <v>172</v>
      </c>
      <c r="H805" s="43" t="str">
        <f>IFERROR(VLOOKUP($J805,'[9]FROM (3)'!$E$4:$F$230,2,FALSE),"")</f>
        <v>ATAC</v>
      </c>
      <c r="I805" s="44" t="str">
        <f t="shared" si="114"/>
        <v>SEAT,WATER PUMP PULLEY</v>
      </c>
      <c r="J805" s="44" t="str">
        <f t="shared" si="115"/>
        <v>16171-05030</v>
      </c>
      <c r="K805" s="59" t="str">
        <f t="shared" si="112"/>
        <v>PD26010857</v>
      </c>
      <c r="L805" s="46" t="str" cm="1">
        <f t="array" ref="L805">IFERROR(_xlfn.IFS(
    LEN($A805)-LEN(SUBSTITUTE($A805,"|",""))=12, RIGHT(A805, LEN(A805)-FIND("~", SUBSTITUTE(A805,"|","~", LEN(A805)-LEN(SUBSTITUTE(A805,"|",""))))),
    LEN($A805)-LEN(SUBSTITUTE($A805,"|",""))=13, MID($A805, FIND("~", SUBSTITUTE($A805,"|","~", 11))+1, FIND("~", SUBSTITUTE($A805,"|","~", 12))-FIND("~", SUBSTITUTE($A805,"|","~", 11))-1),
    LEN($A805)-LEN(SUBSTITUTE($A805,"|",""))=14, MID($A805, FIND("~", SUBSTITUTE($A805,"|","~", 11))+1, FIND("~", SUBSTITUTE($A805,"|","~", 12))-FIND("~", SUBSTITUTE($A805,"|","~", 11))-1)
), "")</f>
        <v>665898</v>
      </c>
      <c r="M805" s="47" t="str">
        <f t="shared" si="111"/>
        <v>SB010102/6/26</v>
      </c>
      <c r="N805" s="46" t="str">
        <f t="shared" si="113"/>
        <v/>
      </c>
      <c r="O805" s="60">
        <v>14</v>
      </c>
      <c r="P805" s="60">
        <v>990</v>
      </c>
      <c r="Q805" s="48">
        <v>2175</v>
      </c>
      <c r="R805" s="48">
        <v>816</v>
      </c>
      <c r="S805" s="48"/>
      <c r="T805" s="48"/>
      <c r="U805" s="49"/>
      <c r="V805" s="49"/>
      <c r="W805" s="50">
        <f t="shared" si="110"/>
        <v>0</v>
      </c>
      <c r="X805" s="51" t="str">
        <f>IF(A805="", "", IF(COUNTIFS(C$3:C804, C805, D$3:D804, D805, G$3:G804, G805) &gt; 0, "", "11:00"-AW805))</f>
        <v/>
      </c>
      <c r="Y805" s="52" t="str">
        <f t="shared" si="116"/>
        <v/>
      </c>
      <c r="Z805" s="53"/>
      <c r="AA805" s="54"/>
      <c r="AB805" s="53"/>
      <c r="AC805" s="54"/>
      <c r="AD805" s="53"/>
      <c r="AE805" s="54"/>
      <c r="AF805" s="53"/>
      <c r="AG805" s="54"/>
      <c r="AH805" s="55">
        <v>4.1666666666666699E-2</v>
      </c>
      <c r="AI805" s="53"/>
      <c r="AJ805" s="54"/>
      <c r="AK805" s="53"/>
      <c r="AL805" s="54"/>
      <c r="AM805" s="53"/>
      <c r="AN805" s="54"/>
      <c r="AO805" s="53"/>
      <c r="AP805" s="54"/>
      <c r="AQ805" s="53"/>
      <c r="AR805" s="54"/>
      <c r="AS805" s="53"/>
      <c r="AT805" s="54"/>
      <c r="AU805" s="53">
        <v>4.1666666666666699E-2</v>
      </c>
      <c r="AV805" s="54" t="s">
        <v>37</v>
      </c>
      <c r="AW805" s="57">
        <f t="shared" si="118"/>
        <v>4.1666666666666699E-2</v>
      </c>
      <c r="AX805" s="58" t="s">
        <v>380</v>
      </c>
    </row>
    <row r="806" spans="1:50" ht="21.75" customHeight="1">
      <c r="A806" s="66" t="s">
        <v>731</v>
      </c>
      <c r="B806" s="39">
        <f t="shared" si="117"/>
        <v>802</v>
      </c>
      <c r="C806" s="40">
        <v>46042</v>
      </c>
      <c r="D806" s="40" t="s">
        <v>32</v>
      </c>
      <c r="E806" s="40" t="s">
        <v>33</v>
      </c>
      <c r="F806" s="41">
        <v>262</v>
      </c>
      <c r="G806" s="42" t="s">
        <v>85</v>
      </c>
      <c r="H806" s="43" t="str">
        <f>IFERROR(VLOOKUP($J806,'[9]FROM (3)'!$E$4:$F$230,2,FALSE),"")</f>
        <v/>
      </c>
      <c r="I806" s="44" t="str">
        <f t="shared" si="114"/>
        <v>RACK</v>
      </c>
      <c r="J806" s="44" t="str">
        <f t="shared" si="115"/>
        <v>510-30149-020</v>
      </c>
      <c r="K806" s="59" t="str">
        <f t="shared" si="112"/>
        <v>PD26010789</v>
      </c>
      <c r="L806" s="46" t="str" cm="1">
        <f t="array" ref="L806">IFERROR(_xlfn.IFS(
    LEN($A806)-LEN(SUBSTITUTE($A806,"|",""))=12, RIGHT(A806, LEN(A806)-FIND("~", SUBSTITUTE(A806,"|","~", LEN(A806)-LEN(SUBSTITUTE(A806,"|",""))))),
    LEN($A806)-LEN(SUBSTITUTE($A806,"|",""))=13, MID($A806, FIND("~", SUBSTITUTE($A806,"|","~", 11))+1, FIND("~", SUBSTITUTE($A806,"|","~", 12))-FIND("~", SUBSTITUTE($A806,"|","~", 11))-1),
    LEN($A806)-LEN(SUBSTITUTE($A806,"|",""))=14, MID($A806, FIND("~", SUBSTITUTE($A806,"|","~", 11))+1, FIND("~", SUBSTITUTE($A806,"|","~", 12))-FIND("~", SUBSTITUTE($A806,"|","~", 11))-1)
), "")</f>
        <v>5C1361</v>
      </c>
      <c r="M806" s="47" t="str">
        <f t="shared" si="111"/>
        <v>SB010086/4/26</v>
      </c>
      <c r="N806" s="46" t="str">
        <f t="shared" si="113"/>
        <v/>
      </c>
      <c r="O806" s="60"/>
      <c r="P806" s="60"/>
      <c r="Q806" s="48">
        <v>390</v>
      </c>
      <c r="R806" s="48">
        <v>638</v>
      </c>
      <c r="S806" s="48"/>
      <c r="T806" s="48"/>
      <c r="U806" s="49">
        <v>176</v>
      </c>
      <c r="V806" s="49">
        <v>18</v>
      </c>
      <c r="W806" s="50">
        <f t="shared" si="110"/>
        <v>194</v>
      </c>
      <c r="X806" s="51">
        <f>IF(A806="", "", IF(COUNTIFS(C$3:C805, C806, D$3:D805, D806, G$3:G805, G806) &gt; 0, "", "11:00"-AW806))</f>
        <v>0.40972222222222215</v>
      </c>
      <c r="Y806" s="52" t="str">
        <f t="shared" si="116"/>
        <v>1:40</v>
      </c>
      <c r="Z806" s="53"/>
      <c r="AA806" s="54"/>
      <c r="AB806" s="53"/>
      <c r="AC806" s="54"/>
      <c r="AD806" s="53"/>
      <c r="AE806" s="54"/>
      <c r="AF806" s="53">
        <v>6.9444444444444441E-3</v>
      </c>
      <c r="AG806" s="54" t="s">
        <v>76</v>
      </c>
      <c r="AH806" s="55">
        <v>4.1666666666666699E-2</v>
      </c>
      <c r="AI806" s="53"/>
      <c r="AJ806" s="54"/>
      <c r="AK806" s="53"/>
      <c r="AL806" s="54"/>
      <c r="AM806" s="53"/>
      <c r="AN806" s="54"/>
      <c r="AO806" s="53"/>
      <c r="AP806" s="54"/>
      <c r="AQ806" s="53"/>
      <c r="AR806" s="54"/>
      <c r="AS806" s="53"/>
      <c r="AT806" s="54"/>
      <c r="AU806" s="53">
        <v>4.1666666666666699E-2</v>
      </c>
      <c r="AV806" s="54" t="s">
        <v>37</v>
      </c>
      <c r="AW806" s="57">
        <f t="shared" si="118"/>
        <v>4.8611111111111147E-2</v>
      </c>
      <c r="AX806" s="58" t="s">
        <v>117</v>
      </c>
    </row>
    <row r="807" spans="1:50" ht="26.25" customHeight="1">
      <c r="A807" s="66" t="s">
        <v>732</v>
      </c>
      <c r="B807" s="39">
        <f t="shared" si="117"/>
        <v>803</v>
      </c>
      <c r="C807" s="40">
        <v>46042</v>
      </c>
      <c r="D807" s="40" t="s">
        <v>32</v>
      </c>
      <c r="E807" s="40" t="s">
        <v>33</v>
      </c>
      <c r="F807" s="41">
        <v>756.4</v>
      </c>
      <c r="G807" s="42" t="s">
        <v>46</v>
      </c>
      <c r="H807" s="43" t="str">
        <f>IFERROR(VLOOKUP($J807,'[9]FROM (3)'!$E$4:$F$230,2,FALSE),"")</f>
        <v>JATH</v>
      </c>
      <c r="I807" s="44" t="str">
        <f t="shared" si="114"/>
        <v>RACK BAR BLANK</v>
      </c>
      <c r="J807" s="44" t="str">
        <f t="shared" si="115"/>
        <v>JGF02-002190-31-2</v>
      </c>
      <c r="K807" s="59" t="str">
        <f t="shared" si="112"/>
        <v>PD26010908</v>
      </c>
      <c r="L807" s="46" t="str" cm="1">
        <f t="array" ref="L807">IFERROR(_xlfn.IFS(
    LEN($A807)-LEN(SUBSTITUTE($A807,"|",""))=12, RIGHT(A807, LEN(A807)-FIND("~", SUBSTITUTE(A807,"|","~", LEN(A807)-LEN(SUBSTITUTE(A807,"|",""))))),
    LEN($A807)-LEN(SUBSTITUTE($A807,"|",""))=13, MID($A807, FIND("~", SUBSTITUTE($A807,"|","~", 11))+1, FIND("~", SUBSTITUTE($A807,"|","~", 12))-FIND("~", SUBSTITUTE($A807,"|","~", 11))-1),
    LEN($A807)-LEN(SUBSTITUTE($A807,"|",""))=14, MID($A807, FIND("~", SUBSTITUTE($A807,"|","~", 11))+1, FIND("~", SUBSTITUTE($A807,"|","~", 12))-FIND("~", SUBSTITUTE($A807,"|","~", 11))-1)
), "")</f>
        <v>5B3841</v>
      </c>
      <c r="M807" s="47" t="str">
        <f t="shared" si="111"/>
        <v>SB010117/2/26</v>
      </c>
      <c r="N807" s="46" t="str">
        <f t="shared" si="113"/>
        <v/>
      </c>
      <c r="O807" s="60">
        <v>27</v>
      </c>
      <c r="P807" s="60">
        <v>962</v>
      </c>
      <c r="Q807" s="48">
        <v>189</v>
      </c>
      <c r="R807" s="48">
        <v>912</v>
      </c>
      <c r="S807" s="48"/>
      <c r="T807" s="48"/>
      <c r="U807" s="49">
        <v>92</v>
      </c>
      <c r="V807" s="49">
        <v>6</v>
      </c>
      <c r="W807" s="50">
        <f t="shared" si="110"/>
        <v>98</v>
      </c>
      <c r="X807" s="51">
        <f>IF(A807="", "", IF(COUNTIFS(C$3:C806, C807, D$3:D806, D807, G$3:G806, G807) &gt; 0, "", "11:00"-AW807))</f>
        <v>0.125</v>
      </c>
      <c r="Y807" s="52" t="str">
        <f t="shared" si="116"/>
        <v>1:40</v>
      </c>
      <c r="Z807" s="53">
        <v>4.1666666666666664E-2</v>
      </c>
      <c r="AA807" s="54" t="s">
        <v>129</v>
      </c>
      <c r="AB807" s="53">
        <v>4.1666666666666664E-2</v>
      </c>
      <c r="AC807" s="54" t="s">
        <v>129</v>
      </c>
      <c r="AD807" s="53">
        <v>4.1666666666666664E-2</v>
      </c>
      <c r="AE807" s="54" t="s">
        <v>129</v>
      </c>
      <c r="AF807" s="53">
        <v>4.1666666666666664E-2</v>
      </c>
      <c r="AG807" s="54" t="s">
        <v>129</v>
      </c>
      <c r="AH807" s="55">
        <v>4.1666666666666699E-2</v>
      </c>
      <c r="AI807" s="53">
        <v>4.1666666666666664E-2</v>
      </c>
      <c r="AJ807" s="54" t="s">
        <v>67</v>
      </c>
      <c r="AK807" s="53"/>
      <c r="AL807" s="54"/>
      <c r="AM807" s="53"/>
      <c r="AN807" s="54"/>
      <c r="AO807" s="53"/>
      <c r="AP807" s="54"/>
      <c r="AQ807" s="53">
        <v>4.1666666666666664E-2</v>
      </c>
      <c r="AR807" s="54" t="s">
        <v>129</v>
      </c>
      <c r="AS807" s="53">
        <v>4.1666666666666664E-2</v>
      </c>
      <c r="AT807" s="54" t="s">
        <v>129</v>
      </c>
      <c r="AU807" s="53">
        <v>4.1666666666666699E-2</v>
      </c>
      <c r="AV807" s="54" t="s">
        <v>37</v>
      </c>
      <c r="AW807" s="57">
        <f t="shared" si="118"/>
        <v>0.33333333333333331</v>
      </c>
      <c r="AX807" s="58" t="s">
        <v>117</v>
      </c>
    </row>
    <row r="808" spans="1:50" ht="27" customHeight="1">
      <c r="A808" s="66" t="s">
        <v>733</v>
      </c>
      <c r="B808" s="39">
        <f t="shared" si="117"/>
        <v>804</v>
      </c>
      <c r="C808" s="40">
        <v>46042</v>
      </c>
      <c r="D808" s="40" t="s">
        <v>32</v>
      </c>
      <c r="E808" s="40" t="s">
        <v>33</v>
      </c>
      <c r="F808" s="41">
        <v>756.4</v>
      </c>
      <c r="G808" s="42" t="s">
        <v>46</v>
      </c>
      <c r="H808" s="43" t="str">
        <f>IFERROR(VLOOKUP($J808,'[9]FROM (3)'!$E$4:$F$230,2,FALSE),"")</f>
        <v>JATH</v>
      </c>
      <c r="I808" s="44" t="str">
        <f t="shared" si="114"/>
        <v>RACK BAR BLANK</v>
      </c>
      <c r="J808" s="44" t="str">
        <f t="shared" si="115"/>
        <v>JGF02-002190-31-2</v>
      </c>
      <c r="K808" s="59" t="str">
        <f t="shared" si="112"/>
        <v>PD26010908</v>
      </c>
      <c r="L808" s="46" t="str" cm="1">
        <f t="array" ref="L808">IFERROR(_xlfn.IFS(
    LEN($A808)-LEN(SUBSTITUTE($A808,"|",""))=12, RIGHT(A808, LEN(A808)-FIND("~", SUBSTITUTE(A808,"|","~", LEN(A808)-LEN(SUBSTITUTE(A808,"|",""))))),
    LEN($A808)-LEN(SUBSTITUTE($A808,"|",""))=13, MID($A808, FIND("~", SUBSTITUTE($A808,"|","~", 11))+1, FIND("~", SUBSTITUTE($A808,"|","~", 12))-FIND("~", SUBSTITUTE($A808,"|","~", 11))-1),
    LEN($A808)-LEN(SUBSTITUTE($A808,"|",""))=14, MID($A808, FIND("~", SUBSTITUTE($A808,"|","~", 11))+1, FIND("~", SUBSTITUTE($A808,"|","~", 12))-FIND("~", SUBSTITUTE($A808,"|","~", 11))-1)
), "")</f>
        <v>5B3841</v>
      </c>
      <c r="M808" s="47" t="str">
        <f t="shared" si="111"/>
        <v>SB010117/1/26</v>
      </c>
      <c r="N808" s="46" t="str">
        <f t="shared" si="113"/>
        <v/>
      </c>
      <c r="O808" s="60">
        <v>27</v>
      </c>
      <c r="P808" s="60">
        <v>962</v>
      </c>
      <c r="Q808" s="48">
        <v>189</v>
      </c>
      <c r="R808" s="48">
        <v>912</v>
      </c>
      <c r="S808" s="48"/>
      <c r="T808" s="48"/>
      <c r="U808" s="49"/>
      <c r="V808" s="49"/>
      <c r="W808" s="50">
        <f t="shared" si="110"/>
        <v>0</v>
      </c>
      <c r="X808" s="51" t="str">
        <f>IF(A808="", "", IF(COUNTIFS(C$3:C807, C808, D$3:D807, D808, G$3:G807, G808) &gt; 0, "", "11:00"-AW808))</f>
        <v/>
      </c>
      <c r="Y808" s="52" t="str">
        <f t="shared" si="116"/>
        <v/>
      </c>
      <c r="Z808" s="53"/>
      <c r="AA808" s="54"/>
      <c r="AB808" s="53"/>
      <c r="AC808" s="54"/>
      <c r="AD808" s="53"/>
      <c r="AE808" s="54"/>
      <c r="AF808" s="53"/>
      <c r="AG808" s="54"/>
      <c r="AH808" s="55">
        <v>4.1666666666666699E-2</v>
      </c>
      <c r="AI808" s="53"/>
      <c r="AJ808" s="54"/>
      <c r="AK808" s="53"/>
      <c r="AL808" s="54"/>
      <c r="AM808" s="53"/>
      <c r="AN808" s="54"/>
      <c r="AO808" s="53"/>
      <c r="AP808" s="54"/>
      <c r="AQ808" s="53"/>
      <c r="AR808" s="54"/>
      <c r="AS808" s="53"/>
      <c r="AT808" s="54"/>
      <c r="AU808" s="53">
        <v>4.1666666666666699E-2</v>
      </c>
      <c r="AV808" s="54" t="s">
        <v>37</v>
      </c>
      <c r="AW808" s="57">
        <f t="shared" si="118"/>
        <v>4.1666666666666699E-2</v>
      </c>
      <c r="AX808" s="58" t="s">
        <v>117</v>
      </c>
    </row>
    <row r="809" spans="1:50" ht="27" customHeight="1">
      <c r="A809" s="66" t="s">
        <v>734</v>
      </c>
      <c r="B809" s="39">
        <f t="shared" si="117"/>
        <v>805</v>
      </c>
      <c r="C809" s="40">
        <v>46042</v>
      </c>
      <c r="D809" s="40" t="s">
        <v>32</v>
      </c>
      <c r="E809" s="40" t="s">
        <v>33</v>
      </c>
      <c r="F809" s="41">
        <v>721.5</v>
      </c>
      <c r="G809" s="42" t="s">
        <v>75</v>
      </c>
      <c r="H809" s="43" t="str">
        <f>IFERROR(VLOOKUP($J809,'[9]FROM (3)'!$E$4:$F$230,2,FALSE),"")</f>
        <v>JCTTH</v>
      </c>
      <c r="I809" s="44" t="str">
        <f t="shared" si="114"/>
        <v>RACK POWER STEERING</v>
      </c>
      <c r="J809" s="44" t="str">
        <f t="shared" si="115"/>
        <v>2-30JG-0711</v>
      </c>
      <c r="K809" s="59" t="str">
        <f t="shared" si="112"/>
        <v>PD25121192</v>
      </c>
      <c r="L809" s="46" t="str" cm="1">
        <f t="array" ref="L809">IFERROR(_xlfn.IFS(
    LEN($A809)-LEN(SUBSTITUTE($A809,"|",""))=12, RIGHT(A809, LEN(A809)-FIND("~", SUBSTITUTE(A809,"|","~", LEN(A809)-LEN(SUBSTITUTE(A809,"|",""))))),
    LEN($A809)-LEN(SUBSTITUTE($A809,"|",""))=13, MID($A809, FIND("~", SUBSTITUTE($A809,"|","~", 11))+1, FIND("~", SUBSTITUTE($A809,"|","~", 12))-FIND("~", SUBSTITUTE($A809,"|","~", 11))-1),
    LEN($A809)-LEN(SUBSTITUTE($A809,"|",""))=14, MID($A809, FIND("~", SUBSTITUTE($A809,"|","~", 11))+1, FIND("~", SUBSTITUTE($A809,"|","~", 12))-FIND("~", SUBSTITUTE($A809,"|","~", 11))-1)
), "")</f>
        <v>E586100</v>
      </c>
      <c r="M809" s="47" t="str">
        <f t="shared" si="111"/>
        <v>SB120149/1/25</v>
      </c>
      <c r="N809" s="46" t="str">
        <f t="shared" si="113"/>
        <v/>
      </c>
      <c r="O809" s="60">
        <v>50</v>
      </c>
      <c r="P809" s="60">
        <v>876</v>
      </c>
      <c r="Q809" s="48">
        <v>200</v>
      </c>
      <c r="R809" s="48">
        <v>820</v>
      </c>
      <c r="S809" s="48"/>
      <c r="T809" s="48"/>
      <c r="U809" s="49"/>
      <c r="V809" s="49"/>
      <c r="W809" s="50">
        <f t="shared" si="110"/>
        <v>0</v>
      </c>
      <c r="X809" s="51">
        <f>IF(A809="", "", IF(COUNTIFS(C$3:C808, C809, D$3:D808, D809, G$3:G808, G809) &gt; 0, "", "11:00"-AW809))</f>
        <v>0.41666666666666663</v>
      </c>
      <c r="Y809" s="52" t="str">
        <f t="shared" si="116"/>
        <v>1:40</v>
      </c>
      <c r="Z809" s="53"/>
      <c r="AA809" s="54"/>
      <c r="AB809" s="53"/>
      <c r="AC809" s="54"/>
      <c r="AD809" s="53"/>
      <c r="AE809" s="54"/>
      <c r="AF809" s="53"/>
      <c r="AG809" s="54"/>
      <c r="AH809" s="55">
        <v>4.1666666666666699E-2</v>
      </c>
      <c r="AI809" s="53"/>
      <c r="AJ809" s="54"/>
      <c r="AK809" s="53"/>
      <c r="AL809" s="54" t="s">
        <v>122</v>
      </c>
      <c r="AM809" s="53"/>
      <c r="AN809" s="54"/>
      <c r="AO809" s="53"/>
      <c r="AP809" s="54"/>
      <c r="AQ809" s="53"/>
      <c r="AR809" s="54"/>
      <c r="AS809" s="53"/>
      <c r="AT809" s="54"/>
      <c r="AU809" s="53">
        <v>4.1666666666666699E-2</v>
      </c>
      <c r="AV809" s="54" t="s">
        <v>37</v>
      </c>
      <c r="AW809" s="57">
        <f t="shared" si="118"/>
        <v>4.1666666666666699E-2</v>
      </c>
      <c r="AX809" s="58" t="s">
        <v>77</v>
      </c>
    </row>
    <row r="810" spans="1:50" ht="27" customHeight="1">
      <c r="A810" s="66" t="s">
        <v>735</v>
      </c>
      <c r="B810" s="39">
        <f t="shared" si="117"/>
        <v>806</v>
      </c>
      <c r="C810" s="40">
        <v>46042</v>
      </c>
      <c r="D810" s="40" t="s">
        <v>32</v>
      </c>
      <c r="E810" s="40" t="s">
        <v>33</v>
      </c>
      <c r="F810" s="41">
        <v>721.5</v>
      </c>
      <c r="G810" s="42" t="s">
        <v>75</v>
      </c>
      <c r="H810" s="43" t="str">
        <f>IFERROR(VLOOKUP($J810,'[9]FROM (3)'!$E$4:$F$230,2,FALSE),"")</f>
        <v>JCTTH</v>
      </c>
      <c r="I810" s="44" t="str">
        <f t="shared" si="114"/>
        <v>RACK POWER STEERING</v>
      </c>
      <c r="J810" s="44" t="str">
        <f t="shared" si="115"/>
        <v>2-30JG-0711</v>
      </c>
      <c r="K810" s="59" t="str">
        <f t="shared" si="112"/>
        <v>PD25121192</v>
      </c>
      <c r="L810" s="46" t="str" cm="1">
        <f t="array" ref="L810">IFERROR(_xlfn.IFS(
    LEN($A810)-LEN(SUBSTITUTE($A810,"|",""))=12, RIGHT(A810, LEN(A810)-FIND("~", SUBSTITUTE(A810,"|","~", LEN(A810)-LEN(SUBSTITUTE(A810,"|",""))))),
    LEN($A810)-LEN(SUBSTITUTE($A810,"|",""))=13, MID($A810, FIND("~", SUBSTITUTE($A810,"|","~", 11))+1, FIND("~", SUBSTITUTE($A810,"|","~", 12))-FIND("~", SUBSTITUTE($A810,"|","~", 11))-1),
    LEN($A810)-LEN(SUBSTITUTE($A810,"|",""))=14, MID($A810, FIND("~", SUBSTITUTE($A810,"|","~", 11))+1, FIND("~", SUBSTITUTE($A810,"|","~", 12))-FIND("~", SUBSTITUTE($A810,"|","~", 11))-1)
), "")</f>
        <v>E586100</v>
      </c>
      <c r="M810" s="47" t="str">
        <f t="shared" si="111"/>
        <v>SB120149/2/25</v>
      </c>
      <c r="N810" s="46" t="str">
        <f t="shared" si="113"/>
        <v/>
      </c>
      <c r="O810" s="60">
        <v>50</v>
      </c>
      <c r="P810" s="60">
        <v>876</v>
      </c>
      <c r="Q810" s="48">
        <v>200</v>
      </c>
      <c r="R810" s="48">
        <v>820</v>
      </c>
      <c r="S810" s="48"/>
      <c r="T810" s="48"/>
      <c r="U810" s="49"/>
      <c r="V810" s="49"/>
      <c r="W810" s="50">
        <f t="shared" si="110"/>
        <v>0</v>
      </c>
      <c r="X810" s="51" t="str">
        <f>IF(A810="", "", IF(COUNTIFS(C$3:C809, C810, D$3:D809, D810, G$3:G809, G810) &gt; 0, "", "11:00"-AW810))</f>
        <v/>
      </c>
      <c r="Y810" s="52" t="str">
        <f t="shared" si="116"/>
        <v/>
      </c>
      <c r="Z810" s="53"/>
      <c r="AA810" s="54"/>
      <c r="AB810" s="53"/>
      <c r="AC810" s="54"/>
      <c r="AD810" s="53"/>
      <c r="AE810" s="54"/>
      <c r="AF810" s="53"/>
      <c r="AG810" s="54"/>
      <c r="AH810" s="55">
        <v>4.1666666666666699E-2</v>
      </c>
      <c r="AI810" s="53"/>
      <c r="AJ810" s="54"/>
      <c r="AK810" s="53"/>
      <c r="AL810" s="54"/>
      <c r="AM810" s="53"/>
      <c r="AN810" s="54"/>
      <c r="AO810" s="53"/>
      <c r="AQ810" s="53"/>
      <c r="AR810" s="54"/>
      <c r="AS810" s="53"/>
      <c r="AT810" s="54"/>
      <c r="AU810" s="53">
        <v>4.1666666666666699E-2</v>
      </c>
      <c r="AV810" s="54" t="s">
        <v>37</v>
      </c>
      <c r="AW810" s="57">
        <f t="shared" si="118"/>
        <v>4.1666666666666699E-2</v>
      </c>
      <c r="AX810" s="58" t="s">
        <v>77</v>
      </c>
    </row>
    <row r="811" spans="1:50" ht="27" customHeight="1">
      <c r="A811" s="66" t="s">
        <v>736</v>
      </c>
      <c r="B811" s="39">
        <f t="shared" si="117"/>
        <v>807</v>
      </c>
      <c r="C811" s="40">
        <v>46042</v>
      </c>
      <c r="D811" s="40" t="s">
        <v>32</v>
      </c>
      <c r="E811" s="40" t="s">
        <v>33</v>
      </c>
      <c r="F811" s="41">
        <v>721.5</v>
      </c>
      <c r="G811" s="42" t="s">
        <v>75</v>
      </c>
      <c r="H811" s="43" t="str">
        <f>IFERROR(VLOOKUP($J811,'[9]FROM (3)'!$E$4:$F$230,2,FALSE),"")</f>
        <v>JCTTH</v>
      </c>
      <c r="I811" s="44" t="str">
        <f t="shared" si="114"/>
        <v>RACK POWER STEERING</v>
      </c>
      <c r="J811" s="44" t="str">
        <f t="shared" si="115"/>
        <v>2-30JG-0711</v>
      </c>
      <c r="K811" s="59" t="str">
        <f t="shared" si="112"/>
        <v>PD25121192</v>
      </c>
      <c r="L811" s="46" t="str" cm="1">
        <f t="array" ref="L811">IFERROR(_xlfn.IFS(
    LEN($A811)-LEN(SUBSTITUTE($A811,"|",""))=12, RIGHT(A811, LEN(A811)-FIND("~", SUBSTITUTE(A811,"|","~", LEN(A811)-LEN(SUBSTITUTE(A811,"|",""))))),
    LEN($A811)-LEN(SUBSTITUTE($A811,"|",""))=13, MID($A811, FIND("~", SUBSTITUTE($A811,"|","~", 11))+1, FIND("~", SUBSTITUTE($A811,"|","~", 12))-FIND("~", SUBSTITUTE($A811,"|","~", 11))-1),
    LEN($A811)-LEN(SUBSTITUTE($A811,"|",""))=14, MID($A811, FIND("~", SUBSTITUTE($A811,"|","~", 11))+1, FIND("~", SUBSTITUTE($A811,"|","~", 12))-FIND("~", SUBSTITUTE($A811,"|","~", 11))-1)
), "")</f>
        <v>E586100</v>
      </c>
      <c r="M811" s="47" t="str">
        <f t="shared" si="111"/>
        <v>SB120149/3/25</v>
      </c>
      <c r="N811" s="46" t="str">
        <f t="shared" si="113"/>
        <v/>
      </c>
      <c r="O811" s="60">
        <v>50</v>
      </c>
      <c r="P811" s="60">
        <v>876</v>
      </c>
      <c r="Q811" s="48">
        <v>198</v>
      </c>
      <c r="R811" s="48">
        <v>811</v>
      </c>
      <c r="S811" s="48"/>
      <c r="T811" s="48"/>
      <c r="U811" s="49">
        <v>143</v>
      </c>
      <c r="V811" s="49">
        <v>9</v>
      </c>
      <c r="W811" s="50">
        <f t="shared" si="110"/>
        <v>152</v>
      </c>
      <c r="X811" s="51" t="str">
        <f>IF(A811="", "", IF(COUNTIFS(C$3:C810, C811, D$3:D810, D811, G$3:G810, G811) &gt; 0, "", "11:00"-AW811))</f>
        <v/>
      </c>
      <c r="Y811" s="52" t="str">
        <f t="shared" si="116"/>
        <v/>
      </c>
      <c r="Z811" s="53"/>
      <c r="AA811" s="54"/>
      <c r="AB811" s="53"/>
      <c r="AC811" s="54"/>
      <c r="AD811" s="53"/>
      <c r="AE811" s="54"/>
      <c r="AF811" s="53"/>
      <c r="AG811" s="54"/>
      <c r="AH811" s="55">
        <v>4.1666666666666699E-2</v>
      </c>
      <c r="AI811" s="53"/>
      <c r="AJ811" s="54"/>
      <c r="AK811" s="53"/>
      <c r="AL811" s="54"/>
      <c r="AM811" s="53"/>
      <c r="AN811" s="54"/>
      <c r="AO811" s="53"/>
      <c r="AP811" s="54"/>
      <c r="AQ811" s="53"/>
      <c r="AR811" s="54"/>
      <c r="AS811" s="53"/>
      <c r="AT811" s="54"/>
      <c r="AU811" s="53">
        <v>4.1666666666666699E-2</v>
      </c>
      <c r="AV811" s="54" t="s">
        <v>37</v>
      </c>
      <c r="AW811" s="57">
        <f t="shared" si="118"/>
        <v>4.1666666666666699E-2</v>
      </c>
      <c r="AX811" s="58" t="s">
        <v>77</v>
      </c>
    </row>
    <row r="812" spans="1:50" ht="27" customHeight="1">
      <c r="A812" s="66" t="s">
        <v>737</v>
      </c>
      <c r="B812" s="39">
        <f t="shared" si="117"/>
        <v>808</v>
      </c>
      <c r="C812" s="40">
        <v>46042</v>
      </c>
      <c r="D812" s="40" t="s">
        <v>32</v>
      </c>
      <c r="E812" s="40" t="s">
        <v>33</v>
      </c>
      <c r="F812" s="41">
        <v>721.5</v>
      </c>
      <c r="G812" s="42" t="s">
        <v>75</v>
      </c>
      <c r="H812" s="43" t="str">
        <f>IFERROR(VLOOKUP($J812,'[9]FROM (3)'!$E$4:$F$230,2,FALSE),"")</f>
        <v>JCTTH</v>
      </c>
      <c r="I812" s="44" t="str">
        <f t="shared" si="114"/>
        <v>RACK POWER STEERING</v>
      </c>
      <c r="J812" s="44" t="str">
        <f t="shared" si="115"/>
        <v>2-30JG-0711</v>
      </c>
      <c r="K812" s="59" t="str">
        <f t="shared" si="112"/>
        <v>PD26010790</v>
      </c>
      <c r="L812" s="46" t="str" cm="1">
        <f t="array" ref="L812">IFERROR(_xlfn.IFS(
    LEN($A812)-LEN(SUBSTITUTE($A812,"|",""))=12, RIGHT(A812, LEN(A812)-FIND("~", SUBSTITUTE(A812,"|","~", LEN(A812)-LEN(SUBSTITUTE(A812,"|",""))))),
    LEN($A812)-LEN(SUBSTITUTE($A812,"|",""))=13, MID($A812, FIND("~", SUBSTITUTE($A812,"|","~", 11))+1, FIND("~", SUBSTITUTE($A812,"|","~", 12))-FIND("~", SUBSTITUTE($A812,"|","~", 11))-1),
    LEN($A812)-LEN(SUBSTITUTE($A812,"|",""))=14, MID($A812, FIND("~", SUBSTITUTE($A812,"|","~", 11))+1, FIND("~", SUBSTITUTE($A812,"|","~", 12))-FIND("~", SUBSTITUTE($A812,"|","~", 11))-1)
), "")</f>
        <v>E586102</v>
      </c>
      <c r="M812" s="47" t="str">
        <f t="shared" si="111"/>
        <v>SB010089/3/26</v>
      </c>
      <c r="N812" s="46" t="str">
        <f t="shared" si="113"/>
        <v/>
      </c>
      <c r="O812" s="60">
        <v>50</v>
      </c>
      <c r="P812" s="60">
        <v>878</v>
      </c>
      <c r="Q812" s="48">
        <v>200</v>
      </c>
      <c r="R812" s="48">
        <v>820</v>
      </c>
      <c r="S812" s="48"/>
      <c r="T812" s="48"/>
      <c r="U812" s="49"/>
      <c r="V812" s="49"/>
      <c r="W812" s="50">
        <f t="shared" si="110"/>
        <v>0</v>
      </c>
      <c r="X812" s="51" t="str">
        <f>IF(A812="", "", IF(COUNTIFS(C$3:C811, C812, D$3:D811, D812, G$3:G811, G812) &gt; 0, "", "11:00"-AW812))</f>
        <v/>
      </c>
      <c r="Y812" s="52" t="str">
        <f t="shared" si="116"/>
        <v/>
      </c>
      <c r="Z812" s="53"/>
      <c r="AA812" s="54"/>
      <c r="AB812" s="53"/>
      <c r="AC812" s="54"/>
      <c r="AD812" s="53"/>
      <c r="AE812" s="54"/>
      <c r="AF812" s="53"/>
      <c r="AG812" s="54"/>
      <c r="AH812" s="55">
        <v>4.1666666666666699E-2</v>
      </c>
      <c r="AI812" s="53"/>
      <c r="AJ812" s="54"/>
      <c r="AK812" s="53"/>
      <c r="AL812" s="54"/>
      <c r="AM812" s="53"/>
      <c r="AN812" s="54"/>
      <c r="AO812" s="53"/>
      <c r="AP812" s="54"/>
      <c r="AQ812" s="53"/>
      <c r="AR812" s="54"/>
      <c r="AS812" s="53"/>
      <c r="AT812" s="54"/>
      <c r="AU812" s="53">
        <v>4.1666666666666699E-2</v>
      </c>
      <c r="AV812" s="54" t="s">
        <v>37</v>
      </c>
      <c r="AW812" s="57">
        <f t="shared" si="118"/>
        <v>4.1666666666666699E-2</v>
      </c>
      <c r="AX812" s="58" t="s">
        <v>77</v>
      </c>
    </row>
    <row r="813" spans="1:50" ht="27" customHeight="1">
      <c r="A813" s="66" t="s">
        <v>738</v>
      </c>
      <c r="B813" s="39">
        <f t="shared" si="117"/>
        <v>809</v>
      </c>
      <c r="C813" s="40">
        <v>46042</v>
      </c>
      <c r="D813" s="40" t="s">
        <v>32</v>
      </c>
      <c r="E813" s="40" t="s">
        <v>33</v>
      </c>
      <c r="F813" s="41">
        <v>721.5</v>
      </c>
      <c r="G813" s="42" t="s">
        <v>75</v>
      </c>
      <c r="H813" s="43" t="str">
        <f>IFERROR(VLOOKUP($J813,'[9]FROM (3)'!$E$4:$F$230,2,FALSE),"")</f>
        <v>JCTTH</v>
      </c>
      <c r="I813" s="44" t="str">
        <f t="shared" si="114"/>
        <v>RACK POWER STEERING</v>
      </c>
      <c r="J813" s="44" t="str">
        <f t="shared" si="115"/>
        <v>2-30JG-0711</v>
      </c>
      <c r="K813" s="59" t="str">
        <f t="shared" si="112"/>
        <v>PD26010790</v>
      </c>
      <c r="L813" s="46" t="str" cm="1">
        <f t="array" ref="L813">IFERROR(_xlfn.IFS(
    LEN($A813)-LEN(SUBSTITUTE($A813,"|",""))=12, RIGHT(A813, LEN(A813)-FIND("~", SUBSTITUTE(A813,"|","~", LEN(A813)-LEN(SUBSTITUTE(A813,"|",""))))),
    LEN($A813)-LEN(SUBSTITUTE($A813,"|",""))=13, MID($A813, FIND("~", SUBSTITUTE($A813,"|","~", 11))+1, FIND("~", SUBSTITUTE($A813,"|","~", 12))-FIND("~", SUBSTITUTE($A813,"|","~", 11))-1),
    LEN($A813)-LEN(SUBSTITUTE($A813,"|",""))=14, MID($A813, FIND("~", SUBSTITUTE($A813,"|","~", 11))+1, FIND("~", SUBSTITUTE($A813,"|","~", 12))-FIND("~", SUBSTITUTE($A813,"|","~", 11))-1)
), "")</f>
        <v>E586102</v>
      </c>
      <c r="M813" s="47" t="str">
        <f t="shared" si="111"/>
        <v>SB010089/2/26</v>
      </c>
      <c r="N813" s="46" t="str">
        <f t="shared" si="113"/>
        <v/>
      </c>
      <c r="O813" s="60">
        <v>50</v>
      </c>
      <c r="P813" s="60">
        <v>878</v>
      </c>
      <c r="Q813" s="48">
        <v>185</v>
      </c>
      <c r="R813" s="48">
        <v>758</v>
      </c>
      <c r="S813" s="48"/>
      <c r="T813" s="48"/>
      <c r="U813" s="49"/>
      <c r="V813" s="49"/>
      <c r="W813" s="50">
        <f t="shared" si="110"/>
        <v>0</v>
      </c>
      <c r="X813" s="51" t="str">
        <f>IF(A813="", "", IF(COUNTIFS(C$3:C812, C813, D$3:D812, D813, G$3:G812, G813) &gt; 0, "", "11:00"-AW813))</f>
        <v/>
      </c>
      <c r="Y813" s="52" t="str">
        <f t="shared" si="116"/>
        <v/>
      </c>
      <c r="Z813" s="53"/>
      <c r="AA813" s="54"/>
      <c r="AB813" s="53"/>
      <c r="AC813" s="54"/>
      <c r="AD813" s="53"/>
      <c r="AE813" s="54"/>
      <c r="AF813" s="53"/>
      <c r="AG813" s="54"/>
      <c r="AH813" s="55">
        <v>4.1666666666666699E-2</v>
      </c>
      <c r="AI813" s="53"/>
      <c r="AJ813" s="54"/>
      <c r="AK813" s="53"/>
      <c r="AL813" s="54"/>
      <c r="AM813" s="53"/>
      <c r="AN813" s="54"/>
      <c r="AO813" s="53"/>
      <c r="AP813" s="54"/>
      <c r="AQ813" s="53"/>
      <c r="AR813" s="54"/>
      <c r="AS813" s="53"/>
      <c r="AT813" s="54"/>
      <c r="AU813" s="53">
        <v>4.1666666666666699E-2</v>
      </c>
      <c r="AV813" s="54" t="s">
        <v>37</v>
      </c>
      <c r="AW813" s="57">
        <f t="shared" si="118"/>
        <v>4.1666666666666699E-2</v>
      </c>
      <c r="AX813" s="58" t="s">
        <v>77</v>
      </c>
    </row>
    <row r="814" spans="1:50" ht="27" customHeight="1">
      <c r="A814" s="66" t="s">
        <v>739</v>
      </c>
      <c r="B814" s="39">
        <f t="shared" si="117"/>
        <v>810</v>
      </c>
      <c r="C814" s="40">
        <v>46042</v>
      </c>
      <c r="D814" s="40" t="s">
        <v>32</v>
      </c>
      <c r="E814" s="40" t="s">
        <v>33</v>
      </c>
      <c r="F814" s="41">
        <v>719.6</v>
      </c>
      <c r="G814" s="42" t="s">
        <v>54</v>
      </c>
      <c r="H814" s="43" t="str">
        <f>IFERROR(VLOOKUP($J814,'[9]FROM (3)'!$E$4:$F$230,2,FALSE),"")</f>
        <v>JAMY</v>
      </c>
      <c r="I814" s="44" t="str">
        <f t="shared" si="114"/>
        <v>RACK BAR</v>
      </c>
      <c r="J814" s="44" t="str">
        <f t="shared" si="115"/>
        <v>JGD10S000830-51-0</v>
      </c>
      <c r="K814" s="59" t="str">
        <f t="shared" si="112"/>
        <v>PD26010677</v>
      </c>
      <c r="L814" s="46" t="str" cm="1">
        <f t="array" ref="L814">IFERROR(_xlfn.IFS(
    LEN($A814)-LEN(SUBSTITUTE($A814,"|",""))=12, RIGHT(A814, LEN(A814)-FIND("~", SUBSTITUTE(A814,"|","~", LEN(A814)-LEN(SUBSTITUTE(A814,"|",""))))),
    LEN($A814)-LEN(SUBSTITUTE($A814,"|",""))=13, MID($A814, FIND("~", SUBSTITUTE($A814,"|","~", 11))+1, FIND("~", SUBSTITUTE($A814,"|","~", 12))-FIND("~", SUBSTITUTE($A814,"|","~", 11))-1),
    LEN($A814)-LEN(SUBSTITUTE($A814,"|",""))=14, MID($A814, FIND("~", SUBSTITUTE($A814,"|","~", 11))+1, FIND("~", SUBSTITUTE($A814,"|","~", 12))-FIND("~", SUBSTITUTE($A814,"|","~", 11))-1)
), "")</f>
        <v>E586442</v>
      </c>
      <c r="M814" s="47" t="str">
        <f t="shared" si="111"/>
        <v>SB010075/4/26</v>
      </c>
      <c r="N814" s="46" t="str">
        <f t="shared" si="113"/>
        <v/>
      </c>
      <c r="O814" s="60">
        <v>50</v>
      </c>
      <c r="P814" s="60">
        <v>864</v>
      </c>
      <c r="Q814" s="48">
        <v>200</v>
      </c>
      <c r="R814" s="48">
        <v>812</v>
      </c>
      <c r="S814" s="48"/>
      <c r="T814" s="48"/>
      <c r="U814" s="49">
        <v>139</v>
      </c>
      <c r="V814" s="49">
        <v>9</v>
      </c>
      <c r="W814" s="50">
        <f t="shared" si="110"/>
        <v>148</v>
      </c>
      <c r="X814" s="51">
        <f>IF(A814="", "", IF(COUNTIFS(C$3:C813, C814, D$3:D813, D814, G$3:G813, G814) &gt; 0, "", "11:00"-AW814))</f>
        <v>0.29861111111111105</v>
      </c>
      <c r="Y814" s="52" t="str">
        <f t="shared" si="116"/>
        <v>1:0</v>
      </c>
      <c r="Z814" s="53"/>
      <c r="AA814" s="54"/>
      <c r="AB814" s="53"/>
      <c r="AC814" s="54" t="s">
        <v>122</v>
      </c>
      <c r="AD814" s="53"/>
      <c r="AE814" s="54"/>
      <c r="AF814" s="53"/>
      <c r="AG814" s="54"/>
      <c r="AH814" s="55">
        <v>4.1666666666666699E-2</v>
      </c>
      <c r="AI814" s="53">
        <v>1.3888888888888888E-2</v>
      </c>
      <c r="AJ814" s="54" t="s">
        <v>82</v>
      </c>
      <c r="AK814" s="53">
        <v>2.0833333333333332E-2</v>
      </c>
      <c r="AL814" s="54" t="s">
        <v>163</v>
      </c>
      <c r="AM814" s="53"/>
      <c r="AN814" s="54"/>
      <c r="AO814" s="53"/>
      <c r="AP814" s="54"/>
      <c r="AQ814" s="53">
        <v>4.1666666666666664E-2</v>
      </c>
      <c r="AR814" s="54" t="s">
        <v>37</v>
      </c>
      <c r="AS814" s="53">
        <v>4.1666666666666664E-2</v>
      </c>
      <c r="AT814" s="54" t="s">
        <v>37</v>
      </c>
      <c r="AU814" s="53">
        <v>4.1666666666666699E-2</v>
      </c>
      <c r="AV814" s="54" t="s">
        <v>37</v>
      </c>
      <c r="AW814" s="57">
        <f t="shared" si="118"/>
        <v>0.15972222222222227</v>
      </c>
      <c r="AX814" s="58" t="s">
        <v>56</v>
      </c>
    </row>
    <row r="815" spans="1:50" ht="27" customHeight="1">
      <c r="A815" s="66" t="s">
        <v>740</v>
      </c>
      <c r="B815" s="39">
        <f t="shared" si="117"/>
        <v>811</v>
      </c>
      <c r="C815" s="40">
        <v>46042</v>
      </c>
      <c r="D815" s="40" t="s">
        <v>32</v>
      </c>
      <c r="E815" s="40" t="s">
        <v>33</v>
      </c>
      <c r="F815" s="41">
        <v>719.6</v>
      </c>
      <c r="G815" s="42" t="s">
        <v>54</v>
      </c>
      <c r="H815" s="43" t="str">
        <f>IFERROR(VLOOKUP($J815,'[9]FROM (3)'!$E$4:$F$230,2,FALSE),"")</f>
        <v>JAMY</v>
      </c>
      <c r="I815" s="44" t="str">
        <f t="shared" si="114"/>
        <v>RACK BAR</v>
      </c>
      <c r="J815" s="44" t="str">
        <f t="shared" si="115"/>
        <v>JGD10S000830-51-0</v>
      </c>
      <c r="K815" s="59" t="str">
        <f t="shared" si="112"/>
        <v>PD26010676</v>
      </c>
      <c r="L815" s="46" t="str" cm="1">
        <f t="array" ref="L815">IFERROR(_xlfn.IFS(
    LEN($A815)-LEN(SUBSTITUTE($A815,"|",""))=12, RIGHT(A815, LEN(A815)-FIND("~", SUBSTITUTE(A815,"|","~", LEN(A815)-LEN(SUBSTITUTE(A815,"|",""))))),
    LEN($A815)-LEN(SUBSTITUTE($A815,"|",""))=13, MID($A815, FIND("~", SUBSTITUTE($A815,"|","~", 11))+1, FIND("~", SUBSTITUTE($A815,"|","~", 12))-FIND("~", SUBSTITUTE($A815,"|","~", 11))-1),
    LEN($A815)-LEN(SUBSTITUTE($A815,"|",""))=14, MID($A815, FIND("~", SUBSTITUTE($A815,"|","~", 11))+1, FIND("~", SUBSTITUTE($A815,"|","~", 12))-FIND("~", SUBSTITUTE($A815,"|","~", 11))-1)
), "")</f>
        <v>E586442</v>
      </c>
      <c r="M815" s="47" t="str">
        <f t="shared" si="111"/>
        <v>SB010075/3/26</v>
      </c>
      <c r="N815" s="46" t="str">
        <f t="shared" si="113"/>
        <v/>
      </c>
      <c r="O815" s="60">
        <v>50</v>
      </c>
      <c r="P815" s="60">
        <v>864</v>
      </c>
      <c r="Q815" s="48">
        <v>200</v>
      </c>
      <c r="R815" s="48">
        <v>812</v>
      </c>
      <c r="S815" s="48"/>
      <c r="T815" s="48"/>
      <c r="U815" s="49"/>
      <c r="V815" s="49"/>
      <c r="W815" s="50">
        <f t="shared" ref="W815:W878" si="119">SUM(U815:V815)</f>
        <v>0</v>
      </c>
      <c r="X815" s="51" t="str">
        <f>IF(A815="", "", IF(COUNTIFS(C$3:C814, C815, D$3:D814, D815, G$3:G814, G815) &gt; 0, "", "11:00"-AW815))</f>
        <v/>
      </c>
      <c r="Y815" s="52" t="str">
        <f t="shared" si="116"/>
        <v/>
      </c>
      <c r="Z815" s="53"/>
      <c r="AA815" s="54"/>
      <c r="AB815" s="53"/>
      <c r="AC815" s="54"/>
      <c r="AD815" s="53"/>
      <c r="AE815" s="54"/>
      <c r="AF815" s="53"/>
      <c r="AG815" s="54"/>
      <c r="AH815" s="55">
        <v>4.1666666666666699E-2</v>
      </c>
      <c r="AI815" s="53"/>
      <c r="AJ815" s="54"/>
      <c r="AK815" s="53"/>
      <c r="AL815" s="54"/>
      <c r="AM815" s="53"/>
      <c r="AN815" s="54"/>
      <c r="AO815" s="53"/>
      <c r="AP815" s="54"/>
      <c r="AQ815" s="53"/>
      <c r="AR815" s="54"/>
      <c r="AS815" s="53"/>
      <c r="AT815" s="54"/>
      <c r="AU815" s="53">
        <v>4.1666666666666699E-2</v>
      </c>
      <c r="AV815" s="54" t="s">
        <v>37</v>
      </c>
      <c r="AW815" s="57">
        <f t="shared" si="118"/>
        <v>4.1666666666666699E-2</v>
      </c>
      <c r="AX815" s="58" t="s">
        <v>56</v>
      </c>
    </row>
    <row r="816" spans="1:50" ht="27" customHeight="1">
      <c r="A816" s="66" t="s">
        <v>741</v>
      </c>
      <c r="B816" s="39">
        <f t="shared" si="117"/>
        <v>812</v>
      </c>
      <c r="C816" s="40">
        <v>46042</v>
      </c>
      <c r="D816" s="40" t="s">
        <v>32</v>
      </c>
      <c r="E816" s="40" t="s">
        <v>33</v>
      </c>
      <c r="F816" s="41">
        <v>719.6</v>
      </c>
      <c r="G816" s="42" t="s">
        <v>54</v>
      </c>
      <c r="H816" s="43" t="str">
        <f>IFERROR(VLOOKUP($J816,'[9]FROM (3)'!$E$4:$F$230,2,FALSE),"")</f>
        <v>JAMY</v>
      </c>
      <c r="I816" s="44" t="str">
        <f t="shared" si="114"/>
        <v>RACK BAR</v>
      </c>
      <c r="J816" s="44" t="str">
        <f t="shared" si="115"/>
        <v>JGD10S000830-51-0</v>
      </c>
      <c r="K816" s="59" t="str">
        <f t="shared" si="112"/>
        <v>PD26010676</v>
      </c>
      <c r="L816" s="46" t="str" cm="1">
        <f t="array" ref="L816">IFERROR(_xlfn.IFS(
    LEN($A816)-LEN(SUBSTITUTE($A816,"|",""))=12, RIGHT(A816, LEN(A816)-FIND("~", SUBSTITUTE(A816,"|","~", LEN(A816)-LEN(SUBSTITUTE(A816,"|",""))))),
    LEN($A816)-LEN(SUBSTITUTE($A816,"|",""))=13, MID($A816, FIND("~", SUBSTITUTE($A816,"|","~", 11))+1, FIND("~", SUBSTITUTE($A816,"|","~", 12))-FIND("~", SUBSTITUTE($A816,"|","~", 11))-1),
    LEN($A816)-LEN(SUBSTITUTE($A816,"|",""))=14, MID($A816, FIND("~", SUBSTITUTE($A816,"|","~", 11))+1, FIND("~", SUBSTITUTE($A816,"|","~", 12))-FIND("~", SUBSTITUTE($A816,"|","~", 11))-1)
), "")</f>
        <v>E586442</v>
      </c>
      <c r="M816" s="47" t="str">
        <f t="shared" si="111"/>
        <v>SB010075/2/26</v>
      </c>
      <c r="N816" s="46" t="str">
        <f t="shared" si="113"/>
        <v/>
      </c>
      <c r="O816" s="60">
        <v>50</v>
      </c>
      <c r="P816" s="60">
        <v>864</v>
      </c>
      <c r="Q816" s="48">
        <v>200</v>
      </c>
      <c r="R816" s="48">
        <v>812</v>
      </c>
      <c r="S816" s="48"/>
      <c r="T816" s="48"/>
      <c r="U816" s="49"/>
      <c r="V816" s="49"/>
      <c r="W816" s="50">
        <f t="shared" si="119"/>
        <v>0</v>
      </c>
      <c r="X816" s="51" t="str">
        <f>IF(A816="", "", IF(COUNTIFS(C$3:C815, C816, D$3:D815, D816, G$3:G815, G816) &gt; 0, "", "11:00"-AW816))</f>
        <v/>
      </c>
      <c r="Y816" s="52" t="str">
        <f t="shared" si="116"/>
        <v/>
      </c>
      <c r="Z816" s="53"/>
      <c r="AA816" s="54"/>
      <c r="AB816" s="53"/>
      <c r="AC816" s="54"/>
      <c r="AD816" s="53"/>
      <c r="AE816" s="54"/>
      <c r="AF816" s="53"/>
      <c r="AG816" s="54"/>
      <c r="AH816" s="55">
        <v>4.1666666666666699E-2</v>
      </c>
      <c r="AI816" s="53"/>
      <c r="AJ816" s="54"/>
      <c r="AK816" s="53"/>
      <c r="AL816" s="54"/>
      <c r="AM816" s="53"/>
      <c r="AN816" s="54"/>
      <c r="AO816" s="53"/>
      <c r="AP816" s="54"/>
      <c r="AQ816" s="53"/>
      <c r="AR816" s="54"/>
      <c r="AS816" s="53"/>
      <c r="AT816" s="54"/>
      <c r="AU816" s="53">
        <v>4.1666666666666699E-2</v>
      </c>
      <c r="AV816" s="54" t="s">
        <v>37</v>
      </c>
      <c r="AW816" s="57">
        <f t="shared" si="118"/>
        <v>4.1666666666666699E-2</v>
      </c>
      <c r="AX816" s="58" t="s">
        <v>56</v>
      </c>
    </row>
    <row r="817" spans="1:50" ht="27" customHeight="1">
      <c r="A817" s="66" t="s">
        <v>742</v>
      </c>
      <c r="B817" s="39">
        <f t="shared" si="117"/>
        <v>813</v>
      </c>
      <c r="C817" s="40">
        <v>46042</v>
      </c>
      <c r="D817" s="40" t="s">
        <v>32</v>
      </c>
      <c r="E817" s="40" t="s">
        <v>33</v>
      </c>
      <c r="F817" s="41">
        <v>719.6</v>
      </c>
      <c r="G817" s="42" t="s">
        <v>54</v>
      </c>
      <c r="H817" s="43" t="str">
        <f>IFERROR(VLOOKUP($J817,'[9]FROM (3)'!$E$4:$F$230,2,FALSE),"")</f>
        <v>JAMY</v>
      </c>
      <c r="I817" s="44" t="str">
        <f t="shared" si="114"/>
        <v>RACK BAR</v>
      </c>
      <c r="J817" s="44" t="str">
        <f t="shared" si="115"/>
        <v>JGD10S000830-51-0</v>
      </c>
      <c r="K817" s="59" t="str">
        <f t="shared" si="112"/>
        <v>PD26010676</v>
      </c>
      <c r="L817" s="46" t="str" cm="1">
        <f t="array" ref="L817">IFERROR(_xlfn.IFS(
    LEN($A817)-LEN(SUBSTITUTE($A817,"|",""))=12, RIGHT(A817, LEN(A817)-FIND("~", SUBSTITUTE(A817,"|","~", LEN(A817)-LEN(SUBSTITUTE(A817,"|",""))))),
    LEN($A817)-LEN(SUBSTITUTE($A817,"|",""))=13, MID($A817, FIND("~", SUBSTITUTE($A817,"|","~", 11))+1, FIND("~", SUBSTITUTE($A817,"|","~", 12))-FIND("~", SUBSTITUTE($A817,"|","~", 11))-1),
    LEN($A817)-LEN(SUBSTITUTE($A817,"|",""))=14, MID($A817, FIND("~", SUBSTITUTE($A817,"|","~", 11))+1, FIND("~", SUBSTITUTE($A817,"|","~", 12))-FIND("~", SUBSTITUTE($A817,"|","~", 11))-1)
), "")</f>
        <v>E586442</v>
      </c>
      <c r="M817" s="47" t="str">
        <f t="shared" si="111"/>
        <v>SB010075/1/26</v>
      </c>
      <c r="N817" s="46" t="str">
        <f t="shared" si="113"/>
        <v/>
      </c>
      <c r="O817" s="60">
        <v>50</v>
      </c>
      <c r="P817" s="60">
        <v>864</v>
      </c>
      <c r="Q817" s="48">
        <v>200</v>
      </c>
      <c r="R817" s="48">
        <v>812</v>
      </c>
      <c r="S817" s="48"/>
      <c r="T817" s="48"/>
      <c r="U817" s="49">
        <v>139</v>
      </c>
      <c r="V817" s="49">
        <v>8</v>
      </c>
      <c r="W817" s="50">
        <f t="shared" si="119"/>
        <v>147</v>
      </c>
      <c r="X817" s="51" t="str">
        <f>IF(A817="", "", IF(COUNTIFS(C$3:C816, C817, D$3:D816, D817, G$3:G816, G817) &gt; 0, "", "11:00"-AW817))</f>
        <v/>
      </c>
      <c r="Y817" s="52" t="str">
        <f t="shared" si="116"/>
        <v/>
      </c>
      <c r="Z817" s="53"/>
      <c r="AA817" s="54"/>
      <c r="AB817" s="53"/>
      <c r="AC817" s="54"/>
      <c r="AD817" s="53"/>
      <c r="AE817" s="54"/>
      <c r="AF817" s="53"/>
      <c r="AG817" s="54"/>
      <c r="AH817" s="55">
        <v>4.1666666666666699E-2</v>
      </c>
      <c r="AI817" s="53"/>
      <c r="AJ817" s="54"/>
      <c r="AK817" s="53"/>
      <c r="AL817" s="54"/>
      <c r="AM817" s="53"/>
      <c r="AN817" s="54"/>
      <c r="AO817" s="53"/>
      <c r="AP817" s="54"/>
      <c r="AQ817" s="53"/>
      <c r="AR817" s="54"/>
      <c r="AS817" s="53"/>
      <c r="AT817" s="54"/>
      <c r="AU817" s="53">
        <v>4.1666666666666699E-2</v>
      </c>
      <c r="AV817" s="54" t="s">
        <v>37</v>
      </c>
      <c r="AW817" s="57">
        <f t="shared" si="118"/>
        <v>4.1666666666666699E-2</v>
      </c>
      <c r="AX817" s="58" t="s">
        <v>56</v>
      </c>
    </row>
    <row r="818" spans="1:50" ht="27" customHeight="1">
      <c r="A818" s="66" t="s">
        <v>696</v>
      </c>
      <c r="B818" s="39">
        <f t="shared" si="117"/>
        <v>814</v>
      </c>
      <c r="C818" s="40">
        <v>46042</v>
      </c>
      <c r="D818" s="40" t="s">
        <v>32</v>
      </c>
      <c r="E818" s="40" t="s">
        <v>33</v>
      </c>
      <c r="F818" s="41">
        <v>765.7</v>
      </c>
      <c r="G818" s="42" t="s">
        <v>66</v>
      </c>
      <c r="H818" s="43" t="str">
        <f>IFERROR(VLOOKUP($J818,'[9]FROM (3)'!$E$4:$F$230,2,FALSE),"")</f>
        <v>JTCS</v>
      </c>
      <c r="I818" s="44" t="str">
        <f t="shared" si="114"/>
        <v>RACK, PS</v>
      </c>
      <c r="J818" s="44" t="str">
        <f t="shared" si="115"/>
        <v>JGD10S00670-B</v>
      </c>
      <c r="K818" s="59" t="str">
        <f t="shared" si="112"/>
        <v>PD26010709</v>
      </c>
      <c r="L818" s="46" t="str" cm="1">
        <f t="array" ref="L818">IFERROR(_xlfn.IFS(
    LEN($A818)-LEN(SUBSTITUTE($A818,"|",""))=12, RIGHT(A818, LEN(A818)-FIND("~", SUBSTITUTE(A818,"|","~", LEN(A818)-LEN(SUBSTITUTE(A818,"|",""))))),
    LEN($A818)-LEN(SUBSTITUTE($A818,"|",""))=13, MID($A818, FIND("~", SUBSTITUTE($A818,"|","~", 11))+1, FIND("~", SUBSTITUTE($A818,"|","~", 12))-FIND("~", SUBSTITUTE($A818,"|","~", 11))-1),
    LEN($A818)-LEN(SUBSTITUTE($A818,"|",""))=14, MID($A818, FIND("~", SUBSTITUTE($A818,"|","~", 11))+1, FIND("~", SUBSTITUTE($A818,"|","~", 12))-FIND("~", SUBSTITUTE($A818,"|","~", 11))-1)
), "")</f>
        <v>E586447</v>
      </c>
      <c r="M818" s="47" t="str">
        <f t="shared" si="111"/>
        <v>SB010072/2/26</v>
      </c>
      <c r="N818" s="46" t="str">
        <f t="shared" si="113"/>
        <v/>
      </c>
      <c r="O818" s="60" t="s">
        <v>35</v>
      </c>
      <c r="P818" s="60" t="s">
        <v>35</v>
      </c>
      <c r="Q818" s="48">
        <v>70</v>
      </c>
      <c r="R818" s="48">
        <v>344</v>
      </c>
      <c r="S818" s="48"/>
      <c r="T818" s="48"/>
      <c r="U818" s="49">
        <v>53</v>
      </c>
      <c r="V818" s="49">
        <v>5</v>
      </c>
      <c r="W818" s="50">
        <f t="shared" si="119"/>
        <v>58</v>
      </c>
      <c r="X818" s="51">
        <f>IF(A818="", "", IF(COUNTIFS(C$3:C817, C818, D$3:D817, D818, G$3:G817, G818) &gt; 0, "", "11:00"-AW818))</f>
        <v>0.25694444444444442</v>
      </c>
      <c r="Y818" s="52" t="str">
        <f t="shared" si="116"/>
        <v>1:40</v>
      </c>
      <c r="Z818" s="53">
        <v>2.0833333333333332E-2</v>
      </c>
      <c r="AA818" s="54" t="s">
        <v>122</v>
      </c>
      <c r="AB818" s="53"/>
      <c r="AC818" s="54"/>
      <c r="AD818" s="53"/>
      <c r="AE818" s="54"/>
      <c r="AF818" s="53">
        <v>6.9444444444444441E-3</v>
      </c>
      <c r="AG818" s="54" t="s">
        <v>129</v>
      </c>
      <c r="AH818" s="55">
        <v>4.1666666666666699E-2</v>
      </c>
      <c r="AI818" s="53">
        <v>4.1666666666666664E-2</v>
      </c>
      <c r="AJ818" s="54" t="s">
        <v>129</v>
      </c>
      <c r="AK818" s="53">
        <v>4.1666666666666664E-2</v>
      </c>
      <c r="AL818" s="54" t="s">
        <v>90</v>
      </c>
      <c r="AM818" s="53">
        <v>4.1666666666666664E-2</v>
      </c>
      <c r="AN818" s="54" t="s">
        <v>67</v>
      </c>
      <c r="AO818" s="53">
        <v>6.9444444444444441E-3</v>
      </c>
      <c r="AP818" s="54" t="s">
        <v>67</v>
      </c>
      <c r="AQ818" s="53"/>
      <c r="AR818" s="54"/>
      <c r="AS818" s="53"/>
      <c r="AT818" s="54"/>
      <c r="AU818" s="53">
        <v>4.1666666666666699E-2</v>
      </c>
      <c r="AV818" s="54" t="s">
        <v>37</v>
      </c>
      <c r="AW818" s="57">
        <f t="shared" si="118"/>
        <v>0.2013888888888889</v>
      </c>
      <c r="AX818" s="58"/>
    </row>
    <row r="819" spans="1:50" ht="27" customHeight="1">
      <c r="A819" s="66" t="s">
        <v>743</v>
      </c>
      <c r="B819" s="39">
        <f t="shared" si="117"/>
        <v>815</v>
      </c>
      <c r="C819" s="40">
        <v>46042</v>
      </c>
      <c r="D819" s="40" t="s">
        <v>32</v>
      </c>
      <c r="E819" s="40" t="s">
        <v>33</v>
      </c>
      <c r="F819" s="41">
        <v>765.7</v>
      </c>
      <c r="G819" s="42" t="s">
        <v>66</v>
      </c>
      <c r="H819" s="43" t="str">
        <f>IFERROR(VLOOKUP($J819,'[9]FROM (3)'!$E$4:$F$230,2,FALSE),"")</f>
        <v>JTCS</v>
      </c>
      <c r="I819" s="44" t="str">
        <f t="shared" si="114"/>
        <v>RACK, PS</v>
      </c>
      <c r="J819" s="44" t="str">
        <f t="shared" si="115"/>
        <v>JGD10S00670-B</v>
      </c>
      <c r="K819" s="59" t="str">
        <f t="shared" si="112"/>
        <v>PD26010711</v>
      </c>
      <c r="L819" s="46" t="str" cm="1">
        <f t="array" ref="L819">IFERROR(_xlfn.IFS(
    LEN($A819)-LEN(SUBSTITUTE($A819,"|",""))=12, RIGHT(A819, LEN(A819)-FIND("~", SUBSTITUTE(A819,"|","~", LEN(A819)-LEN(SUBSTITUTE(A819,"|",""))))),
    LEN($A819)-LEN(SUBSTITUTE($A819,"|",""))=13, MID($A819, FIND("~", SUBSTITUTE($A819,"|","~", 11))+1, FIND("~", SUBSTITUTE($A819,"|","~", 12))-FIND("~", SUBSTITUTE($A819,"|","~", 11))-1),
    LEN($A819)-LEN(SUBSTITUTE($A819,"|",""))=14, MID($A819, FIND("~", SUBSTITUTE($A819,"|","~", 11))+1, FIND("~", SUBSTITUTE($A819,"|","~", 12))-FIND("~", SUBSTITUTE($A819,"|","~", 11))-1)
), "")</f>
        <v>E586447</v>
      </c>
      <c r="M819" s="47" t="str">
        <f t="shared" si="111"/>
        <v>SB010072/5/26</v>
      </c>
      <c r="N819" s="46" t="str">
        <f t="shared" si="113"/>
        <v/>
      </c>
      <c r="O819" s="60">
        <v>25</v>
      </c>
      <c r="P819" s="60">
        <v>892</v>
      </c>
      <c r="Q819" s="48">
        <v>175</v>
      </c>
      <c r="R819" s="48">
        <v>859</v>
      </c>
      <c r="S819" s="48"/>
      <c r="T819" s="48"/>
      <c r="U819" s="49">
        <v>53</v>
      </c>
      <c r="V819" s="49">
        <v>5</v>
      </c>
      <c r="W819" s="50">
        <f t="shared" si="119"/>
        <v>58</v>
      </c>
      <c r="X819" s="51" t="str">
        <f>IF(A819="", "", IF(COUNTIFS(C$3:C818, C819, D$3:D818, D819, G$3:G818, G819) &gt; 0, "", "11:00"-AW819))</f>
        <v/>
      </c>
      <c r="Y819" s="52" t="str">
        <f t="shared" si="116"/>
        <v/>
      </c>
      <c r="Z819" s="53"/>
      <c r="AA819" s="54"/>
      <c r="AB819" s="53"/>
      <c r="AC819" s="54"/>
      <c r="AD819" s="53"/>
      <c r="AE819" s="54"/>
      <c r="AF819" s="53"/>
      <c r="AG819" s="54"/>
      <c r="AH819" s="55">
        <v>4.1666666666666699E-2</v>
      </c>
      <c r="AI819" s="53"/>
      <c r="AJ819" s="54"/>
      <c r="AK819" s="53"/>
      <c r="AL819" s="54"/>
      <c r="AM819" s="53"/>
      <c r="AN819" s="54"/>
      <c r="AO819" s="53"/>
      <c r="AP819" s="54"/>
      <c r="AQ819" s="53"/>
      <c r="AR819" s="54"/>
      <c r="AS819" s="53"/>
      <c r="AT819" s="54"/>
      <c r="AU819" s="53">
        <v>4.1666666666666699E-2</v>
      </c>
      <c r="AV819" s="54" t="s">
        <v>37</v>
      </c>
      <c r="AW819" s="57">
        <f t="shared" si="118"/>
        <v>4.1666666666666699E-2</v>
      </c>
      <c r="AX819" s="58"/>
    </row>
    <row r="820" spans="1:50" ht="27" customHeight="1">
      <c r="A820" s="66" t="s">
        <v>744</v>
      </c>
      <c r="B820" s="39">
        <f t="shared" si="117"/>
        <v>816</v>
      </c>
      <c r="C820" s="40">
        <v>46042</v>
      </c>
      <c r="D820" s="40" t="s">
        <v>32</v>
      </c>
      <c r="E820" s="40" t="s">
        <v>33</v>
      </c>
      <c r="F820" s="41">
        <v>765.7</v>
      </c>
      <c r="G820" s="42" t="s">
        <v>66</v>
      </c>
      <c r="H820" s="43" t="str">
        <f>IFERROR(VLOOKUP($J820,'[9]FROM (3)'!$E$4:$F$230,2,FALSE),"")</f>
        <v>JTCS</v>
      </c>
      <c r="I820" s="44" t="str">
        <f t="shared" si="114"/>
        <v>RACK, PS</v>
      </c>
      <c r="J820" s="44" t="str">
        <f t="shared" si="115"/>
        <v>JGD10S00670-B</v>
      </c>
      <c r="K820" s="59" t="str">
        <f t="shared" si="112"/>
        <v>PD26010711</v>
      </c>
      <c r="L820" s="46" t="str" cm="1">
        <f t="array" ref="L820">IFERROR(_xlfn.IFS(
    LEN($A820)-LEN(SUBSTITUTE($A820,"|",""))=12, RIGHT(A820, LEN(A820)-FIND("~", SUBSTITUTE(A820,"|","~", LEN(A820)-LEN(SUBSTITUTE(A820,"|",""))))),
    LEN($A820)-LEN(SUBSTITUTE($A820,"|",""))=13, MID($A820, FIND("~", SUBSTITUTE($A820,"|","~", 11))+1, FIND("~", SUBSTITUTE($A820,"|","~", 12))-FIND("~", SUBSTITUTE($A820,"|","~", 11))-1),
    LEN($A820)-LEN(SUBSTITUTE($A820,"|",""))=14, MID($A820, FIND("~", SUBSTITUTE($A820,"|","~", 11))+1, FIND("~", SUBSTITUTE($A820,"|","~", 12))-FIND("~", SUBSTITUTE($A820,"|","~", 11))-1)
), "")</f>
        <v>E586447</v>
      </c>
      <c r="M820" s="47" t="str">
        <f t="shared" si="111"/>
        <v>SB010072/6/26</v>
      </c>
      <c r="N820" s="46" t="str">
        <f t="shared" si="113"/>
        <v/>
      </c>
      <c r="O820" s="60">
        <v>24</v>
      </c>
      <c r="P820" s="60">
        <v>857</v>
      </c>
      <c r="Q820" s="48">
        <v>168</v>
      </c>
      <c r="R820" s="48">
        <v>825</v>
      </c>
      <c r="S820" s="48"/>
      <c r="T820" s="48"/>
      <c r="U820" s="49"/>
      <c r="V820" s="49"/>
      <c r="W820" s="50">
        <f t="shared" si="119"/>
        <v>0</v>
      </c>
      <c r="X820" s="51" t="str">
        <f>IF(A820="", "", IF(COUNTIFS(C$3:C819, C820, D$3:D819, D820, G$3:G819, G820) &gt; 0, "", "11:00"-AW820))</f>
        <v/>
      </c>
      <c r="Y820" s="52" t="str">
        <f t="shared" si="116"/>
        <v/>
      </c>
      <c r="Z820" s="53"/>
      <c r="AA820" s="54"/>
      <c r="AB820" s="53"/>
      <c r="AC820" s="54"/>
      <c r="AD820" s="53"/>
      <c r="AE820" s="54"/>
      <c r="AF820" s="53"/>
      <c r="AG820" s="54"/>
      <c r="AH820" s="55">
        <v>4.1666666666666699E-2</v>
      </c>
      <c r="AI820" s="53"/>
      <c r="AJ820" s="54"/>
      <c r="AK820" s="53"/>
      <c r="AL820" s="54"/>
      <c r="AM820" s="53"/>
      <c r="AN820" s="54"/>
      <c r="AO820" s="53"/>
      <c r="AP820" s="54"/>
      <c r="AQ820" s="53"/>
      <c r="AR820" s="54"/>
      <c r="AS820" s="53"/>
      <c r="AT820" s="54"/>
      <c r="AU820" s="53">
        <v>4.1666666666666699E-2</v>
      </c>
      <c r="AV820" s="54" t="s">
        <v>37</v>
      </c>
      <c r="AW820" s="57">
        <f t="shared" si="118"/>
        <v>4.1666666666666699E-2</v>
      </c>
      <c r="AX820" s="58"/>
    </row>
    <row r="821" spans="1:50" ht="27" customHeight="1">
      <c r="A821" s="66" t="s">
        <v>745</v>
      </c>
      <c r="B821" s="39">
        <f t="shared" si="117"/>
        <v>817</v>
      </c>
      <c r="C821" s="40">
        <v>46042</v>
      </c>
      <c r="D821" s="40" t="s">
        <v>32</v>
      </c>
      <c r="E821" s="40" t="s">
        <v>33</v>
      </c>
      <c r="F821" s="41">
        <v>765.7</v>
      </c>
      <c r="G821" s="42" t="s">
        <v>66</v>
      </c>
      <c r="H821" s="43" t="str">
        <f>IFERROR(VLOOKUP($J821,'[9]FROM (3)'!$E$4:$F$230,2,FALSE),"")</f>
        <v>JTCS</v>
      </c>
      <c r="I821" s="44" t="str">
        <f t="shared" si="114"/>
        <v>RACK, PS</v>
      </c>
      <c r="J821" s="44" t="str">
        <f t="shared" si="115"/>
        <v>JGD10S00670-B</v>
      </c>
      <c r="K821" s="59" t="str">
        <f t="shared" si="112"/>
        <v>PD26010711</v>
      </c>
      <c r="L821" s="46" t="str" cm="1">
        <f t="array" ref="L821">IFERROR(_xlfn.IFS(
    LEN($A821)-LEN(SUBSTITUTE($A821,"|",""))=12, RIGHT(A821, LEN(A821)-FIND("~", SUBSTITUTE(A821,"|","~", LEN(A821)-LEN(SUBSTITUTE(A821,"|",""))))),
    LEN($A821)-LEN(SUBSTITUTE($A821,"|",""))=13, MID($A821, FIND("~", SUBSTITUTE($A821,"|","~", 11))+1, FIND("~", SUBSTITUTE($A821,"|","~", 12))-FIND("~", SUBSTITUTE($A821,"|","~", 11))-1),
    LEN($A821)-LEN(SUBSTITUTE($A821,"|",""))=14, MID($A821, FIND("~", SUBSTITUTE($A821,"|","~", 11))+1, FIND("~", SUBSTITUTE($A821,"|","~", 12))-FIND("~", SUBSTITUTE($A821,"|","~", 11))-1)
), "")</f>
        <v>E586447</v>
      </c>
      <c r="M821" s="47" t="str">
        <f t="shared" si="111"/>
        <v>SB010072/7/26</v>
      </c>
      <c r="N821" s="46" t="str">
        <f t="shared" si="113"/>
        <v/>
      </c>
      <c r="O821" s="60">
        <v>1</v>
      </c>
      <c r="P821" s="60">
        <v>35</v>
      </c>
      <c r="Q821" s="48">
        <v>4</v>
      </c>
      <c r="R821" s="48">
        <v>20</v>
      </c>
      <c r="S821" s="48">
        <v>3</v>
      </c>
      <c r="T821" s="48" t="s">
        <v>167</v>
      </c>
      <c r="U821" s="49"/>
      <c r="V821" s="49"/>
      <c r="W821" s="50">
        <f t="shared" si="119"/>
        <v>0</v>
      </c>
      <c r="X821" s="51" t="str">
        <f>IF(A821="", "", IF(COUNTIFS(C$3:C820, C821, D$3:D820, D821, G$3:G820, G821) &gt; 0, "", "11:00"-AW821))</f>
        <v/>
      </c>
      <c r="Y821" s="52" t="str">
        <f t="shared" si="116"/>
        <v/>
      </c>
      <c r="Z821" s="53"/>
      <c r="AA821" s="54"/>
      <c r="AB821" s="53"/>
      <c r="AC821" s="54"/>
      <c r="AD821" s="53"/>
      <c r="AE821" s="54"/>
      <c r="AF821" s="53"/>
      <c r="AG821" s="54"/>
      <c r="AH821" s="55">
        <v>4.1666666666666699E-2</v>
      </c>
      <c r="AI821" s="53"/>
      <c r="AJ821" s="54"/>
      <c r="AK821" s="53"/>
      <c r="AL821" s="54"/>
      <c r="AM821" s="53"/>
      <c r="AN821" s="54"/>
      <c r="AO821" s="53"/>
      <c r="AP821" s="54"/>
      <c r="AQ821" s="53"/>
      <c r="AR821" s="54"/>
      <c r="AS821" s="53"/>
      <c r="AT821" s="54"/>
      <c r="AU821" s="53">
        <v>4.1666666666666699E-2</v>
      </c>
      <c r="AV821" s="54" t="s">
        <v>37</v>
      </c>
      <c r="AW821" s="57">
        <f t="shared" si="118"/>
        <v>4.1666666666666699E-2</v>
      </c>
      <c r="AX821" s="58"/>
    </row>
    <row r="822" spans="1:50" ht="27" customHeight="1">
      <c r="A822" s="66" t="s">
        <v>746</v>
      </c>
      <c r="B822" s="39">
        <f t="shared" si="117"/>
        <v>818</v>
      </c>
      <c r="C822" s="40">
        <v>46042</v>
      </c>
      <c r="D822" s="40" t="s">
        <v>32</v>
      </c>
      <c r="E822" s="40" t="s">
        <v>33</v>
      </c>
      <c r="F822" s="41">
        <v>695.3</v>
      </c>
      <c r="G822" s="42" t="s">
        <v>66</v>
      </c>
      <c r="H822" s="43" t="str">
        <f>IFERROR(VLOOKUP($J822,'[9]FROM (3)'!$E$4:$F$230,2,FALSE),"")</f>
        <v>JTCS</v>
      </c>
      <c r="I822" s="44" t="str">
        <f t="shared" si="114"/>
        <v>Rack, PS</v>
      </c>
      <c r="J822" s="44" t="str">
        <f t="shared" si="115"/>
        <v>JGD10-001150-40-1</v>
      </c>
      <c r="K822" s="59" t="str">
        <f t="shared" si="112"/>
        <v>PD26010779</v>
      </c>
      <c r="L822" s="46" t="str" cm="1">
        <f t="array" ref="L822">IFERROR(_xlfn.IFS(
    LEN($A822)-LEN(SUBSTITUTE($A822,"|",""))=12, RIGHT(A822, LEN(A822)-FIND("~", SUBSTITUTE(A822,"|","~", LEN(A822)-LEN(SUBSTITUTE(A822,"|",""))))),
    LEN($A822)-LEN(SUBSTITUTE($A822,"|",""))=13, MID($A822, FIND("~", SUBSTITUTE($A822,"|","~", 11))+1, FIND("~", SUBSTITUTE($A822,"|","~", 12))-FIND("~", SUBSTITUTE($A822,"|","~", 11))-1),
    LEN($A822)-LEN(SUBSTITUTE($A822,"|",""))=14, MID($A822, FIND("~", SUBSTITUTE($A822,"|","~", 11))+1, FIND("~", SUBSTITUTE($A822,"|","~", 12))-FIND("~", SUBSTITUTE($A822,"|","~", 11))-1)
), "")</f>
        <v>E585970</v>
      </c>
      <c r="M822" s="47" t="str">
        <f t="shared" si="111"/>
        <v>SB010099/3/26</v>
      </c>
      <c r="N822" s="46" t="str">
        <f t="shared" si="113"/>
        <v/>
      </c>
      <c r="O822" s="60">
        <v>60</v>
      </c>
      <c r="P822" s="60">
        <v>866</v>
      </c>
      <c r="Q822" s="48">
        <v>240</v>
      </c>
      <c r="R822" s="48">
        <v>804</v>
      </c>
      <c r="S822" s="48"/>
      <c r="T822" s="48"/>
      <c r="U822" s="49"/>
      <c r="V822" s="49"/>
      <c r="W822" s="50">
        <f t="shared" si="119"/>
        <v>0</v>
      </c>
      <c r="X822" s="51" t="str">
        <f>IF(A822="", "", IF(COUNTIFS(C$3:C821, C822, D$3:D821, D822, G$3:G821, G822) &gt; 0, "", "11:00"-AW822))</f>
        <v/>
      </c>
      <c r="Y822" s="52" t="str">
        <f t="shared" si="116"/>
        <v/>
      </c>
      <c r="Z822" s="53"/>
      <c r="AA822" s="54"/>
      <c r="AB822" s="53"/>
      <c r="AC822" s="54"/>
      <c r="AD822" s="53"/>
      <c r="AE822" s="54"/>
      <c r="AF822" s="53"/>
      <c r="AG822" s="54"/>
      <c r="AH822" s="55">
        <v>4.1666666666666699E-2</v>
      </c>
      <c r="AI822" s="53"/>
      <c r="AJ822" s="54"/>
      <c r="AK822" s="53"/>
      <c r="AL822" s="54"/>
      <c r="AM822" s="53"/>
      <c r="AN822" s="54"/>
      <c r="AO822" s="53"/>
      <c r="AP822" s="54"/>
      <c r="AQ822" s="53"/>
      <c r="AR822" s="54"/>
      <c r="AS822" s="53"/>
      <c r="AT822" s="54"/>
      <c r="AU822" s="53">
        <v>4.1666666666666699E-2</v>
      </c>
      <c r="AV822" s="54" t="s">
        <v>37</v>
      </c>
      <c r="AW822" s="57">
        <f t="shared" si="118"/>
        <v>4.1666666666666699E-2</v>
      </c>
      <c r="AX822" s="58"/>
    </row>
    <row r="823" spans="1:50" ht="27" customHeight="1">
      <c r="A823" s="66" t="s">
        <v>747</v>
      </c>
      <c r="B823" s="39">
        <f t="shared" si="117"/>
        <v>819</v>
      </c>
      <c r="C823" s="40">
        <v>46042</v>
      </c>
      <c r="D823" s="40" t="s">
        <v>32</v>
      </c>
      <c r="E823" s="40" t="s">
        <v>33</v>
      </c>
      <c r="F823" s="41">
        <v>695.3</v>
      </c>
      <c r="G823" s="42" t="s">
        <v>66</v>
      </c>
      <c r="H823" s="43" t="str">
        <f>IFERROR(VLOOKUP($J823,'[9]FROM (3)'!$E$4:$F$230,2,FALSE),"")</f>
        <v>JTCS</v>
      </c>
      <c r="I823" s="44" t="str">
        <f t="shared" si="114"/>
        <v>Rack, PS</v>
      </c>
      <c r="J823" s="44" t="str">
        <f t="shared" si="115"/>
        <v>JGD10-001150-40-1</v>
      </c>
      <c r="K823" s="59" t="str">
        <f t="shared" si="112"/>
        <v>PD26010779</v>
      </c>
      <c r="L823" s="46" t="str" cm="1">
        <f t="array" ref="L823">IFERROR(_xlfn.IFS(
    LEN($A823)-LEN(SUBSTITUTE($A823,"|",""))=12, RIGHT(A823, LEN(A823)-FIND("~", SUBSTITUTE(A823,"|","~", LEN(A823)-LEN(SUBSTITUTE(A823,"|",""))))),
    LEN($A823)-LEN(SUBSTITUTE($A823,"|",""))=13, MID($A823, FIND("~", SUBSTITUTE($A823,"|","~", 11))+1, FIND("~", SUBSTITUTE($A823,"|","~", 12))-FIND("~", SUBSTITUTE($A823,"|","~", 11))-1),
    LEN($A823)-LEN(SUBSTITUTE($A823,"|",""))=14, MID($A823, FIND("~", SUBSTITUTE($A823,"|","~", 11))+1, FIND("~", SUBSTITUTE($A823,"|","~", 12))-FIND("~", SUBSTITUTE($A823,"|","~", 11))-1)
), "")</f>
        <v>E585970</v>
      </c>
      <c r="M823" s="47" t="str">
        <f t="shared" si="111"/>
        <v>SB010099/4/26</v>
      </c>
      <c r="N823" s="46" t="str">
        <f t="shared" si="113"/>
        <v/>
      </c>
      <c r="O823" s="60">
        <v>60</v>
      </c>
      <c r="P823" s="60">
        <v>866</v>
      </c>
      <c r="Q823" s="48">
        <v>89</v>
      </c>
      <c r="R823" s="48">
        <v>298</v>
      </c>
      <c r="S823" s="48"/>
      <c r="T823" s="48"/>
      <c r="U823" s="49"/>
      <c r="V823" s="49"/>
      <c r="W823" s="50">
        <f t="shared" si="119"/>
        <v>0</v>
      </c>
      <c r="X823" s="51" t="str">
        <f>IF(A823="", "", IF(COUNTIFS(C$3:C822, C823, D$3:D822, D823, G$3:G822, G823) &gt; 0, "", "11:00"-AW823))</f>
        <v/>
      </c>
      <c r="Y823" s="52" t="str">
        <f t="shared" si="116"/>
        <v/>
      </c>
      <c r="Z823" s="53"/>
      <c r="AA823" s="54"/>
      <c r="AB823" s="53"/>
      <c r="AC823" s="54"/>
      <c r="AD823" s="53"/>
      <c r="AE823" s="54"/>
      <c r="AF823" s="53"/>
      <c r="AG823" s="54"/>
      <c r="AH823" s="55">
        <v>4.1666666666666699E-2</v>
      </c>
      <c r="AI823" s="53"/>
      <c r="AJ823" s="54"/>
      <c r="AK823" s="53"/>
      <c r="AL823" s="54"/>
      <c r="AM823" s="53"/>
      <c r="AN823" s="54"/>
      <c r="AO823" s="53"/>
      <c r="AP823" s="54"/>
      <c r="AQ823" s="53"/>
      <c r="AR823" s="54"/>
      <c r="AS823" s="53"/>
      <c r="AT823" s="54"/>
      <c r="AU823" s="53">
        <v>4.1666666666666699E-2</v>
      </c>
      <c r="AV823" s="54" t="s">
        <v>37</v>
      </c>
      <c r="AW823" s="57">
        <f t="shared" si="118"/>
        <v>4.1666666666666699E-2</v>
      </c>
      <c r="AX823" s="58"/>
    </row>
    <row r="824" spans="1:50" ht="27" customHeight="1">
      <c r="A824" s="66" t="s">
        <v>748</v>
      </c>
      <c r="B824" s="39">
        <f t="shared" si="117"/>
        <v>820</v>
      </c>
      <c r="C824" s="40">
        <v>46042</v>
      </c>
      <c r="D824" s="40" t="s">
        <v>32</v>
      </c>
      <c r="E824" s="40" t="s">
        <v>33</v>
      </c>
      <c r="F824" s="41">
        <v>157.9</v>
      </c>
      <c r="G824" s="42" t="s">
        <v>44</v>
      </c>
      <c r="H824" s="43" t="str">
        <f>IFERROR(VLOOKUP($J824,'[9]FROM (3)'!$E$4:$F$230,2,FALSE),"")</f>
        <v>DNTH</v>
      </c>
      <c r="I824" s="44" t="str">
        <f t="shared" si="114"/>
        <v>SLUG CONNECTOR FUEL INLET</v>
      </c>
      <c r="J824" s="44" t="str">
        <f t="shared" si="115"/>
        <v>TGY95065-0010</v>
      </c>
      <c r="K824" s="59" t="str">
        <f t="shared" si="112"/>
        <v>PD26010502</v>
      </c>
      <c r="L824" s="46" t="str" cm="1">
        <f t="array" ref="L824">IFERROR(_xlfn.IFS(
    LEN($A824)-LEN(SUBSTITUTE($A824,"|",""))=12, RIGHT(A824, LEN(A824)-FIND("~", SUBSTITUTE(A824,"|","~", LEN(A824)-LEN(SUBSTITUTE(A824,"|",""))))),
    LEN($A824)-LEN(SUBSTITUTE($A824,"|",""))=13, MID($A824, FIND("~", SUBSTITUTE($A824,"|","~", 11))+1, FIND("~", SUBSTITUTE($A824,"|","~", 12))-FIND("~", SUBSTITUTE($A824,"|","~", 11))-1),
    LEN($A824)-LEN(SUBSTITUTE($A824,"|",""))=14, MID($A824, FIND("~", SUBSTITUTE($A824,"|","~", 11))+1, FIND("~", SUBSTITUTE($A824,"|","~", 12))-FIND("~", SUBSTITUTE($A824,"|","~", 11))-1)
), "")</f>
        <v>E586354</v>
      </c>
      <c r="M824" s="47" t="str">
        <f t="shared" si="111"/>
        <v>SB010006/4/26</v>
      </c>
      <c r="N824" s="46" t="str">
        <f t="shared" si="113"/>
        <v/>
      </c>
      <c r="O824" s="60" t="s">
        <v>35</v>
      </c>
      <c r="P824" s="60" t="s">
        <v>35</v>
      </c>
      <c r="Q824" s="48">
        <v>1181</v>
      </c>
      <c r="R824" s="48">
        <v>186</v>
      </c>
      <c r="S824" s="48"/>
      <c r="T824" s="48"/>
      <c r="U824" s="49"/>
      <c r="V824" s="49"/>
      <c r="W824" s="50">
        <f t="shared" si="119"/>
        <v>0</v>
      </c>
      <c r="X824" s="51">
        <f>IF(A824="", "", IF(COUNTIFS(C$3:C823, C824, D$3:D823, D824, G$3:G823, G824) &gt; 0, "", "11:00"-AW824))</f>
        <v>0.41666666666666663</v>
      </c>
      <c r="Y824" s="52" t="str">
        <f t="shared" si="116"/>
        <v>1:40</v>
      </c>
      <c r="Z824" s="53"/>
      <c r="AA824" s="54"/>
      <c r="AB824" s="53"/>
      <c r="AC824" s="54"/>
      <c r="AD824" s="53"/>
      <c r="AE824" s="54"/>
      <c r="AF824" s="53"/>
      <c r="AG824" s="54"/>
      <c r="AH824" s="55">
        <v>4.1666666666666699E-2</v>
      </c>
      <c r="AI824" s="53"/>
      <c r="AJ824" s="54"/>
      <c r="AK824" s="53"/>
      <c r="AL824" s="54"/>
      <c r="AM824" s="53"/>
      <c r="AN824" s="54"/>
      <c r="AO824" s="53"/>
      <c r="AP824" s="54"/>
      <c r="AQ824" s="53"/>
      <c r="AR824" s="54"/>
      <c r="AS824" s="53"/>
      <c r="AT824" s="54"/>
      <c r="AU824" s="53">
        <v>4.1666666666666699E-2</v>
      </c>
      <c r="AV824" s="54" t="s">
        <v>37</v>
      </c>
      <c r="AW824" s="57">
        <f t="shared" si="118"/>
        <v>4.1666666666666699E-2</v>
      </c>
      <c r="AX824" s="58" t="s">
        <v>117</v>
      </c>
    </row>
    <row r="825" spans="1:50" ht="27" customHeight="1">
      <c r="A825" s="66" t="s">
        <v>748</v>
      </c>
      <c r="B825" s="39">
        <f t="shared" si="117"/>
        <v>821</v>
      </c>
      <c r="C825" s="40">
        <v>46042</v>
      </c>
      <c r="D825" s="40" t="s">
        <v>32</v>
      </c>
      <c r="E825" s="40" t="s">
        <v>33</v>
      </c>
      <c r="F825" s="41">
        <v>157.9</v>
      </c>
      <c r="G825" s="42" t="s">
        <v>44</v>
      </c>
      <c r="H825" s="43" t="str">
        <f>IFERROR(VLOOKUP($J825,'[9]FROM (3)'!$E$4:$F$230,2,FALSE),"")</f>
        <v>DNTH</v>
      </c>
      <c r="I825" s="44" t="str">
        <f t="shared" si="114"/>
        <v>SLUG CONNECTOR FUEL INLET</v>
      </c>
      <c r="J825" s="44" t="str">
        <f t="shared" si="115"/>
        <v>TGY95065-0010</v>
      </c>
      <c r="K825" s="59" t="str">
        <f t="shared" si="112"/>
        <v>PD26010502</v>
      </c>
      <c r="L825" s="46" t="str" cm="1">
        <f t="array" ref="L825">IFERROR(_xlfn.IFS(
    LEN($A825)-LEN(SUBSTITUTE($A825,"|",""))=12, RIGHT(A825, LEN(A825)-FIND("~", SUBSTITUTE(A825,"|","~", LEN(A825)-LEN(SUBSTITUTE(A825,"|",""))))),
    LEN($A825)-LEN(SUBSTITUTE($A825,"|",""))=13, MID($A825, FIND("~", SUBSTITUTE($A825,"|","~", 11))+1, FIND("~", SUBSTITUTE($A825,"|","~", 12))-FIND("~", SUBSTITUTE($A825,"|","~", 11))-1),
    LEN($A825)-LEN(SUBSTITUTE($A825,"|",""))=14, MID($A825, FIND("~", SUBSTITUTE($A825,"|","~", 11))+1, FIND("~", SUBSTITUTE($A825,"|","~", 12))-FIND("~", SUBSTITUTE($A825,"|","~", 11))-1)
), "")</f>
        <v>E586354</v>
      </c>
      <c r="M825" s="47" t="str">
        <f t="shared" si="111"/>
        <v>SB010006/4/26</v>
      </c>
      <c r="N825" s="46" t="str">
        <f t="shared" si="113"/>
        <v/>
      </c>
      <c r="O825" s="60" t="s">
        <v>35</v>
      </c>
      <c r="P825" s="60" t="s">
        <v>35</v>
      </c>
      <c r="Q825" s="48">
        <v>4044</v>
      </c>
      <c r="R825" s="48">
        <v>639</v>
      </c>
      <c r="S825" s="48"/>
      <c r="T825" s="48"/>
      <c r="U825" s="49"/>
      <c r="V825" s="49"/>
      <c r="W825" s="50">
        <f t="shared" si="119"/>
        <v>0</v>
      </c>
      <c r="X825" s="51" t="str">
        <f>IF(A825="", "", IF(COUNTIFS(C$3:C824, C825, D$3:D824, D825, G$3:G824, G825) &gt; 0, "", "11:00"-AW825))</f>
        <v/>
      </c>
      <c r="Y825" s="52" t="str">
        <f t="shared" si="116"/>
        <v/>
      </c>
      <c r="Z825" s="53"/>
      <c r="AA825" s="54"/>
      <c r="AB825" s="53"/>
      <c r="AC825" s="54"/>
      <c r="AD825" s="53"/>
      <c r="AE825" s="54"/>
      <c r="AF825" s="53"/>
      <c r="AG825" s="54"/>
      <c r="AH825" s="55">
        <v>4.1666666666666699E-2</v>
      </c>
      <c r="AI825" s="53"/>
      <c r="AJ825" s="54"/>
      <c r="AK825" s="53"/>
      <c r="AL825" s="54"/>
      <c r="AM825" s="53"/>
      <c r="AN825" s="54"/>
      <c r="AO825" s="53"/>
      <c r="AP825" s="54"/>
      <c r="AQ825" s="53"/>
      <c r="AR825" s="54"/>
      <c r="AS825" s="53"/>
      <c r="AT825" s="54"/>
      <c r="AU825" s="53">
        <v>4.1666666666666699E-2</v>
      </c>
      <c r="AV825" s="54" t="s">
        <v>37</v>
      </c>
      <c r="AW825" s="57">
        <f t="shared" si="118"/>
        <v>4.1666666666666699E-2</v>
      </c>
      <c r="AX825" s="58" t="s">
        <v>117</v>
      </c>
    </row>
    <row r="826" spans="1:50" ht="27" customHeight="1">
      <c r="A826" s="66" t="s">
        <v>687</v>
      </c>
      <c r="B826" s="39">
        <f t="shared" si="117"/>
        <v>822</v>
      </c>
      <c r="C826" s="40">
        <v>46042</v>
      </c>
      <c r="D826" s="40" t="s">
        <v>32</v>
      </c>
      <c r="E826" s="40" t="s">
        <v>33</v>
      </c>
      <c r="F826" s="41">
        <v>316.39999999999998</v>
      </c>
      <c r="G826" s="42" t="s">
        <v>34</v>
      </c>
      <c r="H826" s="43" t="str">
        <f>IFERROR(VLOOKUP($J826,'[9]FROM (3)'!$E$4:$F$230,2,FALSE),"")</f>
        <v>YS TECH</v>
      </c>
      <c r="I826" s="44" t="str">
        <f t="shared" si="114"/>
        <v>RACE-INR 1ST GEAR</v>
      </c>
      <c r="J826" s="44" t="str">
        <f t="shared" si="115"/>
        <v>32262-CD70A</v>
      </c>
      <c r="K826" s="59" t="str">
        <f t="shared" si="112"/>
        <v>PD26010818</v>
      </c>
      <c r="L826" s="46" t="str" cm="1">
        <f t="array" ref="L826">IFERROR(_xlfn.IFS(
    LEN($A826)-LEN(SUBSTITUTE($A826,"|",""))=12, RIGHT(A826, LEN(A826)-FIND("~", SUBSTITUTE(A826,"|","~", LEN(A826)-LEN(SUBSTITUTE(A826,"|",""))))),
    LEN($A826)-LEN(SUBSTITUTE($A826,"|",""))=13, MID($A826, FIND("~", SUBSTITUTE($A826,"|","~", 11))+1, FIND("~", SUBSTITUTE($A826,"|","~", 12))-FIND("~", SUBSTITUTE($A826,"|","~", 11))-1),
    LEN($A826)-LEN(SUBSTITUTE($A826,"|",""))=14, MID($A826, FIND("~", SUBSTITUTE($A826,"|","~", 11))+1, FIND("~", SUBSTITUTE($A826,"|","~", 12))-FIND("~", SUBSTITUTE($A826,"|","~", 11))-1)
), "")</f>
        <v>E276629</v>
      </c>
      <c r="M826" s="47" t="str">
        <f t="shared" si="111"/>
        <v>SB010100/1/26</v>
      </c>
      <c r="N826" s="46" t="str">
        <f t="shared" si="113"/>
        <v/>
      </c>
      <c r="O826" s="60" t="s">
        <v>35</v>
      </c>
      <c r="P826" s="60" t="s">
        <v>35</v>
      </c>
      <c r="Q826" s="48">
        <v>1935</v>
      </c>
      <c r="R826" s="48">
        <v>612</v>
      </c>
      <c r="S826" s="48"/>
      <c r="T826" s="48"/>
      <c r="U826" s="49"/>
      <c r="V826" s="49"/>
      <c r="W826" s="50">
        <f t="shared" si="119"/>
        <v>0</v>
      </c>
      <c r="X826" s="51">
        <f>IF(A826="", "", IF(COUNTIFS(C$3:C825, C826, D$3:D825, D826, G$3:G825, G826) &gt; 0, "", "11:00"-AW826))</f>
        <v>0.41666666666666663</v>
      </c>
      <c r="Y826" s="52" t="str">
        <f t="shared" si="116"/>
        <v>1:40</v>
      </c>
      <c r="Z826" s="53"/>
      <c r="AA826" s="54"/>
      <c r="AB826" s="53"/>
      <c r="AC826" s="54"/>
      <c r="AD826" s="53"/>
      <c r="AE826" s="54"/>
      <c r="AF826" s="53"/>
      <c r="AG826" s="54"/>
      <c r="AH826" s="55">
        <v>4.1666666666666699E-2</v>
      </c>
      <c r="AI826" s="53"/>
      <c r="AJ826" s="54"/>
      <c r="AK826" s="53"/>
      <c r="AL826" s="54"/>
      <c r="AM826" s="53"/>
      <c r="AN826" s="54"/>
      <c r="AO826" s="53"/>
      <c r="AP826" s="54"/>
      <c r="AQ826" s="53"/>
      <c r="AR826" s="54"/>
      <c r="AS826" s="53"/>
      <c r="AT826" s="54"/>
      <c r="AU826" s="53">
        <v>4.1666666666666699E-2</v>
      </c>
      <c r="AV826" s="54" t="s">
        <v>37</v>
      </c>
      <c r="AW826" s="57">
        <f t="shared" si="118"/>
        <v>4.1666666666666699E-2</v>
      </c>
      <c r="AX826" s="58" t="s">
        <v>117</v>
      </c>
    </row>
    <row r="827" spans="1:50" ht="27" customHeight="1">
      <c r="A827" s="66" t="s">
        <v>749</v>
      </c>
      <c r="B827" s="39">
        <f t="shared" si="117"/>
        <v>823</v>
      </c>
      <c r="C827" s="40">
        <v>46042</v>
      </c>
      <c r="D827" s="40" t="s">
        <v>32</v>
      </c>
      <c r="E827" s="40" t="s">
        <v>33</v>
      </c>
      <c r="F827" s="41">
        <v>316.39999999999998</v>
      </c>
      <c r="G827" s="42" t="s">
        <v>34</v>
      </c>
      <c r="H827" s="43" t="str">
        <f>IFERROR(VLOOKUP($J827,'[9]FROM (3)'!$E$4:$F$230,2,FALSE),"")</f>
        <v>YS TECH</v>
      </c>
      <c r="I827" s="44" t="str">
        <f t="shared" si="114"/>
        <v>RACE-INR 1ST GEAR</v>
      </c>
      <c r="J827" s="44" t="str">
        <f t="shared" si="115"/>
        <v>32262-CD70A</v>
      </c>
      <c r="K827" s="59" t="str">
        <f t="shared" si="112"/>
        <v>PD26010818</v>
      </c>
      <c r="L827" s="46" t="str" cm="1">
        <f t="array" ref="L827">IFERROR(_xlfn.IFS(
    LEN($A827)-LEN(SUBSTITUTE($A827,"|",""))=12, RIGHT(A827, LEN(A827)-FIND("~", SUBSTITUTE(A827,"|","~", LEN(A827)-LEN(SUBSTITUTE(A827,"|",""))))),
    LEN($A827)-LEN(SUBSTITUTE($A827,"|",""))=13, MID($A827, FIND("~", SUBSTITUTE($A827,"|","~", 11))+1, FIND("~", SUBSTITUTE($A827,"|","~", 12))-FIND("~", SUBSTITUTE($A827,"|","~", 11))-1),
    LEN($A827)-LEN(SUBSTITUTE($A827,"|",""))=14, MID($A827, FIND("~", SUBSTITUTE($A827,"|","~", 11))+1, FIND("~", SUBSTITUTE($A827,"|","~", 12))-FIND("~", SUBSTITUTE($A827,"|","~", 11))-1)
), "")</f>
        <v>E276629</v>
      </c>
      <c r="M827" s="47" t="str">
        <f t="shared" si="111"/>
        <v>SB010100/2/26</v>
      </c>
      <c r="N827" s="46" t="str">
        <f t="shared" si="113"/>
        <v/>
      </c>
      <c r="O827" s="60">
        <v>10</v>
      </c>
      <c r="P827" s="60">
        <v>980</v>
      </c>
      <c r="Q827" s="48">
        <v>777</v>
      </c>
      <c r="R827" s="48">
        <v>246</v>
      </c>
      <c r="S827" s="48"/>
      <c r="T827" s="48"/>
      <c r="U827" s="49"/>
      <c r="V827" s="49"/>
      <c r="W827" s="50">
        <f t="shared" si="119"/>
        <v>0</v>
      </c>
      <c r="X827" s="51" t="str">
        <f>IF(A827="", "", IF(COUNTIFS(C$3:C826, C827, D$3:D826, D827, G$3:G826, G827) &gt; 0, "", "11:00"-AW827))</f>
        <v/>
      </c>
      <c r="Y827" s="52" t="str">
        <f t="shared" si="116"/>
        <v/>
      </c>
      <c r="Z827" s="53"/>
      <c r="AA827" s="54"/>
      <c r="AB827" s="53"/>
      <c r="AC827" s="54"/>
      <c r="AD827" s="53"/>
      <c r="AE827" s="54"/>
      <c r="AF827" s="53"/>
      <c r="AG827" s="54"/>
      <c r="AH827" s="55">
        <v>4.1666666666666699E-2</v>
      </c>
      <c r="AI827" s="53"/>
      <c r="AJ827" s="54"/>
      <c r="AK827" s="53"/>
      <c r="AL827" s="54"/>
      <c r="AM827" s="53"/>
      <c r="AN827" s="54"/>
      <c r="AO827" s="53"/>
      <c r="AP827" s="54"/>
      <c r="AQ827" s="53"/>
      <c r="AR827" s="54"/>
      <c r="AS827" s="53"/>
      <c r="AT827" s="54"/>
      <c r="AU827" s="53">
        <v>4.1666666666666699E-2</v>
      </c>
      <c r="AV827" s="54" t="s">
        <v>37</v>
      </c>
      <c r="AW827" s="57">
        <f t="shared" si="118"/>
        <v>4.1666666666666699E-2</v>
      </c>
      <c r="AX827" s="58" t="s">
        <v>117</v>
      </c>
    </row>
    <row r="828" spans="1:50" ht="27" customHeight="1">
      <c r="A828" s="66" t="s">
        <v>750</v>
      </c>
      <c r="B828" s="39">
        <f t="shared" si="117"/>
        <v>824</v>
      </c>
      <c r="C828" s="40">
        <v>46042</v>
      </c>
      <c r="D828" s="40" t="s">
        <v>32</v>
      </c>
      <c r="E828" s="40" t="s">
        <v>33</v>
      </c>
      <c r="F828" s="41">
        <v>530</v>
      </c>
      <c r="G828" s="42" t="s">
        <v>41</v>
      </c>
      <c r="H828" s="43" t="str">
        <f>IFERROR(VLOOKUP($J828,'[9]FROM (3)'!$E$4:$F$230,2,FALSE),"")</f>
        <v>KONSEI</v>
      </c>
      <c r="I828" s="44" t="str">
        <f t="shared" si="114"/>
        <v>Piston Disc Brake Forging</v>
      </c>
      <c r="J828" s="44" t="str">
        <f t="shared" si="115"/>
        <v>141411-60180</v>
      </c>
      <c r="K828" s="59" t="str">
        <f t="shared" si="112"/>
        <v>PD26010485</v>
      </c>
      <c r="L828" s="46" t="str" cm="1">
        <f t="array" ref="L828">IFERROR(_xlfn.IFS(
    LEN($A828)-LEN(SUBSTITUTE($A828,"|",""))=12, RIGHT(A828, LEN(A828)-FIND("~", SUBSTITUTE(A828,"|","~", LEN(A828)-LEN(SUBSTITUTE(A828,"|",""))))),
    LEN($A828)-LEN(SUBSTITUTE($A828,"|",""))=13, MID($A828, FIND("~", SUBSTITUTE($A828,"|","~", 11))+1, FIND("~", SUBSTITUTE($A828,"|","~", 12))-FIND("~", SUBSTITUTE($A828,"|","~", 11))-1),
    LEN($A828)-LEN(SUBSTITUTE($A828,"|",""))=14, MID($A828, FIND("~", SUBSTITUTE($A828,"|","~", 11))+1, FIND("~", SUBSTITUTE($A828,"|","~", 12))-FIND("~", SUBSTITUTE($A828,"|","~", 11))-1)
), "")</f>
        <v>663961</v>
      </c>
      <c r="M828" s="47" t="str">
        <f t="shared" si="111"/>
        <v>2B2600119</v>
      </c>
      <c r="N828" s="46" t="str">
        <f t="shared" si="113"/>
        <v/>
      </c>
      <c r="O828" s="60">
        <v>16</v>
      </c>
      <c r="P828" s="60">
        <v>1952</v>
      </c>
      <c r="Q828" s="48">
        <v>2368</v>
      </c>
      <c r="R828" s="48">
        <v>1255</v>
      </c>
      <c r="S828" s="48"/>
      <c r="T828" s="48"/>
      <c r="U828" s="49"/>
      <c r="V828" s="49"/>
      <c r="W828" s="50">
        <f t="shared" si="119"/>
        <v>0</v>
      </c>
      <c r="X828" s="51">
        <f>IF(A828="", "", IF(COUNTIFS(C$3:C827, C828, D$3:D827, D828, G$3:G827, G828) &gt; 0, "", "11:00"-AW828))</f>
        <v>0.41666666666666663</v>
      </c>
      <c r="Y828" s="52" t="str">
        <f t="shared" si="116"/>
        <v>1:40</v>
      </c>
      <c r="Z828" s="53"/>
      <c r="AA828" s="54"/>
      <c r="AB828" s="53"/>
      <c r="AC828" s="54"/>
      <c r="AD828" s="53"/>
      <c r="AE828" s="54"/>
      <c r="AF828" s="53"/>
      <c r="AG828" s="54"/>
      <c r="AH828" s="55">
        <v>4.1666666666666699E-2</v>
      </c>
      <c r="AI828" s="53"/>
      <c r="AJ828" s="54"/>
      <c r="AK828" s="53"/>
      <c r="AL828" s="54"/>
      <c r="AM828" s="53"/>
      <c r="AN828" s="54"/>
      <c r="AO828" s="53"/>
      <c r="AP828" s="54"/>
      <c r="AQ828" s="53"/>
      <c r="AR828" s="54"/>
      <c r="AS828" s="53"/>
      <c r="AT828" s="54"/>
      <c r="AU828" s="53">
        <v>4.1666666666666699E-2</v>
      </c>
      <c r="AV828" s="54" t="s">
        <v>37</v>
      </c>
      <c r="AW828" s="57">
        <f t="shared" si="118"/>
        <v>4.1666666666666699E-2</v>
      </c>
      <c r="AX828" s="58" t="s">
        <v>117</v>
      </c>
    </row>
    <row r="829" spans="1:50" ht="27" customHeight="1">
      <c r="A829" s="66" t="s">
        <v>708</v>
      </c>
      <c r="B829" s="39">
        <f t="shared" si="117"/>
        <v>825</v>
      </c>
      <c r="C829" s="40">
        <v>46042</v>
      </c>
      <c r="D829" s="40" t="s">
        <v>32</v>
      </c>
      <c r="E829" s="40" t="s">
        <v>33</v>
      </c>
      <c r="F829" s="41">
        <v>263.5</v>
      </c>
      <c r="G829" s="42" t="s">
        <v>108</v>
      </c>
      <c r="H829" s="43" t="str">
        <f>IFERROR(VLOOKUP($J829,'[9]FROM (3)'!$E$4:$F$230,2,FALSE),"")</f>
        <v>SIAM NSK</v>
      </c>
      <c r="I829" s="44" t="str">
        <f t="shared" si="114"/>
        <v>SHAFT SPLINE</v>
      </c>
      <c r="J829" s="44" t="str">
        <f t="shared" si="115"/>
        <v>2550S0647P</v>
      </c>
      <c r="K829" s="59" t="str">
        <f t="shared" si="112"/>
        <v>PD26010398</v>
      </c>
      <c r="L829" s="46" t="str" cm="1">
        <f t="array" ref="L829">IFERROR(_xlfn.IFS(
    LEN($A829)-LEN(SUBSTITUTE($A829,"|",""))=12, RIGHT(A829, LEN(A829)-FIND("~", SUBSTITUTE(A829,"|","~", LEN(A829)-LEN(SUBSTITUTE(A829,"|",""))))),
    LEN($A829)-LEN(SUBSTITUTE($A829,"|",""))=13, MID($A829, FIND("~", SUBSTITUTE($A829,"|","~", 11))+1, FIND("~", SUBSTITUTE($A829,"|","~", 12))-FIND("~", SUBSTITUTE($A829,"|","~", 11))-1),
    LEN($A829)-LEN(SUBSTITUTE($A829,"|",""))=14, MID($A829, FIND("~", SUBSTITUTE($A829,"|","~", 11))+1, FIND("~", SUBSTITUTE($A829,"|","~", 12))-FIND("~", SUBSTITUTE($A829,"|","~", 11))-1)
), "")</f>
        <v>E586424</v>
      </c>
      <c r="M829" s="47" t="str">
        <f t="shared" si="111"/>
        <v>SB010027/6/26</v>
      </c>
      <c r="N829" s="46" t="str">
        <f t="shared" si="113"/>
        <v/>
      </c>
      <c r="O829" s="60" t="s">
        <v>35</v>
      </c>
      <c r="P829" s="60" t="s">
        <v>35</v>
      </c>
      <c r="Q829" s="48">
        <v>368</v>
      </c>
      <c r="R829" s="48">
        <v>200</v>
      </c>
      <c r="S829" s="48"/>
      <c r="T829" s="48"/>
      <c r="U829" s="49"/>
      <c r="V829" s="49"/>
      <c r="W829" s="50">
        <f t="shared" si="119"/>
        <v>0</v>
      </c>
      <c r="X829" s="51">
        <f>IF(A829="", "", IF(COUNTIFS(C$3:C828, C829, D$3:D828, D829, G$3:G828, G829) &gt; 0, "", "11:00"-AW829))</f>
        <v>0.41666666666666663</v>
      </c>
      <c r="Y829" s="52" t="str">
        <f t="shared" si="116"/>
        <v>1:40</v>
      </c>
      <c r="Z829" s="53"/>
      <c r="AA829" s="54"/>
      <c r="AB829" s="53"/>
      <c r="AC829" s="54"/>
      <c r="AD829" s="53"/>
      <c r="AE829" s="54"/>
      <c r="AF829" s="53"/>
      <c r="AG829" s="54"/>
      <c r="AH829" s="55">
        <v>4.1666666666666699E-2</v>
      </c>
      <c r="AI829" s="53"/>
      <c r="AJ829" s="54"/>
      <c r="AK829" s="53"/>
      <c r="AL829" s="54"/>
      <c r="AM829" s="53"/>
      <c r="AN829" s="54"/>
      <c r="AO829" s="53"/>
      <c r="AP829" s="54"/>
      <c r="AQ829" s="53"/>
      <c r="AR829" s="54"/>
      <c r="AS829" s="53"/>
      <c r="AT829" s="54"/>
      <c r="AU829" s="53">
        <v>4.1666666666666699E-2</v>
      </c>
      <c r="AV829" s="54" t="s">
        <v>37</v>
      </c>
      <c r="AW829" s="57">
        <f t="shared" si="118"/>
        <v>4.1666666666666699E-2</v>
      </c>
      <c r="AX829" s="58" t="s">
        <v>380</v>
      </c>
    </row>
    <row r="830" spans="1:50" ht="27" customHeight="1">
      <c r="A830" s="66" t="s">
        <v>751</v>
      </c>
      <c r="B830" s="39">
        <f t="shared" si="117"/>
        <v>826</v>
      </c>
      <c r="C830" s="40">
        <v>46042</v>
      </c>
      <c r="D830" s="40" t="s">
        <v>32</v>
      </c>
      <c r="E830" s="40" t="s">
        <v>33</v>
      </c>
      <c r="F830" s="41">
        <v>263.5</v>
      </c>
      <c r="G830" s="42" t="s">
        <v>108</v>
      </c>
      <c r="H830" s="43" t="str">
        <f>IFERROR(VLOOKUP($J830,'[9]FROM (3)'!$E$4:$F$230,2,FALSE),"")</f>
        <v>SIAM NSK</v>
      </c>
      <c r="I830" s="44" t="str">
        <f t="shared" si="114"/>
        <v>SHAFT SPLINE</v>
      </c>
      <c r="J830" s="44" t="str">
        <f t="shared" si="115"/>
        <v>2550S0647P</v>
      </c>
      <c r="K830" s="59" t="str">
        <f t="shared" si="112"/>
        <v>PD26010398</v>
      </c>
      <c r="L830" s="46" t="str" cm="1">
        <f t="array" ref="L830">IFERROR(_xlfn.IFS(
    LEN($A830)-LEN(SUBSTITUTE($A830,"|",""))=12, RIGHT(A830, LEN(A830)-FIND("~", SUBSTITUTE(A830,"|","~", LEN(A830)-LEN(SUBSTITUTE(A830,"|",""))))),
    LEN($A830)-LEN(SUBSTITUTE($A830,"|",""))=13, MID($A830, FIND("~", SUBSTITUTE($A830,"|","~", 11))+1, FIND("~", SUBSTITUTE($A830,"|","~", 12))-FIND("~", SUBSTITUTE($A830,"|","~", 11))-1),
    LEN($A830)-LEN(SUBSTITUTE($A830,"|",""))=14, MID($A830, FIND("~", SUBSTITUTE($A830,"|","~", 11))+1, FIND("~", SUBSTITUTE($A830,"|","~", 12))-FIND("~", SUBSTITUTE($A830,"|","~", 11))-1)
), "")</f>
        <v>E586424</v>
      </c>
      <c r="M830" s="47" t="str">
        <f t="shared" si="111"/>
        <v>SB010027/5/26</v>
      </c>
      <c r="N830" s="46" t="str">
        <f t="shared" si="113"/>
        <v/>
      </c>
      <c r="O830" s="60">
        <v>109</v>
      </c>
      <c r="P830" s="60">
        <v>996</v>
      </c>
      <c r="Q830" s="48">
        <v>1744</v>
      </c>
      <c r="R830" s="48">
        <v>946</v>
      </c>
      <c r="S830" s="48"/>
      <c r="T830" s="48"/>
      <c r="U830" s="49">
        <v>118</v>
      </c>
      <c r="V830" s="49">
        <v>23</v>
      </c>
      <c r="W830" s="50">
        <f t="shared" si="119"/>
        <v>141</v>
      </c>
      <c r="X830" s="51" t="str">
        <f>IF(A830="", "", IF(COUNTIFS(C$3:C829, C830, D$3:D829, D830, G$3:G829, G830) &gt; 0, "", "11:00"-AW830))</f>
        <v/>
      </c>
      <c r="Y830" s="52" t="str">
        <f t="shared" si="116"/>
        <v/>
      </c>
      <c r="Z830" s="53"/>
      <c r="AA830" s="54"/>
      <c r="AB830" s="53"/>
      <c r="AC830" s="54"/>
      <c r="AD830" s="53"/>
      <c r="AE830" s="54"/>
      <c r="AF830" s="53"/>
      <c r="AG830" s="54"/>
      <c r="AH830" s="55">
        <v>4.1666666666666699E-2</v>
      </c>
      <c r="AI830" s="53"/>
      <c r="AJ830" s="54"/>
      <c r="AK830" s="53">
        <v>6.9444444444444441E-3</v>
      </c>
      <c r="AL830" s="54" t="s">
        <v>67</v>
      </c>
      <c r="AM830" s="53">
        <v>1.3888888888888888E-2</v>
      </c>
      <c r="AN830" s="54" t="s">
        <v>67</v>
      </c>
      <c r="AO830" s="53"/>
      <c r="AP830" s="54"/>
      <c r="AQ830" s="53"/>
      <c r="AR830" s="54"/>
      <c r="AS830" s="53"/>
      <c r="AT830" s="54"/>
      <c r="AU830" s="53">
        <v>4.1666666666666699E-2</v>
      </c>
      <c r="AV830" s="54" t="s">
        <v>37</v>
      </c>
      <c r="AW830" s="57">
        <f t="shared" si="118"/>
        <v>6.2500000000000028E-2</v>
      </c>
      <c r="AX830" s="58" t="s">
        <v>380</v>
      </c>
    </row>
    <row r="831" spans="1:50" ht="27" customHeight="1">
      <c r="A831" s="66" t="s">
        <v>752</v>
      </c>
      <c r="B831" s="39">
        <f t="shared" si="117"/>
        <v>827</v>
      </c>
      <c r="C831" s="40">
        <v>46042</v>
      </c>
      <c r="D831" s="40" t="s">
        <v>32</v>
      </c>
      <c r="E831" s="40" t="s">
        <v>33</v>
      </c>
      <c r="F831" s="41">
        <v>699</v>
      </c>
      <c r="G831" s="42" t="s">
        <v>108</v>
      </c>
      <c r="H831" s="43" t="str">
        <f>IFERROR(VLOOKUP($J831,'[9]FROM (3)'!$E$4:$F$230,2,FALSE),"")</f>
        <v>SIAM NSK</v>
      </c>
      <c r="I831" s="44" t="str">
        <f t="shared" si="114"/>
        <v>SHAFT SPLINE</v>
      </c>
      <c r="J831" s="44" t="str">
        <f t="shared" si="115"/>
        <v>2550S0666P</v>
      </c>
      <c r="K831" s="59" t="str">
        <f t="shared" si="112"/>
        <v>PD26010862</v>
      </c>
      <c r="L831" s="46" t="str" cm="1">
        <f t="array" ref="L831">IFERROR(_xlfn.IFS(
    LEN($A831)-LEN(SUBSTITUTE($A831,"|",""))=12, RIGHT(A831, LEN(A831)-FIND("~", SUBSTITUTE(A831,"|","~", LEN(A831)-LEN(SUBSTITUTE(A831,"|",""))))),
    LEN($A831)-LEN(SUBSTITUTE($A831,"|",""))=13, MID($A831, FIND("~", SUBSTITUTE($A831,"|","~", 11))+1, FIND("~", SUBSTITUTE($A831,"|","~", 12))-FIND("~", SUBSTITUTE($A831,"|","~", 11))-1),
    LEN($A831)-LEN(SUBSTITUTE($A831,"|",""))=14, MID($A831, FIND("~", SUBSTITUTE($A831,"|","~", 11))+1, FIND("~", SUBSTITUTE($A831,"|","~", 12))-FIND("~", SUBSTITUTE($A831,"|","~", 11))-1)
), "")</f>
        <v>E484056</v>
      </c>
      <c r="M831" s="47" t="str">
        <f t="shared" si="111"/>
        <v>SB010096/1/26</v>
      </c>
      <c r="N831" s="46" t="str">
        <f t="shared" si="113"/>
        <v/>
      </c>
      <c r="O831" s="60">
        <v>63</v>
      </c>
      <c r="P831" s="60">
        <v>1024</v>
      </c>
      <c r="Q831" s="48">
        <v>1381</v>
      </c>
      <c r="R831" s="48">
        <v>965</v>
      </c>
      <c r="S831" s="48"/>
      <c r="T831" s="48"/>
      <c r="U831" s="49"/>
      <c r="V831" s="49"/>
      <c r="W831" s="50">
        <f t="shared" si="119"/>
        <v>0</v>
      </c>
      <c r="X831" s="51" t="str">
        <f>IF(A831="", "", IF(COUNTIFS(C$3:C830, C831, D$3:D830, D831, G$3:G830, G831) &gt; 0, "", "11:00"-AW831))</f>
        <v/>
      </c>
      <c r="Y831" s="52" t="str">
        <f t="shared" si="116"/>
        <v/>
      </c>
      <c r="Z831" s="53"/>
      <c r="AA831" s="54"/>
      <c r="AB831" s="53"/>
      <c r="AC831" s="54"/>
      <c r="AD831" s="53"/>
      <c r="AE831" s="54"/>
      <c r="AF831" s="53"/>
      <c r="AG831" s="54"/>
      <c r="AH831" s="55">
        <v>4.1666666666666699E-2</v>
      </c>
      <c r="AI831" s="53"/>
      <c r="AJ831" s="54"/>
      <c r="AK831" s="53"/>
      <c r="AL831" s="54"/>
      <c r="AM831" s="53"/>
      <c r="AN831" s="54"/>
      <c r="AO831" s="53"/>
      <c r="AP831" s="54"/>
      <c r="AQ831" s="53"/>
      <c r="AR831" s="54"/>
      <c r="AS831" s="53"/>
      <c r="AT831" s="54"/>
      <c r="AU831" s="53">
        <v>4.1666666666666699E-2</v>
      </c>
      <c r="AV831" s="54" t="s">
        <v>37</v>
      </c>
      <c r="AW831" s="57">
        <f t="shared" si="118"/>
        <v>4.1666666666666699E-2</v>
      </c>
      <c r="AX831" s="58" t="s">
        <v>380</v>
      </c>
    </row>
    <row r="832" spans="1:50" ht="27" customHeight="1">
      <c r="A832" s="66" t="s">
        <v>725</v>
      </c>
      <c r="B832" s="39">
        <f t="shared" si="117"/>
        <v>828</v>
      </c>
      <c r="C832" s="40">
        <v>46042</v>
      </c>
      <c r="D832" s="40" t="s">
        <v>32</v>
      </c>
      <c r="E832" s="40" t="s">
        <v>33</v>
      </c>
      <c r="F832" s="41">
        <v>45</v>
      </c>
      <c r="G832" s="42" t="s">
        <v>135</v>
      </c>
      <c r="H832" s="43" t="str">
        <f>IFERROR(VLOOKUP($J832,'[9]FROM (3)'!$E$4:$F$230,2,FALSE),"")</f>
        <v>DNTH</v>
      </c>
      <c r="I832" s="44" t="str">
        <f t="shared" si="114"/>
        <v>Pole Core</v>
      </c>
      <c r="J832" s="44" t="str">
        <f t="shared" si="115"/>
        <v>TG028152-5240</v>
      </c>
      <c r="K832" s="59" t="str">
        <f t="shared" si="112"/>
        <v>PD26010656</v>
      </c>
      <c r="L832" s="46" t="str" cm="1">
        <f t="array" ref="L832">IFERROR(_xlfn.IFS(
    LEN($A832)-LEN(SUBSTITUTE($A832,"|",""))=12, RIGHT(A832, LEN(A832)-FIND("~", SUBSTITUTE(A832,"|","~", LEN(A832)-LEN(SUBSTITUTE(A832,"|",""))))),
    LEN($A832)-LEN(SUBSTITUTE($A832,"|",""))=13, MID($A832, FIND("~", SUBSTITUTE($A832,"|","~", 11))+1, FIND("~", SUBSTITUTE($A832,"|","~", 12))-FIND("~", SUBSTITUTE($A832,"|","~", 11))-1),
    LEN($A832)-LEN(SUBSTITUTE($A832,"|",""))=14, MID($A832, FIND("~", SUBSTITUTE($A832,"|","~", 11))+1, FIND("~", SUBSTITUTE($A832,"|","~", 12))-FIND("~", SUBSTITUTE($A832,"|","~", 11))-1)
), "")</f>
        <v>KS005C9016</v>
      </c>
      <c r="M832" s="47" t="str">
        <f t="shared" si="111"/>
        <v>SB010066/1/26</v>
      </c>
      <c r="N832" s="46" t="str">
        <f t="shared" si="113"/>
        <v/>
      </c>
      <c r="O832" s="60">
        <v>0</v>
      </c>
      <c r="P832" s="60">
        <v>0</v>
      </c>
      <c r="Q832" s="48">
        <v>7040</v>
      </c>
      <c r="R832" s="48">
        <v>317</v>
      </c>
      <c r="S832" s="48"/>
      <c r="T832" s="48"/>
      <c r="U832" s="49"/>
      <c r="V832" s="49"/>
      <c r="W832" s="50">
        <f t="shared" si="119"/>
        <v>0</v>
      </c>
      <c r="X832" s="51">
        <f>IF(A832="", "", IF(COUNTIFS(C$3:C831, C832, D$3:D831, D832, G$3:G831, G832) &gt; 0, "", "11:00"-AW832))</f>
        <v>0.16666666666666663</v>
      </c>
      <c r="Y832" s="52" t="str">
        <f t="shared" si="116"/>
        <v>1:40</v>
      </c>
      <c r="Z832" s="53">
        <v>4.1666666666666664E-2</v>
      </c>
      <c r="AA832" s="54" t="s">
        <v>90</v>
      </c>
      <c r="AB832" s="53">
        <v>4.1666666666666664E-2</v>
      </c>
      <c r="AC832" s="54" t="s">
        <v>90</v>
      </c>
      <c r="AD832" s="53">
        <v>4.1666666666666664E-2</v>
      </c>
      <c r="AE832" s="54" t="s">
        <v>90</v>
      </c>
      <c r="AF832" s="53">
        <v>4.1666666666666664E-2</v>
      </c>
      <c r="AG832" s="54" t="s">
        <v>136</v>
      </c>
      <c r="AH832" s="55">
        <v>4.1666666666666699E-2</v>
      </c>
      <c r="AI832" s="53">
        <v>4.1666666666666664E-2</v>
      </c>
      <c r="AJ832" s="54" t="s">
        <v>90</v>
      </c>
      <c r="AK832" s="53">
        <v>4.1666666666666664E-2</v>
      </c>
      <c r="AL832" s="54" t="s">
        <v>90</v>
      </c>
      <c r="AM832" s="53"/>
      <c r="AN832" s="54"/>
      <c r="AO832" s="53"/>
      <c r="AP832" s="54"/>
      <c r="AQ832" s="53"/>
      <c r="AR832" s="54"/>
      <c r="AS832" s="53"/>
      <c r="AT832" s="54"/>
      <c r="AU832" s="53">
        <v>4.1666666666666699E-2</v>
      </c>
      <c r="AV832" s="54" t="s">
        <v>37</v>
      </c>
      <c r="AW832" s="57">
        <f t="shared" si="118"/>
        <v>0.29166666666666669</v>
      </c>
      <c r="AX832" s="58" t="s">
        <v>64</v>
      </c>
    </row>
    <row r="833" spans="1:50" ht="27" customHeight="1">
      <c r="A833" s="66" t="s">
        <v>738</v>
      </c>
      <c r="B833" s="39">
        <f t="shared" si="117"/>
        <v>829</v>
      </c>
      <c r="C833" s="40">
        <v>46042</v>
      </c>
      <c r="D833" s="40" t="s">
        <v>80</v>
      </c>
      <c r="E833" s="40" t="s">
        <v>81</v>
      </c>
      <c r="F833" s="41">
        <v>721.5</v>
      </c>
      <c r="G833" s="42" t="s">
        <v>75</v>
      </c>
      <c r="H833" s="43" t="str">
        <f>IFERROR(VLOOKUP($J833,'[9]FROM (3)'!$E$4:$F$230,2,FALSE),"")</f>
        <v>JCTTH</v>
      </c>
      <c r="I833" s="44" t="str">
        <f t="shared" si="114"/>
        <v>RACK POWER STEERING</v>
      </c>
      <c r="J833" s="44" t="str">
        <f t="shared" si="115"/>
        <v>2-30JG-0711</v>
      </c>
      <c r="K833" s="59" t="str">
        <f t="shared" si="112"/>
        <v>PD26010790</v>
      </c>
      <c r="L833" s="46" t="str" cm="1">
        <f t="array" ref="L833">IFERROR(_xlfn.IFS(
    LEN($A833)-LEN(SUBSTITUTE($A833,"|",""))=12, RIGHT(A833, LEN(A833)-FIND("~", SUBSTITUTE(A833,"|","~", LEN(A833)-LEN(SUBSTITUTE(A833,"|",""))))),
    LEN($A833)-LEN(SUBSTITUTE($A833,"|",""))=13, MID($A833, FIND("~", SUBSTITUTE($A833,"|","~", 11))+1, FIND("~", SUBSTITUTE($A833,"|","~", 12))-FIND("~", SUBSTITUTE($A833,"|","~", 11))-1),
    LEN($A833)-LEN(SUBSTITUTE($A833,"|",""))=14, MID($A833, FIND("~", SUBSTITUTE($A833,"|","~", 11))+1, FIND("~", SUBSTITUTE($A833,"|","~", 12))-FIND("~", SUBSTITUTE($A833,"|","~", 11))-1)
), "")</f>
        <v>E586102</v>
      </c>
      <c r="M833" s="47" t="str">
        <f t="shared" si="111"/>
        <v>SB010089/2/26</v>
      </c>
      <c r="N833" s="46" t="str">
        <f t="shared" si="113"/>
        <v/>
      </c>
      <c r="O833" s="60"/>
      <c r="P833" s="60"/>
      <c r="Q833" s="48">
        <v>15</v>
      </c>
      <c r="R833" s="48">
        <v>62</v>
      </c>
      <c r="S833" s="48"/>
      <c r="T833" s="48"/>
      <c r="U833" s="49"/>
      <c r="V833" s="49"/>
      <c r="W833" s="50">
        <f t="shared" si="119"/>
        <v>0</v>
      </c>
      <c r="X833" s="51">
        <f>IF(A833="", "", IF(COUNTIFS(C$3:C832, C833, D$3:D832, D833, G$3:G832, G833) &gt; 0, "", "11:00"-AW833))</f>
        <v>0.33333333333333326</v>
      </c>
      <c r="Y833" s="52" t="str">
        <f t="shared" si="116"/>
        <v>1:40</v>
      </c>
      <c r="Z833" s="53"/>
      <c r="AA833" s="54"/>
      <c r="AB833" s="53"/>
      <c r="AC833" s="54"/>
      <c r="AD833" s="53">
        <v>4.1666666666666664E-2</v>
      </c>
      <c r="AE833" s="54" t="s">
        <v>67</v>
      </c>
      <c r="AF833" s="53"/>
      <c r="AG833" s="54"/>
      <c r="AH833" s="55">
        <v>4.1666666666666699E-2</v>
      </c>
      <c r="AI833" s="53"/>
      <c r="AJ833" s="54"/>
      <c r="AK833" s="53"/>
      <c r="AL833" s="54"/>
      <c r="AM833" s="53"/>
      <c r="AN833" s="54"/>
      <c r="AO833" s="53"/>
      <c r="AP833" s="54"/>
      <c r="AQ833" s="53"/>
      <c r="AR833" s="54"/>
      <c r="AS833" s="53">
        <v>4.1666666666666664E-2</v>
      </c>
      <c r="AT833" s="54" t="s">
        <v>147</v>
      </c>
      <c r="AU833" s="53">
        <v>4.1666666666666699E-2</v>
      </c>
      <c r="AV833" s="54" t="s">
        <v>37</v>
      </c>
      <c r="AW833" s="57">
        <f t="shared" si="118"/>
        <v>0.12500000000000003</v>
      </c>
      <c r="AX833" s="58" t="s">
        <v>101</v>
      </c>
    </row>
    <row r="834" spans="1:50" ht="27" customHeight="1">
      <c r="A834" s="66" t="s">
        <v>753</v>
      </c>
      <c r="B834" s="39">
        <f t="shared" si="117"/>
        <v>830</v>
      </c>
      <c r="C834" s="40">
        <v>46042</v>
      </c>
      <c r="D834" s="40" t="s">
        <v>80</v>
      </c>
      <c r="E834" s="40" t="s">
        <v>81</v>
      </c>
      <c r="F834" s="41">
        <v>721.5</v>
      </c>
      <c r="G834" s="42" t="s">
        <v>75</v>
      </c>
      <c r="H834" s="43" t="str">
        <f>IFERROR(VLOOKUP($J834,'[9]FROM (3)'!$E$4:$F$230,2,FALSE),"")</f>
        <v>JCTTH</v>
      </c>
      <c r="I834" s="44" t="str">
        <f t="shared" si="114"/>
        <v>RACK POWER STEERING</v>
      </c>
      <c r="J834" s="44" t="str">
        <f t="shared" si="115"/>
        <v>2-30JG-0711</v>
      </c>
      <c r="K834" s="59" t="str">
        <f t="shared" si="112"/>
        <v>PD26010790</v>
      </c>
      <c r="L834" s="46" t="str" cm="1">
        <f t="array" ref="L834">IFERROR(_xlfn.IFS(
    LEN($A834)-LEN(SUBSTITUTE($A834,"|",""))=12, RIGHT(A834, LEN(A834)-FIND("~", SUBSTITUTE(A834,"|","~", LEN(A834)-LEN(SUBSTITUTE(A834,"|",""))))),
    LEN($A834)-LEN(SUBSTITUTE($A834,"|",""))=13, MID($A834, FIND("~", SUBSTITUTE($A834,"|","~", 11))+1, FIND("~", SUBSTITUTE($A834,"|","~", 12))-FIND("~", SUBSTITUTE($A834,"|","~", 11))-1),
    LEN($A834)-LEN(SUBSTITUTE($A834,"|",""))=14, MID($A834, FIND("~", SUBSTITUTE($A834,"|","~", 11))+1, FIND("~", SUBSTITUTE($A834,"|","~", 12))-FIND("~", SUBSTITUTE($A834,"|","~", 11))-1)
), "")</f>
        <v>E586102</v>
      </c>
      <c r="M834" s="47" t="str">
        <f t="shared" si="111"/>
        <v>SB010089/1/26</v>
      </c>
      <c r="N834" s="46" t="str">
        <f t="shared" si="113"/>
        <v/>
      </c>
      <c r="O834" s="60">
        <v>50</v>
      </c>
      <c r="P834" s="60">
        <v>878</v>
      </c>
      <c r="Q834" s="48">
        <v>200</v>
      </c>
      <c r="R834" s="48">
        <v>878</v>
      </c>
      <c r="S834" s="48"/>
      <c r="T834" s="48"/>
      <c r="U834" s="49">
        <v>143</v>
      </c>
      <c r="V834" s="49">
        <v>9</v>
      </c>
      <c r="W834" s="50">
        <f t="shared" si="119"/>
        <v>152</v>
      </c>
      <c r="X834" s="51" t="str">
        <f>IF(A834="", "", IF(COUNTIFS(C$3:C833, C834, D$3:D833, D834, G$3:G833, G834) &gt; 0, "", "11:00"-AW834))</f>
        <v/>
      </c>
      <c r="Y834" s="52" t="str">
        <f t="shared" si="116"/>
        <v/>
      </c>
      <c r="Z834" s="53"/>
      <c r="AA834" s="54"/>
      <c r="AB834" s="53"/>
      <c r="AC834" s="54"/>
      <c r="AD834" s="53"/>
      <c r="AE834" s="54"/>
      <c r="AF834" s="53"/>
      <c r="AG834" s="54"/>
      <c r="AH834" s="55">
        <v>4.1666666666666699E-2</v>
      </c>
      <c r="AI834" s="53"/>
      <c r="AJ834" s="54"/>
      <c r="AK834" s="53"/>
      <c r="AL834" s="54"/>
      <c r="AM834" s="53"/>
      <c r="AN834" s="54"/>
      <c r="AO834" s="53"/>
      <c r="AP834" s="54"/>
      <c r="AQ834" s="53"/>
      <c r="AR834" s="54"/>
      <c r="AS834" s="53"/>
      <c r="AT834" s="54"/>
      <c r="AU834" s="53">
        <v>4.1666666666666699E-2</v>
      </c>
      <c r="AV834" s="54" t="s">
        <v>37</v>
      </c>
      <c r="AW834" s="57">
        <f t="shared" si="118"/>
        <v>4.1666666666666699E-2</v>
      </c>
      <c r="AX834" s="58" t="s">
        <v>101</v>
      </c>
    </row>
    <row r="835" spans="1:50" ht="27" customHeight="1">
      <c r="A835" s="66" t="s">
        <v>754</v>
      </c>
      <c r="B835" s="39">
        <f t="shared" si="117"/>
        <v>831</v>
      </c>
      <c r="C835" s="40">
        <v>46042</v>
      </c>
      <c r="D835" s="40" t="s">
        <v>80</v>
      </c>
      <c r="E835" s="40" t="s">
        <v>81</v>
      </c>
      <c r="F835" s="41">
        <v>565.20000000000005</v>
      </c>
      <c r="G835" s="42" t="s">
        <v>75</v>
      </c>
      <c r="H835" s="43" t="str">
        <f>IFERROR(VLOOKUP($J835,'[9]FROM (3)'!$E$4:$F$230,2,FALSE),"")</f>
        <v>JTCS</v>
      </c>
      <c r="I835" s="44" t="str">
        <f t="shared" si="114"/>
        <v>RACK, MS</v>
      </c>
      <c r="J835" s="44" t="str">
        <f t="shared" si="115"/>
        <v>JGC10-003040-40-0</v>
      </c>
      <c r="K835" s="59" t="str">
        <f t="shared" si="112"/>
        <v>PD26010713</v>
      </c>
      <c r="L835" s="46" t="str" cm="1">
        <f t="array" ref="L835">IFERROR(_xlfn.IFS(
    LEN($A835)-LEN(SUBSTITUTE($A835,"|",""))=12, RIGHT(A835, LEN(A835)-FIND("~", SUBSTITUTE(A835,"|","~", LEN(A835)-LEN(SUBSTITUTE(A835,"|",""))))),
    LEN($A835)-LEN(SUBSTITUTE($A835,"|",""))=13, MID($A835, FIND("~", SUBSTITUTE($A835,"|","~", 11))+1, FIND("~", SUBSTITUTE($A835,"|","~", 12))-FIND("~", SUBSTITUTE($A835,"|","~", 11))-1),
    LEN($A835)-LEN(SUBSTITUTE($A835,"|",""))=14, MID($A835, FIND("~", SUBSTITUTE($A835,"|","~", 11))+1, FIND("~", SUBSTITUTE($A835,"|","~", 12))-FIND("~", SUBSTITUTE($A835,"|","~", 11))-1)
), "")</f>
        <v>E586613</v>
      </c>
      <c r="M835" s="47" t="str">
        <f t="shared" si="111"/>
        <v>SB010081/3/26</v>
      </c>
      <c r="N835" s="46" t="str">
        <f t="shared" si="113"/>
        <v/>
      </c>
      <c r="O835" s="60">
        <v>60</v>
      </c>
      <c r="P835" s="60">
        <v>912</v>
      </c>
      <c r="Q835" s="48">
        <v>360</v>
      </c>
      <c r="R835" s="48">
        <v>848</v>
      </c>
      <c r="S835" s="48"/>
      <c r="T835" s="48"/>
      <c r="U835" s="49"/>
      <c r="V835" s="49"/>
      <c r="W835" s="50">
        <f t="shared" si="119"/>
        <v>0</v>
      </c>
      <c r="X835" s="51" t="str">
        <f>IF(A835="", "", IF(COUNTIFS(C$3:C834, C835, D$3:D834, D835, G$3:G834, G835) &gt; 0, "", "11:00"-AW835))</f>
        <v/>
      </c>
      <c r="Y835" s="52" t="str">
        <f t="shared" si="116"/>
        <v/>
      </c>
      <c r="Z835" s="53"/>
      <c r="AA835" s="54"/>
      <c r="AB835" s="53"/>
      <c r="AC835" s="54"/>
      <c r="AD835" s="53"/>
      <c r="AE835" s="54"/>
      <c r="AF835" s="53"/>
      <c r="AG835" s="54"/>
      <c r="AH835" s="55">
        <v>4.1666666666666699E-2</v>
      </c>
      <c r="AI835" s="53"/>
      <c r="AJ835" s="54"/>
      <c r="AK835" s="53"/>
      <c r="AL835" s="54"/>
      <c r="AM835" s="53"/>
      <c r="AN835" s="54"/>
      <c r="AO835" s="53"/>
      <c r="AP835" s="54"/>
      <c r="AQ835" s="53"/>
      <c r="AR835" s="54"/>
      <c r="AS835" s="53"/>
      <c r="AT835" s="54"/>
      <c r="AU835" s="53">
        <v>4.1666666666666699E-2</v>
      </c>
      <c r="AV835" s="54" t="s">
        <v>37</v>
      </c>
      <c r="AW835" s="57">
        <f t="shared" si="118"/>
        <v>4.1666666666666699E-2</v>
      </c>
      <c r="AX835" s="58" t="s">
        <v>101</v>
      </c>
    </row>
    <row r="836" spans="1:50" ht="27" customHeight="1">
      <c r="A836" s="66" t="s">
        <v>755</v>
      </c>
      <c r="B836" s="39">
        <f t="shared" si="117"/>
        <v>832</v>
      </c>
      <c r="C836" s="40">
        <v>46042</v>
      </c>
      <c r="D836" s="40" t="s">
        <v>80</v>
      </c>
      <c r="E836" s="40" t="s">
        <v>81</v>
      </c>
      <c r="F836" s="41">
        <v>565.20000000000005</v>
      </c>
      <c r="G836" s="42" t="s">
        <v>75</v>
      </c>
      <c r="H836" s="43" t="str">
        <f>IFERROR(VLOOKUP($J836,'[9]FROM (3)'!$E$4:$F$230,2,FALSE),"")</f>
        <v>JTCS</v>
      </c>
      <c r="I836" s="44" t="str">
        <f t="shared" si="114"/>
        <v>RACK, MS</v>
      </c>
      <c r="J836" s="44" t="str">
        <f t="shared" si="115"/>
        <v>JGC10-003040-40-0</v>
      </c>
      <c r="K836" s="59" t="str">
        <f t="shared" si="112"/>
        <v>PD26010713</v>
      </c>
      <c r="L836" s="46" t="str" cm="1">
        <f t="array" ref="L836">IFERROR(_xlfn.IFS(
    LEN($A836)-LEN(SUBSTITUTE($A836,"|",""))=12, RIGHT(A836, LEN(A836)-FIND("~", SUBSTITUTE(A836,"|","~", LEN(A836)-LEN(SUBSTITUTE(A836,"|",""))))),
    LEN($A836)-LEN(SUBSTITUTE($A836,"|",""))=13, MID($A836, FIND("~", SUBSTITUTE($A836,"|","~", 11))+1, FIND("~", SUBSTITUTE($A836,"|","~", 12))-FIND("~", SUBSTITUTE($A836,"|","~", 11))-1),
    LEN($A836)-LEN(SUBSTITUTE($A836,"|",""))=14, MID($A836, FIND("~", SUBSTITUTE($A836,"|","~", 11))+1, FIND("~", SUBSTITUTE($A836,"|","~", 12))-FIND("~", SUBSTITUTE($A836,"|","~", 11))-1)
), "")</f>
        <v>E586613</v>
      </c>
      <c r="M836" s="47" t="str">
        <f t="shared" si="111"/>
        <v>SB010081/4/26</v>
      </c>
      <c r="N836" s="46" t="str">
        <f t="shared" si="113"/>
        <v/>
      </c>
      <c r="O836" s="60">
        <v>60</v>
      </c>
      <c r="P836" s="60">
        <v>912</v>
      </c>
      <c r="Q836" s="48">
        <v>304</v>
      </c>
      <c r="R836" s="48">
        <v>716</v>
      </c>
      <c r="S836" s="48">
        <v>4</v>
      </c>
      <c r="T836" s="48" t="s">
        <v>143</v>
      </c>
      <c r="U836" s="49"/>
      <c r="V836" s="49"/>
      <c r="W836" s="50">
        <f t="shared" si="119"/>
        <v>0</v>
      </c>
      <c r="X836" s="51" t="str">
        <f>IF(A836="", "", IF(COUNTIFS(C$3:C835, C836, D$3:D835, D836, G$3:G835, G836) &gt; 0, "", "11:00"-AW836))</f>
        <v/>
      </c>
      <c r="Y836" s="52" t="str">
        <f t="shared" si="116"/>
        <v/>
      </c>
      <c r="Z836" s="53"/>
      <c r="AA836" s="54"/>
      <c r="AB836" s="53"/>
      <c r="AC836" s="54"/>
      <c r="AD836" s="53"/>
      <c r="AE836" s="54"/>
      <c r="AF836" s="53"/>
      <c r="AG836" s="54"/>
      <c r="AH836" s="55">
        <v>4.1666666666666699E-2</v>
      </c>
      <c r="AI836" s="53"/>
      <c r="AJ836" s="54"/>
      <c r="AK836" s="53"/>
      <c r="AL836" s="54"/>
      <c r="AM836" s="53"/>
      <c r="AN836" s="54"/>
      <c r="AO836" s="53"/>
      <c r="AP836" s="54"/>
      <c r="AQ836" s="53"/>
      <c r="AR836" s="54"/>
      <c r="AS836" s="53"/>
      <c r="AT836" s="54"/>
      <c r="AU836" s="53">
        <v>4.1666666666666699E-2</v>
      </c>
      <c r="AV836" s="54" t="s">
        <v>37</v>
      </c>
      <c r="AW836" s="57">
        <f t="shared" si="118"/>
        <v>4.1666666666666699E-2</v>
      </c>
      <c r="AX836" s="58" t="s">
        <v>101</v>
      </c>
    </row>
    <row r="837" spans="1:50" ht="27" customHeight="1">
      <c r="A837" s="66" t="s">
        <v>748</v>
      </c>
      <c r="B837" s="39">
        <f t="shared" si="117"/>
        <v>833</v>
      </c>
      <c r="C837" s="40">
        <v>46042</v>
      </c>
      <c r="D837" s="40" t="s">
        <v>80</v>
      </c>
      <c r="E837" s="40" t="s">
        <v>81</v>
      </c>
      <c r="F837" s="41">
        <v>157.9</v>
      </c>
      <c r="G837" s="42" t="s">
        <v>44</v>
      </c>
      <c r="H837" s="43" t="str">
        <f>IFERROR(VLOOKUP($J837,'[9]FROM (3)'!$E$4:$F$230,2,FALSE),"")</f>
        <v>DNTH</v>
      </c>
      <c r="I837" s="44" t="str">
        <f t="shared" si="114"/>
        <v>SLUG CONNECTOR FUEL INLET</v>
      </c>
      <c r="J837" s="44" t="str">
        <f t="shared" si="115"/>
        <v>TGY95065-0010</v>
      </c>
      <c r="K837" s="59" t="str">
        <f t="shared" si="112"/>
        <v>PD26010502</v>
      </c>
      <c r="L837" s="46" t="str" cm="1">
        <f t="array" ref="L837">IFERROR(_xlfn.IFS(
    LEN($A837)-LEN(SUBSTITUTE($A837,"|",""))=12, RIGHT(A837, LEN(A837)-FIND("~", SUBSTITUTE(A837,"|","~", LEN(A837)-LEN(SUBSTITUTE(A837,"|",""))))),
    LEN($A837)-LEN(SUBSTITUTE($A837,"|",""))=13, MID($A837, FIND("~", SUBSTITUTE($A837,"|","~", 11))+1, FIND("~", SUBSTITUTE($A837,"|","~", 12))-FIND("~", SUBSTITUTE($A837,"|","~", 11))-1),
    LEN($A837)-LEN(SUBSTITUTE($A837,"|",""))=14, MID($A837, FIND("~", SUBSTITUTE($A837,"|","~", 11))+1, FIND("~", SUBSTITUTE($A837,"|","~", 12))-FIND("~", SUBSTITUTE($A837,"|","~", 11))-1)
), "")</f>
        <v>E586354</v>
      </c>
      <c r="M837" s="47" t="str">
        <f t="shared" ref="M837:M900" si="120">IFERROR(MID(A837,FIND("~",SUBSTITUTE(A837,"|","~",10))+1,FIND("~",SUBSTITUTE(A837,"|","~",11))-FIND("~",SUBSTITUTE(A837,"|","~",10))-1),"")</f>
        <v>SB010006/4/26</v>
      </c>
      <c r="N837" s="46" t="str">
        <f t="shared" si="113"/>
        <v/>
      </c>
      <c r="O837" s="60"/>
      <c r="P837" s="60"/>
      <c r="Q837" s="48">
        <v>2095</v>
      </c>
      <c r="R837" s="48">
        <v>331</v>
      </c>
      <c r="S837" s="48"/>
      <c r="T837" s="48"/>
      <c r="U837" s="49">
        <v>95</v>
      </c>
      <c r="V837" s="49">
        <v>39</v>
      </c>
      <c r="W837" s="50">
        <f t="shared" si="119"/>
        <v>134</v>
      </c>
      <c r="X837" s="51">
        <f>IF(A837="", "", IF(COUNTIFS(C$3:C836, C837, D$3:D836, D837, G$3:G836, G837) &gt; 0, "", "11:00"-AW837))</f>
        <v>0.37499999999999994</v>
      </c>
      <c r="Y837" s="52" t="str">
        <f t="shared" si="116"/>
        <v>1:40</v>
      </c>
      <c r="Z837" s="53"/>
      <c r="AA837" s="54"/>
      <c r="AB837" s="53"/>
      <c r="AC837" s="54"/>
      <c r="AD837" s="53"/>
      <c r="AE837" s="54"/>
      <c r="AF837" s="53"/>
      <c r="AG837" s="54"/>
      <c r="AH837" s="55">
        <v>4.1666666666666699E-2</v>
      </c>
      <c r="AI837" s="53"/>
      <c r="AJ837" s="54"/>
      <c r="AK837" s="53"/>
      <c r="AL837" s="54"/>
      <c r="AM837" s="53"/>
      <c r="AN837" s="54"/>
      <c r="AO837" s="53"/>
      <c r="AP837" s="54"/>
      <c r="AQ837" s="53"/>
      <c r="AR837" s="54"/>
      <c r="AS837" s="53">
        <v>4.1666666666666664E-2</v>
      </c>
      <c r="AT837" s="54" t="s">
        <v>147</v>
      </c>
      <c r="AU837" s="53">
        <v>4.1666666666666699E-2</v>
      </c>
      <c r="AV837" s="54" t="s">
        <v>37</v>
      </c>
      <c r="AW837" s="57">
        <f t="shared" si="118"/>
        <v>8.333333333333337E-2</v>
      </c>
      <c r="AX837" s="58" t="s">
        <v>203</v>
      </c>
    </row>
    <row r="838" spans="1:50" ht="27" customHeight="1">
      <c r="A838" s="66" t="s">
        <v>756</v>
      </c>
      <c r="B838" s="39">
        <f t="shared" si="117"/>
        <v>834</v>
      </c>
      <c r="C838" s="40">
        <v>46042</v>
      </c>
      <c r="D838" s="40" t="s">
        <v>80</v>
      </c>
      <c r="E838" s="40" t="s">
        <v>81</v>
      </c>
      <c r="F838" s="41">
        <v>83.2</v>
      </c>
      <c r="G838" s="42" t="s">
        <v>44</v>
      </c>
      <c r="H838" s="43" t="str">
        <f>IFERROR(VLOOKUP($J838,'[9]FROM (3)'!$E$4:$F$230,2,FALSE),"")</f>
        <v>DNTH</v>
      </c>
      <c r="I838" s="44" t="str">
        <f t="shared" si="114"/>
        <v>SHAFT, 2W</v>
      </c>
      <c r="J838" s="44" t="str">
        <f t="shared" si="115"/>
        <v>TG028383-0420</v>
      </c>
      <c r="K838" s="59" t="str">
        <f t="shared" ref="K838:K901" si="121">IFERROR(LEFT(A838,SEARCH("|",A838)-1),"")</f>
        <v>PD26010954</v>
      </c>
      <c r="L838" s="46" t="str" cm="1">
        <f t="array" ref="L838">IFERROR(_xlfn.IFS(
    LEN($A838)-LEN(SUBSTITUTE($A838,"|",""))=12, RIGHT(A838, LEN(A838)-FIND("~", SUBSTITUTE(A838,"|","~", LEN(A838)-LEN(SUBSTITUTE(A838,"|",""))))),
    LEN($A838)-LEN(SUBSTITUTE($A838,"|",""))=13, MID($A838, FIND("~", SUBSTITUTE($A838,"|","~", 11))+1, FIND("~", SUBSTITUTE($A838,"|","~", 12))-FIND("~", SUBSTITUTE($A838,"|","~", 11))-1),
    LEN($A838)-LEN(SUBSTITUTE($A838,"|",""))=14, MID($A838, FIND("~", SUBSTITUTE($A838,"|","~", 11))+1, FIND("~", SUBSTITUTE($A838,"|","~", 12))-FIND("~", SUBSTITUTE($A838,"|","~", 11))-1)
), "")</f>
        <v>5E0424</v>
      </c>
      <c r="M838" s="47" t="str">
        <f t="shared" si="120"/>
        <v>SB010125/1/26</v>
      </c>
      <c r="N838" s="46" t="str">
        <f t="shared" ref="N838:N901" si="122">IFERROR(IF(LEN($A838)-LEN(SUBSTITUTE($A838,"|",""))=12,MID($A838,FIND("~",SUBSTITUTE($A838,"|","~",11))+1,FIND("~",SUBSTITUTE($A838,"|","~",12))-FIND("~",SUBSTITUTE($A838,"|","~",11))-1),IF(LEN($A838)-LEN(SUBSTITUTE($A838,"|",""))=13,MID($A838,FIND("~",SUBSTITUTE($A838,"|","~",10))+1,FIND("~",SUBSTITUTE($A838,"|","~",11))-FIND("~",SUBSTITUTE($A838,"|","~",10))-1), "")),"")</f>
        <v/>
      </c>
      <c r="O838" s="60">
        <v>111</v>
      </c>
      <c r="P838" s="60">
        <v>1005</v>
      </c>
      <c r="Q838" s="48">
        <v>1500</v>
      </c>
      <c r="R838" s="48">
        <v>220</v>
      </c>
      <c r="S838" s="48"/>
      <c r="T838" s="48"/>
      <c r="U838" s="49"/>
      <c r="V838" s="49"/>
      <c r="W838" s="50">
        <f t="shared" si="119"/>
        <v>0</v>
      </c>
      <c r="X838" s="51" t="str">
        <f>IF(A838="", "", IF(COUNTIFS(C$3:C837, C838, D$3:D837, D838, G$3:G837, G838) &gt; 0, "", "11:00"-AW838))</f>
        <v/>
      </c>
      <c r="Y838" s="52" t="str">
        <f t="shared" si="116"/>
        <v/>
      </c>
      <c r="Z838" s="53"/>
      <c r="AA838" s="54"/>
      <c r="AB838" s="53"/>
      <c r="AC838" s="54"/>
      <c r="AD838" s="53"/>
      <c r="AE838" s="54"/>
      <c r="AF838" s="53"/>
      <c r="AG838" s="54"/>
      <c r="AH838" s="55">
        <v>4.1666666666666699E-2</v>
      </c>
      <c r="AI838" s="53">
        <v>2.0833333333333332E-2</v>
      </c>
      <c r="AJ838" s="54" t="s">
        <v>67</v>
      </c>
      <c r="AK838" s="53"/>
      <c r="AL838" s="54"/>
      <c r="AM838" s="53"/>
      <c r="AN838" s="54"/>
      <c r="AO838" s="53"/>
      <c r="AP838" s="54"/>
      <c r="AQ838" s="53"/>
      <c r="AR838" s="54"/>
      <c r="AS838" s="53">
        <v>4.1666666666666664E-2</v>
      </c>
      <c r="AT838" s="54" t="s">
        <v>147</v>
      </c>
      <c r="AU838" s="53">
        <v>4.1666666666666699E-2</v>
      </c>
      <c r="AV838" s="54" t="s">
        <v>37</v>
      </c>
      <c r="AW838" s="57">
        <f t="shared" si="118"/>
        <v>0.1041666666666667</v>
      </c>
      <c r="AX838" s="58" t="s">
        <v>203</v>
      </c>
    </row>
    <row r="839" spans="1:50" ht="27" customHeight="1">
      <c r="A839" s="66" t="s">
        <v>757</v>
      </c>
      <c r="B839" s="39">
        <f t="shared" si="117"/>
        <v>835</v>
      </c>
      <c r="C839" s="40">
        <v>46042</v>
      </c>
      <c r="D839" s="40" t="s">
        <v>80</v>
      </c>
      <c r="E839" s="40" t="s">
        <v>81</v>
      </c>
      <c r="F839" s="41">
        <v>530</v>
      </c>
      <c r="G839" s="42" t="s">
        <v>41</v>
      </c>
      <c r="H839" s="43" t="str">
        <f>IFERROR(VLOOKUP($J839,'[9]FROM (3)'!$E$4:$F$230,2,FALSE),"")</f>
        <v>KONSEI</v>
      </c>
      <c r="I839" s="44" t="str">
        <f t="shared" ref="I839:I902" si="123">IFERROR(MID(A839,FIND("~",SUBSTITUTE(A839,"|","~",4))+1,FIND("~",SUBSTITUTE(A839,"|","~",5))-FIND("~",SUBSTITUTE(A839,"|","~",4))-1),"")</f>
        <v>Piston Disc Brake Forging</v>
      </c>
      <c r="J839" s="44" t="str">
        <f t="shared" ref="J839:J887" si="124">IFERROR(MID(A839,FIND("~",SUBSTITUTE(A839,"|","~",3))+1,FIND("~",SUBSTITUTE(A839,"|","~",4))-FIND("~",SUBSTITUTE(A839,"|","~",3))-1),"")</f>
        <v>141411-60180</v>
      </c>
      <c r="K839" s="59" t="str">
        <f t="shared" si="121"/>
        <v>PD26010485</v>
      </c>
      <c r="L839" s="46" t="str" cm="1">
        <f t="array" ref="L839">IFERROR(_xlfn.IFS(
    LEN($A839)-LEN(SUBSTITUTE($A839,"|",""))=12, RIGHT(A839, LEN(A839)-FIND("~", SUBSTITUTE(A839,"|","~", LEN(A839)-LEN(SUBSTITUTE(A839,"|",""))))),
    LEN($A839)-LEN(SUBSTITUTE($A839,"|",""))=13, MID($A839, FIND("~", SUBSTITUTE($A839,"|","~", 11))+1, FIND("~", SUBSTITUTE($A839,"|","~", 12))-FIND("~", SUBSTITUTE($A839,"|","~", 11))-1),
    LEN($A839)-LEN(SUBSTITUTE($A839,"|",""))=14, MID($A839, FIND("~", SUBSTITUTE($A839,"|","~", 11))+1, FIND("~", SUBSTITUTE($A839,"|","~", 12))-FIND("~", SUBSTITUTE($A839,"|","~", 11))-1)
), "")</f>
        <v>663961</v>
      </c>
      <c r="M839" s="47" t="str">
        <f t="shared" si="120"/>
        <v>2B2600120</v>
      </c>
      <c r="N839" s="46" t="str">
        <f t="shared" si="122"/>
        <v/>
      </c>
      <c r="O839" s="60"/>
      <c r="P839" s="60"/>
      <c r="Q839" s="48">
        <v>2123</v>
      </c>
      <c r="R839" s="48">
        <v>1125</v>
      </c>
      <c r="S839" s="48"/>
      <c r="T839" s="48"/>
      <c r="U839" s="49"/>
      <c r="V839" s="49"/>
      <c r="W839" s="50">
        <f t="shared" si="119"/>
        <v>0</v>
      </c>
      <c r="X839" s="51">
        <f>IF(A839="", "", IF(COUNTIFS(C$3:C838, C839, D$3:D838, D839, G$3:G838, G839) &gt; 0, "", "11:00"-AW839))</f>
        <v>0.37499999999999994</v>
      </c>
      <c r="Y839" s="52" t="str">
        <f t="shared" ref="Y839:Y859" si="125">IF(X839="", "", IF(AND(A839&lt;&gt;"", AR839&lt;&gt;"NO OT"), "1:40", IF(AND(A839&lt;&gt;"", AR839="NO OT"), "1:0", "")))</f>
        <v>1:40</v>
      </c>
      <c r="Z839" s="53"/>
      <c r="AA839" s="54"/>
      <c r="AB839" s="53"/>
      <c r="AC839" s="54"/>
      <c r="AD839" s="53"/>
      <c r="AE839" s="54"/>
      <c r="AF839" s="53"/>
      <c r="AG839" s="54"/>
      <c r="AH839" s="55">
        <v>4.1666666666666699E-2</v>
      </c>
      <c r="AI839" s="53"/>
      <c r="AJ839" s="54"/>
      <c r="AK839" s="53"/>
      <c r="AL839" s="54"/>
      <c r="AM839" s="53"/>
      <c r="AN839" s="54"/>
      <c r="AO839" s="53"/>
      <c r="AP839" s="54"/>
      <c r="AQ839" s="53"/>
      <c r="AR839" s="54"/>
      <c r="AS839" s="53">
        <v>4.1666666666666664E-2</v>
      </c>
      <c r="AT839" s="54" t="s">
        <v>147</v>
      </c>
      <c r="AU839" s="53">
        <v>4.1666666666666699E-2</v>
      </c>
      <c r="AV839" s="54" t="s">
        <v>37</v>
      </c>
      <c r="AW839" s="57">
        <f t="shared" si="118"/>
        <v>8.333333333333337E-2</v>
      </c>
      <c r="AX839" s="58" t="s">
        <v>203</v>
      </c>
    </row>
    <row r="840" spans="1:50" ht="27" customHeight="1">
      <c r="A840" s="66" t="s">
        <v>758</v>
      </c>
      <c r="B840" s="39">
        <f t="shared" si="117"/>
        <v>836</v>
      </c>
      <c r="C840" s="40">
        <v>46042</v>
      </c>
      <c r="D840" s="40" t="s">
        <v>80</v>
      </c>
      <c r="E840" s="40" t="s">
        <v>81</v>
      </c>
      <c r="F840" s="41">
        <v>262</v>
      </c>
      <c r="G840" s="42" t="s">
        <v>176</v>
      </c>
      <c r="H840" s="43" t="str">
        <f>IFERROR(VLOOKUP($J840,'[9]FROM (3)'!$E$4:$F$230,2,FALSE),"")</f>
        <v/>
      </c>
      <c r="I840" s="44" t="str">
        <f t="shared" si="123"/>
        <v>RACK</v>
      </c>
      <c r="J840" s="44" t="str">
        <f t="shared" si="124"/>
        <v>510-30149-020</v>
      </c>
      <c r="K840" s="59" t="str">
        <f t="shared" si="121"/>
        <v>PD26010788</v>
      </c>
      <c r="L840" s="46" t="str" cm="1">
        <f t="array" ref="L840">IFERROR(_xlfn.IFS(
    LEN($A840)-LEN(SUBSTITUTE($A840,"|",""))=12, RIGHT(A840, LEN(A840)-FIND("~", SUBSTITUTE(A840,"|","~", LEN(A840)-LEN(SUBSTITUTE(A840,"|",""))))),
    LEN($A840)-LEN(SUBSTITUTE($A840,"|",""))=13, MID($A840, FIND("~", SUBSTITUTE($A840,"|","~", 11))+1, FIND("~", SUBSTITUTE($A840,"|","~", 12))-FIND("~", SUBSTITUTE($A840,"|","~", 11))-1),
    LEN($A840)-LEN(SUBSTITUTE($A840,"|",""))=14, MID($A840, FIND("~", SUBSTITUTE($A840,"|","~", 11))+1, FIND("~", SUBSTITUTE($A840,"|","~", 12))-FIND("~", SUBSTITUTE($A840,"|","~", 11))-1)
), "")</f>
        <v>5C1361</v>
      </c>
      <c r="M840" s="47" t="str">
        <f t="shared" si="120"/>
        <v>FB010224/4/26</v>
      </c>
      <c r="N840" s="46" t="str">
        <f t="shared" si="122"/>
        <v>FB010224/4/26</v>
      </c>
      <c r="O840" s="60">
        <v>200</v>
      </c>
      <c r="P840" s="60">
        <v>327</v>
      </c>
      <c r="Q840" s="48"/>
      <c r="R840" s="48"/>
      <c r="S840" s="48"/>
      <c r="T840" s="48"/>
      <c r="U840" s="49"/>
      <c r="V840" s="49"/>
      <c r="W840" s="50">
        <f t="shared" si="119"/>
        <v>0</v>
      </c>
      <c r="X840" s="51">
        <f>IF(A840="", "", IF(COUNTIFS(C$3:C839, C840, D$3:D839, D840, G$3:G839, G840) &gt; 0, "", "11:00"-AW840))</f>
        <v>0.41666666666666663</v>
      </c>
      <c r="Y840" s="52" t="str">
        <f t="shared" si="125"/>
        <v>1:40</v>
      </c>
      <c r="Z840" s="53"/>
      <c r="AA840" s="54"/>
      <c r="AB840" s="53"/>
      <c r="AC840" s="54"/>
      <c r="AD840" s="53"/>
      <c r="AE840" s="54"/>
      <c r="AF840" s="53"/>
      <c r="AG840" s="54"/>
      <c r="AH840" s="55">
        <v>4.1666666666666699E-2</v>
      </c>
      <c r="AI840" s="53"/>
      <c r="AJ840" s="54"/>
      <c r="AK840" s="53"/>
      <c r="AL840" s="54"/>
      <c r="AM840" s="53"/>
      <c r="AN840" s="54"/>
      <c r="AO840" s="53"/>
      <c r="AP840" s="54"/>
      <c r="AQ840" s="53"/>
      <c r="AR840" s="54"/>
      <c r="AS840" s="53"/>
      <c r="AT840" s="54"/>
      <c r="AU840" s="53">
        <v>4.1666666666666699E-2</v>
      </c>
      <c r="AV840" s="54" t="s">
        <v>37</v>
      </c>
      <c r="AW840" s="57">
        <f t="shared" si="118"/>
        <v>4.1666666666666699E-2</v>
      </c>
      <c r="AX840" s="58" t="s">
        <v>113</v>
      </c>
    </row>
    <row r="841" spans="1:50" ht="27" customHeight="1">
      <c r="A841" s="66" t="s">
        <v>759</v>
      </c>
      <c r="B841" s="39">
        <f t="shared" si="117"/>
        <v>837</v>
      </c>
      <c r="C841" s="40">
        <v>46042</v>
      </c>
      <c r="D841" s="40" t="s">
        <v>80</v>
      </c>
      <c r="E841" s="40" t="s">
        <v>81</v>
      </c>
      <c r="F841" s="41">
        <v>262</v>
      </c>
      <c r="G841" s="42" t="s">
        <v>176</v>
      </c>
      <c r="H841" s="43" t="str">
        <f>IFERROR(VLOOKUP($J841,'[9]FROM (3)'!$E$4:$F$230,2,FALSE),"")</f>
        <v/>
      </c>
      <c r="I841" s="44" t="str">
        <f t="shared" si="123"/>
        <v>RACK</v>
      </c>
      <c r="J841" s="44" t="str">
        <f t="shared" si="124"/>
        <v>510-30149-020</v>
      </c>
      <c r="K841" s="59" t="str">
        <f t="shared" si="121"/>
        <v>PD26010788</v>
      </c>
      <c r="L841" s="46" t="str" cm="1">
        <f t="array" ref="L841">IFERROR(_xlfn.IFS(
    LEN($A841)-LEN(SUBSTITUTE($A841,"|",""))=12, RIGHT(A841, LEN(A841)-FIND("~", SUBSTITUTE(A841,"|","~", LEN(A841)-LEN(SUBSTITUTE(A841,"|",""))))),
    LEN($A841)-LEN(SUBSTITUTE($A841,"|",""))=13, MID($A841, FIND("~", SUBSTITUTE($A841,"|","~", 11))+1, FIND("~", SUBSTITUTE($A841,"|","~", 12))-FIND("~", SUBSTITUTE($A841,"|","~", 11))-1),
    LEN($A841)-LEN(SUBSTITUTE($A841,"|",""))=14, MID($A841, FIND("~", SUBSTITUTE($A841,"|","~", 11))+1, FIND("~", SUBSTITUTE($A841,"|","~", 12))-FIND("~", SUBSTITUTE($A841,"|","~", 11))-1)
), "")</f>
        <v>5C1361</v>
      </c>
      <c r="M841" s="47" t="str">
        <f t="shared" si="120"/>
        <v>FB010224/3/26</v>
      </c>
      <c r="N841" s="46" t="str">
        <f t="shared" si="122"/>
        <v>FB010224/3/26</v>
      </c>
      <c r="O841" s="60">
        <v>200</v>
      </c>
      <c r="P841" s="60">
        <v>327</v>
      </c>
      <c r="Q841" s="48"/>
      <c r="R841" s="48"/>
      <c r="S841" s="48"/>
      <c r="T841" s="48"/>
      <c r="U841" s="49"/>
      <c r="V841" s="49"/>
      <c r="W841" s="50">
        <f t="shared" si="119"/>
        <v>0</v>
      </c>
      <c r="X841" s="51" t="str">
        <f>IF(A841="", "", IF(COUNTIFS(C$3:C840, C841, D$3:D840, D841, G$3:G840, G841) &gt; 0, "", "11:00"-AW841))</f>
        <v/>
      </c>
      <c r="Y841" s="52" t="str">
        <f t="shared" si="125"/>
        <v/>
      </c>
      <c r="Z841" s="53"/>
      <c r="AA841" s="54"/>
      <c r="AB841" s="53"/>
      <c r="AC841" s="54"/>
      <c r="AD841" s="53"/>
      <c r="AE841" s="54"/>
      <c r="AF841" s="53"/>
      <c r="AG841" s="54"/>
      <c r="AH841" s="55">
        <v>4.1666666666666699E-2</v>
      </c>
      <c r="AI841" s="53"/>
      <c r="AJ841" s="54"/>
      <c r="AK841" s="53"/>
      <c r="AL841" s="54"/>
      <c r="AM841" s="53"/>
      <c r="AN841" s="54"/>
      <c r="AO841" s="53"/>
      <c r="AP841" s="54"/>
      <c r="AQ841" s="53"/>
      <c r="AR841" s="54"/>
      <c r="AS841" s="53"/>
      <c r="AT841" s="54"/>
      <c r="AU841" s="53">
        <v>4.1666666666666699E-2</v>
      </c>
      <c r="AV841" s="54" t="s">
        <v>37</v>
      </c>
      <c r="AW841" s="57">
        <f t="shared" si="118"/>
        <v>4.1666666666666699E-2</v>
      </c>
      <c r="AX841" s="58" t="s">
        <v>113</v>
      </c>
    </row>
    <row r="842" spans="1:50" ht="27" customHeight="1">
      <c r="A842" s="66" t="s">
        <v>760</v>
      </c>
      <c r="B842" s="39">
        <f t="shared" ref="B842:B905" si="126">IF(A842="","",B841+1)</f>
        <v>838</v>
      </c>
      <c r="C842" s="40">
        <v>46042</v>
      </c>
      <c r="D842" s="40" t="s">
        <v>80</v>
      </c>
      <c r="E842" s="40" t="s">
        <v>81</v>
      </c>
      <c r="F842" s="41">
        <v>262</v>
      </c>
      <c r="G842" s="42" t="s">
        <v>176</v>
      </c>
      <c r="H842" s="43" t="str">
        <f>IFERROR(VLOOKUP($J842,'[9]FROM (3)'!$E$4:$F$230,2,FALSE),"")</f>
        <v/>
      </c>
      <c r="I842" s="44" t="str">
        <f t="shared" si="123"/>
        <v>RACK</v>
      </c>
      <c r="J842" s="44" t="str">
        <f t="shared" si="124"/>
        <v>510-30149-020</v>
      </c>
      <c r="K842" s="59" t="str">
        <f t="shared" si="121"/>
        <v>PD26010788</v>
      </c>
      <c r="L842" s="46" t="str" cm="1">
        <f t="array" ref="L842">IFERROR(_xlfn.IFS(
    LEN($A842)-LEN(SUBSTITUTE($A842,"|",""))=12, RIGHT(A842, LEN(A842)-FIND("~", SUBSTITUTE(A842,"|","~", LEN(A842)-LEN(SUBSTITUTE(A842,"|",""))))),
    LEN($A842)-LEN(SUBSTITUTE($A842,"|",""))=13, MID($A842, FIND("~", SUBSTITUTE($A842,"|","~", 11))+1, FIND("~", SUBSTITUTE($A842,"|","~", 12))-FIND("~", SUBSTITUTE($A842,"|","~", 11))-1),
    LEN($A842)-LEN(SUBSTITUTE($A842,"|",""))=14, MID($A842, FIND("~", SUBSTITUTE($A842,"|","~", 11))+1, FIND("~", SUBSTITUTE($A842,"|","~", 12))-FIND("~", SUBSTITUTE($A842,"|","~", 11))-1)
), "")</f>
        <v>5C1361</v>
      </c>
      <c r="M842" s="47" t="str">
        <f t="shared" si="120"/>
        <v>FB010224/8/26</v>
      </c>
      <c r="N842" s="46" t="str">
        <f t="shared" si="122"/>
        <v>FB010224/8/26</v>
      </c>
      <c r="O842" s="60">
        <v>68</v>
      </c>
      <c r="P842" s="60">
        <v>111</v>
      </c>
      <c r="Q842" s="48"/>
      <c r="R842" s="48"/>
      <c r="S842" s="48"/>
      <c r="T842" s="48"/>
      <c r="U842" s="49"/>
      <c r="V842" s="49"/>
      <c r="W842" s="50">
        <f t="shared" si="119"/>
        <v>0</v>
      </c>
      <c r="X842" s="51" t="str">
        <f>IF(A842="", "", IF(COUNTIFS(C$3:C841, C842, D$3:D841, D842, G$3:G841, G842) &gt; 0, "", "11:00"-AW842))</f>
        <v/>
      </c>
      <c r="Y842" s="52" t="str">
        <f t="shared" si="125"/>
        <v/>
      </c>
      <c r="Z842" s="53"/>
      <c r="AA842" s="54"/>
      <c r="AB842" s="53"/>
      <c r="AC842" s="54"/>
      <c r="AD842" s="53"/>
      <c r="AE842" s="54"/>
      <c r="AF842" s="53"/>
      <c r="AG842" s="54"/>
      <c r="AH842" s="55">
        <v>4.1666666666666699E-2</v>
      </c>
      <c r="AI842" s="53"/>
      <c r="AJ842" s="54"/>
      <c r="AK842" s="53"/>
      <c r="AL842" s="54"/>
      <c r="AM842" s="53"/>
      <c r="AN842" s="54"/>
      <c r="AO842" s="53"/>
      <c r="AP842" s="54"/>
      <c r="AQ842" s="53"/>
      <c r="AR842" s="54"/>
      <c r="AS842" s="53"/>
      <c r="AT842" s="54"/>
      <c r="AU842" s="53">
        <v>4.1666666666666699E-2</v>
      </c>
      <c r="AV842" s="54" t="s">
        <v>37</v>
      </c>
      <c r="AW842" s="57">
        <f t="shared" si="118"/>
        <v>4.1666666666666699E-2</v>
      </c>
      <c r="AX842" s="58" t="s">
        <v>113</v>
      </c>
    </row>
    <row r="843" spans="1:50" ht="27" customHeight="1">
      <c r="A843" s="66" t="s">
        <v>761</v>
      </c>
      <c r="B843" s="39">
        <f t="shared" si="126"/>
        <v>839</v>
      </c>
      <c r="C843" s="40">
        <v>46042</v>
      </c>
      <c r="D843" s="40" t="s">
        <v>80</v>
      </c>
      <c r="E843" s="40" t="s">
        <v>81</v>
      </c>
      <c r="F843" s="41">
        <v>262</v>
      </c>
      <c r="G843" s="42" t="s">
        <v>176</v>
      </c>
      <c r="H843" s="43" t="str">
        <f>IFERROR(VLOOKUP($J843,'[9]FROM (3)'!$E$4:$F$230,2,FALSE),"")</f>
        <v/>
      </c>
      <c r="I843" s="44" t="str">
        <f t="shared" si="123"/>
        <v>RACK</v>
      </c>
      <c r="J843" s="44" t="str">
        <f t="shared" si="124"/>
        <v>510-30149-020</v>
      </c>
      <c r="K843" s="59" t="str">
        <f t="shared" si="121"/>
        <v>PD26010789</v>
      </c>
      <c r="L843" s="46" t="str" cm="1">
        <f t="array" ref="L843">IFERROR(_xlfn.IFS(
    LEN($A843)-LEN(SUBSTITUTE($A843,"|",""))=12, RIGHT(A843, LEN(A843)-FIND("~", SUBSTITUTE(A843,"|","~", LEN(A843)-LEN(SUBSTITUTE(A843,"|",""))))),
    LEN($A843)-LEN(SUBSTITUTE($A843,"|",""))=13, MID($A843, FIND("~", SUBSTITUTE($A843,"|","~", 11))+1, FIND("~", SUBSTITUTE($A843,"|","~", 12))-FIND("~", SUBSTITUTE($A843,"|","~", 11))-1),
    LEN($A843)-LEN(SUBSTITUTE($A843,"|",""))=14, MID($A843, FIND("~", SUBSTITUTE($A843,"|","~", 11))+1, FIND("~", SUBSTITUTE($A843,"|","~", 12))-FIND("~", SUBSTITUTE($A843,"|","~", 11))-1)
), "")</f>
        <v>5C1361</v>
      </c>
      <c r="M843" s="47" t="str">
        <f t="shared" si="120"/>
        <v>FB010232/1/26</v>
      </c>
      <c r="N843" s="46" t="str">
        <f t="shared" si="122"/>
        <v>FB010232/1/26</v>
      </c>
      <c r="O843" s="60">
        <v>132</v>
      </c>
      <c r="P843" s="60">
        <v>216</v>
      </c>
      <c r="Q843" s="48"/>
      <c r="R843" s="48"/>
      <c r="S843" s="48"/>
      <c r="T843" s="48"/>
      <c r="U843" s="49"/>
      <c r="V843" s="49"/>
      <c r="W843" s="50">
        <f t="shared" si="119"/>
        <v>0</v>
      </c>
      <c r="X843" s="51" t="str">
        <f>IF(A843="", "", IF(COUNTIFS(C$3:C842, C843, D$3:D842, D843, G$3:G842, G843) &gt; 0, "", "11:00"-AW843))</f>
        <v/>
      </c>
      <c r="Y843" s="52" t="str">
        <f t="shared" si="125"/>
        <v/>
      </c>
      <c r="Z843" s="53"/>
      <c r="AA843" s="54"/>
      <c r="AB843" s="53"/>
      <c r="AC843" s="54"/>
      <c r="AD843" s="53"/>
      <c r="AE843" s="54"/>
      <c r="AF843" s="53"/>
      <c r="AG843" s="54"/>
      <c r="AH843" s="55">
        <v>4.1666666666666699E-2</v>
      </c>
      <c r="AI843" s="53"/>
      <c r="AJ843" s="54"/>
      <c r="AK843" s="53"/>
      <c r="AL843" s="54"/>
      <c r="AM843" s="53"/>
      <c r="AN843" s="54"/>
      <c r="AO843" s="53"/>
      <c r="AP843" s="54"/>
      <c r="AQ843" s="53"/>
      <c r="AR843" s="54"/>
      <c r="AS843" s="53"/>
      <c r="AT843" s="54"/>
      <c r="AU843" s="53">
        <v>4.1666666666666699E-2</v>
      </c>
      <c r="AV843" s="54" t="s">
        <v>37</v>
      </c>
      <c r="AW843" s="57">
        <f t="shared" si="118"/>
        <v>4.1666666666666699E-2</v>
      </c>
      <c r="AX843" s="58" t="s">
        <v>113</v>
      </c>
    </row>
    <row r="844" spans="1:50" ht="27" customHeight="1">
      <c r="A844" s="66" t="s">
        <v>762</v>
      </c>
      <c r="B844" s="39">
        <f t="shared" si="126"/>
        <v>840</v>
      </c>
      <c r="C844" s="40">
        <v>46042</v>
      </c>
      <c r="D844" s="40" t="s">
        <v>80</v>
      </c>
      <c r="E844" s="40" t="s">
        <v>81</v>
      </c>
      <c r="F844" s="41">
        <v>597.4</v>
      </c>
      <c r="G844" s="42" t="s">
        <v>54</v>
      </c>
      <c r="H844" s="43" t="str">
        <f>IFERROR(VLOOKUP($J844,'[9]FROM (3)'!$E$4:$F$230,2,FALSE),"")</f>
        <v>JTCS</v>
      </c>
      <c r="I844" s="44" t="str">
        <f t="shared" si="123"/>
        <v>Rack, MS</v>
      </c>
      <c r="J844" s="44" t="str">
        <f t="shared" si="124"/>
        <v>JGC10-003770-40-0</v>
      </c>
      <c r="K844" s="59" t="str">
        <f t="shared" si="121"/>
        <v>PD26010774</v>
      </c>
      <c r="L844" s="46" t="str" cm="1">
        <f t="array" ref="L844">IFERROR(_xlfn.IFS(
    LEN($A844)-LEN(SUBSTITUTE($A844,"|",""))=12, RIGHT(A844, LEN(A844)-FIND("~", SUBSTITUTE(A844,"|","~", LEN(A844)-LEN(SUBSTITUTE(A844,"|",""))))),
    LEN($A844)-LEN(SUBSTITUTE($A844,"|",""))=13, MID($A844, FIND("~", SUBSTITUTE($A844,"|","~", 11))+1, FIND("~", SUBSTITUTE($A844,"|","~", 12))-FIND("~", SUBSTITUTE($A844,"|","~", 11))-1),
    LEN($A844)-LEN(SUBSTITUTE($A844,"|",""))=14, MID($A844, FIND("~", SUBSTITUTE($A844,"|","~", 11))+1, FIND("~", SUBSTITUTE($A844,"|","~", 12))-FIND("~", SUBSTITUTE($A844,"|","~", 11))-1)
), "")</f>
        <v>E585970</v>
      </c>
      <c r="M844" s="47" t="str">
        <f t="shared" si="120"/>
        <v>SB010088/3/26</v>
      </c>
      <c r="N844" s="46" t="str">
        <f t="shared" si="122"/>
        <v/>
      </c>
      <c r="O844" s="60">
        <v>80</v>
      </c>
      <c r="P844" s="60">
        <v>904</v>
      </c>
      <c r="Q844" s="48">
        <v>400</v>
      </c>
      <c r="R844" s="48">
        <v>848</v>
      </c>
      <c r="S844" s="48"/>
      <c r="T844" s="48"/>
      <c r="U844" s="49"/>
      <c r="V844" s="49"/>
      <c r="W844" s="50">
        <f t="shared" si="119"/>
        <v>0</v>
      </c>
      <c r="X844" s="51">
        <f>IF(A844="", "", IF(COUNTIFS(C$3:C843, C844, D$3:D843, D844, G$3:G843, G844) &gt; 0, "", "11:00"-AW844))</f>
        <v>0.33333333333333326</v>
      </c>
      <c r="Y844" s="52" t="str">
        <f t="shared" si="125"/>
        <v>1:40</v>
      </c>
      <c r="Z844" s="53">
        <v>4.1666666666666664E-2</v>
      </c>
      <c r="AA844" s="54" t="s">
        <v>67</v>
      </c>
      <c r="AB844" s="53"/>
      <c r="AC844" s="54"/>
      <c r="AD844" s="53"/>
      <c r="AE844" s="54"/>
      <c r="AF844" s="53"/>
      <c r="AG844" s="54"/>
      <c r="AH844" s="55">
        <v>4.1666666666666699E-2</v>
      </c>
      <c r="AI844" s="53"/>
      <c r="AJ844" s="54"/>
      <c r="AK844" s="53"/>
      <c r="AL844" s="54"/>
      <c r="AM844" s="53"/>
      <c r="AN844" s="54"/>
      <c r="AO844" s="53"/>
      <c r="AP844" s="54"/>
      <c r="AQ844" s="53"/>
      <c r="AR844" s="54"/>
      <c r="AS844" s="53">
        <v>4.1666666666666664E-2</v>
      </c>
      <c r="AT844" s="54" t="s">
        <v>147</v>
      </c>
      <c r="AU844" s="53">
        <v>4.1666666666666699E-2</v>
      </c>
      <c r="AV844" s="54" t="s">
        <v>37</v>
      </c>
      <c r="AW844" s="57">
        <f t="shared" si="118"/>
        <v>0.12500000000000003</v>
      </c>
      <c r="AX844" s="58" t="s">
        <v>91</v>
      </c>
    </row>
    <row r="845" spans="1:50" ht="27" customHeight="1">
      <c r="A845" s="66" t="s">
        <v>763</v>
      </c>
      <c r="B845" s="39">
        <f t="shared" si="126"/>
        <v>841</v>
      </c>
      <c r="C845" s="40">
        <v>46042</v>
      </c>
      <c r="D845" s="40" t="s">
        <v>80</v>
      </c>
      <c r="E845" s="40" t="s">
        <v>81</v>
      </c>
      <c r="F845" s="41">
        <v>597.4</v>
      </c>
      <c r="G845" s="42" t="s">
        <v>54</v>
      </c>
      <c r="H845" s="43" t="str">
        <f>IFERROR(VLOOKUP($J845,'[9]FROM (3)'!$E$4:$F$230,2,FALSE),"")</f>
        <v>JTCS</v>
      </c>
      <c r="I845" s="44" t="str">
        <f t="shared" si="123"/>
        <v>Rack, MS</v>
      </c>
      <c r="J845" s="44" t="str">
        <f t="shared" si="124"/>
        <v>JGC10-003770-40-0</v>
      </c>
      <c r="K845" s="59" t="str">
        <f t="shared" si="121"/>
        <v>PD26010774</v>
      </c>
      <c r="L845" s="46" t="str" cm="1">
        <f t="array" ref="L845">IFERROR(_xlfn.IFS(
    LEN($A845)-LEN(SUBSTITUTE($A845,"|",""))=12, RIGHT(A845, LEN(A845)-FIND("~", SUBSTITUTE(A845,"|","~", LEN(A845)-LEN(SUBSTITUTE(A845,"|",""))))),
    LEN($A845)-LEN(SUBSTITUTE($A845,"|",""))=13, MID($A845, FIND("~", SUBSTITUTE($A845,"|","~", 11))+1, FIND("~", SUBSTITUTE($A845,"|","~", 12))-FIND("~", SUBSTITUTE($A845,"|","~", 11))-1),
    LEN($A845)-LEN(SUBSTITUTE($A845,"|",""))=14, MID($A845, FIND("~", SUBSTITUTE($A845,"|","~", 11))+1, FIND("~", SUBSTITUTE($A845,"|","~", 12))-FIND("~", SUBSTITUTE($A845,"|","~", 11))-1)
), "")</f>
        <v>E585970</v>
      </c>
      <c r="M845" s="47" t="str">
        <f t="shared" si="120"/>
        <v>SB010088/2/26</v>
      </c>
      <c r="N845" s="46" t="str">
        <f t="shared" si="122"/>
        <v/>
      </c>
      <c r="O845" s="60">
        <v>80</v>
      </c>
      <c r="P845" s="60">
        <v>904</v>
      </c>
      <c r="Q845" s="48">
        <v>400</v>
      </c>
      <c r="R845" s="48">
        <v>848</v>
      </c>
      <c r="S845" s="48"/>
      <c r="T845" s="48"/>
      <c r="U845" s="49"/>
      <c r="V845" s="49"/>
      <c r="W845" s="50">
        <f t="shared" si="119"/>
        <v>0</v>
      </c>
      <c r="X845" s="51" t="str">
        <f>IF(A845="", "", IF(COUNTIFS(C$3:C844, C845, D$3:D844, D845, G$3:G844, G845) &gt; 0, "", "11:00"-AW845))</f>
        <v/>
      </c>
      <c r="Y845" s="52" t="str">
        <f t="shared" si="125"/>
        <v/>
      </c>
      <c r="Z845" s="53"/>
      <c r="AA845" s="54"/>
      <c r="AB845" s="53"/>
      <c r="AC845" s="54"/>
      <c r="AD845" s="53"/>
      <c r="AE845" s="54"/>
      <c r="AF845" s="53"/>
      <c r="AG845" s="54"/>
      <c r="AH845" s="55">
        <v>4.1666666666666699E-2</v>
      </c>
      <c r="AI845" s="53"/>
      <c r="AJ845" s="54"/>
      <c r="AK845" s="53"/>
      <c r="AL845" s="54"/>
      <c r="AM845" s="53"/>
      <c r="AN845" s="54"/>
      <c r="AO845" s="53"/>
      <c r="AP845" s="54"/>
      <c r="AQ845" s="53"/>
      <c r="AR845" s="54"/>
      <c r="AS845" s="53"/>
      <c r="AT845" s="54"/>
      <c r="AU845" s="53">
        <v>4.1666666666666699E-2</v>
      </c>
      <c r="AV845" s="54" t="s">
        <v>37</v>
      </c>
      <c r="AW845" s="57">
        <f t="shared" si="118"/>
        <v>4.1666666666666699E-2</v>
      </c>
      <c r="AX845" s="58" t="s">
        <v>91</v>
      </c>
    </row>
    <row r="846" spans="1:50" ht="27" customHeight="1">
      <c r="A846" s="66" t="s">
        <v>764</v>
      </c>
      <c r="B846" s="39">
        <f t="shared" si="126"/>
        <v>842</v>
      </c>
      <c r="C846" s="40">
        <v>46042</v>
      </c>
      <c r="D846" s="40" t="s">
        <v>80</v>
      </c>
      <c r="E846" s="40" t="s">
        <v>81</v>
      </c>
      <c r="F846" s="41">
        <v>597.4</v>
      </c>
      <c r="G846" s="42" t="s">
        <v>54</v>
      </c>
      <c r="H846" s="43" t="str">
        <f>IFERROR(VLOOKUP($J846,'[9]FROM (3)'!$E$4:$F$230,2,FALSE),"")</f>
        <v>JTCS</v>
      </c>
      <c r="I846" s="44" t="str">
        <f t="shared" si="123"/>
        <v>Rack, MS</v>
      </c>
      <c r="J846" s="44" t="str">
        <f t="shared" si="124"/>
        <v>JGC10-003770-40-0</v>
      </c>
      <c r="K846" s="59" t="str">
        <f t="shared" si="121"/>
        <v>PD26010774</v>
      </c>
      <c r="L846" s="46" t="str" cm="1">
        <f t="array" ref="L846">IFERROR(_xlfn.IFS(
    LEN($A846)-LEN(SUBSTITUTE($A846,"|",""))=12, RIGHT(A846, LEN(A846)-FIND("~", SUBSTITUTE(A846,"|","~", LEN(A846)-LEN(SUBSTITUTE(A846,"|",""))))),
    LEN($A846)-LEN(SUBSTITUTE($A846,"|",""))=13, MID($A846, FIND("~", SUBSTITUTE($A846,"|","~", 11))+1, FIND("~", SUBSTITUTE($A846,"|","~", 12))-FIND("~", SUBSTITUTE($A846,"|","~", 11))-1),
    LEN($A846)-LEN(SUBSTITUTE($A846,"|",""))=14, MID($A846, FIND("~", SUBSTITUTE($A846,"|","~", 11))+1, FIND("~", SUBSTITUTE($A846,"|","~", 12))-FIND("~", SUBSTITUTE($A846,"|","~", 11))-1)
), "")</f>
        <v>E585970</v>
      </c>
      <c r="M846" s="47" t="str">
        <f t="shared" si="120"/>
        <v>SB010088/1/26</v>
      </c>
      <c r="N846" s="46" t="str">
        <f t="shared" si="122"/>
        <v/>
      </c>
      <c r="O846" s="60">
        <v>80</v>
      </c>
      <c r="P846" s="60">
        <v>904</v>
      </c>
      <c r="Q846" s="48">
        <v>116</v>
      </c>
      <c r="R846" s="48">
        <v>246</v>
      </c>
      <c r="S846" s="48"/>
      <c r="T846" s="48"/>
      <c r="U846" s="49"/>
      <c r="V846" s="49"/>
      <c r="W846" s="50">
        <f t="shared" si="119"/>
        <v>0</v>
      </c>
      <c r="X846" s="51" t="str">
        <f>IF(A846="", "", IF(COUNTIFS(C$3:C845, C846, D$3:D845, D846, G$3:G845, G846) &gt; 0, "", "11:00"-AW846))</f>
        <v/>
      </c>
      <c r="Y846" s="52" t="str">
        <f t="shared" si="125"/>
        <v/>
      </c>
      <c r="Z846" s="53"/>
      <c r="AA846" s="54"/>
      <c r="AB846" s="53"/>
      <c r="AC846" s="54"/>
      <c r="AD846" s="53"/>
      <c r="AE846" s="54"/>
      <c r="AF846" s="53"/>
      <c r="AG846" s="54"/>
      <c r="AH846" s="55">
        <v>4.1666666666666699E-2</v>
      </c>
      <c r="AI846" s="53"/>
      <c r="AJ846" s="54"/>
      <c r="AK846" s="53"/>
      <c r="AL846" s="54"/>
      <c r="AM846" s="53"/>
      <c r="AN846" s="54"/>
      <c r="AO846" s="53"/>
      <c r="AP846" s="54"/>
      <c r="AQ846" s="53"/>
      <c r="AR846" s="54"/>
      <c r="AS846" s="53"/>
      <c r="AT846" s="54"/>
      <c r="AU846" s="53">
        <v>4.1666666666666699E-2</v>
      </c>
      <c r="AV846" s="54" t="s">
        <v>37</v>
      </c>
      <c r="AW846" s="57">
        <f t="shared" si="118"/>
        <v>4.1666666666666699E-2</v>
      </c>
      <c r="AX846" s="58" t="s">
        <v>91</v>
      </c>
    </row>
    <row r="847" spans="1:50" ht="27" customHeight="1">
      <c r="A847" s="66" t="s">
        <v>749</v>
      </c>
      <c r="B847" s="39">
        <f t="shared" si="126"/>
        <v>843</v>
      </c>
      <c r="C847" s="40">
        <v>46042</v>
      </c>
      <c r="D847" s="40" t="s">
        <v>80</v>
      </c>
      <c r="E847" s="40" t="s">
        <v>81</v>
      </c>
      <c r="F847" s="41">
        <v>316.39999999999998</v>
      </c>
      <c r="G847" s="42" t="s">
        <v>34</v>
      </c>
      <c r="H847" s="43" t="str">
        <f>IFERROR(VLOOKUP($J847,'[9]FROM (3)'!$E$4:$F$230,2,FALSE),"")</f>
        <v>YS TECH</v>
      </c>
      <c r="I847" s="44" t="str">
        <f t="shared" si="123"/>
        <v>RACE-INR 1ST GEAR</v>
      </c>
      <c r="J847" s="44" t="str">
        <f t="shared" si="124"/>
        <v>32262-CD70A</v>
      </c>
      <c r="K847" s="59" t="str">
        <f t="shared" si="121"/>
        <v>PD26010818</v>
      </c>
      <c r="L847" s="46" t="str" cm="1">
        <f t="array" ref="L847">IFERROR(_xlfn.IFS(
    LEN($A847)-LEN(SUBSTITUTE($A847,"|",""))=12, RIGHT(A847, LEN(A847)-FIND("~", SUBSTITUTE(A847,"|","~", LEN(A847)-LEN(SUBSTITUTE(A847,"|",""))))),
    LEN($A847)-LEN(SUBSTITUTE($A847,"|",""))=13, MID($A847, FIND("~", SUBSTITUTE($A847,"|","~", 11))+1, FIND("~", SUBSTITUTE($A847,"|","~", 12))-FIND("~", SUBSTITUTE($A847,"|","~", 11))-1),
    LEN($A847)-LEN(SUBSTITUTE($A847,"|",""))=14, MID($A847, FIND("~", SUBSTITUTE($A847,"|","~", 11))+1, FIND("~", SUBSTITUTE($A847,"|","~", 12))-FIND("~", SUBSTITUTE($A847,"|","~", 11))-1)
), "")</f>
        <v>E276629</v>
      </c>
      <c r="M847" s="47" t="str">
        <f t="shared" si="120"/>
        <v>SB010100/2/26</v>
      </c>
      <c r="N847" s="46" t="str">
        <f t="shared" si="122"/>
        <v/>
      </c>
      <c r="O847" s="60"/>
      <c r="P847" s="60"/>
      <c r="Q847" s="48">
        <v>1927</v>
      </c>
      <c r="R847" s="48">
        <v>610</v>
      </c>
      <c r="S847" s="48"/>
      <c r="T847" s="48"/>
      <c r="U847" s="49">
        <v>58</v>
      </c>
      <c r="V847" s="49">
        <v>201</v>
      </c>
      <c r="W847" s="50">
        <f t="shared" si="119"/>
        <v>259</v>
      </c>
      <c r="X847" s="51">
        <f>IF(A847="", "", IF(COUNTIFS(C$3:C846, C847, D$3:D846, D847, G$3:G846, G847) &gt; 0, "", "11:00"-AW847))</f>
        <v>0.35416666666666663</v>
      </c>
      <c r="Y847" s="52" t="str">
        <f t="shared" si="125"/>
        <v>1:40</v>
      </c>
      <c r="Z847" s="53"/>
      <c r="AA847" s="54"/>
      <c r="AB847" s="53"/>
      <c r="AC847" s="54"/>
      <c r="AD847" s="53"/>
      <c r="AE847" s="54"/>
      <c r="AF847" s="53"/>
      <c r="AG847" s="54"/>
      <c r="AH847" s="55">
        <v>4.1666666666666699E-2</v>
      </c>
      <c r="AI847" s="53"/>
      <c r="AJ847" s="54"/>
      <c r="AK847" s="53"/>
      <c r="AL847" s="54"/>
      <c r="AM847" s="53"/>
      <c r="AN847" s="54"/>
      <c r="AO847" s="53"/>
      <c r="AP847" s="54"/>
      <c r="AQ847" s="53">
        <v>2.0833333333333332E-2</v>
      </c>
      <c r="AR847" s="54" t="s">
        <v>67</v>
      </c>
      <c r="AS847" s="53">
        <v>4.1666666666666664E-2</v>
      </c>
      <c r="AT847" s="54" t="s">
        <v>147</v>
      </c>
      <c r="AU847" s="53">
        <v>4.1666666666666699E-2</v>
      </c>
      <c r="AV847" s="54" t="s">
        <v>37</v>
      </c>
      <c r="AW847" s="57">
        <f t="shared" si="118"/>
        <v>0.1041666666666667</v>
      </c>
      <c r="AX847" s="58" t="s">
        <v>203</v>
      </c>
    </row>
    <row r="848" spans="1:50" ht="27" customHeight="1">
      <c r="A848" s="66" t="s">
        <v>747</v>
      </c>
      <c r="B848" s="39">
        <f t="shared" si="126"/>
        <v>844</v>
      </c>
      <c r="C848" s="40">
        <v>46042</v>
      </c>
      <c r="D848" s="40" t="s">
        <v>80</v>
      </c>
      <c r="E848" s="40" t="s">
        <v>81</v>
      </c>
      <c r="F848" s="41">
        <v>695.3</v>
      </c>
      <c r="G848" s="42" t="s">
        <v>66</v>
      </c>
      <c r="H848" s="43" t="str">
        <f>IFERROR(VLOOKUP($J848,'[9]FROM (3)'!$E$4:$F$230,2,FALSE),"")</f>
        <v>JTCS</v>
      </c>
      <c r="I848" s="44" t="str">
        <f t="shared" si="123"/>
        <v>Rack, PS</v>
      </c>
      <c r="J848" s="44" t="str">
        <f t="shared" si="124"/>
        <v>JGD10-001150-40-1</v>
      </c>
      <c r="K848" s="59" t="str">
        <f t="shared" si="121"/>
        <v>PD26010779</v>
      </c>
      <c r="L848" s="46" t="str" cm="1">
        <f t="array" ref="L848">IFERROR(_xlfn.IFS(
    LEN($A848)-LEN(SUBSTITUTE($A848,"|",""))=12, RIGHT(A848, LEN(A848)-FIND("~", SUBSTITUTE(A848,"|","~", LEN(A848)-LEN(SUBSTITUTE(A848,"|",""))))),
    LEN($A848)-LEN(SUBSTITUTE($A848,"|",""))=13, MID($A848, FIND("~", SUBSTITUTE($A848,"|","~", 11))+1, FIND("~", SUBSTITUTE($A848,"|","~", 12))-FIND("~", SUBSTITUTE($A848,"|","~", 11))-1),
    LEN($A848)-LEN(SUBSTITUTE($A848,"|",""))=14, MID($A848, FIND("~", SUBSTITUTE($A848,"|","~", 11))+1, FIND("~", SUBSTITUTE($A848,"|","~", 12))-FIND("~", SUBSTITUTE($A848,"|","~", 11))-1)
), "")</f>
        <v>E585970</v>
      </c>
      <c r="M848" s="47" t="str">
        <f t="shared" si="120"/>
        <v>SB010099/4/26</v>
      </c>
      <c r="N848" s="46" t="str">
        <f t="shared" si="122"/>
        <v/>
      </c>
      <c r="O848" s="60" t="s">
        <v>35</v>
      </c>
      <c r="P848" s="60" t="s">
        <v>35</v>
      </c>
      <c r="Q848" s="48">
        <v>151</v>
      </c>
      <c r="R848" s="48">
        <v>506</v>
      </c>
      <c r="S848" s="48"/>
      <c r="T848" s="48"/>
      <c r="U848" s="49">
        <v>111</v>
      </c>
      <c r="V848" s="49">
        <v>6</v>
      </c>
      <c r="W848" s="50">
        <f t="shared" si="119"/>
        <v>117</v>
      </c>
      <c r="X848" s="51">
        <f>IF(A848="", "", IF(COUNTIFS(C$3:C847, C848, D$3:D847, D848, G$3:G847, G848) &gt; 0, "", "11:00"-AW848))</f>
        <v>0.33333333333333326</v>
      </c>
      <c r="Y848" s="52" t="str">
        <f t="shared" si="125"/>
        <v>1:40</v>
      </c>
      <c r="Z848" s="53"/>
      <c r="AA848" s="54"/>
      <c r="AB848" s="53">
        <v>4.1666666666666664E-2</v>
      </c>
      <c r="AC848" s="54" t="s">
        <v>67</v>
      </c>
      <c r="AD848" s="53"/>
      <c r="AE848" s="54"/>
      <c r="AF848" s="53"/>
      <c r="AG848" s="54"/>
      <c r="AH848" s="55">
        <v>4.1666666666666699E-2</v>
      </c>
      <c r="AI848" s="53"/>
      <c r="AJ848" s="54"/>
      <c r="AK848" s="53"/>
      <c r="AL848" s="54"/>
      <c r="AM848" s="53"/>
      <c r="AN848" s="54"/>
      <c r="AO848" s="53"/>
      <c r="AP848" s="54"/>
      <c r="AQ848" s="53"/>
      <c r="AR848" s="54"/>
      <c r="AS848" s="53">
        <v>4.1666666666666664E-2</v>
      </c>
      <c r="AT848" s="54" t="s">
        <v>147</v>
      </c>
      <c r="AU848" s="53">
        <v>4.1666666666666699E-2</v>
      </c>
      <c r="AV848" s="54" t="s">
        <v>37</v>
      </c>
      <c r="AW848" s="57">
        <f t="shared" si="118"/>
        <v>0.12500000000000003</v>
      </c>
      <c r="AX848" s="58" t="s">
        <v>96</v>
      </c>
    </row>
    <row r="849" spans="1:50" ht="27" customHeight="1">
      <c r="A849" s="66" t="s">
        <v>765</v>
      </c>
      <c r="B849" s="39">
        <f t="shared" si="126"/>
        <v>845</v>
      </c>
      <c r="C849" s="40">
        <v>46042</v>
      </c>
      <c r="D849" s="40" t="s">
        <v>80</v>
      </c>
      <c r="E849" s="40" t="s">
        <v>81</v>
      </c>
      <c r="F849" s="41">
        <v>630.4</v>
      </c>
      <c r="G849" s="42" t="s">
        <v>66</v>
      </c>
      <c r="H849" s="43" t="str">
        <f>IFERROR(VLOOKUP($J849,'[9]FROM (3)'!$E$4:$F$230,2,FALSE),"")</f>
        <v>JTCS</v>
      </c>
      <c r="I849" s="44" t="str">
        <f t="shared" si="123"/>
        <v>RACK, MS</v>
      </c>
      <c r="J849" s="44" t="str">
        <f t="shared" si="124"/>
        <v>JGC10-003140-40-0</v>
      </c>
      <c r="K849" s="59" t="str">
        <f t="shared" si="121"/>
        <v>PD26010786</v>
      </c>
      <c r="L849" s="46" t="str" cm="1">
        <f t="array" ref="L849">IFERROR(_xlfn.IFS(
    LEN($A849)-LEN(SUBSTITUTE($A849,"|",""))=12, RIGHT(A849, LEN(A849)-FIND("~", SUBSTITUTE(A849,"|","~", LEN(A849)-LEN(SUBSTITUTE(A849,"|",""))))),
    LEN($A849)-LEN(SUBSTITUTE($A849,"|",""))=13, MID($A849, FIND("~", SUBSTITUTE($A849,"|","~", 11))+1, FIND("~", SUBSTITUTE($A849,"|","~", 12))-FIND("~", SUBSTITUTE($A849,"|","~", 11))-1),
    LEN($A849)-LEN(SUBSTITUTE($A849,"|",""))=14, MID($A849, FIND("~", SUBSTITUTE($A849,"|","~", 11))+1, FIND("~", SUBSTITUTE($A849,"|","~", 12))-FIND("~", SUBSTITUTE($A849,"|","~", 11))-1)
), "")</f>
        <v>E586613</v>
      </c>
      <c r="M849" s="47" t="str">
        <f t="shared" si="120"/>
        <v>SB010097/3/26</v>
      </c>
      <c r="N849" s="46" t="str">
        <f t="shared" si="122"/>
        <v/>
      </c>
      <c r="O849" s="60">
        <v>60</v>
      </c>
      <c r="P849" s="60">
        <v>874</v>
      </c>
      <c r="Q849" s="48">
        <v>300</v>
      </c>
      <c r="R849" s="48">
        <v>788</v>
      </c>
      <c r="S849" s="48">
        <v>1</v>
      </c>
      <c r="T849" s="48" t="s">
        <v>143</v>
      </c>
      <c r="U849" s="49">
        <v>150</v>
      </c>
      <c r="V849" s="49">
        <v>6</v>
      </c>
      <c r="W849" s="50">
        <f t="shared" si="119"/>
        <v>156</v>
      </c>
      <c r="X849" s="51" t="str">
        <f>IF(A849="", "", IF(COUNTIFS(C$3:C848, C849, D$3:D848, D849, G$3:G848, G849) &gt; 0, "", "11:00"-AW849))</f>
        <v/>
      </c>
      <c r="Y849" s="52" t="str">
        <f t="shared" si="125"/>
        <v/>
      </c>
      <c r="Z849" s="53"/>
      <c r="AA849" s="54"/>
      <c r="AB849" s="53"/>
      <c r="AC849" s="54" t="s">
        <v>67</v>
      </c>
      <c r="AD849" s="53"/>
      <c r="AE849" s="54"/>
      <c r="AF849" s="53"/>
      <c r="AG849" s="54"/>
      <c r="AH849" s="55">
        <v>4.1666666666666699E-2</v>
      </c>
      <c r="AI849" s="53"/>
      <c r="AJ849" s="54"/>
      <c r="AK849" s="53"/>
      <c r="AL849" s="54"/>
      <c r="AM849" s="53"/>
      <c r="AN849" s="54"/>
      <c r="AO849" s="53"/>
      <c r="AP849" s="54"/>
      <c r="AQ849" s="53"/>
      <c r="AR849" s="54"/>
      <c r="AS849" s="53"/>
      <c r="AT849" s="54"/>
      <c r="AU849" s="53">
        <v>4.1666666666666699E-2</v>
      </c>
      <c r="AV849" s="54" t="s">
        <v>37</v>
      </c>
      <c r="AW849" s="57">
        <f t="shared" si="118"/>
        <v>4.1666666666666699E-2</v>
      </c>
      <c r="AX849" s="58" t="s">
        <v>96</v>
      </c>
    </row>
    <row r="850" spans="1:50" ht="27" customHeight="1">
      <c r="A850" s="66" t="s">
        <v>766</v>
      </c>
      <c r="B850" s="39">
        <f t="shared" si="126"/>
        <v>846</v>
      </c>
      <c r="C850" s="40">
        <v>46042</v>
      </c>
      <c r="D850" s="40" t="s">
        <v>80</v>
      </c>
      <c r="E850" s="40" t="s">
        <v>81</v>
      </c>
      <c r="F850" s="41">
        <v>630.4</v>
      </c>
      <c r="G850" s="42" t="s">
        <v>66</v>
      </c>
      <c r="H850" s="43" t="str">
        <f>IFERROR(VLOOKUP($J850,'[9]FROM (3)'!$E$4:$F$230,2,FALSE),"")</f>
        <v>JTCS</v>
      </c>
      <c r="I850" s="44" t="str">
        <f t="shared" si="123"/>
        <v>RACK, MS</v>
      </c>
      <c r="J850" s="44" t="str">
        <f t="shared" si="124"/>
        <v>JGC10-003140-40-0</v>
      </c>
      <c r="K850" s="59" t="str">
        <f t="shared" si="121"/>
        <v>PD26010786</v>
      </c>
      <c r="L850" s="46" t="str" cm="1">
        <f t="array" ref="L850">IFERROR(_xlfn.IFS(
    LEN($A850)-LEN(SUBSTITUTE($A850,"|",""))=12, RIGHT(A850, LEN(A850)-FIND("~", SUBSTITUTE(A850,"|","~", LEN(A850)-LEN(SUBSTITUTE(A850,"|",""))))),
    LEN($A850)-LEN(SUBSTITUTE($A850,"|",""))=13, MID($A850, FIND("~", SUBSTITUTE($A850,"|","~", 11))+1, FIND("~", SUBSTITUTE($A850,"|","~", 12))-FIND("~", SUBSTITUTE($A850,"|","~", 11))-1),
    LEN($A850)-LEN(SUBSTITUTE($A850,"|",""))=14, MID($A850, FIND("~", SUBSTITUTE($A850,"|","~", 11))+1, FIND("~", SUBSTITUTE($A850,"|","~", 12))-FIND("~", SUBSTITUTE($A850,"|","~", 11))-1)
), "")</f>
        <v>E586613</v>
      </c>
      <c r="M850" s="47" t="str">
        <f t="shared" si="120"/>
        <v>SB010097/4/26</v>
      </c>
      <c r="N850" s="46" t="str">
        <f t="shared" si="122"/>
        <v/>
      </c>
      <c r="O850" s="60">
        <v>59</v>
      </c>
      <c r="P850" s="60">
        <v>860</v>
      </c>
      <c r="Q850" s="48">
        <v>295</v>
      </c>
      <c r="R850" s="48">
        <v>774</v>
      </c>
      <c r="S850" s="48"/>
      <c r="T850" s="48"/>
      <c r="U850" s="49"/>
      <c r="V850" s="49"/>
      <c r="W850" s="50">
        <f t="shared" si="119"/>
        <v>0</v>
      </c>
      <c r="X850" s="51" t="str">
        <f>IF(A850="", "", IF(COUNTIFS(C$3:C849, C850, D$3:D849, D850, G$3:G849, G850) &gt; 0, "", "11:00"-AW850))</f>
        <v/>
      </c>
      <c r="Y850" s="52" t="str">
        <f t="shared" si="125"/>
        <v/>
      </c>
      <c r="Z850" s="53"/>
      <c r="AA850" s="54"/>
      <c r="AB850" s="53"/>
      <c r="AC850" s="54"/>
      <c r="AD850" s="53"/>
      <c r="AE850" s="54"/>
      <c r="AF850" s="53"/>
      <c r="AG850" s="54"/>
      <c r="AH850" s="55">
        <v>4.1666666666666699E-2</v>
      </c>
      <c r="AI850" s="53"/>
      <c r="AJ850" s="54"/>
      <c r="AK850" s="53"/>
      <c r="AL850" s="54"/>
      <c r="AM850" s="53"/>
      <c r="AN850" s="54"/>
      <c r="AO850" s="53"/>
      <c r="AP850" s="54"/>
      <c r="AQ850" s="53"/>
      <c r="AR850" s="54"/>
      <c r="AS850" s="53"/>
      <c r="AT850" s="54"/>
      <c r="AU850" s="53">
        <v>4.1666666666666699E-2</v>
      </c>
      <c r="AV850" s="54" t="s">
        <v>37</v>
      </c>
      <c r="AW850" s="57">
        <f t="shared" si="118"/>
        <v>4.1666666666666699E-2</v>
      </c>
      <c r="AX850" s="58" t="s">
        <v>96</v>
      </c>
    </row>
    <row r="851" spans="1:50" ht="27" customHeight="1">
      <c r="A851" s="66" t="s">
        <v>767</v>
      </c>
      <c r="B851" s="39">
        <f t="shared" si="126"/>
        <v>847</v>
      </c>
      <c r="C851" s="40">
        <v>46042</v>
      </c>
      <c r="D851" s="40" t="s">
        <v>80</v>
      </c>
      <c r="E851" s="40" t="s">
        <v>81</v>
      </c>
      <c r="F851" s="41">
        <v>630.4</v>
      </c>
      <c r="G851" s="42" t="s">
        <v>66</v>
      </c>
      <c r="H851" s="43" t="str">
        <f>IFERROR(VLOOKUP($J851,'[9]FROM (3)'!$E$4:$F$230,2,FALSE),"")</f>
        <v>JTCS</v>
      </c>
      <c r="I851" s="44" t="str">
        <f t="shared" si="123"/>
        <v>RACK, MS</v>
      </c>
      <c r="J851" s="44" t="str">
        <f t="shared" si="124"/>
        <v>JGC10-003140-40-0</v>
      </c>
      <c r="K851" s="59" t="str">
        <f t="shared" si="121"/>
        <v>PD26010786</v>
      </c>
      <c r="L851" s="46" t="str" cm="1">
        <f t="array" ref="L851">IFERROR(_xlfn.IFS(
    LEN($A851)-LEN(SUBSTITUTE($A851,"|",""))=12, RIGHT(A851, LEN(A851)-FIND("~", SUBSTITUTE(A851,"|","~", LEN(A851)-LEN(SUBSTITUTE(A851,"|",""))))),
    LEN($A851)-LEN(SUBSTITUTE($A851,"|",""))=13, MID($A851, FIND("~", SUBSTITUTE($A851,"|","~", 11))+1, FIND("~", SUBSTITUTE($A851,"|","~", 12))-FIND("~", SUBSTITUTE($A851,"|","~", 11))-1),
    LEN($A851)-LEN(SUBSTITUTE($A851,"|",""))=14, MID($A851, FIND("~", SUBSTITUTE($A851,"|","~", 11))+1, FIND("~", SUBSTITUTE($A851,"|","~", 12))-FIND("~", SUBSTITUTE($A851,"|","~", 11))-1)
), "")</f>
        <v>E586613</v>
      </c>
      <c r="M851" s="47" t="str">
        <f t="shared" si="120"/>
        <v>SB010097/5/26</v>
      </c>
      <c r="N851" s="46" t="str">
        <f t="shared" si="122"/>
        <v/>
      </c>
      <c r="O851" s="60">
        <v>1</v>
      </c>
      <c r="P851" s="60">
        <v>14</v>
      </c>
      <c r="Q851" s="48">
        <v>4</v>
      </c>
      <c r="R851" s="48">
        <v>11</v>
      </c>
      <c r="S851" s="48"/>
      <c r="T851" s="48"/>
      <c r="U851" s="49"/>
      <c r="V851" s="49"/>
      <c r="W851" s="50">
        <f t="shared" si="119"/>
        <v>0</v>
      </c>
      <c r="X851" s="51" t="str">
        <f>IF(A851="", "", IF(COUNTIFS(C$3:C850, C851, D$3:D850, D851, G$3:G850, G851) &gt; 0, "", "11:00"-AW851))</f>
        <v/>
      </c>
      <c r="Y851" s="52" t="str">
        <f t="shared" si="125"/>
        <v/>
      </c>
      <c r="Z851" s="53"/>
      <c r="AA851" s="54"/>
      <c r="AB851" s="53"/>
      <c r="AC851" s="54"/>
      <c r="AD851" s="53"/>
      <c r="AE851" s="54"/>
      <c r="AF851" s="53"/>
      <c r="AG851" s="54"/>
      <c r="AH851" s="55">
        <v>4.1666666666666699E-2</v>
      </c>
      <c r="AI851" s="53"/>
      <c r="AJ851" s="54"/>
      <c r="AK851" s="53"/>
      <c r="AL851" s="54"/>
      <c r="AM851" s="53"/>
      <c r="AN851" s="54"/>
      <c r="AO851" s="53"/>
      <c r="AP851" s="54"/>
      <c r="AQ851" s="53"/>
      <c r="AR851" s="54"/>
      <c r="AS851" s="53"/>
      <c r="AT851" s="54"/>
      <c r="AU851" s="53">
        <v>4.1666666666666699E-2</v>
      </c>
      <c r="AV851" s="54" t="s">
        <v>37</v>
      </c>
      <c r="AW851" s="57">
        <f t="shared" si="118"/>
        <v>4.1666666666666699E-2</v>
      </c>
      <c r="AX851" s="58" t="s">
        <v>96</v>
      </c>
    </row>
    <row r="852" spans="1:50" ht="27" customHeight="1">
      <c r="A852" s="66" t="s">
        <v>768</v>
      </c>
      <c r="B852" s="39">
        <f t="shared" si="126"/>
        <v>848</v>
      </c>
      <c r="C852" s="40">
        <v>46042</v>
      </c>
      <c r="D852" s="40" t="s">
        <v>80</v>
      </c>
      <c r="E852" s="40" t="s">
        <v>81</v>
      </c>
      <c r="F852" s="41">
        <v>630.4</v>
      </c>
      <c r="G852" s="42" t="s">
        <v>66</v>
      </c>
      <c r="H852" s="43" t="str">
        <f>IFERROR(VLOOKUP($J852,'[9]FROM (3)'!$E$4:$F$230,2,FALSE),"")</f>
        <v>JTCS</v>
      </c>
      <c r="I852" s="44" t="str">
        <f t="shared" si="123"/>
        <v>RACK, MS</v>
      </c>
      <c r="J852" s="44" t="str">
        <f t="shared" si="124"/>
        <v>JGC10-003140-40-0</v>
      </c>
      <c r="K852" s="59" t="str">
        <f t="shared" si="121"/>
        <v>PD26010929</v>
      </c>
      <c r="L852" s="46" t="str" cm="1">
        <f t="array" ref="L852">IFERROR(_xlfn.IFS(
    LEN($A852)-LEN(SUBSTITUTE($A852,"|",""))=12, RIGHT(A852, LEN(A852)-FIND("~", SUBSTITUTE(A852,"|","~", LEN(A852)-LEN(SUBSTITUTE(A852,"|",""))))),
    LEN($A852)-LEN(SUBSTITUTE($A852,"|",""))=13, MID($A852, FIND("~", SUBSTITUTE($A852,"|","~", 11))+1, FIND("~", SUBSTITUTE($A852,"|","~", 12))-FIND("~", SUBSTITUTE($A852,"|","~", 11))-1),
    LEN($A852)-LEN(SUBSTITUTE($A852,"|",""))=14, MID($A852, FIND("~", SUBSTITUTE($A852,"|","~", 11))+1, FIND("~", SUBSTITUTE($A852,"|","~", 12))-FIND("~", SUBSTITUTE($A852,"|","~", 11))-1)
), "")</f>
        <v>E586613</v>
      </c>
      <c r="M852" s="47" t="str">
        <f t="shared" si="120"/>
        <v>SB010097/1/26</v>
      </c>
      <c r="N852" s="46" t="str">
        <f t="shared" si="122"/>
        <v/>
      </c>
      <c r="O852" s="60">
        <v>60</v>
      </c>
      <c r="P852" s="60">
        <v>874</v>
      </c>
      <c r="Q852" s="48">
        <v>152</v>
      </c>
      <c r="R852" s="48">
        <v>399</v>
      </c>
      <c r="S852" s="48"/>
      <c r="T852" s="48"/>
      <c r="U852" s="49"/>
      <c r="V852" s="49"/>
      <c r="W852" s="50">
        <f t="shared" si="119"/>
        <v>0</v>
      </c>
      <c r="X852" s="51" t="str">
        <f>IF(A852="", "", IF(COUNTIFS(C$3:C851, C852, D$3:D851, D852, G$3:G851, G852) &gt; 0, "", "11:00"-AW852))</f>
        <v/>
      </c>
      <c r="Y852" s="52" t="str">
        <f t="shared" si="125"/>
        <v/>
      </c>
      <c r="Z852" s="53"/>
      <c r="AA852" s="54"/>
      <c r="AB852" s="53"/>
      <c r="AC852" s="54"/>
      <c r="AD852" s="53"/>
      <c r="AE852" s="54"/>
      <c r="AF852" s="53"/>
      <c r="AG852" s="54"/>
      <c r="AH852" s="55">
        <v>4.1666666666666699E-2</v>
      </c>
      <c r="AI852" s="53"/>
      <c r="AJ852" s="54"/>
      <c r="AK852" s="53"/>
      <c r="AL852" s="54"/>
      <c r="AM852" s="53"/>
      <c r="AN852" s="54"/>
      <c r="AO852" s="53"/>
      <c r="AP852" s="54"/>
      <c r="AQ852" s="53"/>
      <c r="AR852" s="54"/>
      <c r="AS852" s="53"/>
      <c r="AT852" s="54"/>
      <c r="AU852" s="53">
        <v>4.1666666666666699E-2</v>
      </c>
      <c r="AV852" s="54" t="s">
        <v>37</v>
      </c>
      <c r="AW852" s="57">
        <f t="shared" si="118"/>
        <v>4.1666666666666699E-2</v>
      </c>
      <c r="AX852" s="58" t="s">
        <v>96</v>
      </c>
    </row>
    <row r="853" spans="1:50" ht="27" customHeight="1">
      <c r="A853" s="66" t="s">
        <v>769</v>
      </c>
      <c r="B853" s="39">
        <f t="shared" si="126"/>
        <v>849</v>
      </c>
      <c r="C853" s="40">
        <v>46042</v>
      </c>
      <c r="D853" s="40" t="s">
        <v>80</v>
      </c>
      <c r="E853" s="40" t="s">
        <v>81</v>
      </c>
      <c r="F853" s="41">
        <v>699</v>
      </c>
      <c r="G853" s="42" t="s">
        <v>108</v>
      </c>
      <c r="H853" s="43" t="str">
        <f>IFERROR(VLOOKUP($J853,'[9]FROM (3)'!$E$4:$F$230,2,FALSE),"")</f>
        <v>SIAM NSK</v>
      </c>
      <c r="I853" s="44" t="str">
        <f t="shared" si="123"/>
        <v>SHAFT SPLINE</v>
      </c>
      <c r="J853" s="44" t="str">
        <f t="shared" si="124"/>
        <v>2550S0666P</v>
      </c>
      <c r="K853" s="59" t="str">
        <f t="shared" si="121"/>
        <v>PD26010862</v>
      </c>
      <c r="L853" s="46" t="str" cm="1">
        <f t="array" ref="L853">IFERROR(_xlfn.IFS(
    LEN($A853)-LEN(SUBSTITUTE($A853,"|",""))=12, RIGHT(A853, LEN(A853)-FIND("~", SUBSTITUTE(A853,"|","~", LEN(A853)-LEN(SUBSTITUTE(A853,"|",""))))),
    LEN($A853)-LEN(SUBSTITUTE($A853,"|",""))=13, MID($A853, FIND("~", SUBSTITUTE($A853,"|","~", 11))+1, FIND("~", SUBSTITUTE($A853,"|","~", 12))-FIND("~", SUBSTITUTE($A853,"|","~", 11))-1),
    LEN($A853)-LEN(SUBSTITUTE($A853,"|",""))=14, MID($A853, FIND("~", SUBSTITUTE($A853,"|","~", 11))+1, FIND("~", SUBSTITUTE($A853,"|","~", 12))-FIND("~", SUBSTITUTE($A853,"|","~", 11))-1)
), "")</f>
        <v>E484056</v>
      </c>
      <c r="M853" s="47" t="str">
        <f t="shared" si="120"/>
        <v>SB010096/2/26</v>
      </c>
      <c r="N853" s="46" t="str">
        <f t="shared" si="122"/>
        <v/>
      </c>
      <c r="O853" s="60"/>
      <c r="P853" s="60"/>
      <c r="Q853" s="48">
        <v>1457</v>
      </c>
      <c r="R853" s="48">
        <v>1017</v>
      </c>
      <c r="S853" s="48"/>
      <c r="T853" s="48"/>
      <c r="U853" s="49">
        <v>78</v>
      </c>
      <c r="V853" s="49">
        <v>24</v>
      </c>
      <c r="W853" s="50">
        <f t="shared" si="119"/>
        <v>102</v>
      </c>
      <c r="X853" s="51">
        <f>IF(A853="", "", IF(COUNTIFS(C$3:C852, C853, D$3:D852, D853, G$3:G852, G853) &gt; 0, "", "11:00"-AW853))</f>
        <v>0.35416666666666663</v>
      </c>
      <c r="Y853" s="52" t="str">
        <f t="shared" si="125"/>
        <v>1:40</v>
      </c>
      <c r="Z853" s="53"/>
      <c r="AA853" s="54"/>
      <c r="AB853" s="53"/>
      <c r="AC853" s="54"/>
      <c r="AD853" s="53"/>
      <c r="AE853" s="54"/>
      <c r="AF853" s="53"/>
      <c r="AG853" s="54"/>
      <c r="AH853" s="55">
        <v>4.1666666666666699E-2</v>
      </c>
      <c r="AI853" s="53">
        <v>2.0833333333333332E-2</v>
      </c>
      <c r="AJ853" s="54" t="s">
        <v>67</v>
      </c>
      <c r="AK853" s="53"/>
      <c r="AL853" s="54"/>
      <c r="AM853" s="53"/>
      <c r="AN853" s="54"/>
      <c r="AO853" s="53"/>
      <c r="AP853" s="54"/>
      <c r="AQ853" s="53"/>
      <c r="AR853" s="54"/>
      <c r="AS853" s="53">
        <v>4.1666666666666664E-2</v>
      </c>
      <c r="AT853" s="54" t="s">
        <v>147</v>
      </c>
      <c r="AU853" s="53">
        <v>4.1666666666666699E-2</v>
      </c>
      <c r="AV853" s="54" t="s">
        <v>37</v>
      </c>
      <c r="AW853" s="57">
        <f t="shared" si="118"/>
        <v>0.1041666666666667</v>
      </c>
      <c r="AX853" s="58" t="s">
        <v>770</v>
      </c>
    </row>
    <row r="854" spans="1:50" ht="27" customHeight="1">
      <c r="A854" s="66" t="s">
        <v>771</v>
      </c>
      <c r="B854" s="39">
        <f t="shared" si="126"/>
        <v>850</v>
      </c>
      <c r="C854" s="40">
        <v>46042</v>
      </c>
      <c r="D854" s="40" t="s">
        <v>80</v>
      </c>
      <c r="E854" s="40" t="s">
        <v>81</v>
      </c>
      <c r="F854" s="41">
        <v>278</v>
      </c>
      <c r="G854" s="42" t="s">
        <v>108</v>
      </c>
      <c r="H854" s="43" t="str">
        <f>IFERROR(VLOOKUP($J854,'[9]FROM (3)'!$E$4:$F$230,2,FALSE),"")</f>
        <v>SIAM NSK</v>
      </c>
      <c r="I854" s="44" t="str">
        <f t="shared" si="123"/>
        <v>SHAFT SPLINE</v>
      </c>
      <c r="J854" s="44" t="str">
        <f t="shared" si="124"/>
        <v>2550T0749P</v>
      </c>
      <c r="K854" s="59" t="str">
        <f t="shared" si="121"/>
        <v>PD26010868</v>
      </c>
      <c r="L854" s="46" t="str" cm="1">
        <f t="array" ref="L854">IFERROR(_xlfn.IFS(
    LEN($A854)-LEN(SUBSTITUTE($A854,"|",""))=12, RIGHT(A854, LEN(A854)-FIND("~", SUBSTITUTE(A854,"|","~", LEN(A854)-LEN(SUBSTITUTE(A854,"|",""))))),
    LEN($A854)-LEN(SUBSTITUTE($A854,"|",""))=13, MID($A854, FIND("~", SUBSTITUTE($A854,"|","~", 11))+1, FIND("~", SUBSTITUTE($A854,"|","~", 12))-FIND("~", SUBSTITUTE($A854,"|","~", 11))-1),
    LEN($A854)-LEN(SUBSTITUTE($A854,"|",""))=14, MID($A854, FIND("~", SUBSTITUTE($A854,"|","~", 11))+1, FIND("~", SUBSTITUTE($A854,"|","~", 12))-FIND("~", SUBSTITUTE($A854,"|","~", 11))-1)
), "")</f>
        <v>SF93404</v>
      </c>
      <c r="M854" s="47" t="str">
        <f t="shared" si="120"/>
        <v>SB010084/2/26</v>
      </c>
      <c r="N854" s="46" t="str">
        <f t="shared" si="122"/>
        <v/>
      </c>
      <c r="O854" s="60">
        <v>103</v>
      </c>
      <c r="P854" s="60">
        <v>990</v>
      </c>
      <c r="Q854" s="48">
        <v>1648</v>
      </c>
      <c r="R854" s="48">
        <v>942</v>
      </c>
      <c r="S854" s="48"/>
      <c r="T854" s="48"/>
      <c r="U854" s="49"/>
      <c r="V854" s="49"/>
      <c r="W854" s="50">
        <f t="shared" si="119"/>
        <v>0</v>
      </c>
      <c r="X854" s="51" t="str">
        <f>IF(A854="", "", IF(COUNTIFS(C$3:C853, C854, D$3:D853, D854, G$3:G853, G854) &gt; 0, "", "11:00"-AW854))</f>
        <v/>
      </c>
      <c r="Y854" s="52" t="str">
        <f t="shared" si="125"/>
        <v/>
      </c>
      <c r="Z854" s="53"/>
      <c r="AA854" s="54"/>
      <c r="AB854" s="53"/>
      <c r="AC854" s="54"/>
      <c r="AD854" s="53"/>
      <c r="AE854" s="54"/>
      <c r="AF854" s="53"/>
      <c r="AG854" s="54"/>
      <c r="AH854" s="55">
        <v>4.1666666666666699E-2</v>
      </c>
      <c r="AI854" s="53">
        <v>2.0833333333333332E-2</v>
      </c>
      <c r="AJ854" s="54" t="s">
        <v>237</v>
      </c>
      <c r="AK854" s="53"/>
      <c r="AL854" s="54"/>
      <c r="AM854" s="53"/>
      <c r="AN854" s="54"/>
      <c r="AO854" s="53"/>
      <c r="AP854" s="54"/>
      <c r="AQ854" s="53"/>
      <c r="AR854" s="54"/>
      <c r="AS854" s="53">
        <v>4.1666666666666664E-2</v>
      </c>
      <c r="AT854" s="54" t="s">
        <v>147</v>
      </c>
      <c r="AU854" s="53">
        <v>4.1666666666666699E-2</v>
      </c>
      <c r="AV854" s="54" t="s">
        <v>37</v>
      </c>
      <c r="AW854" s="57">
        <f t="shared" si="118"/>
        <v>0.1041666666666667</v>
      </c>
      <c r="AX854" s="58" t="s">
        <v>770</v>
      </c>
    </row>
    <row r="855" spans="1:50" ht="27" customHeight="1">
      <c r="A855" s="66" t="s">
        <v>772</v>
      </c>
      <c r="B855" s="39">
        <f t="shared" si="126"/>
        <v>851</v>
      </c>
      <c r="C855" s="40">
        <v>46042</v>
      </c>
      <c r="D855" s="40" t="s">
        <v>80</v>
      </c>
      <c r="E855" s="40" t="s">
        <v>81</v>
      </c>
      <c r="F855" s="41">
        <v>375</v>
      </c>
      <c r="G855" s="42" t="s">
        <v>172</v>
      </c>
      <c r="H855" s="43" t="str">
        <f>IFERROR(VLOOKUP($J855,'[9]FROM (3)'!$E$4:$F$230,2,FALSE),"")</f>
        <v>ATAC</v>
      </c>
      <c r="I855" s="44" t="str">
        <f t="shared" si="123"/>
        <v>SEAT,WATER PUMP PULLEY</v>
      </c>
      <c r="J855" s="44" t="str">
        <f t="shared" si="124"/>
        <v>16171-05030</v>
      </c>
      <c r="K855" s="59" t="str">
        <f t="shared" si="121"/>
        <v>PD26010857</v>
      </c>
      <c r="L855" s="46" t="str" cm="1">
        <f t="array" ref="L855">IFERROR(_xlfn.IFS(
    LEN($A855)-LEN(SUBSTITUTE($A855,"|",""))=12, RIGHT(A855, LEN(A855)-FIND("~", SUBSTITUTE(A855,"|","~", LEN(A855)-LEN(SUBSTITUTE(A855,"|",""))))),
    LEN($A855)-LEN(SUBSTITUTE($A855,"|",""))=13, MID($A855, FIND("~", SUBSTITUTE($A855,"|","~", 11))+1, FIND("~", SUBSTITUTE($A855,"|","~", 12))-FIND("~", SUBSTITUTE($A855,"|","~", 11))-1),
    LEN($A855)-LEN(SUBSTITUTE($A855,"|",""))=14, MID($A855, FIND("~", SUBSTITUTE($A855,"|","~", 11))+1, FIND("~", SUBSTITUTE($A855,"|","~", 12))-FIND("~", SUBSTITUTE($A855,"|","~", 11))-1)
), "")</f>
        <v>665898</v>
      </c>
      <c r="M855" s="47" t="str">
        <f t="shared" si="120"/>
        <v>SB010102/5/26</v>
      </c>
      <c r="N855" s="46" t="str">
        <f t="shared" si="122"/>
        <v/>
      </c>
      <c r="O855" s="60"/>
      <c r="P855" s="60"/>
      <c r="Q855" s="48">
        <v>242</v>
      </c>
      <c r="R855" s="48">
        <v>91</v>
      </c>
      <c r="S855" s="48"/>
      <c r="T855" s="48"/>
      <c r="U855" s="49"/>
      <c r="V855" s="49"/>
      <c r="W855" s="50">
        <f t="shared" si="119"/>
        <v>0</v>
      </c>
      <c r="X855" s="51">
        <f>IF(A855="", "", IF(COUNTIFS(C$3:C854, C855, D$3:D854, D855, G$3:G854, G855) &gt; 0, "", "11:00"-AW855))</f>
        <v>0.37499999999999994</v>
      </c>
      <c r="Y855" s="52" t="str">
        <f t="shared" si="125"/>
        <v>1:40</v>
      </c>
      <c r="Z855" s="53"/>
      <c r="AA855" s="54"/>
      <c r="AB855" s="53"/>
      <c r="AC855" s="54"/>
      <c r="AD855" s="53"/>
      <c r="AE855" s="54"/>
      <c r="AF855" s="53"/>
      <c r="AG855" s="54"/>
      <c r="AH855" s="55">
        <v>4.1666666666666699E-2</v>
      </c>
      <c r="AI855" s="53"/>
      <c r="AJ855" s="54"/>
      <c r="AK855" s="53"/>
      <c r="AL855" s="54"/>
      <c r="AM855" s="53"/>
      <c r="AN855" s="54"/>
      <c r="AO855" s="53"/>
      <c r="AP855" s="54"/>
      <c r="AQ855" s="53"/>
      <c r="AR855" s="54"/>
      <c r="AS855" s="53">
        <v>4.1666666666666664E-2</v>
      </c>
      <c r="AT855" s="54" t="s">
        <v>147</v>
      </c>
      <c r="AU855" s="53">
        <v>4.1666666666666699E-2</v>
      </c>
      <c r="AV855" s="54" t="s">
        <v>37</v>
      </c>
      <c r="AW855" s="57">
        <f t="shared" si="118"/>
        <v>8.333333333333337E-2</v>
      </c>
      <c r="AX855" s="58" t="s">
        <v>770</v>
      </c>
    </row>
    <row r="856" spans="1:50" ht="27" customHeight="1">
      <c r="A856" s="66" t="s">
        <v>543</v>
      </c>
      <c r="B856" s="39">
        <f t="shared" si="126"/>
        <v>852</v>
      </c>
      <c r="C856" s="40">
        <v>46042</v>
      </c>
      <c r="D856" s="40" t="s">
        <v>80</v>
      </c>
      <c r="E856" s="40" t="s">
        <v>81</v>
      </c>
      <c r="F856" s="41">
        <v>732.4</v>
      </c>
      <c r="G856" s="42" t="s">
        <v>46</v>
      </c>
      <c r="H856" s="43" t="str">
        <f>IFERROR(VLOOKUP($J856,'[9]FROM (3)'!$E$4:$F$230,2,FALSE),"")</f>
        <v>JATH</v>
      </c>
      <c r="I856" s="44" t="str">
        <f t="shared" si="123"/>
        <v>RACK BAR BLANK</v>
      </c>
      <c r="J856" s="44" t="str">
        <f t="shared" si="124"/>
        <v>JGF02-002060-31-3</v>
      </c>
      <c r="K856" s="59" t="str">
        <f t="shared" si="121"/>
        <v>PD25120620</v>
      </c>
      <c r="L856" s="46" t="str" cm="1">
        <f t="array" ref="L856">IFERROR(_xlfn.IFS(
    LEN($A856)-LEN(SUBSTITUTE($A856,"|",""))=12, RIGHT(A856, LEN(A856)-FIND("~", SUBSTITUTE(A856,"|","~", LEN(A856)-LEN(SUBSTITUTE(A856,"|",""))))),
    LEN($A856)-LEN(SUBSTITUTE($A856,"|",""))=13, MID($A856, FIND("~", SUBSTITUTE($A856,"|","~", 11))+1, FIND("~", SUBSTITUTE($A856,"|","~", 12))-FIND("~", SUBSTITUTE($A856,"|","~", 11))-1),
    LEN($A856)-LEN(SUBSTITUTE($A856,"|",""))=14, MID($A856, FIND("~", SUBSTITUTE($A856,"|","~", 11))+1, FIND("~", SUBSTITUTE($A856,"|","~", 12))-FIND("~", SUBSTITUTE($A856,"|","~", 11))-1)
), "")</f>
        <v>5B0230</v>
      </c>
      <c r="M856" s="47" t="str">
        <f t="shared" si="120"/>
        <v>SB120084/3/25</v>
      </c>
      <c r="N856" s="46" t="str">
        <f t="shared" si="122"/>
        <v/>
      </c>
      <c r="O856" s="60" t="s">
        <v>35</v>
      </c>
      <c r="P856" s="60" t="s">
        <v>35</v>
      </c>
      <c r="Q856" s="48">
        <v>131</v>
      </c>
      <c r="R856" s="48">
        <v>612</v>
      </c>
      <c r="S856" s="48" t="s">
        <v>35</v>
      </c>
      <c r="T856" s="48"/>
      <c r="U856" s="49"/>
      <c r="V856" s="49"/>
      <c r="W856" s="50">
        <f t="shared" si="119"/>
        <v>0</v>
      </c>
      <c r="X856" s="51">
        <f>IF(A856="", "", IF(COUNTIFS(C$3:C855, C856, D$3:D855, D856, G$3:G855, G856) &gt; 0, "", "11:00"-AW856))</f>
        <v>0.33333333333333326</v>
      </c>
      <c r="Y856" s="52" t="str">
        <f t="shared" si="125"/>
        <v>1:40</v>
      </c>
      <c r="Z856" s="53">
        <v>4.1666666666666664E-2</v>
      </c>
      <c r="AA856" s="54" t="s">
        <v>67</v>
      </c>
      <c r="AB856" s="53"/>
      <c r="AC856" s="54"/>
      <c r="AD856" s="53"/>
      <c r="AE856" s="54"/>
      <c r="AF856" s="53"/>
      <c r="AG856" s="54"/>
      <c r="AH856" s="55">
        <v>4.1666666666666699E-2</v>
      </c>
      <c r="AI856" s="53"/>
      <c r="AJ856" s="54"/>
      <c r="AK856" s="53"/>
      <c r="AL856" s="54"/>
      <c r="AM856" s="53"/>
      <c r="AN856" s="54"/>
      <c r="AO856" s="53"/>
      <c r="AP856" s="54"/>
      <c r="AQ856" s="53"/>
      <c r="AR856" s="54"/>
      <c r="AS856" s="53">
        <v>4.1666666666666664E-2</v>
      </c>
      <c r="AT856" s="54" t="s">
        <v>147</v>
      </c>
      <c r="AU856" s="53">
        <v>4.1666666666666699E-2</v>
      </c>
      <c r="AV856" s="54" t="s">
        <v>37</v>
      </c>
      <c r="AW856" s="57">
        <f t="shared" si="118"/>
        <v>0.12500000000000003</v>
      </c>
      <c r="AX856" s="58" t="s">
        <v>86</v>
      </c>
    </row>
    <row r="857" spans="1:50" ht="27" customHeight="1">
      <c r="A857" s="66" t="s">
        <v>773</v>
      </c>
      <c r="B857" s="39">
        <f t="shared" si="126"/>
        <v>853</v>
      </c>
      <c r="C857" s="40">
        <v>46042</v>
      </c>
      <c r="D857" s="40" t="s">
        <v>80</v>
      </c>
      <c r="E857" s="40" t="s">
        <v>81</v>
      </c>
      <c r="F857" s="41">
        <v>732.4</v>
      </c>
      <c r="G857" s="42" t="s">
        <v>46</v>
      </c>
      <c r="H857" s="43" t="str">
        <f>IFERROR(VLOOKUP($J857,'[9]FROM (3)'!$E$4:$F$230,2,FALSE),"")</f>
        <v>JATH</v>
      </c>
      <c r="I857" s="44" t="str">
        <f t="shared" si="123"/>
        <v>RACK BAR BLANK</v>
      </c>
      <c r="J857" s="44" t="str">
        <f t="shared" si="124"/>
        <v>JGF02-002060-31-3</v>
      </c>
      <c r="K857" s="59" t="str">
        <f t="shared" si="121"/>
        <v>PD25120620</v>
      </c>
      <c r="L857" s="46" t="str" cm="1">
        <f t="array" ref="L857">IFERROR(_xlfn.IFS(
    LEN($A857)-LEN(SUBSTITUTE($A857,"|",""))=12, RIGHT(A857, LEN(A857)-FIND("~", SUBSTITUTE(A857,"|","~", LEN(A857)-LEN(SUBSTITUTE(A857,"|",""))))),
    LEN($A857)-LEN(SUBSTITUTE($A857,"|",""))=13, MID($A857, FIND("~", SUBSTITUTE($A857,"|","~", 11))+1, FIND("~", SUBSTITUTE($A857,"|","~", 12))-FIND("~", SUBSTITUTE($A857,"|","~", 11))-1),
    LEN($A857)-LEN(SUBSTITUTE($A857,"|",""))=14, MID($A857, FIND("~", SUBSTITUTE($A857,"|","~", 11))+1, FIND("~", SUBSTITUTE($A857,"|","~", 12))-FIND("~", SUBSTITUTE($A857,"|","~", 11))-1)
), "")</f>
        <v>5B0230</v>
      </c>
      <c r="M857" s="47" t="str">
        <f t="shared" si="120"/>
        <v>SB120084/1/25</v>
      </c>
      <c r="N857" s="46" t="str">
        <f t="shared" si="122"/>
        <v/>
      </c>
      <c r="O857" s="60">
        <v>28</v>
      </c>
      <c r="P857" s="60">
        <v>967</v>
      </c>
      <c r="Q857" s="48">
        <v>196</v>
      </c>
      <c r="R857" s="48">
        <v>916</v>
      </c>
      <c r="S857" s="48" t="s">
        <v>35</v>
      </c>
      <c r="T857" s="48"/>
      <c r="U857" s="49"/>
      <c r="V857" s="49"/>
      <c r="W857" s="50">
        <f t="shared" si="119"/>
        <v>0</v>
      </c>
      <c r="X857" s="51" t="str">
        <f>IF(A857="", "", IF(COUNTIFS(C$3:C856, C857, D$3:D856, D857, G$3:G856, G857) &gt; 0, "", "11:00"-AW857))</f>
        <v/>
      </c>
      <c r="Y857" s="52" t="str">
        <f t="shared" si="125"/>
        <v/>
      </c>
      <c r="Z857" s="53"/>
      <c r="AA857" s="54"/>
      <c r="AB857" s="53"/>
      <c r="AC857" s="54"/>
      <c r="AD857" s="53"/>
      <c r="AE857" s="54"/>
      <c r="AF857" s="53"/>
      <c r="AG857" s="54"/>
      <c r="AH857" s="55">
        <v>4.1666666666666699E-2</v>
      </c>
      <c r="AI857" s="53"/>
      <c r="AJ857" s="54"/>
      <c r="AK857" s="53"/>
      <c r="AL857" s="54"/>
      <c r="AM857" s="53"/>
      <c r="AN857" s="54"/>
      <c r="AO857" s="53"/>
      <c r="AP857" s="54"/>
      <c r="AQ857" s="53"/>
      <c r="AR857" s="54"/>
      <c r="AS857" s="53"/>
      <c r="AT857" s="54"/>
      <c r="AU857" s="53">
        <v>4.1666666666666699E-2</v>
      </c>
      <c r="AV857" s="54" t="s">
        <v>37</v>
      </c>
      <c r="AW857" s="57">
        <f t="shared" si="118"/>
        <v>4.1666666666666699E-2</v>
      </c>
      <c r="AX857" s="58" t="s">
        <v>86</v>
      </c>
    </row>
    <row r="858" spans="1:50" ht="27" customHeight="1">
      <c r="A858" s="66" t="s">
        <v>774</v>
      </c>
      <c r="B858" s="39">
        <f t="shared" si="126"/>
        <v>854</v>
      </c>
      <c r="C858" s="40">
        <v>46042</v>
      </c>
      <c r="D858" s="40" t="s">
        <v>80</v>
      </c>
      <c r="E858" s="40" t="s">
        <v>81</v>
      </c>
      <c r="F858" s="41">
        <v>732.4</v>
      </c>
      <c r="G858" s="42" t="s">
        <v>46</v>
      </c>
      <c r="H858" s="43" t="str">
        <f>IFERROR(VLOOKUP($J858,'[9]FROM (3)'!$E$4:$F$230,2,FALSE),"")</f>
        <v>JATH</v>
      </c>
      <c r="I858" s="44" t="str">
        <f t="shared" si="123"/>
        <v>RACK BAR BLANK</v>
      </c>
      <c r="J858" s="44" t="str">
        <f t="shared" si="124"/>
        <v>JGF02-002060-31-3</v>
      </c>
      <c r="K858" s="59" t="str">
        <f t="shared" si="121"/>
        <v>PD25120620</v>
      </c>
      <c r="L858" s="46" t="str" cm="1">
        <f t="array" ref="L858">IFERROR(_xlfn.IFS(
    LEN($A858)-LEN(SUBSTITUTE($A858,"|",""))=12, RIGHT(A858, LEN(A858)-FIND("~", SUBSTITUTE(A858,"|","~", LEN(A858)-LEN(SUBSTITUTE(A858,"|",""))))),
    LEN($A858)-LEN(SUBSTITUTE($A858,"|",""))=13, MID($A858, FIND("~", SUBSTITUTE($A858,"|","~", 11))+1, FIND("~", SUBSTITUTE($A858,"|","~", 12))-FIND("~", SUBSTITUTE($A858,"|","~", 11))-1),
    LEN($A858)-LEN(SUBSTITUTE($A858,"|",""))=14, MID($A858, FIND("~", SUBSTITUTE($A858,"|","~", 11))+1, FIND("~", SUBSTITUTE($A858,"|","~", 12))-FIND("~", SUBSTITUTE($A858,"|","~", 11))-1)
), "")</f>
        <v>5B0230</v>
      </c>
      <c r="M858" s="47" t="str">
        <f t="shared" si="120"/>
        <v>SB120084/2/25</v>
      </c>
      <c r="N858" s="46" t="str">
        <f t="shared" si="122"/>
        <v/>
      </c>
      <c r="O858" s="60">
        <v>28</v>
      </c>
      <c r="P858" s="60">
        <v>967</v>
      </c>
      <c r="Q858" s="48">
        <v>196</v>
      </c>
      <c r="R858" s="48">
        <v>916</v>
      </c>
      <c r="S858" s="48" t="s">
        <v>35</v>
      </c>
      <c r="T858" s="48"/>
      <c r="U858" s="49">
        <v>204</v>
      </c>
      <c r="V858" s="49">
        <v>16</v>
      </c>
      <c r="W858" s="50">
        <f t="shared" si="119"/>
        <v>220</v>
      </c>
      <c r="X858" s="51" t="str">
        <f>IF(A858="", "", IF(COUNTIFS(C$3:C857, C858, D$3:D857, D858, G$3:G857, G858) &gt; 0, "", "11:00"-AW858))</f>
        <v/>
      </c>
      <c r="Y858" s="52" t="str">
        <f t="shared" si="125"/>
        <v/>
      </c>
      <c r="Z858" s="53"/>
      <c r="AA858" s="54"/>
      <c r="AB858" s="53"/>
      <c r="AC858" s="54"/>
      <c r="AD858" s="53"/>
      <c r="AE858" s="54"/>
      <c r="AF858" s="53"/>
      <c r="AG858" s="54"/>
      <c r="AH858" s="55">
        <v>4.1666666666666699E-2</v>
      </c>
      <c r="AI858" s="53"/>
      <c r="AJ858" s="54"/>
      <c r="AK858" s="53"/>
      <c r="AL858" s="54"/>
      <c r="AM858" s="53"/>
      <c r="AN858" s="54"/>
      <c r="AO858" s="53"/>
      <c r="AP858" s="54"/>
      <c r="AQ858" s="53"/>
      <c r="AR858" s="54"/>
      <c r="AS858" s="53"/>
      <c r="AT858" s="54"/>
      <c r="AU858" s="53">
        <v>4.1666666666666699E-2</v>
      </c>
      <c r="AV858" s="54" t="s">
        <v>37</v>
      </c>
      <c r="AW858" s="57">
        <f t="shared" si="118"/>
        <v>4.1666666666666699E-2</v>
      </c>
      <c r="AX858" s="58" t="s">
        <v>86</v>
      </c>
    </row>
    <row r="859" spans="1:50" ht="27" customHeight="1">
      <c r="A859" s="66" t="s">
        <v>775</v>
      </c>
      <c r="B859" s="39">
        <f t="shared" si="126"/>
        <v>855</v>
      </c>
      <c r="C859" s="40">
        <v>46042</v>
      </c>
      <c r="D859" s="40" t="s">
        <v>80</v>
      </c>
      <c r="E859" s="40" t="s">
        <v>81</v>
      </c>
      <c r="F859" s="41">
        <v>732.4</v>
      </c>
      <c r="G859" s="42" t="s">
        <v>46</v>
      </c>
      <c r="H859" s="43" t="str">
        <f>IFERROR(VLOOKUP($J859,'[9]FROM (3)'!$E$4:$F$230,2,FALSE),"")</f>
        <v>JATH</v>
      </c>
      <c r="I859" s="44" t="str">
        <f t="shared" si="123"/>
        <v>RACK BAR BLANK</v>
      </c>
      <c r="J859" s="44" t="str">
        <f t="shared" si="124"/>
        <v>JGF02-002060-31-3</v>
      </c>
      <c r="K859" s="59" t="str">
        <f t="shared" si="121"/>
        <v>PD25120629</v>
      </c>
      <c r="L859" s="46" t="str" cm="1">
        <f t="array" ref="L859">IFERROR(_xlfn.IFS(
    LEN($A859)-LEN(SUBSTITUTE($A859,"|",""))=12, RIGHT(A859, LEN(A859)-FIND("~", SUBSTITUTE(A859,"|","~", LEN(A859)-LEN(SUBSTITUTE(A859,"|",""))))),
    LEN($A859)-LEN(SUBSTITUTE($A859,"|",""))=13, MID($A859, FIND("~", SUBSTITUTE($A859,"|","~", 11))+1, FIND("~", SUBSTITUTE($A859,"|","~", 12))-FIND("~", SUBSTITUTE($A859,"|","~", 11))-1),
    LEN($A859)-LEN(SUBSTITUTE($A859,"|",""))=14, MID($A859, FIND("~", SUBSTITUTE($A859,"|","~", 11))+1, FIND("~", SUBSTITUTE($A859,"|","~", 12))-FIND("~", SUBSTITUTE($A859,"|","~", 11))-1)
), "")</f>
        <v>5B0230</v>
      </c>
      <c r="M859" s="47" t="str">
        <f t="shared" si="120"/>
        <v>SB120090/5/25</v>
      </c>
      <c r="N859" s="46" t="str">
        <f t="shared" si="122"/>
        <v/>
      </c>
      <c r="O859" s="60">
        <v>28</v>
      </c>
      <c r="P859" s="60">
        <v>967</v>
      </c>
      <c r="Q859" s="48">
        <v>175</v>
      </c>
      <c r="R859" s="48">
        <v>818</v>
      </c>
      <c r="S859" s="48" t="s">
        <v>35</v>
      </c>
      <c r="T859" s="48"/>
      <c r="U859" s="49"/>
      <c r="V859" s="49"/>
      <c r="W859" s="50">
        <f t="shared" si="119"/>
        <v>0</v>
      </c>
      <c r="X859" s="51" t="str">
        <f>IF(A859="", "", IF(COUNTIFS(C$3:C858, C859, D$3:D858, D859, G$3:G858, G859) &gt; 0, "", "11:00"-AW859))</f>
        <v/>
      </c>
      <c r="Y859" s="52" t="str">
        <f t="shared" si="125"/>
        <v/>
      </c>
      <c r="Z859" s="53"/>
      <c r="AA859" s="54"/>
      <c r="AB859" s="53"/>
      <c r="AC859" s="54"/>
      <c r="AD859" s="53"/>
      <c r="AE859" s="54"/>
      <c r="AF859" s="53"/>
      <c r="AG859" s="54"/>
      <c r="AH859" s="55">
        <v>4.1666666666666699E-2</v>
      </c>
      <c r="AI859" s="53"/>
      <c r="AJ859" s="54"/>
      <c r="AK859" s="53"/>
      <c r="AL859" s="54"/>
      <c r="AM859" s="53"/>
      <c r="AN859" s="54"/>
      <c r="AO859" s="53"/>
      <c r="AP859" s="54"/>
      <c r="AQ859" s="53"/>
      <c r="AR859" s="54"/>
      <c r="AS859" s="53"/>
      <c r="AT859" s="54"/>
      <c r="AU859" s="53">
        <v>4.1666666666666699E-2</v>
      </c>
      <c r="AV859" s="54" t="s">
        <v>37</v>
      </c>
      <c r="AW859" s="57">
        <f t="shared" si="118"/>
        <v>4.1666666666666699E-2</v>
      </c>
      <c r="AX859" s="58" t="s">
        <v>86</v>
      </c>
    </row>
    <row r="860" spans="1:50" ht="27" customHeight="1">
      <c r="A860" s="66" t="s">
        <v>776</v>
      </c>
      <c r="B860" s="39">
        <f t="shared" si="126"/>
        <v>856</v>
      </c>
      <c r="C860" s="40">
        <v>46042</v>
      </c>
      <c r="D860" s="40" t="s">
        <v>80</v>
      </c>
      <c r="E860" s="40" t="s">
        <v>81</v>
      </c>
      <c r="F860" s="41">
        <v>756.8</v>
      </c>
      <c r="G860" s="42" t="s">
        <v>192</v>
      </c>
      <c r="H860" s="43" t="str">
        <f>IFERROR(VLOOKUP($J860,'[9]FROM (3)'!$E$4:$F$230,2,FALSE),"")</f>
        <v>JATH</v>
      </c>
      <c r="I860" s="44" t="str">
        <f t="shared" si="123"/>
        <v>JGF02-002190-31-2</v>
      </c>
      <c r="J860" s="44" t="str">
        <f t="shared" si="124"/>
        <v>RACK BAR BLANK (JGF02-002190-31-2) 5K45</v>
      </c>
      <c r="K860" s="59" t="str">
        <f t="shared" si="121"/>
        <v>PD25121245</v>
      </c>
      <c r="L860" s="46" t="str" cm="1">
        <f t="array" ref="L860">IFERROR(_xlfn.IFS(
    LEN($A860)-LEN(SUBSTITUTE($A860,"|",""))=12, RIGHT(A860, LEN(A860)-FIND("~", SUBSTITUTE(A860,"|","~", LEN(A860)-LEN(SUBSTITUTE(A860,"|",""))))),
    LEN($A860)-LEN(SUBSTITUTE($A860,"|",""))=13, MID($A860, FIND("~", SUBSTITUTE($A860,"|","~", 11))+1, FIND("~", SUBSTITUTE($A860,"|","~", 12))-FIND("~", SUBSTITUTE($A860,"|","~", 11))-1),
    LEN($A860)-LEN(SUBSTITUTE($A860,"|",""))=14, MID($A860, FIND("~", SUBSTITUTE($A860,"|","~", 11))+1, FIND("~", SUBSTITUTE($A860,"|","~", 12))-FIND("~", SUBSTITUTE($A860,"|","~", 11))-1)
), "")</f>
        <v>5A5913</v>
      </c>
      <c r="M860" s="47" t="str">
        <f t="shared" si="120"/>
        <v>TSK2</v>
      </c>
      <c r="N860" s="46" t="str">
        <f t="shared" si="122"/>
        <v>FB010002/11/26</v>
      </c>
      <c r="O860" s="60">
        <v>58</v>
      </c>
      <c r="P860" s="60">
        <v>280</v>
      </c>
      <c r="Q860" s="48">
        <v>58</v>
      </c>
      <c r="R860" s="48">
        <v>280</v>
      </c>
      <c r="S860" s="48"/>
      <c r="T860" s="48"/>
      <c r="U860" s="49"/>
      <c r="V860" s="49"/>
      <c r="W860" s="50">
        <f t="shared" si="119"/>
        <v>0</v>
      </c>
      <c r="X860" s="51">
        <f>IF(A860="", "", IF(COUNTIFS(C$3:C859, C860, D$3:D859, D860, G$3:G859, G860) &gt; 0, "", "11:00"-AW860))</f>
        <v>0.37499999999999994</v>
      </c>
      <c r="Y860" s="52" t="str">
        <f>IF(X860="", "", IF(AND(A860&lt;&gt;"", AR862&lt;&gt;"NO OT"), "1:40", IF(AND(A860&lt;&gt;"", AR862="NO OT"), "1:0", "")))</f>
        <v>1:40</v>
      </c>
      <c r="Z860" s="53"/>
      <c r="AA860" s="54"/>
      <c r="AB860" s="53"/>
      <c r="AC860" s="54"/>
      <c r="AD860" s="53"/>
      <c r="AE860" s="54"/>
      <c r="AF860" s="53"/>
      <c r="AG860" s="54"/>
      <c r="AH860" s="55">
        <v>4.1666666666666699E-2</v>
      </c>
      <c r="AI860" s="53"/>
      <c r="AJ860" s="54"/>
      <c r="AK860" s="53"/>
      <c r="AL860" s="54"/>
      <c r="AM860" s="53"/>
      <c r="AN860" s="54"/>
      <c r="AO860" s="53"/>
      <c r="AP860" s="54"/>
      <c r="AQ860" s="53"/>
      <c r="AR860" s="54"/>
      <c r="AS860" s="53">
        <v>4.1666666666666664E-2</v>
      </c>
      <c r="AT860" s="54" t="s">
        <v>147</v>
      </c>
      <c r="AU860" s="53">
        <v>4.1666666666666699E-2</v>
      </c>
      <c r="AV860" s="54" t="s">
        <v>37</v>
      </c>
      <c r="AW860" s="57">
        <f t="shared" si="118"/>
        <v>8.333333333333337E-2</v>
      </c>
      <c r="AX860" s="58" t="s">
        <v>224</v>
      </c>
    </row>
    <row r="861" spans="1:50" ht="27" customHeight="1">
      <c r="A861" s="66" t="s">
        <v>777</v>
      </c>
      <c r="B861" s="39">
        <f t="shared" si="126"/>
        <v>857</v>
      </c>
      <c r="C861" s="40">
        <v>46042</v>
      </c>
      <c r="D861" s="40" t="s">
        <v>80</v>
      </c>
      <c r="E861" s="40" t="s">
        <v>81</v>
      </c>
      <c r="F861" s="41">
        <v>756.8</v>
      </c>
      <c r="G861" s="42" t="s">
        <v>192</v>
      </c>
      <c r="H861" s="43" t="str">
        <f>IFERROR(VLOOKUP($J861,'[9]FROM (3)'!$E$4:$F$230,2,FALSE),"")</f>
        <v>JATH</v>
      </c>
      <c r="I861" s="44" t="str">
        <f t="shared" si="123"/>
        <v>JGF02-002190-31-2</v>
      </c>
      <c r="J861" s="44" t="str">
        <f t="shared" si="124"/>
        <v>RACK BAR BLANK (JGF02-002190-31-2) 5K45</v>
      </c>
      <c r="K861" s="59" t="str">
        <f t="shared" si="121"/>
        <v>PD25121245</v>
      </c>
      <c r="L861" s="46" t="str" cm="1">
        <f t="array" ref="L861">IFERROR(_xlfn.IFS(
    LEN($A861)-LEN(SUBSTITUTE($A861,"|",""))=12, RIGHT(A861, LEN(A861)-FIND("~", SUBSTITUTE(A861,"|","~", LEN(A861)-LEN(SUBSTITUTE(A861,"|",""))))),
    LEN($A861)-LEN(SUBSTITUTE($A861,"|",""))=13, MID($A861, FIND("~", SUBSTITUTE($A861,"|","~", 11))+1, FIND("~", SUBSTITUTE($A861,"|","~", 12))-FIND("~", SUBSTITUTE($A861,"|","~", 11))-1),
    LEN($A861)-LEN(SUBSTITUTE($A861,"|",""))=14, MID($A861, FIND("~", SUBSTITUTE($A861,"|","~", 11))+1, FIND("~", SUBSTITUTE($A861,"|","~", 12))-FIND("~", SUBSTITUTE($A861,"|","~", 11))-1)
), "")</f>
        <v>5A5913</v>
      </c>
      <c r="M861" s="47" t="str">
        <f t="shared" si="120"/>
        <v>TSK2</v>
      </c>
      <c r="N861" s="46" t="str">
        <f t="shared" si="122"/>
        <v>FB010002/5/26</v>
      </c>
      <c r="O861" s="60">
        <v>58</v>
      </c>
      <c r="P861" s="60">
        <v>280</v>
      </c>
      <c r="Q861" s="48">
        <v>58</v>
      </c>
      <c r="R861" s="48">
        <v>280</v>
      </c>
      <c r="S861" s="48"/>
      <c r="T861" s="48"/>
      <c r="U861" s="49"/>
      <c r="V861" s="49"/>
      <c r="W861" s="50">
        <f t="shared" si="119"/>
        <v>0</v>
      </c>
      <c r="X861" s="51" t="str">
        <f>IF(A861="", "", IF(COUNTIFS(C$3:C860, C861, D$3:D860, D861, G$3:G860, G861) &gt; 0, "", "11:00"-AW861))</f>
        <v/>
      </c>
      <c r="Y861" s="52" t="str">
        <f t="shared" ref="Y861" si="127">IF(X861="", "", IF(AND(A861&lt;&gt;"", AR861&lt;&gt;"NO OT"), "1:40", IF(AND(A861&lt;&gt;"", AR861="NO OT"), "1:0", "")))</f>
        <v/>
      </c>
      <c r="Z861" s="53"/>
      <c r="AA861" s="54"/>
      <c r="AB861" s="53"/>
      <c r="AC861" s="54"/>
      <c r="AD861" s="53"/>
      <c r="AE861" s="54"/>
      <c r="AF861" s="53"/>
      <c r="AG861" s="54"/>
      <c r="AH861" s="55">
        <v>4.1666666666666699E-2</v>
      </c>
      <c r="AI861" s="53"/>
      <c r="AJ861" s="54"/>
      <c r="AK861" s="53"/>
      <c r="AL861" s="54"/>
      <c r="AM861" s="53"/>
      <c r="AN861" s="54"/>
      <c r="AO861" s="53"/>
      <c r="AP861" s="54"/>
      <c r="AQ861" s="53"/>
      <c r="AR861" s="54"/>
      <c r="AS861" s="53"/>
      <c r="AT861" s="54"/>
      <c r="AU861" s="53">
        <v>4.1666666666666699E-2</v>
      </c>
      <c r="AV861" s="54" t="s">
        <v>37</v>
      </c>
      <c r="AW861" s="57">
        <f t="shared" si="118"/>
        <v>4.1666666666666699E-2</v>
      </c>
      <c r="AX861" s="58" t="s">
        <v>224</v>
      </c>
    </row>
    <row r="862" spans="1:50" ht="27" customHeight="1">
      <c r="A862" s="66" t="s">
        <v>778</v>
      </c>
      <c r="B862" s="39">
        <f t="shared" si="126"/>
        <v>858</v>
      </c>
      <c r="C862" s="40">
        <v>46042</v>
      </c>
      <c r="D862" s="40" t="s">
        <v>80</v>
      </c>
      <c r="E862" s="40" t="s">
        <v>81</v>
      </c>
      <c r="F862" s="41">
        <v>756.8</v>
      </c>
      <c r="G862" s="42" t="s">
        <v>192</v>
      </c>
      <c r="H862" s="43" t="str">
        <f>IFERROR(VLOOKUP($J862,'[9]FROM (3)'!$E$4:$F$230,2,FALSE),"")</f>
        <v>JATH</v>
      </c>
      <c r="I862" s="44" t="str">
        <f t="shared" si="123"/>
        <v>JGF02-002190-31-2</v>
      </c>
      <c r="J862" s="44" t="str">
        <f t="shared" si="124"/>
        <v>RACK BAR BLANK (JGF02-002190-31-2) 5K45</v>
      </c>
      <c r="K862" s="59" t="str">
        <f t="shared" si="121"/>
        <v>PD25121245</v>
      </c>
      <c r="L862" s="46" t="str" cm="1">
        <f t="array" ref="L862">IFERROR(_xlfn.IFS(
    LEN($A862)-LEN(SUBSTITUTE($A862,"|",""))=12, RIGHT(A862, LEN(A862)-FIND("~", SUBSTITUTE(A862,"|","~", LEN(A862)-LEN(SUBSTITUTE(A862,"|",""))))),
    LEN($A862)-LEN(SUBSTITUTE($A862,"|",""))=13, MID($A862, FIND("~", SUBSTITUTE($A862,"|","~", 11))+1, FIND("~", SUBSTITUTE($A862,"|","~", 12))-FIND("~", SUBSTITUTE($A862,"|","~", 11))-1),
    LEN($A862)-LEN(SUBSTITUTE($A862,"|",""))=14, MID($A862, FIND("~", SUBSTITUTE($A862,"|","~", 11))+1, FIND("~", SUBSTITUTE($A862,"|","~", 12))-FIND("~", SUBSTITUTE($A862,"|","~", 11))-1)
), "")</f>
        <v>5A5913</v>
      </c>
      <c r="M862" s="47" t="str">
        <f t="shared" si="120"/>
        <v>TSK2</v>
      </c>
      <c r="N862" s="46" t="str">
        <f t="shared" si="122"/>
        <v>FB010002/13/26</v>
      </c>
      <c r="O862" s="60">
        <v>58</v>
      </c>
      <c r="P862" s="60">
        <v>280</v>
      </c>
      <c r="Q862" s="48">
        <v>58</v>
      </c>
      <c r="R862" s="48">
        <v>280</v>
      </c>
      <c r="S862" s="48"/>
      <c r="T862" s="48"/>
      <c r="U862" s="49"/>
      <c r="V862" s="49"/>
      <c r="W862" s="50">
        <f t="shared" si="119"/>
        <v>0</v>
      </c>
      <c r="X862" s="51" t="str">
        <f>IF(A862="", "", IF(COUNTIFS(C$3:C861, C862, D$3:D861, D862, G$3:G861, G862) &gt; 0, "", "11:00"-AW862))</f>
        <v/>
      </c>
      <c r="Y862" s="52" t="str">
        <f>IF(X862="", "", IF(AND(A862&lt;&gt;"",#REF!&lt;&gt; "NO OT"), "1:40", IF(AND(A862&lt;&gt;"",#REF!= "NO OT"), "1:0", "")))</f>
        <v/>
      </c>
      <c r="Z862" s="53"/>
      <c r="AA862" s="54"/>
      <c r="AB862" s="53"/>
      <c r="AC862" s="54"/>
      <c r="AD862" s="53"/>
      <c r="AE862" s="54"/>
      <c r="AF862" s="53"/>
      <c r="AG862" s="54"/>
      <c r="AH862" s="55">
        <v>4.1666666666666699E-2</v>
      </c>
      <c r="AI862" s="53"/>
      <c r="AJ862" s="54"/>
      <c r="AK862" s="53"/>
      <c r="AL862" s="54"/>
      <c r="AM862" s="53"/>
      <c r="AN862" s="54"/>
      <c r="AO862" s="53"/>
      <c r="AP862" s="54"/>
      <c r="AQ862" s="53"/>
      <c r="AR862" s="54"/>
      <c r="AS862" s="53"/>
      <c r="AT862" s="54"/>
      <c r="AU862" s="53">
        <v>4.1666666666666699E-2</v>
      </c>
      <c r="AV862" s="54" t="s">
        <v>37</v>
      </c>
      <c r="AW862" s="57">
        <f t="shared" ref="AW862:AW925" si="128">SUM(Z862,AB862,AD862,AF862,AI862,AK862,AM862,AO862,AQ862,AS862,AU862)</f>
        <v>4.1666666666666699E-2</v>
      </c>
      <c r="AX862" s="58" t="s">
        <v>224</v>
      </c>
    </row>
    <row r="863" spans="1:50" ht="27" customHeight="1">
      <c r="A863" s="66" t="s">
        <v>779</v>
      </c>
      <c r="B863" s="39">
        <f t="shared" si="126"/>
        <v>859</v>
      </c>
      <c r="C863" s="40">
        <v>46042</v>
      </c>
      <c r="D863" s="40" t="s">
        <v>80</v>
      </c>
      <c r="E863" s="40" t="s">
        <v>81</v>
      </c>
      <c r="F863" s="41">
        <v>756.8</v>
      </c>
      <c r="G863" s="42" t="s">
        <v>192</v>
      </c>
      <c r="H863" s="43" t="str">
        <f>IFERROR(VLOOKUP($J863,'[9]FROM (3)'!$E$4:$F$230,2,FALSE),"")</f>
        <v>JATH</v>
      </c>
      <c r="I863" s="44" t="str">
        <f t="shared" si="123"/>
        <v>JGF02-002190-31-2</v>
      </c>
      <c r="J863" s="44" t="str">
        <f t="shared" si="124"/>
        <v>RACK BAR BLANK (JGF02-002190-31-2) 5K45</v>
      </c>
      <c r="K863" s="59" t="str">
        <f t="shared" si="121"/>
        <v>PD25121245</v>
      </c>
      <c r="L863" s="46" t="str" cm="1">
        <f t="array" ref="L863">IFERROR(_xlfn.IFS(
    LEN($A863)-LEN(SUBSTITUTE($A863,"|",""))=12, RIGHT(A863, LEN(A863)-FIND("~", SUBSTITUTE(A863,"|","~", LEN(A863)-LEN(SUBSTITUTE(A863,"|",""))))),
    LEN($A863)-LEN(SUBSTITUTE($A863,"|",""))=13, MID($A863, FIND("~", SUBSTITUTE($A863,"|","~", 11))+1, FIND("~", SUBSTITUTE($A863,"|","~", 12))-FIND("~", SUBSTITUTE($A863,"|","~", 11))-1),
    LEN($A863)-LEN(SUBSTITUTE($A863,"|",""))=14, MID($A863, FIND("~", SUBSTITUTE($A863,"|","~", 11))+1, FIND("~", SUBSTITUTE($A863,"|","~", 12))-FIND("~", SUBSTITUTE($A863,"|","~", 11))-1)
), "")</f>
        <v>5A5913</v>
      </c>
      <c r="M863" s="47" t="str">
        <f t="shared" si="120"/>
        <v>TSK2</v>
      </c>
      <c r="N863" s="46" t="str">
        <f t="shared" si="122"/>
        <v>FB010002/2/26</v>
      </c>
      <c r="O863" s="60">
        <v>58</v>
      </c>
      <c r="P863" s="60">
        <v>280</v>
      </c>
      <c r="Q863" s="48">
        <v>58</v>
      </c>
      <c r="R863" s="48">
        <v>280</v>
      </c>
      <c r="S863" s="48"/>
      <c r="T863" s="48"/>
      <c r="U863" s="49"/>
      <c r="V863" s="49"/>
      <c r="W863" s="50">
        <f t="shared" si="119"/>
        <v>0</v>
      </c>
      <c r="X863" s="51" t="str">
        <f>IF(A863="", "", IF(COUNTIFS(C$3:C862, C863, D$3:D862, D863, G$3:G862, G863) &gt; 0, "", "11:00"-AW863))</f>
        <v/>
      </c>
      <c r="Y863" s="52" t="str">
        <f t="shared" ref="Y863:Y926" si="129">IF(X863="", "", IF(AND(A863&lt;&gt;"", AR863&lt;&gt;"NO OT"), "1:40", IF(AND(A863&lt;&gt;"", AR863="NO OT"), "1:0", "")))</f>
        <v/>
      </c>
      <c r="Z863" s="53"/>
      <c r="AA863" s="54"/>
      <c r="AB863" s="53"/>
      <c r="AC863" s="54"/>
      <c r="AD863" s="53"/>
      <c r="AE863" s="54"/>
      <c r="AF863" s="53"/>
      <c r="AG863" s="54"/>
      <c r="AH863" s="55">
        <v>4.1666666666666699E-2</v>
      </c>
      <c r="AI863" s="53"/>
      <c r="AJ863" s="54"/>
      <c r="AK863" s="53"/>
      <c r="AL863" s="54"/>
      <c r="AM863" s="53"/>
      <c r="AN863" s="54"/>
      <c r="AO863" s="53"/>
      <c r="AP863" s="54"/>
      <c r="AQ863" s="53"/>
      <c r="AR863" s="54"/>
      <c r="AS863" s="53"/>
      <c r="AT863" s="54"/>
      <c r="AU863" s="53">
        <v>4.1666666666666699E-2</v>
      </c>
      <c r="AV863" s="54" t="s">
        <v>37</v>
      </c>
      <c r="AW863" s="57">
        <f t="shared" si="128"/>
        <v>4.1666666666666699E-2</v>
      </c>
      <c r="AX863" s="58" t="s">
        <v>224</v>
      </c>
    </row>
    <row r="864" spans="1:50" ht="27" customHeight="1">
      <c r="A864" s="66" t="s">
        <v>780</v>
      </c>
      <c r="B864" s="39">
        <f t="shared" si="126"/>
        <v>860</v>
      </c>
      <c r="C864" s="40">
        <v>46042</v>
      </c>
      <c r="D864" s="40" t="s">
        <v>80</v>
      </c>
      <c r="E864" s="40" t="s">
        <v>81</v>
      </c>
      <c r="F864" s="41">
        <v>756.8</v>
      </c>
      <c r="G864" s="42" t="s">
        <v>192</v>
      </c>
      <c r="H864" s="43" t="str">
        <f>IFERROR(VLOOKUP($J864,'[9]FROM (3)'!$E$4:$F$230,2,FALSE),"")</f>
        <v>JATH</v>
      </c>
      <c r="I864" s="44" t="str">
        <f t="shared" si="123"/>
        <v>JGF02-002190-31-2</v>
      </c>
      <c r="J864" s="44" t="str">
        <f t="shared" si="124"/>
        <v>RACK BAR BLANK (JGF02-002190-31-2) 5K45</v>
      </c>
      <c r="K864" s="59" t="str">
        <f t="shared" si="121"/>
        <v>PD25121245</v>
      </c>
      <c r="L864" s="46" t="str" cm="1">
        <f t="array" ref="L864">IFERROR(_xlfn.IFS(
    LEN($A864)-LEN(SUBSTITUTE($A864,"|",""))=12, RIGHT(A864, LEN(A864)-FIND("~", SUBSTITUTE(A864,"|","~", LEN(A864)-LEN(SUBSTITUTE(A864,"|",""))))),
    LEN($A864)-LEN(SUBSTITUTE($A864,"|",""))=13, MID($A864, FIND("~", SUBSTITUTE($A864,"|","~", 11))+1, FIND("~", SUBSTITUTE($A864,"|","~", 12))-FIND("~", SUBSTITUTE($A864,"|","~", 11))-1),
    LEN($A864)-LEN(SUBSTITUTE($A864,"|",""))=14, MID($A864, FIND("~", SUBSTITUTE($A864,"|","~", 11))+1, FIND("~", SUBSTITUTE($A864,"|","~", 12))-FIND("~", SUBSTITUTE($A864,"|","~", 11))-1)
), "")</f>
        <v>5A5913</v>
      </c>
      <c r="M864" s="47" t="str">
        <f t="shared" si="120"/>
        <v>TSK2</v>
      </c>
      <c r="N864" s="46" t="str">
        <f t="shared" si="122"/>
        <v>FB010002/10/26</v>
      </c>
      <c r="O864" s="60">
        <v>58</v>
      </c>
      <c r="P864" s="60">
        <v>280</v>
      </c>
      <c r="Q864" s="48">
        <v>58</v>
      </c>
      <c r="R864" s="48">
        <v>280</v>
      </c>
      <c r="S864" s="48"/>
      <c r="T864" s="48"/>
      <c r="U864" s="49"/>
      <c r="V864" s="49"/>
      <c r="W864" s="50">
        <f t="shared" si="119"/>
        <v>0</v>
      </c>
      <c r="X864" s="51" t="str">
        <f>IF(A864="", "", IF(COUNTIFS(C$3:C863, C864, D$3:D863, D864, G$3:G863, G864) &gt; 0, "", "11:00"-AW864))</f>
        <v/>
      </c>
      <c r="Y864" s="52" t="str">
        <f t="shared" si="129"/>
        <v/>
      </c>
      <c r="Z864" s="53"/>
      <c r="AA864" s="54"/>
      <c r="AB864" s="53"/>
      <c r="AC864" s="54"/>
      <c r="AD864" s="53"/>
      <c r="AE864" s="54"/>
      <c r="AF864" s="53"/>
      <c r="AG864" s="54"/>
      <c r="AH864" s="55">
        <v>4.1666666666666699E-2</v>
      </c>
      <c r="AI864" s="53"/>
      <c r="AJ864" s="54"/>
      <c r="AK864" s="53"/>
      <c r="AL864" s="54"/>
      <c r="AM864" s="53"/>
      <c r="AN864" s="54"/>
      <c r="AO864" s="53"/>
      <c r="AP864" s="54"/>
      <c r="AQ864" s="53"/>
      <c r="AR864" s="54"/>
      <c r="AS864" s="53"/>
      <c r="AT864" s="54"/>
      <c r="AU864" s="53">
        <v>4.1666666666666699E-2</v>
      </c>
      <c r="AV864" s="54" t="s">
        <v>37</v>
      </c>
      <c r="AW864" s="57">
        <f t="shared" si="128"/>
        <v>4.1666666666666699E-2</v>
      </c>
      <c r="AX864" s="58" t="s">
        <v>224</v>
      </c>
    </row>
    <row r="865" spans="1:50" ht="27" customHeight="1">
      <c r="A865" s="66" t="s">
        <v>781</v>
      </c>
      <c r="B865" s="39">
        <f t="shared" si="126"/>
        <v>861</v>
      </c>
      <c r="C865" s="40">
        <v>46042</v>
      </c>
      <c r="D865" s="40" t="s">
        <v>80</v>
      </c>
      <c r="E865" s="40" t="s">
        <v>81</v>
      </c>
      <c r="F865" s="41">
        <v>756.8</v>
      </c>
      <c r="G865" s="42" t="s">
        <v>192</v>
      </c>
      <c r="H865" s="43" t="str">
        <f>IFERROR(VLOOKUP($J865,'[9]FROM (3)'!$E$4:$F$230,2,FALSE),"")</f>
        <v>JATH</v>
      </c>
      <c r="I865" s="44" t="str">
        <f t="shared" si="123"/>
        <v>JGF02-002190-31-2</v>
      </c>
      <c r="J865" s="44" t="str">
        <f t="shared" si="124"/>
        <v>RACK BAR BLANK (JGF02-002190-31-2) 5K45</v>
      </c>
      <c r="K865" s="59" t="str">
        <f t="shared" si="121"/>
        <v>PD25121245</v>
      </c>
      <c r="L865" s="46" t="str" cm="1">
        <f t="array" ref="L865">IFERROR(_xlfn.IFS(
    LEN($A865)-LEN(SUBSTITUTE($A865,"|",""))=12, RIGHT(A865, LEN(A865)-FIND("~", SUBSTITUTE(A865,"|","~", LEN(A865)-LEN(SUBSTITUTE(A865,"|",""))))),
    LEN($A865)-LEN(SUBSTITUTE($A865,"|",""))=13, MID($A865, FIND("~", SUBSTITUTE($A865,"|","~", 11))+1, FIND("~", SUBSTITUTE($A865,"|","~", 12))-FIND("~", SUBSTITUTE($A865,"|","~", 11))-1),
    LEN($A865)-LEN(SUBSTITUTE($A865,"|",""))=14, MID($A865, FIND("~", SUBSTITUTE($A865,"|","~", 11))+1, FIND("~", SUBSTITUTE($A865,"|","~", 12))-FIND("~", SUBSTITUTE($A865,"|","~", 11))-1)
), "")</f>
        <v>5A5913</v>
      </c>
      <c r="M865" s="47" t="str">
        <f t="shared" si="120"/>
        <v>TSK2</v>
      </c>
      <c r="N865" s="46" t="str">
        <f t="shared" si="122"/>
        <v>FB010002/6/26</v>
      </c>
      <c r="O865" s="60">
        <v>58</v>
      </c>
      <c r="P865" s="60">
        <v>280</v>
      </c>
      <c r="Q865" s="48">
        <v>58</v>
      </c>
      <c r="R865" s="48">
        <v>280</v>
      </c>
      <c r="S865" s="48"/>
      <c r="T865" s="48"/>
      <c r="U865" s="49"/>
      <c r="V865" s="49"/>
      <c r="W865" s="50">
        <f t="shared" si="119"/>
        <v>0</v>
      </c>
      <c r="X865" s="51" t="str">
        <f>IF(A865="", "", IF(COUNTIFS(C$3:C864, C865, D$3:D864, D865, G$3:G864, G865) &gt; 0, "", "11:00"-AW865))</f>
        <v/>
      </c>
      <c r="Y865" s="52" t="str">
        <f t="shared" si="129"/>
        <v/>
      </c>
      <c r="Z865" s="53"/>
      <c r="AA865" s="54"/>
      <c r="AB865" s="53"/>
      <c r="AC865" s="54"/>
      <c r="AD865" s="53"/>
      <c r="AE865" s="54"/>
      <c r="AF865" s="53"/>
      <c r="AG865" s="54"/>
      <c r="AH865" s="55">
        <v>4.1666666666666699E-2</v>
      </c>
      <c r="AI865" s="53"/>
      <c r="AJ865" s="54"/>
      <c r="AK865" s="53"/>
      <c r="AL865" s="54"/>
      <c r="AM865" s="53"/>
      <c r="AN865" s="54"/>
      <c r="AO865" s="53"/>
      <c r="AP865" s="54"/>
      <c r="AQ865" s="53"/>
      <c r="AR865" s="54"/>
      <c r="AS865" s="53"/>
      <c r="AT865" s="54"/>
      <c r="AU865" s="53">
        <v>4.1666666666666699E-2</v>
      </c>
      <c r="AV865" s="54" t="s">
        <v>37</v>
      </c>
      <c r="AW865" s="57">
        <f t="shared" si="128"/>
        <v>4.1666666666666699E-2</v>
      </c>
      <c r="AX865" s="58" t="s">
        <v>224</v>
      </c>
    </row>
    <row r="866" spans="1:50" ht="27" customHeight="1">
      <c r="A866" s="66" t="s">
        <v>782</v>
      </c>
      <c r="B866" s="39">
        <f t="shared" si="126"/>
        <v>862</v>
      </c>
      <c r="C866" s="40">
        <v>46042</v>
      </c>
      <c r="D866" s="40" t="s">
        <v>80</v>
      </c>
      <c r="E866" s="40" t="s">
        <v>81</v>
      </c>
      <c r="F866" s="41">
        <v>756.8</v>
      </c>
      <c r="G866" s="42" t="s">
        <v>192</v>
      </c>
      <c r="H866" s="43" t="str">
        <f>IFERROR(VLOOKUP($J866,'[9]FROM (3)'!$E$4:$F$230,2,FALSE),"")</f>
        <v>JATH</v>
      </c>
      <c r="I866" s="44" t="str">
        <f t="shared" si="123"/>
        <v>JGF02-002190-31-2</v>
      </c>
      <c r="J866" s="44" t="str">
        <f t="shared" si="124"/>
        <v>RACK BAR BLANK (JGF02-002190-31-2) 5K45</v>
      </c>
      <c r="K866" s="59" t="str">
        <f t="shared" si="121"/>
        <v>PD25121245</v>
      </c>
      <c r="L866" s="46" t="str" cm="1">
        <f t="array" ref="L866">IFERROR(_xlfn.IFS(
    LEN($A866)-LEN(SUBSTITUTE($A866,"|",""))=12, RIGHT(A866, LEN(A866)-FIND("~", SUBSTITUTE(A866,"|","~", LEN(A866)-LEN(SUBSTITUTE(A866,"|",""))))),
    LEN($A866)-LEN(SUBSTITUTE($A866,"|",""))=13, MID($A866, FIND("~", SUBSTITUTE($A866,"|","~", 11))+1, FIND("~", SUBSTITUTE($A866,"|","~", 12))-FIND("~", SUBSTITUTE($A866,"|","~", 11))-1),
    LEN($A866)-LEN(SUBSTITUTE($A866,"|",""))=14, MID($A866, FIND("~", SUBSTITUTE($A866,"|","~", 11))+1, FIND("~", SUBSTITUTE($A866,"|","~", 12))-FIND("~", SUBSTITUTE($A866,"|","~", 11))-1)
), "")</f>
        <v>5A5913</v>
      </c>
      <c r="M866" s="47" t="str">
        <f t="shared" si="120"/>
        <v>TSK2</v>
      </c>
      <c r="N866" s="46" t="str">
        <f t="shared" si="122"/>
        <v>FB010002/3/26</v>
      </c>
      <c r="O866" s="60">
        <v>58</v>
      </c>
      <c r="P866" s="60">
        <v>280</v>
      </c>
      <c r="Q866" s="48">
        <v>58</v>
      </c>
      <c r="R866" s="48">
        <v>280</v>
      </c>
      <c r="S866" s="48"/>
      <c r="T866" s="48"/>
      <c r="U866" s="49"/>
      <c r="V866" s="49"/>
      <c r="W866" s="50">
        <f t="shared" si="119"/>
        <v>0</v>
      </c>
      <c r="X866" s="51" t="str">
        <f>IF(A866="", "", IF(COUNTIFS(C$3:C865, C866, D$3:D865, D866, G$3:G865, G866) &gt; 0, "", "11:00"-AW866))</f>
        <v/>
      </c>
      <c r="Y866" s="52" t="str">
        <f t="shared" si="129"/>
        <v/>
      </c>
      <c r="Z866" s="53"/>
      <c r="AA866" s="54"/>
      <c r="AB866" s="53"/>
      <c r="AC866" s="54"/>
      <c r="AD866" s="53"/>
      <c r="AE866" s="54"/>
      <c r="AF866" s="53"/>
      <c r="AG866" s="54"/>
      <c r="AH866" s="55">
        <v>4.1666666666666699E-2</v>
      </c>
      <c r="AI866" s="53"/>
      <c r="AJ866" s="54"/>
      <c r="AK866" s="53"/>
      <c r="AL866" s="54"/>
      <c r="AM866" s="53"/>
      <c r="AN866" s="54"/>
      <c r="AO866" s="53"/>
      <c r="AP866" s="54"/>
      <c r="AQ866" s="53"/>
      <c r="AR866" s="54"/>
      <c r="AS866" s="53"/>
      <c r="AT866" s="54"/>
      <c r="AU866" s="53">
        <v>4.1666666666666699E-2</v>
      </c>
      <c r="AV866" s="54" t="s">
        <v>37</v>
      </c>
      <c r="AW866" s="57">
        <f t="shared" si="128"/>
        <v>4.1666666666666699E-2</v>
      </c>
      <c r="AX866" s="58" t="s">
        <v>224</v>
      </c>
    </row>
    <row r="867" spans="1:50" ht="27" customHeight="1">
      <c r="A867" s="66" t="s">
        <v>783</v>
      </c>
      <c r="B867" s="39">
        <f t="shared" si="126"/>
        <v>863</v>
      </c>
      <c r="C867" s="40">
        <v>46042</v>
      </c>
      <c r="D867" s="40" t="s">
        <v>80</v>
      </c>
      <c r="E867" s="40" t="s">
        <v>81</v>
      </c>
      <c r="F867" s="41">
        <v>756.8</v>
      </c>
      <c r="G867" s="42" t="s">
        <v>192</v>
      </c>
      <c r="H867" s="43" t="str">
        <f>IFERROR(VLOOKUP($J867,'[9]FROM (3)'!$E$4:$F$230,2,FALSE),"")</f>
        <v>JATH</v>
      </c>
      <c r="I867" s="44" t="str">
        <f t="shared" si="123"/>
        <v>JGF02-002190-31-2</v>
      </c>
      <c r="J867" s="44" t="str">
        <f t="shared" si="124"/>
        <v>RACK BAR BLANK (JGF02-002190-31-2) 5K45</v>
      </c>
      <c r="K867" s="59" t="str">
        <f t="shared" si="121"/>
        <v>PD25121245</v>
      </c>
      <c r="L867" s="46" t="str" cm="1">
        <f t="array" ref="L867">IFERROR(_xlfn.IFS(
    LEN($A867)-LEN(SUBSTITUTE($A867,"|",""))=12, RIGHT(A867, LEN(A867)-FIND("~", SUBSTITUTE(A867,"|","~", LEN(A867)-LEN(SUBSTITUTE(A867,"|",""))))),
    LEN($A867)-LEN(SUBSTITUTE($A867,"|",""))=13, MID($A867, FIND("~", SUBSTITUTE($A867,"|","~", 11))+1, FIND("~", SUBSTITUTE($A867,"|","~", 12))-FIND("~", SUBSTITUTE($A867,"|","~", 11))-1),
    LEN($A867)-LEN(SUBSTITUTE($A867,"|",""))=14, MID($A867, FIND("~", SUBSTITUTE($A867,"|","~", 11))+1, FIND("~", SUBSTITUTE($A867,"|","~", 12))-FIND("~", SUBSTITUTE($A867,"|","~", 11))-1)
), "")</f>
        <v>5A5913</v>
      </c>
      <c r="M867" s="47" t="str">
        <f t="shared" si="120"/>
        <v>TSK2</v>
      </c>
      <c r="N867" s="46" t="str">
        <f t="shared" si="122"/>
        <v>FB010002/7/26</v>
      </c>
      <c r="O867" s="60">
        <v>58</v>
      </c>
      <c r="P867" s="60">
        <v>280</v>
      </c>
      <c r="Q867" s="48">
        <v>58</v>
      </c>
      <c r="R867" s="48">
        <v>280</v>
      </c>
      <c r="S867" s="48"/>
      <c r="T867" s="48"/>
      <c r="U867" s="49"/>
      <c r="V867" s="49"/>
      <c r="W867" s="50">
        <f t="shared" si="119"/>
        <v>0</v>
      </c>
      <c r="X867" s="51" t="str">
        <f>IF(A867="", "", IF(COUNTIFS(C$3:C866, C867, D$3:D866, D867, G$3:G866, G867) &gt; 0, "", "11:00"-AW867))</f>
        <v/>
      </c>
      <c r="Y867" s="52" t="str">
        <f t="shared" si="129"/>
        <v/>
      </c>
      <c r="Z867" s="53"/>
      <c r="AA867" s="54"/>
      <c r="AB867" s="53"/>
      <c r="AC867" s="54"/>
      <c r="AD867" s="53"/>
      <c r="AE867" s="54"/>
      <c r="AF867" s="53"/>
      <c r="AG867" s="54"/>
      <c r="AH867" s="55">
        <v>4.1666666666666699E-2</v>
      </c>
      <c r="AI867" s="53"/>
      <c r="AJ867" s="54"/>
      <c r="AK867" s="53"/>
      <c r="AL867" s="54"/>
      <c r="AM867" s="53"/>
      <c r="AN867" s="54"/>
      <c r="AO867" s="53"/>
      <c r="AP867" s="54"/>
      <c r="AQ867" s="53"/>
      <c r="AR867" s="54"/>
      <c r="AS867" s="53"/>
      <c r="AT867" s="54"/>
      <c r="AU867" s="53">
        <v>4.1666666666666699E-2</v>
      </c>
      <c r="AV867" s="54" t="s">
        <v>37</v>
      </c>
      <c r="AW867" s="57">
        <f t="shared" si="128"/>
        <v>4.1666666666666699E-2</v>
      </c>
      <c r="AX867" s="58" t="s">
        <v>224</v>
      </c>
    </row>
    <row r="868" spans="1:50" ht="27" customHeight="1">
      <c r="A868" s="66" t="s">
        <v>784</v>
      </c>
      <c r="B868" s="39">
        <f t="shared" si="126"/>
        <v>864</v>
      </c>
      <c r="C868" s="40">
        <v>46042</v>
      </c>
      <c r="D868" s="40" t="s">
        <v>80</v>
      </c>
      <c r="E868" s="40" t="s">
        <v>81</v>
      </c>
      <c r="F868" s="41">
        <v>756.8</v>
      </c>
      <c r="G868" s="42" t="s">
        <v>192</v>
      </c>
      <c r="H868" s="43" t="str">
        <f>IFERROR(VLOOKUP($J868,'[9]FROM (3)'!$E$4:$F$230,2,FALSE),"")</f>
        <v>JATH</v>
      </c>
      <c r="I868" s="44" t="str">
        <f t="shared" si="123"/>
        <v>JGF02-002190-31-2</v>
      </c>
      <c r="J868" s="44" t="str">
        <f t="shared" si="124"/>
        <v>RACK BAR BLANK (JGF02-002190-31-2) 5K45</v>
      </c>
      <c r="K868" s="59" t="str">
        <f t="shared" si="121"/>
        <v>PD25121245</v>
      </c>
      <c r="L868" s="46" t="str" cm="1">
        <f t="array" ref="L868">IFERROR(_xlfn.IFS(
    LEN($A868)-LEN(SUBSTITUTE($A868,"|",""))=12, RIGHT(A868, LEN(A868)-FIND("~", SUBSTITUTE(A868,"|","~", LEN(A868)-LEN(SUBSTITUTE(A868,"|",""))))),
    LEN($A868)-LEN(SUBSTITUTE($A868,"|",""))=13, MID($A868, FIND("~", SUBSTITUTE($A868,"|","~", 11))+1, FIND("~", SUBSTITUTE($A868,"|","~", 12))-FIND("~", SUBSTITUTE($A868,"|","~", 11))-1),
    LEN($A868)-LEN(SUBSTITUTE($A868,"|",""))=14, MID($A868, FIND("~", SUBSTITUTE($A868,"|","~", 11))+1, FIND("~", SUBSTITUTE($A868,"|","~", 12))-FIND("~", SUBSTITUTE($A868,"|","~", 11))-1)
), "")</f>
        <v>5A5913</v>
      </c>
      <c r="M868" s="47" t="str">
        <f t="shared" si="120"/>
        <v>TSK2</v>
      </c>
      <c r="N868" s="46" t="str">
        <f t="shared" si="122"/>
        <v>FB010002/8/26</v>
      </c>
      <c r="O868" s="60">
        <v>58</v>
      </c>
      <c r="P868" s="60">
        <v>280</v>
      </c>
      <c r="Q868" s="48">
        <v>58</v>
      </c>
      <c r="R868" s="48">
        <v>280</v>
      </c>
      <c r="S868" s="48"/>
      <c r="T868" s="48"/>
      <c r="U868" s="49"/>
      <c r="V868" s="49"/>
      <c r="W868" s="50">
        <f t="shared" si="119"/>
        <v>0</v>
      </c>
      <c r="X868" s="51" t="str">
        <f>IF(A868="", "", IF(COUNTIFS(C$3:C867, C868, D$3:D867, D868, G$3:G867, G868) &gt; 0, "", "11:00"-AW868))</f>
        <v/>
      </c>
      <c r="Y868" s="52" t="str">
        <f t="shared" si="129"/>
        <v/>
      </c>
      <c r="Z868" s="53"/>
      <c r="AA868" s="54"/>
      <c r="AB868" s="53"/>
      <c r="AC868" s="54"/>
      <c r="AD868" s="53"/>
      <c r="AE868" s="54"/>
      <c r="AF868" s="53"/>
      <c r="AG868" s="54"/>
      <c r="AH868" s="55">
        <v>4.1666666666666699E-2</v>
      </c>
      <c r="AI868" s="53"/>
      <c r="AJ868" s="54"/>
      <c r="AK868" s="53"/>
      <c r="AL868" s="54"/>
      <c r="AM868" s="53"/>
      <c r="AN868" s="54"/>
      <c r="AO868" s="53"/>
      <c r="AP868" s="54"/>
      <c r="AQ868" s="53"/>
      <c r="AR868" s="54"/>
      <c r="AS868" s="53"/>
      <c r="AT868" s="54"/>
      <c r="AU868" s="53">
        <v>4.1666666666666699E-2</v>
      </c>
      <c r="AV868" s="54" t="s">
        <v>37</v>
      </c>
      <c r="AW868" s="57">
        <f t="shared" si="128"/>
        <v>4.1666666666666699E-2</v>
      </c>
      <c r="AX868" s="58" t="s">
        <v>224</v>
      </c>
    </row>
    <row r="869" spans="1:50" ht="27" customHeight="1">
      <c r="A869" s="66" t="s">
        <v>785</v>
      </c>
      <c r="B869" s="39">
        <f t="shared" si="126"/>
        <v>865</v>
      </c>
      <c r="C869" s="40">
        <v>46042</v>
      </c>
      <c r="D869" s="40" t="s">
        <v>80</v>
      </c>
      <c r="E869" s="40" t="s">
        <v>81</v>
      </c>
      <c r="F869" s="41">
        <v>756.8</v>
      </c>
      <c r="G869" s="42" t="s">
        <v>192</v>
      </c>
      <c r="H869" s="43" t="str">
        <f>IFERROR(VLOOKUP($J869,'[9]FROM (3)'!$E$4:$F$230,2,FALSE),"")</f>
        <v>JATH</v>
      </c>
      <c r="I869" s="44" t="str">
        <f t="shared" si="123"/>
        <v>JGF02-002190-31-2</v>
      </c>
      <c r="J869" s="44" t="str">
        <f t="shared" si="124"/>
        <v>RACK BAR BLANK (JGF02-002190-31-2) 5K45</v>
      </c>
      <c r="K869" s="59" t="str">
        <f t="shared" si="121"/>
        <v>PD25121245</v>
      </c>
      <c r="L869" s="46" t="str" cm="1">
        <f t="array" ref="L869">IFERROR(_xlfn.IFS(
    LEN($A869)-LEN(SUBSTITUTE($A869,"|",""))=12, RIGHT(A869, LEN(A869)-FIND("~", SUBSTITUTE(A869,"|","~", LEN(A869)-LEN(SUBSTITUTE(A869,"|",""))))),
    LEN($A869)-LEN(SUBSTITUTE($A869,"|",""))=13, MID($A869, FIND("~", SUBSTITUTE($A869,"|","~", 11))+1, FIND("~", SUBSTITUTE($A869,"|","~", 12))-FIND("~", SUBSTITUTE($A869,"|","~", 11))-1),
    LEN($A869)-LEN(SUBSTITUTE($A869,"|",""))=14, MID($A869, FIND("~", SUBSTITUTE($A869,"|","~", 11))+1, FIND("~", SUBSTITUTE($A869,"|","~", 12))-FIND("~", SUBSTITUTE($A869,"|","~", 11))-1)
), "")</f>
        <v>5A5913</v>
      </c>
      <c r="M869" s="47" t="str">
        <f t="shared" si="120"/>
        <v>TSK2</v>
      </c>
      <c r="N869" s="46" t="str">
        <f t="shared" si="122"/>
        <v>FB010002/9/26</v>
      </c>
      <c r="O869" s="60">
        <v>58</v>
      </c>
      <c r="P869" s="60">
        <v>280</v>
      </c>
      <c r="Q869" s="48">
        <v>58</v>
      </c>
      <c r="R869" s="48">
        <v>280</v>
      </c>
      <c r="S869" s="48"/>
      <c r="T869" s="48"/>
      <c r="U869" s="49"/>
      <c r="V869" s="49"/>
      <c r="W869" s="50">
        <f t="shared" si="119"/>
        <v>0</v>
      </c>
      <c r="X869" s="51" t="str">
        <f>IF(A869="", "", IF(COUNTIFS(C$3:C868, C869, D$3:D868, D869, G$3:G868, G869) &gt; 0, "", "11:00"-AW869))</f>
        <v/>
      </c>
      <c r="Y869" s="52" t="str">
        <f t="shared" si="129"/>
        <v/>
      </c>
      <c r="Z869" s="53"/>
      <c r="AA869" s="54"/>
      <c r="AB869" s="53"/>
      <c r="AC869" s="54"/>
      <c r="AD869" s="53"/>
      <c r="AE869" s="54"/>
      <c r="AF869" s="53"/>
      <c r="AG869" s="54"/>
      <c r="AH869" s="55">
        <v>4.1666666666666699E-2</v>
      </c>
      <c r="AI869" s="53"/>
      <c r="AJ869" s="54"/>
      <c r="AK869" s="53"/>
      <c r="AL869" s="54"/>
      <c r="AM869" s="53"/>
      <c r="AN869" s="54"/>
      <c r="AO869" s="53"/>
      <c r="AP869" s="54"/>
      <c r="AQ869" s="53"/>
      <c r="AR869" s="54"/>
      <c r="AS869" s="53"/>
      <c r="AT869" s="54"/>
      <c r="AU869" s="53">
        <v>4.1666666666666699E-2</v>
      </c>
      <c r="AV869" s="54" t="s">
        <v>37</v>
      </c>
      <c r="AW869" s="57">
        <f t="shared" si="128"/>
        <v>4.1666666666666699E-2</v>
      </c>
      <c r="AX869" s="58" t="s">
        <v>224</v>
      </c>
    </row>
    <row r="870" spans="1:50" ht="27" customHeight="1">
      <c r="A870" s="66" t="s">
        <v>786</v>
      </c>
      <c r="B870" s="39">
        <f t="shared" si="126"/>
        <v>866</v>
      </c>
      <c r="C870" s="40">
        <v>46042</v>
      </c>
      <c r="D870" s="40" t="s">
        <v>80</v>
      </c>
      <c r="E870" s="40" t="s">
        <v>81</v>
      </c>
      <c r="F870" s="41">
        <v>655.4</v>
      </c>
      <c r="G870" s="42" t="s">
        <v>85</v>
      </c>
      <c r="H870" s="43" t="str">
        <f>IFERROR(VLOOKUP($J870,'[9]FROM (3)'!$E$4:$F$230,2,FALSE),"")</f>
        <v>JAMY</v>
      </c>
      <c r="I870" s="44" t="str">
        <f t="shared" si="123"/>
        <v>RACK BAR</v>
      </c>
      <c r="J870" s="44" t="str">
        <f t="shared" si="124"/>
        <v>JGC10-M09008-51-0</v>
      </c>
      <c r="K870" s="59" t="str">
        <f t="shared" si="121"/>
        <v>PD26010874</v>
      </c>
      <c r="L870" s="46" t="str" cm="1">
        <f t="array" ref="L870">IFERROR(_xlfn.IFS(
    LEN($A870)-LEN(SUBSTITUTE($A870,"|",""))=12, RIGHT(A870, LEN(A870)-FIND("~", SUBSTITUTE(A870,"|","~", LEN(A870)-LEN(SUBSTITUTE(A870,"|",""))))),
    LEN($A870)-LEN(SUBSTITUTE($A870,"|",""))=13, MID($A870, FIND("~", SUBSTITUTE($A870,"|","~", 11))+1, FIND("~", SUBSTITUTE($A870,"|","~", 12))-FIND("~", SUBSTITUTE($A870,"|","~", 11))-1),
    LEN($A870)-LEN(SUBSTITUTE($A870,"|",""))=14, MID($A870, FIND("~", SUBSTITUTE($A870,"|","~", 11))+1, FIND("~", SUBSTITUTE($A870,"|","~", 12))-FIND("~", SUBSTITUTE($A870,"|","~", 11))-1)
), "")</f>
        <v>E586966</v>
      </c>
      <c r="M870" s="47" t="str">
        <f t="shared" si="120"/>
        <v>SB010114/4/26</v>
      </c>
      <c r="N870" s="46" t="str">
        <f t="shared" si="122"/>
        <v/>
      </c>
      <c r="O870" s="60">
        <v>60</v>
      </c>
      <c r="P870" s="60">
        <v>874</v>
      </c>
      <c r="Q870" s="48">
        <v>275</v>
      </c>
      <c r="R870" s="48">
        <v>751</v>
      </c>
      <c r="S870" s="48">
        <v>25</v>
      </c>
      <c r="T870" s="48" t="s">
        <v>787</v>
      </c>
      <c r="U870" s="49"/>
      <c r="V870" s="49"/>
      <c r="W870" s="50">
        <f t="shared" si="119"/>
        <v>0</v>
      </c>
      <c r="X870" s="51">
        <f>IF(A870="", "", IF(COUNTIFS(C$3:C869, C870, D$3:D869, D870, G$3:G869, G870) &gt; 0, "", "11:00"-AW870))</f>
        <v>0.29166666666666663</v>
      </c>
      <c r="Y870" s="52" t="str">
        <f t="shared" si="129"/>
        <v>1:40</v>
      </c>
      <c r="Z870" s="53">
        <v>4.1666666666666664E-2</v>
      </c>
      <c r="AA870" s="54" t="s">
        <v>67</v>
      </c>
      <c r="AB870" s="53">
        <v>4.1666666666666664E-2</v>
      </c>
      <c r="AC870" s="54" t="s">
        <v>82</v>
      </c>
      <c r="AD870" s="53"/>
      <c r="AE870" s="54"/>
      <c r="AF870" s="53"/>
      <c r="AG870" s="54"/>
      <c r="AH870" s="55">
        <v>4.1666666666666699E-2</v>
      </c>
      <c r="AI870" s="53"/>
      <c r="AJ870" s="54"/>
      <c r="AK870" s="53"/>
      <c r="AL870" s="54"/>
      <c r="AM870" s="53"/>
      <c r="AN870" s="54"/>
      <c r="AO870" s="53"/>
      <c r="AP870" s="54"/>
      <c r="AQ870" s="53"/>
      <c r="AR870" s="54"/>
      <c r="AS870" s="53">
        <v>4.1666666666666664E-2</v>
      </c>
      <c r="AT870" s="54" t="s">
        <v>147</v>
      </c>
      <c r="AU870" s="53">
        <v>4.1666666666666699E-2</v>
      </c>
      <c r="AV870" s="54" t="s">
        <v>37</v>
      </c>
      <c r="AW870" s="57">
        <f t="shared" si="128"/>
        <v>0.16666666666666669</v>
      </c>
      <c r="AX870" s="58" t="s">
        <v>109</v>
      </c>
    </row>
    <row r="871" spans="1:50" ht="27" customHeight="1">
      <c r="A871" s="66" t="s">
        <v>788</v>
      </c>
      <c r="B871" s="39">
        <f t="shared" si="126"/>
        <v>867</v>
      </c>
      <c r="C871" s="40">
        <v>46042</v>
      </c>
      <c r="D871" s="40" t="s">
        <v>80</v>
      </c>
      <c r="E871" s="40" t="s">
        <v>81</v>
      </c>
      <c r="F871" s="41">
        <v>655.4</v>
      </c>
      <c r="G871" s="42" t="s">
        <v>85</v>
      </c>
      <c r="H871" s="43" t="str">
        <f>IFERROR(VLOOKUP($J871,'[9]FROM (3)'!$E$4:$F$230,2,FALSE),"")</f>
        <v>JAMY</v>
      </c>
      <c r="I871" s="44" t="str">
        <f t="shared" si="123"/>
        <v>RACK BAR</v>
      </c>
      <c r="J871" s="44" t="str">
        <f t="shared" si="124"/>
        <v>JGC10-M09008-51-0</v>
      </c>
      <c r="K871" s="59" t="str">
        <f t="shared" si="121"/>
        <v>PD26010874</v>
      </c>
      <c r="L871" s="46" t="str" cm="1">
        <f t="array" ref="L871">IFERROR(_xlfn.IFS(
    LEN($A871)-LEN(SUBSTITUTE($A871,"|",""))=12, RIGHT(A871, LEN(A871)-FIND("~", SUBSTITUTE(A871,"|","~", LEN(A871)-LEN(SUBSTITUTE(A871,"|",""))))),
    LEN($A871)-LEN(SUBSTITUTE($A871,"|",""))=13, MID($A871, FIND("~", SUBSTITUTE($A871,"|","~", 11))+1, FIND("~", SUBSTITUTE($A871,"|","~", 12))-FIND("~", SUBSTITUTE($A871,"|","~", 11))-1),
    LEN($A871)-LEN(SUBSTITUTE($A871,"|",""))=14, MID($A871, FIND("~", SUBSTITUTE($A871,"|","~", 11))+1, FIND("~", SUBSTITUTE($A871,"|","~", 12))-FIND("~", SUBSTITUTE($A871,"|","~", 11))-1)
), "")</f>
        <v>E586966</v>
      </c>
      <c r="M871" s="47" t="str">
        <f t="shared" si="120"/>
        <v>SB010114/5/26</v>
      </c>
      <c r="N871" s="46" t="str">
        <f t="shared" si="122"/>
        <v/>
      </c>
      <c r="O871" s="60">
        <v>60</v>
      </c>
      <c r="P871" s="60">
        <v>874</v>
      </c>
      <c r="Q871" s="48">
        <v>300</v>
      </c>
      <c r="R871" s="48">
        <v>819</v>
      </c>
      <c r="S871" s="48" t="s">
        <v>35</v>
      </c>
      <c r="T871" s="48"/>
      <c r="U871" s="49"/>
      <c r="V871" s="49"/>
      <c r="W871" s="50">
        <f t="shared" si="119"/>
        <v>0</v>
      </c>
      <c r="X871" s="51" t="str">
        <f>IF(A871="", "", IF(COUNTIFS(C$3:C870, C871, D$3:D870, D871, G$3:G870, G871) &gt; 0, "", "11:00"-AW871))</f>
        <v/>
      </c>
      <c r="Y871" s="52" t="str">
        <f t="shared" si="129"/>
        <v/>
      </c>
      <c r="Z871" s="53"/>
      <c r="AA871" s="54"/>
      <c r="AB871" s="53"/>
      <c r="AC871" s="54"/>
      <c r="AD871" s="53"/>
      <c r="AE871" s="54"/>
      <c r="AF871" s="53"/>
      <c r="AG871" s="54"/>
      <c r="AH871" s="55">
        <v>4.1666666666666699E-2</v>
      </c>
      <c r="AI871" s="53"/>
      <c r="AJ871" s="54"/>
      <c r="AK871" s="53"/>
      <c r="AL871" s="54"/>
      <c r="AM871" s="53"/>
      <c r="AN871" s="54"/>
      <c r="AO871" s="53"/>
      <c r="AP871" s="54"/>
      <c r="AQ871" s="53"/>
      <c r="AR871" s="54"/>
      <c r="AS871" s="53"/>
      <c r="AT871" s="54"/>
      <c r="AU871" s="53">
        <v>4.1666666666666699E-2</v>
      </c>
      <c r="AV871" s="54" t="s">
        <v>37</v>
      </c>
      <c r="AW871" s="57">
        <f t="shared" si="128"/>
        <v>4.1666666666666699E-2</v>
      </c>
      <c r="AX871" s="58" t="s">
        <v>109</v>
      </c>
    </row>
    <row r="872" spans="1:50" ht="27" customHeight="1">
      <c r="A872" s="66" t="s">
        <v>789</v>
      </c>
      <c r="B872" s="39">
        <f t="shared" si="126"/>
        <v>868</v>
      </c>
      <c r="C872" s="40">
        <v>46042</v>
      </c>
      <c r="D872" s="40" t="s">
        <v>80</v>
      </c>
      <c r="E872" s="40" t="s">
        <v>81</v>
      </c>
      <c r="F872" s="41">
        <v>655.4</v>
      </c>
      <c r="G872" s="42" t="s">
        <v>85</v>
      </c>
      <c r="H872" s="43" t="str">
        <f>IFERROR(VLOOKUP($J872,'[9]FROM (3)'!$E$4:$F$230,2,FALSE),"")</f>
        <v>JAMY</v>
      </c>
      <c r="I872" s="44" t="str">
        <f t="shared" si="123"/>
        <v>RACK BAR</v>
      </c>
      <c r="J872" s="44" t="str">
        <f t="shared" si="124"/>
        <v>JGC10-M09008-51-0</v>
      </c>
      <c r="K872" s="59" t="str">
        <f t="shared" si="121"/>
        <v>PD26010874</v>
      </c>
      <c r="L872" s="46" t="str" cm="1">
        <f t="array" ref="L872">IFERROR(_xlfn.IFS(
    LEN($A872)-LEN(SUBSTITUTE($A872,"|",""))=12, RIGHT(A872, LEN(A872)-FIND("~", SUBSTITUTE(A872,"|","~", LEN(A872)-LEN(SUBSTITUTE(A872,"|",""))))),
    LEN($A872)-LEN(SUBSTITUTE($A872,"|",""))=13, MID($A872, FIND("~", SUBSTITUTE($A872,"|","~", 11))+1, FIND("~", SUBSTITUTE($A872,"|","~", 12))-FIND("~", SUBSTITUTE($A872,"|","~", 11))-1),
    LEN($A872)-LEN(SUBSTITUTE($A872,"|",""))=14, MID($A872, FIND("~", SUBSTITUTE($A872,"|","~", 11))+1, FIND("~", SUBSTITUTE($A872,"|","~", 12))-FIND("~", SUBSTITUTE($A872,"|","~", 11))-1)
), "")</f>
        <v>E586966</v>
      </c>
      <c r="M872" s="47" t="str">
        <f t="shared" si="120"/>
        <v>SB010114/6/26</v>
      </c>
      <c r="N872" s="46" t="str">
        <f t="shared" si="122"/>
        <v/>
      </c>
      <c r="O872" s="60">
        <v>60</v>
      </c>
      <c r="P872" s="60">
        <v>874</v>
      </c>
      <c r="Q872" s="48">
        <v>300</v>
      </c>
      <c r="R872" s="48">
        <v>819</v>
      </c>
      <c r="S872" s="48" t="s">
        <v>35</v>
      </c>
      <c r="T872" s="48"/>
      <c r="U872" s="49">
        <v>145</v>
      </c>
      <c r="V872" s="49">
        <v>9</v>
      </c>
      <c r="W872" s="50">
        <f t="shared" si="119"/>
        <v>154</v>
      </c>
      <c r="X872" s="51" t="str">
        <f>IF(A872="", "", IF(COUNTIFS(C$3:C871, C872, D$3:D871, D872, G$3:G871, G872) &gt; 0, "", "11:00"-AW872))</f>
        <v/>
      </c>
      <c r="Y872" s="52" t="str">
        <f t="shared" si="129"/>
        <v/>
      </c>
      <c r="Z872" s="53"/>
      <c r="AA872" s="54"/>
      <c r="AB872" s="53"/>
      <c r="AC872" s="54"/>
      <c r="AD872" s="53"/>
      <c r="AE872" s="54"/>
      <c r="AF872" s="53"/>
      <c r="AG872" s="54"/>
      <c r="AH872" s="55">
        <v>4.1666666666666699E-2</v>
      </c>
      <c r="AI872" s="53"/>
      <c r="AJ872" s="54"/>
      <c r="AK872" s="53"/>
      <c r="AL872" s="54"/>
      <c r="AM872" s="53"/>
      <c r="AN872" s="54"/>
      <c r="AO872" s="53"/>
      <c r="AP872" s="54"/>
      <c r="AQ872" s="53"/>
      <c r="AR872" s="54"/>
      <c r="AS872" s="53"/>
      <c r="AT872" s="54"/>
      <c r="AU872" s="53">
        <v>4.1666666666666699E-2</v>
      </c>
      <c r="AV872" s="54" t="s">
        <v>37</v>
      </c>
      <c r="AW872" s="57">
        <f t="shared" si="128"/>
        <v>4.1666666666666699E-2</v>
      </c>
      <c r="AX872" s="58" t="s">
        <v>109</v>
      </c>
    </row>
    <row r="873" spans="1:50" ht="27" customHeight="1">
      <c r="A873" s="66" t="s">
        <v>790</v>
      </c>
      <c r="B873" s="39">
        <f t="shared" si="126"/>
        <v>869</v>
      </c>
      <c r="C873" s="40">
        <v>46042</v>
      </c>
      <c r="D873" s="40" t="s">
        <v>80</v>
      </c>
      <c r="E873" s="40" t="s">
        <v>81</v>
      </c>
      <c r="F873" s="41">
        <v>278</v>
      </c>
      <c r="G873" s="42" t="s">
        <v>108</v>
      </c>
      <c r="H873" s="43" t="str">
        <f>IFERROR(VLOOKUP($J873,'[9]FROM (3)'!$E$4:$F$230,2,FALSE),"")</f>
        <v>SIAM NSK</v>
      </c>
      <c r="I873" s="44" t="str">
        <f t="shared" si="123"/>
        <v>SHAFT SPLINE</v>
      </c>
      <c r="J873" s="44" t="str">
        <f t="shared" si="124"/>
        <v>2550T0749P</v>
      </c>
      <c r="K873" s="59" t="str">
        <f t="shared" si="121"/>
        <v>PD26010868</v>
      </c>
      <c r="L873" s="46" t="str" cm="1">
        <f t="array" ref="L873">IFERROR(_xlfn.IFS(
    LEN($A873)-LEN(SUBSTITUTE($A873,"|",""))=12, RIGHT(A873, LEN(A873)-FIND("~", SUBSTITUTE(A873,"|","~", LEN(A873)-LEN(SUBSTITUTE(A873,"|",""))))),
    LEN($A873)-LEN(SUBSTITUTE($A873,"|",""))=13, MID($A873, FIND("~", SUBSTITUTE($A873,"|","~", 11))+1, FIND("~", SUBSTITUTE($A873,"|","~", 12))-FIND("~", SUBSTITUTE($A873,"|","~", 11))-1),
    LEN($A873)-LEN(SUBSTITUTE($A873,"|",""))=14, MID($A873, FIND("~", SUBSTITUTE($A873,"|","~", 11))+1, FIND("~", SUBSTITUTE($A873,"|","~", 12))-FIND("~", SUBSTITUTE($A873,"|","~", 11))-1)
), "")</f>
        <v>SF93404</v>
      </c>
      <c r="M873" s="47" t="str">
        <f t="shared" si="120"/>
        <v>SB010084/1/26</v>
      </c>
      <c r="N873" s="46" t="str">
        <f t="shared" si="122"/>
        <v/>
      </c>
      <c r="O873" s="60">
        <v>107</v>
      </c>
      <c r="P873" s="60">
        <v>1030</v>
      </c>
      <c r="Q873" s="48">
        <v>81</v>
      </c>
      <c r="R873" s="48">
        <v>46</v>
      </c>
      <c r="S873" s="48"/>
      <c r="T873" s="48"/>
      <c r="U873" s="49"/>
      <c r="V873" s="49"/>
      <c r="W873" s="50">
        <f t="shared" si="119"/>
        <v>0</v>
      </c>
      <c r="X873" s="51" t="str">
        <f>IF(A873="", "", IF(COUNTIFS(C$3:C872, C873, D$3:D872, D873, G$3:G872, G873) &gt; 0, "", "11:00"-AW873))</f>
        <v/>
      </c>
      <c r="Y873" s="52" t="str">
        <f t="shared" si="129"/>
        <v/>
      </c>
      <c r="Z873" s="53"/>
      <c r="AA873" s="54"/>
      <c r="AB873" s="53"/>
      <c r="AC873" s="54"/>
      <c r="AD873" s="53"/>
      <c r="AE873" s="54"/>
      <c r="AF873" s="53"/>
      <c r="AG873" s="54"/>
      <c r="AH873" s="55">
        <v>4.1666666666666699E-2</v>
      </c>
      <c r="AI873" s="53"/>
      <c r="AJ873" s="54"/>
      <c r="AK873" s="53"/>
      <c r="AL873" s="54"/>
      <c r="AM873" s="53"/>
      <c r="AN873" s="54"/>
      <c r="AO873" s="53"/>
      <c r="AP873" s="54"/>
      <c r="AQ873" s="53"/>
      <c r="AR873" s="54"/>
      <c r="AS873" s="53"/>
      <c r="AT873" s="54"/>
      <c r="AU873" s="53">
        <v>4.1666666666666699E-2</v>
      </c>
      <c r="AV873" s="54" t="s">
        <v>37</v>
      </c>
      <c r="AW873" s="57">
        <f t="shared" si="128"/>
        <v>4.1666666666666699E-2</v>
      </c>
      <c r="AX873" s="58" t="s">
        <v>770</v>
      </c>
    </row>
    <row r="874" spans="1:50" ht="27" customHeight="1">
      <c r="A874" s="66" t="s">
        <v>772</v>
      </c>
      <c r="B874" s="39">
        <f t="shared" si="126"/>
        <v>870</v>
      </c>
      <c r="C874" s="40">
        <v>46042</v>
      </c>
      <c r="D874" s="40" t="s">
        <v>80</v>
      </c>
      <c r="E874" s="40" t="s">
        <v>81</v>
      </c>
      <c r="F874" s="41">
        <v>375</v>
      </c>
      <c r="G874" s="42" t="s">
        <v>172</v>
      </c>
      <c r="H874" s="43" t="str">
        <f>IFERROR(VLOOKUP($J874,'[9]FROM (3)'!$E$4:$F$230,2,FALSE),"")</f>
        <v>ATAC</v>
      </c>
      <c r="I874" s="44" t="str">
        <f t="shared" si="123"/>
        <v>SEAT,WATER PUMP PULLEY</v>
      </c>
      <c r="J874" s="44" t="str">
        <f t="shared" si="124"/>
        <v>16171-05030</v>
      </c>
      <c r="K874" s="59" t="str">
        <f t="shared" si="121"/>
        <v>PD26010857</v>
      </c>
      <c r="L874" s="46" t="str" cm="1">
        <f t="array" ref="L874">IFERROR(_xlfn.IFS(
    LEN($A874)-LEN(SUBSTITUTE($A874,"|",""))=12, RIGHT(A874, LEN(A874)-FIND("~", SUBSTITUTE(A874,"|","~", LEN(A874)-LEN(SUBSTITUTE(A874,"|",""))))),
    LEN($A874)-LEN(SUBSTITUTE($A874,"|",""))=13, MID($A874, FIND("~", SUBSTITUTE($A874,"|","~", 11))+1, FIND("~", SUBSTITUTE($A874,"|","~", 12))-FIND("~", SUBSTITUTE($A874,"|","~", 11))-1),
    LEN($A874)-LEN(SUBSTITUTE($A874,"|",""))=14, MID($A874, FIND("~", SUBSTITUTE($A874,"|","~", 11))+1, FIND("~", SUBSTITUTE($A874,"|","~", 12))-FIND("~", SUBSTITUTE($A874,"|","~", 11))-1)
), "")</f>
        <v>665898</v>
      </c>
      <c r="M874" s="47" t="str">
        <f t="shared" si="120"/>
        <v>SB010102/5/26</v>
      </c>
      <c r="N874" s="46" t="str">
        <f t="shared" si="122"/>
        <v/>
      </c>
      <c r="O874" s="60">
        <v>14</v>
      </c>
      <c r="P874" s="60">
        <v>990</v>
      </c>
      <c r="Q874" s="48">
        <v>2283</v>
      </c>
      <c r="R874" s="48">
        <v>856</v>
      </c>
      <c r="S874" s="48"/>
      <c r="T874" s="48"/>
      <c r="U874" s="49"/>
      <c r="V874" s="49"/>
      <c r="W874" s="50">
        <f t="shared" si="119"/>
        <v>0</v>
      </c>
      <c r="X874" s="51" t="str">
        <f>IF(A874="", "", IF(COUNTIFS(C$3:C873, C874, D$3:D873, D874, G$3:G873, G874) &gt; 0, "", "11:00"-AW874))</f>
        <v/>
      </c>
      <c r="Y874" s="52" t="str">
        <f t="shared" si="129"/>
        <v/>
      </c>
      <c r="Z874" s="53"/>
      <c r="AA874" s="54"/>
      <c r="AB874" s="53"/>
      <c r="AC874" s="54"/>
      <c r="AD874" s="53"/>
      <c r="AE874" s="54"/>
      <c r="AF874" s="53"/>
      <c r="AG874" s="54"/>
      <c r="AH874" s="55">
        <v>4.1666666666666699E-2</v>
      </c>
      <c r="AI874" s="53"/>
      <c r="AJ874" s="54"/>
      <c r="AK874" s="53"/>
      <c r="AL874" s="54"/>
      <c r="AM874" s="53"/>
      <c r="AN874" s="54"/>
      <c r="AO874" s="53"/>
      <c r="AP874" s="54"/>
      <c r="AQ874" s="53"/>
      <c r="AR874" s="54"/>
      <c r="AS874" s="53"/>
      <c r="AT874" s="54"/>
      <c r="AU874" s="53">
        <v>4.1666666666666699E-2</v>
      </c>
      <c r="AV874" s="54" t="s">
        <v>37</v>
      </c>
      <c r="AW874" s="57">
        <f t="shared" si="128"/>
        <v>4.1666666666666699E-2</v>
      </c>
      <c r="AX874" s="58" t="s">
        <v>770</v>
      </c>
    </row>
    <row r="875" spans="1:50" ht="27" customHeight="1">
      <c r="A875" s="66" t="s">
        <v>775</v>
      </c>
      <c r="B875" s="39">
        <f t="shared" si="126"/>
        <v>871</v>
      </c>
      <c r="C875" s="40">
        <v>46043</v>
      </c>
      <c r="D875" s="40" t="s">
        <v>32</v>
      </c>
      <c r="E875" s="40" t="s">
        <v>33</v>
      </c>
      <c r="F875" s="41">
        <v>732.4</v>
      </c>
      <c r="G875" s="42" t="s">
        <v>46</v>
      </c>
      <c r="H875" s="43" t="str">
        <f>IFERROR(VLOOKUP($J875,'[9]FROM (3)'!$E$4:$F$230,2,FALSE),"")</f>
        <v>JATH</v>
      </c>
      <c r="I875" s="44" t="str">
        <f t="shared" si="123"/>
        <v>RACK BAR BLANK</v>
      </c>
      <c r="J875" s="44" t="str">
        <f t="shared" si="124"/>
        <v>JGF02-002060-31-3</v>
      </c>
      <c r="K875" s="59" t="str">
        <f t="shared" si="121"/>
        <v>PD25120629</v>
      </c>
      <c r="L875" s="46" t="str" cm="1">
        <f t="array" ref="L875">IFERROR(_xlfn.IFS(
    LEN($A875)-LEN(SUBSTITUTE($A875,"|",""))=12, RIGHT(A875, LEN(A875)-FIND("~", SUBSTITUTE(A875,"|","~", LEN(A875)-LEN(SUBSTITUTE(A875,"|",""))))),
    LEN($A875)-LEN(SUBSTITUTE($A875,"|",""))=13, MID($A875, FIND("~", SUBSTITUTE($A875,"|","~", 11))+1, FIND("~", SUBSTITUTE($A875,"|","~", 12))-FIND("~", SUBSTITUTE($A875,"|","~", 11))-1),
    LEN($A875)-LEN(SUBSTITUTE($A875,"|",""))=14, MID($A875, FIND("~", SUBSTITUTE($A875,"|","~", 11))+1, FIND("~", SUBSTITUTE($A875,"|","~", 12))-FIND("~", SUBSTITUTE($A875,"|","~", 11))-1)
), "")</f>
        <v>5B0230</v>
      </c>
      <c r="M875" s="47" t="str">
        <f t="shared" si="120"/>
        <v>SB120090/5/25</v>
      </c>
      <c r="N875" s="46" t="str">
        <f t="shared" si="122"/>
        <v/>
      </c>
      <c r="O875" s="60" t="s">
        <v>35</v>
      </c>
      <c r="P875" s="60" t="s">
        <v>35</v>
      </c>
      <c r="Q875" s="48">
        <v>21</v>
      </c>
      <c r="R875" s="48">
        <v>98</v>
      </c>
      <c r="S875" s="48"/>
      <c r="T875" s="48"/>
      <c r="U875" s="49"/>
      <c r="V875" s="49"/>
      <c r="W875" s="50">
        <f t="shared" si="119"/>
        <v>0</v>
      </c>
      <c r="X875" s="51">
        <f>IF(A875="", "", IF(COUNTIFS(C$3:C874, C875, D$3:D874, D875, G$3:G874, G875) &gt; 0, "", "11:00"-AW875))</f>
        <v>0.39583333333333326</v>
      </c>
      <c r="Y875" s="52" t="str">
        <f t="shared" si="129"/>
        <v>1:40</v>
      </c>
      <c r="Z875" s="53"/>
      <c r="AA875" s="54"/>
      <c r="AB875" s="53"/>
      <c r="AC875" s="54"/>
      <c r="AD875" s="53"/>
      <c r="AE875" s="54"/>
      <c r="AF875" s="53"/>
      <c r="AG875" s="54"/>
      <c r="AH875" s="55">
        <v>4.1666666666666699E-2</v>
      </c>
      <c r="AI875" s="53"/>
      <c r="AJ875" s="54"/>
      <c r="AK875" s="53"/>
      <c r="AL875" s="54"/>
      <c r="AM875" s="53"/>
      <c r="AN875" s="54"/>
      <c r="AO875" s="53"/>
      <c r="AP875" s="54"/>
      <c r="AQ875" s="53"/>
      <c r="AR875" s="54"/>
      <c r="AS875" s="53">
        <v>2.0833333333333332E-2</v>
      </c>
      <c r="AT875" s="54" t="s">
        <v>129</v>
      </c>
      <c r="AU875" s="53">
        <v>4.1666666666666699E-2</v>
      </c>
      <c r="AV875" s="54" t="s">
        <v>37</v>
      </c>
      <c r="AW875" s="57">
        <f t="shared" si="128"/>
        <v>6.2500000000000028E-2</v>
      </c>
      <c r="AX875" s="58" t="s">
        <v>48</v>
      </c>
    </row>
    <row r="876" spans="1:50" ht="27" customHeight="1">
      <c r="A876" s="66" t="s">
        <v>791</v>
      </c>
      <c r="B876" s="39">
        <f t="shared" si="126"/>
        <v>872</v>
      </c>
      <c r="C876" s="40">
        <v>46043</v>
      </c>
      <c r="D876" s="40" t="s">
        <v>32</v>
      </c>
      <c r="E876" s="40" t="s">
        <v>33</v>
      </c>
      <c r="F876" s="41">
        <v>732.4</v>
      </c>
      <c r="G876" s="42" t="s">
        <v>46</v>
      </c>
      <c r="H876" s="43" t="str">
        <f>IFERROR(VLOOKUP($J876,'[9]FROM (3)'!$E$4:$F$230,2,FALSE),"")</f>
        <v>JATH</v>
      </c>
      <c r="I876" s="44" t="str">
        <f t="shared" si="123"/>
        <v>RACK BAR BLANK</v>
      </c>
      <c r="J876" s="44" t="str">
        <f t="shared" si="124"/>
        <v>JGF02-002060-31-3</v>
      </c>
      <c r="K876" s="59" t="str">
        <f t="shared" si="121"/>
        <v>PD25120629</v>
      </c>
      <c r="L876" s="46" t="str" cm="1">
        <f t="array" ref="L876">IFERROR(_xlfn.IFS(
    LEN($A876)-LEN(SUBSTITUTE($A876,"|",""))=12, RIGHT(A876, LEN(A876)-FIND("~", SUBSTITUTE(A876,"|","~", LEN(A876)-LEN(SUBSTITUTE(A876,"|",""))))),
    LEN($A876)-LEN(SUBSTITUTE($A876,"|",""))=13, MID($A876, FIND("~", SUBSTITUTE($A876,"|","~", 11))+1, FIND("~", SUBSTITUTE($A876,"|","~", 12))-FIND("~", SUBSTITUTE($A876,"|","~", 11))-1),
    LEN($A876)-LEN(SUBSTITUTE($A876,"|",""))=14, MID($A876, FIND("~", SUBSTITUTE($A876,"|","~", 11))+1, FIND("~", SUBSTITUTE($A876,"|","~", 12))-FIND("~", SUBSTITUTE($A876,"|","~", 11))-1)
), "")</f>
        <v>5B0230</v>
      </c>
      <c r="M876" s="47" t="str">
        <f t="shared" si="120"/>
        <v>SB120090/6/25</v>
      </c>
      <c r="N876" s="46" t="str">
        <f t="shared" si="122"/>
        <v/>
      </c>
      <c r="O876" s="60">
        <v>28</v>
      </c>
      <c r="P876" s="60">
        <v>967</v>
      </c>
      <c r="Q876" s="48">
        <v>196</v>
      </c>
      <c r="R876" s="48">
        <v>916</v>
      </c>
      <c r="S876" s="48"/>
      <c r="T876" s="48"/>
      <c r="U876" s="49"/>
      <c r="V876" s="49"/>
      <c r="W876" s="50">
        <f t="shared" si="119"/>
        <v>0</v>
      </c>
      <c r="X876" s="51" t="str">
        <f>IF(A876="", "", IF(COUNTIFS(C$3:C875, C876, D$3:D875, D876, G$3:G875, G876) &gt; 0, "", "11:00"-AW876))</f>
        <v/>
      </c>
      <c r="Y876" s="52" t="str">
        <f t="shared" si="129"/>
        <v/>
      </c>
      <c r="Z876" s="53"/>
      <c r="AA876" s="54"/>
      <c r="AB876" s="53"/>
      <c r="AC876" s="54"/>
      <c r="AD876" s="53"/>
      <c r="AE876" s="54"/>
      <c r="AF876" s="53"/>
      <c r="AG876" s="54"/>
      <c r="AH876" s="55">
        <v>4.1666666666666699E-2</v>
      </c>
      <c r="AI876" s="53"/>
      <c r="AJ876" s="54"/>
      <c r="AK876" s="53"/>
      <c r="AL876" s="54"/>
      <c r="AM876" s="53"/>
      <c r="AN876" s="54"/>
      <c r="AO876" s="53"/>
      <c r="AP876" s="54"/>
      <c r="AQ876" s="53"/>
      <c r="AR876" s="54"/>
      <c r="AS876" s="53"/>
      <c r="AT876" s="54"/>
      <c r="AU876" s="53">
        <v>4.1666666666666699E-2</v>
      </c>
      <c r="AV876" s="54" t="s">
        <v>37</v>
      </c>
      <c r="AW876" s="57">
        <f t="shared" si="128"/>
        <v>4.1666666666666699E-2</v>
      </c>
      <c r="AX876" s="58" t="s">
        <v>48</v>
      </c>
    </row>
    <row r="877" spans="1:50" ht="27" customHeight="1">
      <c r="A877" s="66" t="s">
        <v>792</v>
      </c>
      <c r="B877" s="39">
        <f t="shared" si="126"/>
        <v>873</v>
      </c>
      <c r="C877" s="40">
        <v>46043</v>
      </c>
      <c r="D877" s="40" t="s">
        <v>32</v>
      </c>
      <c r="E877" s="40" t="s">
        <v>33</v>
      </c>
      <c r="F877" s="41">
        <v>732.4</v>
      </c>
      <c r="G877" s="42" t="s">
        <v>46</v>
      </c>
      <c r="H877" s="43" t="str">
        <f>IFERROR(VLOOKUP($J877,'[9]FROM (3)'!$E$4:$F$230,2,FALSE),"")</f>
        <v>JATH</v>
      </c>
      <c r="I877" s="44" t="str">
        <f t="shared" si="123"/>
        <v>RACK BAR BLANK</v>
      </c>
      <c r="J877" s="44" t="str">
        <f t="shared" si="124"/>
        <v>JGF02-002060-31-3</v>
      </c>
      <c r="K877" s="59" t="str">
        <f t="shared" si="121"/>
        <v>PD25120629</v>
      </c>
      <c r="L877" s="46" t="str" cm="1">
        <f t="array" ref="L877">IFERROR(_xlfn.IFS(
    LEN($A877)-LEN(SUBSTITUTE($A877,"|",""))=12, RIGHT(A877, LEN(A877)-FIND("~", SUBSTITUTE(A877,"|","~", LEN(A877)-LEN(SUBSTITUTE(A877,"|",""))))),
    LEN($A877)-LEN(SUBSTITUTE($A877,"|",""))=13, MID($A877, FIND("~", SUBSTITUTE($A877,"|","~", 11))+1, FIND("~", SUBSTITUTE($A877,"|","~", 12))-FIND("~", SUBSTITUTE($A877,"|","~", 11))-1),
    LEN($A877)-LEN(SUBSTITUTE($A877,"|",""))=14, MID($A877, FIND("~", SUBSTITUTE($A877,"|","~", 11))+1, FIND("~", SUBSTITUTE($A877,"|","~", 12))-FIND("~", SUBSTITUTE($A877,"|","~", 11))-1)
), "")</f>
        <v>5B0230</v>
      </c>
      <c r="M877" s="47" t="str">
        <f t="shared" si="120"/>
        <v>SB120090/3/25</v>
      </c>
      <c r="N877" s="46" t="str">
        <f t="shared" si="122"/>
        <v/>
      </c>
      <c r="O877" s="60">
        <v>28</v>
      </c>
      <c r="P877" s="60">
        <v>967</v>
      </c>
      <c r="Q877" s="48">
        <v>196</v>
      </c>
      <c r="R877" s="48">
        <v>916</v>
      </c>
      <c r="S877" s="48"/>
      <c r="T877" s="48"/>
      <c r="U877" s="49"/>
      <c r="V877" s="49"/>
      <c r="W877" s="50">
        <f t="shared" si="119"/>
        <v>0</v>
      </c>
      <c r="X877" s="51" t="str">
        <f>IF(A877="", "", IF(COUNTIFS(C$3:C876, C877, D$3:D876, D877, G$3:G876, G877) &gt; 0, "", "11:00"-AW877))</f>
        <v/>
      </c>
      <c r="Y877" s="52" t="str">
        <f t="shared" si="129"/>
        <v/>
      </c>
      <c r="Z877" s="53"/>
      <c r="AA877" s="54"/>
      <c r="AB877" s="53"/>
      <c r="AC877" s="54"/>
      <c r="AD877" s="53"/>
      <c r="AE877" s="54"/>
      <c r="AF877" s="53"/>
      <c r="AG877" s="54"/>
      <c r="AH877" s="55">
        <v>4.1666666666666699E-2</v>
      </c>
      <c r="AI877" s="53"/>
      <c r="AJ877" s="54"/>
      <c r="AK877" s="53"/>
      <c r="AL877" s="54"/>
      <c r="AM877" s="53"/>
      <c r="AN877" s="54"/>
      <c r="AO877" s="53"/>
      <c r="AP877" s="54"/>
      <c r="AQ877" s="53"/>
      <c r="AR877" s="54"/>
      <c r="AS877" s="53"/>
      <c r="AT877" s="54"/>
      <c r="AU877" s="53">
        <v>4.1666666666666699E-2</v>
      </c>
      <c r="AV877" s="54" t="s">
        <v>37</v>
      </c>
      <c r="AW877" s="57">
        <f t="shared" si="128"/>
        <v>4.1666666666666699E-2</v>
      </c>
      <c r="AX877" s="58" t="s">
        <v>48</v>
      </c>
    </row>
    <row r="878" spans="1:50" ht="27" customHeight="1">
      <c r="A878" s="66" t="s">
        <v>793</v>
      </c>
      <c r="B878" s="39">
        <f t="shared" si="126"/>
        <v>874</v>
      </c>
      <c r="C878" s="40">
        <v>46043</v>
      </c>
      <c r="D878" s="40" t="s">
        <v>32</v>
      </c>
      <c r="E878" s="40" t="s">
        <v>33</v>
      </c>
      <c r="F878" s="41">
        <v>732.4</v>
      </c>
      <c r="G878" s="42" t="s">
        <v>46</v>
      </c>
      <c r="H878" s="43" t="str">
        <f>IFERROR(VLOOKUP($J878,'[9]FROM (3)'!$E$4:$F$230,2,FALSE),"")</f>
        <v>JATH</v>
      </c>
      <c r="I878" s="44" t="str">
        <f t="shared" si="123"/>
        <v>RACK BAR BLANK</v>
      </c>
      <c r="J878" s="44" t="str">
        <f t="shared" si="124"/>
        <v>JGF02-002060-31-3</v>
      </c>
      <c r="K878" s="59" t="str">
        <f t="shared" si="121"/>
        <v>PD25120629</v>
      </c>
      <c r="L878" s="46" t="str" cm="1">
        <f t="array" ref="L878">IFERROR(_xlfn.IFS(
    LEN($A878)-LEN(SUBSTITUTE($A878,"|",""))=12, RIGHT(A878, LEN(A878)-FIND("~", SUBSTITUTE(A878,"|","~", LEN(A878)-LEN(SUBSTITUTE(A878,"|",""))))),
    LEN($A878)-LEN(SUBSTITUTE($A878,"|",""))=13, MID($A878, FIND("~", SUBSTITUTE($A878,"|","~", 11))+1, FIND("~", SUBSTITUTE($A878,"|","~", 12))-FIND("~", SUBSTITUTE($A878,"|","~", 11))-1),
    LEN($A878)-LEN(SUBSTITUTE($A878,"|",""))=14, MID($A878, FIND("~", SUBSTITUTE($A878,"|","~", 11))+1, FIND("~", SUBSTITUTE($A878,"|","~", 12))-FIND("~", SUBSTITUTE($A878,"|","~", 11))-1)
), "")</f>
        <v>5B0230</v>
      </c>
      <c r="M878" s="47" t="str">
        <f t="shared" si="120"/>
        <v>SB120090/4/25</v>
      </c>
      <c r="N878" s="46" t="str">
        <f t="shared" si="122"/>
        <v/>
      </c>
      <c r="O878" s="60">
        <v>28</v>
      </c>
      <c r="P878" s="60">
        <v>967</v>
      </c>
      <c r="Q878" s="48">
        <v>196</v>
      </c>
      <c r="R878" s="48">
        <v>916</v>
      </c>
      <c r="S878" s="48"/>
      <c r="T878" s="48"/>
      <c r="U878" s="49"/>
      <c r="V878" s="49"/>
      <c r="W878" s="50">
        <f t="shared" si="119"/>
        <v>0</v>
      </c>
      <c r="X878" s="51" t="str">
        <f>IF(A878="", "", IF(COUNTIFS(C$3:C877, C878, D$3:D877, D878, G$3:G877, G878) &gt; 0, "", "11:00"-AW878))</f>
        <v/>
      </c>
      <c r="Y878" s="52" t="str">
        <f t="shared" si="129"/>
        <v/>
      </c>
      <c r="Z878" s="53"/>
      <c r="AA878" s="54"/>
      <c r="AB878" s="53"/>
      <c r="AC878" s="54"/>
      <c r="AD878" s="53"/>
      <c r="AE878" s="54"/>
      <c r="AF878" s="53"/>
      <c r="AG878" s="54"/>
      <c r="AH878" s="55">
        <v>4.1666666666666699E-2</v>
      </c>
      <c r="AI878" s="53"/>
      <c r="AJ878" s="54"/>
      <c r="AK878" s="53"/>
      <c r="AL878" s="54"/>
      <c r="AM878" s="53"/>
      <c r="AN878" s="54"/>
      <c r="AO878" s="53"/>
      <c r="AP878" s="54"/>
      <c r="AQ878" s="53"/>
      <c r="AR878" s="54"/>
      <c r="AS878" s="53"/>
      <c r="AT878" s="54"/>
      <c r="AU878" s="53">
        <v>4.1666666666666699E-2</v>
      </c>
      <c r="AV878" s="54" t="s">
        <v>37</v>
      </c>
      <c r="AW878" s="57">
        <f t="shared" si="128"/>
        <v>4.1666666666666699E-2</v>
      </c>
      <c r="AX878" s="58" t="s">
        <v>48</v>
      </c>
    </row>
    <row r="879" spans="1:50" ht="27" customHeight="1">
      <c r="A879" s="66" t="s">
        <v>794</v>
      </c>
      <c r="B879" s="39">
        <f t="shared" si="126"/>
        <v>875</v>
      </c>
      <c r="C879" s="40">
        <v>46043</v>
      </c>
      <c r="D879" s="40" t="s">
        <v>32</v>
      </c>
      <c r="E879" s="40" t="s">
        <v>33</v>
      </c>
      <c r="F879" s="41">
        <v>732.4</v>
      </c>
      <c r="G879" s="42" t="s">
        <v>46</v>
      </c>
      <c r="H879" s="43" t="str">
        <f>IFERROR(VLOOKUP($J879,'[9]FROM (3)'!$E$4:$F$230,2,FALSE),"")</f>
        <v>JATH</v>
      </c>
      <c r="I879" s="44" t="str">
        <f t="shared" si="123"/>
        <v>RACK BAR BLANK</v>
      </c>
      <c r="J879" s="44" t="str">
        <f t="shared" si="124"/>
        <v>JGF02-002060-31-3</v>
      </c>
      <c r="K879" s="59" t="str">
        <f t="shared" si="121"/>
        <v>PD25120629</v>
      </c>
      <c r="L879" s="46" t="str" cm="1">
        <f t="array" ref="L879">IFERROR(_xlfn.IFS(
    LEN($A879)-LEN(SUBSTITUTE($A879,"|",""))=12, RIGHT(A879, LEN(A879)-FIND("~", SUBSTITUTE(A879,"|","~", LEN(A879)-LEN(SUBSTITUTE(A879,"|",""))))),
    LEN($A879)-LEN(SUBSTITUTE($A879,"|",""))=13, MID($A879, FIND("~", SUBSTITUTE($A879,"|","~", 11))+1, FIND("~", SUBSTITUTE($A879,"|","~", 12))-FIND("~", SUBSTITUTE($A879,"|","~", 11))-1),
    LEN($A879)-LEN(SUBSTITUTE($A879,"|",""))=14, MID($A879, FIND("~", SUBSTITUTE($A879,"|","~", 11))+1, FIND("~", SUBSTITUTE($A879,"|","~", 12))-FIND("~", SUBSTITUTE($A879,"|","~", 11))-1)
), "")</f>
        <v>5B0230</v>
      </c>
      <c r="M879" s="47" t="str">
        <f t="shared" si="120"/>
        <v>SB120090/1/25</v>
      </c>
      <c r="N879" s="46" t="str">
        <f t="shared" si="122"/>
        <v/>
      </c>
      <c r="O879" s="60">
        <v>28</v>
      </c>
      <c r="P879" s="60">
        <v>967</v>
      </c>
      <c r="Q879" s="48">
        <v>29</v>
      </c>
      <c r="R879" s="48">
        <v>135</v>
      </c>
      <c r="S879" s="48"/>
      <c r="T879" s="48"/>
      <c r="U879" s="49"/>
      <c r="V879" s="49"/>
      <c r="W879" s="50">
        <f t="shared" ref="W879:W942" si="130">SUM(U879:V879)</f>
        <v>0</v>
      </c>
      <c r="X879" s="51" t="str">
        <f>IF(A879="", "", IF(COUNTIFS(C$3:C878, C879, D$3:D878, D879, G$3:G878, G879) &gt; 0, "", "11:00"-AW879))</f>
        <v/>
      </c>
      <c r="Y879" s="52" t="str">
        <f t="shared" si="129"/>
        <v/>
      </c>
      <c r="Z879" s="53"/>
      <c r="AA879" s="54"/>
      <c r="AB879" s="53"/>
      <c r="AC879" s="54"/>
      <c r="AD879" s="53"/>
      <c r="AE879" s="54"/>
      <c r="AF879" s="53"/>
      <c r="AG879" s="54"/>
      <c r="AH879" s="55">
        <v>4.1666666666666699E-2</v>
      </c>
      <c r="AI879" s="53"/>
      <c r="AJ879" s="54"/>
      <c r="AK879" s="53"/>
      <c r="AL879" s="54"/>
      <c r="AM879" s="53"/>
      <c r="AN879" s="54"/>
      <c r="AO879" s="53"/>
      <c r="AP879" s="54"/>
      <c r="AQ879" s="53"/>
      <c r="AR879" s="54"/>
      <c r="AS879" s="53"/>
      <c r="AT879" s="54"/>
      <c r="AU879" s="53">
        <v>4.1666666666666699E-2</v>
      </c>
      <c r="AV879" s="54" t="s">
        <v>37</v>
      </c>
      <c r="AW879" s="57">
        <f t="shared" si="128"/>
        <v>4.1666666666666699E-2</v>
      </c>
      <c r="AX879" s="58" t="s">
        <v>48</v>
      </c>
    </row>
    <row r="880" spans="1:50" ht="27" customHeight="1">
      <c r="A880" s="66" t="s">
        <v>764</v>
      </c>
      <c r="B880" s="39">
        <f t="shared" si="126"/>
        <v>876</v>
      </c>
      <c r="C880" s="40">
        <v>46043</v>
      </c>
      <c r="D880" s="40" t="s">
        <v>32</v>
      </c>
      <c r="E880" s="40" t="s">
        <v>33</v>
      </c>
      <c r="F880" s="41">
        <v>597.4</v>
      </c>
      <c r="G880" s="42" t="s">
        <v>54</v>
      </c>
      <c r="H880" s="43" t="str">
        <f>IFERROR(VLOOKUP($J880,'[9]FROM (3)'!$E$4:$F$230,2,FALSE),"")</f>
        <v>JTCS</v>
      </c>
      <c r="I880" s="44" t="str">
        <f t="shared" si="123"/>
        <v>Rack, MS</v>
      </c>
      <c r="J880" s="44" t="str">
        <f t="shared" si="124"/>
        <v>JGC10-003770-40-0</v>
      </c>
      <c r="K880" s="59" t="str">
        <f t="shared" si="121"/>
        <v>PD26010774</v>
      </c>
      <c r="L880" s="46" t="str" cm="1">
        <f t="array" ref="L880">IFERROR(_xlfn.IFS(
    LEN($A880)-LEN(SUBSTITUTE($A880,"|",""))=12, RIGHT(A880, LEN(A880)-FIND("~", SUBSTITUTE(A880,"|","~", LEN(A880)-LEN(SUBSTITUTE(A880,"|",""))))),
    LEN($A880)-LEN(SUBSTITUTE($A880,"|",""))=13, MID($A880, FIND("~", SUBSTITUTE($A880,"|","~", 11))+1, FIND("~", SUBSTITUTE($A880,"|","~", 12))-FIND("~", SUBSTITUTE($A880,"|","~", 11))-1),
    LEN($A880)-LEN(SUBSTITUTE($A880,"|",""))=14, MID($A880, FIND("~", SUBSTITUTE($A880,"|","~", 11))+1, FIND("~", SUBSTITUTE($A880,"|","~", 12))-FIND("~", SUBSTITUTE($A880,"|","~", 11))-1)
), "")</f>
        <v>E585970</v>
      </c>
      <c r="M880" s="47" t="str">
        <f t="shared" si="120"/>
        <v>SB010088/1/26</v>
      </c>
      <c r="N880" s="46" t="str">
        <f t="shared" si="122"/>
        <v/>
      </c>
      <c r="O880" s="60"/>
      <c r="P880" s="60"/>
      <c r="Q880" s="48">
        <v>284</v>
      </c>
      <c r="R880" s="48">
        <v>602</v>
      </c>
      <c r="S880" s="48"/>
      <c r="T880" s="48"/>
      <c r="U880" s="49">
        <v>148</v>
      </c>
      <c r="V880" s="49">
        <v>10</v>
      </c>
      <c r="W880" s="50">
        <f t="shared" si="130"/>
        <v>158</v>
      </c>
      <c r="X880" s="51">
        <f>IF(A880="", "", IF(COUNTIFS(C$3:C879, C880, D$3:D879, D880, G$3:G879, G880) &gt; 0, "", "11:00"-AW880))</f>
        <v>0.35416666666666663</v>
      </c>
      <c r="Y880" s="52" t="str">
        <f t="shared" si="129"/>
        <v>1:40</v>
      </c>
      <c r="Z880" s="53"/>
      <c r="AA880" s="54"/>
      <c r="AB880" s="53"/>
      <c r="AC880" s="54"/>
      <c r="AD880" s="53"/>
      <c r="AE880" s="54"/>
      <c r="AF880" s="53">
        <v>2.0833333333333332E-2</v>
      </c>
      <c r="AG880" s="54" t="s">
        <v>129</v>
      </c>
      <c r="AH880" s="55">
        <v>4.1666666666666699E-2</v>
      </c>
      <c r="AI880" s="53">
        <v>4.1666666666666664E-2</v>
      </c>
      <c r="AJ880" s="54" t="s">
        <v>129</v>
      </c>
      <c r="AK880" s="53"/>
      <c r="AL880" s="54"/>
      <c r="AM880" s="53"/>
      <c r="AN880" s="54"/>
      <c r="AO880" s="53"/>
      <c r="AP880" s="54"/>
      <c r="AQ880" s="53"/>
      <c r="AR880" s="54"/>
      <c r="AS880" s="53"/>
      <c r="AT880" s="54"/>
      <c r="AU880" s="53">
        <v>4.1666666666666699E-2</v>
      </c>
      <c r="AV880" s="54" t="s">
        <v>37</v>
      </c>
      <c r="AW880" s="57">
        <f t="shared" si="128"/>
        <v>0.1041666666666667</v>
      </c>
      <c r="AX880" s="58" t="s">
        <v>56</v>
      </c>
    </row>
    <row r="881" spans="1:50" ht="27" customHeight="1">
      <c r="A881" s="66" t="s">
        <v>795</v>
      </c>
      <c r="B881" s="39">
        <f t="shared" si="126"/>
        <v>877</v>
      </c>
      <c r="C881" s="40">
        <v>46043</v>
      </c>
      <c r="D881" s="40" t="s">
        <v>32</v>
      </c>
      <c r="E881" s="40" t="s">
        <v>33</v>
      </c>
      <c r="F881" s="41">
        <v>597.4</v>
      </c>
      <c r="G881" s="42" t="s">
        <v>54</v>
      </c>
      <c r="H881" s="43" t="str">
        <f>IFERROR(VLOOKUP($J881,'[9]FROM (3)'!$E$4:$F$230,2,FALSE),"")</f>
        <v>JTCS</v>
      </c>
      <c r="I881" s="44" t="str">
        <f t="shared" si="123"/>
        <v>Rack, MS</v>
      </c>
      <c r="J881" s="44" t="str">
        <f t="shared" si="124"/>
        <v>JGC10-003770-40-0</v>
      </c>
      <c r="K881" s="59" t="str">
        <f t="shared" si="121"/>
        <v>PD26010775</v>
      </c>
      <c r="L881" s="46" t="str" cm="1">
        <f t="array" ref="L881">IFERROR(_xlfn.IFS(
    LEN($A881)-LEN(SUBSTITUTE($A881,"|",""))=12, RIGHT(A881, LEN(A881)-FIND("~", SUBSTITUTE(A881,"|","~", LEN(A881)-LEN(SUBSTITUTE(A881,"|",""))))),
    LEN($A881)-LEN(SUBSTITUTE($A881,"|",""))=13, MID($A881, FIND("~", SUBSTITUTE($A881,"|","~", 11))+1, FIND("~", SUBSTITUTE($A881,"|","~", 12))-FIND("~", SUBSTITUTE($A881,"|","~", 11))-1),
    LEN($A881)-LEN(SUBSTITUTE($A881,"|",""))=14, MID($A881, FIND("~", SUBSTITUTE($A881,"|","~", 11))+1, FIND("~", SUBSTITUTE($A881,"|","~", 12))-FIND("~", SUBSTITUTE($A881,"|","~", 11))-1)
), "")</f>
        <v>E585970</v>
      </c>
      <c r="M881" s="47" t="str">
        <f t="shared" si="120"/>
        <v>SB010088/4/26</v>
      </c>
      <c r="N881" s="46" t="str">
        <f t="shared" si="122"/>
        <v/>
      </c>
      <c r="O881" s="60">
        <v>80</v>
      </c>
      <c r="P881" s="60">
        <v>904</v>
      </c>
      <c r="Q881" s="48">
        <v>400</v>
      </c>
      <c r="R881" s="48">
        <v>848</v>
      </c>
      <c r="S881" s="48"/>
      <c r="T881" s="48"/>
      <c r="U881" s="49"/>
      <c r="V881" s="49"/>
      <c r="W881" s="50">
        <f t="shared" si="130"/>
        <v>0</v>
      </c>
      <c r="X881" s="51" t="str">
        <f>IF(A881="", "", IF(COUNTIFS(C$3:C880, C881, D$3:D880, D881, G$3:G880, G881) &gt; 0, "", "11:00"-AW881))</f>
        <v/>
      </c>
      <c r="Y881" s="52" t="str">
        <f t="shared" si="129"/>
        <v/>
      </c>
      <c r="Z881" s="53"/>
      <c r="AA881" s="54"/>
      <c r="AB881" s="53"/>
      <c r="AC881" s="54"/>
      <c r="AD881" s="53"/>
      <c r="AE881" s="54"/>
      <c r="AF881" s="53"/>
      <c r="AG881" s="54"/>
      <c r="AH881" s="55">
        <v>4.1666666666666699E-2</v>
      </c>
      <c r="AI881" s="53"/>
      <c r="AJ881" s="54"/>
      <c r="AK881" s="53"/>
      <c r="AL881" s="54"/>
      <c r="AM881" s="53"/>
      <c r="AN881" s="54"/>
      <c r="AO881" s="53"/>
      <c r="AP881" s="54"/>
      <c r="AQ881" s="53"/>
      <c r="AR881" s="54"/>
      <c r="AS881" s="53"/>
      <c r="AT881" s="54"/>
      <c r="AU881" s="53">
        <v>4.1666666666666699E-2</v>
      </c>
      <c r="AV881" s="54" t="s">
        <v>37</v>
      </c>
      <c r="AW881" s="57">
        <f t="shared" si="128"/>
        <v>4.1666666666666699E-2</v>
      </c>
      <c r="AX881" s="58" t="s">
        <v>56</v>
      </c>
    </row>
    <row r="882" spans="1:50" ht="27" customHeight="1">
      <c r="A882" s="66" t="s">
        <v>796</v>
      </c>
      <c r="B882" s="39">
        <f t="shared" si="126"/>
        <v>878</v>
      </c>
      <c r="C882" s="40">
        <v>46043</v>
      </c>
      <c r="D882" s="40" t="s">
        <v>32</v>
      </c>
      <c r="E882" s="40" t="s">
        <v>33</v>
      </c>
      <c r="F882" s="41">
        <v>597.4</v>
      </c>
      <c r="G882" s="42" t="s">
        <v>54</v>
      </c>
      <c r="H882" s="43" t="str">
        <f>IFERROR(VLOOKUP($J882,'[9]FROM (3)'!$E$4:$F$230,2,FALSE),"")</f>
        <v>JTCS</v>
      </c>
      <c r="I882" s="44" t="str">
        <f t="shared" si="123"/>
        <v>Rack, MS</v>
      </c>
      <c r="J882" s="44" t="str">
        <f t="shared" si="124"/>
        <v>JGC10-003770-40-0</v>
      </c>
      <c r="K882" s="59" t="str">
        <f t="shared" si="121"/>
        <v>PD26010775</v>
      </c>
      <c r="L882" s="46" t="str" cm="1">
        <f t="array" ref="L882">IFERROR(_xlfn.IFS(
    LEN($A882)-LEN(SUBSTITUTE($A882,"|",""))=12, RIGHT(A882, LEN(A882)-FIND("~", SUBSTITUTE(A882,"|","~", LEN(A882)-LEN(SUBSTITUTE(A882,"|",""))))),
    LEN($A882)-LEN(SUBSTITUTE($A882,"|",""))=13, MID($A882, FIND("~", SUBSTITUTE($A882,"|","~", 11))+1, FIND("~", SUBSTITUTE($A882,"|","~", 12))-FIND("~", SUBSTITUTE($A882,"|","~", 11))-1),
    LEN($A882)-LEN(SUBSTITUTE($A882,"|",""))=14, MID($A882, FIND("~", SUBSTITUTE($A882,"|","~", 11))+1, FIND("~", SUBSTITUTE($A882,"|","~", 12))-FIND("~", SUBSTITUTE($A882,"|","~", 11))-1)
), "")</f>
        <v>E585970</v>
      </c>
      <c r="M882" s="47" t="str">
        <f t="shared" si="120"/>
        <v>SB010088/5/26</v>
      </c>
      <c r="N882" s="46" t="str">
        <f t="shared" si="122"/>
        <v/>
      </c>
      <c r="O882" s="60">
        <v>80</v>
      </c>
      <c r="P882" s="60">
        <v>904</v>
      </c>
      <c r="Q882" s="48">
        <v>86</v>
      </c>
      <c r="R882" s="48">
        <v>182</v>
      </c>
      <c r="S882" s="48"/>
      <c r="T882" s="48"/>
      <c r="U882" s="49"/>
      <c r="V882" s="49"/>
      <c r="W882" s="50">
        <f t="shared" si="130"/>
        <v>0</v>
      </c>
      <c r="X882" s="51" t="str">
        <f>IF(A882="", "", IF(COUNTIFS(C$3:C881, C882, D$3:D881, D882, G$3:G881, G882) &gt; 0, "", "11:00"-AW882))</f>
        <v/>
      </c>
      <c r="Y882" s="52" t="str">
        <f t="shared" si="129"/>
        <v/>
      </c>
      <c r="Z882" s="53"/>
      <c r="AA882" s="54"/>
      <c r="AB882" s="53"/>
      <c r="AC882" s="54"/>
      <c r="AD882" s="53"/>
      <c r="AE882" s="54"/>
      <c r="AF882" s="53"/>
      <c r="AG882" s="54"/>
      <c r="AH882" s="55">
        <v>4.1666666666666699E-2</v>
      </c>
      <c r="AI882" s="53"/>
      <c r="AJ882" s="54"/>
      <c r="AK882" s="53"/>
      <c r="AL882" s="54"/>
      <c r="AM882" s="53"/>
      <c r="AN882" s="54"/>
      <c r="AO882" s="53"/>
      <c r="AP882" s="54"/>
      <c r="AQ882" s="53"/>
      <c r="AR882" s="54"/>
      <c r="AS882" s="53"/>
      <c r="AT882" s="54"/>
      <c r="AU882" s="53">
        <v>4.1666666666666699E-2</v>
      </c>
      <c r="AV882" s="54" t="s">
        <v>37</v>
      </c>
      <c r="AW882" s="57">
        <f t="shared" si="128"/>
        <v>4.1666666666666699E-2</v>
      </c>
      <c r="AX882" s="58" t="s">
        <v>56</v>
      </c>
    </row>
    <row r="883" spans="1:50" ht="27" customHeight="1">
      <c r="A883" s="66" t="s">
        <v>790</v>
      </c>
      <c r="B883" s="39">
        <f t="shared" si="126"/>
        <v>879</v>
      </c>
      <c r="C883" s="40">
        <v>46043</v>
      </c>
      <c r="D883" s="40" t="s">
        <v>32</v>
      </c>
      <c r="E883" s="40" t="s">
        <v>33</v>
      </c>
      <c r="F883" s="41">
        <v>278</v>
      </c>
      <c r="G883" s="42" t="s">
        <v>108</v>
      </c>
      <c r="H883" s="43" t="str">
        <f>IFERROR(VLOOKUP($J883,'[9]FROM (3)'!$E$4:$F$230,2,FALSE),"")</f>
        <v>SIAM NSK</v>
      </c>
      <c r="I883" s="44" t="str">
        <f t="shared" si="123"/>
        <v>SHAFT SPLINE</v>
      </c>
      <c r="J883" s="44" t="str">
        <f t="shared" si="124"/>
        <v>2550T0749P</v>
      </c>
      <c r="K883" s="59" t="str">
        <f t="shared" si="121"/>
        <v>PD26010868</v>
      </c>
      <c r="L883" s="46" t="str" cm="1">
        <f t="array" ref="L883">IFERROR(_xlfn.IFS(
    LEN($A883)-LEN(SUBSTITUTE($A883,"|",""))=12, RIGHT(A883, LEN(A883)-FIND("~", SUBSTITUTE(A883,"|","~", LEN(A883)-LEN(SUBSTITUTE(A883,"|",""))))),
    LEN($A883)-LEN(SUBSTITUTE($A883,"|",""))=13, MID($A883, FIND("~", SUBSTITUTE($A883,"|","~", 11))+1, FIND("~", SUBSTITUTE($A883,"|","~", 12))-FIND("~", SUBSTITUTE($A883,"|","~", 11))-1),
    LEN($A883)-LEN(SUBSTITUTE($A883,"|",""))=14, MID($A883, FIND("~", SUBSTITUTE($A883,"|","~", 11))+1, FIND("~", SUBSTITUTE($A883,"|","~", 12))-FIND("~", SUBSTITUTE($A883,"|","~", 11))-1)
), "")</f>
        <v>SF93404</v>
      </c>
      <c r="M883" s="47" t="str">
        <f t="shared" si="120"/>
        <v>SB010084/1/26</v>
      </c>
      <c r="N883" s="46" t="str">
        <f t="shared" si="122"/>
        <v/>
      </c>
      <c r="O883" s="60" t="s">
        <v>35</v>
      </c>
      <c r="P883" s="60" t="s">
        <v>35</v>
      </c>
      <c r="Q883" s="48">
        <v>1631</v>
      </c>
      <c r="R883" s="48">
        <v>932</v>
      </c>
      <c r="S883" s="48"/>
      <c r="T883" s="48"/>
      <c r="U883" s="49">
        <v>78</v>
      </c>
      <c r="V883" s="49">
        <v>15</v>
      </c>
      <c r="W883" s="50">
        <f t="shared" si="130"/>
        <v>93</v>
      </c>
      <c r="X883" s="51">
        <f>IF(A883="", "", IF(COUNTIFS(C$3:C882, C883, D$3:D882, D883, G$3:G882, G883) &gt; 0, "", "11:00"-AW883))</f>
        <v>0.41666666666666663</v>
      </c>
      <c r="Y883" s="52" t="str">
        <f t="shared" si="129"/>
        <v>1:40</v>
      </c>
      <c r="Z883" s="53"/>
      <c r="AA883" s="54"/>
      <c r="AB883" s="53"/>
      <c r="AC883" s="54"/>
      <c r="AD883" s="53"/>
      <c r="AE883" s="54"/>
      <c r="AF883" s="53"/>
      <c r="AG883" s="54"/>
      <c r="AH883" s="55">
        <v>4.1666666666666699E-2</v>
      </c>
      <c r="AI883" s="53"/>
      <c r="AJ883" s="54"/>
      <c r="AK883" s="53"/>
      <c r="AL883" s="54"/>
      <c r="AM883" s="53"/>
      <c r="AN883" s="54"/>
      <c r="AO883" s="53"/>
      <c r="AP883" s="54"/>
      <c r="AQ883" s="53"/>
      <c r="AR883" s="54"/>
      <c r="AS883" s="53"/>
      <c r="AT883" s="54"/>
      <c r="AU883" s="53">
        <v>4.1666666666666699E-2</v>
      </c>
      <c r="AV883" s="54" t="s">
        <v>37</v>
      </c>
      <c r="AW883" s="57">
        <f t="shared" si="128"/>
        <v>4.1666666666666699E-2</v>
      </c>
      <c r="AX883" s="58" t="s">
        <v>380</v>
      </c>
    </row>
    <row r="884" spans="1:50" ht="27" customHeight="1">
      <c r="A884" s="66" t="s">
        <v>797</v>
      </c>
      <c r="B884" s="39">
        <f t="shared" si="126"/>
        <v>880</v>
      </c>
      <c r="C884" s="40">
        <v>46043</v>
      </c>
      <c r="D884" s="40" t="s">
        <v>32</v>
      </c>
      <c r="E884" s="40" t="s">
        <v>33</v>
      </c>
      <c r="F884" s="41">
        <v>278</v>
      </c>
      <c r="G884" s="42" t="s">
        <v>108</v>
      </c>
      <c r="H884" s="43" t="str">
        <f>IFERROR(VLOOKUP($J884,'[9]FROM (3)'!$E$4:$F$230,2,FALSE),"")</f>
        <v>SIAM NSK</v>
      </c>
      <c r="I884" s="44" t="str">
        <f t="shared" si="123"/>
        <v>SHAFT SPLINE</v>
      </c>
      <c r="J884" s="44" t="str">
        <f t="shared" si="124"/>
        <v>2550T0749P</v>
      </c>
      <c r="K884" s="59" t="str">
        <f t="shared" si="121"/>
        <v>PD26010870</v>
      </c>
      <c r="L884" s="46" t="str" cm="1">
        <f t="array" ref="L884">IFERROR(_xlfn.IFS(
    LEN($A884)-LEN(SUBSTITUTE($A884,"|",""))=12, RIGHT(A884, LEN(A884)-FIND("~", SUBSTITUTE(A884,"|","~", LEN(A884)-LEN(SUBSTITUTE(A884,"|",""))))),
    LEN($A884)-LEN(SUBSTITUTE($A884,"|",""))=13, MID($A884, FIND("~", SUBSTITUTE($A884,"|","~", 11))+1, FIND("~", SUBSTITUTE($A884,"|","~", 12))-FIND("~", SUBSTITUTE($A884,"|","~", 11))-1),
    LEN($A884)-LEN(SUBSTITUTE($A884,"|",""))=14, MID($A884, FIND("~", SUBSTITUTE($A884,"|","~", 11))+1, FIND("~", SUBSTITUTE($A884,"|","~", 12))-FIND("~", SUBSTITUTE($A884,"|","~", 11))-1)
), "")</f>
        <v>SF93402</v>
      </c>
      <c r="M884" s="47" t="str">
        <f t="shared" si="120"/>
        <v>SB010085/4/26</v>
      </c>
      <c r="N884" s="46" t="str">
        <f t="shared" si="122"/>
        <v/>
      </c>
      <c r="O884" s="60">
        <v>104</v>
      </c>
      <c r="P884" s="60">
        <v>1000</v>
      </c>
      <c r="Q884" s="48">
        <v>1664</v>
      </c>
      <c r="R884" s="48">
        <v>951</v>
      </c>
      <c r="S884" s="48"/>
      <c r="T884" s="48"/>
      <c r="U884" s="49"/>
      <c r="V884" s="49"/>
      <c r="W884" s="50">
        <f t="shared" si="130"/>
        <v>0</v>
      </c>
      <c r="X884" s="51" t="str">
        <f>IF(A884="", "", IF(COUNTIFS(C$3:C883, C884, D$3:D883, D884, G$3:G883, G884) &gt; 0, "", "11:00"-AW884))</f>
        <v/>
      </c>
      <c r="Y884" s="52" t="str">
        <f t="shared" si="129"/>
        <v/>
      </c>
      <c r="Z884" s="53"/>
      <c r="AA884" s="54"/>
      <c r="AB884" s="53"/>
      <c r="AC884" s="54"/>
      <c r="AD884" s="53"/>
      <c r="AE884" s="54"/>
      <c r="AF884" s="53"/>
      <c r="AG884" s="54"/>
      <c r="AH884" s="55">
        <v>4.1666666666666699E-2</v>
      </c>
      <c r="AI884" s="53"/>
      <c r="AJ884" s="54"/>
      <c r="AK884" s="53"/>
      <c r="AL884" s="54"/>
      <c r="AM884" s="53"/>
      <c r="AN884" s="54"/>
      <c r="AO884" s="53"/>
      <c r="AP884" s="54"/>
      <c r="AQ884" s="53"/>
      <c r="AR884" s="54"/>
      <c r="AS884" s="53"/>
      <c r="AT884" s="54"/>
      <c r="AU884" s="53">
        <v>4.1666666666666699E-2</v>
      </c>
      <c r="AV884" s="54" t="s">
        <v>37</v>
      </c>
      <c r="AW884" s="57">
        <f t="shared" si="128"/>
        <v>4.1666666666666699E-2</v>
      </c>
      <c r="AX884" s="58" t="s">
        <v>380</v>
      </c>
    </row>
    <row r="885" spans="1:50" ht="27" customHeight="1">
      <c r="A885" s="66" t="s">
        <v>798</v>
      </c>
      <c r="B885" s="39">
        <f t="shared" si="126"/>
        <v>881</v>
      </c>
      <c r="C885" s="40">
        <v>46043</v>
      </c>
      <c r="D885" s="40" t="s">
        <v>32</v>
      </c>
      <c r="E885" s="40" t="s">
        <v>33</v>
      </c>
      <c r="F885" s="41">
        <v>278</v>
      </c>
      <c r="G885" s="42" t="s">
        <v>108</v>
      </c>
      <c r="H885" s="43" t="str">
        <f>IFERROR(VLOOKUP($J885,'[9]FROM (3)'!$E$4:$F$230,2,FALSE),"")</f>
        <v>SIAM NSK</v>
      </c>
      <c r="I885" s="44" t="str">
        <f t="shared" si="123"/>
        <v>SHAFT SPLINE</v>
      </c>
      <c r="J885" s="44" t="str">
        <f t="shared" si="124"/>
        <v>2550T0749P</v>
      </c>
      <c r="K885" s="59" t="str">
        <f t="shared" si="121"/>
        <v>PD26010870</v>
      </c>
      <c r="L885" s="46" t="str" cm="1">
        <f t="array" ref="L885">IFERROR(_xlfn.IFS(
    LEN($A885)-LEN(SUBSTITUTE($A885,"|",""))=12, RIGHT(A885, LEN(A885)-FIND("~", SUBSTITUTE(A885,"|","~", LEN(A885)-LEN(SUBSTITUTE(A885,"|",""))))),
    LEN($A885)-LEN(SUBSTITUTE($A885,"|",""))=13, MID($A885, FIND("~", SUBSTITUTE($A885,"|","~", 11))+1, FIND("~", SUBSTITUTE($A885,"|","~", 12))-FIND("~", SUBSTITUTE($A885,"|","~", 11))-1),
    LEN($A885)-LEN(SUBSTITUTE($A885,"|",""))=14, MID($A885, FIND("~", SUBSTITUTE($A885,"|","~", 11))+1, FIND("~", SUBSTITUTE($A885,"|","~", 12))-FIND("~", SUBSTITUTE($A885,"|","~", 11))-1)
), "")</f>
        <v>SF93402</v>
      </c>
      <c r="M885" s="47" t="str">
        <f t="shared" si="120"/>
        <v>SB010085/3/26</v>
      </c>
      <c r="N885" s="46" t="str">
        <f t="shared" si="122"/>
        <v/>
      </c>
      <c r="O885" s="60">
        <v>104</v>
      </c>
      <c r="P885" s="60">
        <v>1000</v>
      </c>
      <c r="Q885" s="48">
        <v>185</v>
      </c>
      <c r="R885" s="48">
        <v>106</v>
      </c>
      <c r="S885" s="48"/>
      <c r="T885" s="48"/>
      <c r="U885" s="49"/>
      <c r="V885" s="49"/>
      <c r="W885" s="50">
        <f t="shared" si="130"/>
        <v>0</v>
      </c>
      <c r="X885" s="51" t="str">
        <f>IF(A885="", "", IF(COUNTIFS(C$3:C884, C885, D$3:D884, D885, G$3:G884, G885) &gt; 0, "", "11:00"-AW885))</f>
        <v/>
      </c>
      <c r="Y885" s="52" t="str">
        <f t="shared" si="129"/>
        <v/>
      </c>
      <c r="Z885" s="53"/>
      <c r="AA885" s="54"/>
      <c r="AB885" s="53"/>
      <c r="AC885" s="54"/>
      <c r="AD885" s="53"/>
      <c r="AE885" s="54"/>
      <c r="AF885" s="53"/>
      <c r="AG885" s="54"/>
      <c r="AH885" s="55">
        <v>4.1666666666666699E-2</v>
      </c>
      <c r="AI885" s="53"/>
      <c r="AJ885" s="54"/>
      <c r="AK885" s="53"/>
      <c r="AL885" s="54"/>
      <c r="AM885" s="53"/>
      <c r="AN885" s="54"/>
      <c r="AO885" s="53"/>
      <c r="AP885" s="54"/>
      <c r="AQ885" s="53"/>
      <c r="AR885" s="54"/>
      <c r="AS885" s="53"/>
      <c r="AT885" s="54"/>
      <c r="AU885" s="53">
        <v>4.1666666666666699E-2</v>
      </c>
      <c r="AV885" s="54" t="s">
        <v>37</v>
      </c>
      <c r="AW885" s="57">
        <f t="shared" si="128"/>
        <v>4.1666666666666699E-2</v>
      </c>
      <c r="AX885" s="58" t="s">
        <v>380</v>
      </c>
    </row>
    <row r="886" spans="1:50" ht="27" customHeight="1">
      <c r="A886" s="66" t="s">
        <v>772</v>
      </c>
      <c r="B886" s="39">
        <f t="shared" si="126"/>
        <v>882</v>
      </c>
      <c r="C886" s="40">
        <v>46043</v>
      </c>
      <c r="D886" s="40" t="s">
        <v>32</v>
      </c>
      <c r="E886" s="40" t="s">
        <v>33</v>
      </c>
      <c r="F886" s="41">
        <v>375</v>
      </c>
      <c r="G886" s="42" t="s">
        <v>172</v>
      </c>
      <c r="H886" s="43" t="str">
        <f>IFERROR(VLOOKUP($J886,'[9]FROM (3)'!$E$4:$F$230,2,FALSE),"")</f>
        <v>ATAC</v>
      </c>
      <c r="I886" s="44" t="str">
        <f t="shared" si="123"/>
        <v>SEAT,WATER PUMP PULLEY</v>
      </c>
      <c r="J886" s="44" t="str">
        <f t="shared" si="124"/>
        <v>16171-05030</v>
      </c>
      <c r="K886" s="59" t="str">
        <f t="shared" si="121"/>
        <v>PD26010857</v>
      </c>
      <c r="L886" s="46" t="str" cm="1">
        <f t="array" ref="L886">IFERROR(_xlfn.IFS(
    LEN($A886)-LEN(SUBSTITUTE($A886,"|",""))=12, RIGHT(A886, LEN(A886)-FIND("~", SUBSTITUTE(A886,"|","~", LEN(A886)-LEN(SUBSTITUTE(A886,"|",""))))),
    LEN($A886)-LEN(SUBSTITUTE($A886,"|",""))=13, MID($A886, FIND("~", SUBSTITUTE($A886,"|","~", 11))+1, FIND("~", SUBSTITUTE($A886,"|","~", 12))-FIND("~", SUBSTITUTE($A886,"|","~", 11))-1),
    LEN($A886)-LEN(SUBSTITUTE($A886,"|",""))=14, MID($A886, FIND("~", SUBSTITUTE($A886,"|","~", 11))+1, FIND("~", SUBSTITUTE($A886,"|","~", 12))-FIND("~", SUBSTITUTE($A886,"|","~", 11))-1)
), "")</f>
        <v>665898</v>
      </c>
      <c r="M886" s="47" t="str">
        <f t="shared" si="120"/>
        <v>SB010102/5/26</v>
      </c>
      <c r="N886" s="46" t="str">
        <f t="shared" si="122"/>
        <v/>
      </c>
      <c r="O886" s="60" t="s">
        <v>35</v>
      </c>
      <c r="P886" s="60" t="s">
        <v>35</v>
      </c>
      <c r="Q886" s="48">
        <v>132</v>
      </c>
      <c r="R886" s="48">
        <v>50</v>
      </c>
      <c r="S886" s="48"/>
      <c r="T886" s="48"/>
      <c r="U886" s="49"/>
      <c r="V886" s="49"/>
      <c r="W886" s="50">
        <f t="shared" si="130"/>
        <v>0</v>
      </c>
      <c r="X886" s="51">
        <f>IF(A886="", "", IF(COUNTIFS(C$3:C885, C886, D$3:D885, D886, G$3:G885, G886) &gt; 0, "", "11:00"-AW886))</f>
        <v>0.41666666666666663</v>
      </c>
      <c r="Y886" s="52" t="str">
        <f t="shared" si="129"/>
        <v>1:40</v>
      </c>
      <c r="Z886" s="53"/>
      <c r="AA886" s="54"/>
      <c r="AB886" s="53"/>
      <c r="AC886" s="54"/>
      <c r="AD886" s="53"/>
      <c r="AE886" s="54"/>
      <c r="AF886" s="53"/>
      <c r="AG886" s="54"/>
      <c r="AH886" s="55">
        <v>4.1666666666666699E-2</v>
      </c>
      <c r="AI886" s="53"/>
      <c r="AJ886" s="54"/>
      <c r="AK886" s="53"/>
      <c r="AL886" s="54"/>
      <c r="AM886" s="53"/>
      <c r="AN886" s="54"/>
      <c r="AO886" s="53"/>
      <c r="AP886" s="54"/>
      <c r="AQ886" s="53"/>
      <c r="AR886" s="54"/>
      <c r="AS886" s="53"/>
      <c r="AT886" s="54"/>
      <c r="AU886" s="53">
        <v>4.1666666666666699E-2</v>
      </c>
      <c r="AV886" s="54" t="s">
        <v>37</v>
      </c>
      <c r="AW886" s="57">
        <f t="shared" si="128"/>
        <v>4.1666666666666699E-2</v>
      </c>
      <c r="AX886" s="58" t="s">
        <v>380</v>
      </c>
    </row>
    <row r="887" spans="1:50" ht="27" customHeight="1">
      <c r="A887" s="66" t="s">
        <v>799</v>
      </c>
      <c r="B887" s="39">
        <f t="shared" si="126"/>
        <v>883</v>
      </c>
      <c r="C887" s="40">
        <v>46043</v>
      </c>
      <c r="D887" s="40" t="s">
        <v>32</v>
      </c>
      <c r="E887" s="40" t="s">
        <v>33</v>
      </c>
      <c r="F887" s="41">
        <v>375</v>
      </c>
      <c r="G887" s="42" t="s">
        <v>172</v>
      </c>
      <c r="H887" s="43" t="str">
        <f>IFERROR(VLOOKUP($J887,'[9]FROM (3)'!$E$4:$F$230,2,FALSE),"")</f>
        <v>ATAC</v>
      </c>
      <c r="I887" s="44" t="str">
        <f t="shared" si="123"/>
        <v>SEAT,WATER PUMP PULLEY</v>
      </c>
      <c r="J887" s="44" t="str">
        <f t="shared" si="124"/>
        <v>16171-05030</v>
      </c>
      <c r="K887" s="59" t="str">
        <f t="shared" si="121"/>
        <v>PD26010857</v>
      </c>
      <c r="L887" s="46" t="str" cm="1">
        <f t="array" ref="L887">IFERROR(_xlfn.IFS(
    LEN($A887)-LEN(SUBSTITUTE($A887,"|",""))=12, RIGHT(A887, LEN(A887)-FIND("~", SUBSTITUTE(A887,"|","~", LEN(A887)-LEN(SUBSTITUTE(A887,"|",""))))),
    LEN($A887)-LEN(SUBSTITUTE($A887,"|",""))=13, MID($A887, FIND("~", SUBSTITUTE($A887,"|","~", 11))+1, FIND("~", SUBSTITUTE($A887,"|","~", 12))-FIND("~", SUBSTITUTE($A887,"|","~", 11))-1),
    LEN($A887)-LEN(SUBSTITUTE($A887,"|",""))=14, MID($A887, FIND("~", SUBSTITUTE($A887,"|","~", 11))+1, FIND("~", SUBSTITUTE($A887,"|","~", 12))-FIND("~", SUBSTITUTE($A887,"|","~", 11))-1)
), "")</f>
        <v>665898</v>
      </c>
      <c r="M887" s="47" t="str">
        <f t="shared" si="120"/>
        <v>SB010102/4/26</v>
      </c>
      <c r="N887" s="46" t="str">
        <f t="shared" si="122"/>
        <v/>
      </c>
      <c r="O887" s="60">
        <v>14</v>
      </c>
      <c r="P887" s="60">
        <v>990</v>
      </c>
      <c r="Q887" s="48">
        <v>2420</v>
      </c>
      <c r="R887" s="48">
        <v>908</v>
      </c>
      <c r="S887" s="48"/>
      <c r="T887" s="48"/>
      <c r="U887" s="49">
        <v>43</v>
      </c>
      <c r="V887" s="49">
        <v>169</v>
      </c>
      <c r="W887" s="50">
        <f t="shared" si="130"/>
        <v>212</v>
      </c>
      <c r="X887" s="51" t="str">
        <f>IF(A887="", "", IF(COUNTIFS(C$3:C886, C887, D$3:D886, D887, G$3:G886, G887) &gt; 0, "", "11:00"-AW887))</f>
        <v/>
      </c>
      <c r="Y887" s="52" t="str">
        <f t="shared" si="129"/>
        <v/>
      </c>
      <c r="Z887" s="53"/>
      <c r="AA887" s="54"/>
      <c r="AB887" s="53"/>
      <c r="AC887" s="54"/>
      <c r="AD887" s="53"/>
      <c r="AE887" s="54"/>
      <c r="AF887" s="53"/>
      <c r="AG887" s="54"/>
      <c r="AH887" s="55">
        <v>4.1666666666666699E-2</v>
      </c>
      <c r="AI887" s="53"/>
      <c r="AJ887" s="54"/>
      <c r="AK887" s="53"/>
      <c r="AL887" s="54"/>
      <c r="AM887" s="53"/>
      <c r="AN887" s="54"/>
      <c r="AO887" s="53"/>
      <c r="AP887" s="54"/>
      <c r="AQ887" s="53"/>
      <c r="AR887" s="54"/>
      <c r="AS887" s="53"/>
      <c r="AT887" s="54"/>
      <c r="AU887" s="53">
        <v>4.1666666666666699E-2</v>
      </c>
      <c r="AV887" s="54" t="s">
        <v>37</v>
      </c>
      <c r="AW887" s="57">
        <f t="shared" si="128"/>
        <v>4.1666666666666699E-2</v>
      </c>
      <c r="AX887" s="58" t="s">
        <v>380</v>
      </c>
    </row>
    <row r="888" spans="1:50" ht="27" customHeight="1">
      <c r="A888" s="66" t="s">
        <v>800</v>
      </c>
      <c r="B888" s="39">
        <f t="shared" si="126"/>
        <v>884</v>
      </c>
      <c r="C888" s="40">
        <v>46043</v>
      </c>
      <c r="D888" s="40" t="s">
        <v>32</v>
      </c>
      <c r="E888" s="40" t="s">
        <v>33</v>
      </c>
      <c r="F888" s="41">
        <v>375</v>
      </c>
      <c r="G888" s="42" t="s">
        <v>172</v>
      </c>
      <c r="H888" s="43" t="str">
        <f>IFERROR(VLOOKUP($J888,'[9]FROM (3)'!$E$4:$F$230,2,FALSE),"")</f>
        <v/>
      </c>
      <c r="I888" s="44" t="str">
        <f t="shared" si="123"/>
        <v>SEAT,WATER PUMP PULLEY</v>
      </c>
      <c r="J888" s="44" t="s">
        <v>801</v>
      </c>
      <c r="K888" s="59" t="str">
        <f t="shared" si="121"/>
        <v>PD26010856</v>
      </c>
      <c r="L888" s="46" t="str" cm="1">
        <f t="array" ref="L888">IFERROR(_xlfn.IFS(
    LEN($A888)-LEN(SUBSTITUTE($A888,"|",""))=12, RIGHT(A888, LEN(A888)-FIND("~", SUBSTITUTE(A888,"|","~", LEN(A888)-LEN(SUBSTITUTE(A888,"|",""))))),
    LEN($A888)-LEN(SUBSTITUTE($A888,"|",""))=13, MID($A888, FIND("~", SUBSTITUTE($A888,"|","~", 11))+1, FIND("~", SUBSTITUTE($A888,"|","~", 12))-FIND("~", SUBSTITUTE($A888,"|","~", 11))-1),
    LEN($A888)-LEN(SUBSTITUTE($A888,"|",""))=14, MID($A888, FIND("~", SUBSTITUTE($A888,"|","~", 11))+1, FIND("~", SUBSTITUTE($A888,"|","~", 12))-FIND("~", SUBSTITUTE($A888,"|","~", 11))-1)
), "")</f>
        <v>665898</v>
      </c>
      <c r="M888" s="47" t="str">
        <f t="shared" si="120"/>
        <v>SB010102/3/26</v>
      </c>
      <c r="N888" s="46" t="str">
        <f t="shared" si="122"/>
        <v/>
      </c>
      <c r="O888" s="60">
        <v>14</v>
      </c>
      <c r="P888" s="60">
        <v>990</v>
      </c>
      <c r="Q888" s="48">
        <v>120</v>
      </c>
      <c r="R888" s="48">
        <v>45</v>
      </c>
      <c r="S888" s="48"/>
      <c r="T888" s="48"/>
      <c r="U888" s="49"/>
      <c r="V888" s="49"/>
      <c r="W888" s="50">
        <f t="shared" si="130"/>
        <v>0</v>
      </c>
      <c r="X888" s="51" t="str">
        <f>IF(A888="", "", IF(COUNTIFS(C$3:C887, C888, D$3:D887, D888, G$3:G887, G888) &gt; 0, "", "11:00"-AW888))</f>
        <v/>
      </c>
      <c r="Y888" s="52" t="str">
        <f t="shared" si="129"/>
        <v/>
      </c>
      <c r="Z888" s="53"/>
      <c r="AA888" s="54"/>
      <c r="AB888" s="53"/>
      <c r="AC888" s="54"/>
      <c r="AD888" s="53"/>
      <c r="AE888" s="54"/>
      <c r="AF888" s="53"/>
      <c r="AG888" s="54"/>
      <c r="AH888" s="55">
        <v>4.1666666666666699E-2</v>
      </c>
      <c r="AI888" s="53"/>
      <c r="AJ888" s="54"/>
      <c r="AK888" s="53"/>
      <c r="AL888" s="54"/>
      <c r="AM888" s="53"/>
      <c r="AN888" s="54"/>
      <c r="AO888" s="53"/>
      <c r="AP888" s="54"/>
      <c r="AQ888" s="53"/>
      <c r="AR888" s="54"/>
      <c r="AS888" s="53">
        <v>2.0833333333333332E-2</v>
      </c>
      <c r="AT888" s="54" t="s">
        <v>82</v>
      </c>
      <c r="AU888" s="53">
        <v>4.1666666666666699E-2</v>
      </c>
      <c r="AV888" s="54" t="s">
        <v>37</v>
      </c>
      <c r="AW888" s="57">
        <f t="shared" si="128"/>
        <v>6.2500000000000028E-2</v>
      </c>
      <c r="AX888" s="58" t="s">
        <v>380</v>
      </c>
    </row>
    <row r="889" spans="1:50" ht="27" customHeight="1">
      <c r="A889" s="66" t="s">
        <v>802</v>
      </c>
      <c r="B889" s="39">
        <f t="shared" si="126"/>
        <v>885</v>
      </c>
      <c r="C889" s="40">
        <v>46043</v>
      </c>
      <c r="D889" s="40" t="s">
        <v>32</v>
      </c>
      <c r="E889" s="40" t="s">
        <v>33</v>
      </c>
      <c r="F889" s="41">
        <v>655.4</v>
      </c>
      <c r="G889" s="42" t="s">
        <v>85</v>
      </c>
      <c r="H889" s="43" t="str">
        <f>IFERROR(VLOOKUP($J889,'[9]FROM (3)'!$E$4:$F$230,2,FALSE),"")</f>
        <v>JAMY</v>
      </c>
      <c r="I889" s="44" t="str">
        <f t="shared" si="123"/>
        <v>RACK BAR</v>
      </c>
      <c r="J889" s="44" t="str">
        <f t="shared" ref="J889:J952" si="131">IFERROR(MID(A889,FIND("~",SUBSTITUTE(A889,"|","~",3))+1,FIND("~",SUBSTITUTE(A889,"|","~",4))-FIND("~",SUBSTITUTE(A889,"|","~",3))-1),"")</f>
        <v>JGC10-M09008-51-0</v>
      </c>
      <c r="K889" s="59" t="str">
        <f t="shared" si="121"/>
        <v>PD26010871</v>
      </c>
      <c r="L889" s="46" t="str" cm="1">
        <f t="array" ref="L889">IFERROR(_xlfn.IFS(
    LEN($A889)-LEN(SUBSTITUTE($A889,"|",""))=12, RIGHT(A889, LEN(A889)-FIND("~", SUBSTITUTE(A889,"|","~", LEN(A889)-LEN(SUBSTITUTE(A889,"|",""))))),
    LEN($A889)-LEN(SUBSTITUTE($A889,"|",""))=13, MID($A889, FIND("~", SUBSTITUTE($A889,"|","~", 11))+1, FIND("~", SUBSTITUTE($A889,"|","~", 12))-FIND("~", SUBSTITUTE($A889,"|","~", 11))-1),
    LEN($A889)-LEN(SUBSTITUTE($A889,"|",""))=14, MID($A889, FIND("~", SUBSTITUTE($A889,"|","~", 11))+1, FIND("~", SUBSTITUTE($A889,"|","~", 12))-FIND("~", SUBSTITUTE($A889,"|","~", 11))-1)
), "")</f>
        <v>E586966</v>
      </c>
      <c r="M889" s="47" t="str">
        <f t="shared" si="120"/>
        <v>SB010113/1/26</v>
      </c>
      <c r="N889" s="46" t="str">
        <f t="shared" si="122"/>
        <v/>
      </c>
      <c r="O889" s="60">
        <v>60</v>
      </c>
      <c r="P889" s="60">
        <v>880</v>
      </c>
      <c r="Q889" s="48">
        <v>299</v>
      </c>
      <c r="R889" s="48">
        <v>816</v>
      </c>
      <c r="S889" s="48">
        <v>1</v>
      </c>
      <c r="T889" s="48" t="s">
        <v>167</v>
      </c>
      <c r="U889" s="49"/>
      <c r="V889" s="49"/>
      <c r="W889" s="50">
        <f t="shared" si="130"/>
        <v>0</v>
      </c>
      <c r="X889" s="51">
        <f>IF(A889="", "", IF(COUNTIFS(C$3:C888, C889, D$3:D888, D889, G$3:G888, G889) &gt; 0, "", "11:00"-AW889))</f>
        <v>0.41666666666666663</v>
      </c>
      <c r="Y889" s="52" t="str">
        <f t="shared" si="129"/>
        <v>1:40</v>
      </c>
      <c r="Z889" s="53"/>
      <c r="AA889" s="54"/>
      <c r="AB889" s="53"/>
      <c r="AC889" s="54"/>
      <c r="AD889" s="53"/>
      <c r="AE889" s="54"/>
      <c r="AF889" s="53"/>
      <c r="AG889" s="54"/>
      <c r="AH889" s="55">
        <v>4.1666666666666699E-2</v>
      </c>
      <c r="AI889" s="53"/>
      <c r="AJ889" s="54"/>
      <c r="AK889" s="53"/>
      <c r="AL889" s="54"/>
      <c r="AM889" s="53"/>
      <c r="AN889" s="54"/>
      <c r="AO889" s="53"/>
      <c r="AP889" s="54"/>
      <c r="AQ889" s="53"/>
      <c r="AR889" s="54"/>
      <c r="AS889" s="53"/>
      <c r="AT889" s="54"/>
      <c r="AU889" s="53">
        <v>4.1666666666666699E-2</v>
      </c>
      <c r="AV889" s="54" t="s">
        <v>37</v>
      </c>
      <c r="AW889" s="57">
        <f t="shared" si="128"/>
        <v>4.1666666666666699E-2</v>
      </c>
      <c r="AX889" s="58" t="s">
        <v>117</v>
      </c>
    </row>
    <row r="890" spans="1:50" ht="23.25" customHeight="1">
      <c r="A890" s="66" t="s">
        <v>803</v>
      </c>
      <c r="B890" s="39">
        <f t="shared" si="126"/>
        <v>886</v>
      </c>
      <c r="C890" s="40">
        <v>46043</v>
      </c>
      <c r="D890" s="40" t="s">
        <v>32</v>
      </c>
      <c r="E890" s="40" t="s">
        <v>33</v>
      </c>
      <c r="F890" s="41">
        <v>655.4</v>
      </c>
      <c r="G890" s="42" t="s">
        <v>85</v>
      </c>
      <c r="H890" s="43" t="str">
        <f>IFERROR(VLOOKUP($J890,'[9]FROM (3)'!$E$4:$F$230,2,FALSE),"")</f>
        <v>JAMY</v>
      </c>
      <c r="I890" s="44" t="str">
        <f t="shared" si="123"/>
        <v>RACK BAR</v>
      </c>
      <c r="J890" s="44" t="str">
        <f t="shared" si="131"/>
        <v>JGC10-M09008-51-0</v>
      </c>
      <c r="K890" s="59" t="str">
        <f t="shared" si="121"/>
        <v>PD26010871</v>
      </c>
      <c r="L890" s="46" t="str" cm="1">
        <f t="array" ref="L890">IFERROR(_xlfn.IFS(
    LEN($A890)-LEN(SUBSTITUTE($A890,"|",""))=12, RIGHT(A890, LEN(A890)-FIND("~", SUBSTITUTE(A890,"|","~", LEN(A890)-LEN(SUBSTITUTE(A890,"|",""))))),
    LEN($A890)-LEN(SUBSTITUTE($A890,"|",""))=13, MID($A890, FIND("~", SUBSTITUTE($A890,"|","~", 11))+1, FIND("~", SUBSTITUTE($A890,"|","~", 12))-FIND("~", SUBSTITUTE($A890,"|","~", 11))-1),
    LEN($A890)-LEN(SUBSTITUTE($A890,"|",""))=14, MID($A890, FIND("~", SUBSTITUTE($A890,"|","~", 11))+1, FIND("~", SUBSTITUTE($A890,"|","~", 12))-FIND("~", SUBSTITUTE($A890,"|","~", 11))-1)
), "")</f>
        <v>E586966</v>
      </c>
      <c r="M890" s="47" t="str">
        <f t="shared" si="120"/>
        <v>SB010113/3/26</v>
      </c>
      <c r="N890" s="46" t="str">
        <f t="shared" si="122"/>
        <v/>
      </c>
      <c r="O890" s="60">
        <v>60</v>
      </c>
      <c r="P890" s="60">
        <v>880</v>
      </c>
      <c r="Q890" s="48">
        <v>287</v>
      </c>
      <c r="R890" s="48">
        <v>784</v>
      </c>
      <c r="S890" s="48">
        <v>13</v>
      </c>
      <c r="T890" s="48" t="s">
        <v>167</v>
      </c>
      <c r="U890" s="49"/>
      <c r="V890" s="49"/>
      <c r="W890" s="50">
        <f t="shared" si="130"/>
        <v>0</v>
      </c>
      <c r="X890" s="51" t="str">
        <f>IF(A890="", "", IF(COUNTIFS(C$3:C889, C890, D$3:D889, D890, G$3:G889, G890) &gt; 0, "", "11:00"-AW890))</f>
        <v/>
      </c>
      <c r="Y890" s="52" t="str">
        <f t="shared" si="129"/>
        <v/>
      </c>
      <c r="Z890" s="53"/>
      <c r="AA890" s="54"/>
      <c r="AB890" s="53"/>
      <c r="AC890" s="54"/>
      <c r="AD890" s="53"/>
      <c r="AE890" s="54"/>
      <c r="AF890" s="53"/>
      <c r="AG890" s="54"/>
      <c r="AH890" s="55">
        <v>4.1666666666666699E-2</v>
      </c>
      <c r="AI890" s="53"/>
      <c r="AJ890" s="54"/>
      <c r="AK890" s="53"/>
      <c r="AL890" s="54"/>
      <c r="AM890" s="53"/>
      <c r="AN890" s="54"/>
      <c r="AO890" s="53"/>
      <c r="AP890" s="54"/>
      <c r="AQ890" s="53"/>
      <c r="AR890" s="54"/>
      <c r="AS890" s="53"/>
      <c r="AT890" s="54"/>
      <c r="AU890" s="53">
        <v>4.1666666666666699E-2</v>
      </c>
      <c r="AV890" s="54" t="s">
        <v>37</v>
      </c>
      <c r="AW890" s="57">
        <f t="shared" si="128"/>
        <v>4.1666666666666699E-2</v>
      </c>
      <c r="AX890" s="58" t="s">
        <v>117</v>
      </c>
    </row>
    <row r="891" spans="1:50" ht="23.25" customHeight="1">
      <c r="A891" s="66" t="s">
        <v>804</v>
      </c>
      <c r="B891" s="39">
        <f t="shared" si="126"/>
        <v>887</v>
      </c>
      <c r="C891" s="40">
        <v>46043</v>
      </c>
      <c r="D891" s="40" t="s">
        <v>32</v>
      </c>
      <c r="E891" s="40" t="s">
        <v>33</v>
      </c>
      <c r="F891" s="41">
        <v>655.4</v>
      </c>
      <c r="G891" s="42" t="s">
        <v>85</v>
      </c>
      <c r="H891" s="43" t="str">
        <f>IFERROR(VLOOKUP($J891,'[9]FROM (3)'!$E$4:$F$230,2,FALSE),"")</f>
        <v>JAMY</v>
      </c>
      <c r="I891" s="44" t="str">
        <f t="shared" si="123"/>
        <v>RACK BAR</v>
      </c>
      <c r="J891" s="44" t="str">
        <f t="shared" si="131"/>
        <v>JGC10-M09008-51-0</v>
      </c>
      <c r="K891" s="59" t="str">
        <f t="shared" si="121"/>
        <v>PD26010871</v>
      </c>
      <c r="L891" s="46" t="str" cm="1">
        <f t="array" ref="L891">IFERROR(_xlfn.IFS(
    LEN($A891)-LEN(SUBSTITUTE($A891,"|",""))=12, RIGHT(A891, LEN(A891)-FIND("~", SUBSTITUTE(A891,"|","~", LEN(A891)-LEN(SUBSTITUTE(A891,"|",""))))),
    LEN($A891)-LEN(SUBSTITUTE($A891,"|",""))=13, MID($A891, FIND("~", SUBSTITUTE($A891,"|","~", 11))+1, FIND("~", SUBSTITUTE($A891,"|","~", 12))-FIND("~", SUBSTITUTE($A891,"|","~", 11))-1),
    LEN($A891)-LEN(SUBSTITUTE($A891,"|",""))=14, MID($A891, FIND("~", SUBSTITUTE($A891,"|","~", 11))+1, FIND("~", SUBSTITUTE($A891,"|","~", 12))-FIND("~", SUBSTITUTE($A891,"|","~", 11))-1)
), "")</f>
        <v>E586966</v>
      </c>
      <c r="M891" s="47" t="str">
        <f t="shared" si="120"/>
        <v>SB010113/2/26</v>
      </c>
      <c r="N891" s="46" t="str">
        <f t="shared" si="122"/>
        <v/>
      </c>
      <c r="O891" s="60">
        <v>60</v>
      </c>
      <c r="P891" s="60">
        <v>880</v>
      </c>
      <c r="Q891" s="48">
        <v>291</v>
      </c>
      <c r="R891" s="48">
        <v>794</v>
      </c>
      <c r="S891" s="48">
        <v>9</v>
      </c>
      <c r="T891" s="48" t="s">
        <v>167</v>
      </c>
      <c r="U891" s="49">
        <v>143</v>
      </c>
      <c r="V891" s="49">
        <v>9</v>
      </c>
      <c r="W891" s="50">
        <f t="shared" si="130"/>
        <v>152</v>
      </c>
      <c r="X891" s="51" t="str">
        <f>IF(A891="", "", IF(COUNTIFS(C$3:C890, C891, D$3:D890, D891, G$3:G890, G891) &gt; 0, "", "11:00"-AW891))</f>
        <v/>
      </c>
      <c r="Y891" s="52" t="str">
        <f t="shared" si="129"/>
        <v/>
      </c>
      <c r="Z891" s="53"/>
      <c r="AA891" s="54"/>
      <c r="AB891" s="53"/>
      <c r="AC891" s="54"/>
      <c r="AD891" s="53"/>
      <c r="AE891" s="54"/>
      <c r="AF891" s="53"/>
      <c r="AG891" s="54"/>
      <c r="AH891" s="55">
        <v>4.1666666666666699E-2</v>
      </c>
      <c r="AI891" s="53"/>
      <c r="AJ891" s="54"/>
      <c r="AK891" s="53"/>
      <c r="AL891" s="54"/>
      <c r="AM891" s="53"/>
      <c r="AN891" s="54"/>
      <c r="AO891" s="53"/>
      <c r="AP891" s="54"/>
      <c r="AQ891" s="53"/>
      <c r="AR891" s="54"/>
      <c r="AS891" s="53"/>
      <c r="AT891" s="54"/>
      <c r="AU891" s="53">
        <v>4.1666666666666699E-2</v>
      </c>
      <c r="AV891" s="54" t="s">
        <v>37</v>
      </c>
      <c r="AW891" s="57">
        <f t="shared" si="128"/>
        <v>4.1666666666666699E-2</v>
      </c>
      <c r="AX891" s="58" t="s">
        <v>117</v>
      </c>
    </row>
    <row r="892" spans="1:50" ht="23.25" customHeight="1">
      <c r="A892" s="66" t="s">
        <v>805</v>
      </c>
      <c r="B892" s="39">
        <f t="shared" si="126"/>
        <v>888</v>
      </c>
      <c r="C892" s="40">
        <v>46043</v>
      </c>
      <c r="D892" s="40" t="s">
        <v>32</v>
      </c>
      <c r="E892" s="40" t="s">
        <v>33</v>
      </c>
      <c r="F892" s="41">
        <v>655.4</v>
      </c>
      <c r="G892" s="42" t="s">
        <v>85</v>
      </c>
      <c r="H892" s="43" t="str">
        <f>IFERROR(VLOOKUP($J892,'[9]FROM (3)'!$E$4:$F$230,2,FALSE),"")</f>
        <v>JAMY</v>
      </c>
      <c r="I892" s="44" t="str">
        <f t="shared" si="123"/>
        <v>RACK BAR</v>
      </c>
      <c r="J892" s="44" t="str">
        <f t="shared" si="131"/>
        <v>JGC10-M09008-51-0</v>
      </c>
      <c r="K892" s="59" t="str">
        <f t="shared" si="121"/>
        <v>PD26010872</v>
      </c>
      <c r="L892" s="46" t="str" cm="1">
        <f t="array" ref="L892">IFERROR(_xlfn.IFS(
    LEN($A892)-LEN(SUBSTITUTE($A892,"|",""))=12, RIGHT(A892, LEN(A892)-FIND("~", SUBSTITUTE(A892,"|","~", LEN(A892)-LEN(SUBSTITUTE(A892,"|",""))))),
    LEN($A892)-LEN(SUBSTITUTE($A892,"|",""))=13, MID($A892, FIND("~", SUBSTITUTE($A892,"|","~", 11))+1, FIND("~", SUBSTITUTE($A892,"|","~", 12))-FIND("~", SUBSTITUTE($A892,"|","~", 11))-1),
    LEN($A892)-LEN(SUBSTITUTE($A892,"|",""))=14, MID($A892, FIND("~", SUBSTITUTE($A892,"|","~", 11))+1, FIND("~", SUBSTITUTE($A892,"|","~", 12))-FIND("~", SUBSTITUTE($A892,"|","~", 11))-1)
), "")</f>
        <v>E586966</v>
      </c>
      <c r="M892" s="47" t="str">
        <f t="shared" si="120"/>
        <v>SB010113/4/26</v>
      </c>
      <c r="N892" s="46" t="str">
        <f t="shared" si="122"/>
        <v/>
      </c>
      <c r="O892" s="60">
        <v>60</v>
      </c>
      <c r="P892" s="60">
        <v>880</v>
      </c>
      <c r="Q892" s="48">
        <v>300</v>
      </c>
      <c r="R892" s="48">
        <v>819</v>
      </c>
      <c r="S892" s="48"/>
      <c r="T892" s="48"/>
      <c r="U892" s="49"/>
      <c r="V892" s="49"/>
      <c r="W892" s="50">
        <f t="shared" si="130"/>
        <v>0</v>
      </c>
      <c r="X892" s="51" t="str">
        <f>IF(A892="", "", IF(COUNTIFS(C$3:C891, C892, D$3:D891, D892, G$3:G891, G892) &gt; 0, "", "11:00"-AW892))</f>
        <v/>
      </c>
      <c r="Y892" s="52" t="str">
        <f t="shared" si="129"/>
        <v/>
      </c>
      <c r="Z892" s="53"/>
      <c r="AA892" s="54"/>
      <c r="AB892" s="53"/>
      <c r="AC892" s="54"/>
      <c r="AD892" s="53"/>
      <c r="AE892" s="54"/>
      <c r="AF892" s="53"/>
      <c r="AG892" s="54"/>
      <c r="AH892" s="55">
        <v>4.1666666666666699E-2</v>
      </c>
      <c r="AI892" s="53"/>
      <c r="AJ892" s="54"/>
      <c r="AK892" s="53"/>
      <c r="AL892" s="54"/>
      <c r="AM892" s="53"/>
      <c r="AN892" s="54"/>
      <c r="AO892" s="53"/>
      <c r="AP892" s="54"/>
      <c r="AQ892" s="53"/>
      <c r="AR892" s="54"/>
      <c r="AS892" s="53"/>
      <c r="AT892" s="54"/>
      <c r="AU892" s="53">
        <v>4.1666666666666699E-2</v>
      </c>
      <c r="AV892" s="54" t="s">
        <v>37</v>
      </c>
      <c r="AW892" s="57">
        <f t="shared" si="128"/>
        <v>4.1666666666666699E-2</v>
      </c>
      <c r="AX892" s="58" t="s">
        <v>117</v>
      </c>
    </row>
    <row r="893" spans="1:50" s="69" customFormat="1" ht="23.25" customHeight="1">
      <c r="A893" s="68" t="s">
        <v>806</v>
      </c>
      <c r="B893" s="39">
        <f t="shared" si="126"/>
        <v>889</v>
      </c>
      <c r="C893" s="40">
        <v>46043</v>
      </c>
      <c r="D893" s="40" t="s">
        <v>32</v>
      </c>
      <c r="E893" s="40" t="s">
        <v>33</v>
      </c>
      <c r="F893" s="41">
        <v>655.4</v>
      </c>
      <c r="G893" s="42" t="s">
        <v>85</v>
      </c>
      <c r="H893" s="43" t="str">
        <f>IFERROR(VLOOKUP($J893,'[9]FROM (3)'!$E$4:$F$230,2,FALSE),"")</f>
        <v>JAMY</v>
      </c>
      <c r="I893" s="44" t="str">
        <f t="shared" si="123"/>
        <v>RACK BAR</v>
      </c>
      <c r="J893" s="44" t="str">
        <f t="shared" si="131"/>
        <v>JGC10-M09008-51-0</v>
      </c>
      <c r="K893" s="59" t="str">
        <f t="shared" si="121"/>
        <v>PD26010872</v>
      </c>
      <c r="L893" s="46" t="str" cm="1">
        <f t="array" ref="L893">IFERROR(_xlfn.IFS(
    LEN($A893)-LEN(SUBSTITUTE($A893,"|",""))=12, RIGHT(A893, LEN(A893)-FIND("~", SUBSTITUTE(A893,"|","~", LEN(A893)-LEN(SUBSTITUTE(A893,"|",""))))),
    LEN($A893)-LEN(SUBSTITUTE($A893,"|",""))=13, MID($A893, FIND("~", SUBSTITUTE($A893,"|","~", 11))+1, FIND("~", SUBSTITUTE($A893,"|","~", 12))-FIND("~", SUBSTITUTE($A893,"|","~", 11))-1),
    LEN($A893)-LEN(SUBSTITUTE($A893,"|",""))=14, MID($A893, FIND("~", SUBSTITUTE($A893,"|","~", 11))+1, FIND("~", SUBSTITUTE($A893,"|","~", 12))-FIND("~", SUBSTITUTE($A893,"|","~", 11))-1)
), "")</f>
        <v>E586966</v>
      </c>
      <c r="M893" s="47" t="str">
        <f t="shared" si="120"/>
        <v>SB010113/6/26</v>
      </c>
      <c r="N893" s="46" t="str">
        <f t="shared" si="122"/>
        <v/>
      </c>
      <c r="O893" s="60">
        <v>60</v>
      </c>
      <c r="P893" s="60">
        <v>880</v>
      </c>
      <c r="Q893" s="48">
        <v>8</v>
      </c>
      <c r="R893" s="48">
        <v>22</v>
      </c>
      <c r="S893" s="48"/>
      <c r="T893" s="48"/>
      <c r="U893" s="49"/>
      <c r="V893" s="49"/>
      <c r="W893" s="50">
        <f t="shared" si="130"/>
        <v>0</v>
      </c>
      <c r="X893" s="51" t="str">
        <f>IF(A893="", "", IF(COUNTIFS(C$3:C892, C893, D$3:D892, D893, G$3:G892, G893) &gt; 0, "", "11:00"-AW893))</f>
        <v/>
      </c>
      <c r="Y893" s="52" t="str">
        <f t="shared" si="129"/>
        <v/>
      </c>
      <c r="Z893" s="53"/>
      <c r="AA893" s="54"/>
      <c r="AB893" s="53"/>
      <c r="AC893" s="54"/>
      <c r="AD893" s="53"/>
      <c r="AE893" s="54"/>
      <c r="AF893" s="53"/>
      <c r="AG893" s="54"/>
      <c r="AH893" s="55">
        <v>4.1666666666666699E-2</v>
      </c>
      <c r="AI893" s="53"/>
      <c r="AJ893" s="54"/>
      <c r="AK893" s="53"/>
      <c r="AL893" s="54"/>
      <c r="AM893" s="53"/>
      <c r="AN893" s="54"/>
      <c r="AO893" s="53"/>
      <c r="AP893" s="54"/>
      <c r="AQ893" s="53"/>
      <c r="AR893" s="54"/>
      <c r="AS893" s="53"/>
      <c r="AT893" s="54"/>
      <c r="AU893" s="53">
        <v>4.1666666666666699E-2</v>
      </c>
      <c r="AV893" s="54" t="s">
        <v>37</v>
      </c>
      <c r="AW893" s="57">
        <f t="shared" si="128"/>
        <v>4.1666666666666699E-2</v>
      </c>
      <c r="AX893" s="58" t="s">
        <v>117</v>
      </c>
    </row>
    <row r="894" spans="1:50" ht="23.25" customHeight="1">
      <c r="A894" s="66" t="s">
        <v>756</v>
      </c>
      <c r="B894" s="39">
        <f t="shared" si="126"/>
        <v>890</v>
      </c>
      <c r="C894" s="40">
        <v>46043</v>
      </c>
      <c r="D894" s="40" t="s">
        <v>32</v>
      </c>
      <c r="E894" s="40" t="s">
        <v>33</v>
      </c>
      <c r="F894" s="41">
        <v>83.2</v>
      </c>
      <c r="G894" s="42" t="s">
        <v>44</v>
      </c>
      <c r="H894" s="43" t="str">
        <f>IFERROR(VLOOKUP($J894,'[9]FROM (3)'!$E$4:$F$230,2,FALSE),"")</f>
        <v>DNTH</v>
      </c>
      <c r="I894" s="44" t="str">
        <f t="shared" si="123"/>
        <v>SHAFT, 2W</v>
      </c>
      <c r="J894" s="44" t="str">
        <f t="shared" si="131"/>
        <v>TG028383-0420</v>
      </c>
      <c r="K894" s="59" t="str">
        <f t="shared" si="121"/>
        <v>PD26010954</v>
      </c>
      <c r="L894" s="46" t="str" cm="1">
        <f t="array" ref="L894">IFERROR(_xlfn.IFS(
    LEN($A894)-LEN(SUBSTITUTE($A894,"|",""))=12, RIGHT(A894, LEN(A894)-FIND("~", SUBSTITUTE(A894,"|","~", LEN(A894)-LEN(SUBSTITUTE(A894,"|",""))))),
    LEN($A894)-LEN(SUBSTITUTE($A894,"|",""))=13, MID($A894, FIND("~", SUBSTITUTE($A894,"|","~", 11))+1, FIND("~", SUBSTITUTE($A894,"|","~", 12))-FIND("~", SUBSTITUTE($A894,"|","~", 11))-1),
    LEN($A894)-LEN(SUBSTITUTE($A894,"|",""))=14, MID($A894, FIND("~", SUBSTITUTE($A894,"|","~", 11))+1, FIND("~", SUBSTITUTE($A894,"|","~", 12))-FIND("~", SUBSTITUTE($A894,"|","~", 11))-1)
), "")</f>
        <v>5E0424</v>
      </c>
      <c r="M894" s="47" t="str">
        <f t="shared" si="120"/>
        <v>SB010125/1/26</v>
      </c>
      <c r="N894" s="46" t="str">
        <f t="shared" si="122"/>
        <v/>
      </c>
      <c r="O894" s="60">
        <v>0</v>
      </c>
      <c r="P894" s="60">
        <v>0</v>
      </c>
      <c r="Q894" s="48">
        <v>4094</v>
      </c>
      <c r="R894" s="48">
        <v>600</v>
      </c>
      <c r="S894" s="48"/>
      <c r="T894" s="48"/>
      <c r="U894" s="49"/>
      <c r="V894" s="49"/>
      <c r="W894" s="50">
        <f t="shared" si="130"/>
        <v>0</v>
      </c>
      <c r="X894" s="51">
        <f>IF(A894="", "", IF(COUNTIFS(C$3:C893, C894, D$3:D893, D894, G$3:G893, G894) &gt; 0, "", "11:00"-AW894))</f>
        <v>0.40277777777777773</v>
      </c>
      <c r="Y894" s="52" t="str">
        <f t="shared" si="129"/>
        <v>1:40</v>
      </c>
      <c r="Z894" s="53"/>
      <c r="AA894" s="54"/>
      <c r="AB894" s="53"/>
      <c r="AC894" s="54"/>
      <c r="AD894" s="53"/>
      <c r="AE894" s="54"/>
      <c r="AF894" s="53">
        <v>1.3888888888888888E-2</v>
      </c>
      <c r="AG894" s="54" t="s">
        <v>82</v>
      </c>
      <c r="AH894" s="55">
        <v>4.1666666666666699E-2</v>
      </c>
      <c r="AI894" s="53"/>
      <c r="AJ894" s="54"/>
      <c r="AK894" s="53"/>
      <c r="AL894" s="54"/>
      <c r="AM894" s="53"/>
      <c r="AN894" s="54"/>
      <c r="AO894" s="53"/>
      <c r="AP894" s="54"/>
      <c r="AQ894" s="53"/>
      <c r="AR894" s="54"/>
      <c r="AS894" s="53"/>
      <c r="AT894" s="54"/>
      <c r="AU894" s="53">
        <v>4.1666666666666699E-2</v>
      </c>
      <c r="AV894" s="54" t="s">
        <v>37</v>
      </c>
      <c r="AW894" s="57">
        <f t="shared" si="128"/>
        <v>5.5555555555555587E-2</v>
      </c>
      <c r="AX894" s="58" t="s">
        <v>260</v>
      </c>
    </row>
    <row r="895" spans="1:50" ht="23.25" customHeight="1">
      <c r="A895" s="66" t="s">
        <v>807</v>
      </c>
      <c r="B895" s="39">
        <f t="shared" si="126"/>
        <v>891</v>
      </c>
      <c r="C895" s="40">
        <v>46043</v>
      </c>
      <c r="D895" s="40" t="s">
        <v>32</v>
      </c>
      <c r="E895" s="40" t="s">
        <v>33</v>
      </c>
      <c r="F895" s="41">
        <v>530</v>
      </c>
      <c r="G895" s="42" t="s">
        <v>41</v>
      </c>
      <c r="H895" s="43" t="str">
        <f>IFERROR(VLOOKUP($J895,'[9]FROM (3)'!$E$4:$F$230,2,FALSE),"")</f>
        <v>KONSEI</v>
      </c>
      <c r="I895" s="44" t="str">
        <f t="shared" si="123"/>
        <v>Piston Disc Brake Forging</v>
      </c>
      <c r="J895" s="44" t="str">
        <f t="shared" si="131"/>
        <v>141411-60180</v>
      </c>
      <c r="K895" s="59" t="str">
        <f t="shared" si="121"/>
        <v>PD26010485</v>
      </c>
      <c r="L895" s="46" t="str" cm="1">
        <f t="array" ref="L895">IFERROR(_xlfn.IFS(
    LEN($A895)-LEN(SUBSTITUTE($A895,"|",""))=12, RIGHT(A895, LEN(A895)-FIND("~", SUBSTITUTE(A895,"|","~", LEN(A895)-LEN(SUBSTITUTE(A895,"|",""))))),
    LEN($A895)-LEN(SUBSTITUTE($A895,"|",""))=13, MID($A895, FIND("~", SUBSTITUTE($A895,"|","~", 11))+1, FIND("~", SUBSTITUTE($A895,"|","~", 12))-FIND("~", SUBSTITUTE($A895,"|","~", 11))-1),
    LEN($A895)-LEN(SUBSTITUTE($A895,"|",""))=14, MID($A895, FIND("~", SUBSTITUTE($A895,"|","~", 11))+1, FIND("~", SUBSTITUTE($A895,"|","~", 12))-FIND("~", SUBSTITUTE($A895,"|","~", 11))-1)
), "")</f>
        <v>JFE-SC</v>
      </c>
      <c r="M895" s="47" t="str">
        <f t="shared" si="120"/>
        <v>663961</v>
      </c>
      <c r="N895" s="46" t="str">
        <f t="shared" si="122"/>
        <v>663961</v>
      </c>
      <c r="O895" s="60">
        <v>0</v>
      </c>
      <c r="P895" s="60">
        <v>0</v>
      </c>
      <c r="Q895" s="48">
        <v>2368</v>
      </c>
      <c r="R895" s="48">
        <v>1255</v>
      </c>
      <c r="S895" s="48"/>
      <c r="T895" s="48"/>
      <c r="U895" s="49"/>
      <c r="V895" s="49"/>
      <c r="W895" s="50">
        <f t="shared" si="130"/>
        <v>0</v>
      </c>
      <c r="X895" s="51">
        <f>IF(A895="", "", IF(COUNTIFS(C$3:C894, C895, D$3:D894, D895, G$3:G894, G895) &gt; 0, "", "11:00"-AW895))</f>
        <v>0.41666666666666663</v>
      </c>
      <c r="Y895" s="52" t="str">
        <f t="shared" si="129"/>
        <v>1:40</v>
      </c>
      <c r="Z895" s="53"/>
      <c r="AA895" s="54"/>
      <c r="AB895" s="53"/>
      <c r="AC895" s="54"/>
      <c r="AD895" s="53"/>
      <c r="AE895" s="54"/>
      <c r="AF895" s="53"/>
      <c r="AG895" s="54"/>
      <c r="AH895" s="55">
        <v>4.1666666666666699E-2</v>
      </c>
      <c r="AI895" s="53"/>
      <c r="AJ895" s="54"/>
      <c r="AK895" s="53"/>
      <c r="AL895" s="54"/>
      <c r="AM895" s="53"/>
      <c r="AN895" s="54"/>
      <c r="AO895" s="53"/>
      <c r="AP895" s="54"/>
      <c r="AQ895" s="53"/>
      <c r="AR895" s="54"/>
      <c r="AS895" s="53"/>
      <c r="AT895" s="54"/>
      <c r="AU895" s="53">
        <v>4.1666666666666699E-2</v>
      </c>
      <c r="AV895" s="54" t="s">
        <v>37</v>
      </c>
      <c r="AW895" s="57">
        <f t="shared" si="128"/>
        <v>4.1666666666666699E-2</v>
      </c>
      <c r="AX895" s="58" t="s">
        <v>260</v>
      </c>
    </row>
    <row r="896" spans="1:50" ht="23.25" customHeight="1">
      <c r="A896" s="38" t="s">
        <v>755</v>
      </c>
      <c r="B896" s="39">
        <f t="shared" si="126"/>
        <v>892</v>
      </c>
      <c r="C896" s="40">
        <v>46043</v>
      </c>
      <c r="D896" s="40" t="s">
        <v>32</v>
      </c>
      <c r="E896" s="40" t="s">
        <v>33</v>
      </c>
      <c r="F896" s="41">
        <v>565.20000000000005</v>
      </c>
      <c r="G896" s="42" t="s">
        <v>75</v>
      </c>
      <c r="H896" s="43" t="str">
        <f>IFERROR(VLOOKUP($J896,'[9]FROM (3)'!$E$4:$F$230,2,FALSE),"")</f>
        <v>JTCS</v>
      </c>
      <c r="I896" s="44" t="str">
        <f t="shared" si="123"/>
        <v>RACK, MS</v>
      </c>
      <c r="J896" s="44" t="str">
        <f t="shared" si="131"/>
        <v>JGC10-003040-40-0</v>
      </c>
      <c r="K896" s="59" t="str">
        <f t="shared" si="121"/>
        <v>PD26010713</v>
      </c>
      <c r="L896" s="46" t="str" cm="1">
        <f t="array" ref="L896">IFERROR(_xlfn.IFS(
    LEN($A896)-LEN(SUBSTITUTE($A896,"|",""))=12, RIGHT(A896, LEN(A896)-FIND("~", SUBSTITUTE(A896,"|","~", LEN(A896)-LEN(SUBSTITUTE(A896,"|",""))))),
    LEN($A896)-LEN(SUBSTITUTE($A896,"|",""))=13, MID($A896, FIND("~", SUBSTITUTE($A896,"|","~", 11))+1, FIND("~", SUBSTITUTE($A896,"|","~", 12))-FIND("~", SUBSTITUTE($A896,"|","~", 11))-1),
    LEN($A896)-LEN(SUBSTITUTE($A896,"|",""))=14, MID($A896, FIND("~", SUBSTITUTE($A896,"|","~", 11))+1, FIND("~", SUBSTITUTE($A896,"|","~", 12))-FIND("~", SUBSTITUTE($A896,"|","~", 11))-1)
), "")</f>
        <v>E586613</v>
      </c>
      <c r="M896" s="47" t="str">
        <f t="shared" si="120"/>
        <v>SB010081/4/26</v>
      </c>
      <c r="N896" s="46" t="str">
        <f t="shared" si="122"/>
        <v/>
      </c>
      <c r="O896" s="60">
        <v>0</v>
      </c>
      <c r="P896" s="60">
        <v>0</v>
      </c>
      <c r="Q896" s="48">
        <v>52</v>
      </c>
      <c r="R896" s="48">
        <v>122</v>
      </c>
      <c r="S896" s="48"/>
      <c r="T896" s="48"/>
      <c r="U896" s="49">
        <v>99</v>
      </c>
      <c r="V896" s="49">
        <v>7</v>
      </c>
      <c r="W896" s="50">
        <f t="shared" si="130"/>
        <v>106</v>
      </c>
      <c r="X896" s="51">
        <f>IF(A896="", "", IF(COUNTIFS(C$3:C895, C896, D$3:D895, D896, G$3:G895, G896) &gt; 0, "", "11:00"-AW896))</f>
        <v>0.37499999999999994</v>
      </c>
      <c r="Y896" s="52" t="str">
        <f t="shared" si="129"/>
        <v>1:40</v>
      </c>
      <c r="Z896" s="53">
        <v>2.7777777777777776E-2</v>
      </c>
      <c r="AA896" s="54" t="s">
        <v>67</v>
      </c>
      <c r="AB896" s="53">
        <v>1.3888888888888888E-2</v>
      </c>
      <c r="AC896" s="54" t="s">
        <v>67</v>
      </c>
      <c r="AD896" s="53"/>
      <c r="AE896" s="54"/>
      <c r="AF896" s="53"/>
      <c r="AG896" s="54"/>
      <c r="AH896" s="55">
        <v>4.1666666666666699E-2</v>
      </c>
      <c r="AI896" s="53"/>
      <c r="AJ896" s="54"/>
      <c r="AK896" s="53"/>
      <c r="AL896" s="54"/>
      <c r="AM896" s="53"/>
      <c r="AN896" s="54"/>
      <c r="AO896" s="53"/>
      <c r="AP896" s="54"/>
      <c r="AQ896" s="53"/>
      <c r="AR896" s="54"/>
      <c r="AS896" s="53"/>
      <c r="AT896" s="54"/>
      <c r="AU896" s="53">
        <v>4.1666666666666699E-2</v>
      </c>
      <c r="AV896" s="54" t="s">
        <v>37</v>
      </c>
      <c r="AW896" s="57">
        <f t="shared" si="128"/>
        <v>8.333333333333337E-2</v>
      </c>
      <c r="AX896" s="58" t="s">
        <v>77</v>
      </c>
    </row>
    <row r="897" spans="1:50" s="69" customFormat="1" ht="30" customHeight="1">
      <c r="A897" s="70" t="s">
        <v>808</v>
      </c>
      <c r="B897" s="39">
        <f t="shared" si="126"/>
        <v>893</v>
      </c>
      <c r="C897" s="40">
        <v>46043</v>
      </c>
      <c r="D897" s="40" t="s">
        <v>32</v>
      </c>
      <c r="E897" s="40" t="s">
        <v>33</v>
      </c>
      <c r="F897" s="41">
        <v>598.79999999999995</v>
      </c>
      <c r="G897" s="42" t="s">
        <v>75</v>
      </c>
      <c r="H897" s="43" t="str">
        <f>IFERROR(VLOOKUP($J897,'[9]FROM (3)'!$E$4:$F$230,2,FALSE),"")</f>
        <v>JTCS</v>
      </c>
      <c r="I897" s="44" t="str">
        <f t="shared" si="123"/>
        <v>RACK, MS</v>
      </c>
      <c r="J897" s="44" t="str">
        <f t="shared" si="131"/>
        <v>JGC10-001180-S</v>
      </c>
      <c r="K897" s="59" t="str">
        <f t="shared" si="121"/>
        <v>PD26010776</v>
      </c>
      <c r="L897" s="46" t="str" cm="1">
        <f t="array" ref="L897">IFERROR(_xlfn.IFS(
    LEN($A897)-LEN(SUBSTITUTE($A897,"|",""))=12, RIGHT(A897, LEN(A897)-FIND("~", SUBSTITUTE(A897,"|","~", LEN(A897)-LEN(SUBSTITUTE(A897,"|",""))))),
    LEN($A897)-LEN(SUBSTITUTE($A897,"|",""))=13, MID($A897, FIND("~", SUBSTITUTE($A897,"|","~", 11))+1, FIND("~", SUBSTITUTE($A897,"|","~", 12))-FIND("~", SUBSTITUTE($A897,"|","~", 11))-1),
    LEN($A897)-LEN(SUBSTITUTE($A897,"|",""))=14, MID($A897, FIND("~", SUBSTITUTE($A897,"|","~", 11))+1, FIND("~", SUBSTITUTE($A897,"|","~", 12))-FIND("~", SUBSTITUTE($A897,"|","~", 11))-1)
), "")</f>
        <v>E585971</v>
      </c>
      <c r="M897" s="47" t="str">
        <f t="shared" si="120"/>
        <v>SB010092/1/26</v>
      </c>
      <c r="N897" s="46" t="str">
        <f t="shared" si="122"/>
        <v/>
      </c>
      <c r="O897" s="60">
        <v>80</v>
      </c>
      <c r="P897" s="60">
        <v>904</v>
      </c>
      <c r="Q897" s="48">
        <v>400</v>
      </c>
      <c r="R897" s="48">
        <v>850</v>
      </c>
      <c r="S897" s="48"/>
      <c r="T897" s="48"/>
      <c r="U897" s="49"/>
      <c r="V897" s="49"/>
      <c r="W897" s="50">
        <f t="shared" si="130"/>
        <v>0</v>
      </c>
      <c r="X897" s="51" t="str">
        <f>IF(A897="", "", IF(COUNTIFS(C$3:C896, C897, D$3:D896, D897, G$3:G896, G897) &gt; 0, "", "11:00"-AW897))</f>
        <v/>
      </c>
      <c r="Y897" s="52" t="str">
        <f t="shared" si="129"/>
        <v/>
      </c>
      <c r="Z897" s="53"/>
      <c r="AA897" s="54"/>
      <c r="AB897" s="53"/>
      <c r="AC897" s="54"/>
      <c r="AD897" s="53"/>
      <c r="AE897" s="54"/>
      <c r="AF897" s="53"/>
      <c r="AG897" s="54"/>
      <c r="AH897" s="55">
        <v>4.1666666666666699E-2</v>
      </c>
      <c r="AI897" s="53"/>
      <c r="AJ897" s="54"/>
      <c r="AK897" s="53"/>
      <c r="AL897" s="54"/>
      <c r="AM897" s="53"/>
      <c r="AN897" s="54"/>
      <c r="AO897" s="53"/>
      <c r="AP897" s="54"/>
      <c r="AQ897" s="53"/>
      <c r="AR897" s="54"/>
      <c r="AS897" s="53"/>
      <c r="AT897" s="54"/>
      <c r="AU897" s="53">
        <v>4.1666666666666699E-2</v>
      </c>
      <c r="AV897" s="54" t="s">
        <v>37</v>
      </c>
      <c r="AW897" s="57">
        <f t="shared" si="128"/>
        <v>4.1666666666666699E-2</v>
      </c>
      <c r="AX897" s="58" t="s">
        <v>77</v>
      </c>
    </row>
    <row r="898" spans="1:50" ht="33" customHeight="1">
      <c r="A898" s="66" t="s">
        <v>809</v>
      </c>
      <c r="B898" s="39">
        <f t="shared" si="126"/>
        <v>894</v>
      </c>
      <c r="C898" s="40">
        <v>46043</v>
      </c>
      <c r="D898" s="40" t="s">
        <v>32</v>
      </c>
      <c r="E898" s="40" t="s">
        <v>33</v>
      </c>
      <c r="F898" s="41">
        <v>598.79999999999995</v>
      </c>
      <c r="G898" s="42" t="s">
        <v>75</v>
      </c>
      <c r="H898" s="43" t="str">
        <f>IFERROR(VLOOKUP($J898,'[9]FROM (3)'!$E$4:$F$230,2,FALSE),"")</f>
        <v>JTCS</v>
      </c>
      <c r="I898" s="44" t="str">
        <f t="shared" si="123"/>
        <v>RACK, MS</v>
      </c>
      <c r="J898" s="44" t="str">
        <f t="shared" si="131"/>
        <v>JGC10-001180-S</v>
      </c>
      <c r="K898" s="59" t="str">
        <f t="shared" si="121"/>
        <v>PD26010776</v>
      </c>
      <c r="L898" s="46" t="str" cm="1">
        <f t="array" ref="L898">IFERROR(_xlfn.IFS(
    LEN($A898)-LEN(SUBSTITUTE($A898,"|",""))=12, RIGHT(A898, LEN(A898)-FIND("~", SUBSTITUTE(A898,"|","~", LEN(A898)-LEN(SUBSTITUTE(A898,"|",""))))),
    LEN($A898)-LEN(SUBSTITUTE($A898,"|",""))=13, MID($A898, FIND("~", SUBSTITUTE($A898,"|","~", 11))+1, FIND("~", SUBSTITUTE($A898,"|","~", 12))-FIND("~", SUBSTITUTE($A898,"|","~", 11))-1),
    LEN($A898)-LEN(SUBSTITUTE($A898,"|",""))=14, MID($A898, FIND("~", SUBSTITUTE($A898,"|","~", 11))+1, FIND("~", SUBSTITUTE($A898,"|","~", 12))-FIND("~", SUBSTITUTE($A898,"|","~", 11))-1)
), "")</f>
        <v>E585971</v>
      </c>
      <c r="M898" s="47" t="str">
        <f t="shared" si="120"/>
        <v>SB010092/2/26</v>
      </c>
      <c r="N898" s="46" t="str">
        <f t="shared" si="122"/>
        <v/>
      </c>
      <c r="O898" s="60">
        <v>80</v>
      </c>
      <c r="P898" s="60">
        <v>904</v>
      </c>
      <c r="Q898" s="48">
        <v>400</v>
      </c>
      <c r="R898" s="48">
        <v>850</v>
      </c>
      <c r="S898" s="48"/>
      <c r="T898" s="48"/>
      <c r="U898" s="49"/>
      <c r="V898" s="49"/>
      <c r="W898" s="50">
        <f t="shared" si="130"/>
        <v>0</v>
      </c>
      <c r="X898" s="51" t="str">
        <f>IF(A898="", "", IF(COUNTIFS(C$3:C897, C898, D$3:D897, D898, G$3:G897, G898) &gt; 0, "", "11:00"-AW898))</f>
        <v/>
      </c>
      <c r="Y898" s="52" t="str">
        <f t="shared" si="129"/>
        <v/>
      </c>
      <c r="Z898" s="53"/>
      <c r="AA898" s="54"/>
      <c r="AB898" s="53"/>
      <c r="AC898" s="54"/>
      <c r="AD898" s="53"/>
      <c r="AE898" s="54"/>
      <c r="AF898" s="53"/>
      <c r="AG898" s="54"/>
      <c r="AH898" s="55">
        <v>4.1666666666666699E-2</v>
      </c>
      <c r="AI898" s="53"/>
      <c r="AJ898" s="54"/>
      <c r="AK898" s="53"/>
      <c r="AL898" s="54"/>
      <c r="AM898" s="53"/>
      <c r="AN898" s="54"/>
      <c r="AO898" s="53"/>
      <c r="AP898" s="54"/>
      <c r="AQ898" s="53"/>
      <c r="AR898" s="54"/>
      <c r="AS898" s="53"/>
      <c r="AT898" s="54"/>
      <c r="AU898" s="53">
        <v>4.1666666666666699E-2</v>
      </c>
      <c r="AV898" s="54" t="s">
        <v>37</v>
      </c>
      <c r="AW898" s="57">
        <f t="shared" si="128"/>
        <v>4.1666666666666699E-2</v>
      </c>
      <c r="AX898" s="58" t="s">
        <v>77</v>
      </c>
    </row>
    <row r="899" spans="1:50" ht="27" customHeight="1">
      <c r="A899" s="66" t="s">
        <v>810</v>
      </c>
      <c r="B899" s="39">
        <f t="shared" si="126"/>
        <v>895</v>
      </c>
      <c r="C899" s="40">
        <v>46043</v>
      </c>
      <c r="D899" s="40" t="s">
        <v>32</v>
      </c>
      <c r="E899" s="40" t="s">
        <v>33</v>
      </c>
      <c r="F899" s="41">
        <v>598.79999999999995</v>
      </c>
      <c r="G899" s="42" t="s">
        <v>75</v>
      </c>
      <c r="H899" s="43" t="str">
        <f>IFERROR(VLOOKUP($J899,'[9]FROM (3)'!$E$4:$F$230,2,FALSE),"")</f>
        <v>JTCS</v>
      </c>
      <c r="I899" s="44" t="str">
        <f t="shared" si="123"/>
        <v>RACK, MS</v>
      </c>
      <c r="J899" s="44" t="str">
        <f t="shared" si="131"/>
        <v>JGC10-001180-S</v>
      </c>
      <c r="K899" s="59" t="str">
        <f t="shared" si="121"/>
        <v>PD26010776</v>
      </c>
      <c r="L899" s="46" t="str" cm="1">
        <f t="array" ref="L899">IFERROR(_xlfn.IFS(
    LEN($A899)-LEN(SUBSTITUTE($A899,"|",""))=12, RIGHT(A899, LEN(A899)-FIND("~", SUBSTITUTE(A899,"|","~", LEN(A899)-LEN(SUBSTITUTE(A899,"|",""))))),
    LEN($A899)-LEN(SUBSTITUTE($A899,"|",""))=13, MID($A899, FIND("~", SUBSTITUTE($A899,"|","~", 11))+1, FIND("~", SUBSTITUTE($A899,"|","~", 12))-FIND("~", SUBSTITUTE($A899,"|","~", 11))-1),
    LEN($A899)-LEN(SUBSTITUTE($A899,"|",""))=14, MID($A899, FIND("~", SUBSTITUTE($A899,"|","~", 11))+1, FIND("~", SUBSTITUTE($A899,"|","~", 12))-FIND("~", SUBSTITUTE($A899,"|","~", 11))-1)
), "")</f>
        <v>E585971</v>
      </c>
      <c r="M899" s="47" t="str">
        <f t="shared" si="120"/>
        <v>SB010092/3/26</v>
      </c>
      <c r="N899" s="46" t="str">
        <f t="shared" si="122"/>
        <v/>
      </c>
      <c r="O899" s="60">
        <v>80</v>
      </c>
      <c r="P899" s="60">
        <v>904</v>
      </c>
      <c r="Q899" s="48">
        <v>199</v>
      </c>
      <c r="R899" s="48">
        <v>423</v>
      </c>
      <c r="S899" s="48"/>
      <c r="T899" s="48"/>
      <c r="U899" s="49"/>
      <c r="V899" s="49"/>
      <c r="W899" s="50">
        <f t="shared" si="130"/>
        <v>0</v>
      </c>
      <c r="X899" s="51" t="str">
        <f>IF(A899="", "", IF(COUNTIFS(C$3:C898, C899, D$3:D898, D899, G$3:G898, G899) &gt; 0, "", "11:00"-AW899))</f>
        <v/>
      </c>
      <c r="Y899" s="52" t="str">
        <f t="shared" si="129"/>
        <v/>
      </c>
      <c r="Z899" s="53"/>
      <c r="AA899" s="54"/>
      <c r="AB899" s="53"/>
      <c r="AC899" s="54"/>
      <c r="AD899" s="53"/>
      <c r="AE899" s="54"/>
      <c r="AF899" s="53"/>
      <c r="AG899" s="54"/>
      <c r="AH899" s="55">
        <v>4.1666666666666699E-2</v>
      </c>
      <c r="AI899" s="53"/>
      <c r="AJ899" s="54"/>
      <c r="AK899" s="53"/>
      <c r="AL899" s="54"/>
      <c r="AM899" s="53"/>
      <c r="AN899" s="54"/>
      <c r="AO899" s="53"/>
      <c r="AP899" s="54"/>
      <c r="AQ899" s="53"/>
      <c r="AR899" s="54"/>
      <c r="AS899" s="53"/>
      <c r="AT899" s="54"/>
      <c r="AU899" s="53">
        <v>4.1666666666666699E-2</v>
      </c>
      <c r="AV899" s="54" t="s">
        <v>37</v>
      </c>
      <c r="AW899" s="57">
        <f t="shared" si="128"/>
        <v>4.1666666666666699E-2</v>
      </c>
      <c r="AX899" s="58" t="s">
        <v>77</v>
      </c>
    </row>
    <row r="900" spans="1:50" ht="27.75" customHeight="1">
      <c r="A900" s="66" t="s">
        <v>768</v>
      </c>
      <c r="B900" s="39">
        <f t="shared" si="126"/>
        <v>896</v>
      </c>
      <c r="C900" s="40">
        <v>46043</v>
      </c>
      <c r="D900" s="40" t="s">
        <v>32</v>
      </c>
      <c r="E900" s="40" t="s">
        <v>33</v>
      </c>
      <c r="F900" s="41">
        <v>630.4</v>
      </c>
      <c r="G900" s="42" t="s">
        <v>66</v>
      </c>
      <c r="H900" s="43" t="str">
        <f>IFERROR(VLOOKUP($J900,'[9]FROM (3)'!$E$4:$F$230,2,FALSE),"")</f>
        <v>JTCS</v>
      </c>
      <c r="I900" s="44" t="str">
        <f t="shared" si="123"/>
        <v>RACK, MS</v>
      </c>
      <c r="J900" s="44" t="str">
        <f t="shared" si="131"/>
        <v>JGC10-003140-40-0</v>
      </c>
      <c r="K900" s="59" t="str">
        <f t="shared" si="121"/>
        <v>PD26010929</v>
      </c>
      <c r="L900" s="46" t="str" cm="1">
        <f t="array" ref="L900">IFERROR(_xlfn.IFS(
    LEN($A900)-LEN(SUBSTITUTE($A900,"|",""))=12, RIGHT(A900, LEN(A900)-FIND("~", SUBSTITUTE(A900,"|","~", LEN(A900)-LEN(SUBSTITUTE(A900,"|",""))))),
    LEN($A900)-LEN(SUBSTITUTE($A900,"|",""))=13, MID($A900, FIND("~", SUBSTITUTE($A900,"|","~", 11))+1, FIND("~", SUBSTITUTE($A900,"|","~", 12))-FIND("~", SUBSTITUTE($A900,"|","~", 11))-1),
    LEN($A900)-LEN(SUBSTITUTE($A900,"|",""))=14, MID($A900, FIND("~", SUBSTITUTE($A900,"|","~", 11))+1, FIND("~", SUBSTITUTE($A900,"|","~", 12))-FIND("~", SUBSTITUTE($A900,"|","~", 11))-1)
), "")</f>
        <v>E586613</v>
      </c>
      <c r="M900" s="47" t="str">
        <f t="shared" si="120"/>
        <v>SB010097/1/26</v>
      </c>
      <c r="N900" s="46" t="str">
        <f t="shared" si="122"/>
        <v/>
      </c>
      <c r="O900" s="60">
        <v>38</v>
      </c>
      <c r="P900" s="60">
        <v>554</v>
      </c>
      <c r="Q900" s="48">
        <v>188</v>
      </c>
      <c r="R900" s="48">
        <v>494</v>
      </c>
      <c r="S900" s="48"/>
      <c r="T900" s="48"/>
      <c r="U900" s="49"/>
      <c r="V900" s="49"/>
      <c r="W900" s="50">
        <f t="shared" si="130"/>
        <v>0</v>
      </c>
      <c r="X900" s="51">
        <f>IF(A900="", "", IF(COUNTIFS(C$3:C899, C900, D$3:D899, D900, G$3:G899, G900) &gt; 0, "", "11:00"-AW900))</f>
        <v>0.37499999999999994</v>
      </c>
      <c r="Y900" s="52" t="str">
        <f t="shared" si="129"/>
        <v>1:40</v>
      </c>
      <c r="Z900" s="53">
        <v>4.1666666666666664E-2</v>
      </c>
      <c r="AA900" s="54" t="s">
        <v>67</v>
      </c>
      <c r="AB900" s="53"/>
      <c r="AC900" s="54"/>
      <c r="AD900" s="53"/>
      <c r="AE900" s="54"/>
      <c r="AF900" s="53"/>
      <c r="AG900" s="54"/>
      <c r="AH900" s="55">
        <v>4.1666666666666699E-2</v>
      </c>
      <c r="AI900" s="53"/>
      <c r="AJ900" s="54"/>
      <c r="AK900" s="53"/>
      <c r="AL900" s="54"/>
      <c r="AM900" s="53"/>
      <c r="AN900" s="54"/>
      <c r="AO900" s="53"/>
      <c r="AP900" s="54"/>
      <c r="AQ900" s="53"/>
      <c r="AR900" s="54"/>
      <c r="AS900" s="53"/>
      <c r="AT900" s="54"/>
      <c r="AU900" s="53">
        <v>4.1666666666666699E-2</v>
      </c>
      <c r="AV900" s="54" t="s">
        <v>37</v>
      </c>
      <c r="AW900" s="57">
        <f t="shared" si="128"/>
        <v>8.333333333333337E-2</v>
      </c>
      <c r="AX900" s="58" t="s">
        <v>68</v>
      </c>
    </row>
    <row r="901" spans="1:50" ht="21" customHeight="1">
      <c r="A901" s="66" t="s">
        <v>811</v>
      </c>
      <c r="B901" s="39">
        <f t="shared" si="126"/>
        <v>897</v>
      </c>
      <c r="C901" s="40">
        <v>46043</v>
      </c>
      <c r="D901" s="40" t="s">
        <v>32</v>
      </c>
      <c r="E901" s="40" t="s">
        <v>33</v>
      </c>
      <c r="F901" s="41">
        <v>630.4</v>
      </c>
      <c r="G901" s="42" t="s">
        <v>66</v>
      </c>
      <c r="H901" s="43" t="str">
        <f>IFERROR(VLOOKUP($J901,'[9]FROM (3)'!$E$4:$F$230,2,FALSE),"")</f>
        <v>JTCS</v>
      </c>
      <c r="I901" s="44" t="str">
        <f t="shared" si="123"/>
        <v>RACK, MS</v>
      </c>
      <c r="J901" s="44" t="str">
        <f t="shared" si="131"/>
        <v>JGC10-003140-40-0</v>
      </c>
      <c r="K901" s="59" t="str">
        <f t="shared" si="121"/>
        <v>PD26010929</v>
      </c>
      <c r="L901" s="46" t="str" cm="1">
        <f t="array" ref="L901">IFERROR(_xlfn.IFS(
    LEN($A901)-LEN(SUBSTITUTE($A901,"|",""))=12, RIGHT(A901, LEN(A901)-FIND("~", SUBSTITUTE(A901,"|","~", LEN(A901)-LEN(SUBSTITUTE(A901,"|",""))))),
    LEN($A901)-LEN(SUBSTITUTE($A901,"|",""))=13, MID($A901, FIND("~", SUBSTITUTE($A901,"|","~", 11))+1, FIND("~", SUBSTITUTE($A901,"|","~", 12))-FIND("~", SUBSTITUTE($A901,"|","~", 11))-1),
    LEN($A901)-LEN(SUBSTITUTE($A901,"|",""))=14, MID($A901, FIND("~", SUBSTITUTE($A901,"|","~", 11))+1, FIND("~", SUBSTITUTE($A901,"|","~", 12))-FIND("~", SUBSTITUTE($A901,"|","~", 11))-1)
), "")</f>
        <v>E586613</v>
      </c>
      <c r="M901" s="47" t="str">
        <f t="shared" ref="M901:M964" si="132">IFERROR(MID(A901,FIND("~",SUBSTITUTE(A901,"|","~",10))+1,FIND("~",SUBSTITUTE(A901,"|","~",11))-FIND("~",SUBSTITUTE(A901,"|","~",10))-1),"")</f>
        <v>SB010097/2/26</v>
      </c>
      <c r="N901" s="46" t="str">
        <f t="shared" si="122"/>
        <v/>
      </c>
      <c r="O901" s="60">
        <v>60</v>
      </c>
      <c r="P901" s="60">
        <v>874</v>
      </c>
      <c r="Q901" s="48">
        <v>300</v>
      </c>
      <c r="R901" s="48">
        <v>788</v>
      </c>
      <c r="S901" s="48"/>
      <c r="T901" s="48"/>
      <c r="U901" s="49">
        <v>151</v>
      </c>
      <c r="V901" s="49">
        <v>6</v>
      </c>
      <c r="W901" s="50">
        <f t="shared" si="130"/>
        <v>157</v>
      </c>
      <c r="X901" s="51" t="str">
        <f>IF(A901="", "", IF(COUNTIFS(C$3:C900, C901, D$3:D900, D901, G$3:G900, G901) &gt; 0, "", "11:00"-AW901))</f>
        <v/>
      </c>
      <c r="Y901" s="52" t="str">
        <f t="shared" si="129"/>
        <v/>
      </c>
      <c r="Z901" s="53"/>
      <c r="AA901" s="54"/>
      <c r="AB901" s="53"/>
      <c r="AC901" s="54"/>
      <c r="AD901" s="53"/>
      <c r="AE901" s="54"/>
      <c r="AF901" s="53"/>
      <c r="AG901" s="54"/>
      <c r="AH901" s="55">
        <v>4.1666666666666699E-2</v>
      </c>
      <c r="AI901" s="53"/>
      <c r="AJ901" s="54"/>
      <c r="AK901" s="53"/>
      <c r="AL901" s="54"/>
      <c r="AM901" s="53"/>
      <c r="AN901" s="54"/>
      <c r="AO901" s="53"/>
      <c r="AP901" s="54"/>
      <c r="AQ901" s="53"/>
      <c r="AR901" s="54"/>
      <c r="AS901" s="53"/>
      <c r="AT901" s="54"/>
      <c r="AU901" s="53">
        <v>4.1666666666666699E-2</v>
      </c>
      <c r="AV901" s="54" t="s">
        <v>37</v>
      </c>
      <c r="AW901" s="57">
        <f t="shared" si="128"/>
        <v>4.1666666666666699E-2</v>
      </c>
      <c r="AX901" s="58" t="s">
        <v>68</v>
      </c>
    </row>
    <row r="902" spans="1:50" ht="21" customHeight="1">
      <c r="A902" s="66" t="s">
        <v>812</v>
      </c>
      <c r="B902" s="39">
        <f t="shared" si="126"/>
        <v>898</v>
      </c>
      <c r="C902" s="40">
        <v>46043</v>
      </c>
      <c r="D902" s="40" t="s">
        <v>32</v>
      </c>
      <c r="E902" s="40" t="s">
        <v>33</v>
      </c>
      <c r="F902" s="41">
        <v>698.5</v>
      </c>
      <c r="G902" s="42" t="s">
        <v>66</v>
      </c>
      <c r="H902" s="43" t="str">
        <f>IFERROR(VLOOKUP($J902,'[9]FROM (3)'!$E$4:$F$230,2,FALSE),"")</f>
        <v>JCTTH</v>
      </c>
      <c r="I902" s="44" t="str">
        <f t="shared" si="123"/>
        <v>RACK BAR</v>
      </c>
      <c r="J902" s="44" t="str">
        <f t="shared" si="131"/>
        <v>JGD10-000751/000761-A</v>
      </c>
      <c r="K902" s="59" t="str">
        <f t="shared" ref="K902:K965" si="133">IFERROR(LEFT(A902,SEARCH("|",A902)-1),"")</f>
        <v>PD26010329</v>
      </c>
      <c r="L902" s="46" t="str" cm="1">
        <f t="array" ref="L902">IFERROR(_xlfn.IFS(
    LEN($A902)-LEN(SUBSTITUTE($A902,"|",""))=12, RIGHT(A902, LEN(A902)-FIND("~", SUBSTITUTE(A902,"|","~", LEN(A902)-LEN(SUBSTITUTE(A902,"|",""))))),
    LEN($A902)-LEN(SUBSTITUTE($A902,"|",""))=13, MID($A902, FIND("~", SUBSTITUTE($A902,"|","~", 11))+1, FIND("~", SUBSTITUTE($A902,"|","~", 12))-FIND("~", SUBSTITUTE($A902,"|","~", 11))-1),
    LEN($A902)-LEN(SUBSTITUTE($A902,"|",""))=14, MID($A902, FIND("~", SUBSTITUTE($A902,"|","~", 11))+1, FIND("~", SUBSTITUTE($A902,"|","~", 12))-FIND("~", SUBSTITUTE($A902,"|","~", 11))-1)
), "")</f>
        <v>665076</v>
      </c>
      <c r="M902" s="47" t="str">
        <f t="shared" si="132"/>
        <v>SB010021/1/26</v>
      </c>
      <c r="N902" s="46" t="str">
        <f t="shared" ref="N902:N965" si="134">IFERROR(IF(LEN($A902)-LEN(SUBSTITUTE($A902,"|",""))=12,MID($A902,FIND("~",SUBSTITUTE($A902,"|","~",11))+1,FIND("~",SUBSTITUTE($A902,"|","~",12))-FIND("~",SUBSTITUTE($A902,"|","~",11))-1),IF(LEN($A902)-LEN(SUBSTITUTE($A902,"|",""))=13,MID($A902,FIND("~",SUBSTITUTE($A902,"|","~",10))+1,FIND("~",SUBSTITUTE($A902,"|","~",11))-FIND("~",SUBSTITUTE($A902,"|","~",10))-1), "")),"")</f>
        <v/>
      </c>
      <c r="O902" s="60">
        <v>51</v>
      </c>
      <c r="P902" s="60">
        <v>986</v>
      </c>
      <c r="Q902" s="48">
        <v>204</v>
      </c>
      <c r="R902" s="48">
        <v>913</v>
      </c>
      <c r="S902" s="48"/>
      <c r="T902" s="48"/>
      <c r="U902" s="49"/>
      <c r="V902" s="49"/>
      <c r="W902" s="50">
        <f t="shared" si="130"/>
        <v>0</v>
      </c>
      <c r="X902" s="51" t="str">
        <f>IF(A902="", "", IF(COUNTIFS(C$3:C901, C902, D$3:D901, D902, G$3:G901, G902) &gt; 0, "", "11:00"-AW902))</f>
        <v/>
      </c>
      <c r="Y902" s="52" t="str">
        <f t="shared" si="129"/>
        <v/>
      </c>
      <c r="Z902" s="53"/>
      <c r="AA902" s="54"/>
      <c r="AB902" s="53"/>
      <c r="AC902" s="54"/>
      <c r="AD902" s="53"/>
      <c r="AE902" s="54"/>
      <c r="AF902" s="53"/>
      <c r="AG902" s="54"/>
      <c r="AH902" s="55">
        <v>4.1666666666666699E-2</v>
      </c>
      <c r="AI902" s="53"/>
      <c r="AJ902" s="54"/>
      <c r="AK902" s="53"/>
      <c r="AL902" s="54"/>
      <c r="AM902" s="53"/>
      <c r="AN902" s="54"/>
      <c r="AO902" s="53"/>
      <c r="AP902" s="54"/>
      <c r="AQ902" s="53"/>
      <c r="AR902" s="54"/>
      <c r="AS902" s="53"/>
      <c r="AT902" s="54"/>
      <c r="AU902" s="53">
        <v>4.1666666666666699E-2</v>
      </c>
      <c r="AV902" s="54" t="s">
        <v>37</v>
      </c>
      <c r="AW902" s="57">
        <f t="shared" si="128"/>
        <v>4.1666666666666699E-2</v>
      </c>
      <c r="AX902" s="58" t="s">
        <v>68</v>
      </c>
    </row>
    <row r="903" spans="1:50" ht="21" customHeight="1">
      <c r="A903" s="66" t="s">
        <v>813</v>
      </c>
      <c r="B903" s="39">
        <f t="shared" si="126"/>
        <v>899</v>
      </c>
      <c r="C903" s="40">
        <v>46043</v>
      </c>
      <c r="D903" s="40" t="s">
        <v>32</v>
      </c>
      <c r="E903" s="40" t="s">
        <v>33</v>
      </c>
      <c r="F903" s="41">
        <v>698.5</v>
      </c>
      <c r="G903" s="42" t="s">
        <v>66</v>
      </c>
      <c r="H903" s="43" t="str">
        <f>IFERROR(VLOOKUP($J903,'[9]FROM (3)'!$E$4:$F$230,2,FALSE),"")</f>
        <v>JCTTH</v>
      </c>
      <c r="I903" s="44" t="str">
        <f t="shared" ref="I903:I966" si="135">IFERROR(MID(A903,FIND("~",SUBSTITUTE(A903,"|","~",4))+1,FIND("~",SUBSTITUTE(A903,"|","~",5))-FIND("~",SUBSTITUTE(A903,"|","~",4))-1),"")</f>
        <v>RACK BAR</v>
      </c>
      <c r="J903" s="44" t="str">
        <f t="shared" si="131"/>
        <v>JGD10-000751/000761-A</v>
      </c>
      <c r="K903" s="59" t="str">
        <f t="shared" si="133"/>
        <v>PD26010329</v>
      </c>
      <c r="L903" s="46" t="str" cm="1">
        <f t="array" ref="L903">IFERROR(_xlfn.IFS(
    LEN($A903)-LEN(SUBSTITUTE($A903,"|",""))=12, RIGHT(A903, LEN(A903)-FIND("~", SUBSTITUTE(A903,"|","~", LEN(A903)-LEN(SUBSTITUTE(A903,"|",""))))),
    LEN($A903)-LEN(SUBSTITUTE($A903,"|",""))=13, MID($A903, FIND("~", SUBSTITUTE($A903,"|","~", 11))+1, FIND("~", SUBSTITUTE($A903,"|","~", 12))-FIND("~", SUBSTITUTE($A903,"|","~", 11))-1),
    LEN($A903)-LEN(SUBSTITUTE($A903,"|",""))=14, MID($A903, FIND("~", SUBSTITUTE($A903,"|","~", 11))+1, FIND("~", SUBSTITUTE($A903,"|","~", 12))-FIND("~", SUBSTITUTE($A903,"|","~", 11))-1)
), "")</f>
        <v>665076</v>
      </c>
      <c r="M903" s="47" t="str">
        <f t="shared" si="132"/>
        <v>SB010021/2/26</v>
      </c>
      <c r="N903" s="46" t="str">
        <f t="shared" si="134"/>
        <v/>
      </c>
      <c r="O903" s="60">
        <v>51</v>
      </c>
      <c r="P903" s="60">
        <v>986</v>
      </c>
      <c r="Q903" s="48">
        <v>204</v>
      </c>
      <c r="R903" s="48">
        <v>913</v>
      </c>
      <c r="S903" s="48"/>
      <c r="T903" s="48"/>
      <c r="U903" s="49">
        <v>130</v>
      </c>
      <c r="V903" s="49">
        <v>7</v>
      </c>
      <c r="W903" s="50">
        <f t="shared" si="130"/>
        <v>137</v>
      </c>
      <c r="X903" s="51" t="str">
        <f>IF(A903="", "", IF(COUNTIFS(C$3:C902, C903, D$3:D902, D903, G$3:G902, G903) &gt; 0, "", "11:00"-AW903))</f>
        <v/>
      </c>
      <c r="Y903" s="52" t="str">
        <f t="shared" si="129"/>
        <v/>
      </c>
      <c r="Z903" s="53"/>
      <c r="AA903" s="54"/>
      <c r="AB903" s="53"/>
      <c r="AC903" s="54"/>
      <c r="AD903" s="53"/>
      <c r="AE903" s="54"/>
      <c r="AF903" s="53"/>
      <c r="AG903" s="54"/>
      <c r="AH903" s="55">
        <v>4.1666666666666699E-2</v>
      </c>
      <c r="AI903" s="53"/>
      <c r="AJ903" s="54"/>
      <c r="AK903" s="53"/>
      <c r="AL903" s="54"/>
      <c r="AM903" s="53"/>
      <c r="AN903" s="54"/>
      <c r="AO903" s="53"/>
      <c r="AP903" s="54"/>
      <c r="AQ903" s="53"/>
      <c r="AR903" s="54"/>
      <c r="AS903" s="53"/>
      <c r="AT903" s="54"/>
      <c r="AU903" s="53">
        <v>4.1666666666666699E-2</v>
      </c>
      <c r="AV903" s="54" t="s">
        <v>37</v>
      </c>
      <c r="AW903" s="57">
        <f t="shared" si="128"/>
        <v>4.1666666666666699E-2</v>
      </c>
      <c r="AX903" s="58" t="s">
        <v>68</v>
      </c>
    </row>
    <row r="904" spans="1:50" ht="21" customHeight="1">
      <c r="A904" s="66" t="s">
        <v>814</v>
      </c>
      <c r="B904" s="39">
        <f t="shared" si="126"/>
        <v>900</v>
      </c>
      <c r="C904" s="40">
        <v>46043</v>
      </c>
      <c r="D904" s="40" t="s">
        <v>32</v>
      </c>
      <c r="E904" s="40" t="s">
        <v>33</v>
      </c>
      <c r="F904" s="41">
        <v>698.5</v>
      </c>
      <c r="G904" s="42" t="s">
        <v>66</v>
      </c>
      <c r="H904" s="43" t="str">
        <f>IFERROR(VLOOKUP($J904,'[9]FROM (3)'!$E$4:$F$230,2,FALSE),"")</f>
        <v>JCTTH</v>
      </c>
      <c r="I904" s="44" t="str">
        <f t="shared" si="135"/>
        <v>RACK BAR</v>
      </c>
      <c r="J904" s="44" t="str">
        <f t="shared" si="131"/>
        <v>JGD10-000751/000761-A</v>
      </c>
      <c r="K904" s="59" t="str">
        <f t="shared" si="133"/>
        <v>PD26010330</v>
      </c>
      <c r="L904" s="46" t="str" cm="1">
        <f t="array" ref="L904">IFERROR(_xlfn.IFS(
    LEN($A904)-LEN(SUBSTITUTE($A904,"|",""))=12, RIGHT(A904, LEN(A904)-FIND("~", SUBSTITUTE(A904,"|","~", LEN(A904)-LEN(SUBSTITUTE(A904,"|",""))))),
    LEN($A904)-LEN(SUBSTITUTE($A904,"|",""))=13, MID($A904, FIND("~", SUBSTITUTE($A904,"|","~", 11))+1, FIND("~", SUBSTITUTE($A904,"|","~", 12))-FIND("~", SUBSTITUTE($A904,"|","~", 11))-1),
    LEN($A904)-LEN(SUBSTITUTE($A904,"|",""))=14, MID($A904, FIND("~", SUBSTITUTE($A904,"|","~", 11))+1, FIND("~", SUBSTITUTE($A904,"|","~", 12))-FIND("~", SUBSTITUTE($A904,"|","~", 11))-1)
), "")</f>
        <v>665076</v>
      </c>
      <c r="M904" s="47" t="str">
        <f t="shared" si="132"/>
        <v>SB010021/3/26</v>
      </c>
      <c r="N904" s="46" t="str">
        <f t="shared" si="134"/>
        <v/>
      </c>
      <c r="O904" s="60">
        <v>34</v>
      </c>
      <c r="P904" s="60">
        <v>657</v>
      </c>
      <c r="Q904" s="48">
        <v>136</v>
      </c>
      <c r="R904" s="48">
        <v>609</v>
      </c>
      <c r="S904" s="48"/>
      <c r="T904" s="48"/>
      <c r="U904" s="49"/>
      <c r="V904" s="49"/>
      <c r="W904" s="50">
        <f t="shared" si="130"/>
        <v>0</v>
      </c>
      <c r="X904" s="51" t="str">
        <f>IF(A904="", "", IF(COUNTIFS(C$3:C903, C904, D$3:D903, D904, G$3:G903, G904) &gt; 0, "", "11:00"-AW904))</f>
        <v/>
      </c>
      <c r="Y904" s="52" t="str">
        <f t="shared" si="129"/>
        <v/>
      </c>
      <c r="Z904" s="53"/>
      <c r="AA904" s="54"/>
      <c r="AB904" s="53"/>
      <c r="AC904" s="54"/>
      <c r="AD904" s="53"/>
      <c r="AE904" s="54"/>
      <c r="AF904" s="53"/>
      <c r="AG904" s="54"/>
      <c r="AH904" s="55">
        <v>4.1666666666666699E-2</v>
      </c>
      <c r="AI904" s="53"/>
      <c r="AJ904" s="54"/>
      <c r="AK904" s="53"/>
      <c r="AL904" s="54"/>
      <c r="AM904" s="53"/>
      <c r="AN904" s="54"/>
      <c r="AO904" s="53"/>
      <c r="AP904" s="54"/>
      <c r="AQ904" s="53"/>
      <c r="AR904" s="54"/>
      <c r="AS904" s="53"/>
      <c r="AT904" s="54"/>
      <c r="AU904" s="53">
        <v>4.1666666666666699E-2</v>
      </c>
      <c r="AV904" s="54" t="s">
        <v>37</v>
      </c>
      <c r="AW904" s="57">
        <f t="shared" si="128"/>
        <v>4.1666666666666699E-2</v>
      </c>
      <c r="AX904" s="58" t="s">
        <v>68</v>
      </c>
    </row>
    <row r="905" spans="1:50" ht="21" customHeight="1">
      <c r="A905" s="66" t="s">
        <v>815</v>
      </c>
      <c r="B905" s="39">
        <f t="shared" si="126"/>
        <v>901</v>
      </c>
      <c r="C905" s="40">
        <v>46043</v>
      </c>
      <c r="D905" s="40" t="s">
        <v>32</v>
      </c>
      <c r="E905" s="40" t="s">
        <v>33</v>
      </c>
      <c r="F905" s="41">
        <v>72.3</v>
      </c>
      <c r="G905" s="42" t="s">
        <v>34</v>
      </c>
      <c r="H905" s="43" t="str">
        <f>IFERROR(VLOOKUP($J905,'[9]FROM (3)'!$E$4:$F$230,2,FALSE),"")</f>
        <v>DNTH</v>
      </c>
      <c r="I905" s="44" t="str">
        <f t="shared" si="135"/>
        <v>SLUG HOUSING STATOR</v>
      </c>
      <c r="J905" s="44" t="str">
        <f t="shared" si="131"/>
        <v>TGY94265-0010</v>
      </c>
      <c r="K905" s="59" t="str">
        <f t="shared" si="133"/>
        <v>PD26010953</v>
      </c>
      <c r="L905" s="46" t="str" cm="1">
        <f t="array" ref="L905">IFERROR(_xlfn.IFS(
    LEN($A905)-LEN(SUBSTITUTE($A905,"|",""))=12, RIGHT(A905, LEN(A905)-FIND("~", SUBSTITUTE(A905,"|","~", LEN(A905)-LEN(SUBSTITUTE(A905,"|",""))))),
    LEN($A905)-LEN(SUBSTITUTE($A905,"|",""))=13, MID($A905, FIND("~", SUBSTITUTE($A905,"|","~", 11))+1, FIND("~", SUBSTITUTE($A905,"|","~", 12))-FIND("~", SUBSTITUTE($A905,"|","~", 11))-1),
    LEN($A905)-LEN(SUBSTITUTE($A905,"|",""))=14, MID($A905, FIND("~", SUBSTITUTE($A905,"|","~", 11))+1, FIND("~", SUBSTITUTE($A905,"|","~", 12))-FIND("~", SUBSTITUTE($A905,"|","~", 11))-1)
), "")</f>
        <v>6277A</v>
      </c>
      <c r="M905" s="47" t="str">
        <f t="shared" si="132"/>
        <v>SB010124/1/26</v>
      </c>
      <c r="N905" s="46" t="str">
        <f t="shared" si="134"/>
        <v/>
      </c>
      <c r="O905" s="60">
        <v>89</v>
      </c>
      <c r="P905" s="60">
        <v>1046</v>
      </c>
      <c r="Q905" s="48">
        <v>3600</v>
      </c>
      <c r="R905" s="48">
        <v>260</v>
      </c>
      <c r="S905" s="48"/>
      <c r="T905" s="48"/>
      <c r="U905" s="49"/>
      <c r="V905" s="49"/>
      <c r="W905" s="50">
        <f t="shared" si="130"/>
        <v>0</v>
      </c>
      <c r="X905" s="51">
        <f>IF(A905="", "", IF(COUNTIFS(C$3:C904, C905, D$3:D904, D905, G$3:G904, G905) &gt; 0, "", "11:00"-AW905))</f>
        <v>0.29166666666666663</v>
      </c>
      <c r="Y905" s="52" t="str">
        <f t="shared" si="129"/>
        <v>1:40</v>
      </c>
      <c r="Z905" s="53">
        <v>2.0833333333333332E-2</v>
      </c>
      <c r="AA905" s="54" t="s">
        <v>67</v>
      </c>
      <c r="AB905" s="53"/>
      <c r="AC905" s="54"/>
      <c r="AD905" s="53">
        <v>4.1666666666666664E-2</v>
      </c>
      <c r="AE905" s="54" t="s">
        <v>82</v>
      </c>
      <c r="AF905" s="53"/>
      <c r="AG905" s="54"/>
      <c r="AH905" s="55">
        <v>4.1666666666666699E-2</v>
      </c>
      <c r="AI905" s="53"/>
      <c r="AJ905" s="54"/>
      <c r="AK905" s="53"/>
      <c r="AL905" s="54"/>
      <c r="AM905" s="53">
        <v>2.0833333333333332E-2</v>
      </c>
      <c r="AN905" s="54" t="s">
        <v>82</v>
      </c>
      <c r="AO905" s="53"/>
      <c r="AP905" s="54"/>
      <c r="AQ905" s="53">
        <v>4.1666666666666664E-2</v>
      </c>
      <c r="AR905" s="54" t="s">
        <v>136</v>
      </c>
      <c r="AS905" s="53"/>
      <c r="AT905" s="54"/>
      <c r="AU905" s="53">
        <v>4.1666666666666699E-2</v>
      </c>
      <c r="AV905" s="54" t="s">
        <v>37</v>
      </c>
      <c r="AW905" s="57">
        <f t="shared" si="128"/>
        <v>0.16666666666666669</v>
      </c>
      <c r="AX905" s="58" t="s">
        <v>260</v>
      </c>
    </row>
    <row r="906" spans="1:50" ht="21" customHeight="1">
      <c r="A906" s="66" t="s">
        <v>725</v>
      </c>
      <c r="B906" s="39">
        <f t="shared" ref="B906:B969" si="136">IF(A906="","",B905+1)</f>
        <v>902</v>
      </c>
      <c r="C906" s="40">
        <v>46043</v>
      </c>
      <c r="D906" s="40" t="s">
        <v>32</v>
      </c>
      <c r="E906" s="40" t="s">
        <v>33</v>
      </c>
      <c r="F906" s="41">
        <v>45</v>
      </c>
      <c r="G906" s="42" t="s">
        <v>135</v>
      </c>
      <c r="H906" s="43" t="str">
        <f>IFERROR(VLOOKUP($J906,'[9]FROM (3)'!$E$4:$F$230,2,FALSE),"")</f>
        <v>DNTH</v>
      </c>
      <c r="I906" s="44" t="str">
        <f t="shared" si="135"/>
        <v>Pole Core</v>
      </c>
      <c r="J906" s="44" t="str">
        <f t="shared" si="131"/>
        <v>TG028152-5240</v>
      </c>
      <c r="K906" s="59" t="str">
        <f t="shared" si="133"/>
        <v>PD26010656</v>
      </c>
      <c r="L906" s="46" t="str" cm="1">
        <f t="array" ref="L906">IFERROR(_xlfn.IFS(
    LEN($A906)-LEN(SUBSTITUTE($A906,"|",""))=12, RIGHT(A906, LEN(A906)-FIND("~", SUBSTITUTE(A906,"|","~", LEN(A906)-LEN(SUBSTITUTE(A906,"|",""))))),
    LEN($A906)-LEN(SUBSTITUTE($A906,"|",""))=13, MID($A906, FIND("~", SUBSTITUTE($A906,"|","~", 11))+1, FIND("~", SUBSTITUTE($A906,"|","~", 12))-FIND("~", SUBSTITUTE($A906,"|","~", 11))-1),
    LEN($A906)-LEN(SUBSTITUTE($A906,"|",""))=14, MID($A906, FIND("~", SUBSTITUTE($A906,"|","~", 11))+1, FIND("~", SUBSTITUTE($A906,"|","~", 12))-FIND("~", SUBSTITUTE($A906,"|","~", 11))-1)
), "")</f>
        <v>KS005C9016</v>
      </c>
      <c r="M906" s="47" t="str">
        <f t="shared" si="132"/>
        <v>SB010066/1/26</v>
      </c>
      <c r="N906" s="46" t="str">
        <f t="shared" si="134"/>
        <v/>
      </c>
      <c r="O906" s="60">
        <v>0</v>
      </c>
      <c r="P906" s="60">
        <v>0</v>
      </c>
      <c r="Q906" s="48">
        <v>3467</v>
      </c>
      <c r="R906" s="48">
        <v>156</v>
      </c>
      <c r="S906" s="48"/>
      <c r="T906" s="48"/>
      <c r="U906" s="49"/>
      <c r="V906" s="49"/>
      <c r="W906" s="50">
        <f t="shared" si="130"/>
        <v>0</v>
      </c>
      <c r="X906" s="51">
        <f>IF(A906="", "", IF(COUNTIFS(C$3:C905, C906, D$3:D905, D906, G$3:G905, G906) &gt; 0, "", "11:00"-AW906))</f>
        <v>0.41666666666666663</v>
      </c>
      <c r="Y906" s="52" t="str">
        <f t="shared" si="129"/>
        <v>1:40</v>
      </c>
      <c r="Z906" s="53"/>
      <c r="AA906" s="54"/>
      <c r="AB906" s="53"/>
      <c r="AC906" s="54"/>
      <c r="AD906" s="53"/>
      <c r="AE906" s="54"/>
      <c r="AF906" s="53"/>
      <c r="AG906" s="54"/>
      <c r="AH906" s="55">
        <v>4.1666666666666699E-2</v>
      </c>
      <c r="AI906" s="53"/>
      <c r="AJ906" s="54"/>
      <c r="AK906" s="53"/>
      <c r="AL906" s="54"/>
      <c r="AM906" s="53"/>
      <c r="AN906" s="54"/>
      <c r="AO906" s="53"/>
      <c r="AP906" s="54"/>
      <c r="AQ906" s="53"/>
      <c r="AR906" s="54"/>
      <c r="AS906" s="53"/>
      <c r="AT906" s="54"/>
      <c r="AU906" s="53">
        <v>4.1666666666666699E-2</v>
      </c>
      <c r="AV906" s="54" t="s">
        <v>37</v>
      </c>
      <c r="AW906" s="57">
        <f t="shared" si="128"/>
        <v>4.1666666666666699E-2</v>
      </c>
      <c r="AX906" s="58" t="s">
        <v>64</v>
      </c>
    </row>
    <row r="907" spans="1:50" ht="21" customHeight="1">
      <c r="A907" s="66" t="s">
        <v>816</v>
      </c>
      <c r="B907" s="39">
        <f t="shared" si="136"/>
        <v>903</v>
      </c>
      <c r="C907" s="40">
        <v>46043</v>
      </c>
      <c r="D907" s="40" t="s">
        <v>32</v>
      </c>
      <c r="E907" s="40" t="s">
        <v>33</v>
      </c>
      <c r="F907" s="41">
        <v>45</v>
      </c>
      <c r="G907" s="42" t="s">
        <v>135</v>
      </c>
      <c r="H907" s="43" t="str">
        <f>IFERROR(VLOOKUP($J907,'[9]FROM (3)'!$E$4:$F$230,2,FALSE),"")</f>
        <v>DNTH</v>
      </c>
      <c r="I907" s="44" t="str">
        <f t="shared" si="135"/>
        <v>Pole Core</v>
      </c>
      <c r="J907" s="44" t="str">
        <f t="shared" si="131"/>
        <v>TG028152-5240</v>
      </c>
      <c r="K907" s="59" t="str">
        <f t="shared" si="133"/>
        <v>PD26010656</v>
      </c>
      <c r="L907" s="46" t="str" cm="1">
        <f t="array" ref="L907">IFERROR(_xlfn.IFS(
    LEN($A907)-LEN(SUBSTITUTE($A907,"|",""))=12, RIGHT(A907, LEN(A907)-FIND("~", SUBSTITUTE(A907,"|","~", LEN(A907)-LEN(SUBSTITUTE(A907,"|",""))))),
    LEN($A907)-LEN(SUBSTITUTE($A907,"|",""))=13, MID($A907, FIND("~", SUBSTITUTE($A907,"|","~", 11))+1, FIND("~", SUBSTITUTE($A907,"|","~", 12))-FIND("~", SUBSTITUTE($A907,"|","~", 11))-1),
    LEN($A907)-LEN(SUBSTITUTE($A907,"|",""))=14, MID($A907, FIND("~", SUBSTITUTE($A907,"|","~", 11))+1, FIND("~", SUBSTITUTE($A907,"|","~", 12))-FIND("~", SUBSTITUTE($A907,"|","~", 11))-1)
), "")</f>
        <v>KS005C9016</v>
      </c>
      <c r="M907" s="47" t="str">
        <f t="shared" si="132"/>
        <v>SB010066/2/26</v>
      </c>
      <c r="N907" s="46" t="str">
        <f t="shared" si="134"/>
        <v/>
      </c>
      <c r="O907" s="60">
        <v>150</v>
      </c>
      <c r="P907" s="60">
        <v>1010</v>
      </c>
      <c r="Q907" s="48">
        <v>14288</v>
      </c>
      <c r="R907" s="48">
        <v>643</v>
      </c>
      <c r="S907" s="48"/>
      <c r="T907" s="48"/>
      <c r="U907" s="49"/>
      <c r="V907" s="49"/>
      <c r="W907" s="50">
        <f t="shared" si="130"/>
        <v>0</v>
      </c>
      <c r="X907" s="51" t="str">
        <f>IF(A907="", "", IF(COUNTIFS(C$3:C906, C907, D$3:D906, D907, G$3:G906, G907) &gt; 0, "", "11:00"-AW907))</f>
        <v/>
      </c>
      <c r="Y907" s="52" t="str">
        <f t="shared" si="129"/>
        <v/>
      </c>
      <c r="Z907" s="53"/>
      <c r="AA907" s="54"/>
      <c r="AB907" s="53"/>
      <c r="AC907" s="54"/>
      <c r="AD907" s="53"/>
      <c r="AE907" s="54"/>
      <c r="AF907" s="53"/>
      <c r="AG907" s="54"/>
      <c r="AH907" s="55">
        <v>4.1666666666666699E-2</v>
      </c>
      <c r="AI907" s="53"/>
      <c r="AJ907" s="54"/>
      <c r="AK907" s="53"/>
      <c r="AL907" s="54"/>
      <c r="AM907" s="53"/>
      <c r="AN907" s="54"/>
      <c r="AO907" s="53"/>
      <c r="AP907" s="54"/>
      <c r="AQ907" s="53"/>
      <c r="AR907" s="54"/>
      <c r="AS907" s="53"/>
      <c r="AT907" s="54"/>
      <c r="AU907" s="53">
        <v>4.1666666666666699E-2</v>
      </c>
      <c r="AV907" s="54" t="s">
        <v>37</v>
      </c>
      <c r="AW907" s="57">
        <f t="shared" si="128"/>
        <v>4.1666666666666699E-2</v>
      </c>
      <c r="AX907" s="58" t="s">
        <v>64</v>
      </c>
    </row>
    <row r="908" spans="1:50" ht="21" customHeight="1">
      <c r="A908" s="66" t="s">
        <v>756</v>
      </c>
      <c r="B908" s="39">
        <f t="shared" si="136"/>
        <v>904</v>
      </c>
      <c r="C908" s="40">
        <v>46043</v>
      </c>
      <c r="D908" s="40" t="s">
        <v>80</v>
      </c>
      <c r="E908" s="40" t="s">
        <v>81</v>
      </c>
      <c r="F908" s="41">
        <v>83.2</v>
      </c>
      <c r="G908" s="42" t="s">
        <v>44</v>
      </c>
      <c r="H908" s="43" t="str">
        <f>IFERROR(VLOOKUP($J908,'[9]FROM (3)'!$E$4:$F$230,2,FALSE),"")</f>
        <v>DNTH</v>
      </c>
      <c r="I908" s="44" t="str">
        <f t="shared" si="135"/>
        <v>SHAFT, 2W</v>
      </c>
      <c r="J908" s="44" t="str">
        <f t="shared" si="131"/>
        <v>TG028383-0420</v>
      </c>
      <c r="K908" s="59" t="str">
        <f t="shared" si="133"/>
        <v>PD26010954</v>
      </c>
      <c r="L908" s="46" t="str" cm="1">
        <f t="array" ref="L908">IFERROR(_xlfn.IFS(
    LEN($A908)-LEN(SUBSTITUTE($A908,"|",""))=12, RIGHT(A908, LEN(A908)-FIND("~", SUBSTITUTE(A908,"|","~", LEN(A908)-LEN(SUBSTITUTE(A908,"|",""))))),
    LEN($A908)-LEN(SUBSTITUTE($A908,"|",""))=13, MID($A908, FIND("~", SUBSTITUTE($A908,"|","~", 11))+1, FIND("~", SUBSTITUTE($A908,"|","~", 12))-FIND("~", SUBSTITUTE($A908,"|","~", 11))-1),
    LEN($A908)-LEN(SUBSTITUTE($A908,"|",""))=14, MID($A908, FIND("~", SUBSTITUTE($A908,"|","~", 11))+1, FIND("~", SUBSTITUTE($A908,"|","~", 12))-FIND("~", SUBSTITUTE($A908,"|","~", 11))-1)
), "")</f>
        <v>5E0424</v>
      </c>
      <c r="M908" s="47" t="str">
        <f t="shared" si="132"/>
        <v>SB010125/1/26</v>
      </c>
      <c r="N908" s="46" t="str">
        <f t="shared" si="134"/>
        <v/>
      </c>
      <c r="O908" s="60"/>
      <c r="P908" s="60"/>
      <c r="Q908" s="48">
        <v>880</v>
      </c>
      <c r="R908" s="48">
        <v>129</v>
      </c>
      <c r="S908" s="48"/>
      <c r="T908" s="48"/>
      <c r="U908" s="49"/>
      <c r="V908" s="49"/>
      <c r="W908" s="50">
        <f t="shared" si="130"/>
        <v>0</v>
      </c>
      <c r="X908" s="51">
        <f>IF(A908="", "", IF(COUNTIFS(C$3:C907, C908, D$3:D907, D908, G$3:G907, G908) &gt; 0, "", "11:00"-AW908))</f>
        <v>0.41666666666666663</v>
      </c>
      <c r="Y908" s="52" t="str">
        <f t="shared" si="129"/>
        <v>1:40</v>
      </c>
      <c r="Z908" s="53"/>
      <c r="AA908" s="54"/>
      <c r="AB908" s="53"/>
      <c r="AC908" s="54"/>
      <c r="AD908" s="53"/>
      <c r="AE908" s="54"/>
      <c r="AF908" s="53"/>
      <c r="AG908" s="54"/>
      <c r="AH908" s="55">
        <v>4.1666666666666699E-2</v>
      </c>
      <c r="AI908" s="53"/>
      <c r="AJ908" s="54"/>
      <c r="AK908" s="53"/>
      <c r="AL908" s="54"/>
      <c r="AM908" s="53"/>
      <c r="AN908" s="54"/>
      <c r="AO908" s="53"/>
      <c r="AP908" s="54"/>
      <c r="AQ908" s="53"/>
      <c r="AR908" s="54"/>
      <c r="AS908" s="53"/>
      <c r="AT908" s="54"/>
      <c r="AU908" s="53">
        <v>4.1666666666666699E-2</v>
      </c>
      <c r="AV908" s="54" t="s">
        <v>37</v>
      </c>
      <c r="AW908" s="57">
        <f t="shared" si="128"/>
        <v>4.1666666666666699E-2</v>
      </c>
      <c r="AX908" s="58" t="s">
        <v>203</v>
      </c>
    </row>
    <row r="909" spans="1:50" ht="21" customHeight="1">
      <c r="A909" s="66" t="s">
        <v>817</v>
      </c>
      <c r="B909" s="39">
        <f t="shared" si="136"/>
        <v>905</v>
      </c>
      <c r="C909" s="40">
        <v>46043</v>
      </c>
      <c r="D909" s="40" t="s">
        <v>80</v>
      </c>
      <c r="E909" s="40" t="s">
        <v>81</v>
      </c>
      <c r="F909" s="41">
        <v>83.2</v>
      </c>
      <c r="G909" s="42" t="s">
        <v>44</v>
      </c>
      <c r="H909" s="43" t="str">
        <f>IFERROR(VLOOKUP($J909,'[9]FROM (3)'!$E$4:$F$230,2,FALSE),"")</f>
        <v>DNTH</v>
      </c>
      <c r="I909" s="44" t="str">
        <f t="shared" si="135"/>
        <v>SHAFT, 2W</v>
      </c>
      <c r="J909" s="44" t="str">
        <f t="shared" si="131"/>
        <v>TG028383-0420</v>
      </c>
      <c r="K909" s="59" t="str">
        <f t="shared" si="133"/>
        <v>PD26010958</v>
      </c>
      <c r="L909" s="46" t="str" cm="1">
        <f t="array" ref="L909">IFERROR(_xlfn.IFS(
    LEN($A909)-LEN(SUBSTITUTE($A909,"|",""))=12, RIGHT(A909, LEN(A909)-FIND("~", SUBSTITUTE(A909,"|","~", LEN(A909)-LEN(SUBSTITUTE(A909,"|",""))))),
    LEN($A909)-LEN(SUBSTITUTE($A909,"|",""))=13, MID($A909, FIND("~", SUBSTITUTE($A909,"|","~", 11))+1, FIND("~", SUBSTITUTE($A909,"|","~", 12))-FIND("~", SUBSTITUTE($A909,"|","~", 11))-1),
    LEN($A909)-LEN(SUBSTITUTE($A909,"|",""))=14, MID($A909, FIND("~", SUBSTITUTE($A909,"|","~", 11))+1, FIND("~", SUBSTITUTE($A909,"|","~", 12))-FIND("~", SUBSTITUTE($A909,"|","~", 11))-1)
), "")</f>
        <v>5E0424</v>
      </c>
      <c r="M909" s="47" t="str">
        <f t="shared" si="132"/>
        <v>SB010125/2/26</v>
      </c>
      <c r="N909" s="46" t="str">
        <f t="shared" si="134"/>
        <v/>
      </c>
      <c r="O909" s="60">
        <v>112</v>
      </c>
      <c r="P909" s="60">
        <v>1014</v>
      </c>
      <c r="Q909" s="48">
        <v>3214</v>
      </c>
      <c r="R909" s="48">
        <v>472</v>
      </c>
      <c r="S909" s="48"/>
      <c r="T909" s="48"/>
      <c r="U909" s="49"/>
      <c r="V909" s="49"/>
      <c r="W909" s="50">
        <f t="shared" si="130"/>
        <v>0</v>
      </c>
      <c r="X909" s="51" t="str">
        <f>IF(A909="", "", IF(COUNTIFS(C$3:C908, C909, D$3:D908, D909, G$3:G908, G909) &gt; 0, "", "11:00"-AW909))</f>
        <v/>
      </c>
      <c r="Y909" s="52" t="str">
        <f t="shared" si="129"/>
        <v/>
      </c>
      <c r="Z909" s="53"/>
      <c r="AA909" s="54"/>
      <c r="AB909" s="53"/>
      <c r="AC909" s="54"/>
      <c r="AD909" s="53"/>
      <c r="AE909" s="54"/>
      <c r="AF909" s="53"/>
      <c r="AG909" s="54"/>
      <c r="AH909" s="55">
        <v>4.1666666666666699E-2</v>
      </c>
      <c r="AI909" s="53"/>
      <c r="AJ909" s="54"/>
      <c r="AK909" s="53"/>
      <c r="AL909" s="54"/>
      <c r="AM909" s="53"/>
      <c r="AN909" s="54"/>
      <c r="AO909" s="53"/>
      <c r="AP909" s="54"/>
      <c r="AQ909" s="53"/>
      <c r="AR909" s="54"/>
      <c r="AS909" s="53"/>
      <c r="AT909" s="54"/>
      <c r="AU909" s="53">
        <v>4.1666666666666699E-2</v>
      </c>
      <c r="AV909" s="54" t="s">
        <v>37</v>
      </c>
      <c r="AW909" s="57">
        <f t="shared" si="128"/>
        <v>4.1666666666666699E-2</v>
      </c>
      <c r="AX909" s="58" t="s">
        <v>203</v>
      </c>
    </row>
    <row r="910" spans="1:50" ht="21" customHeight="1">
      <c r="A910" s="66" t="s">
        <v>818</v>
      </c>
      <c r="B910" s="39">
        <f t="shared" si="136"/>
        <v>906</v>
      </c>
      <c r="C910" s="40">
        <v>46043</v>
      </c>
      <c r="D910" s="40" t="s">
        <v>80</v>
      </c>
      <c r="E910" s="40" t="s">
        <v>81</v>
      </c>
      <c r="F910" s="41">
        <v>530</v>
      </c>
      <c r="G910" s="42" t="s">
        <v>41</v>
      </c>
      <c r="H910" s="43" t="str">
        <f>IFERROR(VLOOKUP($J910,'[9]FROM (3)'!$E$4:$F$230,2,FALSE),"")</f>
        <v>KONSEI</v>
      </c>
      <c r="I910" s="44" t="str">
        <f t="shared" si="135"/>
        <v>Piston Disc Brake Forging</v>
      </c>
      <c r="J910" s="44" t="str">
        <f t="shared" si="131"/>
        <v>141411-60180</v>
      </c>
      <c r="K910" s="59" t="str">
        <f t="shared" si="133"/>
        <v>PD26010485</v>
      </c>
      <c r="L910" s="46" t="str" cm="1">
        <f t="array" ref="L910">IFERROR(_xlfn.IFS(
    LEN($A910)-LEN(SUBSTITUTE($A910,"|",""))=12, RIGHT(A910, LEN(A910)-FIND("~", SUBSTITUTE(A910,"|","~", LEN(A910)-LEN(SUBSTITUTE(A910,"|",""))))),
    LEN($A910)-LEN(SUBSTITUTE($A910,"|",""))=13, MID($A910, FIND("~", SUBSTITUTE($A910,"|","~", 11))+1, FIND("~", SUBSTITUTE($A910,"|","~", 12))-FIND("~", SUBSTITUTE($A910,"|","~", 11))-1),
    LEN($A910)-LEN(SUBSTITUTE($A910,"|",""))=14, MID($A910, FIND("~", SUBSTITUTE($A910,"|","~", 11))+1, FIND("~", SUBSTITUTE($A910,"|","~", 12))-FIND("~", SUBSTITUTE($A910,"|","~", 11))-1)
), "")</f>
        <v>663961</v>
      </c>
      <c r="M910" s="47" t="str">
        <f t="shared" si="132"/>
        <v>2B2600121</v>
      </c>
      <c r="N910" s="46" t="str">
        <f t="shared" si="134"/>
        <v/>
      </c>
      <c r="O910" s="60"/>
      <c r="P910" s="60"/>
      <c r="Q910" s="48">
        <v>2368</v>
      </c>
      <c r="R910" s="48">
        <v>1255</v>
      </c>
      <c r="S910" s="48"/>
      <c r="T910" s="48"/>
      <c r="U910" s="49"/>
      <c r="V910" s="49"/>
      <c r="W910" s="50">
        <f t="shared" si="130"/>
        <v>0</v>
      </c>
      <c r="X910" s="51">
        <f>IF(A910="", "", IF(COUNTIFS(C$3:C909, C910, D$3:D909, D910, G$3:G909, G910) &gt; 0, "", "11:00"-AW910))</f>
        <v>0.41666666666666663</v>
      </c>
      <c r="Y910" s="52" t="str">
        <f t="shared" si="129"/>
        <v>1:40</v>
      </c>
      <c r="Z910" s="53"/>
      <c r="AA910" s="54"/>
      <c r="AB910" s="53"/>
      <c r="AC910" s="54"/>
      <c r="AD910" s="53"/>
      <c r="AE910" s="54"/>
      <c r="AF910" s="53"/>
      <c r="AG910" s="54"/>
      <c r="AH910" s="55">
        <v>4.1666666666666699E-2</v>
      </c>
      <c r="AI910" s="53"/>
      <c r="AJ910" s="54"/>
      <c r="AK910" s="53"/>
      <c r="AL910" s="54"/>
      <c r="AM910" s="53"/>
      <c r="AN910" s="54"/>
      <c r="AO910" s="53"/>
      <c r="AP910" s="54"/>
      <c r="AQ910" s="53"/>
      <c r="AR910" s="54"/>
      <c r="AS910" s="53"/>
      <c r="AT910" s="54"/>
      <c r="AU910" s="53">
        <v>4.1666666666666699E-2</v>
      </c>
      <c r="AV910" s="54" t="s">
        <v>37</v>
      </c>
      <c r="AW910" s="57">
        <f t="shared" si="128"/>
        <v>4.1666666666666699E-2</v>
      </c>
      <c r="AX910" s="58" t="s">
        <v>203</v>
      </c>
    </row>
    <row r="911" spans="1:50" ht="21" customHeight="1">
      <c r="A911" s="66" t="s">
        <v>815</v>
      </c>
      <c r="B911" s="39">
        <f t="shared" si="136"/>
        <v>907</v>
      </c>
      <c r="C911" s="40">
        <v>46043</v>
      </c>
      <c r="D911" s="40" t="s">
        <v>80</v>
      </c>
      <c r="E911" s="40" t="s">
        <v>81</v>
      </c>
      <c r="F911" s="41">
        <v>72.3</v>
      </c>
      <c r="G911" s="42" t="s">
        <v>34</v>
      </c>
      <c r="H911" s="43" t="str">
        <f>IFERROR(VLOOKUP($J911,'[9]FROM (3)'!$E$4:$F$230,2,FALSE),"")</f>
        <v>DNTH</v>
      </c>
      <c r="I911" s="44" t="str">
        <f t="shared" si="135"/>
        <v>SLUG HOUSING STATOR</v>
      </c>
      <c r="J911" s="44" t="str">
        <f t="shared" si="131"/>
        <v>TGY94265-0010</v>
      </c>
      <c r="K911" s="59" t="str">
        <f t="shared" si="133"/>
        <v>PD26010953</v>
      </c>
      <c r="L911" s="46" t="str" cm="1">
        <f t="array" ref="L911">IFERROR(_xlfn.IFS(
    LEN($A911)-LEN(SUBSTITUTE($A911,"|",""))=12, RIGHT(A911, LEN(A911)-FIND("~", SUBSTITUTE(A911,"|","~", LEN(A911)-LEN(SUBSTITUTE(A911,"|",""))))),
    LEN($A911)-LEN(SUBSTITUTE($A911,"|",""))=13, MID($A911, FIND("~", SUBSTITUTE($A911,"|","~", 11))+1, FIND("~", SUBSTITUTE($A911,"|","~", 12))-FIND("~", SUBSTITUTE($A911,"|","~", 11))-1),
    LEN($A911)-LEN(SUBSTITUTE($A911,"|",""))=14, MID($A911, FIND("~", SUBSTITUTE($A911,"|","~", 11))+1, FIND("~", SUBSTITUTE($A911,"|","~", 12))-FIND("~", SUBSTITUTE($A911,"|","~", 11))-1)
), "")</f>
        <v>6277A</v>
      </c>
      <c r="M911" s="47" t="str">
        <f t="shared" si="132"/>
        <v>SB010124/1/26</v>
      </c>
      <c r="N911" s="46" t="str">
        <f t="shared" si="134"/>
        <v/>
      </c>
      <c r="O911" s="60"/>
      <c r="P911" s="60"/>
      <c r="Q911" s="48">
        <v>4595</v>
      </c>
      <c r="R911" s="48">
        <v>332</v>
      </c>
      <c r="S911" s="48"/>
      <c r="T911" s="48"/>
      <c r="U911" s="49"/>
      <c r="V911" s="49"/>
      <c r="W911" s="50">
        <f t="shared" si="130"/>
        <v>0</v>
      </c>
      <c r="X911" s="51">
        <f>IF(A911="", "", IF(COUNTIFS(C$3:C910, C911, D$3:D910, D911, G$3:G910, G911) &gt; 0, "", "11:00"-AW911))</f>
        <v>0.37499999999999994</v>
      </c>
      <c r="Y911" s="52" t="str">
        <f t="shared" si="129"/>
        <v>1:40</v>
      </c>
      <c r="Z911" s="53">
        <v>2.0833333333333332E-2</v>
      </c>
      <c r="AA911" s="54" t="s">
        <v>82</v>
      </c>
      <c r="AB911" s="53"/>
      <c r="AC911" s="54"/>
      <c r="AD911" s="53"/>
      <c r="AE911" s="54"/>
      <c r="AF911" s="53"/>
      <c r="AG911" s="54"/>
      <c r="AH911" s="55">
        <v>4.1666666666666699E-2</v>
      </c>
      <c r="AI911" s="53"/>
      <c r="AJ911" s="54"/>
      <c r="AK911" s="53"/>
      <c r="AL911" s="54"/>
      <c r="AM911" s="53"/>
      <c r="AN911" s="54"/>
      <c r="AO911" s="53"/>
      <c r="AP911" s="54"/>
      <c r="AQ911" s="53">
        <v>2.0833333333333332E-2</v>
      </c>
      <c r="AR911" s="54" t="s">
        <v>82</v>
      </c>
      <c r="AS911" s="53"/>
      <c r="AT911" s="54"/>
      <c r="AU911" s="53">
        <v>4.1666666666666699E-2</v>
      </c>
      <c r="AV911" s="54" t="s">
        <v>37</v>
      </c>
      <c r="AW911" s="57">
        <f t="shared" si="128"/>
        <v>8.333333333333337E-2</v>
      </c>
      <c r="AX911" s="58" t="s">
        <v>203</v>
      </c>
    </row>
    <row r="912" spans="1:50" ht="21" customHeight="1">
      <c r="A912" s="66" t="s">
        <v>816</v>
      </c>
      <c r="B912" s="39">
        <f t="shared" si="136"/>
        <v>908</v>
      </c>
      <c r="C912" s="40">
        <v>46043</v>
      </c>
      <c r="D912" s="40" t="s">
        <v>80</v>
      </c>
      <c r="E912" s="40" t="s">
        <v>81</v>
      </c>
      <c r="F912" s="41">
        <v>45</v>
      </c>
      <c r="G912" s="42" t="s">
        <v>135</v>
      </c>
      <c r="H912" s="43" t="str">
        <f>IFERROR(VLOOKUP($J912,'[9]FROM (3)'!$E$4:$F$230,2,FALSE),"")</f>
        <v>DNTH</v>
      </c>
      <c r="I912" s="44" t="str">
        <f t="shared" si="135"/>
        <v>Pole Core</v>
      </c>
      <c r="J912" s="44" t="str">
        <f t="shared" si="131"/>
        <v>TG028152-5240</v>
      </c>
      <c r="K912" s="59" t="str">
        <f t="shared" si="133"/>
        <v>PD26010656</v>
      </c>
      <c r="L912" s="46" t="str" cm="1">
        <f t="array" ref="L912">IFERROR(_xlfn.IFS(
    LEN($A912)-LEN(SUBSTITUTE($A912,"|",""))=12, RIGHT(A912, LEN(A912)-FIND("~", SUBSTITUTE(A912,"|","~", LEN(A912)-LEN(SUBSTITUTE(A912,"|",""))))),
    LEN($A912)-LEN(SUBSTITUTE($A912,"|",""))=13, MID($A912, FIND("~", SUBSTITUTE($A912,"|","~", 11))+1, FIND("~", SUBSTITUTE($A912,"|","~", 12))-FIND("~", SUBSTITUTE($A912,"|","~", 11))-1),
    LEN($A912)-LEN(SUBSTITUTE($A912,"|",""))=14, MID($A912, FIND("~", SUBSTITUTE($A912,"|","~", 11))+1, FIND("~", SUBSTITUTE($A912,"|","~", 12))-FIND("~", SUBSTITUTE($A912,"|","~", 11))-1)
), "")</f>
        <v>KS005C9016</v>
      </c>
      <c r="M912" s="47" t="str">
        <f t="shared" si="132"/>
        <v>SB010066/2/26</v>
      </c>
      <c r="N912" s="46" t="str">
        <f t="shared" si="134"/>
        <v/>
      </c>
      <c r="O912" s="60"/>
      <c r="P912" s="60"/>
      <c r="Q912" s="48">
        <v>7887</v>
      </c>
      <c r="R912" s="48">
        <v>355</v>
      </c>
      <c r="S912" s="48"/>
      <c r="T912" s="48"/>
      <c r="U912" s="49">
        <v>60</v>
      </c>
      <c r="V912" s="49"/>
      <c r="W912" s="50">
        <f t="shared" si="130"/>
        <v>60</v>
      </c>
      <c r="X912" s="51">
        <f>IF(A912="", "", IF(COUNTIFS(C$3:C911, C912, D$3:D911, D912, G$3:G911, G912) &gt; 0, "", "11:00"-AW912))</f>
        <v>0.1875</v>
      </c>
      <c r="Y912" s="52" t="str">
        <f t="shared" si="129"/>
        <v>1:40</v>
      </c>
      <c r="Z912" s="53"/>
      <c r="AA912" s="54"/>
      <c r="AB912" s="53"/>
      <c r="AC912" s="54"/>
      <c r="AD912" s="53"/>
      <c r="AE912" s="54"/>
      <c r="AF912" s="53"/>
      <c r="AG912" s="54"/>
      <c r="AH912" s="55">
        <v>4.1666666666666699E-2</v>
      </c>
      <c r="AI912" s="53">
        <v>2.0833333333333332E-2</v>
      </c>
      <c r="AJ912" s="54" t="s">
        <v>76</v>
      </c>
      <c r="AK912" s="53">
        <v>4.1666666666666664E-2</v>
      </c>
      <c r="AL912" s="54" t="s">
        <v>76</v>
      </c>
      <c r="AM912" s="53">
        <v>4.1666666666666664E-2</v>
      </c>
      <c r="AN912" s="54" t="s">
        <v>76</v>
      </c>
      <c r="AO912" s="53">
        <v>4.1666666666666664E-2</v>
      </c>
      <c r="AP912" s="54" t="s">
        <v>76</v>
      </c>
      <c r="AQ912" s="53">
        <v>4.1666666666666664E-2</v>
      </c>
      <c r="AR912" s="54" t="s">
        <v>76</v>
      </c>
      <c r="AS912" s="53">
        <v>4.1666666666666664E-2</v>
      </c>
      <c r="AT912" s="54" t="s">
        <v>76</v>
      </c>
      <c r="AU912" s="53">
        <v>4.1666666666666699E-2</v>
      </c>
      <c r="AV912" s="54" t="s">
        <v>37</v>
      </c>
      <c r="AW912" s="57">
        <f t="shared" si="128"/>
        <v>0.27083333333333331</v>
      </c>
      <c r="AX912" s="58" t="s">
        <v>224</v>
      </c>
    </row>
    <row r="913" spans="1:50" ht="21" customHeight="1">
      <c r="A913" s="66" t="s">
        <v>796</v>
      </c>
      <c r="B913" s="39">
        <f t="shared" si="136"/>
        <v>909</v>
      </c>
      <c r="C913" s="40">
        <v>46043</v>
      </c>
      <c r="D913" s="40" t="s">
        <v>80</v>
      </c>
      <c r="E913" s="40" t="s">
        <v>81</v>
      </c>
      <c r="F913" s="41">
        <v>597.4</v>
      </c>
      <c r="G913" s="42" t="s">
        <v>54</v>
      </c>
      <c r="H913" s="43" t="str">
        <f>IFERROR(VLOOKUP($J913,'[9]FROM (3)'!$E$4:$F$230,2,FALSE),"")</f>
        <v>JTCS</v>
      </c>
      <c r="I913" s="44" t="str">
        <f t="shared" si="135"/>
        <v>Rack, MS</v>
      </c>
      <c r="J913" s="44" t="str">
        <f t="shared" si="131"/>
        <v>JGC10-003770-40-0</v>
      </c>
      <c r="K913" s="59" t="str">
        <f t="shared" si="133"/>
        <v>PD26010775</v>
      </c>
      <c r="L913" s="46" t="str" cm="1">
        <f t="array" ref="L913">IFERROR(_xlfn.IFS(
    LEN($A913)-LEN(SUBSTITUTE($A913,"|",""))=12, RIGHT(A913, LEN(A913)-FIND("~", SUBSTITUTE(A913,"|","~", LEN(A913)-LEN(SUBSTITUTE(A913,"|",""))))),
    LEN($A913)-LEN(SUBSTITUTE($A913,"|",""))=13, MID($A913, FIND("~", SUBSTITUTE($A913,"|","~", 11))+1, FIND("~", SUBSTITUTE($A913,"|","~", 12))-FIND("~", SUBSTITUTE($A913,"|","~", 11))-1),
    LEN($A913)-LEN(SUBSTITUTE($A913,"|",""))=14, MID($A913, FIND("~", SUBSTITUTE($A913,"|","~", 11))+1, FIND("~", SUBSTITUTE($A913,"|","~", 12))-FIND("~", SUBSTITUTE($A913,"|","~", 11))-1)
), "")</f>
        <v>E585970</v>
      </c>
      <c r="M913" s="47" t="str">
        <f t="shared" si="132"/>
        <v>SB010088/5/26</v>
      </c>
      <c r="N913" s="46" t="str">
        <f t="shared" si="134"/>
        <v/>
      </c>
      <c r="O913" s="60" t="s">
        <v>35</v>
      </c>
      <c r="P913" s="60" t="s">
        <v>35</v>
      </c>
      <c r="Q913" s="48">
        <v>314</v>
      </c>
      <c r="R913" s="48">
        <v>666</v>
      </c>
      <c r="S913" s="48"/>
      <c r="T913" s="48"/>
      <c r="U913" s="49"/>
      <c r="V913" s="49"/>
      <c r="W913" s="50">
        <f t="shared" si="130"/>
        <v>0</v>
      </c>
      <c r="X913" s="51">
        <f>IF(A913="", "", IF(COUNTIFS(C$3:C912, C913, D$3:D912, D913, G$3:G912, G913) &gt; 0, "", "11:00"-AW913))</f>
        <v>0.37499999999999994</v>
      </c>
      <c r="Y913" s="52" t="str">
        <f t="shared" si="129"/>
        <v>1:40</v>
      </c>
      <c r="Z913" s="53"/>
      <c r="AA913" s="54"/>
      <c r="AB913" s="53"/>
      <c r="AC913" s="54"/>
      <c r="AD913" s="53"/>
      <c r="AE913" s="54"/>
      <c r="AF913" s="53"/>
      <c r="AG913" s="54"/>
      <c r="AH913" s="55">
        <v>4.1666666666666699E-2</v>
      </c>
      <c r="AI913" s="53"/>
      <c r="AJ913" s="54"/>
      <c r="AK913" s="53"/>
      <c r="AL913" s="54"/>
      <c r="AM913" s="53">
        <v>4.1666666666666664E-2</v>
      </c>
      <c r="AN913" s="54" t="s">
        <v>67</v>
      </c>
      <c r="AO913" s="53"/>
      <c r="AP913" s="54"/>
      <c r="AQ913" s="53"/>
      <c r="AR913" s="54"/>
      <c r="AS913" s="53"/>
      <c r="AT913" s="54"/>
      <c r="AU913" s="53">
        <v>4.1666666666666699E-2</v>
      </c>
      <c r="AV913" s="54" t="s">
        <v>37</v>
      </c>
      <c r="AW913" s="57">
        <f t="shared" si="128"/>
        <v>8.333333333333337E-2</v>
      </c>
      <c r="AX913" s="58" t="s">
        <v>91</v>
      </c>
    </row>
    <row r="914" spans="1:50" ht="21" customHeight="1">
      <c r="A914" s="66" t="s">
        <v>819</v>
      </c>
      <c r="B914" s="39">
        <f t="shared" si="136"/>
        <v>910</v>
      </c>
      <c r="C914" s="40">
        <v>46043</v>
      </c>
      <c r="D914" s="40" t="s">
        <v>80</v>
      </c>
      <c r="E914" s="40" t="s">
        <v>81</v>
      </c>
      <c r="F914" s="41">
        <v>597.4</v>
      </c>
      <c r="G914" s="42" t="s">
        <v>54</v>
      </c>
      <c r="H914" s="43" t="str">
        <f>IFERROR(VLOOKUP($J914,'[9]FROM (3)'!$E$4:$F$230,2,FALSE),"")</f>
        <v>JTCS</v>
      </c>
      <c r="I914" s="44" t="str">
        <f t="shared" si="135"/>
        <v>Rack, MS</v>
      </c>
      <c r="J914" s="44" t="str">
        <f t="shared" si="131"/>
        <v>JGC10-003770-40-0</v>
      </c>
      <c r="K914" s="59" t="str">
        <f t="shared" si="133"/>
        <v>PD26010775</v>
      </c>
      <c r="L914" s="46" t="str" cm="1">
        <f t="array" ref="L914">IFERROR(_xlfn.IFS(
    LEN($A914)-LEN(SUBSTITUTE($A914,"|",""))=12, RIGHT(A914, LEN(A914)-FIND("~", SUBSTITUTE(A914,"|","~", LEN(A914)-LEN(SUBSTITUTE(A914,"|",""))))),
    LEN($A914)-LEN(SUBSTITUTE($A914,"|",""))=13, MID($A914, FIND("~", SUBSTITUTE($A914,"|","~", 11))+1, FIND("~", SUBSTITUTE($A914,"|","~", 12))-FIND("~", SUBSTITUTE($A914,"|","~", 11))-1),
    LEN($A914)-LEN(SUBSTITUTE($A914,"|",""))=14, MID($A914, FIND("~", SUBSTITUTE($A914,"|","~", 11))+1, FIND("~", SUBSTITUTE($A914,"|","~", 12))-FIND("~", SUBSTITUTE($A914,"|","~", 11))-1)
), "")</f>
        <v>E585970</v>
      </c>
      <c r="M914" s="47" t="str">
        <f t="shared" si="132"/>
        <v>SB010088/6/26</v>
      </c>
      <c r="N914" s="46" t="str">
        <f t="shared" si="134"/>
        <v/>
      </c>
      <c r="O914" s="60">
        <v>80</v>
      </c>
      <c r="P914" s="60">
        <v>904</v>
      </c>
      <c r="Q914" s="48">
        <v>400</v>
      </c>
      <c r="R914" s="48">
        <v>848</v>
      </c>
      <c r="S914" s="48"/>
      <c r="T914" s="48"/>
      <c r="U914" s="49">
        <v>148</v>
      </c>
      <c r="V914" s="49">
        <v>10</v>
      </c>
      <c r="W914" s="50">
        <f t="shared" si="130"/>
        <v>158</v>
      </c>
      <c r="X914" s="51" t="str">
        <f>IF(A914="", "", IF(COUNTIFS(C$3:C913, C914, D$3:D913, D914, G$3:G913, G914) &gt; 0, "", "11:00"-AW914))</f>
        <v/>
      </c>
      <c r="Y914" s="52" t="str">
        <f t="shared" si="129"/>
        <v/>
      </c>
      <c r="Z914" s="53"/>
      <c r="AA914" s="54"/>
      <c r="AB914" s="53"/>
      <c r="AC914" s="54"/>
      <c r="AD914" s="53"/>
      <c r="AE914" s="54"/>
      <c r="AF914" s="53"/>
      <c r="AG914" s="54"/>
      <c r="AH914" s="55">
        <v>4.1666666666666699E-2</v>
      </c>
      <c r="AI914" s="53"/>
      <c r="AJ914" s="54"/>
      <c r="AK914" s="53"/>
      <c r="AL914" s="54"/>
      <c r="AM914" s="53"/>
      <c r="AN914" s="54"/>
      <c r="AO914" s="53"/>
      <c r="AP914" s="54"/>
      <c r="AQ914" s="53"/>
      <c r="AR914" s="54"/>
      <c r="AS914" s="53"/>
      <c r="AT914" s="54"/>
      <c r="AU914" s="53">
        <v>4.1666666666666699E-2</v>
      </c>
      <c r="AV914" s="54" t="s">
        <v>37</v>
      </c>
      <c r="AW914" s="57">
        <f t="shared" si="128"/>
        <v>4.1666666666666699E-2</v>
      </c>
      <c r="AX914" s="58" t="s">
        <v>91</v>
      </c>
    </row>
    <row r="915" spans="1:50" ht="21" customHeight="1">
      <c r="A915" s="66" t="s">
        <v>820</v>
      </c>
      <c r="B915" s="39">
        <f t="shared" si="136"/>
        <v>911</v>
      </c>
      <c r="C915" s="40">
        <v>46043</v>
      </c>
      <c r="D915" s="40" t="s">
        <v>80</v>
      </c>
      <c r="E915" s="40" t="s">
        <v>81</v>
      </c>
      <c r="F915" s="41">
        <v>765.7</v>
      </c>
      <c r="G915" s="42" t="s">
        <v>54</v>
      </c>
      <c r="H915" s="43" t="str">
        <f>IFERROR(VLOOKUP($J915,'[9]FROM (3)'!$E$4:$F$230,2,FALSE),"")</f>
        <v>JTCS</v>
      </c>
      <c r="I915" s="44" t="str">
        <f t="shared" si="135"/>
        <v>RACK, PS</v>
      </c>
      <c r="J915" s="44" t="str">
        <f t="shared" si="131"/>
        <v>JGD10S00670-B</v>
      </c>
      <c r="K915" s="59" t="str">
        <f t="shared" si="133"/>
        <v>PD26010969</v>
      </c>
      <c r="L915" s="46" t="str" cm="1">
        <f t="array" ref="L915">IFERROR(_xlfn.IFS(
    LEN($A915)-LEN(SUBSTITUTE($A915,"|",""))=12, RIGHT(A915, LEN(A915)-FIND("~", SUBSTITUTE(A915,"|","~", LEN(A915)-LEN(SUBSTITUTE(A915,"|",""))))),
    LEN($A915)-LEN(SUBSTITUTE($A915,"|",""))=13, MID($A915, FIND("~", SUBSTITUTE($A915,"|","~", 11))+1, FIND("~", SUBSTITUTE($A915,"|","~", 12))-FIND("~", SUBSTITUTE($A915,"|","~", 11))-1),
    LEN($A915)-LEN(SUBSTITUTE($A915,"|",""))=14, MID($A915, FIND("~", SUBSTITUTE($A915,"|","~", 11))+1, FIND("~", SUBSTITUTE($A915,"|","~", 12))-FIND("~", SUBSTITUTE($A915,"|","~", 11))-1)
), "")</f>
        <v>E586447</v>
      </c>
      <c r="M915" s="47" t="str">
        <f t="shared" si="132"/>
        <v>SB010119/3/26</v>
      </c>
      <c r="N915" s="46" t="str">
        <f t="shared" si="134"/>
        <v/>
      </c>
      <c r="O915" s="60">
        <v>25</v>
      </c>
      <c r="P915" s="60">
        <v>890</v>
      </c>
      <c r="Q915" s="48">
        <v>175</v>
      </c>
      <c r="R915" s="48">
        <v>859</v>
      </c>
      <c r="S915" s="48"/>
      <c r="T915" s="48"/>
      <c r="U915" s="49"/>
      <c r="V915" s="49"/>
      <c r="W915" s="50">
        <f t="shared" si="130"/>
        <v>0</v>
      </c>
      <c r="X915" s="51" t="str">
        <f>IF(A915="", "", IF(COUNTIFS(C$3:C914, C915, D$3:D914, D915, G$3:G914, G915) &gt; 0, "", "11:00"-AW915))</f>
        <v/>
      </c>
      <c r="Y915" s="52" t="str">
        <f t="shared" si="129"/>
        <v/>
      </c>
      <c r="Z915" s="53"/>
      <c r="AA915" s="54"/>
      <c r="AB915" s="53"/>
      <c r="AC915" s="54"/>
      <c r="AD915" s="53"/>
      <c r="AE915" s="54"/>
      <c r="AF915" s="53"/>
      <c r="AG915" s="54"/>
      <c r="AH915" s="55">
        <v>4.1666666666666699E-2</v>
      </c>
      <c r="AI915" s="53"/>
      <c r="AJ915" s="54"/>
      <c r="AK915" s="53"/>
      <c r="AL915" s="54"/>
      <c r="AM915" s="53"/>
      <c r="AN915" s="54"/>
      <c r="AO915" s="53"/>
      <c r="AP915" s="54"/>
      <c r="AQ915" s="53"/>
      <c r="AR915" s="54"/>
      <c r="AS915" s="53"/>
      <c r="AT915" s="54"/>
      <c r="AU915" s="53">
        <v>4.1666666666666699E-2</v>
      </c>
      <c r="AV915" s="54" t="s">
        <v>37</v>
      </c>
      <c r="AW915" s="57">
        <f t="shared" si="128"/>
        <v>4.1666666666666699E-2</v>
      </c>
      <c r="AX915" s="58" t="s">
        <v>91</v>
      </c>
    </row>
    <row r="916" spans="1:50" ht="21" customHeight="1">
      <c r="A916" s="66" t="s">
        <v>821</v>
      </c>
      <c r="B916" s="39">
        <f t="shared" si="136"/>
        <v>912</v>
      </c>
      <c r="C916" s="40">
        <v>46043</v>
      </c>
      <c r="D916" s="40" t="s">
        <v>80</v>
      </c>
      <c r="E916" s="40" t="s">
        <v>81</v>
      </c>
      <c r="F916" s="41">
        <v>765.7</v>
      </c>
      <c r="G916" s="42" t="s">
        <v>54</v>
      </c>
      <c r="H916" s="43" t="str">
        <f>IFERROR(VLOOKUP($J916,'[9]FROM (3)'!$E$4:$F$230,2,FALSE),"")</f>
        <v>JTCS</v>
      </c>
      <c r="I916" s="44" t="str">
        <f t="shared" si="135"/>
        <v>RACK, PS</v>
      </c>
      <c r="J916" s="44" t="str">
        <f t="shared" si="131"/>
        <v>JGD10S00670-B</v>
      </c>
      <c r="K916" s="59" t="str">
        <f t="shared" si="133"/>
        <v>PD26010969</v>
      </c>
      <c r="L916" s="46" t="str" cm="1">
        <f t="array" ref="L916">IFERROR(_xlfn.IFS(
    LEN($A916)-LEN(SUBSTITUTE($A916,"|",""))=12, RIGHT(A916, LEN(A916)-FIND("~", SUBSTITUTE(A916,"|","~", LEN(A916)-LEN(SUBSTITUTE(A916,"|",""))))),
    LEN($A916)-LEN(SUBSTITUTE($A916,"|",""))=13, MID($A916, FIND("~", SUBSTITUTE($A916,"|","~", 11))+1, FIND("~", SUBSTITUTE($A916,"|","~", 12))-FIND("~", SUBSTITUTE($A916,"|","~", 11))-1),
    LEN($A916)-LEN(SUBSTITUTE($A916,"|",""))=14, MID($A916, FIND("~", SUBSTITUTE($A916,"|","~", 11))+1, FIND("~", SUBSTITUTE($A916,"|","~", 12))-FIND("~", SUBSTITUTE($A916,"|","~", 11))-1)
), "")</f>
        <v>E586447</v>
      </c>
      <c r="M916" s="47" t="str">
        <f t="shared" si="132"/>
        <v>SB010119/4/26</v>
      </c>
      <c r="N916" s="46" t="str">
        <f t="shared" si="134"/>
        <v/>
      </c>
      <c r="O916" s="60">
        <v>25</v>
      </c>
      <c r="P916" s="60">
        <v>890</v>
      </c>
      <c r="Q916" s="48">
        <v>175</v>
      </c>
      <c r="R916" s="48">
        <v>859</v>
      </c>
      <c r="S916" s="48"/>
      <c r="T916" s="48"/>
      <c r="U916" s="49">
        <v>53</v>
      </c>
      <c r="V916" s="49">
        <v>5</v>
      </c>
      <c r="W916" s="50">
        <f t="shared" si="130"/>
        <v>58</v>
      </c>
      <c r="X916" s="51" t="str">
        <f>IF(A916="", "", IF(COUNTIFS(C$3:C915, C916, D$3:D915, D916, G$3:G915, G916) &gt; 0, "", "11:00"-AW916))</f>
        <v/>
      </c>
      <c r="Y916" s="52" t="str">
        <f t="shared" si="129"/>
        <v/>
      </c>
      <c r="Z916" s="53"/>
      <c r="AA916" s="54"/>
      <c r="AB916" s="53"/>
      <c r="AC916" s="54"/>
      <c r="AD916" s="53"/>
      <c r="AE916" s="54"/>
      <c r="AF916" s="53"/>
      <c r="AG916" s="54"/>
      <c r="AH916" s="55">
        <v>4.1666666666666699E-2</v>
      </c>
      <c r="AI916" s="53"/>
      <c r="AJ916" s="54"/>
      <c r="AK916" s="53"/>
      <c r="AL916" s="54"/>
      <c r="AM916" s="53"/>
      <c r="AN916" s="54"/>
      <c r="AO916" s="53"/>
      <c r="AP916" s="54"/>
      <c r="AQ916" s="53"/>
      <c r="AR916" s="54"/>
      <c r="AS916" s="53"/>
      <c r="AT916" s="54"/>
      <c r="AU916" s="53">
        <v>4.1666666666666699E-2</v>
      </c>
      <c r="AV916" s="54" t="s">
        <v>37</v>
      </c>
      <c r="AW916" s="57">
        <f t="shared" si="128"/>
        <v>4.1666666666666699E-2</v>
      </c>
      <c r="AX916" s="58" t="s">
        <v>91</v>
      </c>
    </row>
    <row r="917" spans="1:50" ht="21" customHeight="1">
      <c r="A917" s="66" t="s">
        <v>814</v>
      </c>
      <c r="B917" s="39">
        <f t="shared" si="136"/>
        <v>913</v>
      </c>
      <c r="C917" s="40">
        <v>46043</v>
      </c>
      <c r="D917" s="40" t="s">
        <v>80</v>
      </c>
      <c r="E917" s="40" t="s">
        <v>81</v>
      </c>
      <c r="F917" s="41">
        <v>698.5</v>
      </c>
      <c r="G917" s="42" t="s">
        <v>66</v>
      </c>
      <c r="H917" s="43" t="str">
        <f>IFERROR(VLOOKUP($J917,'[9]FROM (3)'!$E$4:$F$230,2,FALSE),"")</f>
        <v>JCTTH</v>
      </c>
      <c r="I917" s="44" t="str">
        <f t="shared" si="135"/>
        <v>RACK BAR</v>
      </c>
      <c r="J917" s="44" t="str">
        <f t="shared" si="131"/>
        <v>JGD10-000751/000761-A</v>
      </c>
      <c r="K917" s="59" t="str">
        <f t="shared" si="133"/>
        <v>PD26010330</v>
      </c>
      <c r="L917" s="46" t="str" cm="1">
        <f t="array" ref="L917">IFERROR(_xlfn.IFS(
    LEN($A917)-LEN(SUBSTITUTE($A917,"|",""))=12, RIGHT(A917, LEN(A917)-FIND("~", SUBSTITUTE(A917,"|","~", LEN(A917)-LEN(SUBSTITUTE(A917,"|",""))))),
    LEN($A917)-LEN(SUBSTITUTE($A917,"|",""))=13, MID($A917, FIND("~", SUBSTITUTE($A917,"|","~", 11))+1, FIND("~", SUBSTITUTE($A917,"|","~", 12))-FIND("~", SUBSTITUTE($A917,"|","~", 11))-1),
    LEN($A917)-LEN(SUBSTITUTE($A917,"|",""))=14, MID($A917, FIND("~", SUBSTITUTE($A917,"|","~", 11))+1, FIND("~", SUBSTITUTE($A917,"|","~", 12))-FIND("~", SUBSTITUTE($A917,"|","~", 11))-1)
), "")</f>
        <v>665076</v>
      </c>
      <c r="M917" s="47" t="str">
        <f t="shared" si="132"/>
        <v>SB010021/3/26</v>
      </c>
      <c r="N917" s="46" t="str">
        <f t="shared" si="134"/>
        <v/>
      </c>
      <c r="O917" s="60" t="s">
        <v>35</v>
      </c>
      <c r="P917" s="60" t="s">
        <v>35</v>
      </c>
      <c r="Q917" s="48">
        <v>68</v>
      </c>
      <c r="R917" s="48">
        <v>304</v>
      </c>
      <c r="S917" s="48"/>
      <c r="T917" s="48"/>
      <c r="U917" s="49">
        <v>130</v>
      </c>
      <c r="V917" s="49">
        <v>7</v>
      </c>
      <c r="W917" s="50">
        <f t="shared" si="130"/>
        <v>137</v>
      </c>
      <c r="X917" s="51">
        <f>IF(A917="", "", IF(COUNTIFS(C$3:C916, C917, D$3:D916, D917, G$3:G916, G917) &gt; 0, "", "11:00"-AW917))</f>
        <v>0.41666666666666663</v>
      </c>
      <c r="Y917" s="52" t="str">
        <f t="shared" si="129"/>
        <v>1:40</v>
      </c>
      <c r="Z917" s="53"/>
      <c r="AA917" s="54"/>
      <c r="AB917" s="53"/>
      <c r="AC917" s="54"/>
      <c r="AD917" s="53"/>
      <c r="AE917" s="54"/>
      <c r="AF917" s="53"/>
      <c r="AG917" s="54"/>
      <c r="AH917" s="55">
        <v>4.1666666666666699E-2</v>
      </c>
      <c r="AI917" s="53"/>
      <c r="AJ917" s="54"/>
      <c r="AK917" s="53"/>
      <c r="AL917" s="54"/>
      <c r="AM917" s="53"/>
      <c r="AN917" s="54"/>
      <c r="AO917" s="53"/>
      <c r="AP917" s="54"/>
      <c r="AQ917" s="53"/>
      <c r="AR917" s="54"/>
      <c r="AS917" s="53"/>
      <c r="AT917" s="54"/>
      <c r="AU917" s="53">
        <v>4.1666666666666699E-2</v>
      </c>
      <c r="AV917" s="54" t="s">
        <v>37</v>
      </c>
      <c r="AW917" s="57">
        <f t="shared" si="128"/>
        <v>4.1666666666666699E-2</v>
      </c>
      <c r="AX917" s="58" t="s">
        <v>96</v>
      </c>
    </row>
    <row r="918" spans="1:50" ht="21" customHeight="1">
      <c r="A918" s="66" t="s">
        <v>822</v>
      </c>
      <c r="B918" s="39">
        <f t="shared" si="136"/>
        <v>914</v>
      </c>
      <c r="C918" s="40">
        <v>46043</v>
      </c>
      <c r="D918" s="40" t="s">
        <v>80</v>
      </c>
      <c r="E918" s="40" t="s">
        <v>81</v>
      </c>
      <c r="F918" s="41">
        <v>698.5</v>
      </c>
      <c r="G918" s="42" t="s">
        <v>66</v>
      </c>
      <c r="H918" s="43" t="str">
        <f>IFERROR(VLOOKUP($J918,'[9]FROM (3)'!$E$4:$F$230,2,FALSE),"")</f>
        <v>JCTTH</v>
      </c>
      <c r="I918" s="44" t="str">
        <f t="shared" si="135"/>
        <v>RACK BAR</v>
      </c>
      <c r="J918" s="44" t="str">
        <f t="shared" si="131"/>
        <v>JGD10-000751/000761-A</v>
      </c>
      <c r="K918" s="59" t="str">
        <f t="shared" si="133"/>
        <v>PD26010330</v>
      </c>
      <c r="L918" s="46" t="str" cm="1">
        <f t="array" ref="L918">IFERROR(_xlfn.IFS(
    LEN($A918)-LEN(SUBSTITUTE($A918,"|",""))=12, RIGHT(A918, LEN(A918)-FIND("~", SUBSTITUTE(A918,"|","~", LEN(A918)-LEN(SUBSTITUTE(A918,"|",""))))),
    LEN($A918)-LEN(SUBSTITUTE($A918,"|",""))=13, MID($A918, FIND("~", SUBSTITUTE($A918,"|","~", 11))+1, FIND("~", SUBSTITUTE($A918,"|","~", 12))-FIND("~", SUBSTITUTE($A918,"|","~", 11))-1),
    LEN($A918)-LEN(SUBSTITUTE($A918,"|",""))=14, MID($A918, FIND("~", SUBSTITUTE($A918,"|","~", 11))+1, FIND("~", SUBSTITUTE($A918,"|","~", 12))-FIND("~", SUBSTITUTE($A918,"|","~", 11))-1)
), "")</f>
        <v>665076</v>
      </c>
      <c r="M918" s="47" t="str">
        <f t="shared" si="132"/>
        <v>SB010021/4/26</v>
      </c>
      <c r="N918" s="46" t="str">
        <f t="shared" si="134"/>
        <v/>
      </c>
      <c r="O918" s="60">
        <v>51</v>
      </c>
      <c r="P918" s="60">
        <v>986</v>
      </c>
      <c r="Q918" s="48">
        <v>204</v>
      </c>
      <c r="R918" s="48">
        <v>913</v>
      </c>
      <c r="S918" s="48"/>
      <c r="T918" s="48"/>
      <c r="U918" s="49"/>
      <c r="V918" s="49"/>
      <c r="W918" s="50">
        <f t="shared" si="130"/>
        <v>0</v>
      </c>
      <c r="X918" s="51" t="str">
        <f>IF(A918="", "", IF(COUNTIFS(C$3:C917, C918, D$3:D917, D918, G$3:G917, G918) &gt; 0, "", "11:00"-AW918))</f>
        <v/>
      </c>
      <c r="Y918" s="52" t="str">
        <f t="shared" si="129"/>
        <v/>
      </c>
      <c r="Z918" s="53"/>
      <c r="AA918" s="54"/>
      <c r="AB918" s="53"/>
      <c r="AC918" s="54"/>
      <c r="AD918" s="53"/>
      <c r="AE918" s="54"/>
      <c r="AF918" s="53"/>
      <c r="AG918" s="54"/>
      <c r="AH918" s="55">
        <v>4.1666666666666699E-2</v>
      </c>
      <c r="AI918" s="53"/>
      <c r="AJ918" s="54"/>
      <c r="AK918" s="53"/>
      <c r="AL918" s="54"/>
      <c r="AM918" s="53"/>
      <c r="AN918" s="54"/>
      <c r="AO918" s="53"/>
      <c r="AP918" s="54"/>
      <c r="AQ918" s="53"/>
      <c r="AR918" s="54"/>
      <c r="AS918" s="53"/>
      <c r="AT918" s="54"/>
      <c r="AU918" s="53">
        <v>4.1666666666666699E-2</v>
      </c>
      <c r="AV918" s="54" t="s">
        <v>37</v>
      </c>
      <c r="AW918" s="57">
        <f t="shared" si="128"/>
        <v>4.1666666666666699E-2</v>
      </c>
      <c r="AX918" s="58" t="s">
        <v>96</v>
      </c>
    </row>
    <row r="919" spans="1:50" ht="21" customHeight="1">
      <c r="A919" s="66" t="s">
        <v>823</v>
      </c>
      <c r="B919" s="39">
        <f t="shared" si="136"/>
        <v>915</v>
      </c>
      <c r="C919" s="40">
        <v>46043</v>
      </c>
      <c r="D919" s="40" t="s">
        <v>80</v>
      </c>
      <c r="E919" s="40" t="s">
        <v>81</v>
      </c>
      <c r="F919" s="41">
        <v>698.5</v>
      </c>
      <c r="G919" s="42" t="s">
        <v>66</v>
      </c>
      <c r="H919" s="43" t="str">
        <f>IFERROR(VLOOKUP($J919,'[9]FROM (3)'!$E$4:$F$230,2,FALSE),"")</f>
        <v>JCTTH</v>
      </c>
      <c r="I919" s="44" t="str">
        <f t="shared" si="135"/>
        <v>RACK BAR</v>
      </c>
      <c r="J919" s="44" t="str">
        <f t="shared" si="131"/>
        <v>JGD10-000751/000761-A</v>
      </c>
      <c r="K919" s="59" t="str">
        <f t="shared" si="133"/>
        <v>PD26010331</v>
      </c>
      <c r="L919" s="46" t="str" cm="1">
        <f t="array" ref="L919">IFERROR(_xlfn.IFS(
    LEN($A919)-LEN(SUBSTITUTE($A919,"|",""))=12, RIGHT(A919, LEN(A919)-FIND("~", SUBSTITUTE(A919,"|","~", LEN(A919)-LEN(SUBSTITUTE(A919,"|",""))))),
    LEN($A919)-LEN(SUBSTITUTE($A919,"|",""))=13, MID($A919, FIND("~", SUBSTITUTE($A919,"|","~", 11))+1, FIND("~", SUBSTITUTE($A919,"|","~", 12))-FIND("~", SUBSTITUTE($A919,"|","~", 11))-1),
    LEN($A919)-LEN(SUBSTITUTE($A919,"|",""))=14, MID($A919, FIND("~", SUBSTITUTE($A919,"|","~", 11))+1, FIND("~", SUBSTITUTE($A919,"|","~", 12))-FIND("~", SUBSTITUTE($A919,"|","~", 11))-1)
), "")</f>
        <v>665076</v>
      </c>
      <c r="M919" s="47" t="str">
        <f t="shared" si="132"/>
        <v>SB010022/2/26</v>
      </c>
      <c r="N919" s="46" t="str">
        <f t="shared" si="134"/>
        <v/>
      </c>
      <c r="O919" s="60">
        <v>51</v>
      </c>
      <c r="P919" s="60">
        <v>986</v>
      </c>
      <c r="Q919" s="48">
        <v>204</v>
      </c>
      <c r="R919" s="48">
        <v>913</v>
      </c>
      <c r="S919" s="48"/>
      <c r="T919" s="48"/>
      <c r="U919" s="49">
        <v>130</v>
      </c>
      <c r="V919" s="49">
        <v>7</v>
      </c>
      <c r="W919" s="50">
        <f t="shared" si="130"/>
        <v>137</v>
      </c>
      <c r="X919" s="51" t="str">
        <f>IF(A919="", "", IF(COUNTIFS(C$3:C918, C919, D$3:D918, D919, G$3:G918, G919) &gt; 0, "", "11:00"-AW919))</f>
        <v/>
      </c>
      <c r="Y919" s="52" t="str">
        <f t="shared" si="129"/>
        <v/>
      </c>
      <c r="Z919" s="53"/>
      <c r="AA919" s="54"/>
      <c r="AB919" s="53"/>
      <c r="AC919" s="54"/>
      <c r="AD919" s="53"/>
      <c r="AE919" s="54"/>
      <c r="AF919" s="53"/>
      <c r="AG919" s="54"/>
      <c r="AH919" s="55">
        <v>4.1666666666666699E-2</v>
      </c>
      <c r="AI919" s="53"/>
      <c r="AJ919" s="54"/>
      <c r="AK919" s="53"/>
      <c r="AL919" s="54"/>
      <c r="AM919" s="53"/>
      <c r="AN919" s="54"/>
      <c r="AO919" s="53"/>
      <c r="AP919" s="54"/>
      <c r="AQ919" s="53"/>
      <c r="AR919" s="54"/>
      <c r="AS919" s="53"/>
      <c r="AT919" s="54"/>
      <c r="AU919" s="53">
        <v>4.1666666666666699E-2</v>
      </c>
      <c r="AV919" s="54" t="s">
        <v>37</v>
      </c>
      <c r="AW919" s="57">
        <f t="shared" si="128"/>
        <v>4.1666666666666699E-2</v>
      </c>
      <c r="AX919" s="58" t="s">
        <v>96</v>
      </c>
    </row>
    <row r="920" spans="1:50" ht="21" customHeight="1">
      <c r="A920" s="66" t="s">
        <v>824</v>
      </c>
      <c r="B920" s="39">
        <f t="shared" si="136"/>
        <v>916</v>
      </c>
      <c r="C920" s="40">
        <v>46043</v>
      </c>
      <c r="D920" s="40" t="s">
        <v>80</v>
      </c>
      <c r="E920" s="40" t="s">
        <v>81</v>
      </c>
      <c r="F920" s="41">
        <v>698.5</v>
      </c>
      <c r="G920" s="42" t="s">
        <v>66</v>
      </c>
      <c r="H920" s="43" t="str">
        <f>IFERROR(VLOOKUP($J920,'[9]FROM (3)'!$E$4:$F$230,2,FALSE),"")</f>
        <v>JCTTH</v>
      </c>
      <c r="I920" s="44" t="str">
        <f t="shared" si="135"/>
        <v>RACK BAR</v>
      </c>
      <c r="J920" s="44" t="str">
        <f t="shared" si="131"/>
        <v>JGD10-000751/000761-A</v>
      </c>
      <c r="K920" s="59" t="str">
        <f t="shared" si="133"/>
        <v>PD26010331</v>
      </c>
      <c r="L920" s="46" t="str" cm="1">
        <f t="array" ref="L920">IFERROR(_xlfn.IFS(
    LEN($A920)-LEN(SUBSTITUTE($A920,"|",""))=12, RIGHT(A920, LEN(A920)-FIND("~", SUBSTITUTE(A920,"|","~", LEN(A920)-LEN(SUBSTITUTE(A920,"|",""))))),
    LEN($A920)-LEN(SUBSTITUTE($A920,"|",""))=13, MID($A920, FIND("~", SUBSTITUTE($A920,"|","~", 11))+1, FIND("~", SUBSTITUTE($A920,"|","~", 12))-FIND("~", SUBSTITUTE($A920,"|","~", 11))-1),
    LEN($A920)-LEN(SUBSTITUTE($A920,"|",""))=14, MID($A920, FIND("~", SUBSTITUTE($A920,"|","~", 11))+1, FIND("~", SUBSTITUTE($A920,"|","~", 12))-FIND("~", SUBSTITUTE($A920,"|","~", 11))-1)
), "")</f>
        <v>665076</v>
      </c>
      <c r="M920" s="47" t="str">
        <f t="shared" si="132"/>
        <v>SB010022/1/26</v>
      </c>
      <c r="N920" s="46" t="str">
        <f t="shared" si="134"/>
        <v/>
      </c>
      <c r="O920" s="60">
        <v>51</v>
      </c>
      <c r="P920" s="60">
        <v>986</v>
      </c>
      <c r="Q920" s="48">
        <v>204</v>
      </c>
      <c r="R920" s="48">
        <v>913</v>
      </c>
      <c r="S920" s="48"/>
      <c r="T920" s="48"/>
      <c r="U920" s="49"/>
      <c r="V920" s="49"/>
      <c r="W920" s="50">
        <f t="shared" si="130"/>
        <v>0</v>
      </c>
      <c r="X920" s="51" t="str">
        <f>IF(A920="", "", IF(COUNTIFS(C$3:C919, C920, D$3:D919, D920, G$3:G919, G920) &gt; 0, "", "11:00"-AW920))</f>
        <v/>
      </c>
      <c r="Y920" s="52" t="str">
        <f t="shared" si="129"/>
        <v/>
      </c>
      <c r="Z920" s="53"/>
      <c r="AA920" s="54"/>
      <c r="AB920" s="53"/>
      <c r="AC920" s="54"/>
      <c r="AD920" s="53"/>
      <c r="AE920" s="54"/>
      <c r="AF920" s="53"/>
      <c r="AG920" s="54"/>
      <c r="AH920" s="55">
        <v>4.1666666666666699E-2</v>
      </c>
      <c r="AI920" s="53"/>
      <c r="AJ920" s="54"/>
      <c r="AK920" s="53"/>
      <c r="AL920" s="54"/>
      <c r="AM920" s="53"/>
      <c r="AN920" s="54"/>
      <c r="AO920" s="53"/>
      <c r="AP920" s="54"/>
      <c r="AQ920" s="53"/>
      <c r="AR920" s="54"/>
      <c r="AS920" s="53"/>
      <c r="AT920" s="54"/>
      <c r="AU920" s="53">
        <v>4.1666666666666699E-2</v>
      </c>
      <c r="AV920" s="54" t="s">
        <v>37</v>
      </c>
      <c r="AW920" s="57">
        <f t="shared" si="128"/>
        <v>4.1666666666666699E-2</v>
      </c>
      <c r="AX920" s="58" t="s">
        <v>96</v>
      </c>
    </row>
    <row r="921" spans="1:50" ht="21" customHeight="1">
      <c r="A921" s="66" t="s">
        <v>825</v>
      </c>
      <c r="B921" s="39">
        <f t="shared" si="136"/>
        <v>917</v>
      </c>
      <c r="C921" s="40">
        <v>46043</v>
      </c>
      <c r="D921" s="40" t="s">
        <v>80</v>
      </c>
      <c r="E921" s="40" t="s">
        <v>81</v>
      </c>
      <c r="F921" s="41">
        <v>698.5</v>
      </c>
      <c r="G921" s="42" t="s">
        <v>66</v>
      </c>
      <c r="H921" s="43" t="str">
        <f>IFERROR(VLOOKUP($J921,'[9]FROM (3)'!$E$4:$F$230,2,FALSE),"")</f>
        <v>JCTTH</v>
      </c>
      <c r="I921" s="44" t="str">
        <f t="shared" si="135"/>
        <v>RACK BAR</v>
      </c>
      <c r="J921" s="44" t="str">
        <f t="shared" si="131"/>
        <v>JGD10-000751/000761-A</v>
      </c>
      <c r="K921" s="59" t="str">
        <f t="shared" si="133"/>
        <v>PD26010574</v>
      </c>
      <c r="L921" s="46" t="str" cm="1">
        <f t="array" ref="L921">IFERROR(_xlfn.IFS(
    LEN($A921)-LEN(SUBSTITUTE($A921,"|",""))=12, RIGHT(A921, LEN(A921)-FIND("~", SUBSTITUTE(A921,"|","~", LEN(A921)-LEN(SUBSTITUTE(A921,"|",""))))),
    LEN($A921)-LEN(SUBSTITUTE($A921,"|",""))=13, MID($A921, FIND("~", SUBSTITUTE($A921,"|","~", 11))+1, FIND("~", SUBSTITUTE($A921,"|","~", 12))-FIND("~", SUBSTITUTE($A921,"|","~", 11))-1),
    LEN($A921)-LEN(SUBSTITUTE($A921,"|",""))=14, MID($A921, FIND("~", SUBSTITUTE($A921,"|","~", 11))+1, FIND("~", SUBSTITUTE($A921,"|","~", 12))-FIND("~", SUBSTITUTE($A921,"|","~", 11))-1)
), "")</f>
        <v>665077</v>
      </c>
      <c r="M921" s="47" t="str">
        <f t="shared" si="132"/>
        <v>SB010062/3/26</v>
      </c>
      <c r="N921" s="46" t="str">
        <f t="shared" si="134"/>
        <v/>
      </c>
      <c r="O921" s="60">
        <v>51</v>
      </c>
      <c r="P921" s="60">
        <v>988</v>
      </c>
      <c r="Q921" s="48">
        <v>204</v>
      </c>
      <c r="R921" s="48">
        <v>913</v>
      </c>
      <c r="S921" s="48"/>
      <c r="T921" s="48"/>
      <c r="U921" s="49">
        <v>130</v>
      </c>
      <c r="V921" s="49">
        <v>7</v>
      </c>
      <c r="W921" s="50">
        <f t="shared" si="130"/>
        <v>137</v>
      </c>
      <c r="X921" s="51" t="str">
        <f>IF(A921="", "", IF(COUNTIFS(C$3:C920, C921, D$3:D920, D921, G$3:G920, G921) &gt; 0, "", "11:00"-AW921))</f>
        <v/>
      </c>
      <c r="Y921" s="52" t="str">
        <f t="shared" si="129"/>
        <v/>
      </c>
      <c r="Z921" s="53"/>
      <c r="AA921" s="54"/>
      <c r="AB921" s="53"/>
      <c r="AC921" s="54"/>
      <c r="AD921" s="53"/>
      <c r="AE921" s="54"/>
      <c r="AF921" s="53"/>
      <c r="AG921" s="54"/>
      <c r="AH921" s="55">
        <v>4.1666666666666699E-2</v>
      </c>
      <c r="AI921" s="53"/>
      <c r="AJ921" s="54"/>
      <c r="AK921" s="53"/>
      <c r="AL921" s="54"/>
      <c r="AM921" s="53"/>
      <c r="AN921" s="54"/>
      <c r="AO921" s="53"/>
      <c r="AP921" s="54"/>
      <c r="AQ921" s="53"/>
      <c r="AR921" s="54"/>
      <c r="AS921" s="53"/>
      <c r="AT921" s="54"/>
      <c r="AU921" s="53">
        <v>4.1666666666666699E-2</v>
      </c>
      <c r="AV921" s="54" t="s">
        <v>37</v>
      </c>
      <c r="AW921" s="57">
        <f t="shared" si="128"/>
        <v>4.1666666666666699E-2</v>
      </c>
      <c r="AX921" s="58" t="s">
        <v>96</v>
      </c>
    </row>
    <row r="922" spans="1:50" ht="21" customHeight="1">
      <c r="A922" s="66" t="s">
        <v>826</v>
      </c>
      <c r="B922" s="39">
        <f t="shared" si="136"/>
        <v>918</v>
      </c>
      <c r="C922" s="40">
        <v>46043</v>
      </c>
      <c r="D922" s="40" t="s">
        <v>80</v>
      </c>
      <c r="E922" s="40" t="s">
        <v>81</v>
      </c>
      <c r="F922" s="41">
        <v>698.5</v>
      </c>
      <c r="G922" s="42" t="s">
        <v>66</v>
      </c>
      <c r="H922" s="43" t="str">
        <f>IFERROR(VLOOKUP($J922,'[9]FROM (3)'!$E$4:$F$230,2,FALSE),"")</f>
        <v>JCTTH</v>
      </c>
      <c r="I922" s="44" t="str">
        <f t="shared" si="135"/>
        <v>RACK BAR</v>
      </c>
      <c r="J922" s="44" t="str">
        <f t="shared" si="131"/>
        <v>JGD10-000751/000761-A</v>
      </c>
      <c r="K922" s="59" t="str">
        <f t="shared" si="133"/>
        <v>PD26010574</v>
      </c>
      <c r="L922" s="46" t="str" cm="1">
        <f t="array" ref="L922">IFERROR(_xlfn.IFS(
    LEN($A922)-LEN(SUBSTITUTE($A922,"|",""))=12, RIGHT(A922, LEN(A922)-FIND("~", SUBSTITUTE(A922,"|","~", LEN(A922)-LEN(SUBSTITUTE(A922,"|",""))))),
    LEN($A922)-LEN(SUBSTITUTE($A922,"|",""))=13, MID($A922, FIND("~", SUBSTITUTE($A922,"|","~", 11))+1, FIND("~", SUBSTITUTE($A922,"|","~", 12))-FIND("~", SUBSTITUTE($A922,"|","~", 11))-1),
    LEN($A922)-LEN(SUBSTITUTE($A922,"|",""))=14, MID($A922, FIND("~", SUBSTITUTE($A922,"|","~", 11))+1, FIND("~", SUBSTITUTE($A922,"|","~", 12))-FIND("~", SUBSTITUTE($A922,"|","~", 11))-1)
), "")</f>
        <v>665077</v>
      </c>
      <c r="M922" s="47" t="str">
        <f t="shared" si="132"/>
        <v>SB010062/4/26</v>
      </c>
      <c r="N922" s="46" t="str">
        <f t="shared" si="134"/>
        <v/>
      </c>
      <c r="O922" s="60">
        <v>51</v>
      </c>
      <c r="P922" s="60">
        <v>988</v>
      </c>
      <c r="Q922" s="48">
        <v>204</v>
      </c>
      <c r="R922" s="48">
        <v>913</v>
      </c>
      <c r="S922" s="48"/>
      <c r="T922" s="48"/>
      <c r="U922" s="49"/>
      <c r="V922" s="49"/>
      <c r="W922" s="50">
        <f t="shared" si="130"/>
        <v>0</v>
      </c>
      <c r="X922" s="51" t="str">
        <f>IF(A922="", "", IF(COUNTIFS(C$3:C921, C922, D$3:D921, D922, G$3:G921, G922) &gt; 0, "", "11:00"-AW922))</f>
        <v/>
      </c>
      <c r="Y922" s="52" t="str">
        <f t="shared" si="129"/>
        <v/>
      </c>
      <c r="Z922" s="53"/>
      <c r="AA922" s="54"/>
      <c r="AB922" s="53"/>
      <c r="AC922" s="54"/>
      <c r="AD922" s="53"/>
      <c r="AE922" s="54"/>
      <c r="AF922" s="53"/>
      <c r="AG922" s="54"/>
      <c r="AH922" s="55">
        <v>4.1666666666666699E-2</v>
      </c>
      <c r="AI922" s="53"/>
      <c r="AJ922" s="54"/>
      <c r="AK922" s="53"/>
      <c r="AL922" s="54"/>
      <c r="AM922" s="53"/>
      <c r="AN922" s="54"/>
      <c r="AO922" s="53"/>
      <c r="AP922" s="54"/>
      <c r="AQ922" s="53"/>
      <c r="AR922" s="54"/>
      <c r="AS922" s="53"/>
      <c r="AT922" s="54"/>
      <c r="AU922" s="53">
        <v>4.1666666666666699E-2</v>
      </c>
      <c r="AV922" s="54" t="s">
        <v>37</v>
      </c>
      <c r="AW922" s="57">
        <f t="shared" si="128"/>
        <v>4.1666666666666699E-2</v>
      </c>
      <c r="AX922" s="58" t="s">
        <v>96</v>
      </c>
    </row>
    <row r="923" spans="1:50" ht="21" customHeight="1">
      <c r="A923" s="66" t="s">
        <v>810</v>
      </c>
      <c r="B923" s="39">
        <f t="shared" si="136"/>
        <v>919</v>
      </c>
      <c r="C923" s="40">
        <v>46043</v>
      </c>
      <c r="D923" s="40" t="s">
        <v>80</v>
      </c>
      <c r="E923" s="40" t="s">
        <v>81</v>
      </c>
      <c r="F923" s="41">
        <v>598.79999999999995</v>
      </c>
      <c r="G923" s="42" t="s">
        <v>75</v>
      </c>
      <c r="H923" s="43" t="str">
        <f>IFERROR(VLOOKUP($J923,'[9]FROM (3)'!$E$4:$F$230,2,FALSE),"")</f>
        <v>JTCS</v>
      </c>
      <c r="I923" s="44" t="str">
        <f t="shared" si="135"/>
        <v>RACK, MS</v>
      </c>
      <c r="J923" s="44" t="str">
        <f t="shared" si="131"/>
        <v>JGC10-001180-S</v>
      </c>
      <c r="K923" s="59" t="str">
        <f t="shared" si="133"/>
        <v>PD26010776</v>
      </c>
      <c r="L923" s="46" t="str" cm="1">
        <f t="array" ref="L923">IFERROR(_xlfn.IFS(
    LEN($A923)-LEN(SUBSTITUTE($A923,"|",""))=12, RIGHT(A923, LEN(A923)-FIND("~", SUBSTITUTE(A923,"|","~", LEN(A923)-LEN(SUBSTITUTE(A923,"|",""))))),
    LEN($A923)-LEN(SUBSTITUTE($A923,"|",""))=13, MID($A923, FIND("~", SUBSTITUTE($A923,"|","~", 11))+1, FIND("~", SUBSTITUTE($A923,"|","~", 12))-FIND("~", SUBSTITUTE($A923,"|","~", 11))-1),
    LEN($A923)-LEN(SUBSTITUTE($A923,"|",""))=14, MID($A923, FIND("~", SUBSTITUTE($A923,"|","~", 11))+1, FIND("~", SUBSTITUTE($A923,"|","~", 12))-FIND("~", SUBSTITUTE($A923,"|","~", 11))-1)
), "")</f>
        <v>E585971</v>
      </c>
      <c r="M923" s="47" t="str">
        <f t="shared" si="132"/>
        <v>SB010092/3/26</v>
      </c>
      <c r="N923" s="46" t="str">
        <f t="shared" si="134"/>
        <v/>
      </c>
      <c r="O923" s="60"/>
      <c r="P923" s="60"/>
      <c r="Q923" s="48">
        <v>201</v>
      </c>
      <c r="R923" s="48">
        <v>427</v>
      </c>
      <c r="S923" s="48"/>
      <c r="T923" s="48"/>
      <c r="U923" s="49">
        <v>142</v>
      </c>
      <c r="V923" s="49">
        <v>10</v>
      </c>
      <c r="W923" s="50">
        <f t="shared" si="130"/>
        <v>152</v>
      </c>
      <c r="X923" s="51">
        <f>IF(A923="", "", IF(COUNTIFS(C$3:C922, C923, D$3:D922, D923, G$3:G922, G923) &gt; 0, "", "11:00"-AW923))</f>
        <v>0.37499999999999994</v>
      </c>
      <c r="Y923" s="52" t="str">
        <f t="shared" si="129"/>
        <v>1:40</v>
      </c>
      <c r="Z923" s="53"/>
      <c r="AA923" s="54"/>
      <c r="AB923" s="53"/>
      <c r="AC923" s="54"/>
      <c r="AD923" s="53">
        <v>4.1666666666666664E-2</v>
      </c>
      <c r="AE923" s="54" t="s">
        <v>67</v>
      </c>
      <c r="AF923" s="53"/>
      <c r="AG923" s="54"/>
      <c r="AH923" s="55">
        <v>4.1666666666666699E-2</v>
      </c>
      <c r="AI923" s="53"/>
      <c r="AJ923" s="54"/>
      <c r="AK923" s="53"/>
      <c r="AL923" s="54"/>
      <c r="AM923" s="53"/>
      <c r="AN923" s="54"/>
      <c r="AO923" s="53"/>
      <c r="AP923" s="54"/>
      <c r="AQ923" s="53"/>
      <c r="AR923" s="54"/>
      <c r="AS923" s="53"/>
      <c r="AT923" s="54"/>
      <c r="AU923" s="53">
        <v>4.1666666666666699E-2</v>
      </c>
      <c r="AV923" s="54" t="s">
        <v>37</v>
      </c>
      <c r="AW923" s="57">
        <f t="shared" si="128"/>
        <v>8.333333333333337E-2</v>
      </c>
      <c r="AX923" s="58" t="s">
        <v>101</v>
      </c>
    </row>
    <row r="924" spans="1:50" ht="21" customHeight="1">
      <c r="A924" s="66" t="s">
        <v>827</v>
      </c>
      <c r="B924" s="39">
        <f t="shared" si="136"/>
        <v>920</v>
      </c>
      <c r="C924" s="40">
        <v>46043</v>
      </c>
      <c r="D924" s="40" t="s">
        <v>80</v>
      </c>
      <c r="E924" s="40" t="s">
        <v>81</v>
      </c>
      <c r="F924" s="41">
        <v>765.7</v>
      </c>
      <c r="G924" s="42" t="s">
        <v>75</v>
      </c>
      <c r="H924" s="43" t="str">
        <f>IFERROR(VLOOKUP($J924,'[9]FROM (3)'!$E$4:$F$230,2,FALSE),"")</f>
        <v>JTCS</v>
      </c>
      <c r="I924" s="44" t="str">
        <f t="shared" si="135"/>
        <v>RACK, PS</v>
      </c>
      <c r="J924" s="44" t="str">
        <f t="shared" si="131"/>
        <v>JGD10-001230-40-0</v>
      </c>
      <c r="K924" s="59" t="str">
        <f t="shared" si="133"/>
        <v>PD26010899</v>
      </c>
      <c r="L924" s="46" t="str" cm="1">
        <f t="array" ref="L924">IFERROR(_xlfn.IFS(
    LEN($A924)-LEN(SUBSTITUTE($A924,"|",""))=12, RIGHT(A924, LEN(A924)-FIND("~", SUBSTITUTE(A924,"|","~", LEN(A924)-LEN(SUBSTITUTE(A924,"|",""))))),
    LEN($A924)-LEN(SUBSTITUTE($A924,"|",""))=13, MID($A924, FIND("~", SUBSTITUTE($A924,"|","~", 11))+1, FIND("~", SUBSTITUTE($A924,"|","~", 12))-FIND("~", SUBSTITUTE($A924,"|","~", 11))-1),
    LEN($A924)-LEN(SUBSTITUTE($A924,"|",""))=14, MID($A924, FIND("~", SUBSTITUTE($A924,"|","~", 11))+1, FIND("~", SUBSTITUTE($A924,"|","~", 12))-FIND("~", SUBSTITUTE($A924,"|","~", 11))-1)
), "")</f>
        <v>E586236</v>
      </c>
      <c r="M924" s="47" t="str">
        <f t="shared" si="132"/>
        <v>SB010103/1/26</v>
      </c>
      <c r="N924" s="46" t="str">
        <f t="shared" si="134"/>
        <v/>
      </c>
      <c r="O924" s="60">
        <v>25</v>
      </c>
      <c r="P924" s="60">
        <v>892</v>
      </c>
      <c r="Q924" s="48">
        <v>175</v>
      </c>
      <c r="R924" s="48">
        <v>859</v>
      </c>
      <c r="S924" s="48"/>
      <c r="T924" s="48"/>
      <c r="U924" s="49"/>
      <c r="V924" s="49"/>
      <c r="W924" s="50">
        <f t="shared" si="130"/>
        <v>0</v>
      </c>
      <c r="X924" s="51" t="str">
        <f>IF(A924="", "", IF(COUNTIFS(C$3:C923, C924, D$3:D923, D924, G$3:G923, G924) &gt; 0, "", "11:00"-AW924))</f>
        <v/>
      </c>
      <c r="Y924" s="52" t="str">
        <f t="shared" si="129"/>
        <v/>
      </c>
      <c r="Z924" s="53"/>
      <c r="AA924" s="54"/>
      <c r="AB924" s="53"/>
      <c r="AC924" s="54"/>
      <c r="AD924" s="53"/>
      <c r="AE924" s="54"/>
      <c r="AF924" s="53"/>
      <c r="AG924" s="54"/>
      <c r="AH924" s="55">
        <v>4.1666666666666699E-2</v>
      </c>
      <c r="AI924" s="53"/>
      <c r="AJ924" s="54"/>
      <c r="AK924" s="53"/>
      <c r="AL924" s="54"/>
      <c r="AM924" s="53"/>
      <c r="AN924" s="54"/>
      <c r="AO924" s="53"/>
      <c r="AP924" s="54"/>
      <c r="AQ924" s="53"/>
      <c r="AR924" s="54"/>
      <c r="AS924" s="53"/>
      <c r="AT924" s="54"/>
      <c r="AU924" s="53">
        <v>4.1666666666666699E-2</v>
      </c>
      <c r="AV924" s="54" t="s">
        <v>37</v>
      </c>
      <c r="AW924" s="57">
        <f t="shared" si="128"/>
        <v>4.1666666666666699E-2</v>
      </c>
      <c r="AX924" s="58" t="s">
        <v>101</v>
      </c>
    </row>
    <row r="925" spans="1:50" ht="21" customHeight="1">
      <c r="A925" s="66" t="s">
        <v>828</v>
      </c>
      <c r="B925" s="39">
        <f t="shared" si="136"/>
        <v>921</v>
      </c>
      <c r="C925" s="40">
        <v>46043</v>
      </c>
      <c r="D925" s="40" t="s">
        <v>80</v>
      </c>
      <c r="E925" s="40" t="s">
        <v>81</v>
      </c>
      <c r="F925" s="41">
        <v>765.7</v>
      </c>
      <c r="G925" s="42" t="s">
        <v>75</v>
      </c>
      <c r="H925" s="43" t="str">
        <f>IFERROR(VLOOKUP($J925,'[9]FROM (3)'!$E$4:$F$230,2,FALSE),"")</f>
        <v>JTCS</v>
      </c>
      <c r="I925" s="44" t="str">
        <f t="shared" si="135"/>
        <v>RACK, PS</v>
      </c>
      <c r="J925" s="44" t="str">
        <f t="shared" si="131"/>
        <v>JGD10-001230-40-0</v>
      </c>
      <c r="K925" s="59" t="str">
        <f t="shared" si="133"/>
        <v>PD26010899</v>
      </c>
      <c r="L925" s="46" t="str" cm="1">
        <f t="array" ref="L925">IFERROR(_xlfn.IFS(
    LEN($A925)-LEN(SUBSTITUTE($A925,"|",""))=12, RIGHT(A925, LEN(A925)-FIND("~", SUBSTITUTE(A925,"|","~", LEN(A925)-LEN(SUBSTITUTE(A925,"|",""))))),
    LEN($A925)-LEN(SUBSTITUTE($A925,"|",""))=13, MID($A925, FIND("~", SUBSTITUTE($A925,"|","~", 11))+1, FIND("~", SUBSTITUTE($A925,"|","~", 12))-FIND("~", SUBSTITUTE($A925,"|","~", 11))-1),
    LEN($A925)-LEN(SUBSTITUTE($A925,"|",""))=14, MID($A925, FIND("~", SUBSTITUTE($A925,"|","~", 11))+1, FIND("~", SUBSTITUTE($A925,"|","~", 12))-FIND("~", SUBSTITUTE($A925,"|","~", 11))-1)
), "")</f>
        <v>E586236</v>
      </c>
      <c r="M925" s="47" t="str">
        <f t="shared" si="132"/>
        <v>SB010103/2/26</v>
      </c>
      <c r="N925" s="46" t="str">
        <f t="shared" si="134"/>
        <v/>
      </c>
      <c r="O925" s="60">
        <v>25</v>
      </c>
      <c r="P925" s="60">
        <v>892</v>
      </c>
      <c r="Q925" s="48">
        <v>175</v>
      </c>
      <c r="R925" s="48">
        <v>859</v>
      </c>
      <c r="S925" s="48"/>
      <c r="T925" s="48"/>
      <c r="U925" s="49"/>
      <c r="V925" s="49"/>
      <c r="W925" s="50">
        <f t="shared" si="130"/>
        <v>0</v>
      </c>
      <c r="X925" s="51" t="str">
        <f>IF(A925="", "", IF(COUNTIFS(C$3:C924, C925, D$3:D924, D925, G$3:G924, G925) &gt; 0, "", "11:00"-AW925))</f>
        <v/>
      </c>
      <c r="Y925" s="52" t="str">
        <f t="shared" si="129"/>
        <v/>
      </c>
      <c r="Z925" s="53"/>
      <c r="AA925" s="54"/>
      <c r="AB925" s="53"/>
      <c r="AC925" s="54"/>
      <c r="AD925" s="53"/>
      <c r="AE925" s="54"/>
      <c r="AF925" s="53"/>
      <c r="AG925" s="54"/>
      <c r="AH925" s="55">
        <v>4.1666666666666699E-2</v>
      </c>
      <c r="AI925" s="53"/>
      <c r="AJ925" s="54"/>
      <c r="AK925" s="53"/>
      <c r="AL925" s="54"/>
      <c r="AM925" s="53"/>
      <c r="AN925" s="54"/>
      <c r="AO925" s="53"/>
      <c r="AP925" s="54"/>
      <c r="AQ925" s="53"/>
      <c r="AR925" s="54"/>
      <c r="AS925" s="53"/>
      <c r="AT925" s="54"/>
      <c r="AU925" s="53">
        <v>4.1666666666666699E-2</v>
      </c>
      <c r="AV925" s="54" t="s">
        <v>37</v>
      </c>
      <c r="AW925" s="57">
        <f t="shared" si="128"/>
        <v>4.1666666666666699E-2</v>
      </c>
      <c r="AX925" s="58" t="s">
        <v>101</v>
      </c>
    </row>
    <row r="926" spans="1:50" ht="21" customHeight="1">
      <c r="A926" s="66" t="s">
        <v>829</v>
      </c>
      <c r="B926" s="39">
        <f t="shared" si="136"/>
        <v>922</v>
      </c>
      <c r="C926" s="40">
        <v>46043</v>
      </c>
      <c r="D926" s="40" t="s">
        <v>80</v>
      </c>
      <c r="E926" s="40" t="s">
        <v>81</v>
      </c>
      <c r="F926" s="41">
        <v>765.7</v>
      </c>
      <c r="G926" s="42" t="s">
        <v>75</v>
      </c>
      <c r="H926" s="43" t="str">
        <f>IFERROR(VLOOKUP($J926,'[9]FROM (3)'!$E$4:$F$230,2,FALSE),"")</f>
        <v>JTCS</v>
      </c>
      <c r="I926" s="44" t="str">
        <f t="shared" si="135"/>
        <v>RACK, PS</v>
      </c>
      <c r="J926" s="44" t="str">
        <f t="shared" si="131"/>
        <v>JGD10-001230-40-0</v>
      </c>
      <c r="K926" s="59" t="str">
        <f t="shared" si="133"/>
        <v>PD26010899</v>
      </c>
      <c r="L926" s="46" t="str" cm="1">
        <f t="array" ref="L926">IFERROR(_xlfn.IFS(
    LEN($A926)-LEN(SUBSTITUTE($A926,"|",""))=12, RIGHT(A926, LEN(A926)-FIND("~", SUBSTITUTE(A926,"|","~", LEN(A926)-LEN(SUBSTITUTE(A926,"|",""))))),
    LEN($A926)-LEN(SUBSTITUTE($A926,"|",""))=13, MID($A926, FIND("~", SUBSTITUTE($A926,"|","~", 11))+1, FIND("~", SUBSTITUTE($A926,"|","~", 12))-FIND("~", SUBSTITUTE($A926,"|","~", 11))-1),
    LEN($A926)-LEN(SUBSTITUTE($A926,"|",""))=14, MID($A926, FIND("~", SUBSTITUTE($A926,"|","~", 11))+1, FIND("~", SUBSTITUTE($A926,"|","~", 12))-FIND("~", SUBSTITUTE($A926,"|","~", 11))-1)
), "")</f>
        <v>E586236</v>
      </c>
      <c r="M926" s="47" t="str">
        <f t="shared" si="132"/>
        <v>SB010103/3/26</v>
      </c>
      <c r="N926" s="46" t="str">
        <f t="shared" si="134"/>
        <v/>
      </c>
      <c r="O926" s="60">
        <v>25</v>
      </c>
      <c r="P926" s="60">
        <v>892</v>
      </c>
      <c r="Q926" s="48">
        <v>175</v>
      </c>
      <c r="R926" s="48">
        <v>859</v>
      </c>
      <c r="S926" s="48"/>
      <c r="T926" s="48"/>
      <c r="U926" s="49">
        <v>80</v>
      </c>
      <c r="V926" s="49">
        <v>8</v>
      </c>
      <c r="W926" s="50">
        <f t="shared" si="130"/>
        <v>88</v>
      </c>
      <c r="X926" s="51" t="str">
        <f>IF(A926="", "", IF(COUNTIFS(C$3:C925, C926, D$3:D925, D926, G$3:G925, G926) &gt; 0, "", "11:00"-AW926))</f>
        <v/>
      </c>
      <c r="Y926" s="52" t="str">
        <f t="shared" si="129"/>
        <v/>
      </c>
      <c r="Z926" s="53"/>
      <c r="AA926" s="54"/>
      <c r="AB926" s="53"/>
      <c r="AC926" s="54"/>
      <c r="AD926" s="53"/>
      <c r="AE926" s="54"/>
      <c r="AF926" s="53"/>
      <c r="AG926" s="54"/>
      <c r="AH926" s="55">
        <v>4.1666666666666699E-2</v>
      </c>
      <c r="AI926" s="53"/>
      <c r="AJ926" s="54"/>
      <c r="AK926" s="53"/>
      <c r="AL926" s="54"/>
      <c r="AM926" s="53"/>
      <c r="AN926" s="54"/>
      <c r="AO926" s="53"/>
      <c r="AP926" s="54"/>
      <c r="AQ926" s="53"/>
      <c r="AR926" s="54"/>
      <c r="AS926" s="53"/>
      <c r="AT926" s="54"/>
      <c r="AU926" s="53">
        <v>4.1666666666666699E-2</v>
      </c>
      <c r="AV926" s="54" t="s">
        <v>37</v>
      </c>
      <c r="AW926" s="57">
        <f t="shared" ref="AW926:AW989" si="137">SUM(Z926,AB926,AD926,AF926,AI926,AK926,AM926,AO926,AQ926,AS926,AU926)</f>
        <v>4.1666666666666699E-2</v>
      </c>
      <c r="AX926" s="58" t="s">
        <v>101</v>
      </c>
    </row>
    <row r="927" spans="1:50" ht="21" customHeight="1">
      <c r="A927" s="66" t="s">
        <v>830</v>
      </c>
      <c r="B927" s="39">
        <f t="shared" si="136"/>
        <v>923</v>
      </c>
      <c r="C927" s="40">
        <v>46043</v>
      </c>
      <c r="D927" s="40" t="s">
        <v>80</v>
      </c>
      <c r="E927" s="40" t="s">
        <v>81</v>
      </c>
      <c r="F927" s="41">
        <v>765.7</v>
      </c>
      <c r="G927" s="42" t="s">
        <v>75</v>
      </c>
      <c r="H927" s="43" t="str">
        <f>IFERROR(VLOOKUP($J927,'[9]FROM (3)'!$E$4:$F$230,2,FALSE),"")</f>
        <v>JTCS</v>
      </c>
      <c r="I927" s="44" t="str">
        <f t="shared" si="135"/>
        <v>RACK, PS</v>
      </c>
      <c r="J927" s="44" t="str">
        <f t="shared" si="131"/>
        <v>JGD10-001230-40-0</v>
      </c>
      <c r="K927" s="59" t="str">
        <f t="shared" si="133"/>
        <v>PD26010900</v>
      </c>
      <c r="L927" s="46" t="str" cm="1">
        <f t="array" ref="L927">IFERROR(_xlfn.IFS(
    LEN($A927)-LEN(SUBSTITUTE($A927,"|",""))=12, RIGHT(A927, LEN(A927)-FIND("~", SUBSTITUTE(A927,"|","~", LEN(A927)-LEN(SUBSTITUTE(A927,"|",""))))),
    LEN($A927)-LEN(SUBSTITUTE($A927,"|",""))=13, MID($A927, FIND("~", SUBSTITUTE($A927,"|","~", 11))+1, FIND("~", SUBSTITUTE($A927,"|","~", 12))-FIND("~", SUBSTITUTE($A927,"|","~", 11))-1),
    LEN($A927)-LEN(SUBSTITUTE($A927,"|",""))=14, MID($A927, FIND("~", SUBSTITUTE($A927,"|","~", 11))+1, FIND("~", SUBSTITUTE($A927,"|","~", 12))-FIND("~", SUBSTITUTE($A927,"|","~", 11))-1)
), "")</f>
        <v>E586236</v>
      </c>
      <c r="M927" s="47" t="str">
        <f t="shared" si="132"/>
        <v>SB010103/4/26</v>
      </c>
      <c r="N927" s="46" t="str">
        <f t="shared" si="134"/>
        <v/>
      </c>
      <c r="O927" s="60">
        <v>25</v>
      </c>
      <c r="P927" s="60">
        <v>892</v>
      </c>
      <c r="Q927" s="48">
        <v>175</v>
      </c>
      <c r="R927" s="48">
        <v>859</v>
      </c>
      <c r="S927" s="48"/>
      <c r="T927" s="48"/>
      <c r="U927" s="49"/>
      <c r="V927" s="49"/>
      <c r="W927" s="50">
        <f t="shared" si="130"/>
        <v>0</v>
      </c>
      <c r="X927" s="51" t="str">
        <f>IF(A927="", "", IF(COUNTIFS(C$3:C926, C927, D$3:D926, D927, G$3:G926, G927) &gt; 0, "", "11:00"-AW927))</f>
        <v/>
      </c>
      <c r="Y927" s="52" t="str">
        <f t="shared" ref="Y927:Y979" si="138">IF(X927="", "", IF(AND(A927&lt;&gt;"", AR927&lt;&gt;"NO OT"), "1:40", IF(AND(A927&lt;&gt;"", AR927="NO OT"), "1:0", "")))</f>
        <v/>
      </c>
      <c r="Z927" s="53"/>
      <c r="AA927" s="54"/>
      <c r="AB927" s="53"/>
      <c r="AC927" s="54"/>
      <c r="AD927" s="53"/>
      <c r="AE927" s="54"/>
      <c r="AF927" s="53"/>
      <c r="AG927" s="54"/>
      <c r="AH927" s="55">
        <v>4.1666666666666699E-2</v>
      </c>
      <c r="AI927" s="53"/>
      <c r="AJ927" s="54"/>
      <c r="AK927" s="53"/>
      <c r="AL927" s="54"/>
      <c r="AM927" s="53"/>
      <c r="AN927" s="54"/>
      <c r="AO927" s="53"/>
      <c r="AP927" s="54"/>
      <c r="AQ927" s="53"/>
      <c r="AR927" s="54"/>
      <c r="AS927" s="53"/>
      <c r="AT927" s="54"/>
      <c r="AU927" s="53">
        <v>4.1666666666666699E-2</v>
      </c>
      <c r="AV927" s="54" t="s">
        <v>37</v>
      </c>
      <c r="AW927" s="57">
        <f t="shared" si="137"/>
        <v>4.1666666666666699E-2</v>
      </c>
      <c r="AX927" s="58" t="s">
        <v>101</v>
      </c>
    </row>
    <row r="928" spans="1:50" ht="21" customHeight="1">
      <c r="A928" s="66" t="s">
        <v>831</v>
      </c>
      <c r="B928" s="39">
        <f t="shared" si="136"/>
        <v>924</v>
      </c>
      <c r="C928" s="40">
        <v>46043</v>
      </c>
      <c r="D928" s="40" t="s">
        <v>80</v>
      </c>
      <c r="E928" s="40" t="s">
        <v>81</v>
      </c>
      <c r="F928" s="41">
        <v>765.7</v>
      </c>
      <c r="G928" s="42" t="s">
        <v>75</v>
      </c>
      <c r="H928" s="43" t="str">
        <f>IFERROR(VLOOKUP($J928,'[9]FROM (3)'!$E$4:$F$230,2,FALSE),"")</f>
        <v>JTCS</v>
      </c>
      <c r="I928" s="44" t="str">
        <f t="shared" si="135"/>
        <v>RACK, PS</v>
      </c>
      <c r="J928" s="44" t="str">
        <f t="shared" si="131"/>
        <v>JGD10-001230-40-0</v>
      </c>
      <c r="K928" s="59" t="str">
        <f t="shared" si="133"/>
        <v>PD26010900</v>
      </c>
      <c r="L928" s="46" t="str" cm="1">
        <f t="array" ref="L928">IFERROR(_xlfn.IFS(
    LEN($A928)-LEN(SUBSTITUTE($A928,"|",""))=12, RIGHT(A928, LEN(A928)-FIND("~", SUBSTITUTE(A928,"|","~", LEN(A928)-LEN(SUBSTITUTE(A928,"|",""))))),
    LEN($A928)-LEN(SUBSTITUTE($A928,"|",""))=13, MID($A928, FIND("~", SUBSTITUTE($A928,"|","~", 11))+1, FIND("~", SUBSTITUTE($A928,"|","~", 12))-FIND("~", SUBSTITUTE($A928,"|","~", 11))-1),
    LEN($A928)-LEN(SUBSTITUTE($A928,"|",""))=14, MID($A928, FIND("~", SUBSTITUTE($A928,"|","~", 11))+1, FIND("~", SUBSTITUTE($A928,"|","~", 12))-FIND("~", SUBSTITUTE($A928,"|","~", 11))-1)
), "")</f>
        <v>E586236</v>
      </c>
      <c r="M928" s="47" t="str">
        <f t="shared" si="132"/>
        <v>SB010103/5/26</v>
      </c>
      <c r="N928" s="46" t="str">
        <f t="shared" si="134"/>
        <v/>
      </c>
      <c r="O928" s="60">
        <v>25</v>
      </c>
      <c r="P928" s="60">
        <v>892</v>
      </c>
      <c r="Q928" s="48">
        <v>41</v>
      </c>
      <c r="R928" s="48">
        <v>201</v>
      </c>
      <c r="S928" s="48"/>
      <c r="T928" s="48"/>
      <c r="U928" s="49"/>
      <c r="V928" s="49"/>
      <c r="W928" s="50">
        <f t="shared" si="130"/>
        <v>0</v>
      </c>
      <c r="X928" s="51" t="str">
        <f>IF(A928="", "", IF(COUNTIFS(C$3:C927, C928, D$3:D927, D928, G$3:G927, G928) &gt; 0, "", "11:00"-AW928))</f>
        <v/>
      </c>
      <c r="Y928" s="52" t="str">
        <f t="shared" si="138"/>
        <v/>
      </c>
      <c r="Z928" s="53"/>
      <c r="AA928" s="54"/>
      <c r="AB928" s="53"/>
      <c r="AC928" s="54"/>
      <c r="AD928" s="53"/>
      <c r="AE928" s="54"/>
      <c r="AF928" s="53"/>
      <c r="AG928" s="54"/>
      <c r="AH928" s="55">
        <v>4.1666666666666699E-2</v>
      </c>
      <c r="AI928" s="53"/>
      <c r="AJ928" s="54"/>
      <c r="AK928" s="53"/>
      <c r="AL928" s="54"/>
      <c r="AM928" s="53"/>
      <c r="AN928" s="54"/>
      <c r="AO928" s="53"/>
      <c r="AP928" s="54"/>
      <c r="AQ928" s="53"/>
      <c r="AR928" s="54"/>
      <c r="AS928" s="53"/>
      <c r="AT928" s="54"/>
      <c r="AU928" s="53">
        <v>4.1666666666666699E-2</v>
      </c>
      <c r="AV928" s="54" t="s">
        <v>37</v>
      </c>
      <c r="AW928" s="57">
        <f t="shared" si="137"/>
        <v>4.1666666666666699E-2</v>
      </c>
      <c r="AX928" s="58" t="s">
        <v>101</v>
      </c>
    </row>
    <row r="929" spans="1:50" ht="21" customHeight="1">
      <c r="A929" s="66" t="s">
        <v>806</v>
      </c>
      <c r="B929" s="39">
        <f t="shared" si="136"/>
        <v>925</v>
      </c>
      <c r="C929" s="40">
        <v>46043</v>
      </c>
      <c r="D929" s="40" t="s">
        <v>80</v>
      </c>
      <c r="E929" s="40" t="s">
        <v>81</v>
      </c>
      <c r="F929" s="41">
        <v>655.4</v>
      </c>
      <c r="G929" s="42" t="s">
        <v>85</v>
      </c>
      <c r="H929" s="43" t="str">
        <f>IFERROR(VLOOKUP($J929,'[9]FROM (3)'!$E$4:$F$230,2,FALSE),"")</f>
        <v>JAMY</v>
      </c>
      <c r="I929" s="44" t="str">
        <f t="shared" si="135"/>
        <v>RACK BAR</v>
      </c>
      <c r="J929" s="44" t="str">
        <f t="shared" si="131"/>
        <v>JGC10-M09008-51-0</v>
      </c>
      <c r="K929" s="59" t="str">
        <f t="shared" si="133"/>
        <v>PD26010872</v>
      </c>
      <c r="L929" s="46" t="str" cm="1">
        <f t="array" ref="L929">IFERROR(_xlfn.IFS(
    LEN($A929)-LEN(SUBSTITUTE($A929,"|",""))=12, RIGHT(A929, LEN(A929)-FIND("~", SUBSTITUTE(A929,"|","~", LEN(A929)-LEN(SUBSTITUTE(A929,"|",""))))),
    LEN($A929)-LEN(SUBSTITUTE($A929,"|",""))=13, MID($A929, FIND("~", SUBSTITUTE($A929,"|","~", 11))+1, FIND("~", SUBSTITUTE($A929,"|","~", 12))-FIND("~", SUBSTITUTE($A929,"|","~", 11))-1),
    LEN($A929)-LEN(SUBSTITUTE($A929,"|",""))=14, MID($A929, FIND("~", SUBSTITUTE($A929,"|","~", 11))+1, FIND("~", SUBSTITUTE($A929,"|","~", 12))-FIND("~", SUBSTITUTE($A929,"|","~", 11))-1)
), "")</f>
        <v>E586966</v>
      </c>
      <c r="M929" s="47" t="str">
        <f t="shared" si="132"/>
        <v>SB010113/6/26</v>
      </c>
      <c r="N929" s="46" t="str">
        <f t="shared" si="134"/>
        <v/>
      </c>
      <c r="O929" s="60" t="s">
        <v>35</v>
      </c>
      <c r="P929" s="60" t="s">
        <v>35</v>
      </c>
      <c r="Q929" s="48">
        <v>281</v>
      </c>
      <c r="R929" s="48">
        <v>767</v>
      </c>
      <c r="S929" s="48" t="s">
        <v>35</v>
      </c>
      <c r="T929" s="48"/>
      <c r="U929" s="49"/>
      <c r="V929" s="49"/>
      <c r="W929" s="50">
        <f t="shared" si="130"/>
        <v>0</v>
      </c>
      <c r="X929" s="51">
        <f>IF(A929="", "", IF(COUNTIFS(C$3:C928, C929, D$3:D928, D929, G$3:G928, G929) &gt; 0, "", "11:00"-AW929))</f>
        <v>0.41666666666666663</v>
      </c>
      <c r="Y929" s="52" t="str">
        <f t="shared" si="138"/>
        <v>1:40</v>
      </c>
      <c r="Z929" s="53"/>
      <c r="AA929" s="54"/>
      <c r="AB929" s="53"/>
      <c r="AC929" s="54"/>
      <c r="AD929" s="53"/>
      <c r="AE929" s="54"/>
      <c r="AF929" s="53"/>
      <c r="AG929" s="54"/>
      <c r="AH929" s="55">
        <v>4.1666666666666699E-2</v>
      </c>
      <c r="AI929" s="53"/>
      <c r="AJ929" s="54"/>
      <c r="AK929" s="53"/>
      <c r="AL929" s="54"/>
      <c r="AM929" s="53"/>
      <c r="AN929" s="54"/>
      <c r="AO929" s="53"/>
      <c r="AP929" s="54"/>
      <c r="AQ929" s="53"/>
      <c r="AR929" s="54"/>
      <c r="AS929" s="53"/>
      <c r="AT929" s="54"/>
      <c r="AU929" s="53">
        <v>4.1666666666666699E-2</v>
      </c>
      <c r="AV929" s="54" t="s">
        <v>37</v>
      </c>
      <c r="AW929" s="57">
        <f t="shared" si="137"/>
        <v>4.1666666666666699E-2</v>
      </c>
      <c r="AX929" s="58" t="s">
        <v>109</v>
      </c>
    </row>
    <row r="930" spans="1:50" ht="21" customHeight="1">
      <c r="A930" s="66" t="s">
        <v>832</v>
      </c>
      <c r="B930" s="39">
        <f t="shared" si="136"/>
        <v>926</v>
      </c>
      <c r="C930" s="40">
        <v>46043</v>
      </c>
      <c r="D930" s="40" t="s">
        <v>80</v>
      </c>
      <c r="E930" s="40" t="s">
        <v>81</v>
      </c>
      <c r="F930" s="41">
        <v>655.4</v>
      </c>
      <c r="G930" s="42" t="s">
        <v>85</v>
      </c>
      <c r="H930" s="43" t="str">
        <f>IFERROR(VLOOKUP($J930,'[9]FROM (3)'!$E$4:$F$230,2,FALSE),"")</f>
        <v>JAMY</v>
      </c>
      <c r="I930" s="44" t="str">
        <f t="shared" si="135"/>
        <v>RACK BAR</v>
      </c>
      <c r="J930" s="44" t="str">
        <f t="shared" si="131"/>
        <v>JGC10-M09008-51-0</v>
      </c>
      <c r="K930" s="59" t="str">
        <f t="shared" si="133"/>
        <v>PD26010872</v>
      </c>
      <c r="L930" s="46" t="str" cm="1">
        <f t="array" ref="L930">IFERROR(_xlfn.IFS(
    LEN($A930)-LEN(SUBSTITUTE($A930,"|",""))=12, RIGHT(A930, LEN(A930)-FIND("~", SUBSTITUTE(A930,"|","~", LEN(A930)-LEN(SUBSTITUTE(A930,"|",""))))),
    LEN($A930)-LEN(SUBSTITUTE($A930,"|",""))=13, MID($A930, FIND("~", SUBSTITUTE($A930,"|","~", 11))+1, FIND("~", SUBSTITUTE($A930,"|","~", 12))-FIND("~", SUBSTITUTE($A930,"|","~", 11))-1),
    LEN($A930)-LEN(SUBSTITUTE($A930,"|",""))=14, MID($A930, FIND("~", SUBSTITUTE($A930,"|","~", 11))+1, FIND("~", SUBSTITUTE($A930,"|","~", 12))-FIND("~", SUBSTITUTE($A930,"|","~", 11))-1)
), "")</f>
        <v>E586966</v>
      </c>
      <c r="M930" s="47" t="str">
        <f t="shared" si="132"/>
        <v>SB010113/5/26</v>
      </c>
      <c r="N930" s="46" t="str">
        <f t="shared" si="134"/>
        <v/>
      </c>
      <c r="O930" s="60">
        <v>60</v>
      </c>
      <c r="P930" s="60">
        <v>880</v>
      </c>
      <c r="Q930" s="48">
        <v>300</v>
      </c>
      <c r="R930" s="48">
        <v>819</v>
      </c>
      <c r="S930" s="48" t="s">
        <v>35</v>
      </c>
      <c r="T930" s="48"/>
      <c r="U930" s="49">
        <v>146</v>
      </c>
      <c r="V930" s="49">
        <v>9</v>
      </c>
      <c r="W930" s="50">
        <f t="shared" si="130"/>
        <v>155</v>
      </c>
      <c r="X930" s="51" t="str">
        <f>IF(A930="", "", IF(COUNTIFS(C$3:C929, C930, D$3:D929, D930, G$3:G929, G930) &gt; 0, "", "11:00"-AW930))</f>
        <v/>
      </c>
      <c r="Y930" s="52" t="str">
        <f t="shared" si="138"/>
        <v/>
      </c>
      <c r="Z930" s="53"/>
      <c r="AA930" s="54"/>
      <c r="AB930" s="53"/>
      <c r="AC930" s="54"/>
      <c r="AD930" s="53"/>
      <c r="AE930" s="54"/>
      <c r="AF930" s="53"/>
      <c r="AG930" s="54"/>
      <c r="AH930" s="55">
        <v>4.1666666666666699E-2</v>
      </c>
      <c r="AI930" s="53"/>
      <c r="AJ930" s="54"/>
      <c r="AK930" s="53"/>
      <c r="AL930" s="54"/>
      <c r="AM930" s="53"/>
      <c r="AN930" s="54"/>
      <c r="AO930" s="53"/>
      <c r="AP930" s="54"/>
      <c r="AQ930" s="53"/>
      <c r="AR930" s="54"/>
      <c r="AS930" s="53"/>
      <c r="AT930" s="54"/>
      <c r="AU930" s="53">
        <v>4.1666666666666699E-2</v>
      </c>
      <c r="AV930" s="54" t="s">
        <v>37</v>
      </c>
      <c r="AW930" s="57">
        <f t="shared" si="137"/>
        <v>4.1666666666666699E-2</v>
      </c>
      <c r="AX930" s="58" t="s">
        <v>109</v>
      </c>
    </row>
    <row r="931" spans="1:50" ht="21" customHeight="1">
      <c r="A931" s="66" t="s">
        <v>833</v>
      </c>
      <c r="B931" s="39">
        <f t="shared" si="136"/>
        <v>927</v>
      </c>
      <c r="C931" s="40">
        <v>46043</v>
      </c>
      <c r="D931" s="40" t="s">
        <v>80</v>
      </c>
      <c r="E931" s="40" t="s">
        <v>81</v>
      </c>
      <c r="F931" s="41">
        <v>655.4</v>
      </c>
      <c r="G931" s="42" t="s">
        <v>85</v>
      </c>
      <c r="H931" s="43" t="str">
        <f>IFERROR(VLOOKUP($J931,'[9]FROM (3)'!$E$4:$F$230,2,FALSE),"")</f>
        <v>JAMY</v>
      </c>
      <c r="I931" s="44" t="str">
        <f t="shared" si="135"/>
        <v>RACK BAR</v>
      </c>
      <c r="J931" s="44" t="str">
        <f t="shared" si="131"/>
        <v>JGC10-M09008-51-0</v>
      </c>
      <c r="K931" s="59" t="str">
        <f t="shared" si="133"/>
        <v>PD26010873</v>
      </c>
      <c r="L931" s="46" t="str" cm="1">
        <f t="array" ref="L931">IFERROR(_xlfn.IFS(
    LEN($A931)-LEN(SUBSTITUTE($A931,"|",""))=12, RIGHT(A931, LEN(A931)-FIND("~", SUBSTITUTE(A931,"|","~", LEN(A931)-LEN(SUBSTITUTE(A931,"|",""))))),
    LEN($A931)-LEN(SUBSTITUTE($A931,"|",""))=13, MID($A931, FIND("~", SUBSTITUTE($A931,"|","~", 11))+1, FIND("~", SUBSTITUTE($A931,"|","~", 12))-FIND("~", SUBSTITUTE($A931,"|","~", 11))-1),
    LEN($A931)-LEN(SUBSTITUTE($A931,"|",""))=14, MID($A931, FIND("~", SUBSTITUTE($A931,"|","~", 11))+1, FIND("~", SUBSTITUTE($A931,"|","~", 12))-FIND("~", SUBSTITUTE($A931,"|","~", 11))-1)
), "")</f>
        <v>E586966</v>
      </c>
      <c r="M931" s="47" t="str">
        <f t="shared" si="132"/>
        <v>SB010114/3/26</v>
      </c>
      <c r="N931" s="46" t="str">
        <f t="shared" si="134"/>
        <v/>
      </c>
      <c r="O931" s="60">
        <v>60</v>
      </c>
      <c r="P931" s="60">
        <v>874</v>
      </c>
      <c r="Q931" s="48">
        <v>300</v>
      </c>
      <c r="R931" s="48">
        <v>819</v>
      </c>
      <c r="S931" s="48" t="s">
        <v>35</v>
      </c>
      <c r="T931" s="48"/>
      <c r="U931" s="49"/>
      <c r="V931" s="49"/>
      <c r="W931" s="50">
        <f t="shared" si="130"/>
        <v>0</v>
      </c>
      <c r="X931" s="51" t="str">
        <f>IF(A931="", "", IF(COUNTIFS(C$3:C930, C931, D$3:D930, D931, G$3:G930, G931) &gt; 0, "", "11:00"-AW931))</f>
        <v/>
      </c>
      <c r="Y931" s="52" t="str">
        <f t="shared" si="138"/>
        <v/>
      </c>
      <c r="Z931" s="53"/>
      <c r="AA931" s="54"/>
      <c r="AB931" s="53"/>
      <c r="AC931" s="54"/>
      <c r="AD931" s="53"/>
      <c r="AE931" s="54"/>
      <c r="AF931" s="53"/>
      <c r="AG931" s="54"/>
      <c r="AH931" s="55">
        <v>4.1666666666666699E-2</v>
      </c>
      <c r="AI931" s="53"/>
      <c r="AJ931" s="54"/>
      <c r="AK931" s="53"/>
      <c r="AL931" s="54"/>
      <c r="AM931" s="53"/>
      <c r="AN931" s="54"/>
      <c r="AO931" s="53"/>
      <c r="AP931" s="54"/>
      <c r="AQ931" s="53"/>
      <c r="AR931" s="54"/>
      <c r="AS931" s="53"/>
      <c r="AT931" s="54"/>
      <c r="AU931" s="53">
        <v>4.1666666666666699E-2</v>
      </c>
      <c r="AV931" s="54" t="s">
        <v>37</v>
      </c>
      <c r="AW931" s="57">
        <f t="shared" si="137"/>
        <v>4.1666666666666699E-2</v>
      </c>
      <c r="AX931" s="58" t="s">
        <v>109</v>
      </c>
    </row>
    <row r="932" spans="1:50" ht="21" customHeight="1">
      <c r="A932" s="66" t="s">
        <v>834</v>
      </c>
      <c r="B932" s="39">
        <f t="shared" si="136"/>
        <v>928</v>
      </c>
      <c r="C932" s="40">
        <v>46043</v>
      </c>
      <c r="D932" s="40" t="s">
        <v>80</v>
      </c>
      <c r="E932" s="40" t="s">
        <v>81</v>
      </c>
      <c r="F932" s="41">
        <v>655.4</v>
      </c>
      <c r="G932" s="42" t="s">
        <v>85</v>
      </c>
      <c r="H932" s="43" t="str">
        <f>IFERROR(VLOOKUP($J932,'[9]FROM (3)'!$E$4:$F$230,2,FALSE),"")</f>
        <v>JAMY</v>
      </c>
      <c r="I932" s="44" t="str">
        <f t="shared" si="135"/>
        <v>RACK BAR</v>
      </c>
      <c r="J932" s="44" t="str">
        <f t="shared" si="131"/>
        <v>JGC10-M09008-51-0</v>
      </c>
      <c r="K932" s="59" t="str">
        <f t="shared" si="133"/>
        <v>PD26010873</v>
      </c>
      <c r="L932" s="46" t="str" cm="1">
        <f t="array" ref="L932">IFERROR(_xlfn.IFS(
    LEN($A932)-LEN(SUBSTITUTE($A932,"|",""))=12, RIGHT(A932, LEN(A932)-FIND("~", SUBSTITUTE(A932,"|","~", LEN(A932)-LEN(SUBSTITUTE(A932,"|",""))))),
    LEN($A932)-LEN(SUBSTITUTE($A932,"|",""))=13, MID($A932, FIND("~", SUBSTITUTE($A932,"|","~", 11))+1, FIND("~", SUBSTITUTE($A932,"|","~", 12))-FIND("~", SUBSTITUTE($A932,"|","~", 11))-1),
    LEN($A932)-LEN(SUBSTITUTE($A932,"|",""))=14, MID($A932, FIND("~", SUBSTITUTE($A932,"|","~", 11))+1, FIND("~", SUBSTITUTE($A932,"|","~", 12))-FIND("~", SUBSTITUTE($A932,"|","~", 11))-1)
), "")</f>
        <v>E586966</v>
      </c>
      <c r="M932" s="47" t="str">
        <f t="shared" si="132"/>
        <v>SB010114/1/26</v>
      </c>
      <c r="N932" s="46" t="str">
        <f t="shared" si="134"/>
        <v/>
      </c>
      <c r="O932" s="60">
        <v>60</v>
      </c>
      <c r="P932" s="60">
        <v>874</v>
      </c>
      <c r="Q932" s="48">
        <v>300</v>
      </c>
      <c r="R932" s="48">
        <v>819</v>
      </c>
      <c r="S932" s="48" t="s">
        <v>35</v>
      </c>
      <c r="T932" s="48"/>
      <c r="U932" s="49"/>
      <c r="V932" s="49"/>
      <c r="W932" s="50">
        <f t="shared" si="130"/>
        <v>0</v>
      </c>
      <c r="X932" s="51" t="str">
        <f>IF(A932="", "", IF(COUNTIFS(C$3:C931, C932, D$3:D931, D932, G$3:G931, G932) &gt; 0, "", "11:00"-AW932))</f>
        <v/>
      </c>
      <c r="Y932" s="52" t="str">
        <f t="shared" si="138"/>
        <v/>
      </c>
      <c r="Z932" s="53"/>
      <c r="AA932" s="54"/>
      <c r="AB932" s="53"/>
      <c r="AC932" s="54"/>
      <c r="AD932" s="53"/>
      <c r="AE932" s="54"/>
      <c r="AF932" s="53"/>
      <c r="AG932" s="54"/>
      <c r="AH932" s="55">
        <v>4.1666666666666699E-2</v>
      </c>
      <c r="AI932" s="53"/>
      <c r="AJ932" s="54"/>
      <c r="AK932" s="53"/>
      <c r="AL932" s="54"/>
      <c r="AM932" s="53"/>
      <c r="AN932" s="54"/>
      <c r="AO932" s="53"/>
      <c r="AP932" s="54"/>
      <c r="AQ932" s="53"/>
      <c r="AR932" s="54"/>
      <c r="AS932" s="53"/>
      <c r="AT932" s="54"/>
      <c r="AU932" s="53">
        <v>4.1666666666666699E-2</v>
      </c>
      <c r="AV932" s="54" t="s">
        <v>37</v>
      </c>
      <c r="AW932" s="57">
        <f t="shared" si="137"/>
        <v>4.1666666666666699E-2</v>
      </c>
      <c r="AX932" s="58" t="s">
        <v>109</v>
      </c>
    </row>
    <row r="933" spans="1:50" ht="21" customHeight="1">
      <c r="A933" s="66" t="s">
        <v>798</v>
      </c>
      <c r="B933" s="39">
        <f t="shared" si="136"/>
        <v>929</v>
      </c>
      <c r="C933" s="40">
        <v>46043</v>
      </c>
      <c r="D933" s="40" t="s">
        <v>80</v>
      </c>
      <c r="E933" s="40" t="s">
        <v>81</v>
      </c>
      <c r="F933" s="41">
        <v>278</v>
      </c>
      <c r="G933" s="42" t="s">
        <v>108</v>
      </c>
      <c r="H933" s="43" t="str">
        <f>IFERROR(VLOOKUP($J933,'[9]FROM (3)'!$E$4:$F$230,2,FALSE),"")</f>
        <v>SIAM NSK</v>
      </c>
      <c r="I933" s="44" t="str">
        <f t="shared" si="135"/>
        <v>SHAFT SPLINE</v>
      </c>
      <c r="J933" s="44" t="str">
        <f t="shared" si="131"/>
        <v>2550T0749P</v>
      </c>
      <c r="K933" s="59" t="str">
        <f t="shared" si="133"/>
        <v>PD26010870</v>
      </c>
      <c r="L933" s="46" t="str" cm="1">
        <f t="array" ref="L933">IFERROR(_xlfn.IFS(
    LEN($A933)-LEN(SUBSTITUTE($A933,"|",""))=12, RIGHT(A933, LEN(A933)-FIND("~", SUBSTITUTE(A933,"|","~", LEN(A933)-LEN(SUBSTITUTE(A933,"|",""))))),
    LEN($A933)-LEN(SUBSTITUTE($A933,"|",""))=13, MID($A933, FIND("~", SUBSTITUTE($A933,"|","~", 11))+1, FIND("~", SUBSTITUTE($A933,"|","~", 12))-FIND("~", SUBSTITUTE($A933,"|","~", 11))-1),
    LEN($A933)-LEN(SUBSTITUTE($A933,"|",""))=14, MID($A933, FIND("~", SUBSTITUTE($A933,"|","~", 11))+1, FIND("~", SUBSTITUTE($A933,"|","~", 12))-FIND("~", SUBSTITUTE($A933,"|","~", 11))-1)
), "")</f>
        <v>SF93402</v>
      </c>
      <c r="M933" s="47" t="str">
        <f t="shared" si="132"/>
        <v>SB010085/3/26</v>
      </c>
      <c r="N933" s="46" t="str">
        <f t="shared" si="134"/>
        <v/>
      </c>
      <c r="O933" s="60"/>
      <c r="P933" s="60"/>
      <c r="Q933" s="48">
        <v>1479</v>
      </c>
      <c r="R933" s="48">
        <v>845</v>
      </c>
      <c r="S933" s="48"/>
      <c r="T933" s="48"/>
      <c r="U933" s="49">
        <v>127</v>
      </c>
      <c r="V933" s="49">
        <v>24</v>
      </c>
      <c r="W933" s="50">
        <f t="shared" si="130"/>
        <v>151</v>
      </c>
      <c r="X933" s="51">
        <f>IF(A933="", "", IF(COUNTIFS(C$3:C932, C933, D$3:D932, D933, G$3:G932, G933) &gt; 0, "", "11:00"-AW933))</f>
        <v>0.41666666666666663</v>
      </c>
      <c r="Y933" s="52" t="str">
        <f t="shared" si="138"/>
        <v>1:40</v>
      </c>
      <c r="Z933" s="53"/>
      <c r="AA933" s="54"/>
      <c r="AB933" s="53"/>
      <c r="AC933" s="54"/>
      <c r="AD933" s="53"/>
      <c r="AE933" s="54"/>
      <c r="AF933" s="53"/>
      <c r="AG933" s="54"/>
      <c r="AH933" s="55">
        <v>4.1666666666666699E-2</v>
      </c>
      <c r="AI933" s="53"/>
      <c r="AJ933" s="54"/>
      <c r="AK933" s="53"/>
      <c r="AL933" s="54"/>
      <c r="AM933" s="53"/>
      <c r="AN933" s="54"/>
      <c r="AO933" s="53"/>
      <c r="AP933" s="54"/>
      <c r="AQ933" s="53"/>
      <c r="AR933" s="54"/>
      <c r="AS933" s="53"/>
      <c r="AT933" s="54"/>
      <c r="AU933" s="53">
        <v>4.1666666666666699E-2</v>
      </c>
      <c r="AV933" s="54" t="s">
        <v>37</v>
      </c>
      <c r="AW933" s="57">
        <f t="shared" si="137"/>
        <v>4.1666666666666699E-2</v>
      </c>
      <c r="AX933" s="58" t="s">
        <v>770</v>
      </c>
    </row>
    <row r="934" spans="1:50" ht="21" customHeight="1">
      <c r="A934" s="66" t="s">
        <v>835</v>
      </c>
      <c r="B934" s="39">
        <f t="shared" si="136"/>
        <v>930</v>
      </c>
      <c r="C934" s="40">
        <v>46043</v>
      </c>
      <c r="D934" s="40" t="s">
        <v>80</v>
      </c>
      <c r="E934" s="40" t="s">
        <v>81</v>
      </c>
      <c r="F934" s="41">
        <v>278</v>
      </c>
      <c r="G934" s="42" t="s">
        <v>108</v>
      </c>
      <c r="H934" s="43" t="str">
        <f>IFERROR(VLOOKUP($J934,'[9]FROM (3)'!$E$4:$F$230,2,FALSE),"")</f>
        <v>SIAM NSK</v>
      </c>
      <c r="I934" s="44" t="str">
        <f t="shared" si="135"/>
        <v>SHAFT SPLINE</v>
      </c>
      <c r="J934" s="44" t="str">
        <f t="shared" si="131"/>
        <v>2550T0749P</v>
      </c>
      <c r="K934" s="59" t="str">
        <f t="shared" si="133"/>
        <v>PD26010869</v>
      </c>
      <c r="L934" s="46" t="str" cm="1">
        <f t="array" ref="L934">IFERROR(_xlfn.IFS(
    LEN($A934)-LEN(SUBSTITUTE($A934,"|",""))=12, RIGHT(A934, LEN(A934)-FIND("~", SUBSTITUTE(A934,"|","~", LEN(A934)-LEN(SUBSTITUTE(A934,"|",""))))),
    LEN($A934)-LEN(SUBSTITUTE($A934,"|",""))=13, MID($A934, FIND("~", SUBSTITUTE($A934,"|","~", 11))+1, FIND("~", SUBSTITUTE($A934,"|","~", 12))-FIND("~", SUBSTITUTE($A934,"|","~", 11))-1),
    LEN($A934)-LEN(SUBSTITUTE($A934,"|",""))=14, MID($A934, FIND("~", SUBSTITUTE($A934,"|","~", 11))+1, FIND("~", SUBSTITUTE($A934,"|","~", 12))-FIND("~", SUBSTITUTE($A934,"|","~", 11))-1)
), "")</f>
        <v>SF93402</v>
      </c>
      <c r="M934" s="47" t="str">
        <f t="shared" si="132"/>
        <v>SB010085/2/26</v>
      </c>
      <c r="N934" s="46" t="str">
        <f t="shared" si="134"/>
        <v/>
      </c>
      <c r="O934" s="60">
        <v>100</v>
      </c>
      <c r="P934" s="60">
        <v>963</v>
      </c>
      <c r="Q934" s="48">
        <v>1600</v>
      </c>
      <c r="R934" s="48">
        <v>914</v>
      </c>
      <c r="S934" s="48"/>
      <c r="T934" s="48"/>
      <c r="U934" s="49"/>
      <c r="V934" s="49"/>
      <c r="W934" s="50">
        <f t="shared" si="130"/>
        <v>0</v>
      </c>
      <c r="X934" s="51" t="str">
        <f>IF(A934="", "", IF(COUNTIFS(C$3:C933, C934, D$3:D933, D934, G$3:G933, G934) &gt; 0, "", "11:00"-AW934))</f>
        <v/>
      </c>
      <c r="Y934" s="52" t="str">
        <f t="shared" si="138"/>
        <v/>
      </c>
      <c r="Z934" s="53"/>
      <c r="AA934" s="54"/>
      <c r="AB934" s="53"/>
      <c r="AC934" s="54"/>
      <c r="AD934" s="53"/>
      <c r="AE934" s="54"/>
      <c r="AF934" s="53"/>
      <c r="AG934" s="54"/>
      <c r="AH934" s="55">
        <v>4.1666666666666699E-2</v>
      </c>
      <c r="AI934" s="53"/>
      <c r="AJ934" s="54"/>
      <c r="AK934" s="53"/>
      <c r="AL934" s="54"/>
      <c r="AM934" s="53"/>
      <c r="AN934" s="54"/>
      <c r="AO934" s="53"/>
      <c r="AP934" s="54"/>
      <c r="AQ934" s="53"/>
      <c r="AR934" s="54"/>
      <c r="AS934" s="53"/>
      <c r="AT934" s="54"/>
      <c r="AU934" s="53">
        <v>4.1666666666666699E-2</v>
      </c>
      <c r="AV934" s="54" t="s">
        <v>37</v>
      </c>
      <c r="AW934" s="57">
        <f t="shared" si="137"/>
        <v>4.1666666666666699E-2</v>
      </c>
      <c r="AX934" s="58" t="s">
        <v>770</v>
      </c>
    </row>
    <row r="935" spans="1:50" ht="21" customHeight="1">
      <c r="A935" s="66" t="s">
        <v>836</v>
      </c>
      <c r="B935" s="39">
        <f t="shared" si="136"/>
        <v>931</v>
      </c>
      <c r="C935" s="40">
        <v>46043</v>
      </c>
      <c r="D935" s="40" t="s">
        <v>80</v>
      </c>
      <c r="E935" s="40" t="s">
        <v>81</v>
      </c>
      <c r="F935" s="41">
        <v>278</v>
      </c>
      <c r="G935" s="42" t="s">
        <v>108</v>
      </c>
      <c r="H935" s="43" t="str">
        <f>IFERROR(VLOOKUP($J935,'[9]FROM (3)'!$E$4:$F$230,2,FALSE),"")</f>
        <v>SIAM NSK</v>
      </c>
      <c r="I935" s="44" t="str">
        <f t="shared" si="135"/>
        <v>SHAFT SPLINE</v>
      </c>
      <c r="J935" s="44" t="str">
        <f t="shared" si="131"/>
        <v>2550T0749P</v>
      </c>
      <c r="K935" s="59" t="str">
        <f t="shared" si="133"/>
        <v>PD26010869</v>
      </c>
      <c r="L935" s="46" t="str" cm="1">
        <f t="array" ref="L935">IFERROR(_xlfn.IFS(
    LEN($A935)-LEN(SUBSTITUTE($A935,"|",""))=12, RIGHT(A935, LEN(A935)-FIND("~", SUBSTITUTE(A935,"|","~", LEN(A935)-LEN(SUBSTITUTE(A935,"|",""))))),
    LEN($A935)-LEN(SUBSTITUTE($A935,"|",""))=13, MID($A935, FIND("~", SUBSTITUTE($A935,"|","~", 11))+1, FIND("~", SUBSTITUTE($A935,"|","~", 12))-FIND("~", SUBSTITUTE($A935,"|","~", 11))-1),
    LEN($A935)-LEN(SUBSTITUTE($A935,"|",""))=14, MID($A935, FIND("~", SUBSTITUTE($A935,"|","~", 11))+1, FIND("~", SUBSTITUTE($A935,"|","~", 12))-FIND("~", SUBSTITUTE($A935,"|","~", 11))-1)
), "")</f>
        <v>SF93402</v>
      </c>
      <c r="M935" s="47" t="str">
        <f t="shared" si="132"/>
        <v>SB010085/1/26</v>
      </c>
      <c r="N935" s="46" t="str">
        <f t="shared" si="134"/>
        <v/>
      </c>
      <c r="O935" s="60">
        <v>100</v>
      </c>
      <c r="P935" s="60">
        <v>963</v>
      </c>
      <c r="Q935" s="48">
        <v>401</v>
      </c>
      <c r="R935" s="48">
        <v>229</v>
      </c>
      <c r="S935" s="48"/>
      <c r="T935" s="48"/>
      <c r="U935" s="49"/>
      <c r="V935" s="49"/>
      <c r="W935" s="50">
        <f t="shared" si="130"/>
        <v>0</v>
      </c>
      <c r="X935" s="51" t="str">
        <f>IF(A935="", "", IF(COUNTIFS(C$3:C934, C935, D$3:D934, D935, G$3:G934, G935) &gt; 0, "", "11:00"-AW935))</f>
        <v/>
      </c>
      <c r="Y935" s="52" t="str">
        <f t="shared" si="138"/>
        <v/>
      </c>
      <c r="Z935" s="53"/>
      <c r="AA935" s="54"/>
      <c r="AB935" s="53"/>
      <c r="AC935" s="54"/>
      <c r="AD935" s="53"/>
      <c r="AE935" s="54"/>
      <c r="AF935" s="53"/>
      <c r="AG935" s="54"/>
      <c r="AH935" s="55">
        <v>4.1666666666666699E-2</v>
      </c>
      <c r="AI935" s="53"/>
      <c r="AJ935" s="54"/>
      <c r="AK935" s="53"/>
      <c r="AL935" s="54"/>
      <c r="AM935" s="53"/>
      <c r="AN935" s="54"/>
      <c r="AO935" s="53"/>
      <c r="AP935" s="54"/>
      <c r="AQ935" s="53"/>
      <c r="AR935" s="54"/>
      <c r="AS935" s="53"/>
      <c r="AT935" s="54"/>
      <c r="AU935" s="53">
        <v>4.1666666666666699E-2</v>
      </c>
      <c r="AV935" s="54" t="s">
        <v>37</v>
      </c>
      <c r="AW935" s="57">
        <f t="shared" si="137"/>
        <v>4.1666666666666699E-2</v>
      </c>
      <c r="AX935" s="58" t="s">
        <v>770</v>
      </c>
    </row>
    <row r="936" spans="1:50" ht="21" customHeight="1">
      <c r="A936" s="66" t="s">
        <v>800</v>
      </c>
      <c r="B936" s="39">
        <f t="shared" si="136"/>
        <v>932</v>
      </c>
      <c r="C936" s="40">
        <v>46043</v>
      </c>
      <c r="D936" s="40" t="s">
        <v>80</v>
      </c>
      <c r="E936" s="40" t="s">
        <v>81</v>
      </c>
      <c r="F936" s="41">
        <v>375</v>
      </c>
      <c r="G936" s="42" t="s">
        <v>172</v>
      </c>
      <c r="H936" s="43" t="str">
        <f>IFERROR(VLOOKUP($J936,'[9]FROM (3)'!$E$4:$F$230,2,FALSE),"")</f>
        <v>ATAC</v>
      </c>
      <c r="I936" s="44" t="str">
        <f t="shared" si="135"/>
        <v>SEAT,WATER PUMP PULLEY</v>
      </c>
      <c r="J936" s="44" t="str">
        <f t="shared" si="131"/>
        <v>16171-05030</v>
      </c>
      <c r="K936" s="59" t="str">
        <f t="shared" si="133"/>
        <v>PD26010856</v>
      </c>
      <c r="L936" s="46" t="str" cm="1">
        <f t="array" ref="L936">IFERROR(_xlfn.IFS(
    LEN($A936)-LEN(SUBSTITUTE($A936,"|",""))=12, RIGHT(A936, LEN(A936)-FIND("~", SUBSTITUTE(A936,"|","~", LEN(A936)-LEN(SUBSTITUTE(A936,"|",""))))),
    LEN($A936)-LEN(SUBSTITUTE($A936,"|",""))=13, MID($A936, FIND("~", SUBSTITUTE($A936,"|","~", 11))+1, FIND("~", SUBSTITUTE($A936,"|","~", 12))-FIND("~", SUBSTITUTE($A936,"|","~", 11))-1),
    LEN($A936)-LEN(SUBSTITUTE($A936,"|",""))=14, MID($A936, FIND("~", SUBSTITUTE($A936,"|","~", 11))+1, FIND("~", SUBSTITUTE($A936,"|","~", 12))-FIND("~", SUBSTITUTE($A936,"|","~", 11))-1)
), "")</f>
        <v>665898</v>
      </c>
      <c r="M936" s="47" t="str">
        <f t="shared" si="132"/>
        <v>SB010102/3/26</v>
      </c>
      <c r="N936" s="46" t="str">
        <f t="shared" si="134"/>
        <v/>
      </c>
      <c r="O936" s="60"/>
      <c r="P936" s="60"/>
      <c r="Q936" s="48">
        <v>2297</v>
      </c>
      <c r="R936" s="48">
        <v>861</v>
      </c>
      <c r="S936" s="48"/>
      <c r="T936" s="48"/>
      <c r="U936" s="49"/>
      <c r="V936" s="49"/>
      <c r="W936" s="50">
        <f t="shared" si="130"/>
        <v>0</v>
      </c>
      <c r="X936" s="51">
        <f>IF(A936="", "", IF(COUNTIFS(C$3:C935, C936, D$3:D935, D936, G$3:G935, G936) &gt; 0, "", "11:00"-AW936))</f>
        <v>0.41666666666666663</v>
      </c>
      <c r="Y936" s="52" t="str">
        <f t="shared" si="138"/>
        <v>1:40</v>
      </c>
      <c r="Z936" s="53"/>
      <c r="AA936" s="54"/>
      <c r="AB936" s="53"/>
      <c r="AC936" s="54"/>
      <c r="AD936" s="53"/>
      <c r="AE936" s="54"/>
      <c r="AF936" s="53"/>
      <c r="AG936" s="54"/>
      <c r="AH936" s="55">
        <v>4.1666666666666699E-2</v>
      </c>
      <c r="AI936" s="53"/>
      <c r="AJ936" s="54"/>
      <c r="AK936" s="53"/>
      <c r="AL936" s="54"/>
      <c r="AM936" s="53"/>
      <c r="AN936" s="54"/>
      <c r="AO936" s="53"/>
      <c r="AP936" s="54"/>
      <c r="AQ936" s="53"/>
      <c r="AR936" s="54"/>
      <c r="AS936" s="53"/>
      <c r="AT936" s="54"/>
      <c r="AU936" s="53">
        <v>4.1666666666666699E-2</v>
      </c>
      <c r="AV936" s="54" t="s">
        <v>37</v>
      </c>
      <c r="AW936" s="57">
        <f t="shared" si="137"/>
        <v>4.1666666666666699E-2</v>
      </c>
      <c r="AX936" s="58" t="s">
        <v>770</v>
      </c>
    </row>
    <row r="937" spans="1:50" ht="21" customHeight="1">
      <c r="A937" s="66" t="s">
        <v>837</v>
      </c>
      <c r="B937" s="39">
        <f t="shared" si="136"/>
        <v>933</v>
      </c>
      <c r="C937" s="40">
        <v>46043</v>
      </c>
      <c r="D937" s="40" t="s">
        <v>80</v>
      </c>
      <c r="E937" s="40" t="s">
        <v>81</v>
      </c>
      <c r="F937" s="41">
        <v>375</v>
      </c>
      <c r="G937" s="42" t="s">
        <v>172</v>
      </c>
      <c r="H937" s="43" t="str">
        <f>IFERROR(VLOOKUP($J937,'[9]FROM (3)'!$E$4:$F$230,2,FALSE),"")</f>
        <v>ATAC</v>
      </c>
      <c r="I937" s="44" t="str">
        <f t="shared" si="135"/>
        <v>SEAT,WATER PUMP PULLEY</v>
      </c>
      <c r="J937" s="44" t="str">
        <f t="shared" si="131"/>
        <v>16171-05030</v>
      </c>
      <c r="K937" s="59" t="str">
        <f t="shared" si="133"/>
        <v>PD26010856</v>
      </c>
      <c r="L937" s="46" t="str" cm="1">
        <f t="array" ref="L937">IFERROR(_xlfn.IFS(
    LEN($A937)-LEN(SUBSTITUTE($A937,"|",""))=12, RIGHT(A937, LEN(A937)-FIND("~", SUBSTITUTE(A937,"|","~", LEN(A937)-LEN(SUBSTITUTE(A937,"|",""))))),
    LEN($A937)-LEN(SUBSTITUTE($A937,"|",""))=13, MID($A937, FIND("~", SUBSTITUTE($A937,"|","~", 11))+1, FIND("~", SUBSTITUTE($A937,"|","~", 12))-FIND("~", SUBSTITUTE($A937,"|","~", 11))-1),
    LEN($A937)-LEN(SUBSTITUTE($A937,"|",""))=14, MID($A937, FIND("~", SUBSTITUTE($A937,"|","~", 11))+1, FIND("~", SUBSTITUTE($A937,"|","~", 12))-FIND("~", SUBSTITUTE($A937,"|","~", 11))-1)
), "")</f>
        <v>665898</v>
      </c>
      <c r="M937" s="47" t="str">
        <f t="shared" si="132"/>
        <v>SB010102/1/26</v>
      </c>
      <c r="N937" s="46" t="str">
        <f t="shared" si="134"/>
        <v/>
      </c>
      <c r="O937" s="60">
        <v>14</v>
      </c>
      <c r="P937" s="60">
        <v>990</v>
      </c>
      <c r="Q937" s="48">
        <v>521</v>
      </c>
      <c r="R937" s="48">
        <v>195</v>
      </c>
      <c r="S937" s="48"/>
      <c r="T937" s="48"/>
      <c r="U937" s="49"/>
      <c r="V937" s="49"/>
      <c r="W937" s="50">
        <f t="shared" si="130"/>
        <v>0</v>
      </c>
      <c r="X937" s="51" t="str">
        <f>IF(A937="", "", IF(COUNTIFS(C$3:C936, C937, D$3:D936, D937, G$3:G936, G937) &gt; 0, "", "11:00"-AW937))</f>
        <v/>
      </c>
      <c r="Y937" s="52" t="str">
        <f t="shared" si="138"/>
        <v/>
      </c>
      <c r="Z937" s="53"/>
      <c r="AA937" s="54"/>
      <c r="AB937" s="53"/>
      <c r="AC937" s="54"/>
      <c r="AD937" s="53"/>
      <c r="AE937" s="54"/>
      <c r="AF937" s="53"/>
      <c r="AG937" s="54"/>
      <c r="AH937" s="55">
        <v>4.1666666666666699E-2</v>
      </c>
      <c r="AI937" s="53"/>
      <c r="AJ937" s="54"/>
      <c r="AK937" s="53"/>
      <c r="AL937" s="54"/>
      <c r="AM937" s="53"/>
      <c r="AN937" s="54"/>
      <c r="AO937" s="53"/>
      <c r="AP937" s="54"/>
      <c r="AQ937" s="53"/>
      <c r="AR937" s="54"/>
      <c r="AS937" s="53"/>
      <c r="AT937" s="54"/>
      <c r="AU937" s="53">
        <v>4.1666666666666699E-2</v>
      </c>
      <c r="AV937" s="54" t="s">
        <v>37</v>
      </c>
      <c r="AW937" s="57">
        <f t="shared" si="137"/>
        <v>4.1666666666666699E-2</v>
      </c>
      <c r="AX937" s="58" t="s">
        <v>770</v>
      </c>
    </row>
    <row r="938" spans="1:50" ht="21" customHeight="1">
      <c r="A938" s="66" t="s">
        <v>838</v>
      </c>
      <c r="B938" s="39">
        <f t="shared" si="136"/>
        <v>934</v>
      </c>
      <c r="C938" s="40">
        <v>46043</v>
      </c>
      <c r="D938" s="40" t="s">
        <v>80</v>
      </c>
      <c r="E938" s="40" t="s">
        <v>81</v>
      </c>
      <c r="F938" s="41">
        <v>732.8</v>
      </c>
      <c r="G938" s="42" t="s">
        <v>192</v>
      </c>
      <c r="H938" s="43" t="str">
        <f>IFERROR(VLOOKUP($J938,'[9]FROM (3)'!$E$4:$F$230,2,FALSE),"")</f>
        <v>JATH</v>
      </c>
      <c r="I938" s="44" t="str">
        <f t="shared" si="135"/>
        <v>JGF02-002060-31-3</v>
      </c>
      <c r="J938" s="44" t="str">
        <f t="shared" si="131"/>
        <v>RACK BAR BLANK (JGF02-002060-31-3) 58*D</v>
      </c>
      <c r="K938" s="59" t="str">
        <f t="shared" si="133"/>
        <v>PD25120570</v>
      </c>
      <c r="L938" s="46" t="str" cm="1">
        <f t="array" ref="L938">IFERROR(_xlfn.IFS(
    LEN($A938)-LEN(SUBSTITUTE($A938,"|",""))=12, RIGHT(A938, LEN(A938)-FIND("~", SUBSTITUTE(A938,"|","~", LEN(A938)-LEN(SUBSTITUTE(A938,"|",""))))),
    LEN($A938)-LEN(SUBSTITUTE($A938,"|",""))=13, MID($A938, FIND("~", SUBSTITUTE($A938,"|","~", 11))+1, FIND("~", SUBSTITUTE($A938,"|","~", 12))-FIND("~", SUBSTITUTE($A938,"|","~", 11))-1),
    LEN($A938)-LEN(SUBSTITUTE($A938,"|",""))=14, MID($A938, FIND("~", SUBSTITUTE($A938,"|","~", 11))+1, FIND("~", SUBSTITUTE($A938,"|","~", 12))-FIND("~", SUBSTITUTE($A938,"|","~", 11))-1)
), "")</f>
        <v>5B9507</v>
      </c>
      <c r="M938" s="47" t="str">
        <f t="shared" si="132"/>
        <v>TSK2</v>
      </c>
      <c r="N938" s="46" t="str">
        <f t="shared" si="134"/>
        <v>FB010136/11/26</v>
      </c>
      <c r="O938" s="60">
        <v>58</v>
      </c>
      <c r="P938" s="60">
        <v>271</v>
      </c>
      <c r="Q938" s="48">
        <v>58</v>
      </c>
      <c r="R938" s="48">
        <v>271</v>
      </c>
      <c r="S938" s="48"/>
      <c r="T938" s="48"/>
      <c r="U938" s="49"/>
      <c r="V938" s="49"/>
      <c r="W938" s="50">
        <f t="shared" si="130"/>
        <v>0</v>
      </c>
      <c r="X938" s="51">
        <f>IF(A938="", "", IF(COUNTIFS(C$3:C937, C938, D$3:D937, D938, G$3:G937, G938) &gt; 0, "", "11:00"-AW938))</f>
        <v>0.29166666666666663</v>
      </c>
      <c r="Y938" s="52" t="str">
        <f t="shared" si="138"/>
        <v>1:40</v>
      </c>
      <c r="Z938" s="53">
        <v>4.1666666666666664E-2</v>
      </c>
      <c r="AA938" s="54" t="s">
        <v>90</v>
      </c>
      <c r="AB938" s="53">
        <v>4.1666666666666664E-2</v>
      </c>
      <c r="AC938" s="54" t="s">
        <v>90</v>
      </c>
      <c r="AD938" s="53">
        <v>4.1666666666666664E-2</v>
      </c>
      <c r="AE938" s="54" t="s">
        <v>90</v>
      </c>
      <c r="AF938" s="53"/>
      <c r="AG938" s="54"/>
      <c r="AH938" s="55">
        <v>4.1666666666666699E-2</v>
      </c>
      <c r="AI938" s="53"/>
      <c r="AJ938" s="54"/>
      <c r="AK938" s="53"/>
      <c r="AL938" s="54"/>
      <c r="AM938" s="53"/>
      <c r="AN938" s="54"/>
      <c r="AO938" s="53"/>
      <c r="AP938" s="54"/>
      <c r="AQ938" s="53"/>
      <c r="AR938" s="54"/>
      <c r="AS938" s="53"/>
      <c r="AT938" s="54"/>
      <c r="AU938" s="53">
        <v>4.1666666666666699E-2</v>
      </c>
      <c r="AV938" s="54" t="s">
        <v>37</v>
      </c>
      <c r="AW938" s="57">
        <f t="shared" si="137"/>
        <v>0.16666666666666669</v>
      </c>
      <c r="AX938" s="58" t="s">
        <v>224</v>
      </c>
    </row>
    <row r="939" spans="1:50" ht="21" customHeight="1">
      <c r="A939" s="66" t="s">
        <v>839</v>
      </c>
      <c r="B939" s="39">
        <f t="shared" si="136"/>
        <v>935</v>
      </c>
      <c r="C939" s="40">
        <v>46043</v>
      </c>
      <c r="D939" s="40" t="s">
        <v>80</v>
      </c>
      <c r="E939" s="40" t="s">
        <v>81</v>
      </c>
      <c r="F939" s="41">
        <v>732.8</v>
      </c>
      <c r="G939" s="42" t="s">
        <v>192</v>
      </c>
      <c r="H939" s="43" t="str">
        <f>IFERROR(VLOOKUP($J939,'[9]FROM (3)'!$E$4:$F$230,2,FALSE),"")</f>
        <v>JATH</v>
      </c>
      <c r="I939" s="44" t="str">
        <f t="shared" si="135"/>
        <v>JGF02-002060-31-3</v>
      </c>
      <c r="J939" s="44" t="str">
        <f t="shared" si="131"/>
        <v>RACK BAR BLANK (JGF02-002060-31-3) 58*D</v>
      </c>
      <c r="K939" s="59" t="str">
        <f t="shared" si="133"/>
        <v>PD25120570</v>
      </c>
      <c r="L939" s="46" t="str" cm="1">
        <f t="array" ref="L939">IFERROR(_xlfn.IFS(
    LEN($A939)-LEN(SUBSTITUTE($A939,"|",""))=12, RIGHT(A939, LEN(A939)-FIND("~", SUBSTITUTE(A939,"|","~", LEN(A939)-LEN(SUBSTITUTE(A939,"|",""))))),
    LEN($A939)-LEN(SUBSTITUTE($A939,"|",""))=13, MID($A939, FIND("~", SUBSTITUTE($A939,"|","~", 11))+1, FIND("~", SUBSTITUTE($A939,"|","~", 12))-FIND("~", SUBSTITUTE($A939,"|","~", 11))-1),
    LEN($A939)-LEN(SUBSTITUTE($A939,"|",""))=14, MID($A939, FIND("~", SUBSTITUTE($A939,"|","~", 11))+1, FIND("~", SUBSTITUTE($A939,"|","~", 12))-FIND("~", SUBSTITUTE($A939,"|","~", 11))-1)
), "")</f>
        <v>5B9507</v>
      </c>
      <c r="M939" s="47" t="str">
        <f t="shared" si="132"/>
        <v>TSK2</v>
      </c>
      <c r="N939" s="46" t="str">
        <f t="shared" si="134"/>
        <v>FB010136/3/26</v>
      </c>
      <c r="O939" s="60">
        <v>58</v>
      </c>
      <c r="P939" s="60">
        <v>271</v>
      </c>
      <c r="Q939" s="48">
        <v>58</v>
      </c>
      <c r="R939" s="48">
        <v>271</v>
      </c>
      <c r="S939" s="48"/>
      <c r="T939" s="48"/>
      <c r="U939" s="49"/>
      <c r="V939" s="49"/>
      <c r="W939" s="50">
        <f t="shared" si="130"/>
        <v>0</v>
      </c>
      <c r="X939" s="51" t="str">
        <f>IF(A939="", "", IF(COUNTIFS(C$3:C938, C939, D$3:D938, D939, G$3:G938, G939) &gt; 0, "", "11:00"-AW939))</f>
        <v/>
      </c>
      <c r="Y939" s="52" t="str">
        <f t="shared" si="138"/>
        <v/>
      </c>
      <c r="Z939" s="53"/>
      <c r="AA939" s="54"/>
      <c r="AB939" s="53"/>
      <c r="AC939" s="54"/>
      <c r="AD939" s="53"/>
      <c r="AE939" s="54"/>
      <c r="AF939" s="53"/>
      <c r="AG939" s="54"/>
      <c r="AH939" s="55">
        <v>4.1666666666666699E-2</v>
      </c>
      <c r="AI939" s="53"/>
      <c r="AJ939" s="54"/>
      <c r="AK939" s="53"/>
      <c r="AL939" s="54"/>
      <c r="AM939" s="53"/>
      <c r="AN939" s="54"/>
      <c r="AO939" s="53"/>
      <c r="AP939" s="54"/>
      <c r="AQ939" s="53"/>
      <c r="AR939" s="54"/>
      <c r="AS939" s="53"/>
      <c r="AT939" s="54"/>
      <c r="AU939" s="53">
        <v>4.1666666666666699E-2</v>
      </c>
      <c r="AV939" s="54" t="s">
        <v>37</v>
      </c>
      <c r="AW939" s="57">
        <f t="shared" si="137"/>
        <v>4.1666666666666699E-2</v>
      </c>
      <c r="AX939" s="58" t="s">
        <v>224</v>
      </c>
    </row>
    <row r="940" spans="1:50" ht="21" customHeight="1">
      <c r="A940" s="66" t="s">
        <v>840</v>
      </c>
      <c r="B940" s="39">
        <f t="shared" si="136"/>
        <v>936</v>
      </c>
      <c r="C940" s="40">
        <v>46043</v>
      </c>
      <c r="D940" s="40" t="s">
        <v>80</v>
      </c>
      <c r="E940" s="40" t="s">
        <v>81</v>
      </c>
      <c r="F940" s="41">
        <v>732.8</v>
      </c>
      <c r="G940" s="42" t="s">
        <v>192</v>
      </c>
      <c r="H940" s="43" t="str">
        <f>IFERROR(VLOOKUP($J940,'[9]FROM (3)'!$E$4:$F$230,2,FALSE),"")</f>
        <v>JATH</v>
      </c>
      <c r="I940" s="44" t="str">
        <f t="shared" si="135"/>
        <v>JGF02-002060-31-3</v>
      </c>
      <c r="J940" s="44" t="str">
        <f t="shared" si="131"/>
        <v>RACK BAR BLANK (JGF02-002060-31-3) 58*D</v>
      </c>
      <c r="K940" s="59" t="str">
        <f t="shared" si="133"/>
        <v>PD25120570</v>
      </c>
      <c r="L940" s="46" t="str" cm="1">
        <f t="array" ref="L940">IFERROR(_xlfn.IFS(
    LEN($A940)-LEN(SUBSTITUTE($A940,"|",""))=12, RIGHT(A940, LEN(A940)-FIND("~", SUBSTITUTE(A940,"|","~", LEN(A940)-LEN(SUBSTITUTE(A940,"|",""))))),
    LEN($A940)-LEN(SUBSTITUTE($A940,"|",""))=13, MID($A940, FIND("~", SUBSTITUTE($A940,"|","~", 11))+1, FIND("~", SUBSTITUTE($A940,"|","~", 12))-FIND("~", SUBSTITUTE($A940,"|","~", 11))-1),
    LEN($A940)-LEN(SUBSTITUTE($A940,"|",""))=14, MID($A940, FIND("~", SUBSTITUTE($A940,"|","~", 11))+1, FIND("~", SUBSTITUTE($A940,"|","~", 12))-FIND("~", SUBSTITUTE($A940,"|","~", 11))-1)
), "")</f>
        <v>5B9507</v>
      </c>
      <c r="M940" s="47" t="str">
        <f t="shared" si="132"/>
        <v>TSK2</v>
      </c>
      <c r="N940" s="46" t="str">
        <f t="shared" si="134"/>
        <v>FB010136/2/26</v>
      </c>
      <c r="O940" s="60">
        <v>58</v>
      </c>
      <c r="P940" s="60">
        <v>271</v>
      </c>
      <c r="Q940" s="48">
        <v>58</v>
      </c>
      <c r="R940" s="48">
        <v>271</v>
      </c>
      <c r="S940" s="48"/>
      <c r="T940" s="48"/>
      <c r="U940" s="49"/>
      <c r="V940" s="49"/>
      <c r="W940" s="50">
        <f t="shared" si="130"/>
        <v>0</v>
      </c>
      <c r="X940" s="51" t="str">
        <f>IF(A940="", "", IF(COUNTIFS(C$3:C939, C940, D$3:D939, D940, G$3:G939, G940) &gt; 0, "", "11:00"-AW940))</f>
        <v/>
      </c>
      <c r="Y940" s="52" t="str">
        <f t="shared" si="138"/>
        <v/>
      </c>
      <c r="Z940" s="53"/>
      <c r="AA940" s="54"/>
      <c r="AB940" s="53"/>
      <c r="AC940" s="54"/>
      <c r="AD940" s="53"/>
      <c r="AE940" s="54"/>
      <c r="AF940" s="53"/>
      <c r="AG940" s="54"/>
      <c r="AH940" s="55">
        <v>4.1666666666666699E-2</v>
      </c>
      <c r="AI940" s="53"/>
      <c r="AJ940" s="54"/>
      <c r="AK940" s="53"/>
      <c r="AL940" s="54"/>
      <c r="AM940" s="53"/>
      <c r="AN940" s="54"/>
      <c r="AO940" s="53"/>
      <c r="AP940" s="54"/>
      <c r="AQ940" s="53"/>
      <c r="AR940" s="54"/>
      <c r="AS940" s="53"/>
      <c r="AT940" s="54"/>
      <c r="AU940" s="53">
        <v>4.1666666666666699E-2</v>
      </c>
      <c r="AV940" s="54" t="s">
        <v>37</v>
      </c>
      <c r="AW940" s="57">
        <f t="shared" si="137"/>
        <v>4.1666666666666699E-2</v>
      </c>
      <c r="AX940" s="58" t="s">
        <v>224</v>
      </c>
    </row>
    <row r="941" spans="1:50" ht="21" customHeight="1">
      <c r="A941" s="66" t="s">
        <v>841</v>
      </c>
      <c r="B941" s="39">
        <f t="shared" si="136"/>
        <v>937</v>
      </c>
      <c r="C941" s="40">
        <v>46043</v>
      </c>
      <c r="D941" s="40" t="s">
        <v>80</v>
      </c>
      <c r="E941" s="40" t="s">
        <v>81</v>
      </c>
      <c r="F941" s="41">
        <v>732.8</v>
      </c>
      <c r="G941" s="42" t="s">
        <v>192</v>
      </c>
      <c r="H941" s="43" t="str">
        <f>IFERROR(VLOOKUP($J941,'[9]FROM (3)'!$E$4:$F$230,2,FALSE),"")</f>
        <v>JATH</v>
      </c>
      <c r="I941" s="44" t="str">
        <f t="shared" si="135"/>
        <v>JGF02-002060-31-3</v>
      </c>
      <c r="J941" s="44" t="str">
        <f t="shared" si="131"/>
        <v>RACK BAR BLANK (JGF02-002060-31-3) 58*D</v>
      </c>
      <c r="K941" s="59" t="str">
        <f t="shared" si="133"/>
        <v>PD25120570</v>
      </c>
      <c r="L941" s="46" t="str" cm="1">
        <f t="array" ref="L941">IFERROR(_xlfn.IFS(
    LEN($A941)-LEN(SUBSTITUTE($A941,"|",""))=12, RIGHT(A941, LEN(A941)-FIND("~", SUBSTITUTE(A941,"|","~", LEN(A941)-LEN(SUBSTITUTE(A941,"|",""))))),
    LEN($A941)-LEN(SUBSTITUTE($A941,"|",""))=13, MID($A941, FIND("~", SUBSTITUTE($A941,"|","~", 11))+1, FIND("~", SUBSTITUTE($A941,"|","~", 12))-FIND("~", SUBSTITUTE($A941,"|","~", 11))-1),
    LEN($A941)-LEN(SUBSTITUTE($A941,"|",""))=14, MID($A941, FIND("~", SUBSTITUTE($A941,"|","~", 11))+1, FIND("~", SUBSTITUTE($A941,"|","~", 12))-FIND("~", SUBSTITUTE($A941,"|","~", 11))-1)
), "")</f>
        <v>5B9507</v>
      </c>
      <c r="M941" s="47" t="str">
        <f t="shared" si="132"/>
        <v>TSK2</v>
      </c>
      <c r="N941" s="46" t="str">
        <f t="shared" si="134"/>
        <v>FB010136/8/26</v>
      </c>
      <c r="O941" s="60">
        <v>58</v>
      </c>
      <c r="P941" s="60">
        <v>271</v>
      </c>
      <c r="Q941" s="48">
        <v>58</v>
      </c>
      <c r="R941" s="48">
        <v>271</v>
      </c>
      <c r="S941" s="48"/>
      <c r="T941" s="48"/>
      <c r="U941" s="49"/>
      <c r="V941" s="49"/>
      <c r="W941" s="50">
        <f t="shared" si="130"/>
        <v>0</v>
      </c>
      <c r="X941" s="51" t="str">
        <f>IF(A941="", "", IF(COUNTIFS(C$3:C940, C941, D$3:D940, D941, G$3:G940, G941) &gt; 0, "", "11:00"-AW941))</f>
        <v/>
      </c>
      <c r="Y941" s="52" t="str">
        <f t="shared" si="138"/>
        <v/>
      </c>
      <c r="Z941" s="53"/>
      <c r="AA941" s="54"/>
      <c r="AB941" s="53"/>
      <c r="AC941" s="54"/>
      <c r="AD941" s="53"/>
      <c r="AE941" s="54"/>
      <c r="AF941" s="53"/>
      <c r="AG941" s="54"/>
      <c r="AH941" s="55">
        <v>4.1666666666666699E-2</v>
      </c>
      <c r="AI941" s="53"/>
      <c r="AJ941" s="54"/>
      <c r="AK941" s="53"/>
      <c r="AL941" s="54"/>
      <c r="AM941" s="53"/>
      <c r="AN941" s="54"/>
      <c r="AO941" s="53"/>
      <c r="AP941" s="54"/>
      <c r="AQ941" s="53"/>
      <c r="AR941" s="54"/>
      <c r="AS941" s="53"/>
      <c r="AT941" s="54"/>
      <c r="AU941" s="53">
        <v>4.1666666666666699E-2</v>
      </c>
      <c r="AV941" s="54" t="s">
        <v>37</v>
      </c>
      <c r="AW941" s="57">
        <f t="shared" si="137"/>
        <v>4.1666666666666699E-2</v>
      </c>
      <c r="AX941" s="58" t="s">
        <v>224</v>
      </c>
    </row>
    <row r="942" spans="1:50" ht="21" customHeight="1">
      <c r="A942" s="66" t="s">
        <v>842</v>
      </c>
      <c r="B942" s="39">
        <f t="shared" si="136"/>
        <v>938</v>
      </c>
      <c r="C942" s="40">
        <v>46043</v>
      </c>
      <c r="D942" s="40" t="s">
        <v>80</v>
      </c>
      <c r="E942" s="40" t="s">
        <v>81</v>
      </c>
      <c r="F942" s="41">
        <v>732.8</v>
      </c>
      <c r="G942" s="42" t="s">
        <v>192</v>
      </c>
      <c r="H942" s="43" t="str">
        <f>IFERROR(VLOOKUP($J942,'[9]FROM (3)'!$E$4:$F$230,2,FALSE),"")</f>
        <v>JATH</v>
      </c>
      <c r="I942" s="44" t="str">
        <f t="shared" si="135"/>
        <v>JGF02-002060-31-3</v>
      </c>
      <c r="J942" s="44" t="str">
        <f t="shared" si="131"/>
        <v>RACK BAR BLANK (JGF02-002060-31-3) 58*D</v>
      </c>
      <c r="K942" s="59" t="str">
        <f t="shared" si="133"/>
        <v>PD25120570</v>
      </c>
      <c r="L942" s="46" t="str" cm="1">
        <f t="array" ref="L942">IFERROR(_xlfn.IFS(
    LEN($A942)-LEN(SUBSTITUTE($A942,"|",""))=12, RIGHT(A942, LEN(A942)-FIND("~", SUBSTITUTE(A942,"|","~", LEN(A942)-LEN(SUBSTITUTE(A942,"|",""))))),
    LEN($A942)-LEN(SUBSTITUTE($A942,"|",""))=13, MID($A942, FIND("~", SUBSTITUTE($A942,"|","~", 11))+1, FIND("~", SUBSTITUTE($A942,"|","~", 12))-FIND("~", SUBSTITUTE($A942,"|","~", 11))-1),
    LEN($A942)-LEN(SUBSTITUTE($A942,"|",""))=14, MID($A942, FIND("~", SUBSTITUTE($A942,"|","~", 11))+1, FIND("~", SUBSTITUTE($A942,"|","~", 12))-FIND("~", SUBSTITUTE($A942,"|","~", 11))-1)
), "")</f>
        <v>5B9507</v>
      </c>
      <c r="M942" s="47" t="str">
        <f t="shared" si="132"/>
        <v>TSK2</v>
      </c>
      <c r="N942" s="46" t="str">
        <f t="shared" si="134"/>
        <v>FB010136/12/26</v>
      </c>
      <c r="O942" s="60">
        <v>58</v>
      </c>
      <c r="P942" s="60">
        <v>271</v>
      </c>
      <c r="Q942" s="48">
        <v>58</v>
      </c>
      <c r="R942" s="48">
        <v>271</v>
      </c>
      <c r="S942" s="48"/>
      <c r="T942" s="48"/>
      <c r="U942" s="49"/>
      <c r="V942" s="49"/>
      <c r="W942" s="50">
        <f t="shared" si="130"/>
        <v>0</v>
      </c>
      <c r="X942" s="51" t="str">
        <f>IF(A942="", "", IF(COUNTIFS(C$3:C941, C942, D$3:D941, D942, G$3:G941, G942) &gt; 0, "", "11:00"-AW942))</f>
        <v/>
      </c>
      <c r="Y942" s="52" t="str">
        <f t="shared" si="138"/>
        <v/>
      </c>
      <c r="Z942" s="53"/>
      <c r="AA942" s="54"/>
      <c r="AB942" s="53"/>
      <c r="AC942" s="54"/>
      <c r="AD942" s="53"/>
      <c r="AE942" s="54"/>
      <c r="AF942" s="53"/>
      <c r="AG942" s="54"/>
      <c r="AH942" s="55">
        <v>4.1666666666666699E-2</v>
      </c>
      <c r="AI942" s="53"/>
      <c r="AJ942" s="54"/>
      <c r="AK942" s="53"/>
      <c r="AL942" s="54"/>
      <c r="AM942" s="53"/>
      <c r="AN942" s="54"/>
      <c r="AO942" s="53"/>
      <c r="AP942" s="54"/>
      <c r="AQ942" s="53"/>
      <c r="AR942" s="54"/>
      <c r="AS942" s="53"/>
      <c r="AT942" s="54"/>
      <c r="AU942" s="53">
        <v>4.1666666666666699E-2</v>
      </c>
      <c r="AV942" s="54" t="s">
        <v>37</v>
      </c>
      <c r="AW942" s="57">
        <f t="shared" si="137"/>
        <v>4.1666666666666699E-2</v>
      </c>
      <c r="AX942" s="58" t="s">
        <v>224</v>
      </c>
    </row>
    <row r="943" spans="1:50" ht="21" customHeight="1">
      <c r="A943" s="66" t="s">
        <v>843</v>
      </c>
      <c r="B943" s="39">
        <f t="shared" si="136"/>
        <v>939</v>
      </c>
      <c r="C943" s="40">
        <v>46043</v>
      </c>
      <c r="D943" s="40" t="s">
        <v>80</v>
      </c>
      <c r="E943" s="40" t="s">
        <v>81</v>
      </c>
      <c r="F943" s="41">
        <v>732.8</v>
      </c>
      <c r="G943" s="42" t="s">
        <v>192</v>
      </c>
      <c r="H943" s="43" t="str">
        <f>IFERROR(VLOOKUP($J943,'[9]FROM (3)'!$E$4:$F$230,2,FALSE),"")</f>
        <v>JATH</v>
      </c>
      <c r="I943" s="44" t="str">
        <f t="shared" si="135"/>
        <v>JGF02-002060-31-3</v>
      </c>
      <c r="J943" s="44" t="str">
        <f t="shared" si="131"/>
        <v>RACK BAR BLANK (JGF02-002060-31-3) 58*D</v>
      </c>
      <c r="K943" s="59" t="str">
        <f t="shared" si="133"/>
        <v>PD25120570</v>
      </c>
      <c r="L943" s="46" t="str" cm="1">
        <f t="array" ref="L943">IFERROR(_xlfn.IFS(
    LEN($A943)-LEN(SUBSTITUTE($A943,"|",""))=12, RIGHT(A943, LEN(A943)-FIND("~", SUBSTITUTE(A943,"|","~", LEN(A943)-LEN(SUBSTITUTE(A943,"|",""))))),
    LEN($A943)-LEN(SUBSTITUTE($A943,"|",""))=13, MID($A943, FIND("~", SUBSTITUTE($A943,"|","~", 11))+1, FIND("~", SUBSTITUTE($A943,"|","~", 12))-FIND("~", SUBSTITUTE($A943,"|","~", 11))-1),
    LEN($A943)-LEN(SUBSTITUTE($A943,"|",""))=14, MID($A943, FIND("~", SUBSTITUTE($A943,"|","~", 11))+1, FIND("~", SUBSTITUTE($A943,"|","~", 12))-FIND("~", SUBSTITUTE($A943,"|","~", 11))-1)
), "")</f>
        <v>5B9507</v>
      </c>
      <c r="M943" s="47" t="str">
        <f t="shared" si="132"/>
        <v>TSK2</v>
      </c>
      <c r="N943" s="46" t="str">
        <f t="shared" si="134"/>
        <v>FB010136/7/26</v>
      </c>
      <c r="O943" s="60">
        <v>58</v>
      </c>
      <c r="P943" s="60">
        <v>271</v>
      </c>
      <c r="Q943" s="48">
        <v>58</v>
      </c>
      <c r="R943" s="48">
        <v>271</v>
      </c>
      <c r="S943" s="48"/>
      <c r="T943" s="48"/>
      <c r="U943" s="49"/>
      <c r="V943" s="49"/>
      <c r="W943" s="50">
        <f t="shared" ref="W943:W979" si="139">SUM(U943:V943)</f>
        <v>0</v>
      </c>
      <c r="X943" s="51" t="str">
        <f>IF(A943="", "", IF(COUNTIFS(C$3:C942, C943, D$3:D942, D943, G$3:G942, G943) &gt; 0, "", "11:00"-AW943))</f>
        <v/>
      </c>
      <c r="Y943" s="52" t="str">
        <f t="shared" si="138"/>
        <v/>
      </c>
      <c r="Z943" s="53"/>
      <c r="AA943" s="54"/>
      <c r="AB943" s="53"/>
      <c r="AC943" s="54"/>
      <c r="AD943" s="53"/>
      <c r="AE943" s="54"/>
      <c r="AF943" s="53"/>
      <c r="AG943" s="54"/>
      <c r="AH943" s="55">
        <v>4.1666666666666699E-2</v>
      </c>
      <c r="AI943" s="53"/>
      <c r="AJ943" s="54"/>
      <c r="AK943" s="53"/>
      <c r="AL943" s="54"/>
      <c r="AM943" s="53"/>
      <c r="AN943" s="54"/>
      <c r="AO943" s="53"/>
      <c r="AP943" s="54"/>
      <c r="AQ943" s="53"/>
      <c r="AR943" s="54"/>
      <c r="AS943" s="53"/>
      <c r="AT943" s="54"/>
      <c r="AU943" s="53">
        <v>4.1666666666666699E-2</v>
      </c>
      <c r="AV943" s="54" t="s">
        <v>37</v>
      </c>
      <c r="AW943" s="57">
        <f t="shared" si="137"/>
        <v>4.1666666666666699E-2</v>
      </c>
      <c r="AX943" s="58" t="s">
        <v>224</v>
      </c>
    </row>
    <row r="944" spans="1:50" ht="21" customHeight="1">
      <c r="A944" s="66" t="s">
        <v>844</v>
      </c>
      <c r="B944" s="39">
        <f t="shared" si="136"/>
        <v>940</v>
      </c>
      <c r="C944" s="40">
        <v>46043</v>
      </c>
      <c r="D944" s="40" t="s">
        <v>80</v>
      </c>
      <c r="E944" s="40" t="s">
        <v>81</v>
      </c>
      <c r="F944" s="41">
        <v>732.8</v>
      </c>
      <c r="G944" s="42" t="s">
        <v>192</v>
      </c>
      <c r="H944" s="43" t="str">
        <f>IFERROR(VLOOKUP($J944,'[9]FROM (3)'!$E$4:$F$230,2,FALSE),"")</f>
        <v>JATH</v>
      </c>
      <c r="I944" s="44" t="str">
        <f t="shared" si="135"/>
        <v>JGF02-002060-31-3</v>
      </c>
      <c r="J944" s="44" t="str">
        <f t="shared" si="131"/>
        <v>RACK BAR BLANK (JGF02-002060-31-3) 58*D</v>
      </c>
      <c r="K944" s="59" t="str">
        <f t="shared" si="133"/>
        <v>PD25120570</v>
      </c>
      <c r="L944" s="46" t="str" cm="1">
        <f t="array" ref="L944">IFERROR(_xlfn.IFS(
    LEN($A944)-LEN(SUBSTITUTE($A944,"|",""))=12, RIGHT(A944, LEN(A944)-FIND("~", SUBSTITUTE(A944,"|","~", LEN(A944)-LEN(SUBSTITUTE(A944,"|",""))))),
    LEN($A944)-LEN(SUBSTITUTE($A944,"|",""))=13, MID($A944, FIND("~", SUBSTITUTE($A944,"|","~", 11))+1, FIND("~", SUBSTITUTE($A944,"|","~", 12))-FIND("~", SUBSTITUTE($A944,"|","~", 11))-1),
    LEN($A944)-LEN(SUBSTITUTE($A944,"|",""))=14, MID($A944, FIND("~", SUBSTITUTE($A944,"|","~", 11))+1, FIND("~", SUBSTITUTE($A944,"|","~", 12))-FIND("~", SUBSTITUTE($A944,"|","~", 11))-1)
), "")</f>
        <v>5B9507</v>
      </c>
      <c r="M944" s="47" t="str">
        <f t="shared" si="132"/>
        <v>TSK2</v>
      </c>
      <c r="N944" s="46" t="str">
        <f t="shared" si="134"/>
        <v>FB010136/4/26</v>
      </c>
      <c r="O944" s="60">
        <v>58</v>
      </c>
      <c r="P944" s="60">
        <v>271</v>
      </c>
      <c r="Q944" s="48">
        <v>58</v>
      </c>
      <c r="R944" s="48">
        <v>271</v>
      </c>
      <c r="S944" s="48"/>
      <c r="T944" s="48"/>
      <c r="U944" s="49"/>
      <c r="V944" s="49"/>
      <c r="W944" s="50">
        <f t="shared" si="139"/>
        <v>0</v>
      </c>
      <c r="X944" s="51" t="str">
        <f>IF(A944="", "", IF(COUNTIFS(C$3:C943, C944, D$3:D943, D944, G$3:G943, G944) &gt; 0, "", "11:00"-AW944))</f>
        <v/>
      </c>
      <c r="Y944" s="52" t="str">
        <f t="shared" si="138"/>
        <v/>
      </c>
      <c r="Z944" s="53"/>
      <c r="AA944" s="54"/>
      <c r="AB944" s="53"/>
      <c r="AC944" s="54"/>
      <c r="AD944" s="53"/>
      <c r="AE944" s="54"/>
      <c r="AF944" s="53"/>
      <c r="AG944" s="54"/>
      <c r="AH944" s="55">
        <v>4.1666666666666699E-2</v>
      </c>
      <c r="AI944" s="53"/>
      <c r="AJ944" s="54"/>
      <c r="AK944" s="53"/>
      <c r="AL944" s="54"/>
      <c r="AM944" s="53"/>
      <c r="AN944" s="54"/>
      <c r="AO944" s="53"/>
      <c r="AP944" s="54"/>
      <c r="AQ944" s="53"/>
      <c r="AR944" s="54"/>
      <c r="AS944" s="53"/>
      <c r="AT944" s="54"/>
      <c r="AU944" s="53">
        <v>4.1666666666666699E-2</v>
      </c>
      <c r="AV944" s="54" t="s">
        <v>37</v>
      </c>
      <c r="AW944" s="57">
        <f t="shared" si="137"/>
        <v>4.1666666666666699E-2</v>
      </c>
      <c r="AX944" s="58" t="s">
        <v>224</v>
      </c>
    </row>
    <row r="945" spans="1:50" ht="21" customHeight="1">
      <c r="A945" s="66" t="s">
        <v>845</v>
      </c>
      <c r="B945" s="39">
        <f t="shared" si="136"/>
        <v>941</v>
      </c>
      <c r="C945" s="40">
        <v>46043</v>
      </c>
      <c r="D945" s="40" t="s">
        <v>80</v>
      </c>
      <c r="E945" s="40" t="s">
        <v>81</v>
      </c>
      <c r="F945" s="41">
        <v>732.8</v>
      </c>
      <c r="G945" s="42" t="s">
        <v>192</v>
      </c>
      <c r="H945" s="43" t="str">
        <f>IFERROR(VLOOKUP($J945,'[9]FROM (3)'!$E$4:$F$230,2,FALSE),"")</f>
        <v>JATH</v>
      </c>
      <c r="I945" s="44" t="str">
        <f t="shared" si="135"/>
        <v>JGF02-002060-31-3</v>
      </c>
      <c r="J945" s="44" t="str">
        <f t="shared" si="131"/>
        <v>RACK BAR BLANK (JGF02-002060-31-3) 58*D</v>
      </c>
      <c r="K945" s="59" t="str">
        <f t="shared" si="133"/>
        <v>PD25120570</v>
      </c>
      <c r="L945" s="46" t="str" cm="1">
        <f t="array" ref="L945">IFERROR(_xlfn.IFS(
    LEN($A945)-LEN(SUBSTITUTE($A945,"|",""))=12, RIGHT(A945, LEN(A945)-FIND("~", SUBSTITUTE(A945,"|","~", LEN(A945)-LEN(SUBSTITUTE(A945,"|",""))))),
    LEN($A945)-LEN(SUBSTITUTE($A945,"|",""))=13, MID($A945, FIND("~", SUBSTITUTE($A945,"|","~", 11))+1, FIND("~", SUBSTITUTE($A945,"|","~", 12))-FIND("~", SUBSTITUTE($A945,"|","~", 11))-1),
    LEN($A945)-LEN(SUBSTITUTE($A945,"|",""))=14, MID($A945, FIND("~", SUBSTITUTE($A945,"|","~", 11))+1, FIND("~", SUBSTITUTE($A945,"|","~", 12))-FIND("~", SUBSTITUTE($A945,"|","~", 11))-1)
), "")</f>
        <v>5B9507</v>
      </c>
      <c r="M945" s="47" t="str">
        <f t="shared" si="132"/>
        <v>TSK2</v>
      </c>
      <c r="N945" s="46" t="str">
        <f t="shared" si="134"/>
        <v>FB010136/5/26</v>
      </c>
      <c r="O945" s="60">
        <v>58</v>
      </c>
      <c r="P945" s="60">
        <v>271</v>
      </c>
      <c r="Q945" s="48">
        <v>58</v>
      </c>
      <c r="R945" s="48">
        <v>271</v>
      </c>
      <c r="S945" s="48"/>
      <c r="T945" s="48"/>
      <c r="U945" s="49"/>
      <c r="V945" s="49"/>
      <c r="W945" s="50">
        <f t="shared" si="139"/>
        <v>0</v>
      </c>
      <c r="X945" s="51" t="str">
        <f>IF(A945="", "", IF(COUNTIFS(C$3:C944, C945, D$3:D944, D945, G$3:G944, G945) &gt; 0, "", "11:00"-AW945))</f>
        <v/>
      </c>
      <c r="Y945" s="52" t="str">
        <f t="shared" si="138"/>
        <v/>
      </c>
      <c r="Z945" s="53"/>
      <c r="AA945" s="54"/>
      <c r="AB945" s="53"/>
      <c r="AC945" s="54"/>
      <c r="AD945" s="53"/>
      <c r="AE945" s="54"/>
      <c r="AF945" s="53"/>
      <c r="AG945" s="54"/>
      <c r="AH945" s="55">
        <v>4.1666666666666699E-2</v>
      </c>
      <c r="AI945" s="53"/>
      <c r="AJ945" s="54"/>
      <c r="AK945" s="53"/>
      <c r="AL945" s="54"/>
      <c r="AM945" s="53"/>
      <c r="AN945" s="54"/>
      <c r="AO945" s="53"/>
      <c r="AP945" s="54"/>
      <c r="AQ945" s="53"/>
      <c r="AR945" s="54"/>
      <c r="AS945" s="53"/>
      <c r="AT945" s="54"/>
      <c r="AU945" s="53">
        <v>4.1666666666666699E-2</v>
      </c>
      <c r="AV945" s="54" t="s">
        <v>37</v>
      </c>
      <c r="AW945" s="57">
        <f t="shared" si="137"/>
        <v>4.1666666666666699E-2</v>
      </c>
      <c r="AX945" s="58" t="s">
        <v>224</v>
      </c>
    </row>
    <row r="946" spans="1:50" ht="21" customHeight="1">
      <c r="A946" s="66" t="s">
        <v>846</v>
      </c>
      <c r="B946" s="39">
        <f t="shared" si="136"/>
        <v>942</v>
      </c>
      <c r="C946" s="40">
        <v>46043</v>
      </c>
      <c r="D946" s="40" t="s">
        <v>80</v>
      </c>
      <c r="E946" s="40" t="s">
        <v>81</v>
      </c>
      <c r="F946" s="41">
        <v>262</v>
      </c>
      <c r="G946" s="42" t="s">
        <v>176</v>
      </c>
      <c r="H946" s="43" t="str">
        <f>IFERROR(VLOOKUP($J946,'[9]FROM (3)'!$E$4:$F$230,2,FALSE),"")</f>
        <v/>
      </c>
      <c r="I946" s="44" t="str">
        <f t="shared" si="135"/>
        <v>RACK</v>
      </c>
      <c r="J946" s="44" t="str">
        <f t="shared" si="131"/>
        <v>510-30149-020</v>
      </c>
      <c r="K946" s="59" t="str">
        <f t="shared" si="133"/>
        <v>PD26010789</v>
      </c>
      <c r="L946" s="46" t="str" cm="1">
        <f t="array" ref="L946">IFERROR(_xlfn.IFS(
    LEN($A946)-LEN(SUBSTITUTE($A946,"|",""))=12, RIGHT(A946, LEN(A946)-FIND("~", SUBSTITUTE(A946,"|","~", LEN(A946)-LEN(SUBSTITUTE(A946,"|",""))))),
    LEN($A946)-LEN(SUBSTITUTE($A946,"|",""))=13, MID($A946, FIND("~", SUBSTITUTE($A946,"|","~", 11))+1, FIND("~", SUBSTITUTE($A946,"|","~", 12))-FIND("~", SUBSTITUTE($A946,"|","~", 11))-1),
    LEN($A946)-LEN(SUBSTITUTE($A946,"|",""))=14, MID($A946, FIND("~", SUBSTITUTE($A946,"|","~", 11))+1, FIND("~", SUBSTITUTE($A946,"|","~", 12))-FIND("~", SUBSTITUTE($A946,"|","~", 11))-1)
), "")</f>
        <v>5C1361</v>
      </c>
      <c r="M946" s="47" t="str">
        <f t="shared" si="132"/>
        <v>FB010232/3/26</v>
      </c>
      <c r="N946" s="46" t="str">
        <f t="shared" si="134"/>
        <v>FB010232/3/26</v>
      </c>
      <c r="O946" s="60" t="s">
        <v>35</v>
      </c>
      <c r="P946" s="60" t="s">
        <v>35</v>
      </c>
      <c r="Q946" s="48">
        <v>200</v>
      </c>
      <c r="R946" s="48">
        <v>327</v>
      </c>
      <c r="S946" s="48" t="s">
        <v>35</v>
      </c>
      <c r="T946" s="48"/>
      <c r="U946" s="49"/>
      <c r="V946" s="49"/>
      <c r="W946" s="50">
        <f t="shared" si="139"/>
        <v>0</v>
      </c>
      <c r="X946" s="51">
        <f>IF(A946="", "", IF(COUNTIFS(C$3:C945, C946, D$3:D945, D946, G$3:G945, G946) &gt; 0, "", "11:00"-AW946))</f>
        <v>0.41666666666666663</v>
      </c>
      <c r="Y946" s="52" t="str">
        <f t="shared" si="138"/>
        <v>1:40</v>
      </c>
      <c r="Z946" s="53"/>
      <c r="AA946" s="54"/>
      <c r="AB946" s="53"/>
      <c r="AC946" s="54"/>
      <c r="AD946" s="53"/>
      <c r="AE946" s="54"/>
      <c r="AF946" s="53"/>
      <c r="AG946" s="54"/>
      <c r="AH946" s="55">
        <v>4.1666666666666699E-2</v>
      </c>
      <c r="AI946" s="53"/>
      <c r="AJ946" s="54"/>
      <c r="AK946" s="53"/>
      <c r="AL946" s="54"/>
      <c r="AM946" s="53"/>
      <c r="AN946" s="54"/>
      <c r="AO946" s="53"/>
      <c r="AP946" s="54"/>
      <c r="AQ946" s="53"/>
      <c r="AR946" s="54"/>
      <c r="AS946" s="53"/>
      <c r="AT946" s="54"/>
      <c r="AU946" s="53">
        <v>4.1666666666666699E-2</v>
      </c>
      <c r="AV946" s="54" t="s">
        <v>37</v>
      </c>
      <c r="AW946" s="57">
        <f t="shared" si="137"/>
        <v>4.1666666666666699E-2</v>
      </c>
      <c r="AX946" s="58" t="s">
        <v>86</v>
      </c>
    </row>
    <row r="947" spans="1:50" ht="21" customHeight="1">
      <c r="A947" s="66" t="s">
        <v>847</v>
      </c>
      <c r="B947" s="39">
        <f t="shared" si="136"/>
        <v>943</v>
      </c>
      <c r="C947" s="40">
        <v>46043</v>
      </c>
      <c r="D947" s="40" t="s">
        <v>80</v>
      </c>
      <c r="E947" s="40" t="s">
        <v>81</v>
      </c>
      <c r="F947" s="41">
        <v>278</v>
      </c>
      <c r="G947" s="42" t="s">
        <v>176</v>
      </c>
      <c r="H947" s="43" t="str">
        <f>IFERROR(VLOOKUP($J947,'[9]FROM (3)'!$E$4:$F$230,2,FALSE),"")</f>
        <v/>
      </c>
      <c r="I947" s="44" t="str">
        <f t="shared" si="135"/>
        <v>2550T0749P</v>
      </c>
      <c r="J947" s="44" t="str">
        <f t="shared" si="131"/>
        <v>SHAFT SPLINE  (2550T0749P)</v>
      </c>
      <c r="K947" s="59" t="str">
        <f t="shared" si="133"/>
        <v>PD25120794</v>
      </c>
      <c r="L947" s="46" t="str" cm="1">
        <f t="array" ref="L947">IFERROR(_xlfn.IFS(
    LEN($A947)-LEN(SUBSTITUTE($A947,"|",""))=12, RIGHT(A947, LEN(A947)-FIND("~", SUBSTITUTE(A947,"|","~", LEN(A947)-LEN(SUBSTITUTE(A947,"|",""))))),
    LEN($A947)-LEN(SUBSTITUTE($A947,"|",""))=13, MID($A947, FIND("~", SUBSTITUTE($A947,"|","~", 11))+1, FIND("~", SUBSTITUTE($A947,"|","~", 12))-FIND("~", SUBSTITUTE($A947,"|","~", 11))-1),
    LEN($A947)-LEN(SUBSTITUTE($A947,"|",""))=14, MID($A947, FIND("~", SUBSTITUTE($A947,"|","~", 11))+1, FIND("~", SUBSTITUTE($A947,"|","~", 12))-FIND("~", SUBSTITUTE($A947,"|","~", 11))-1)
), "")</f>
        <v>SF93402</v>
      </c>
      <c r="M947" s="47" t="str">
        <f t="shared" si="132"/>
        <v>TSK-PRD1</v>
      </c>
      <c r="N947" s="46" t="str">
        <f t="shared" si="134"/>
        <v>FP010043/3/26</v>
      </c>
      <c r="O947" s="60" t="s">
        <v>35</v>
      </c>
      <c r="P947" s="60" t="s">
        <v>35</v>
      </c>
      <c r="Q947" s="48">
        <v>700</v>
      </c>
      <c r="R947" s="48">
        <v>397</v>
      </c>
      <c r="S947" s="48" t="s">
        <v>35</v>
      </c>
      <c r="T947" s="48"/>
      <c r="U947" s="49"/>
      <c r="V947" s="49"/>
      <c r="W947" s="50">
        <f t="shared" si="139"/>
        <v>0</v>
      </c>
      <c r="X947" s="51" t="str">
        <f>IF(A947="", "", IF(COUNTIFS(C$3:C946, C947, D$3:D946, D947, G$3:G946, G947) &gt; 0, "", "11:00"-AW947))</f>
        <v/>
      </c>
      <c r="Y947" s="52" t="str">
        <f t="shared" si="138"/>
        <v/>
      </c>
      <c r="Z947" s="53"/>
      <c r="AA947" s="54"/>
      <c r="AB947" s="53"/>
      <c r="AC947" s="54"/>
      <c r="AD947" s="53"/>
      <c r="AE947" s="54"/>
      <c r="AF947" s="53"/>
      <c r="AG947" s="54"/>
      <c r="AH947" s="55">
        <v>4.1666666666666699E-2</v>
      </c>
      <c r="AI947" s="53"/>
      <c r="AJ947" s="54"/>
      <c r="AK947" s="53"/>
      <c r="AL947" s="54"/>
      <c r="AM947" s="53"/>
      <c r="AN947" s="54"/>
      <c r="AO947" s="53"/>
      <c r="AP947" s="54"/>
      <c r="AQ947" s="53"/>
      <c r="AR947" s="54"/>
      <c r="AS947" s="53"/>
      <c r="AT947" s="54"/>
      <c r="AU947" s="53">
        <v>4.1666666666666699E-2</v>
      </c>
      <c r="AV947" s="54" t="s">
        <v>37</v>
      </c>
      <c r="AW947" s="57">
        <f t="shared" si="137"/>
        <v>4.1666666666666699E-2</v>
      </c>
      <c r="AX947" s="58" t="s">
        <v>86</v>
      </c>
    </row>
    <row r="948" spans="1:50" ht="21" customHeight="1">
      <c r="A948" s="66" t="s">
        <v>848</v>
      </c>
      <c r="B948" s="39">
        <f t="shared" si="136"/>
        <v>944</v>
      </c>
      <c r="C948" s="40">
        <v>46043</v>
      </c>
      <c r="D948" s="40" t="s">
        <v>80</v>
      </c>
      <c r="E948" s="40" t="s">
        <v>81</v>
      </c>
      <c r="F948" s="41">
        <v>278</v>
      </c>
      <c r="G948" s="42" t="s">
        <v>176</v>
      </c>
      <c r="H948" s="43" t="str">
        <f>IFERROR(VLOOKUP($J948,'[9]FROM (3)'!$E$4:$F$230,2,FALSE),"")</f>
        <v/>
      </c>
      <c r="I948" s="44" t="str">
        <f t="shared" si="135"/>
        <v>2550T0749P</v>
      </c>
      <c r="J948" s="44" t="str">
        <f t="shared" si="131"/>
        <v>SHAFT SPLINE  (2550T0749P)</v>
      </c>
      <c r="K948" s="59" t="str">
        <f t="shared" si="133"/>
        <v>PD25120794</v>
      </c>
      <c r="L948" s="46" t="str" cm="1">
        <f t="array" ref="L948">IFERROR(_xlfn.IFS(
    LEN($A948)-LEN(SUBSTITUTE($A948,"|",""))=12, RIGHT(A948, LEN(A948)-FIND("~", SUBSTITUTE(A948,"|","~", LEN(A948)-LEN(SUBSTITUTE(A948,"|",""))))),
    LEN($A948)-LEN(SUBSTITUTE($A948,"|",""))=13, MID($A948, FIND("~", SUBSTITUTE($A948,"|","~", 11))+1, FIND("~", SUBSTITUTE($A948,"|","~", 12))-FIND("~", SUBSTITUTE($A948,"|","~", 11))-1),
    LEN($A948)-LEN(SUBSTITUTE($A948,"|",""))=14, MID($A948, FIND("~", SUBSTITUTE($A948,"|","~", 11))+1, FIND("~", SUBSTITUTE($A948,"|","~", 12))-FIND("~", SUBSTITUTE($A948,"|","~", 11))-1)
), "")</f>
        <v>SF93402</v>
      </c>
      <c r="M948" s="47" t="str">
        <f t="shared" si="132"/>
        <v>TSK-PRD1</v>
      </c>
      <c r="N948" s="46" t="str">
        <f t="shared" si="134"/>
        <v>FP010043/4/26</v>
      </c>
      <c r="O948" s="60" t="s">
        <v>35</v>
      </c>
      <c r="P948" s="60" t="s">
        <v>35</v>
      </c>
      <c r="Q948" s="48">
        <v>700</v>
      </c>
      <c r="R948" s="48">
        <v>397</v>
      </c>
      <c r="S948" s="48" t="s">
        <v>35</v>
      </c>
      <c r="T948" s="48"/>
      <c r="U948" s="49"/>
      <c r="V948" s="49"/>
      <c r="W948" s="50">
        <f t="shared" si="139"/>
        <v>0</v>
      </c>
      <c r="X948" s="51" t="str">
        <f>IF(A948="", "", IF(COUNTIFS(C$3:C947, C948, D$3:D947, D948, G$3:G947, G948) &gt; 0, "", "11:00"-AW948))</f>
        <v/>
      </c>
      <c r="Y948" s="52" t="str">
        <f t="shared" si="138"/>
        <v/>
      </c>
      <c r="Z948" s="53"/>
      <c r="AA948" s="54"/>
      <c r="AB948" s="53"/>
      <c r="AC948" s="54"/>
      <c r="AD948" s="53"/>
      <c r="AE948" s="54"/>
      <c r="AF948" s="53"/>
      <c r="AG948" s="54"/>
      <c r="AH948" s="55">
        <v>4.1666666666666699E-2</v>
      </c>
      <c r="AI948" s="53"/>
      <c r="AJ948" s="54"/>
      <c r="AK948" s="53"/>
      <c r="AL948" s="54"/>
      <c r="AM948" s="53"/>
      <c r="AN948" s="54"/>
      <c r="AO948" s="53"/>
      <c r="AP948" s="54"/>
      <c r="AQ948" s="53"/>
      <c r="AR948" s="54"/>
      <c r="AS948" s="53"/>
      <c r="AT948" s="54"/>
      <c r="AU948" s="53">
        <v>4.1666666666666699E-2</v>
      </c>
      <c r="AV948" s="54" t="s">
        <v>37</v>
      </c>
      <c r="AW948" s="57">
        <f t="shared" si="137"/>
        <v>4.1666666666666699E-2</v>
      </c>
      <c r="AX948" s="58" t="s">
        <v>86</v>
      </c>
    </row>
    <row r="949" spans="1:50" ht="21" customHeight="1">
      <c r="A949" s="66" t="s">
        <v>849</v>
      </c>
      <c r="B949" s="39">
        <f t="shared" si="136"/>
        <v>945</v>
      </c>
      <c r="C949" s="40">
        <v>46043</v>
      </c>
      <c r="D949" s="40" t="s">
        <v>80</v>
      </c>
      <c r="E949" s="40" t="s">
        <v>81</v>
      </c>
      <c r="F949" s="41">
        <v>278</v>
      </c>
      <c r="G949" s="42" t="s">
        <v>176</v>
      </c>
      <c r="H949" s="43" t="str">
        <f>IFERROR(VLOOKUP($J949,'[9]FROM (3)'!$E$4:$F$230,2,FALSE),"")</f>
        <v/>
      </c>
      <c r="I949" s="44" t="str">
        <f t="shared" si="135"/>
        <v>2550T0749P</v>
      </c>
      <c r="J949" s="44" t="str">
        <f t="shared" si="131"/>
        <v>SHAFT SPLINE  (2550T0749P)</v>
      </c>
      <c r="K949" s="59" t="str">
        <f t="shared" si="133"/>
        <v>PD25120794</v>
      </c>
      <c r="L949" s="46" t="str" cm="1">
        <f t="array" ref="L949">IFERROR(_xlfn.IFS(
    LEN($A949)-LEN(SUBSTITUTE($A949,"|",""))=12, RIGHT(A949, LEN(A949)-FIND("~", SUBSTITUTE(A949,"|","~", LEN(A949)-LEN(SUBSTITUTE(A949,"|",""))))),
    LEN($A949)-LEN(SUBSTITUTE($A949,"|",""))=13, MID($A949, FIND("~", SUBSTITUTE($A949,"|","~", 11))+1, FIND("~", SUBSTITUTE($A949,"|","~", 12))-FIND("~", SUBSTITUTE($A949,"|","~", 11))-1),
    LEN($A949)-LEN(SUBSTITUTE($A949,"|",""))=14, MID($A949, FIND("~", SUBSTITUTE($A949,"|","~", 11))+1, FIND("~", SUBSTITUTE($A949,"|","~", 12))-FIND("~", SUBSTITUTE($A949,"|","~", 11))-1)
), "")</f>
        <v>SF93402</v>
      </c>
      <c r="M949" s="47" t="str">
        <f t="shared" si="132"/>
        <v>TSK-PRD1</v>
      </c>
      <c r="N949" s="46" t="str">
        <f t="shared" si="134"/>
        <v>FP010043/7/26</v>
      </c>
      <c r="O949" s="60" t="s">
        <v>35</v>
      </c>
      <c r="P949" s="60" t="s">
        <v>35</v>
      </c>
      <c r="Q949" s="48">
        <v>700</v>
      </c>
      <c r="R949" s="48">
        <v>397</v>
      </c>
      <c r="S949" s="48" t="s">
        <v>35</v>
      </c>
      <c r="T949" s="48"/>
      <c r="U949" s="49"/>
      <c r="V949" s="49"/>
      <c r="W949" s="50">
        <f t="shared" si="139"/>
        <v>0</v>
      </c>
      <c r="X949" s="51" t="str">
        <f>IF(A949="", "", IF(COUNTIFS(C$3:C948, C949, D$3:D948, D949, G$3:G948, G949) &gt; 0, "", "11:00"-AW949))</f>
        <v/>
      </c>
      <c r="Y949" s="52" t="str">
        <f t="shared" si="138"/>
        <v/>
      </c>
      <c r="Z949" s="53"/>
      <c r="AA949" s="54"/>
      <c r="AB949" s="53"/>
      <c r="AC949" s="54"/>
      <c r="AD949" s="53"/>
      <c r="AE949" s="54"/>
      <c r="AF949" s="53"/>
      <c r="AG949" s="54"/>
      <c r="AH949" s="55">
        <v>4.1666666666666699E-2</v>
      </c>
      <c r="AI949" s="53"/>
      <c r="AJ949" s="54"/>
      <c r="AK949" s="53"/>
      <c r="AL949" s="54"/>
      <c r="AM949" s="53"/>
      <c r="AN949" s="54"/>
      <c r="AO949" s="53"/>
      <c r="AP949" s="54"/>
      <c r="AQ949" s="53"/>
      <c r="AR949" s="54"/>
      <c r="AS949" s="53"/>
      <c r="AT949" s="54"/>
      <c r="AU949" s="53">
        <v>4.1666666666666699E-2</v>
      </c>
      <c r="AV949" s="54" t="s">
        <v>37</v>
      </c>
      <c r="AW949" s="57">
        <f t="shared" si="137"/>
        <v>4.1666666666666699E-2</v>
      </c>
      <c r="AX949" s="58" t="s">
        <v>86</v>
      </c>
    </row>
    <row r="950" spans="1:50" ht="21" customHeight="1">
      <c r="A950" s="66" t="s">
        <v>836</v>
      </c>
      <c r="B950" s="39">
        <f t="shared" si="136"/>
        <v>946</v>
      </c>
      <c r="C950" s="40">
        <v>46044</v>
      </c>
      <c r="D950" s="40" t="s">
        <v>32</v>
      </c>
      <c r="E950" s="40" t="s">
        <v>33</v>
      </c>
      <c r="F950" s="41">
        <v>278</v>
      </c>
      <c r="G950" s="42" t="s">
        <v>108</v>
      </c>
      <c r="H950" s="43" t="str">
        <f>IFERROR(VLOOKUP($J950,'[9]FROM (3)'!$E$4:$F$230,2,FALSE),"")</f>
        <v>SIAM NSK</v>
      </c>
      <c r="I950" s="44" t="str">
        <f t="shared" si="135"/>
        <v>SHAFT SPLINE</v>
      </c>
      <c r="J950" s="44" t="str">
        <f t="shared" si="131"/>
        <v>2550T0749P</v>
      </c>
      <c r="K950" s="59" t="str">
        <f t="shared" si="133"/>
        <v>PD26010869</v>
      </c>
      <c r="L950" s="46" t="str" cm="1">
        <f t="array" ref="L950">IFERROR(_xlfn.IFS(
    LEN($A950)-LEN(SUBSTITUTE($A950,"|",""))=12, RIGHT(A950, LEN(A950)-FIND("~", SUBSTITUTE(A950,"|","~", LEN(A950)-LEN(SUBSTITUTE(A950,"|",""))))),
    LEN($A950)-LEN(SUBSTITUTE($A950,"|",""))=13, MID($A950, FIND("~", SUBSTITUTE($A950,"|","~", 11))+1, FIND("~", SUBSTITUTE($A950,"|","~", 12))-FIND("~", SUBSTITUTE($A950,"|","~", 11))-1),
    LEN($A950)-LEN(SUBSTITUTE($A950,"|",""))=14, MID($A950, FIND("~", SUBSTITUTE($A950,"|","~", 11))+1, FIND("~", SUBSTITUTE($A950,"|","~", 12))-FIND("~", SUBSTITUTE($A950,"|","~", 11))-1)
), "")</f>
        <v>SF93402</v>
      </c>
      <c r="M950" s="47" t="str">
        <f t="shared" si="132"/>
        <v>SB010085/1/26</v>
      </c>
      <c r="N950" s="46" t="str">
        <f t="shared" si="134"/>
        <v/>
      </c>
      <c r="O950" s="60" t="s">
        <v>35</v>
      </c>
      <c r="P950" s="60" t="s">
        <v>35</v>
      </c>
      <c r="Q950" s="48">
        <v>1199</v>
      </c>
      <c r="R950" s="48">
        <v>685</v>
      </c>
      <c r="S950" s="48"/>
      <c r="T950" s="48"/>
      <c r="U950" s="49">
        <v>74</v>
      </c>
      <c r="V950" s="49">
        <v>14</v>
      </c>
      <c r="W950" s="50">
        <f t="shared" si="139"/>
        <v>88</v>
      </c>
      <c r="X950" s="51">
        <f>IF(A950="", "", IF(COUNTIFS(C$3:C949, C950, D$3:D949, D950, G$3:G949, G950) &gt; 0, "", "11:00"-AW950))</f>
        <v>0.39583333333333326</v>
      </c>
      <c r="Y950" s="52" t="str">
        <f t="shared" si="138"/>
        <v>1:40</v>
      </c>
      <c r="Z950" s="53"/>
      <c r="AA950" s="54"/>
      <c r="AB950" s="53"/>
      <c r="AC950" s="54"/>
      <c r="AD950" s="53"/>
      <c r="AE950" s="54"/>
      <c r="AF950" s="53">
        <v>2.0833333333333332E-2</v>
      </c>
      <c r="AG950" s="54" t="s">
        <v>67</v>
      </c>
      <c r="AH950" s="55">
        <v>4.1666666666666699E-2</v>
      </c>
      <c r="AI950" s="53"/>
      <c r="AJ950" s="54"/>
      <c r="AK950" s="53"/>
      <c r="AL950" s="54"/>
      <c r="AM950" s="53"/>
      <c r="AN950" s="54"/>
      <c r="AO950" s="53"/>
      <c r="AP950" s="54"/>
      <c r="AQ950" s="53"/>
      <c r="AR950" s="54"/>
      <c r="AS950" s="53"/>
      <c r="AT950" s="54"/>
      <c r="AU950" s="53">
        <v>4.1666666666666699E-2</v>
      </c>
      <c r="AV950" s="54" t="s">
        <v>37</v>
      </c>
      <c r="AW950" s="57">
        <f t="shared" si="137"/>
        <v>6.2500000000000028E-2</v>
      </c>
      <c r="AX950" s="58" t="s">
        <v>380</v>
      </c>
    </row>
    <row r="951" spans="1:50" ht="21" customHeight="1">
      <c r="A951" s="66" t="s">
        <v>850</v>
      </c>
      <c r="B951" s="39">
        <f t="shared" si="136"/>
        <v>947</v>
      </c>
      <c r="C951" s="40">
        <v>46044</v>
      </c>
      <c r="D951" s="40" t="s">
        <v>32</v>
      </c>
      <c r="E951" s="40" t="s">
        <v>33</v>
      </c>
      <c r="F951" s="41">
        <v>101.9</v>
      </c>
      <c r="G951" s="42" t="s">
        <v>108</v>
      </c>
      <c r="H951" s="43" t="str">
        <f>IFERROR(VLOOKUP($J951,'[9]FROM (3)'!$E$4:$F$230,2,FALSE),"")</f>
        <v>ATSUMITEC</v>
      </c>
      <c r="I951" s="44" t="str">
        <f t="shared" si="135"/>
        <v>SPINDLE KICK STARTER</v>
      </c>
      <c r="J951" s="44" t="str">
        <f t="shared" si="131"/>
        <v>28251-K1M-T000</v>
      </c>
      <c r="K951" s="59" t="str">
        <f t="shared" si="133"/>
        <v>PD26010765</v>
      </c>
      <c r="L951" s="46" t="str" cm="1">
        <f t="array" ref="L951">IFERROR(_xlfn.IFS(
    LEN($A951)-LEN(SUBSTITUTE($A951,"|",""))=12, RIGHT(A951, LEN(A951)-FIND("~", SUBSTITUTE(A951,"|","~", LEN(A951)-LEN(SUBSTITUTE(A951,"|",""))))),
    LEN($A951)-LEN(SUBSTITUTE($A951,"|",""))=13, MID($A951, FIND("~", SUBSTITUTE($A951,"|","~", 11))+1, FIND("~", SUBSTITUTE($A951,"|","~", 12))-FIND("~", SUBSTITUTE($A951,"|","~", 11))-1),
    LEN($A951)-LEN(SUBSTITUTE($A951,"|",""))=14, MID($A951, FIND("~", SUBSTITUTE($A951,"|","~", 11))+1, FIND("~", SUBSTITUTE($A951,"|","~", 12))-FIND("~", SUBSTITUTE($A951,"|","~", 11))-1)
), "")</f>
        <v>E586160</v>
      </c>
      <c r="M951" s="47" t="str">
        <f t="shared" si="132"/>
        <v>SB010012/1/26</v>
      </c>
      <c r="N951" s="46" t="str">
        <f t="shared" si="134"/>
        <v/>
      </c>
      <c r="O951" s="60">
        <v>97</v>
      </c>
      <c r="P951" s="60">
        <v>1008</v>
      </c>
      <c r="Q951" s="48">
        <v>2246</v>
      </c>
      <c r="R951" s="48">
        <v>451</v>
      </c>
      <c r="S951" s="48"/>
      <c r="T951" s="48"/>
      <c r="U951" s="49"/>
      <c r="V951" s="49"/>
      <c r="W951" s="50">
        <f t="shared" si="139"/>
        <v>0</v>
      </c>
      <c r="X951" s="51" t="str">
        <f>IF(A951="", "", IF(COUNTIFS(C$3:C950, C951, D$3:D950, D951, G$3:G950, G951) &gt; 0, "", "11:00"-AW951))</f>
        <v/>
      </c>
      <c r="Y951" s="52" t="str">
        <f t="shared" si="138"/>
        <v/>
      </c>
      <c r="Z951" s="53"/>
      <c r="AA951" s="54"/>
      <c r="AB951" s="53"/>
      <c r="AC951" s="54"/>
      <c r="AD951" s="53"/>
      <c r="AE951" s="54"/>
      <c r="AF951" s="53"/>
      <c r="AG951" s="54"/>
      <c r="AH951" s="55">
        <v>4.1666666666666699E-2</v>
      </c>
      <c r="AI951" s="53">
        <v>2.0833333333333332E-2</v>
      </c>
      <c r="AJ951" s="54" t="s">
        <v>82</v>
      </c>
      <c r="AK951" s="53"/>
      <c r="AL951" s="54"/>
      <c r="AM951" s="53"/>
      <c r="AN951" s="54"/>
      <c r="AO951" s="53"/>
      <c r="AP951" s="54"/>
      <c r="AQ951" s="53"/>
      <c r="AR951" s="54"/>
      <c r="AS951" s="53"/>
      <c r="AT951" s="54"/>
      <c r="AU951" s="53">
        <v>4.1666666666666699E-2</v>
      </c>
      <c r="AV951" s="54" t="s">
        <v>37</v>
      </c>
      <c r="AW951" s="57">
        <f t="shared" si="137"/>
        <v>6.2500000000000028E-2</v>
      </c>
      <c r="AX951" s="58" t="s">
        <v>380</v>
      </c>
    </row>
    <row r="952" spans="1:50" ht="21" customHeight="1">
      <c r="A952" s="66" t="s">
        <v>851</v>
      </c>
      <c r="B952" s="39">
        <f t="shared" si="136"/>
        <v>948</v>
      </c>
      <c r="C952" s="40">
        <v>46044</v>
      </c>
      <c r="D952" s="40" t="s">
        <v>32</v>
      </c>
      <c r="E952" s="40" t="s">
        <v>33</v>
      </c>
      <c r="F952" s="41">
        <v>148.5</v>
      </c>
      <c r="G952" s="42" t="s">
        <v>46</v>
      </c>
      <c r="H952" s="43" t="str">
        <f>IFERROR(VLOOKUP($J952,'[9]FROM (3)'!$E$4:$F$230,2,FALSE),"")</f>
        <v>SIAM NSK</v>
      </c>
      <c r="I952" s="44" t="str">
        <f t="shared" si="135"/>
        <v>SHAFT SPLINE</v>
      </c>
      <c r="J952" s="44" t="str">
        <f t="shared" si="131"/>
        <v>2530S0610P</v>
      </c>
      <c r="K952" s="59" t="str">
        <f t="shared" si="133"/>
        <v>PD26010866</v>
      </c>
      <c r="L952" s="46" t="str" cm="1">
        <f t="array" ref="L952">IFERROR(_xlfn.IFS(
    LEN($A952)-LEN(SUBSTITUTE($A952,"|",""))=12, RIGHT(A952, LEN(A952)-FIND("~", SUBSTITUTE(A952,"|","~", LEN(A952)-LEN(SUBSTITUTE(A952,"|",""))))),
    LEN($A952)-LEN(SUBSTITUTE($A952,"|",""))=13, MID($A952, FIND("~", SUBSTITUTE($A952,"|","~", 11))+1, FIND("~", SUBSTITUTE($A952,"|","~", 12))-FIND("~", SUBSTITUTE($A952,"|","~", 11))-1),
    LEN($A952)-LEN(SUBSTITUTE($A952,"|",""))=14, MID($A952, FIND("~", SUBSTITUTE($A952,"|","~", 11))+1, FIND("~", SUBSTITUTE($A952,"|","~", 12))-FIND("~", SUBSTITUTE($A952,"|","~", 11))-1)
), "")</f>
        <v>E484056</v>
      </c>
      <c r="M952" s="47" t="str">
        <f t="shared" si="132"/>
        <v>SB010093/1/26</v>
      </c>
      <c r="N952" s="46" t="str">
        <f t="shared" si="134"/>
        <v/>
      </c>
      <c r="O952" s="60">
        <v>80</v>
      </c>
      <c r="P952" s="60">
        <v>1012</v>
      </c>
      <c r="Q952" s="48">
        <v>2286</v>
      </c>
      <c r="R952" s="48">
        <v>836</v>
      </c>
      <c r="S952" s="48"/>
      <c r="T952" s="48"/>
      <c r="U952" s="49"/>
      <c r="V952" s="49"/>
      <c r="W952" s="50">
        <f t="shared" si="139"/>
        <v>0</v>
      </c>
      <c r="X952" s="51">
        <f>IF(A952="", "", IF(COUNTIFS(C$3:C951, C952, D$3:D951, D952, G$3:G951, G952) &gt; 0, "", "11:00"-AW952))</f>
        <v>0.33333333333333326</v>
      </c>
      <c r="Y952" s="52" t="str">
        <f t="shared" si="138"/>
        <v>1:40</v>
      </c>
      <c r="Z952" s="53"/>
      <c r="AA952" s="54"/>
      <c r="AB952" s="53"/>
      <c r="AC952" s="54"/>
      <c r="AD952" s="53"/>
      <c r="AE952" s="54"/>
      <c r="AF952" s="53"/>
      <c r="AG952" s="54"/>
      <c r="AH952" s="55">
        <v>4.1666666666666699E-2</v>
      </c>
      <c r="AI952" s="53">
        <v>4.1666666666666664E-2</v>
      </c>
      <c r="AJ952" s="54" t="s">
        <v>129</v>
      </c>
      <c r="AK952" s="53">
        <v>4.1666666666666664E-2</v>
      </c>
      <c r="AL952" s="54" t="s">
        <v>237</v>
      </c>
      <c r="AM952" s="53"/>
      <c r="AN952" s="54"/>
      <c r="AO952" s="53"/>
      <c r="AP952" s="54"/>
      <c r="AQ952" s="53"/>
      <c r="AR952" s="54"/>
      <c r="AS952" s="53"/>
      <c r="AT952" s="54"/>
      <c r="AU952" s="53">
        <v>4.1666666666666699E-2</v>
      </c>
      <c r="AV952" s="54" t="s">
        <v>37</v>
      </c>
      <c r="AW952" s="57">
        <f t="shared" si="137"/>
        <v>0.12500000000000003</v>
      </c>
      <c r="AX952" s="58" t="s">
        <v>380</v>
      </c>
    </row>
    <row r="953" spans="1:50" ht="21" customHeight="1">
      <c r="A953" s="66" t="s">
        <v>852</v>
      </c>
      <c r="B953" s="39">
        <f t="shared" si="136"/>
        <v>949</v>
      </c>
      <c r="C953" s="40">
        <v>46044</v>
      </c>
      <c r="D953" s="40" t="s">
        <v>32</v>
      </c>
      <c r="E953" s="40" t="s">
        <v>33</v>
      </c>
      <c r="F953" s="41">
        <v>765.7</v>
      </c>
      <c r="G953" s="42" t="s">
        <v>54</v>
      </c>
      <c r="H953" s="43" t="str">
        <f>IFERROR(VLOOKUP($J953,'[9]FROM (3)'!$E$4:$F$230,2,FALSE),"")</f>
        <v>JTCS</v>
      </c>
      <c r="I953" s="44" t="str">
        <f t="shared" si="135"/>
        <v>RACK, PS</v>
      </c>
      <c r="J953" s="44" t="str">
        <f t="shared" ref="J953:J1016" si="140">IFERROR(MID(A953,FIND("~",SUBSTITUTE(A953,"|","~",3))+1,FIND("~",SUBSTITUTE(A953,"|","~",4))-FIND("~",SUBSTITUTE(A953,"|","~",3))-1),"")</f>
        <v>JGD10S00670-B</v>
      </c>
      <c r="K953" s="59" t="str">
        <f t="shared" si="133"/>
        <v>PD26010968</v>
      </c>
      <c r="L953" s="46" t="str" cm="1">
        <f t="array" ref="L953">IFERROR(_xlfn.IFS(
    LEN($A953)-LEN(SUBSTITUTE($A953,"|",""))=12, RIGHT(A953, LEN(A953)-FIND("~", SUBSTITUTE(A953,"|","~", LEN(A953)-LEN(SUBSTITUTE(A953,"|",""))))),
    LEN($A953)-LEN(SUBSTITUTE($A953,"|",""))=13, MID($A953, FIND("~", SUBSTITUTE($A953,"|","~", 11))+1, FIND("~", SUBSTITUTE($A953,"|","~", 12))-FIND("~", SUBSTITUTE($A953,"|","~", 11))-1),
    LEN($A953)-LEN(SUBSTITUTE($A953,"|",""))=14, MID($A953, FIND("~", SUBSTITUTE($A953,"|","~", 11))+1, FIND("~", SUBSTITUTE($A953,"|","~", 12))-FIND("~", SUBSTITUTE($A953,"|","~", 11))-1)
), "")</f>
        <v>E586447</v>
      </c>
      <c r="M953" s="47" t="str">
        <f t="shared" si="132"/>
        <v>SB010119/2/26</v>
      </c>
      <c r="N953" s="46" t="str">
        <f t="shared" si="134"/>
        <v/>
      </c>
      <c r="O953" s="60">
        <v>22</v>
      </c>
      <c r="P953" s="60">
        <v>782</v>
      </c>
      <c r="Q953" s="48">
        <v>154</v>
      </c>
      <c r="R953" s="48">
        <v>756</v>
      </c>
      <c r="S953" s="48"/>
      <c r="T953" s="48"/>
      <c r="U953" s="49"/>
      <c r="V953" s="49"/>
      <c r="W953" s="50">
        <f t="shared" si="139"/>
        <v>0</v>
      </c>
      <c r="X953" s="51">
        <f>IF(A953="", "", IF(COUNTIFS(C$3:C952, C953, D$3:D952, D953, G$3:G952, G953) &gt; 0, "", "11:00"-AW953))</f>
        <v>0.33333333333333326</v>
      </c>
      <c r="Y953" s="52" t="str">
        <f t="shared" si="138"/>
        <v>1:0</v>
      </c>
      <c r="Z953" s="53"/>
      <c r="AA953" s="54"/>
      <c r="AB953" s="53"/>
      <c r="AC953" s="54"/>
      <c r="AD953" s="53"/>
      <c r="AE953" s="54" t="s">
        <v>122</v>
      </c>
      <c r="AF953" s="53"/>
      <c r="AG953" s="54"/>
      <c r="AH953" s="55">
        <v>4.1666666666666699E-2</v>
      </c>
      <c r="AI953" s="53"/>
      <c r="AJ953" s="54"/>
      <c r="AK953" s="53"/>
      <c r="AL953" s="54"/>
      <c r="AM953" s="53"/>
      <c r="AN953" s="54"/>
      <c r="AO953" s="53"/>
      <c r="AP953" s="54" t="s">
        <v>122</v>
      </c>
      <c r="AQ953" s="53">
        <v>4.1666666666666664E-2</v>
      </c>
      <c r="AR953" s="54" t="s">
        <v>37</v>
      </c>
      <c r="AS953" s="53">
        <v>4.1666666666666664E-2</v>
      </c>
      <c r="AT953" s="54" t="s">
        <v>37</v>
      </c>
      <c r="AU953" s="53">
        <v>4.1666666666666699E-2</v>
      </c>
      <c r="AV953" s="54" t="s">
        <v>37</v>
      </c>
      <c r="AW953" s="57">
        <f t="shared" si="137"/>
        <v>0.12500000000000003</v>
      </c>
      <c r="AX953" s="58" t="s">
        <v>56</v>
      </c>
    </row>
    <row r="954" spans="1:50" ht="21" customHeight="1">
      <c r="A954" s="66" t="s">
        <v>853</v>
      </c>
      <c r="B954" s="39">
        <f t="shared" si="136"/>
        <v>950</v>
      </c>
      <c r="C954" s="40">
        <v>46044</v>
      </c>
      <c r="D954" s="40" t="s">
        <v>32</v>
      </c>
      <c r="E954" s="40" t="s">
        <v>33</v>
      </c>
      <c r="F954" s="41">
        <v>765.7</v>
      </c>
      <c r="G954" s="42" t="s">
        <v>54</v>
      </c>
      <c r="H954" s="43" t="str">
        <f>IFERROR(VLOOKUP($J954,'[9]FROM (3)'!$E$4:$F$230,2,FALSE),"")</f>
        <v>JTCS</v>
      </c>
      <c r="I954" s="44" t="str">
        <f t="shared" si="135"/>
        <v>RACK, PS</v>
      </c>
      <c r="J954" s="44" t="str">
        <f t="shared" si="140"/>
        <v>JGD10S00670-B</v>
      </c>
      <c r="K954" s="59" t="str">
        <f t="shared" si="133"/>
        <v>PD26010968</v>
      </c>
      <c r="L954" s="46" t="str" cm="1">
        <f t="array" ref="L954">IFERROR(_xlfn.IFS(
    LEN($A954)-LEN(SUBSTITUTE($A954,"|",""))=12, RIGHT(A954, LEN(A954)-FIND("~", SUBSTITUTE(A954,"|","~", LEN(A954)-LEN(SUBSTITUTE(A954,"|",""))))),
    LEN($A954)-LEN(SUBSTITUTE($A954,"|",""))=13, MID($A954, FIND("~", SUBSTITUTE($A954,"|","~", 11))+1, FIND("~", SUBSTITUTE($A954,"|","~", 12))-FIND("~", SUBSTITUTE($A954,"|","~", 11))-1),
    LEN($A954)-LEN(SUBSTITUTE($A954,"|",""))=14, MID($A954, FIND("~", SUBSTITUTE($A954,"|","~", 11))+1, FIND("~", SUBSTITUTE($A954,"|","~", 12))-FIND("~", SUBSTITUTE($A954,"|","~", 11))-1)
), "")</f>
        <v>E586447</v>
      </c>
      <c r="M954" s="47" t="str">
        <f t="shared" si="132"/>
        <v>SB010119/1/26</v>
      </c>
      <c r="N954" s="46" t="str">
        <f t="shared" si="134"/>
        <v/>
      </c>
      <c r="O954" s="60">
        <v>23</v>
      </c>
      <c r="P954" s="60">
        <v>818</v>
      </c>
      <c r="Q954" s="48">
        <v>161</v>
      </c>
      <c r="R954" s="48">
        <v>791</v>
      </c>
      <c r="S954" s="48"/>
      <c r="T954" s="48"/>
      <c r="U954" s="49">
        <v>48</v>
      </c>
      <c r="V954" s="49">
        <v>5</v>
      </c>
      <c r="W954" s="50">
        <f t="shared" si="139"/>
        <v>53</v>
      </c>
      <c r="X954" s="51" t="str">
        <f>IF(A954="", "", IF(COUNTIFS(C$3:C953, C954, D$3:D953, D954, G$3:G953, G954) &gt; 0, "", "11:00"-AW954))</f>
        <v/>
      </c>
      <c r="Y954" s="52" t="str">
        <f t="shared" si="138"/>
        <v/>
      </c>
      <c r="Z954" s="53"/>
      <c r="AA954" s="54"/>
      <c r="AB954" s="53"/>
      <c r="AC954" s="54"/>
      <c r="AD954" s="53"/>
      <c r="AE954" s="54"/>
      <c r="AF954" s="53"/>
      <c r="AG954" s="54"/>
      <c r="AH954" s="55">
        <v>4.1666666666666699E-2</v>
      </c>
      <c r="AI954" s="53"/>
      <c r="AJ954" s="54"/>
      <c r="AK954" s="53"/>
      <c r="AL954" s="54"/>
      <c r="AM954" s="53"/>
      <c r="AN954" s="54"/>
      <c r="AO954" s="53"/>
      <c r="AP954" s="54"/>
      <c r="AQ954" s="53"/>
      <c r="AR954" s="54"/>
      <c r="AS954" s="53"/>
      <c r="AT954" s="54"/>
      <c r="AU954" s="53">
        <v>4.1666666666666699E-2</v>
      </c>
      <c r="AV954" s="54" t="s">
        <v>37</v>
      </c>
      <c r="AW954" s="57">
        <f t="shared" si="137"/>
        <v>4.1666666666666699E-2</v>
      </c>
      <c r="AX954" s="58" t="s">
        <v>56</v>
      </c>
    </row>
    <row r="955" spans="1:50" ht="21" customHeight="1">
      <c r="A955" s="66" t="s">
        <v>854</v>
      </c>
      <c r="B955" s="39">
        <f t="shared" si="136"/>
        <v>951</v>
      </c>
      <c r="C955" s="40">
        <v>46044</v>
      </c>
      <c r="D955" s="40" t="s">
        <v>32</v>
      </c>
      <c r="E955" s="40" t="s">
        <v>33</v>
      </c>
      <c r="F955" s="41">
        <v>765.7</v>
      </c>
      <c r="G955" s="42" t="s">
        <v>54</v>
      </c>
      <c r="H955" s="43" t="str">
        <f>IFERROR(VLOOKUP($J955,'[9]FROM (3)'!$E$4:$F$230,2,FALSE),"")</f>
        <v>JTCS</v>
      </c>
      <c r="I955" s="44" t="str">
        <f t="shared" si="135"/>
        <v>RACK, PS</v>
      </c>
      <c r="J955" s="44" t="str">
        <f t="shared" si="140"/>
        <v>JGD10S00670-B</v>
      </c>
      <c r="K955" s="59" t="str">
        <f t="shared" si="133"/>
        <v>PD26010966</v>
      </c>
      <c r="L955" s="46" t="str" cm="1">
        <f t="array" ref="L955">IFERROR(_xlfn.IFS(
    LEN($A955)-LEN(SUBSTITUTE($A955,"|",""))=12, RIGHT(A955, LEN(A955)-FIND("~", SUBSTITUTE(A955,"|","~", LEN(A955)-LEN(SUBSTITUTE(A955,"|",""))))),
    LEN($A955)-LEN(SUBSTITUTE($A955,"|",""))=13, MID($A955, FIND("~", SUBSTITUTE($A955,"|","~", 11))+1, FIND("~", SUBSTITUTE($A955,"|","~", 12))-FIND("~", SUBSTITUTE($A955,"|","~", 11))-1),
    LEN($A955)-LEN(SUBSTITUTE($A955,"|",""))=14, MID($A955, FIND("~", SUBSTITUTE($A955,"|","~", 11))+1, FIND("~", SUBSTITUTE($A955,"|","~", 12))-FIND("~", SUBSTITUTE($A955,"|","~", 11))-1)
), "")</f>
        <v>E586447</v>
      </c>
      <c r="M955" s="47" t="str">
        <f t="shared" si="132"/>
        <v>SB010121/2/26</v>
      </c>
      <c r="N955" s="46" t="str">
        <f t="shared" si="134"/>
        <v/>
      </c>
      <c r="O955" s="60">
        <v>25</v>
      </c>
      <c r="P955" s="60">
        <v>890</v>
      </c>
      <c r="Q955" s="48">
        <v>175</v>
      </c>
      <c r="R955" s="48">
        <v>859</v>
      </c>
      <c r="S955" s="48"/>
      <c r="T955" s="48"/>
      <c r="U955" s="49"/>
      <c r="V955" s="49"/>
      <c r="W955" s="50">
        <f t="shared" si="139"/>
        <v>0</v>
      </c>
      <c r="X955" s="51" t="str">
        <f>IF(A955="", "", IF(COUNTIFS(C$3:C954, C955, D$3:D954, D955, G$3:G954, G955) &gt; 0, "", "11:00"-AW955))</f>
        <v/>
      </c>
      <c r="Y955" s="52" t="str">
        <f t="shared" si="138"/>
        <v/>
      </c>
      <c r="Z955" s="53"/>
      <c r="AA955" s="54"/>
      <c r="AB955" s="53"/>
      <c r="AC955" s="54"/>
      <c r="AD955" s="53"/>
      <c r="AE955" s="54"/>
      <c r="AF955" s="53"/>
      <c r="AG955" s="54"/>
      <c r="AH955" s="55">
        <v>4.1666666666666699E-2</v>
      </c>
      <c r="AI955" s="53"/>
      <c r="AJ955" s="54"/>
      <c r="AK955" s="53"/>
      <c r="AL955" s="54"/>
      <c r="AM955" s="53"/>
      <c r="AN955" s="54"/>
      <c r="AO955" s="53"/>
      <c r="AP955" s="54"/>
      <c r="AQ955" s="53"/>
      <c r="AR955" s="54"/>
      <c r="AS955" s="53"/>
      <c r="AT955" s="54"/>
      <c r="AU955" s="53">
        <v>4.1666666666666699E-2</v>
      </c>
      <c r="AV955" s="54" t="s">
        <v>37</v>
      </c>
      <c r="AW955" s="57">
        <f t="shared" si="137"/>
        <v>4.1666666666666699E-2</v>
      </c>
      <c r="AX955" s="58" t="s">
        <v>56</v>
      </c>
    </row>
    <row r="956" spans="1:50" ht="21" customHeight="1">
      <c r="A956" s="66" t="s">
        <v>855</v>
      </c>
      <c r="B956" s="39">
        <f t="shared" si="136"/>
        <v>952</v>
      </c>
      <c r="C956" s="40">
        <v>46044</v>
      </c>
      <c r="D956" s="40" t="s">
        <v>32</v>
      </c>
      <c r="E956" s="40" t="s">
        <v>33</v>
      </c>
      <c r="F956" s="41">
        <v>765.7</v>
      </c>
      <c r="G956" s="42" t="s">
        <v>54</v>
      </c>
      <c r="H956" s="43" t="str">
        <f>IFERROR(VLOOKUP($J956,'[9]FROM (3)'!$E$4:$F$230,2,FALSE),"")</f>
        <v>JTCS</v>
      </c>
      <c r="I956" s="44" t="str">
        <f t="shared" si="135"/>
        <v>RACK, PS</v>
      </c>
      <c r="J956" s="44" t="str">
        <f t="shared" si="140"/>
        <v>JGD10S00670-B</v>
      </c>
      <c r="K956" s="59" t="str">
        <f t="shared" si="133"/>
        <v>PD26010966</v>
      </c>
      <c r="L956" s="46" t="str" cm="1">
        <f t="array" ref="L956">IFERROR(_xlfn.IFS(
    LEN($A956)-LEN(SUBSTITUTE($A956,"|",""))=12, RIGHT(A956, LEN(A956)-FIND("~", SUBSTITUTE(A956,"|","~", LEN(A956)-LEN(SUBSTITUTE(A956,"|",""))))),
    LEN($A956)-LEN(SUBSTITUTE($A956,"|",""))=13, MID($A956, FIND("~", SUBSTITUTE($A956,"|","~", 11))+1, FIND("~", SUBSTITUTE($A956,"|","~", 12))-FIND("~", SUBSTITUTE($A956,"|","~", 11))-1),
    LEN($A956)-LEN(SUBSTITUTE($A956,"|",""))=14, MID($A956, FIND("~", SUBSTITUTE($A956,"|","~", 11))+1, FIND("~", SUBSTITUTE($A956,"|","~", 12))-FIND("~", SUBSTITUTE($A956,"|","~", 11))-1)
), "")</f>
        <v>E586447</v>
      </c>
      <c r="M956" s="47" t="str">
        <f t="shared" si="132"/>
        <v>SB010121/3/26</v>
      </c>
      <c r="N956" s="46" t="str">
        <f t="shared" si="134"/>
        <v/>
      </c>
      <c r="O956" s="60">
        <v>25</v>
      </c>
      <c r="P956" s="60">
        <v>890</v>
      </c>
      <c r="Q956" s="48">
        <v>175</v>
      </c>
      <c r="R956" s="48">
        <v>859</v>
      </c>
      <c r="S956" s="48"/>
      <c r="T956" s="48"/>
      <c r="U956" s="49"/>
      <c r="V956" s="49"/>
      <c r="W956" s="50">
        <f t="shared" si="139"/>
        <v>0</v>
      </c>
      <c r="X956" s="51" t="str">
        <f>IF(A956="", "", IF(COUNTIFS(C$3:C955, C956, D$3:D955, D956, G$3:G955, G956) &gt; 0, "", "11:00"-AW956))</f>
        <v/>
      </c>
      <c r="Y956" s="52" t="str">
        <f t="shared" si="138"/>
        <v/>
      </c>
      <c r="Z956" s="53"/>
      <c r="AA956" s="54"/>
      <c r="AB956" s="53"/>
      <c r="AC956" s="54"/>
      <c r="AD956" s="53"/>
      <c r="AE956" s="54"/>
      <c r="AF956" s="53"/>
      <c r="AG956" s="54"/>
      <c r="AH956" s="55">
        <v>4.1666666666666699E-2</v>
      </c>
      <c r="AI956" s="53"/>
      <c r="AJ956" s="54"/>
      <c r="AK956" s="53"/>
      <c r="AL956" s="54"/>
      <c r="AM956" s="53"/>
      <c r="AN956" s="54"/>
      <c r="AO956" s="53"/>
      <c r="AP956" s="54"/>
      <c r="AQ956" s="53"/>
      <c r="AR956" s="54"/>
      <c r="AS956" s="53"/>
      <c r="AT956" s="54"/>
      <c r="AU956" s="53">
        <v>4.1666666666666699E-2</v>
      </c>
      <c r="AV956" s="54" t="s">
        <v>37</v>
      </c>
      <c r="AW956" s="57">
        <f t="shared" si="137"/>
        <v>4.1666666666666699E-2</v>
      </c>
      <c r="AX956" s="58" t="s">
        <v>56</v>
      </c>
    </row>
    <row r="957" spans="1:50" ht="21" customHeight="1">
      <c r="A957" s="66" t="s">
        <v>856</v>
      </c>
      <c r="B957" s="39">
        <f t="shared" si="136"/>
        <v>953</v>
      </c>
      <c r="C957" s="40">
        <v>46044</v>
      </c>
      <c r="D957" s="40" t="s">
        <v>32</v>
      </c>
      <c r="E957" s="40" t="s">
        <v>33</v>
      </c>
      <c r="F957" s="41">
        <v>765.7</v>
      </c>
      <c r="G957" s="42" t="s">
        <v>54</v>
      </c>
      <c r="H957" s="43" t="str">
        <f>IFERROR(VLOOKUP($J957,'[9]FROM (3)'!$E$4:$F$230,2,FALSE),"")</f>
        <v>JTCS</v>
      </c>
      <c r="I957" s="44" t="str">
        <f t="shared" si="135"/>
        <v>RACK, PS</v>
      </c>
      <c r="J957" s="44" t="str">
        <f t="shared" si="140"/>
        <v>JGD10S00670-B</v>
      </c>
      <c r="K957" s="59" t="str">
        <f t="shared" si="133"/>
        <v>PD26010966</v>
      </c>
      <c r="L957" s="46" t="str" cm="1">
        <f t="array" ref="L957">IFERROR(_xlfn.IFS(
    LEN($A957)-LEN(SUBSTITUTE($A957,"|",""))=12, RIGHT(A957, LEN(A957)-FIND("~", SUBSTITUTE(A957,"|","~", LEN(A957)-LEN(SUBSTITUTE(A957,"|",""))))),
    LEN($A957)-LEN(SUBSTITUTE($A957,"|",""))=13, MID($A957, FIND("~", SUBSTITUTE($A957,"|","~", 11))+1, FIND("~", SUBSTITUTE($A957,"|","~", 12))-FIND("~", SUBSTITUTE($A957,"|","~", 11))-1),
    LEN($A957)-LEN(SUBSTITUTE($A957,"|",""))=14, MID($A957, FIND("~", SUBSTITUTE($A957,"|","~", 11))+1, FIND("~", SUBSTITUTE($A957,"|","~", 12))-FIND("~", SUBSTITUTE($A957,"|","~", 11))-1)
), "")</f>
        <v>E586447</v>
      </c>
      <c r="M957" s="47" t="str">
        <f t="shared" si="132"/>
        <v>SB010121/1/26</v>
      </c>
      <c r="N957" s="46" t="str">
        <f t="shared" si="134"/>
        <v/>
      </c>
      <c r="O957" s="60">
        <v>25</v>
      </c>
      <c r="P957" s="60">
        <v>890</v>
      </c>
      <c r="Q957" s="48">
        <v>175</v>
      </c>
      <c r="R957" s="48">
        <v>859</v>
      </c>
      <c r="S957" s="48"/>
      <c r="T957" s="48"/>
      <c r="U957" s="49">
        <v>80</v>
      </c>
      <c r="V957" s="49">
        <v>8</v>
      </c>
      <c r="W957" s="50">
        <f t="shared" si="139"/>
        <v>88</v>
      </c>
      <c r="X957" s="51" t="str">
        <f>IF(A957="", "", IF(COUNTIFS(C$3:C956, C957, D$3:D956, D957, G$3:G956, G957) &gt; 0, "", "11:00"-AW957))</f>
        <v/>
      </c>
      <c r="Y957" s="52" t="str">
        <f t="shared" si="138"/>
        <v/>
      </c>
      <c r="Z957" s="53"/>
      <c r="AA957" s="54"/>
      <c r="AB957" s="53"/>
      <c r="AC957" s="54"/>
      <c r="AD957" s="53"/>
      <c r="AE957" s="54"/>
      <c r="AF957" s="53"/>
      <c r="AG957" s="54"/>
      <c r="AH957" s="55">
        <v>4.1666666666666699E-2</v>
      </c>
      <c r="AI957" s="53"/>
      <c r="AJ957" s="54"/>
      <c r="AK957" s="53"/>
      <c r="AL957" s="54"/>
      <c r="AM957" s="53"/>
      <c r="AN957" s="54"/>
      <c r="AO957" s="53"/>
      <c r="AP957" s="54"/>
      <c r="AQ957" s="53"/>
      <c r="AR957" s="54"/>
      <c r="AS957" s="53"/>
      <c r="AT957" s="54"/>
      <c r="AU957" s="53">
        <v>4.1666666666666699E-2</v>
      </c>
      <c r="AV957" s="54" t="s">
        <v>37</v>
      </c>
      <c r="AW957" s="57">
        <f t="shared" si="137"/>
        <v>4.1666666666666699E-2</v>
      </c>
      <c r="AX957" s="58" t="s">
        <v>56</v>
      </c>
    </row>
    <row r="958" spans="1:50" ht="21" customHeight="1">
      <c r="A958" s="66" t="s">
        <v>857</v>
      </c>
      <c r="B958" s="39">
        <f t="shared" si="136"/>
        <v>954</v>
      </c>
      <c r="C958" s="40">
        <v>46044</v>
      </c>
      <c r="D958" s="40" t="s">
        <v>32</v>
      </c>
      <c r="E958" s="40" t="s">
        <v>33</v>
      </c>
      <c r="F958" s="41">
        <v>765.7</v>
      </c>
      <c r="G958" s="42" t="s">
        <v>54</v>
      </c>
      <c r="H958" s="43" t="str">
        <f>IFERROR(VLOOKUP($J958,'[9]FROM (3)'!$E$4:$F$230,2,FALSE),"")</f>
        <v>JTCS</v>
      </c>
      <c r="I958" s="44" t="str">
        <f t="shared" si="135"/>
        <v>RACK, PS</v>
      </c>
      <c r="J958" s="44" t="str">
        <f t="shared" si="140"/>
        <v>JGD10S00670-B</v>
      </c>
      <c r="K958" s="59" t="str">
        <f t="shared" si="133"/>
        <v>PD26010970</v>
      </c>
      <c r="L958" s="46" t="str" cm="1">
        <f t="array" ref="L958">IFERROR(_xlfn.IFS(
    LEN($A958)-LEN(SUBSTITUTE($A958,"|",""))=12, RIGHT(A958, LEN(A958)-FIND("~", SUBSTITUTE(A958,"|","~", LEN(A958)-LEN(SUBSTITUTE(A958,"|",""))))),
    LEN($A958)-LEN(SUBSTITUTE($A958,"|",""))=13, MID($A958, FIND("~", SUBSTITUTE($A958,"|","~", 11))+1, FIND("~", SUBSTITUTE($A958,"|","~", 12))-FIND("~", SUBSTITUTE($A958,"|","~", 11))-1),
    LEN($A958)-LEN(SUBSTITUTE($A958,"|",""))=14, MID($A958, FIND("~", SUBSTITUTE($A958,"|","~", 11))+1, FIND("~", SUBSTITUTE($A958,"|","~", 12))-FIND("~", SUBSTITUTE($A958,"|","~", 11))-1)
), "")</f>
        <v>E586447</v>
      </c>
      <c r="M958" s="47" t="str">
        <f t="shared" si="132"/>
        <v>SB010119/6/26</v>
      </c>
      <c r="N958" s="46" t="str">
        <f t="shared" si="134"/>
        <v/>
      </c>
      <c r="O958" s="60">
        <v>25</v>
      </c>
      <c r="P958" s="60">
        <v>890</v>
      </c>
      <c r="Q958" s="48">
        <v>38</v>
      </c>
      <c r="R958" s="48">
        <v>187</v>
      </c>
      <c r="S958" s="48"/>
      <c r="T958" s="48"/>
      <c r="U958" s="49"/>
      <c r="V958" s="49"/>
      <c r="W958" s="50">
        <f t="shared" si="139"/>
        <v>0</v>
      </c>
      <c r="X958" s="51" t="str">
        <f>IF(A958="", "", IF(COUNTIFS(C$3:C957, C958, D$3:D957, D958, G$3:G957, G958) &gt; 0, "", "11:00"-AW958))</f>
        <v/>
      </c>
      <c r="Y958" s="52" t="str">
        <f t="shared" si="138"/>
        <v/>
      </c>
      <c r="Z958" s="53"/>
      <c r="AA958" s="54"/>
      <c r="AB958" s="53"/>
      <c r="AC958" s="54"/>
      <c r="AD958" s="53"/>
      <c r="AE958" s="54"/>
      <c r="AF958" s="53"/>
      <c r="AG958" s="54"/>
      <c r="AH958" s="55">
        <v>4.1666666666666699E-2</v>
      </c>
      <c r="AI958" s="53"/>
      <c r="AJ958" s="54"/>
      <c r="AK958" s="53"/>
      <c r="AL958" s="54"/>
      <c r="AM958" s="53"/>
      <c r="AN958" s="54"/>
      <c r="AO958" s="53"/>
      <c r="AP958" s="54"/>
      <c r="AQ958" s="53"/>
      <c r="AR958" s="54"/>
      <c r="AS958" s="53"/>
      <c r="AT958" s="54"/>
      <c r="AU958" s="53">
        <v>4.1666666666666699E-2</v>
      </c>
      <c r="AV958" s="54" t="s">
        <v>37</v>
      </c>
      <c r="AW958" s="57">
        <f t="shared" si="137"/>
        <v>4.1666666666666699E-2</v>
      </c>
      <c r="AX958" s="58" t="s">
        <v>56</v>
      </c>
    </row>
    <row r="959" spans="1:50" ht="21" customHeight="1">
      <c r="A959" s="66" t="s">
        <v>858</v>
      </c>
      <c r="B959" s="39">
        <f t="shared" si="136"/>
        <v>955</v>
      </c>
      <c r="C959" s="40">
        <v>46044</v>
      </c>
      <c r="D959" s="40" t="s">
        <v>32</v>
      </c>
      <c r="E959" s="40" t="s">
        <v>33</v>
      </c>
      <c r="F959" s="41">
        <v>655.4</v>
      </c>
      <c r="G959" s="42" t="s">
        <v>85</v>
      </c>
      <c r="H959" s="43" t="str">
        <f>IFERROR(VLOOKUP($J959,'[9]FROM (3)'!$E$4:$F$230,2,FALSE),"")</f>
        <v>JAMY</v>
      </c>
      <c r="I959" s="44" t="str">
        <f t="shared" si="135"/>
        <v>RACK BAR</v>
      </c>
      <c r="J959" s="44" t="str">
        <f t="shared" si="140"/>
        <v>JGC10-M09008-51-0</v>
      </c>
      <c r="K959" s="59" t="str">
        <f t="shared" si="133"/>
        <v>PD26010873</v>
      </c>
      <c r="L959" s="46" t="str" cm="1">
        <f t="array" ref="L959">IFERROR(_xlfn.IFS(
    LEN($A959)-LEN(SUBSTITUTE($A959,"|",""))=12, RIGHT(A959, LEN(A959)-FIND("~", SUBSTITUTE(A959,"|","~", LEN(A959)-LEN(SUBSTITUTE(A959,"|",""))))),
    LEN($A959)-LEN(SUBSTITUTE($A959,"|",""))=13, MID($A959, FIND("~", SUBSTITUTE($A959,"|","~", 11))+1, FIND("~", SUBSTITUTE($A959,"|","~", 12))-FIND("~", SUBSTITUTE($A959,"|","~", 11))-1),
    LEN($A959)-LEN(SUBSTITUTE($A959,"|",""))=14, MID($A959, FIND("~", SUBSTITUTE($A959,"|","~", 11))+1, FIND("~", SUBSTITUTE($A959,"|","~", 12))-FIND("~", SUBSTITUTE($A959,"|","~", 11))-1)
), "")</f>
        <v>E586966</v>
      </c>
      <c r="M959" s="47" t="str">
        <f t="shared" si="132"/>
        <v>SB010114/2/26</v>
      </c>
      <c r="N959" s="46" t="str">
        <f t="shared" si="134"/>
        <v/>
      </c>
      <c r="O959" s="60" t="s">
        <v>35</v>
      </c>
      <c r="P959" s="60" t="s">
        <v>35</v>
      </c>
      <c r="Q959" s="48">
        <v>300</v>
      </c>
      <c r="R959" s="48">
        <v>819</v>
      </c>
      <c r="S959" s="48"/>
      <c r="T959" s="48"/>
      <c r="U959" s="49"/>
      <c r="V959" s="49"/>
      <c r="W959" s="50">
        <f t="shared" si="139"/>
        <v>0</v>
      </c>
      <c r="X959" s="51">
        <f>IF(A959="", "", IF(COUNTIFS(C$3:C958, C959, D$3:D958, D959, G$3:G958, G959) &gt; 0, "", "11:00"-AW959))</f>
        <v>0.41666666666666663</v>
      </c>
      <c r="Y959" s="52" t="str">
        <f t="shared" si="138"/>
        <v>1:40</v>
      </c>
      <c r="Z959" s="53"/>
      <c r="AA959" s="54"/>
      <c r="AB959" s="53"/>
      <c r="AC959" s="54"/>
      <c r="AD959" s="53"/>
      <c r="AE959" s="54"/>
      <c r="AF959" s="53"/>
      <c r="AG959" s="54"/>
      <c r="AH959" s="55">
        <v>4.1666666666666699E-2</v>
      </c>
      <c r="AI959" s="53"/>
      <c r="AJ959" s="54"/>
      <c r="AK959" s="53"/>
      <c r="AL959" s="54"/>
      <c r="AM959" s="53"/>
      <c r="AN959" s="54"/>
      <c r="AO959" s="53"/>
      <c r="AP959" s="54"/>
      <c r="AQ959" s="53"/>
      <c r="AR959" s="54"/>
      <c r="AS959" s="53"/>
      <c r="AT959" s="54"/>
      <c r="AU959" s="53">
        <v>4.1666666666666699E-2</v>
      </c>
      <c r="AV959" s="54" t="s">
        <v>37</v>
      </c>
      <c r="AW959" s="57">
        <f t="shared" si="137"/>
        <v>4.1666666666666699E-2</v>
      </c>
      <c r="AX959" s="58" t="s">
        <v>117</v>
      </c>
    </row>
    <row r="960" spans="1:50" ht="21" customHeight="1">
      <c r="A960" s="66" t="s">
        <v>859</v>
      </c>
      <c r="B960" s="39">
        <f t="shared" si="136"/>
        <v>956</v>
      </c>
      <c r="C960" s="40">
        <v>46044</v>
      </c>
      <c r="D960" s="40" t="s">
        <v>32</v>
      </c>
      <c r="E960" s="40" t="s">
        <v>33</v>
      </c>
      <c r="F960" s="41">
        <v>565.20000000000005</v>
      </c>
      <c r="G960" s="42" t="s">
        <v>85</v>
      </c>
      <c r="H960" s="43" t="str">
        <f>IFERROR(VLOOKUP($J960,'[9]FROM (3)'!$E$4:$F$230,2,FALSE),"")</f>
        <v>JTCS</v>
      </c>
      <c r="I960" s="44" t="str">
        <f t="shared" si="135"/>
        <v>RACK, MS</v>
      </c>
      <c r="J960" s="44" t="str">
        <f t="shared" si="140"/>
        <v>JGC10-003040-40-0</v>
      </c>
      <c r="K960" s="59" t="str">
        <f t="shared" si="133"/>
        <v>PD26010990</v>
      </c>
      <c r="L960" s="46" t="str" cm="1">
        <f t="array" ref="L960">IFERROR(_xlfn.IFS(
    LEN($A960)-LEN(SUBSTITUTE($A960,"|",""))=12, RIGHT(A960, LEN(A960)-FIND("~", SUBSTITUTE(A960,"|","~", LEN(A960)-LEN(SUBSTITUTE(A960,"|",""))))),
    LEN($A960)-LEN(SUBSTITUTE($A960,"|",""))=13, MID($A960, FIND("~", SUBSTITUTE($A960,"|","~", 11))+1, FIND("~", SUBSTITUTE($A960,"|","~", 12))-FIND("~", SUBSTITUTE($A960,"|","~", 11))-1),
    LEN($A960)-LEN(SUBSTITUTE($A960,"|",""))=14, MID($A960, FIND("~", SUBSTITUTE($A960,"|","~", 11))+1, FIND("~", SUBSTITUTE($A960,"|","~", 12))-FIND("~", SUBSTITUTE($A960,"|","~", 11))-1)
), "")</f>
        <v>E585615</v>
      </c>
      <c r="M960" s="47" t="str">
        <f t="shared" si="132"/>
        <v>SB120004/8/25</v>
      </c>
      <c r="N960" s="46" t="str">
        <f t="shared" si="134"/>
        <v/>
      </c>
      <c r="O960" s="60">
        <v>80</v>
      </c>
      <c r="P960" s="60">
        <v>1218</v>
      </c>
      <c r="Q960" s="60">
        <v>480</v>
      </c>
      <c r="R960" s="60">
        <v>1130</v>
      </c>
      <c r="S960" s="48"/>
      <c r="T960" s="48"/>
      <c r="U960" s="49">
        <v>67</v>
      </c>
      <c r="V960" s="49">
        <v>5</v>
      </c>
      <c r="W960" s="50">
        <f t="shared" si="139"/>
        <v>72</v>
      </c>
      <c r="X960" s="51" t="str">
        <f>IF(A960="", "", IF(COUNTIFS(C$3:C959, C960, D$3:D959, D960, G$3:G959, G960) &gt; 0, "", "11:00"-AW960))</f>
        <v/>
      </c>
      <c r="Y960" s="52" t="str">
        <f t="shared" si="138"/>
        <v/>
      </c>
      <c r="Z960" s="53"/>
      <c r="AA960" s="54"/>
      <c r="AB960" s="53"/>
      <c r="AC960" s="54"/>
      <c r="AD960" s="53"/>
      <c r="AE960" s="54"/>
      <c r="AF960" s="53">
        <v>4.1666666666666664E-2</v>
      </c>
      <c r="AG960" s="54" t="s">
        <v>67</v>
      </c>
      <c r="AH960" s="55">
        <v>4.1666666666666699E-2</v>
      </c>
      <c r="AI960" s="53"/>
      <c r="AJ960" s="54"/>
      <c r="AK960" s="53"/>
      <c r="AL960" s="54"/>
      <c r="AM960" s="53"/>
      <c r="AN960" s="54"/>
      <c r="AO960" s="53"/>
      <c r="AP960" s="54"/>
      <c r="AQ960" s="53"/>
      <c r="AR960" s="54"/>
      <c r="AS960" s="53"/>
      <c r="AT960" s="54"/>
      <c r="AU960" s="53">
        <v>4.1666666666666699E-2</v>
      </c>
      <c r="AV960" s="54" t="s">
        <v>37</v>
      </c>
      <c r="AW960" s="57">
        <f t="shared" si="137"/>
        <v>8.333333333333337E-2</v>
      </c>
      <c r="AX960" s="58" t="s">
        <v>117</v>
      </c>
    </row>
    <row r="961" spans="1:50" ht="21" customHeight="1">
      <c r="A961" s="66" t="s">
        <v>860</v>
      </c>
      <c r="B961" s="39">
        <f t="shared" si="136"/>
        <v>957</v>
      </c>
      <c r="C961" s="40">
        <v>46044</v>
      </c>
      <c r="D961" s="40" t="s">
        <v>32</v>
      </c>
      <c r="E961" s="40" t="s">
        <v>33</v>
      </c>
      <c r="F961" s="41">
        <v>655.4</v>
      </c>
      <c r="G961" s="42" t="s">
        <v>85</v>
      </c>
      <c r="H961" s="43" t="str">
        <f>IFERROR(VLOOKUP($J961,'[9]FROM (3)'!$E$4:$F$230,2,FALSE),"")</f>
        <v>JAMY</v>
      </c>
      <c r="I961" s="44" t="str">
        <f t="shared" si="135"/>
        <v>RACK BAR</v>
      </c>
      <c r="J961" s="44" t="str">
        <f t="shared" si="140"/>
        <v>JGC10-M09008-51-0</v>
      </c>
      <c r="K961" s="59" t="str">
        <f t="shared" si="133"/>
        <v>PD26010892</v>
      </c>
      <c r="L961" s="46" t="str" cm="1">
        <f t="array" ref="L961">IFERROR(_xlfn.IFS(
    LEN($A961)-LEN(SUBSTITUTE($A961,"|",""))=12, RIGHT(A961, LEN(A961)-FIND("~", SUBSTITUTE(A961,"|","~", LEN(A961)-LEN(SUBSTITUTE(A961,"|",""))))),
    LEN($A961)-LEN(SUBSTITUTE($A961,"|",""))=13, MID($A961, FIND("~", SUBSTITUTE($A961,"|","~", 11))+1, FIND("~", SUBSTITUTE($A961,"|","~", 12))-FIND("~", SUBSTITUTE($A961,"|","~", 11))-1),
    LEN($A961)-LEN(SUBSTITUTE($A961,"|",""))=14, MID($A961, FIND("~", SUBSTITUTE($A961,"|","~", 11))+1, FIND("~", SUBSTITUTE($A961,"|","~", 12))-FIND("~", SUBSTITUTE($A961,"|","~", 11))-1)
), "")</f>
        <v>E586966</v>
      </c>
      <c r="M961" s="47" t="str">
        <f t="shared" si="132"/>
        <v>SB010107/4/26</v>
      </c>
      <c r="N961" s="46" t="str">
        <f t="shared" si="134"/>
        <v/>
      </c>
      <c r="O961" s="60">
        <v>60</v>
      </c>
      <c r="P961" s="60">
        <v>870</v>
      </c>
      <c r="Q961" s="60">
        <v>198</v>
      </c>
      <c r="R961" s="60">
        <v>541</v>
      </c>
      <c r="S961" s="48">
        <v>20</v>
      </c>
      <c r="T961" s="48" t="s">
        <v>167</v>
      </c>
      <c r="U961" s="49"/>
      <c r="V961" s="49"/>
      <c r="W961" s="50">
        <f t="shared" si="139"/>
        <v>0</v>
      </c>
      <c r="X961" s="51" t="str">
        <f>IF(A961="", "", IF(COUNTIFS(C$3:C960, C961, D$3:D960, D961, G$3:G960, G961) &gt; 0, "", "11:00"-AW961))</f>
        <v/>
      </c>
      <c r="Y961" s="52" t="str">
        <f t="shared" si="138"/>
        <v/>
      </c>
      <c r="Z961" s="53"/>
      <c r="AA961" s="54"/>
      <c r="AB961" s="53"/>
      <c r="AC961" s="54"/>
      <c r="AD961" s="53"/>
      <c r="AE961" s="54"/>
      <c r="AF961" s="53"/>
      <c r="AG961" s="54"/>
      <c r="AH961" s="55">
        <v>4.1666666666666699E-2</v>
      </c>
      <c r="AI961" s="53"/>
      <c r="AJ961" s="54"/>
      <c r="AK961" s="53"/>
      <c r="AL961" s="54"/>
      <c r="AM961" s="53"/>
      <c r="AN961" s="54"/>
      <c r="AO961" s="53"/>
      <c r="AP961" s="54"/>
      <c r="AQ961" s="53">
        <v>4.1666666666666664E-2</v>
      </c>
      <c r="AR961" s="54" t="s">
        <v>67</v>
      </c>
      <c r="AS961" s="53"/>
      <c r="AT961" s="54"/>
      <c r="AU961" s="53">
        <v>4.1666666666666699E-2</v>
      </c>
      <c r="AV961" s="54" t="s">
        <v>37</v>
      </c>
      <c r="AW961" s="57">
        <f t="shared" si="137"/>
        <v>8.333333333333337E-2</v>
      </c>
      <c r="AX961" s="58" t="s">
        <v>117</v>
      </c>
    </row>
    <row r="962" spans="1:50" ht="21" customHeight="1">
      <c r="A962" s="66" t="s">
        <v>817</v>
      </c>
      <c r="B962" s="39">
        <f t="shared" si="136"/>
        <v>958</v>
      </c>
      <c r="C962" s="40">
        <v>46044</v>
      </c>
      <c r="D962" s="40" t="s">
        <v>32</v>
      </c>
      <c r="E962" s="40" t="s">
        <v>33</v>
      </c>
      <c r="F962" s="41">
        <v>83.2</v>
      </c>
      <c r="G962" s="42" t="s">
        <v>44</v>
      </c>
      <c r="H962" s="43" t="str">
        <f>IFERROR(VLOOKUP($J962,'[9]FROM (3)'!$E$4:$F$230,2,FALSE),"")</f>
        <v>DNTH</v>
      </c>
      <c r="I962" s="44" t="str">
        <f t="shared" si="135"/>
        <v>SHAFT, 2W</v>
      </c>
      <c r="J962" s="44" t="str">
        <f t="shared" si="140"/>
        <v>TG028383-0420</v>
      </c>
      <c r="K962" s="59" t="str">
        <f t="shared" si="133"/>
        <v>PD26010958</v>
      </c>
      <c r="L962" s="46" t="str" cm="1">
        <f t="array" ref="L962">IFERROR(_xlfn.IFS(
    LEN($A962)-LEN(SUBSTITUTE($A962,"|",""))=12, RIGHT(A962, LEN(A962)-FIND("~", SUBSTITUTE(A962,"|","~", LEN(A962)-LEN(SUBSTITUTE(A962,"|",""))))),
    LEN($A962)-LEN(SUBSTITUTE($A962,"|",""))=13, MID($A962, FIND("~", SUBSTITUTE($A962,"|","~", 11))+1, FIND("~", SUBSTITUTE($A962,"|","~", 12))-FIND("~", SUBSTITUTE($A962,"|","~", 11))-1),
    LEN($A962)-LEN(SUBSTITUTE($A962,"|",""))=14, MID($A962, FIND("~", SUBSTITUTE($A962,"|","~", 11))+1, FIND("~", SUBSTITUTE($A962,"|","~", 12))-FIND("~", SUBSTITUTE($A962,"|","~", 11))-1)
), "")</f>
        <v>5E0424</v>
      </c>
      <c r="M962" s="47" t="str">
        <f t="shared" si="132"/>
        <v>SB010125/2/26</v>
      </c>
      <c r="N962" s="46" t="str">
        <f t="shared" si="134"/>
        <v/>
      </c>
      <c r="O962" s="60">
        <v>0</v>
      </c>
      <c r="P962" s="60">
        <v>0</v>
      </c>
      <c r="Q962" s="60">
        <v>3326</v>
      </c>
      <c r="R962" s="60">
        <v>488</v>
      </c>
      <c r="S962" s="48"/>
      <c r="T962" s="48"/>
      <c r="U962" s="49">
        <v>31</v>
      </c>
      <c r="V962" s="49">
        <v>23</v>
      </c>
      <c r="W962" s="50">
        <f t="shared" si="139"/>
        <v>54</v>
      </c>
      <c r="X962" s="51">
        <f>IF(A962="", "", IF(COUNTIFS(C$3:C961, C962, D$3:D961, D962, G$3:G961, G962) &gt; 0, "", "11:00"-AW962))</f>
        <v>0.39583333333333326</v>
      </c>
      <c r="Y962" s="52" t="str">
        <f t="shared" si="138"/>
        <v>1:40</v>
      </c>
      <c r="Z962" s="53"/>
      <c r="AA962" s="54"/>
      <c r="AB962" s="53"/>
      <c r="AC962" s="54"/>
      <c r="AD962" s="53"/>
      <c r="AE962" s="54"/>
      <c r="AF962" s="53"/>
      <c r="AG962" s="54"/>
      <c r="AH962" s="55">
        <v>4.1666666666666699E-2</v>
      </c>
      <c r="AI962" s="53"/>
      <c r="AJ962" s="54"/>
      <c r="AK962" s="53"/>
      <c r="AL962" s="54"/>
      <c r="AM962" s="53"/>
      <c r="AN962" s="54"/>
      <c r="AO962" s="53"/>
      <c r="AP962" s="54"/>
      <c r="AQ962" s="53">
        <v>2.0833333333333332E-2</v>
      </c>
      <c r="AR962" s="54" t="s">
        <v>67</v>
      </c>
      <c r="AS962" s="53"/>
      <c r="AT962" s="54"/>
      <c r="AU962" s="53">
        <v>4.1666666666666699E-2</v>
      </c>
      <c r="AV962" s="54" t="s">
        <v>37</v>
      </c>
      <c r="AW962" s="57">
        <f t="shared" si="137"/>
        <v>6.2500000000000028E-2</v>
      </c>
      <c r="AX962" s="58" t="s">
        <v>64</v>
      </c>
    </row>
    <row r="963" spans="1:50" ht="21" customHeight="1">
      <c r="A963" s="66" t="s">
        <v>861</v>
      </c>
      <c r="B963" s="39">
        <f t="shared" si="136"/>
        <v>959</v>
      </c>
      <c r="C963" s="40">
        <v>46044</v>
      </c>
      <c r="D963" s="40" t="s">
        <v>32</v>
      </c>
      <c r="E963" s="40" t="s">
        <v>33</v>
      </c>
      <c r="F963" s="41">
        <v>129.4</v>
      </c>
      <c r="G963" s="42" t="s">
        <v>44</v>
      </c>
      <c r="H963" s="43" t="str">
        <f>IFERROR(VLOOKUP($J963,'[9]FROM (3)'!$E$4:$F$230,2,FALSE),"")</f>
        <v>DNTH</v>
      </c>
      <c r="I963" s="44" t="str">
        <f t="shared" si="135"/>
        <v>SHAFT, 2W</v>
      </c>
      <c r="J963" s="44" t="str">
        <f t="shared" si="140"/>
        <v>TG028383-0090</v>
      </c>
      <c r="K963" s="59" t="str">
        <f t="shared" si="133"/>
        <v>PD25110971</v>
      </c>
      <c r="L963" s="46" t="str" cm="1">
        <f t="array" ref="L963">IFERROR(_xlfn.IFS(
    LEN($A963)-LEN(SUBSTITUTE($A963,"|",""))=12, RIGHT(A963, LEN(A963)-FIND("~", SUBSTITUTE(A963,"|","~", LEN(A963)-LEN(SUBSTITUTE(A963,"|",""))))),
    LEN($A963)-LEN(SUBSTITUTE($A963,"|",""))=13, MID($A963, FIND("~", SUBSTITUTE($A963,"|","~", 11))+1, FIND("~", SUBSTITUTE($A963,"|","~", 12))-FIND("~", SUBSTITUTE($A963,"|","~", 11))-1),
    LEN($A963)-LEN(SUBSTITUTE($A963,"|",""))=14, MID($A963, FIND("~", SUBSTITUTE($A963,"|","~", 11))+1, FIND("~", SUBSTITUTE($A963,"|","~", 12))-FIND("~", SUBSTITUTE($A963,"|","~", 11))-1)
), "")</f>
        <v>E483074</v>
      </c>
      <c r="M963" s="47" t="str">
        <f t="shared" si="132"/>
        <v>SB110122/2/25</v>
      </c>
      <c r="N963" s="46" t="str">
        <f t="shared" si="134"/>
        <v/>
      </c>
      <c r="O963" s="60">
        <v>90</v>
      </c>
      <c r="P963" s="60">
        <v>977</v>
      </c>
      <c r="Q963" s="60">
        <v>551</v>
      </c>
      <c r="R963" s="60">
        <v>188</v>
      </c>
      <c r="S963" s="48"/>
      <c r="T963" s="48"/>
      <c r="U963" s="49"/>
      <c r="V963" s="49"/>
      <c r="W963" s="50">
        <f t="shared" si="139"/>
        <v>0</v>
      </c>
      <c r="X963" s="51" t="str">
        <f>IF(A963="", "", IF(COUNTIFS(C$3:C962, C963, D$3:D962, D963, G$3:G962, G963) &gt; 0, "", "11:00"-AW963))</f>
        <v/>
      </c>
      <c r="Y963" s="52" t="str">
        <f t="shared" si="138"/>
        <v/>
      </c>
      <c r="Z963" s="53"/>
      <c r="AA963" s="54"/>
      <c r="AB963" s="53"/>
      <c r="AC963" s="54"/>
      <c r="AD963" s="53"/>
      <c r="AE963" s="54"/>
      <c r="AF963" s="53"/>
      <c r="AG963" s="54"/>
      <c r="AH963" s="55">
        <v>4.1666666666666699E-2</v>
      </c>
      <c r="AI963" s="53"/>
      <c r="AJ963" s="54"/>
      <c r="AK963" s="53"/>
      <c r="AL963" s="54"/>
      <c r="AM963" s="53"/>
      <c r="AN963" s="54"/>
      <c r="AO963" s="53"/>
      <c r="AP963" s="54"/>
      <c r="AQ963" s="53"/>
      <c r="AR963" s="54"/>
      <c r="AS963" s="53"/>
      <c r="AT963" s="54"/>
      <c r="AU963" s="53">
        <v>4.1666666666666699E-2</v>
      </c>
      <c r="AV963" s="54" t="s">
        <v>37</v>
      </c>
      <c r="AW963" s="57">
        <f t="shared" si="137"/>
        <v>4.1666666666666699E-2</v>
      </c>
      <c r="AX963" s="58" t="s">
        <v>64</v>
      </c>
    </row>
    <row r="964" spans="1:50" ht="21" customHeight="1">
      <c r="A964" s="66" t="s">
        <v>818</v>
      </c>
      <c r="B964" s="39">
        <f t="shared" si="136"/>
        <v>960</v>
      </c>
      <c r="C964" s="40">
        <v>46044</v>
      </c>
      <c r="D964" s="40" t="s">
        <v>32</v>
      </c>
      <c r="E964" s="40" t="s">
        <v>33</v>
      </c>
      <c r="F964" s="41">
        <v>530</v>
      </c>
      <c r="G964" s="42" t="s">
        <v>41</v>
      </c>
      <c r="H964" s="43" t="str">
        <f>IFERROR(VLOOKUP($J964,'[9]FROM (3)'!$E$4:$F$230,2,FALSE),"")</f>
        <v>KONSEI</v>
      </c>
      <c r="I964" s="44" t="str">
        <f t="shared" si="135"/>
        <v>Piston Disc Brake Forging</v>
      </c>
      <c r="J964" s="44" t="str">
        <f t="shared" si="140"/>
        <v>141411-60180</v>
      </c>
      <c r="K964" s="59" t="str">
        <f t="shared" si="133"/>
        <v>PD26010485</v>
      </c>
      <c r="L964" s="46" t="str" cm="1">
        <f t="array" ref="L964">IFERROR(_xlfn.IFS(
    LEN($A964)-LEN(SUBSTITUTE($A964,"|",""))=12, RIGHT(A964, LEN(A964)-FIND("~", SUBSTITUTE(A964,"|","~", LEN(A964)-LEN(SUBSTITUTE(A964,"|",""))))),
    LEN($A964)-LEN(SUBSTITUTE($A964,"|",""))=13, MID($A964, FIND("~", SUBSTITUTE($A964,"|","~", 11))+1, FIND("~", SUBSTITUTE($A964,"|","~", 12))-FIND("~", SUBSTITUTE($A964,"|","~", 11))-1),
    LEN($A964)-LEN(SUBSTITUTE($A964,"|",""))=14, MID($A964, FIND("~", SUBSTITUTE($A964,"|","~", 11))+1, FIND("~", SUBSTITUTE($A964,"|","~", 12))-FIND("~", SUBSTITUTE($A964,"|","~", 11))-1)
), "")</f>
        <v>663961</v>
      </c>
      <c r="M964" s="47" t="str">
        <f t="shared" si="132"/>
        <v>2B2600121</v>
      </c>
      <c r="N964" s="46" t="str">
        <f t="shared" si="134"/>
        <v/>
      </c>
      <c r="O964" s="60">
        <v>0</v>
      </c>
      <c r="P964" s="60">
        <v>0</v>
      </c>
      <c r="Q964" s="60">
        <v>753</v>
      </c>
      <c r="R964" s="60">
        <v>399</v>
      </c>
      <c r="S964" s="48"/>
      <c r="T964" s="48"/>
      <c r="U964" s="49">
        <v>190</v>
      </c>
      <c r="V964" s="49">
        <v>440</v>
      </c>
      <c r="W964" s="50">
        <f t="shared" si="139"/>
        <v>630</v>
      </c>
      <c r="X964" s="51">
        <f>IF(A964="", "", IF(COUNTIFS(C$3:C963, C964, D$3:D963, D964, G$3:G963, G964) &gt; 0, "", "11:00"-AW964))</f>
        <v>0.39583333333333326</v>
      </c>
      <c r="Y964" s="52" t="str">
        <f t="shared" si="138"/>
        <v>1:40</v>
      </c>
      <c r="Z964" s="53"/>
      <c r="AA964" s="54"/>
      <c r="AB964" s="53"/>
      <c r="AC964" s="54"/>
      <c r="AD964" s="53"/>
      <c r="AE964" s="54"/>
      <c r="AF964" s="53">
        <v>2.0833333333333332E-2</v>
      </c>
      <c r="AG964" s="54" t="s">
        <v>67</v>
      </c>
      <c r="AH964" s="55">
        <v>4.1666666666666699E-2</v>
      </c>
      <c r="AI964" s="53"/>
      <c r="AJ964" s="54"/>
      <c r="AK964" s="53"/>
      <c r="AL964" s="54"/>
      <c r="AM964" s="53"/>
      <c r="AN964" s="54"/>
      <c r="AO964" s="53"/>
      <c r="AP964" s="54"/>
      <c r="AQ964" s="53"/>
      <c r="AR964" s="54"/>
      <c r="AS964" s="53"/>
      <c r="AT964" s="54"/>
      <c r="AU964" s="53">
        <v>4.1666666666666699E-2</v>
      </c>
      <c r="AV964" s="54" t="s">
        <v>37</v>
      </c>
      <c r="AW964" s="57">
        <f t="shared" si="137"/>
        <v>6.2500000000000028E-2</v>
      </c>
      <c r="AX964" s="58" t="s">
        <v>64</v>
      </c>
    </row>
    <row r="965" spans="1:50" ht="21" customHeight="1">
      <c r="A965" s="66" t="s">
        <v>862</v>
      </c>
      <c r="B965" s="39">
        <f t="shared" si="136"/>
        <v>961</v>
      </c>
      <c r="C965" s="40">
        <v>46044</v>
      </c>
      <c r="D965" s="40" t="s">
        <v>32</v>
      </c>
      <c r="E965" s="40" t="s">
        <v>33</v>
      </c>
      <c r="F965" s="41">
        <v>172</v>
      </c>
      <c r="G965" s="42" t="s">
        <v>41</v>
      </c>
      <c r="H965" s="43" t="str">
        <f>IFERROR(VLOOKUP($J965,'[9]FROM (3)'!$E$4:$F$230,2,FALSE),"")</f>
        <v>DNTH</v>
      </c>
      <c r="I965" s="44" t="str">
        <f t="shared" si="135"/>
        <v>BOSS ROTOR 2 W</v>
      </c>
      <c r="J965" s="44" t="str">
        <f t="shared" si="140"/>
        <v>TGY38713-3301</v>
      </c>
      <c r="K965" s="59" t="str">
        <f t="shared" si="133"/>
        <v>PD26010959</v>
      </c>
      <c r="L965" s="46" t="str" cm="1">
        <f t="array" ref="L965">IFERROR(_xlfn.IFS(
    LEN($A965)-LEN(SUBSTITUTE($A965,"|",""))=12, RIGHT(A965, LEN(A965)-FIND("~", SUBSTITUTE(A965,"|","~", LEN(A965)-LEN(SUBSTITUTE(A965,"|",""))))),
    LEN($A965)-LEN(SUBSTITUTE($A965,"|",""))=13, MID($A965, FIND("~", SUBSTITUTE($A965,"|","~", 11))+1, FIND("~", SUBSTITUTE($A965,"|","~", 12))-FIND("~", SUBSTITUTE($A965,"|","~", 11))-1),
    LEN($A965)-LEN(SUBSTITUTE($A965,"|",""))=14, MID($A965, FIND("~", SUBSTITUTE($A965,"|","~", 11))+1, FIND("~", SUBSTITUTE($A965,"|","~", 12))-FIND("~", SUBSTITUTE($A965,"|","~", 11))-1)
), "")</f>
        <v>E586918</v>
      </c>
      <c r="M965" s="47" t="str">
        <f t="shared" ref="M965:M1219" si="141">IFERROR(MID(A965,FIND("~",SUBSTITUTE(A965,"|","~",10))+1,FIND("~",SUBSTITUTE(A965,"|","~",11))-FIND("~",SUBSTITUTE(A965,"|","~",10))-1),"")</f>
        <v>SB010120/2/26</v>
      </c>
      <c r="N965" s="46" t="str">
        <f t="shared" si="134"/>
        <v/>
      </c>
      <c r="O965" s="60">
        <v>14</v>
      </c>
      <c r="P965" s="60">
        <v>900</v>
      </c>
      <c r="Q965" s="60">
        <v>1884</v>
      </c>
      <c r="R965" s="60">
        <v>324</v>
      </c>
      <c r="S965" s="48"/>
      <c r="T965" s="48"/>
      <c r="U965" s="49"/>
      <c r="V965" s="49"/>
      <c r="W965" s="50">
        <f t="shared" si="139"/>
        <v>0</v>
      </c>
      <c r="X965" s="51" t="str">
        <f>IF(A965="", "", IF(COUNTIFS(C$3:C964, C965, D$3:D964, D965, G$3:G964, G965) &gt; 0, "", "11:00"-AW965))</f>
        <v/>
      </c>
      <c r="Y965" s="52" t="str">
        <f t="shared" si="138"/>
        <v/>
      </c>
      <c r="Z965" s="53"/>
      <c r="AA965" s="54"/>
      <c r="AB965" s="53"/>
      <c r="AC965" s="54"/>
      <c r="AD965" s="53"/>
      <c r="AE965" s="54"/>
      <c r="AF965" s="53"/>
      <c r="AG965" s="54"/>
      <c r="AH965" s="55">
        <v>4.1666666666666699E-2</v>
      </c>
      <c r="AI965" s="53"/>
      <c r="AJ965" s="54"/>
      <c r="AK965" s="53"/>
      <c r="AL965" s="54"/>
      <c r="AM965" s="53"/>
      <c r="AN965" s="54"/>
      <c r="AO965" s="53"/>
      <c r="AP965" s="54"/>
      <c r="AQ965" s="53"/>
      <c r="AR965" s="54"/>
      <c r="AS965" s="53"/>
      <c r="AT965" s="54"/>
      <c r="AU965" s="53">
        <v>4.1666666666666699E-2</v>
      </c>
      <c r="AV965" s="54" t="s">
        <v>37</v>
      </c>
      <c r="AW965" s="57">
        <f t="shared" si="137"/>
        <v>4.1666666666666699E-2</v>
      </c>
      <c r="AX965" s="58" t="s">
        <v>64</v>
      </c>
    </row>
    <row r="966" spans="1:50" ht="21" customHeight="1">
      <c r="A966" s="66" t="s">
        <v>794</v>
      </c>
      <c r="B966" s="39">
        <f t="shared" si="136"/>
        <v>962</v>
      </c>
      <c r="C966" s="40">
        <v>46044</v>
      </c>
      <c r="D966" s="40" t="s">
        <v>32</v>
      </c>
      <c r="E966" s="40" t="s">
        <v>33</v>
      </c>
      <c r="F966" s="41">
        <v>732.4</v>
      </c>
      <c r="G966" s="42" t="s">
        <v>46</v>
      </c>
      <c r="H966" s="43" t="str">
        <f>IFERROR(VLOOKUP($J966,'[9]FROM (3)'!$E$4:$F$230,2,FALSE),"")</f>
        <v>JATH</v>
      </c>
      <c r="I966" s="44" t="str">
        <f t="shared" si="135"/>
        <v>RACK BAR BLANK</v>
      </c>
      <c r="J966" s="44" t="str">
        <f t="shared" si="140"/>
        <v>JGF02-002060-31-3</v>
      </c>
      <c r="K966" s="59" t="str">
        <f t="shared" ref="K966:K1029" si="142">IFERROR(LEFT(A966,SEARCH("|",A966)-1),"")</f>
        <v>PD25120629</v>
      </c>
      <c r="L966" s="46" t="str" cm="1">
        <f t="array" ref="L966">IFERROR(_xlfn.IFS(
    LEN($A966)-LEN(SUBSTITUTE($A966,"|",""))=12, RIGHT(A966, LEN(A966)-FIND("~", SUBSTITUTE(A966,"|","~", LEN(A966)-LEN(SUBSTITUTE(A966,"|",""))))),
    LEN($A966)-LEN(SUBSTITUTE($A966,"|",""))=13, MID($A966, FIND("~", SUBSTITUTE($A966,"|","~", 11))+1, FIND("~", SUBSTITUTE($A966,"|","~", 12))-FIND("~", SUBSTITUTE($A966,"|","~", 11))-1),
    LEN($A966)-LEN(SUBSTITUTE($A966,"|",""))=14, MID($A966, FIND("~", SUBSTITUTE($A966,"|","~", 11))+1, FIND("~", SUBSTITUTE($A966,"|","~", 12))-FIND("~", SUBSTITUTE($A966,"|","~", 11))-1)
), "")</f>
        <v>5B0230</v>
      </c>
      <c r="M966" s="47" t="str">
        <f t="shared" si="141"/>
        <v>SB120090/1/25</v>
      </c>
      <c r="N966" s="46" t="str">
        <f t="shared" ref="N966:N1003" si="143">IFERROR(IF(LEN($A966)-LEN(SUBSTITUTE($A966,"|",""))=12,MID($A966,FIND("~",SUBSTITUTE($A966,"|","~",11))+1,FIND("~",SUBSTITUTE($A966,"|","~",12))-FIND("~",SUBSTITUTE($A966,"|","~",11))-1),IF(LEN($A966)-LEN(SUBSTITUTE($A966,"|",""))=13,MID($A966,FIND("~",SUBSTITUTE($A966,"|","~",10))+1,FIND("~",SUBSTITUTE($A966,"|","~",11))-FIND("~",SUBSTITUTE($A966,"|","~",10))-1), "")),"")</f>
        <v/>
      </c>
      <c r="O966" s="60" t="s">
        <v>35</v>
      </c>
      <c r="P966" s="60" t="s">
        <v>35</v>
      </c>
      <c r="Q966" s="60">
        <v>167</v>
      </c>
      <c r="R966" s="60">
        <v>780</v>
      </c>
      <c r="S966" s="48"/>
      <c r="T966" s="48"/>
      <c r="U966" s="49">
        <v>227</v>
      </c>
      <c r="V966" s="49">
        <v>17</v>
      </c>
      <c r="W966" s="50">
        <f t="shared" si="139"/>
        <v>244</v>
      </c>
      <c r="X966" s="51" t="str">
        <f>IF(A966="", "", IF(COUNTIFS(C$3:C965, C966, D$3:D965, D966, G$3:G965, G966) &gt; 0, "", "11:00"-AW966))</f>
        <v/>
      </c>
      <c r="Y966" s="52" t="str">
        <f t="shared" si="138"/>
        <v/>
      </c>
      <c r="Z966" s="53"/>
      <c r="AA966" s="54"/>
      <c r="AB966" s="53">
        <v>2.7777777777777776E-2</v>
      </c>
      <c r="AC966" s="54" t="s">
        <v>129</v>
      </c>
      <c r="AD966" s="53"/>
      <c r="AE966" s="54"/>
      <c r="AF966" s="53"/>
      <c r="AG966" s="54"/>
      <c r="AH966" s="55">
        <v>4.1666666666666699E-2</v>
      </c>
      <c r="AI966" s="53"/>
      <c r="AJ966" s="54"/>
      <c r="AK966" s="53"/>
      <c r="AL966" s="54"/>
      <c r="AM966" s="53"/>
      <c r="AN966" s="54"/>
      <c r="AO966" s="53"/>
      <c r="AP966" s="54"/>
      <c r="AQ966" s="53"/>
      <c r="AR966" s="54"/>
      <c r="AS966" s="53"/>
      <c r="AT966" s="54"/>
      <c r="AU966" s="53">
        <v>4.1666666666666699E-2</v>
      </c>
      <c r="AV966" s="54" t="s">
        <v>37</v>
      </c>
      <c r="AW966" s="57">
        <f t="shared" si="137"/>
        <v>6.9444444444444475E-2</v>
      </c>
      <c r="AX966" s="58" t="s">
        <v>48</v>
      </c>
    </row>
    <row r="967" spans="1:50" ht="21" customHeight="1">
      <c r="A967" s="66" t="s">
        <v>863</v>
      </c>
      <c r="B967" s="39">
        <f t="shared" si="136"/>
        <v>963</v>
      </c>
      <c r="C967" s="40">
        <v>46044</v>
      </c>
      <c r="D967" s="40" t="s">
        <v>32</v>
      </c>
      <c r="E967" s="40" t="s">
        <v>33</v>
      </c>
      <c r="F967" s="41">
        <v>262</v>
      </c>
      <c r="G967" s="42" t="s">
        <v>176</v>
      </c>
      <c r="H967" s="43" t="str">
        <f>IFERROR(VLOOKUP($J967,'[9]FROM (3)'!$E$4:$F$230,2,FALSE),"")</f>
        <v>Astemo (Thailand)</v>
      </c>
      <c r="I967" s="44" t="str">
        <f t="shared" ref="I967:I1030" si="144">IFERROR(MID(A967,FIND("~",SUBSTITUTE(A967,"|","~",4))+1,FIND("~",SUBSTITUTE(A967,"|","~",5))-FIND("~",SUBSTITUTE(A967,"|","~",4))-1),"")</f>
        <v>510-30149-020</v>
      </c>
      <c r="J967" s="44" t="str">
        <f t="shared" si="140"/>
        <v>RACK (510-30149-020)</v>
      </c>
      <c r="K967" s="59" t="str">
        <f t="shared" si="142"/>
        <v>PD26010788</v>
      </c>
      <c r="L967" s="46" t="str" cm="1">
        <f t="array" ref="L967">IFERROR(_xlfn.IFS(
    LEN($A967)-LEN(SUBSTITUTE($A967,"|",""))=12, RIGHT(A967, LEN(A967)-FIND("~", SUBSTITUTE(A967,"|","~", LEN(A967)-LEN(SUBSTITUTE(A967,"|",""))))),
    LEN($A967)-LEN(SUBSTITUTE($A967,"|",""))=13, MID($A967, FIND("~", SUBSTITUTE($A967,"|","~", 11))+1, FIND("~", SUBSTITUTE($A967,"|","~", 12))-FIND("~", SUBSTITUTE($A967,"|","~", 11))-1),
    LEN($A967)-LEN(SUBSTITUTE($A967,"|",""))=14, MID($A967, FIND("~", SUBSTITUTE($A967,"|","~", 11))+1, FIND("~", SUBSTITUTE($A967,"|","~", 12))-FIND("~", SUBSTITUTE($A967,"|","~", 11))-1)
), "")</f>
        <v>5C1361</v>
      </c>
      <c r="M967" s="47" t="str">
        <f t="shared" si="141"/>
        <v>TSK2</v>
      </c>
      <c r="N967" s="46" t="str">
        <f t="shared" si="143"/>
        <v>FB010224/7/26</v>
      </c>
      <c r="O967" s="60" t="s">
        <v>35</v>
      </c>
      <c r="P967" s="60" t="s">
        <v>35</v>
      </c>
      <c r="Q967" s="60">
        <v>200</v>
      </c>
      <c r="R967" s="60">
        <v>327</v>
      </c>
      <c r="S967" s="48"/>
      <c r="T967" s="48"/>
      <c r="U967" s="49"/>
      <c r="V967" s="49"/>
      <c r="W967" s="50">
        <f t="shared" si="139"/>
        <v>0</v>
      </c>
      <c r="X967" s="51">
        <f>IF(A967="", "", IF(COUNTIFS(C$3:C966, C967, D$3:D966, D967, G$3:G966, G967) &gt; 0, "", "11:00"-AW967))</f>
        <v>0.41666666666666663</v>
      </c>
      <c r="Y967" s="52" t="str">
        <f t="shared" si="138"/>
        <v>1:40</v>
      </c>
      <c r="Z967" s="53"/>
      <c r="AA967" s="54"/>
      <c r="AB967" s="53"/>
      <c r="AC967" s="54"/>
      <c r="AD967" s="53"/>
      <c r="AE967" s="54"/>
      <c r="AF967" s="53"/>
      <c r="AG967" s="54"/>
      <c r="AH967" s="55">
        <v>4.1666666666666699E-2</v>
      </c>
      <c r="AI967" s="53"/>
      <c r="AJ967" s="54"/>
      <c r="AK967" s="53"/>
      <c r="AL967" s="54"/>
      <c r="AM967" s="53"/>
      <c r="AN967" s="54"/>
      <c r="AO967" s="53"/>
      <c r="AP967" s="54"/>
      <c r="AQ967" s="53"/>
      <c r="AR967" s="54"/>
      <c r="AS967" s="53"/>
      <c r="AT967" s="54"/>
      <c r="AU967" s="53">
        <v>4.1666666666666699E-2</v>
      </c>
      <c r="AV967" s="54" t="s">
        <v>37</v>
      </c>
      <c r="AW967" s="57">
        <f t="shared" si="137"/>
        <v>4.1666666666666699E-2</v>
      </c>
      <c r="AX967" s="58" t="s">
        <v>48</v>
      </c>
    </row>
    <row r="968" spans="1:50" ht="21" customHeight="1">
      <c r="A968" s="66" t="s">
        <v>864</v>
      </c>
      <c r="B968" s="39">
        <f t="shared" si="136"/>
        <v>964</v>
      </c>
      <c r="C968" s="40">
        <v>46044</v>
      </c>
      <c r="D968" s="40" t="s">
        <v>32</v>
      </c>
      <c r="E968" s="40" t="s">
        <v>33</v>
      </c>
      <c r="F968" s="41">
        <v>262</v>
      </c>
      <c r="G968" s="42" t="s">
        <v>176</v>
      </c>
      <c r="H968" s="43" t="str">
        <f>IFERROR(VLOOKUP($J968,'[9]FROM (3)'!$E$4:$F$230,2,FALSE),"")</f>
        <v>Astemo (Thailand)</v>
      </c>
      <c r="I968" s="44" t="str">
        <f t="shared" si="144"/>
        <v>510-30149-020</v>
      </c>
      <c r="J968" s="44" t="str">
        <f t="shared" si="140"/>
        <v>RACK (510-30149-020)</v>
      </c>
      <c r="K968" s="59" t="str">
        <f t="shared" si="142"/>
        <v>PD26010789</v>
      </c>
      <c r="L968" s="46" t="str" cm="1">
        <f t="array" ref="L968">IFERROR(_xlfn.IFS(
    LEN($A968)-LEN(SUBSTITUTE($A968,"|",""))=12, RIGHT(A968, LEN(A968)-FIND("~", SUBSTITUTE(A968,"|","~", LEN(A968)-LEN(SUBSTITUTE(A968,"|",""))))),
    LEN($A968)-LEN(SUBSTITUTE($A968,"|",""))=13, MID($A968, FIND("~", SUBSTITUTE($A968,"|","~", 11))+1, FIND("~", SUBSTITUTE($A968,"|","~", 12))-FIND("~", SUBSTITUTE($A968,"|","~", 11))-1),
    LEN($A968)-LEN(SUBSTITUTE($A968,"|",""))=14, MID($A968, FIND("~", SUBSTITUTE($A968,"|","~", 11))+1, FIND("~", SUBSTITUTE($A968,"|","~", 12))-FIND("~", SUBSTITUTE($A968,"|","~", 11))-1)
), "")</f>
        <v>5C1361</v>
      </c>
      <c r="M968" s="47" t="str">
        <f t="shared" si="141"/>
        <v>TSK2</v>
      </c>
      <c r="N968" s="46" t="str">
        <f t="shared" si="143"/>
        <v>FB010232/4/26</v>
      </c>
      <c r="O968" s="60" t="s">
        <v>35</v>
      </c>
      <c r="P968" s="60" t="s">
        <v>35</v>
      </c>
      <c r="Q968" s="60">
        <v>200</v>
      </c>
      <c r="R968" s="60">
        <v>327</v>
      </c>
      <c r="S968" s="48"/>
      <c r="T968" s="48"/>
      <c r="U968" s="49"/>
      <c r="V968" s="49"/>
      <c r="W968" s="50">
        <f t="shared" si="139"/>
        <v>0</v>
      </c>
      <c r="X968" s="51" t="str">
        <f>IF(A968="", "", IF(COUNTIFS(C$3:C967, C968, D$3:D967, D968, G$3:G967, G968) &gt; 0, "", "11:00"-AW968))</f>
        <v/>
      </c>
      <c r="Y968" s="52" t="str">
        <f t="shared" si="138"/>
        <v/>
      </c>
      <c r="Z968" s="53"/>
      <c r="AA968" s="54"/>
      <c r="AB968" s="53"/>
      <c r="AC968" s="54"/>
      <c r="AD968" s="53"/>
      <c r="AE968" s="54"/>
      <c r="AF968" s="53"/>
      <c r="AG968" s="54"/>
      <c r="AH968" s="55">
        <v>4.1666666666666699E-2</v>
      </c>
      <c r="AI968" s="53"/>
      <c r="AJ968" s="54"/>
      <c r="AK968" s="53"/>
      <c r="AL968" s="54"/>
      <c r="AM968" s="53"/>
      <c r="AN968" s="54"/>
      <c r="AO968" s="53"/>
      <c r="AP968" s="54"/>
      <c r="AQ968" s="53"/>
      <c r="AR968" s="54"/>
      <c r="AS968" s="53"/>
      <c r="AT968" s="54"/>
      <c r="AU968" s="53">
        <v>4.1666666666666699E-2</v>
      </c>
      <c r="AV968" s="54" t="s">
        <v>37</v>
      </c>
      <c r="AW968" s="57">
        <f t="shared" si="137"/>
        <v>4.1666666666666699E-2</v>
      </c>
      <c r="AX968" s="58" t="s">
        <v>48</v>
      </c>
    </row>
    <row r="969" spans="1:50" ht="21" customHeight="1">
      <c r="A969" s="66" t="s">
        <v>865</v>
      </c>
      <c r="B969" s="39">
        <f t="shared" si="136"/>
        <v>965</v>
      </c>
      <c r="C969" s="40">
        <v>46044</v>
      </c>
      <c r="D969" s="40" t="s">
        <v>32</v>
      </c>
      <c r="E969" s="40" t="s">
        <v>33</v>
      </c>
      <c r="F969" s="41">
        <v>262</v>
      </c>
      <c r="G969" s="42" t="s">
        <v>176</v>
      </c>
      <c r="H969" s="43" t="str">
        <f>IFERROR(VLOOKUP($J969,'[9]FROM (3)'!$E$4:$F$230,2,FALSE),"")</f>
        <v>Astemo (Thailand)</v>
      </c>
      <c r="I969" s="44" t="str">
        <f t="shared" si="144"/>
        <v>510-30149-020</v>
      </c>
      <c r="J969" s="44" t="str">
        <f t="shared" si="140"/>
        <v>RACK (510-30149-020)</v>
      </c>
      <c r="K969" s="59" t="str">
        <f t="shared" si="142"/>
        <v>PD26010789</v>
      </c>
      <c r="L969" s="46" t="str" cm="1">
        <f t="array" ref="L969">IFERROR(_xlfn.IFS(
    LEN($A969)-LEN(SUBSTITUTE($A969,"|",""))=12, RIGHT(A969, LEN(A969)-FIND("~", SUBSTITUTE(A969,"|","~", LEN(A969)-LEN(SUBSTITUTE(A969,"|",""))))),
    LEN($A969)-LEN(SUBSTITUTE($A969,"|",""))=13, MID($A969, FIND("~", SUBSTITUTE($A969,"|","~", 11))+1, FIND("~", SUBSTITUTE($A969,"|","~", 12))-FIND("~", SUBSTITUTE($A969,"|","~", 11))-1),
    LEN($A969)-LEN(SUBSTITUTE($A969,"|",""))=14, MID($A969, FIND("~", SUBSTITUTE($A969,"|","~", 11))+1, FIND("~", SUBSTITUTE($A969,"|","~", 12))-FIND("~", SUBSTITUTE($A969,"|","~", 11))-1)
), "")</f>
        <v>5C1361</v>
      </c>
      <c r="M969" s="47" t="str">
        <f t="shared" si="141"/>
        <v>TSK2</v>
      </c>
      <c r="N969" s="46" t="str">
        <f t="shared" si="143"/>
        <v>FB010232/5/26</v>
      </c>
      <c r="O969" s="60" t="s">
        <v>35</v>
      </c>
      <c r="P969" s="60" t="s">
        <v>35</v>
      </c>
      <c r="Q969" s="60">
        <v>200</v>
      </c>
      <c r="R969" s="60">
        <v>327</v>
      </c>
      <c r="S969" s="48"/>
      <c r="T969" s="48"/>
      <c r="U969" s="49"/>
      <c r="V969" s="49"/>
      <c r="W969" s="50">
        <f t="shared" si="139"/>
        <v>0</v>
      </c>
      <c r="X969" s="51" t="str">
        <f>IF(A969="", "", IF(COUNTIFS(C$3:C968, C969, D$3:D968, D969, G$3:G968, G969) &gt; 0, "", "11:00"-AW969))</f>
        <v/>
      </c>
      <c r="Y969" s="52" t="str">
        <f t="shared" si="138"/>
        <v/>
      </c>
      <c r="Z969" s="53"/>
      <c r="AA969" s="54"/>
      <c r="AB969" s="53"/>
      <c r="AC969" s="54"/>
      <c r="AD969" s="53"/>
      <c r="AE969" s="54"/>
      <c r="AF969" s="53"/>
      <c r="AG969" s="54"/>
      <c r="AH969" s="55">
        <v>4.1666666666666699E-2</v>
      </c>
      <c r="AI969" s="53"/>
      <c r="AJ969" s="54"/>
      <c r="AK969" s="53"/>
      <c r="AL969" s="54"/>
      <c r="AM969" s="53"/>
      <c r="AN969" s="54"/>
      <c r="AO969" s="53"/>
      <c r="AP969" s="54"/>
      <c r="AQ969" s="53"/>
      <c r="AR969" s="54"/>
      <c r="AS969" s="53"/>
      <c r="AT969" s="54"/>
      <c r="AU969" s="53">
        <v>4.1666666666666699E-2</v>
      </c>
      <c r="AV969" s="54" t="s">
        <v>37</v>
      </c>
      <c r="AW969" s="57">
        <f t="shared" si="137"/>
        <v>4.1666666666666699E-2</v>
      </c>
      <c r="AX969" s="58" t="s">
        <v>48</v>
      </c>
    </row>
    <row r="970" spans="1:50" ht="21" customHeight="1">
      <c r="A970" s="66" t="s">
        <v>866</v>
      </c>
      <c r="B970" s="39">
        <f t="shared" ref="B970:B1033" si="145">IF(A970="","",B969+1)</f>
        <v>966</v>
      </c>
      <c r="C970" s="40">
        <v>46044</v>
      </c>
      <c r="D970" s="40" t="s">
        <v>32</v>
      </c>
      <c r="E970" s="40" t="s">
        <v>33</v>
      </c>
      <c r="F970" s="41">
        <v>262</v>
      </c>
      <c r="G970" s="42" t="s">
        <v>176</v>
      </c>
      <c r="H970" s="43" t="str">
        <f>IFERROR(VLOOKUP($J970,'[9]FROM (3)'!$E$4:$F$230,2,FALSE),"")</f>
        <v>Astemo (Thailand)</v>
      </c>
      <c r="I970" s="44" t="str">
        <f t="shared" si="144"/>
        <v>510-30149-020</v>
      </c>
      <c r="J970" s="44" t="str">
        <f t="shared" si="140"/>
        <v>RACK (510-30149-020)</v>
      </c>
      <c r="K970" s="59" t="str">
        <f t="shared" si="142"/>
        <v>PD26010789</v>
      </c>
      <c r="L970" s="46" t="str" cm="1">
        <f t="array" ref="L970">IFERROR(_xlfn.IFS(
    LEN($A970)-LEN(SUBSTITUTE($A970,"|",""))=12, RIGHT(A970, LEN(A970)-FIND("~", SUBSTITUTE(A970,"|","~", LEN(A970)-LEN(SUBSTITUTE(A970,"|",""))))),
    LEN($A970)-LEN(SUBSTITUTE($A970,"|",""))=13, MID($A970, FIND("~", SUBSTITUTE($A970,"|","~", 11))+1, FIND("~", SUBSTITUTE($A970,"|","~", 12))-FIND("~", SUBSTITUTE($A970,"|","~", 11))-1),
    LEN($A970)-LEN(SUBSTITUTE($A970,"|",""))=14, MID($A970, FIND("~", SUBSTITUTE($A970,"|","~", 11))+1, FIND("~", SUBSTITUTE($A970,"|","~", 12))-FIND("~", SUBSTITUTE($A970,"|","~", 11))-1)
), "")</f>
        <v>5C1361</v>
      </c>
      <c r="M970" s="47" t="str">
        <f t="shared" si="141"/>
        <v>TSK2</v>
      </c>
      <c r="N970" s="46" t="str">
        <f t="shared" si="143"/>
        <v>FB010232/6/26</v>
      </c>
      <c r="O970" s="60" t="s">
        <v>35</v>
      </c>
      <c r="P970" s="60" t="s">
        <v>35</v>
      </c>
      <c r="Q970" s="60">
        <v>200</v>
      </c>
      <c r="R970" s="60">
        <v>327</v>
      </c>
      <c r="S970" s="48"/>
      <c r="T970" s="48"/>
      <c r="U970" s="49"/>
      <c r="V970" s="49"/>
      <c r="W970" s="50">
        <f t="shared" si="139"/>
        <v>0</v>
      </c>
      <c r="X970" s="51" t="str">
        <f>IF(A970="", "", IF(COUNTIFS(C$3:C969, C970, D$3:D969, D970, G$3:G969, G970) &gt; 0, "", "11:00"-AW970))</f>
        <v/>
      </c>
      <c r="Y970" s="52" t="str">
        <f t="shared" si="138"/>
        <v/>
      </c>
      <c r="Z970" s="53"/>
      <c r="AA970" s="54"/>
      <c r="AB970" s="53"/>
      <c r="AC970" s="54"/>
      <c r="AD970" s="53"/>
      <c r="AE970" s="54"/>
      <c r="AF970" s="53"/>
      <c r="AG970" s="54"/>
      <c r="AH970" s="55">
        <v>4.1666666666666699E-2</v>
      </c>
      <c r="AI970" s="53"/>
      <c r="AJ970" s="54"/>
      <c r="AK970" s="53"/>
      <c r="AL970" s="54"/>
      <c r="AM970" s="53"/>
      <c r="AN970" s="54"/>
      <c r="AO970" s="53"/>
      <c r="AP970" s="54"/>
      <c r="AQ970" s="53"/>
      <c r="AR970" s="54"/>
      <c r="AS970" s="53"/>
      <c r="AT970" s="54"/>
      <c r="AU970" s="53">
        <v>4.1666666666666699E-2</v>
      </c>
      <c r="AV970" s="54" t="s">
        <v>37</v>
      </c>
      <c r="AW970" s="57">
        <f t="shared" si="137"/>
        <v>4.1666666666666699E-2</v>
      </c>
      <c r="AX970" s="58" t="s">
        <v>48</v>
      </c>
    </row>
    <row r="971" spans="1:50" ht="21" customHeight="1">
      <c r="A971" s="66" t="s">
        <v>867</v>
      </c>
      <c r="B971" s="39">
        <f t="shared" si="145"/>
        <v>967</v>
      </c>
      <c r="C971" s="40">
        <v>46044</v>
      </c>
      <c r="D971" s="40" t="s">
        <v>32</v>
      </c>
      <c r="E971" s="40" t="s">
        <v>33</v>
      </c>
      <c r="F971" s="41">
        <v>262</v>
      </c>
      <c r="G971" s="42" t="s">
        <v>176</v>
      </c>
      <c r="H971" s="43" t="str">
        <f>IFERROR(VLOOKUP($J971,'[9]FROM (3)'!$E$4:$F$230,2,FALSE),"")</f>
        <v>Astemo (Thailand)</v>
      </c>
      <c r="I971" s="44" t="str">
        <f t="shared" si="144"/>
        <v>510-30149-020</v>
      </c>
      <c r="J971" s="44" t="str">
        <f t="shared" si="140"/>
        <v>RACK (510-30149-020)</v>
      </c>
      <c r="K971" s="59" t="str">
        <f t="shared" si="142"/>
        <v>PD26010789</v>
      </c>
      <c r="L971" s="46" t="str" cm="1">
        <f t="array" ref="L971">IFERROR(_xlfn.IFS(
    LEN($A971)-LEN(SUBSTITUTE($A971,"|",""))=12, RIGHT(A971, LEN(A971)-FIND("~", SUBSTITUTE(A971,"|","~", LEN(A971)-LEN(SUBSTITUTE(A971,"|",""))))),
    LEN($A971)-LEN(SUBSTITUTE($A971,"|",""))=13, MID($A971, FIND("~", SUBSTITUTE($A971,"|","~", 11))+1, FIND("~", SUBSTITUTE($A971,"|","~", 12))-FIND("~", SUBSTITUTE($A971,"|","~", 11))-1),
    LEN($A971)-LEN(SUBSTITUTE($A971,"|",""))=14, MID($A971, FIND("~", SUBSTITUTE($A971,"|","~", 11))+1, FIND("~", SUBSTITUTE($A971,"|","~", 12))-FIND("~", SUBSTITUTE($A971,"|","~", 11))-1)
), "")</f>
        <v>5C1361</v>
      </c>
      <c r="M971" s="47" t="str">
        <f t="shared" si="141"/>
        <v>TSK2</v>
      </c>
      <c r="N971" s="46" t="str">
        <f t="shared" si="143"/>
        <v>FB010232/7/26</v>
      </c>
      <c r="O971" s="60" t="s">
        <v>35</v>
      </c>
      <c r="P971" s="60" t="s">
        <v>35</v>
      </c>
      <c r="Q971" s="48">
        <v>188</v>
      </c>
      <c r="R971" s="48">
        <v>307</v>
      </c>
      <c r="S971" s="48"/>
      <c r="T971" s="48"/>
      <c r="U971" s="49"/>
      <c r="V971" s="49"/>
      <c r="W971" s="50">
        <f t="shared" si="139"/>
        <v>0</v>
      </c>
      <c r="X971" s="51" t="str">
        <f>IF(A971="", "", IF(COUNTIFS(C$3:C970, C971, D$3:D970, D971, G$3:G970, G971) &gt; 0, "", "11:00"-AW971))</f>
        <v/>
      </c>
      <c r="Y971" s="52" t="str">
        <f t="shared" si="138"/>
        <v/>
      </c>
      <c r="Z971" s="53"/>
      <c r="AA971" s="54"/>
      <c r="AB971" s="53"/>
      <c r="AC971" s="54"/>
      <c r="AD971" s="53"/>
      <c r="AE971" s="54"/>
      <c r="AF971" s="53"/>
      <c r="AG971" s="54"/>
      <c r="AH971" s="55">
        <v>4.1666666666666699E-2</v>
      </c>
      <c r="AI971" s="53"/>
      <c r="AJ971" s="54"/>
      <c r="AK971" s="53"/>
      <c r="AL971" s="54"/>
      <c r="AM971" s="53"/>
      <c r="AN971" s="54"/>
      <c r="AO971" s="53"/>
      <c r="AP971" s="54"/>
      <c r="AQ971" s="53"/>
      <c r="AR971" s="54"/>
      <c r="AS971" s="53"/>
      <c r="AT971" s="54"/>
      <c r="AU971" s="53">
        <v>4.1666666666666699E-2</v>
      </c>
      <c r="AV971" s="54" t="s">
        <v>37</v>
      </c>
      <c r="AW971" s="57">
        <f t="shared" si="137"/>
        <v>4.1666666666666699E-2</v>
      </c>
      <c r="AX971" s="58" t="s">
        <v>48</v>
      </c>
    </row>
    <row r="972" spans="1:50" ht="21" customHeight="1">
      <c r="A972" s="66" t="s">
        <v>868</v>
      </c>
      <c r="B972" s="39">
        <f t="shared" si="145"/>
        <v>968</v>
      </c>
      <c r="C972" s="40">
        <v>46044</v>
      </c>
      <c r="D972" s="40" t="s">
        <v>32</v>
      </c>
      <c r="E972" s="40" t="s">
        <v>33</v>
      </c>
      <c r="F972" s="41">
        <v>698.5</v>
      </c>
      <c r="G972" s="42" t="s">
        <v>66</v>
      </c>
      <c r="H972" s="43" t="str">
        <f>IFERROR(VLOOKUP($J972,'[9]FROM (3)'!$E$4:$F$230,2,FALSE),"")</f>
        <v>JCTTH</v>
      </c>
      <c r="I972" s="44" t="str">
        <f t="shared" si="144"/>
        <v>RACK BAR</v>
      </c>
      <c r="J972" s="44" t="str">
        <f t="shared" si="140"/>
        <v>JGD10-000751/000761-A</v>
      </c>
      <c r="K972" s="59" t="str">
        <f t="shared" si="142"/>
        <v>PD26010570</v>
      </c>
      <c r="L972" s="46" t="str" cm="1">
        <f t="array" ref="L972">IFERROR(_xlfn.IFS(
    LEN($A972)-LEN(SUBSTITUTE($A972,"|",""))=12, RIGHT(A972, LEN(A972)-FIND("~", SUBSTITUTE(A972,"|","~", LEN(A972)-LEN(SUBSTITUTE(A972,"|",""))))),
    LEN($A972)-LEN(SUBSTITUTE($A972,"|",""))=13, MID($A972, FIND("~", SUBSTITUTE($A972,"|","~", 11))+1, FIND("~", SUBSTITUTE($A972,"|","~", 12))-FIND("~", SUBSTITUTE($A972,"|","~", 11))-1),
    LEN($A972)-LEN(SUBSTITUTE($A972,"|",""))=14, MID($A972, FIND("~", SUBSTITUTE($A972,"|","~", 11))+1, FIND("~", SUBSTITUTE($A972,"|","~", 12))-FIND("~", SUBSTITUTE($A972,"|","~", 11))-1)
), "")</f>
        <v>665077</v>
      </c>
      <c r="M972" s="47" t="str">
        <f t="shared" si="141"/>
        <v>SB010057/6/26</v>
      </c>
      <c r="N972" s="46" t="str">
        <f t="shared" si="143"/>
        <v/>
      </c>
      <c r="O972" s="60">
        <v>51</v>
      </c>
      <c r="P972" s="60">
        <v>988</v>
      </c>
      <c r="Q972" s="48">
        <v>204</v>
      </c>
      <c r="R972" s="48">
        <v>913</v>
      </c>
      <c r="S972" s="48"/>
      <c r="T972" s="48"/>
      <c r="U972" s="49"/>
      <c r="V972" s="49"/>
      <c r="W972" s="50">
        <f t="shared" si="139"/>
        <v>0</v>
      </c>
      <c r="X972" s="51">
        <f>IF(A972="", "", IF(COUNTIFS(C$3:C971, C972, D$3:D971, D972, G$3:G971, G972) &gt; 0, "", "11:00"-AW972))</f>
        <v>0.37499999999999994</v>
      </c>
      <c r="Y972" s="52" t="str">
        <f t="shared" si="138"/>
        <v>1:40</v>
      </c>
      <c r="Z972" s="53"/>
      <c r="AA972" s="54"/>
      <c r="AB972" s="53"/>
      <c r="AC972" s="54"/>
      <c r="AD972" s="53"/>
      <c r="AE972" s="54"/>
      <c r="AF972" s="53"/>
      <c r="AG972" s="54"/>
      <c r="AH972" s="55">
        <v>4.1666666666666699E-2</v>
      </c>
      <c r="AI972" s="53">
        <v>4.1666666666666664E-2</v>
      </c>
      <c r="AJ972" s="54" t="s">
        <v>129</v>
      </c>
      <c r="AK972" s="53"/>
      <c r="AL972" s="54"/>
      <c r="AM972" s="53"/>
      <c r="AN972" s="54"/>
      <c r="AO972" s="53"/>
      <c r="AP972" s="54"/>
      <c r="AQ972" s="53"/>
      <c r="AR972" s="54"/>
      <c r="AS972" s="53"/>
      <c r="AT972" s="54"/>
      <c r="AU972" s="53">
        <v>4.1666666666666699E-2</v>
      </c>
      <c r="AV972" s="54" t="s">
        <v>37</v>
      </c>
      <c r="AW972" s="57">
        <f t="shared" si="137"/>
        <v>8.333333333333337E-2</v>
      </c>
      <c r="AX972" s="58" t="s">
        <v>68</v>
      </c>
    </row>
    <row r="973" spans="1:50" ht="21" customHeight="1">
      <c r="A973" s="66" t="s">
        <v>869</v>
      </c>
      <c r="B973" s="39">
        <f t="shared" si="145"/>
        <v>969</v>
      </c>
      <c r="C973" s="40">
        <v>46044</v>
      </c>
      <c r="D973" s="40" t="s">
        <v>32</v>
      </c>
      <c r="E973" s="40" t="s">
        <v>33</v>
      </c>
      <c r="F973" s="41">
        <v>698.5</v>
      </c>
      <c r="G973" s="42" t="s">
        <v>66</v>
      </c>
      <c r="H973" s="43" t="str">
        <f>IFERROR(VLOOKUP($J973,'[9]FROM (3)'!$E$4:$F$230,2,FALSE),"")</f>
        <v>JCTTH</v>
      </c>
      <c r="I973" s="44" t="str">
        <f t="shared" si="144"/>
        <v>RACK BAR</v>
      </c>
      <c r="J973" s="44" t="str">
        <f t="shared" si="140"/>
        <v>JGD10-000751/000761-A</v>
      </c>
      <c r="K973" s="59" t="str">
        <f t="shared" si="142"/>
        <v>PD26010570</v>
      </c>
      <c r="L973" s="46" t="str" cm="1">
        <f t="array" ref="L973">IFERROR(_xlfn.IFS(
    LEN($A973)-LEN(SUBSTITUTE($A973,"|",""))=12, RIGHT(A973, LEN(A973)-FIND("~", SUBSTITUTE(A973,"|","~", LEN(A973)-LEN(SUBSTITUTE(A973,"|",""))))),
    LEN($A973)-LEN(SUBSTITUTE($A973,"|",""))=13, MID($A973, FIND("~", SUBSTITUTE($A973,"|","~", 11))+1, FIND("~", SUBSTITUTE($A973,"|","~", 12))-FIND("~", SUBSTITUTE($A973,"|","~", 11))-1),
    LEN($A973)-LEN(SUBSTITUTE($A973,"|",""))=14, MID($A973, FIND("~", SUBSTITUTE($A973,"|","~", 11))+1, FIND("~", SUBSTITUTE($A973,"|","~", 12))-FIND("~", SUBSTITUTE($A973,"|","~", 11))-1)
), "")</f>
        <v>665077</v>
      </c>
      <c r="M973" s="47" t="str">
        <f t="shared" si="141"/>
        <v>SB010057/4/26</v>
      </c>
      <c r="N973" s="46" t="str">
        <f t="shared" si="143"/>
        <v/>
      </c>
      <c r="O973" s="60">
        <v>51</v>
      </c>
      <c r="P973" s="60">
        <v>988</v>
      </c>
      <c r="Q973" s="48">
        <v>204</v>
      </c>
      <c r="R973" s="48">
        <v>913</v>
      </c>
      <c r="S973" s="48"/>
      <c r="T973" s="48"/>
      <c r="U973" s="49"/>
      <c r="V973" s="49"/>
      <c r="W973" s="50">
        <f t="shared" si="139"/>
        <v>0</v>
      </c>
      <c r="X973" s="51" t="str">
        <f>IF(A973="", "", IF(COUNTIFS(C$3:C972, C973, D$3:D972, D973, G$3:G972, G973) &gt; 0, "", "11:00"-AW973))</f>
        <v/>
      </c>
      <c r="Y973" s="52" t="str">
        <f t="shared" si="138"/>
        <v/>
      </c>
      <c r="Z973" s="53"/>
      <c r="AA973" s="54"/>
      <c r="AB973" s="53"/>
      <c r="AC973" s="54"/>
      <c r="AD973" s="53"/>
      <c r="AE973" s="54"/>
      <c r="AF973" s="53"/>
      <c r="AG973" s="54"/>
      <c r="AH973" s="55">
        <v>4.1666666666666699E-2</v>
      </c>
      <c r="AI973" s="53"/>
      <c r="AJ973" s="54"/>
      <c r="AK973" s="53"/>
      <c r="AL973" s="54"/>
      <c r="AM973" s="53"/>
      <c r="AN973" s="54"/>
      <c r="AO973" s="53"/>
      <c r="AP973" s="54"/>
      <c r="AQ973" s="53"/>
      <c r="AR973" s="54"/>
      <c r="AS973" s="53"/>
      <c r="AT973" s="54"/>
      <c r="AU973" s="53">
        <v>4.1666666666666699E-2</v>
      </c>
      <c r="AV973" s="54" t="s">
        <v>37</v>
      </c>
      <c r="AW973" s="57">
        <f t="shared" si="137"/>
        <v>4.1666666666666699E-2</v>
      </c>
      <c r="AX973" s="58" t="s">
        <v>68</v>
      </c>
    </row>
    <row r="974" spans="1:50" ht="21" customHeight="1">
      <c r="A974" s="66" t="s">
        <v>870</v>
      </c>
      <c r="B974" s="39">
        <f t="shared" si="145"/>
        <v>970</v>
      </c>
      <c r="C974" s="40">
        <v>46044</v>
      </c>
      <c r="D974" s="40" t="s">
        <v>32</v>
      </c>
      <c r="E974" s="40" t="s">
        <v>33</v>
      </c>
      <c r="F974" s="41">
        <v>698.5</v>
      </c>
      <c r="G974" s="42" t="s">
        <v>66</v>
      </c>
      <c r="H974" s="43" t="str">
        <f>IFERROR(VLOOKUP($J974,'[9]FROM (3)'!$E$4:$F$230,2,FALSE),"")</f>
        <v>JCTTH</v>
      </c>
      <c r="I974" s="44" t="str">
        <f t="shared" si="144"/>
        <v>RACK BAR</v>
      </c>
      <c r="J974" s="44" t="str">
        <f t="shared" si="140"/>
        <v>JGD10-000751/000761-A</v>
      </c>
      <c r="K974" s="59" t="str">
        <f t="shared" si="142"/>
        <v>PD26010570</v>
      </c>
      <c r="L974" s="46" t="str" cm="1">
        <f t="array" ref="L974">IFERROR(_xlfn.IFS(
    LEN($A974)-LEN(SUBSTITUTE($A974,"|",""))=12, RIGHT(A974, LEN(A974)-FIND("~", SUBSTITUTE(A974,"|","~", LEN(A974)-LEN(SUBSTITUTE(A974,"|",""))))),
    LEN($A974)-LEN(SUBSTITUTE($A974,"|",""))=13, MID($A974, FIND("~", SUBSTITUTE($A974,"|","~", 11))+1, FIND("~", SUBSTITUTE($A974,"|","~", 12))-FIND("~", SUBSTITUTE($A974,"|","~", 11))-1),
    LEN($A974)-LEN(SUBSTITUTE($A974,"|",""))=14, MID($A974, FIND("~", SUBSTITUTE($A974,"|","~", 11))+1, FIND("~", SUBSTITUTE($A974,"|","~", 12))-FIND("~", SUBSTITUTE($A974,"|","~", 11))-1)
), "")</f>
        <v>665077</v>
      </c>
      <c r="M974" s="47" t="str">
        <f t="shared" si="141"/>
        <v>SB010057/5/26</v>
      </c>
      <c r="N974" s="46" t="str">
        <f t="shared" si="143"/>
        <v/>
      </c>
      <c r="O974" s="60">
        <v>51</v>
      </c>
      <c r="P974" s="60">
        <v>988</v>
      </c>
      <c r="Q974" s="48">
        <v>204</v>
      </c>
      <c r="R974" s="48">
        <v>913</v>
      </c>
      <c r="S974" s="48"/>
      <c r="T974" s="48"/>
      <c r="U974" s="49">
        <v>196</v>
      </c>
      <c r="V974" s="49">
        <v>10</v>
      </c>
      <c r="W974" s="50">
        <f t="shared" si="139"/>
        <v>206</v>
      </c>
      <c r="X974" s="51" t="str">
        <f>IF(A974="", "", IF(COUNTIFS(C$3:C973, C974, D$3:D973, D974, G$3:G973, G974) &gt; 0, "", "11:00"-AW974))</f>
        <v/>
      </c>
      <c r="Y974" s="52" t="str">
        <f t="shared" si="138"/>
        <v/>
      </c>
      <c r="Z974" s="53"/>
      <c r="AA974" s="54"/>
      <c r="AB974" s="53"/>
      <c r="AC974" s="54"/>
      <c r="AD974" s="53"/>
      <c r="AE974" s="54"/>
      <c r="AF974" s="53"/>
      <c r="AG974" s="54"/>
      <c r="AH974" s="55">
        <v>4.1666666666666699E-2</v>
      </c>
      <c r="AI974" s="53"/>
      <c r="AJ974" s="54"/>
      <c r="AK974" s="53"/>
      <c r="AL974" s="54"/>
      <c r="AM974" s="53"/>
      <c r="AN974" s="54"/>
      <c r="AO974" s="53"/>
      <c r="AP974" s="54"/>
      <c r="AQ974" s="53"/>
      <c r="AR974" s="54"/>
      <c r="AS974" s="53"/>
      <c r="AT974" s="54"/>
      <c r="AU974" s="53">
        <v>4.1666666666666699E-2</v>
      </c>
      <c r="AV974" s="54" t="s">
        <v>37</v>
      </c>
      <c r="AW974" s="57">
        <f t="shared" si="137"/>
        <v>4.1666666666666699E-2</v>
      </c>
      <c r="AX974" s="58" t="s">
        <v>68</v>
      </c>
    </row>
    <row r="975" spans="1:50" ht="21" customHeight="1">
      <c r="A975" s="66" t="s">
        <v>871</v>
      </c>
      <c r="B975" s="39">
        <f t="shared" si="145"/>
        <v>971</v>
      </c>
      <c r="C975" s="40">
        <v>46044</v>
      </c>
      <c r="D975" s="40" t="s">
        <v>32</v>
      </c>
      <c r="E975" s="40" t="s">
        <v>33</v>
      </c>
      <c r="F975" s="41">
        <v>698.5</v>
      </c>
      <c r="G975" s="42" t="s">
        <v>66</v>
      </c>
      <c r="H975" s="43" t="str">
        <f>IFERROR(VLOOKUP($J975,'[9]FROM (3)'!$E$4:$F$230,2,FALSE),"")</f>
        <v>JCTTH</v>
      </c>
      <c r="I975" s="44" t="str">
        <f t="shared" si="144"/>
        <v>RACK BAR</v>
      </c>
      <c r="J975" s="44" t="str">
        <f t="shared" si="140"/>
        <v>JGD10-000751/000761-A</v>
      </c>
      <c r="K975" s="59" t="str">
        <f t="shared" si="142"/>
        <v>PD26010569</v>
      </c>
      <c r="L975" s="46" t="str" cm="1">
        <f t="array" ref="L975">IFERROR(_xlfn.IFS(
    LEN($A975)-LEN(SUBSTITUTE($A975,"|",""))=12, RIGHT(A975, LEN(A975)-FIND("~", SUBSTITUTE(A975,"|","~", LEN(A975)-LEN(SUBSTITUTE(A975,"|",""))))),
    LEN($A975)-LEN(SUBSTITUTE($A975,"|",""))=13, MID($A975, FIND("~", SUBSTITUTE($A975,"|","~", 11))+1, FIND("~", SUBSTITUTE($A975,"|","~", 12))-FIND("~", SUBSTITUTE($A975,"|","~", 11))-1),
    LEN($A975)-LEN(SUBSTITUTE($A975,"|",""))=14, MID($A975, FIND("~", SUBSTITUTE($A975,"|","~", 11))+1, FIND("~", SUBSTITUTE($A975,"|","~", 12))-FIND("~", SUBSTITUTE($A975,"|","~", 11))-1)
), "")</f>
        <v>665077</v>
      </c>
      <c r="M975" s="47" t="str">
        <f t="shared" si="141"/>
        <v>SB010057/1/26</v>
      </c>
      <c r="N975" s="46" t="str">
        <f t="shared" si="143"/>
        <v/>
      </c>
      <c r="O975" s="60">
        <v>51</v>
      </c>
      <c r="P975" s="60">
        <v>988</v>
      </c>
      <c r="Q975" s="48">
        <v>204</v>
      </c>
      <c r="R975" s="48">
        <v>913</v>
      </c>
      <c r="S975" s="48"/>
      <c r="T975" s="48"/>
      <c r="U975" s="49"/>
      <c r="V975" s="49"/>
      <c r="W975" s="50">
        <f t="shared" si="139"/>
        <v>0</v>
      </c>
      <c r="X975" s="51" t="str">
        <f>IF(A975="", "", IF(COUNTIFS(C$3:C974, C975, D$3:D974, D975, G$3:G974, G975) &gt; 0, "", "11:00"-AW975))</f>
        <v/>
      </c>
      <c r="Y975" s="52" t="str">
        <f t="shared" si="138"/>
        <v/>
      </c>
      <c r="Z975" s="53"/>
      <c r="AA975" s="54"/>
      <c r="AB975" s="53"/>
      <c r="AC975" s="54"/>
      <c r="AD975" s="53"/>
      <c r="AE975" s="54"/>
      <c r="AF975" s="53"/>
      <c r="AG975" s="54"/>
      <c r="AH975" s="55">
        <v>4.1666666666666699E-2</v>
      </c>
      <c r="AI975" s="53"/>
      <c r="AJ975" s="54"/>
      <c r="AK975" s="53"/>
      <c r="AL975" s="54"/>
      <c r="AM975" s="53"/>
      <c r="AN975" s="54"/>
      <c r="AO975" s="53"/>
      <c r="AP975" s="54"/>
      <c r="AQ975" s="53"/>
      <c r="AR975" s="54"/>
      <c r="AS975" s="53"/>
      <c r="AT975" s="54"/>
      <c r="AU975" s="53">
        <v>4.1666666666666699E-2</v>
      </c>
      <c r="AV975" s="54" t="s">
        <v>37</v>
      </c>
      <c r="AW975" s="57">
        <f t="shared" si="137"/>
        <v>4.1666666666666699E-2</v>
      </c>
      <c r="AX975" s="58" t="s">
        <v>68</v>
      </c>
    </row>
    <row r="976" spans="1:50" ht="21" customHeight="1">
      <c r="A976" s="66" t="s">
        <v>872</v>
      </c>
      <c r="B976" s="39">
        <f t="shared" si="145"/>
        <v>972</v>
      </c>
      <c r="C976" s="40">
        <v>46044</v>
      </c>
      <c r="D976" s="40" t="s">
        <v>32</v>
      </c>
      <c r="E976" s="40" t="s">
        <v>33</v>
      </c>
      <c r="F976" s="41">
        <v>698.5</v>
      </c>
      <c r="G976" s="42" t="s">
        <v>66</v>
      </c>
      <c r="H976" s="43" t="str">
        <f>IFERROR(VLOOKUP($J976,'[9]FROM (3)'!$E$4:$F$230,2,FALSE),"")</f>
        <v>JCTTH</v>
      </c>
      <c r="I976" s="44" t="str">
        <f t="shared" si="144"/>
        <v>RACK BAR</v>
      </c>
      <c r="J976" s="44" t="str">
        <f t="shared" si="140"/>
        <v>JGD10-000751/000761-A</v>
      </c>
      <c r="K976" s="59" t="str">
        <f t="shared" si="142"/>
        <v>PD26010569</v>
      </c>
      <c r="L976" s="46" t="str" cm="1">
        <f t="array" ref="L976">IFERROR(_xlfn.IFS(
    LEN($A976)-LEN(SUBSTITUTE($A976,"|",""))=12, RIGHT(A976, LEN(A976)-FIND("~", SUBSTITUTE(A976,"|","~", LEN(A976)-LEN(SUBSTITUTE(A976,"|",""))))),
    LEN($A976)-LEN(SUBSTITUTE($A976,"|",""))=13, MID($A976, FIND("~", SUBSTITUTE($A976,"|","~", 11))+1, FIND("~", SUBSTITUTE($A976,"|","~", 12))-FIND("~", SUBSTITUTE($A976,"|","~", 11))-1),
    LEN($A976)-LEN(SUBSTITUTE($A976,"|",""))=14, MID($A976, FIND("~", SUBSTITUTE($A976,"|","~", 11))+1, FIND("~", SUBSTITUTE($A976,"|","~", 12))-FIND("~", SUBSTITUTE($A976,"|","~", 11))-1)
), "")</f>
        <v>665077</v>
      </c>
      <c r="M976" s="47" t="str">
        <f t="shared" si="141"/>
        <v>SB010057/2/26</v>
      </c>
      <c r="N976" s="46" t="str">
        <f t="shared" si="143"/>
        <v/>
      </c>
      <c r="O976" s="60">
        <v>45</v>
      </c>
      <c r="P976" s="60">
        <v>872</v>
      </c>
      <c r="Q976" s="48">
        <v>177</v>
      </c>
      <c r="R976" s="48">
        <v>792</v>
      </c>
      <c r="S976" s="48"/>
      <c r="T976" s="48"/>
      <c r="U976" s="49"/>
      <c r="V976" s="49"/>
      <c r="W976" s="50">
        <f t="shared" si="139"/>
        <v>0</v>
      </c>
      <c r="X976" s="51" t="str">
        <f>IF(A976="", "", IF(COUNTIFS(C$3:C975, C976, D$3:D975, D976, G$3:G975, G976) &gt; 0, "", "11:00"-AW976))</f>
        <v/>
      </c>
      <c r="Y976" s="52" t="str">
        <f t="shared" si="138"/>
        <v/>
      </c>
      <c r="Z976" s="53"/>
      <c r="AA976" s="54"/>
      <c r="AB976" s="53"/>
      <c r="AC976" s="54"/>
      <c r="AD976" s="53"/>
      <c r="AE976" s="54"/>
      <c r="AF976" s="53"/>
      <c r="AG976" s="54"/>
      <c r="AH976" s="55">
        <v>4.1666666666666699E-2</v>
      </c>
      <c r="AI976" s="53"/>
      <c r="AJ976" s="54"/>
      <c r="AK976" s="53"/>
      <c r="AL976" s="54"/>
      <c r="AM976" s="53"/>
      <c r="AN976" s="54"/>
      <c r="AO976" s="53"/>
      <c r="AP976" s="54"/>
      <c r="AQ976" s="53"/>
      <c r="AR976" s="54"/>
      <c r="AS976" s="53"/>
      <c r="AT976" s="54"/>
      <c r="AU976" s="53">
        <v>4.1666666666666699E-2</v>
      </c>
      <c r="AV976" s="54" t="s">
        <v>37</v>
      </c>
      <c r="AW976" s="57">
        <f t="shared" si="137"/>
        <v>4.1666666666666699E-2</v>
      </c>
      <c r="AX976" s="58" t="s">
        <v>68</v>
      </c>
    </row>
    <row r="977" spans="1:50" ht="21" customHeight="1">
      <c r="A977" s="66" t="s">
        <v>837</v>
      </c>
      <c r="B977" s="39">
        <f t="shared" si="145"/>
        <v>973</v>
      </c>
      <c r="C977" s="40">
        <v>46044</v>
      </c>
      <c r="D977" s="40" t="s">
        <v>32</v>
      </c>
      <c r="E977" s="40" t="s">
        <v>33</v>
      </c>
      <c r="F977" s="41">
        <v>375</v>
      </c>
      <c r="G977" s="42" t="s">
        <v>172</v>
      </c>
      <c r="H977" s="43" t="str">
        <f>IFERROR(VLOOKUP($J977,'[9]FROM (3)'!$E$4:$F$230,2,FALSE),"")</f>
        <v>ATAC</v>
      </c>
      <c r="I977" s="44" t="str">
        <f t="shared" si="144"/>
        <v>SEAT,WATER PUMP PULLEY</v>
      </c>
      <c r="J977" s="44" t="str">
        <f t="shared" si="140"/>
        <v>16171-05030</v>
      </c>
      <c r="K977" s="59" t="str">
        <f t="shared" si="142"/>
        <v>PD26010856</v>
      </c>
      <c r="L977" s="46" t="str" cm="1">
        <f t="array" ref="L977">IFERROR(_xlfn.IFS(
    LEN($A977)-LEN(SUBSTITUTE($A977,"|",""))=12, RIGHT(A977, LEN(A977)-FIND("~", SUBSTITUTE(A977,"|","~", LEN(A977)-LEN(SUBSTITUTE(A977,"|",""))))),
    LEN($A977)-LEN(SUBSTITUTE($A977,"|",""))=13, MID($A977, FIND("~", SUBSTITUTE($A977,"|","~", 11))+1, FIND("~", SUBSTITUTE($A977,"|","~", 12))-FIND("~", SUBSTITUTE($A977,"|","~", 11))-1),
    LEN($A977)-LEN(SUBSTITUTE($A977,"|",""))=14, MID($A977, FIND("~", SUBSTITUTE($A977,"|","~", 11))+1, FIND("~", SUBSTITUTE($A977,"|","~", 12))-FIND("~", SUBSTITUTE($A977,"|","~", 11))-1)
), "")</f>
        <v>665898</v>
      </c>
      <c r="M977" s="47" t="str">
        <f t="shared" si="141"/>
        <v>SB010102/1/26</v>
      </c>
      <c r="N977" s="46" t="str">
        <f t="shared" si="143"/>
        <v/>
      </c>
      <c r="O977" s="60" t="s">
        <v>35</v>
      </c>
      <c r="P977" s="60" t="s">
        <v>35</v>
      </c>
      <c r="Q977" s="48">
        <v>1898</v>
      </c>
      <c r="R977" s="48">
        <v>712</v>
      </c>
      <c r="S977" s="48"/>
      <c r="T977" s="48"/>
      <c r="U977" s="49"/>
      <c r="V977" s="49"/>
      <c r="W977" s="50">
        <f t="shared" si="139"/>
        <v>0</v>
      </c>
      <c r="X977" s="51">
        <f>IF(A977="", "", IF(COUNTIFS(C$3:C976, C977, D$3:D976, D977, G$3:G976, G977) &gt; 0, "", "11:00"-AW977))</f>
        <v>0.41666666666666663</v>
      </c>
      <c r="Y977" s="52" t="str">
        <f t="shared" si="138"/>
        <v>1:40</v>
      </c>
      <c r="Z977" s="53"/>
      <c r="AA977" s="54"/>
      <c r="AB977" s="53"/>
      <c r="AC977" s="54"/>
      <c r="AD977" s="53"/>
      <c r="AE977" s="54"/>
      <c r="AF977" s="53"/>
      <c r="AG977" s="54"/>
      <c r="AH977" s="55">
        <v>4.1666666666666699E-2</v>
      </c>
      <c r="AI977" s="53"/>
      <c r="AJ977" s="54"/>
      <c r="AK977" s="53"/>
      <c r="AL977" s="54"/>
      <c r="AM977" s="53"/>
      <c r="AN977" s="54"/>
      <c r="AO977" s="53"/>
      <c r="AP977" s="54"/>
      <c r="AQ977" s="53"/>
      <c r="AR977" s="54"/>
      <c r="AS977" s="53"/>
      <c r="AT977" s="54"/>
      <c r="AU977" s="53">
        <v>4.1666666666666699E-2</v>
      </c>
      <c r="AV977" s="54" t="s">
        <v>37</v>
      </c>
      <c r="AW977" s="57">
        <f t="shared" si="137"/>
        <v>4.1666666666666699E-2</v>
      </c>
      <c r="AX977" s="58" t="s">
        <v>380</v>
      </c>
    </row>
    <row r="978" spans="1:50" ht="21" customHeight="1">
      <c r="A978" s="66" t="s">
        <v>873</v>
      </c>
      <c r="B978" s="39">
        <f t="shared" si="145"/>
        <v>974</v>
      </c>
      <c r="C978" s="40">
        <v>46044</v>
      </c>
      <c r="D978" s="40" t="s">
        <v>32</v>
      </c>
      <c r="E978" s="40" t="s">
        <v>33</v>
      </c>
      <c r="F978" s="41">
        <v>375</v>
      </c>
      <c r="G978" s="42" t="s">
        <v>172</v>
      </c>
      <c r="H978" s="43" t="str">
        <f>IFERROR(VLOOKUP($J978,'[9]FROM (3)'!$E$4:$F$230,2,FALSE),"")</f>
        <v>ATAC</v>
      </c>
      <c r="I978" s="44" t="str">
        <f t="shared" si="144"/>
        <v>SEAT,WATER PUMP PULLEY</v>
      </c>
      <c r="J978" s="44" t="str">
        <f t="shared" si="140"/>
        <v>16171-05030</v>
      </c>
      <c r="K978" s="59" t="str">
        <f t="shared" si="142"/>
        <v>PD26010856</v>
      </c>
      <c r="L978" s="46" t="str" cm="1">
        <f t="array" ref="L978">IFERROR(_xlfn.IFS(
    LEN($A978)-LEN(SUBSTITUTE($A978,"|",""))=12, RIGHT(A978, LEN(A978)-FIND("~", SUBSTITUTE(A978,"|","~", LEN(A978)-LEN(SUBSTITUTE(A978,"|",""))))),
    LEN($A978)-LEN(SUBSTITUTE($A978,"|",""))=13, MID($A978, FIND("~", SUBSTITUTE($A978,"|","~", 11))+1, FIND("~", SUBSTITUTE($A978,"|","~", 12))-FIND("~", SUBSTITUTE($A978,"|","~", 11))-1),
    LEN($A978)-LEN(SUBSTITUTE($A978,"|",""))=14, MID($A978, FIND("~", SUBSTITUTE($A978,"|","~", 11))+1, FIND("~", SUBSTITUTE($A978,"|","~", 12))-FIND("~", SUBSTITUTE($A978,"|","~", 11))-1)
), "")</f>
        <v>665898</v>
      </c>
      <c r="M978" s="47" t="str">
        <f t="shared" si="141"/>
        <v>SB010102/2/26</v>
      </c>
      <c r="N978" s="46" t="str">
        <f t="shared" si="143"/>
        <v/>
      </c>
      <c r="O978" s="60">
        <v>14</v>
      </c>
      <c r="P978" s="60">
        <v>990</v>
      </c>
      <c r="Q978" s="48">
        <v>920</v>
      </c>
      <c r="R978" s="48">
        <v>345</v>
      </c>
      <c r="S978" s="48"/>
      <c r="T978" s="48"/>
      <c r="U978" s="49"/>
      <c r="V978" s="49"/>
      <c r="W978" s="50">
        <f t="shared" si="139"/>
        <v>0</v>
      </c>
      <c r="X978" s="51" t="str">
        <f>IF(A978="", "", IF(COUNTIFS(C$3:C977, C978, D$3:D977, D978, G$3:G977, G978) &gt; 0, "", "11:00"-AW978))</f>
        <v/>
      </c>
      <c r="Y978" s="52" t="str">
        <f t="shared" si="138"/>
        <v/>
      </c>
      <c r="Z978" s="53"/>
      <c r="AA978" s="54"/>
      <c r="AB978" s="53"/>
      <c r="AC978" s="54"/>
      <c r="AD978" s="53"/>
      <c r="AE978" s="54"/>
      <c r="AF978" s="53"/>
      <c r="AG978" s="54"/>
      <c r="AH978" s="55">
        <v>4.1666666666666699E-2</v>
      </c>
      <c r="AI978" s="53"/>
      <c r="AJ978" s="54"/>
      <c r="AK978" s="53"/>
      <c r="AL978" s="54"/>
      <c r="AM978" s="53"/>
      <c r="AN978" s="54"/>
      <c r="AO978" s="53"/>
      <c r="AP978" s="54"/>
      <c r="AQ978" s="53"/>
      <c r="AR978" s="54"/>
      <c r="AS978" s="53"/>
      <c r="AT978" s="54"/>
      <c r="AU978" s="53">
        <v>4.1666666666666699E-2</v>
      </c>
      <c r="AV978" s="54" t="s">
        <v>37</v>
      </c>
      <c r="AW978" s="57">
        <f t="shared" si="137"/>
        <v>4.1666666666666699E-2</v>
      </c>
      <c r="AX978" s="58" t="s">
        <v>380</v>
      </c>
    </row>
    <row r="979" spans="1:50" ht="21" customHeight="1">
      <c r="A979" s="66" t="s">
        <v>831</v>
      </c>
      <c r="B979" s="39">
        <f t="shared" si="145"/>
        <v>975</v>
      </c>
      <c r="C979" s="40">
        <v>46044</v>
      </c>
      <c r="D979" s="40" t="s">
        <v>32</v>
      </c>
      <c r="E979" s="40" t="s">
        <v>33</v>
      </c>
      <c r="F979" s="41">
        <v>765.7</v>
      </c>
      <c r="G979" s="42" t="s">
        <v>75</v>
      </c>
      <c r="H979" s="43" t="str">
        <f>IFERROR(VLOOKUP($J979,'[9]FROM (3)'!$E$4:$F$230,2,FALSE),"")</f>
        <v>JTCS</v>
      </c>
      <c r="I979" s="44" t="str">
        <f t="shared" si="144"/>
        <v>RACK, PS</v>
      </c>
      <c r="J979" s="44" t="str">
        <f t="shared" si="140"/>
        <v>JGD10-001230-40-0</v>
      </c>
      <c r="K979" s="59" t="str">
        <f t="shared" si="142"/>
        <v>PD26010900</v>
      </c>
      <c r="L979" s="46" t="str" cm="1">
        <f t="array" ref="L979">IFERROR(_xlfn.IFS(
    LEN($A979)-LEN(SUBSTITUTE($A979,"|",""))=12, RIGHT(A979, LEN(A979)-FIND("~", SUBSTITUTE(A979,"|","~", LEN(A979)-LEN(SUBSTITUTE(A979,"|",""))))),
    LEN($A979)-LEN(SUBSTITUTE($A979,"|",""))=13, MID($A979, FIND("~", SUBSTITUTE($A979,"|","~", 11))+1, FIND("~", SUBSTITUTE($A979,"|","~", 12))-FIND("~", SUBSTITUTE($A979,"|","~", 11))-1),
    LEN($A979)-LEN(SUBSTITUTE($A979,"|",""))=14, MID($A979, FIND("~", SUBSTITUTE($A979,"|","~", 11))+1, FIND("~", SUBSTITUTE($A979,"|","~", 12))-FIND("~", SUBSTITUTE($A979,"|","~", 11))-1)
), "")</f>
        <v>E586236</v>
      </c>
      <c r="M979" s="47" t="str">
        <f t="shared" si="141"/>
        <v>SB010103/5/26</v>
      </c>
      <c r="N979" s="46" t="str">
        <f t="shared" si="143"/>
        <v/>
      </c>
      <c r="O979" s="60">
        <v>0</v>
      </c>
      <c r="P979" s="60">
        <v>0</v>
      </c>
      <c r="Q979" s="48">
        <v>134</v>
      </c>
      <c r="R979" s="48">
        <v>658</v>
      </c>
      <c r="S979" s="48"/>
      <c r="T979" s="48"/>
      <c r="U979" s="49"/>
      <c r="V979" s="49"/>
      <c r="W979" s="50">
        <f t="shared" si="139"/>
        <v>0</v>
      </c>
      <c r="X979" s="51">
        <f>IF(A979="", "", IF(COUNTIFS(C$3:C978, C979, D$3:D978, D979, G$3:G978, G979) &gt; 0, "", "11:00"-AW979))</f>
        <v>0.33333333333333326</v>
      </c>
      <c r="Y979" s="52" t="str">
        <f t="shared" si="138"/>
        <v>1:40</v>
      </c>
      <c r="Z979" s="53">
        <v>4.1666666666666664E-2</v>
      </c>
      <c r="AA979" s="54" t="s">
        <v>55</v>
      </c>
      <c r="AB979" s="53">
        <v>4.1666666666666664E-2</v>
      </c>
      <c r="AC979" s="54" t="s">
        <v>55</v>
      </c>
      <c r="AD979" s="53"/>
      <c r="AE979" s="54"/>
      <c r="AF979" s="53"/>
      <c r="AG979" s="54"/>
      <c r="AH979" s="55">
        <v>4.1666666666666699E-2</v>
      </c>
      <c r="AI979" s="53"/>
      <c r="AJ979" s="54" t="s">
        <v>122</v>
      </c>
      <c r="AK979" s="53"/>
      <c r="AL979" s="54"/>
      <c r="AM979" s="53"/>
      <c r="AN979" s="54"/>
      <c r="AO979" s="53"/>
      <c r="AP979" s="54"/>
      <c r="AQ979" s="53"/>
      <c r="AR979" s="54" t="s">
        <v>122</v>
      </c>
      <c r="AS979" s="53"/>
      <c r="AT979" s="54"/>
      <c r="AU979" s="53">
        <v>4.1666666666666699E-2</v>
      </c>
      <c r="AV979" s="54" t="s">
        <v>37</v>
      </c>
      <c r="AW979" s="57">
        <f t="shared" si="137"/>
        <v>0.12500000000000003</v>
      </c>
      <c r="AX979" s="58" t="s">
        <v>77</v>
      </c>
    </row>
    <row r="980" spans="1:50" ht="21" customHeight="1">
      <c r="A980" s="66" t="s">
        <v>874</v>
      </c>
      <c r="B980" s="39">
        <f t="shared" si="145"/>
        <v>976</v>
      </c>
      <c r="C980" s="40">
        <v>46044</v>
      </c>
      <c r="D980" s="40" t="s">
        <v>32</v>
      </c>
      <c r="E980" s="40" t="s">
        <v>33</v>
      </c>
      <c r="F980" s="41">
        <v>765.7</v>
      </c>
      <c r="G980" s="42" t="s">
        <v>75</v>
      </c>
      <c r="H980" s="43" t="str">
        <f>IFERROR(VLOOKUP($J980,'[9]FROM (3)'!$E$4:$F$230,2,FALSE),"")</f>
        <v>JTCS</v>
      </c>
      <c r="I980" s="44" t="str">
        <f t="shared" si="144"/>
        <v>RACK, PS</v>
      </c>
      <c r="J980" s="44" t="str">
        <f t="shared" si="140"/>
        <v>JGD10-001230-40-0</v>
      </c>
      <c r="K980" s="59" t="str">
        <f t="shared" si="142"/>
        <v>PD26010900</v>
      </c>
      <c r="L980" s="46" t="str" cm="1">
        <f t="array" ref="L980">IFERROR(_xlfn.IFS(
    LEN($A980)-LEN(SUBSTITUTE($A980,"|",""))=12, RIGHT(A980, LEN(A980)-FIND("~", SUBSTITUTE(A980,"|","~", LEN(A980)-LEN(SUBSTITUTE(A980,"|",""))))),
    LEN($A980)-LEN(SUBSTITUTE($A980,"|",""))=13, MID($A980, FIND("~", SUBSTITUTE($A980,"|","~", 11))+1, FIND("~", SUBSTITUTE($A980,"|","~", 12))-FIND("~", SUBSTITUTE($A980,"|","~", 11))-1),
    LEN($A980)-LEN(SUBSTITUTE($A980,"|",""))=14, MID($A980, FIND("~", SUBSTITUTE($A980,"|","~", 11))+1, FIND("~", SUBSTITUTE($A980,"|","~", 12))-FIND("~", SUBSTITUTE($A980,"|","~", 11))-1)
), "")</f>
        <v>E586236</v>
      </c>
      <c r="M980" s="47" t="str">
        <f t="shared" si="141"/>
        <v>SB010103/6/26</v>
      </c>
      <c r="N980" s="46" t="str">
        <f t="shared" si="143"/>
        <v/>
      </c>
      <c r="O980" s="60">
        <v>25</v>
      </c>
      <c r="P980" s="60">
        <v>892</v>
      </c>
      <c r="Q980" s="48">
        <v>175</v>
      </c>
      <c r="R980" s="48">
        <v>859</v>
      </c>
      <c r="S980" s="48"/>
      <c r="T980" s="48"/>
      <c r="U980" s="49">
        <v>80</v>
      </c>
      <c r="V980" s="49">
        <v>8</v>
      </c>
      <c r="W980" s="50"/>
      <c r="X980" s="51" t="str">
        <f>IF(A980="", "", IF(COUNTIFS(C$3:C979, C980, D$3:D979, D980, G$3:G979, G980) &gt; 0, "", "11:00"-AW980))</f>
        <v/>
      </c>
      <c r="Y980" s="52"/>
      <c r="Z980" s="53"/>
      <c r="AA980" s="54"/>
      <c r="AB980" s="53"/>
      <c r="AC980" s="54"/>
      <c r="AD980" s="53"/>
      <c r="AE980" s="54"/>
      <c r="AF980" s="53"/>
      <c r="AG980" s="54"/>
      <c r="AH980" s="55">
        <v>4.1666666666666699E-2</v>
      </c>
      <c r="AI980" s="53"/>
      <c r="AJ980" s="54"/>
      <c r="AK980" s="53"/>
      <c r="AL980" s="54"/>
      <c r="AM980" s="53"/>
      <c r="AN980" s="54"/>
      <c r="AO980" s="53"/>
      <c r="AP980" s="54"/>
      <c r="AQ980" s="53"/>
      <c r="AR980" s="54"/>
      <c r="AS980" s="53"/>
      <c r="AT980" s="54"/>
      <c r="AU980" s="53">
        <v>4.1666666666666699E-2</v>
      </c>
      <c r="AV980" s="54" t="s">
        <v>37</v>
      </c>
      <c r="AW980" s="57">
        <f t="shared" si="137"/>
        <v>4.1666666666666699E-2</v>
      </c>
      <c r="AX980" s="58" t="s">
        <v>77</v>
      </c>
    </row>
    <row r="981" spans="1:50" ht="21" customHeight="1">
      <c r="A981" s="66" t="s">
        <v>875</v>
      </c>
      <c r="B981" s="39">
        <f t="shared" si="145"/>
        <v>977</v>
      </c>
      <c r="C981" s="40">
        <v>46044</v>
      </c>
      <c r="D981" s="40" t="s">
        <v>32</v>
      </c>
      <c r="E981" s="40" t="s">
        <v>33</v>
      </c>
      <c r="F981" s="41">
        <v>765.7</v>
      </c>
      <c r="G981" s="42" t="s">
        <v>75</v>
      </c>
      <c r="H981" s="43" t="str">
        <f>IFERROR(VLOOKUP($J981,'[9]FROM (3)'!$E$4:$F$230,2,FALSE),"")</f>
        <v>JTCS</v>
      </c>
      <c r="I981" s="44" t="str">
        <f t="shared" si="144"/>
        <v>RACK, PS</v>
      </c>
      <c r="J981" s="44" t="str">
        <f t="shared" si="140"/>
        <v>JGD10-001230-40-0</v>
      </c>
      <c r="K981" s="59" t="str">
        <f t="shared" si="142"/>
        <v>PD26010903</v>
      </c>
      <c r="L981" s="46" t="str" cm="1">
        <f t="array" ref="L981">IFERROR(_xlfn.IFS(
    LEN($A981)-LEN(SUBSTITUTE($A981,"|",""))=12, RIGHT(A981, LEN(A981)-FIND("~", SUBSTITUTE(A981,"|","~", LEN(A981)-LEN(SUBSTITUTE(A981,"|",""))))),
    LEN($A981)-LEN(SUBSTITUTE($A981,"|",""))=13, MID($A981, FIND("~", SUBSTITUTE($A981,"|","~", 11))+1, FIND("~", SUBSTITUTE($A981,"|","~", 12))-FIND("~", SUBSTITUTE($A981,"|","~", 11))-1),
    LEN($A981)-LEN(SUBSTITUTE($A981,"|",""))=14, MID($A981, FIND("~", SUBSTITUTE($A981,"|","~", 11))+1, FIND("~", SUBSTITUTE($A981,"|","~", 12))-FIND("~", SUBSTITUTE($A981,"|","~", 11))-1)
), "")</f>
        <v>E586236</v>
      </c>
      <c r="M981" s="47" t="str">
        <f t="shared" si="141"/>
        <v>SB010106/5/26</v>
      </c>
      <c r="N981" s="46" t="str">
        <f t="shared" si="143"/>
        <v/>
      </c>
      <c r="O981" s="60">
        <v>25</v>
      </c>
      <c r="P981" s="60">
        <v>892</v>
      </c>
      <c r="Q981" s="48">
        <v>175</v>
      </c>
      <c r="R981" s="48">
        <v>859</v>
      </c>
      <c r="S981" s="48"/>
      <c r="T981" s="48"/>
      <c r="U981" s="49"/>
      <c r="V981" s="49"/>
      <c r="W981" s="50"/>
      <c r="X981" s="51" t="str">
        <f>IF(A981="", "", IF(COUNTIFS(C$3:C980, C981, D$3:D980, D981, G$3:G980, G981) &gt; 0, "", "11:00"-AW981))</f>
        <v/>
      </c>
      <c r="Y981" s="52"/>
      <c r="Z981" s="53"/>
      <c r="AA981" s="54"/>
      <c r="AB981" s="53"/>
      <c r="AC981" s="54"/>
      <c r="AD981" s="53"/>
      <c r="AE981" s="54"/>
      <c r="AF981" s="53"/>
      <c r="AG981" s="54"/>
      <c r="AH981" s="55">
        <v>4.1666666666666699E-2</v>
      </c>
      <c r="AI981" s="53"/>
      <c r="AJ981" s="54"/>
      <c r="AK981" s="53"/>
      <c r="AL981" s="54"/>
      <c r="AM981" s="53"/>
      <c r="AN981" s="54"/>
      <c r="AO981" s="53"/>
      <c r="AP981" s="54"/>
      <c r="AQ981" s="53"/>
      <c r="AR981" s="54"/>
      <c r="AS981" s="53"/>
      <c r="AT981" s="54"/>
      <c r="AU981" s="53">
        <v>4.1666666666666699E-2</v>
      </c>
      <c r="AV981" s="54" t="s">
        <v>37</v>
      </c>
      <c r="AW981" s="57">
        <f t="shared" si="137"/>
        <v>4.1666666666666699E-2</v>
      </c>
      <c r="AX981" s="58" t="s">
        <v>77</v>
      </c>
    </row>
    <row r="982" spans="1:50" ht="21" customHeight="1">
      <c r="A982" s="66" t="s">
        <v>876</v>
      </c>
      <c r="B982" s="39">
        <f t="shared" si="145"/>
        <v>978</v>
      </c>
      <c r="C982" s="40">
        <v>46044</v>
      </c>
      <c r="D982" s="40" t="s">
        <v>32</v>
      </c>
      <c r="E982" s="40" t="s">
        <v>33</v>
      </c>
      <c r="F982" s="41">
        <v>765.7</v>
      </c>
      <c r="G982" s="42" t="s">
        <v>75</v>
      </c>
      <c r="H982" s="43" t="str">
        <f>IFERROR(VLOOKUP($J982,'[9]FROM (3)'!$E$4:$F$230,2,FALSE),"")</f>
        <v>JTCS</v>
      </c>
      <c r="I982" s="44" t="str">
        <f t="shared" si="144"/>
        <v>RACK, PS</v>
      </c>
      <c r="J982" s="44" t="str">
        <f t="shared" si="140"/>
        <v>JGD10-001230-40-0</v>
      </c>
      <c r="K982" s="59" t="str">
        <f t="shared" si="142"/>
        <v>PD26010903</v>
      </c>
      <c r="L982" s="46" t="str" cm="1">
        <f t="array" ref="L982">IFERROR(_xlfn.IFS(
    LEN($A982)-LEN(SUBSTITUTE($A982,"|",""))=12, RIGHT(A982, LEN(A982)-FIND("~", SUBSTITUTE(A982,"|","~", LEN(A982)-LEN(SUBSTITUTE(A982,"|",""))))),
    LEN($A982)-LEN(SUBSTITUTE($A982,"|",""))=13, MID($A982, FIND("~", SUBSTITUTE($A982,"|","~", 11))+1, FIND("~", SUBSTITUTE($A982,"|","~", 12))-FIND("~", SUBSTITUTE($A982,"|","~", 11))-1),
    LEN($A982)-LEN(SUBSTITUTE($A982,"|",""))=14, MID($A982, FIND("~", SUBSTITUTE($A982,"|","~", 11))+1, FIND("~", SUBSTITUTE($A982,"|","~", 12))-FIND("~", SUBSTITUTE($A982,"|","~", 11))-1)
), "")</f>
        <v>E586236</v>
      </c>
      <c r="M982" s="47" t="str">
        <f t="shared" si="141"/>
        <v>SB010106/6/26</v>
      </c>
      <c r="N982" s="46" t="str">
        <f t="shared" si="143"/>
        <v/>
      </c>
      <c r="O982" s="60">
        <v>23</v>
      </c>
      <c r="P982" s="60">
        <v>822</v>
      </c>
      <c r="Q982" s="48">
        <v>161</v>
      </c>
      <c r="R982" s="48">
        <v>790</v>
      </c>
      <c r="S982" s="48"/>
      <c r="T982" s="48"/>
      <c r="U982" s="49"/>
      <c r="V982" s="49"/>
      <c r="W982" s="50"/>
      <c r="X982" s="51" t="str">
        <f>IF(A982="", "", IF(COUNTIFS(C$3:C981, C982, D$3:D981, D982, G$3:G981, G982) &gt; 0, "", "11:00"-AW982))</f>
        <v/>
      </c>
      <c r="Y982" s="52"/>
      <c r="Z982" s="53"/>
      <c r="AA982" s="54"/>
      <c r="AB982" s="53"/>
      <c r="AC982" s="54"/>
      <c r="AD982" s="53"/>
      <c r="AE982" s="54"/>
      <c r="AF982" s="53"/>
      <c r="AG982" s="54"/>
      <c r="AH982" s="55">
        <v>4.1666666666666699E-2</v>
      </c>
      <c r="AI982" s="53"/>
      <c r="AJ982" s="54"/>
      <c r="AK982" s="53"/>
      <c r="AL982" s="54"/>
      <c r="AM982" s="53"/>
      <c r="AN982" s="54"/>
      <c r="AO982" s="53"/>
      <c r="AP982" s="54"/>
      <c r="AQ982" s="53"/>
      <c r="AR982" s="54"/>
      <c r="AS982" s="53"/>
      <c r="AT982" s="54"/>
      <c r="AU982" s="53">
        <v>4.1666666666666699E-2</v>
      </c>
      <c r="AV982" s="54" t="s">
        <v>37</v>
      </c>
      <c r="AW982" s="57">
        <f t="shared" si="137"/>
        <v>4.1666666666666699E-2</v>
      </c>
      <c r="AX982" s="58" t="s">
        <v>77</v>
      </c>
    </row>
    <row r="983" spans="1:50" ht="21" customHeight="1">
      <c r="A983" s="66" t="s">
        <v>877</v>
      </c>
      <c r="B983" s="39">
        <f t="shared" si="145"/>
        <v>979</v>
      </c>
      <c r="C983" s="40">
        <v>46044</v>
      </c>
      <c r="D983" s="40" t="s">
        <v>32</v>
      </c>
      <c r="E983" s="40" t="s">
        <v>33</v>
      </c>
      <c r="F983" s="41">
        <v>765.7</v>
      </c>
      <c r="G983" s="42" t="s">
        <v>75</v>
      </c>
      <c r="H983" s="43" t="str">
        <f>IFERROR(VLOOKUP($J983,'[9]FROM (3)'!$E$4:$F$230,2,FALSE),"")</f>
        <v>JTCS</v>
      </c>
      <c r="I983" s="44" t="str">
        <f t="shared" si="144"/>
        <v>RACK, PS</v>
      </c>
      <c r="J983" s="44" t="str">
        <f t="shared" si="140"/>
        <v>JGD10-001230-40-0</v>
      </c>
      <c r="K983" s="59" t="str">
        <f t="shared" si="142"/>
        <v>PD26010903</v>
      </c>
      <c r="L983" s="46" t="str" cm="1">
        <f t="array" ref="L983">IFERROR(_xlfn.IFS(
    LEN($A983)-LEN(SUBSTITUTE($A983,"|",""))=12, RIGHT(A983, LEN(A983)-FIND("~", SUBSTITUTE(A983,"|","~", LEN(A983)-LEN(SUBSTITUTE(A983,"|",""))))),
    LEN($A983)-LEN(SUBSTITUTE($A983,"|",""))=13, MID($A983, FIND("~", SUBSTITUTE($A983,"|","~", 11))+1, FIND("~", SUBSTITUTE($A983,"|","~", 12))-FIND("~", SUBSTITUTE($A983,"|","~", 11))-1),
    LEN($A983)-LEN(SUBSTITUTE($A983,"|",""))=14, MID($A983, FIND("~", SUBSTITUTE($A983,"|","~", 11))+1, FIND("~", SUBSTITUTE($A983,"|","~", 12))-FIND("~", SUBSTITUTE($A983,"|","~", 11))-1)
), "")</f>
        <v>E586236</v>
      </c>
      <c r="M983" s="47" t="str">
        <f t="shared" si="141"/>
        <v>SB010106/7/26</v>
      </c>
      <c r="N983" s="46" t="str">
        <f t="shared" si="143"/>
        <v/>
      </c>
      <c r="O983" s="60">
        <v>2</v>
      </c>
      <c r="P983" s="60">
        <v>70</v>
      </c>
      <c r="Q983" s="48">
        <v>12</v>
      </c>
      <c r="R983" s="48">
        <v>60</v>
      </c>
      <c r="S983" s="48">
        <v>2</v>
      </c>
      <c r="T983" s="48" t="s">
        <v>167</v>
      </c>
      <c r="U983" s="49">
        <v>53</v>
      </c>
      <c r="V983" s="49">
        <v>5</v>
      </c>
      <c r="W983" s="50"/>
      <c r="X983" s="51" t="str">
        <f>IF(A983="", "", IF(COUNTIFS(C$3:C982, C983, D$3:D982, D983, G$3:G982, G983) &gt; 0, "", "11:00"-AW983))</f>
        <v/>
      </c>
      <c r="Y983" s="52"/>
      <c r="Z983" s="53"/>
      <c r="AA983" s="54"/>
      <c r="AB983" s="53"/>
      <c r="AC983" s="54"/>
      <c r="AD983" s="53"/>
      <c r="AE983" s="54"/>
      <c r="AF983" s="53"/>
      <c r="AG983" s="54"/>
      <c r="AH983" s="55">
        <v>4.1666666666666699E-2</v>
      </c>
      <c r="AI983" s="53"/>
      <c r="AJ983" s="54"/>
      <c r="AK983" s="53"/>
      <c r="AL983" s="54"/>
      <c r="AM983" s="53"/>
      <c r="AN983" s="54"/>
      <c r="AO983" s="53"/>
      <c r="AP983" s="54"/>
      <c r="AQ983" s="53"/>
      <c r="AR983" s="54"/>
      <c r="AS983" s="53"/>
      <c r="AT983" s="54"/>
      <c r="AU983" s="53">
        <v>4.1666666666666699E-2</v>
      </c>
      <c r="AV983" s="54" t="s">
        <v>37</v>
      </c>
      <c r="AW983" s="57">
        <f t="shared" si="137"/>
        <v>4.1666666666666699E-2</v>
      </c>
      <c r="AX983" s="58" t="s">
        <v>77</v>
      </c>
    </row>
    <row r="984" spans="1:50" ht="21" customHeight="1">
      <c r="A984" s="66" t="s">
        <v>878</v>
      </c>
      <c r="B984" s="39">
        <f t="shared" si="145"/>
        <v>980</v>
      </c>
      <c r="C984" s="40">
        <v>46044</v>
      </c>
      <c r="D984" s="40" t="s">
        <v>32</v>
      </c>
      <c r="E984" s="40" t="s">
        <v>33</v>
      </c>
      <c r="F984" s="41">
        <v>765.7</v>
      </c>
      <c r="G984" s="42" t="s">
        <v>75</v>
      </c>
      <c r="H984" s="43" t="str">
        <f>IFERROR(VLOOKUP($J984,'[9]FROM (3)'!$E$4:$F$230,2,FALSE),"")</f>
        <v>JTCS</v>
      </c>
      <c r="I984" s="44" t="str">
        <f t="shared" si="144"/>
        <v>RACK, PS</v>
      </c>
      <c r="J984" s="44" t="str">
        <f t="shared" si="140"/>
        <v>JGD10-001230-40-0</v>
      </c>
      <c r="K984" s="59" t="str">
        <f t="shared" si="142"/>
        <v>PD26010902</v>
      </c>
      <c r="L984" s="46" t="str" cm="1">
        <f t="array" ref="L984">IFERROR(_xlfn.IFS(
    LEN($A984)-LEN(SUBSTITUTE($A984,"|",""))=12, RIGHT(A984, LEN(A984)-FIND("~", SUBSTITUTE(A984,"|","~", LEN(A984)-LEN(SUBSTITUTE(A984,"|",""))))),
    LEN($A984)-LEN(SUBSTITUTE($A984,"|",""))=13, MID($A984, FIND("~", SUBSTITUTE($A984,"|","~", 11))+1, FIND("~", SUBSTITUTE($A984,"|","~", 12))-FIND("~", SUBSTITUTE($A984,"|","~", 11))-1),
    LEN($A984)-LEN(SUBSTITUTE($A984,"|",""))=14, MID($A984, FIND("~", SUBSTITUTE($A984,"|","~", 11))+1, FIND("~", SUBSTITUTE($A984,"|","~", 12))-FIND("~", SUBSTITUTE($A984,"|","~", 11))-1)
), "")</f>
        <v>E586236</v>
      </c>
      <c r="M984" s="47" t="str">
        <f t="shared" si="141"/>
        <v>SB010106/4/26</v>
      </c>
      <c r="N984" s="46" t="str">
        <f t="shared" si="143"/>
        <v/>
      </c>
      <c r="O984" s="60">
        <v>25</v>
      </c>
      <c r="P984" s="60">
        <v>892</v>
      </c>
      <c r="Q984" s="48">
        <v>175</v>
      </c>
      <c r="R984" s="48">
        <v>859</v>
      </c>
      <c r="S984" s="48"/>
      <c r="T984" s="48"/>
      <c r="U984" s="49"/>
      <c r="V984" s="49"/>
      <c r="W984" s="50"/>
      <c r="X984" s="51" t="str">
        <f>IF(A984="", "", IF(COUNTIFS(C$3:C983, C984, D$3:D983, D984, G$3:G983, G984) &gt; 0, "", "11:00"-AW984))</f>
        <v/>
      </c>
      <c r="Y984" s="52"/>
      <c r="Z984" s="53"/>
      <c r="AA984" s="54"/>
      <c r="AB984" s="53"/>
      <c r="AC984" s="54"/>
      <c r="AD984" s="53"/>
      <c r="AE984" s="54"/>
      <c r="AF984" s="53"/>
      <c r="AG984" s="54"/>
      <c r="AH984" s="55">
        <v>4.1666666666666699E-2</v>
      </c>
      <c r="AI984" s="53"/>
      <c r="AJ984" s="54"/>
      <c r="AK984" s="53"/>
      <c r="AL984" s="54"/>
      <c r="AM984" s="53"/>
      <c r="AN984" s="54"/>
      <c r="AO984" s="53"/>
      <c r="AP984" s="54"/>
      <c r="AQ984" s="53"/>
      <c r="AR984" s="54"/>
      <c r="AS984" s="53"/>
      <c r="AT984" s="54"/>
      <c r="AU984" s="53">
        <v>4.1666666666666699E-2</v>
      </c>
      <c r="AV984" s="54" t="s">
        <v>37</v>
      </c>
      <c r="AW984" s="57">
        <f t="shared" si="137"/>
        <v>4.1666666666666699E-2</v>
      </c>
      <c r="AX984" s="58" t="s">
        <v>77</v>
      </c>
    </row>
    <row r="985" spans="1:50" ht="21" customHeight="1">
      <c r="A985" s="66" t="s">
        <v>879</v>
      </c>
      <c r="B985" s="39">
        <f t="shared" si="145"/>
        <v>981</v>
      </c>
      <c r="C985" s="40">
        <v>46044</v>
      </c>
      <c r="D985" s="40" t="s">
        <v>32</v>
      </c>
      <c r="E985" s="40" t="s">
        <v>33</v>
      </c>
      <c r="F985" s="41">
        <v>765.7</v>
      </c>
      <c r="G985" s="42" t="s">
        <v>75</v>
      </c>
      <c r="H985" s="43" t="str">
        <f>IFERROR(VLOOKUP($J985,'[9]FROM (3)'!$E$4:$F$230,2,FALSE),"")</f>
        <v>JTCS</v>
      </c>
      <c r="I985" s="44" t="str">
        <f t="shared" si="144"/>
        <v>RACK, PS</v>
      </c>
      <c r="J985" s="44" t="str">
        <f t="shared" si="140"/>
        <v>JGD10-001230-40-0</v>
      </c>
      <c r="K985" s="59" t="str">
        <f t="shared" si="142"/>
        <v>PD26010902</v>
      </c>
      <c r="L985" s="46" t="str" cm="1">
        <f t="array" ref="L985">IFERROR(_xlfn.IFS(
    LEN($A985)-LEN(SUBSTITUTE($A985,"|",""))=12, RIGHT(A985, LEN(A985)-FIND("~", SUBSTITUTE(A985,"|","~", LEN(A985)-LEN(SUBSTITUTE(A985,"|",""))))),
    LEN($A985)-LEN(SUBSTITUTE($A985,"|",""))=13, MID($A985, FIND("~", SUBSTITUTE($A985,"|","~", 11))+1, FIND("~", SUBSTITUTE($A985,"|","~", 12))-FIND("~", SUBSTITUTE($A985,"|","~", 11))-1),
    LEN($A985)-LEN(SUBSTITUTE($A985,"|",""))=14, MID($A985, FIND("~", SUBSTITUTE($A985,"|","~", 11))+1, FIND("~", SUBSTITUTE($A985,"|","~", 12))-FIND("~", SUBSTITUTE($A985,"|","~", 11))-1)
), "")</f>
        <v>E586236</v>
      </c>
      <c r="M985" s="47" t="str">
        <f t="shared" si="141"/>
        <v>SB010106/3/26</v>
      </c>
      <c r="N985" s="46" t="str">
        <f t="shared" si="143"/>
        <v/>
      </c>
      <c r="O985" s="60">
        <v>25</v>
      </c>
      <c r="P985" s="60">
        <v>892</v>
      </c>
      <c r="Q985" s="48">
        <v>7</v>
      </c>
      <c r="R985" s="48">
        <v>34</v>
      </c>
      <c r="S985" s="48"/>
      <c r="T985" s="48"/>
      <c r="U985" s="49"/>
      <c r="V985" s="49"/>
      <c r="W985" s="50"/>
      <c r="X985" s="51" t="str">
        <f>IF(A985="", "", IF(COUNTIFS(C$3:C984, C985, D$3:D984, D985, G$3:G984, G985) &gt; 0, "", "11:00"-AW985))</f>
        <v/>
      </c>
      <c r="Y985" s="52"/>
      <c r="Z985" s="53"/>
      <c r="AA985" s="54"/>
      <c r="AB985" s="53"/>
      <c r="AC985" s="54"/>
      <c r="AD985" s="53"/>
      <c r="AE985" s="54"/>
      <c r="AF985" s="53"/>
      <c r="AG985" s="54"/>
      <c r="AH985" s="55">
        <v>4.1666666666666699E-2</v>
      </c>
      <c r="AI985" s="53"/>
      <c r="AJ985" s="54"/>
      <c r="AK985" s="53"/>
      <c r="AL985" s="54"/>
      <c r="AM985" s="53"/>
      <c r="AN985" s="54"/>
      <c r="AO985" s="53"/>
      <c r="AP985" s="54"/>
      <c r="AQ985" s="53"/>
      <c r="AR985" s="54"/>
      <c r="AS985" s="53"/>
      <c r="AT985" s="54"/>
      <c r="AU985" s="53">
        <v>4.1666666666666699E-2</v>
      </c>
      <c r="AV985" s="54" t="s">
        <v>37</v>
      </c>
      <c r="AW985" s="57">
        <f t="shared" si="137"/>
        <v>4.1666666666666699E-2</v>
      </c>
      <c r="AX985" s="58" t="s">
        <v>77</v>
      </c>
    </row>
    <row r="986" spans="1:50" ht="21" customHeight="1">
      <c r="A986" s="66" t="s">
        <v>815</v>
      </c>
      <c r="B986" s="39">
        <f t="shared" si="145"/>
        <v>982</v>
      </c>
      <c r="C986" s="40">
        <v>46044</v>
      </c>
      <c r="D986" s="40" t="s">
        <v>32</v>
      </c>
      <c r="E986" s="40" t="s">
        <v>33</v>
      </c>
      <c r="F986" s="41">
        <v>72.3</v>
      </c>
      <c r="G986" s="42" t="s">
        <v>34</v>
      </c>
      <c r="H986" s="43" t="str">
        <f>IFERROR(VLOOKUP($J986,'[9]FROM (3)'!$E$4:$F$230,2,FALSE),"")</f>
        <v>DNTH</v>
      </c>
      <c r="I986" s="44" t="str">
        <f t="shared" si="144"/>
        <v>SLUG HOUSING STATOR</v>
      </c>
      <c r="J986" s="44" t="str">
        <f t="shared" si="140"/>
        <v>TGY94265-0010</v>
      </c>
      <c r="K986" s="59" t="str">
        <f t="shared" si="142"/>
        <v>PD26010953</v>
      </c>
      <c r="L986" s="46" t="str" cm="1">
        <f t="array" ref="L986">IFERROR(_xlfn.IFS(
    LEN($A986)-LEN(SUBSTITUTE($A986,"|",""))=12, RIGHT(A986, LEN(A986)-FIND("~", SUBSTITUTE(A986,"|","~", LEN(A986)-LEN(SUBSTITUTE(A986,"|",""))))),
    LEN($A986)-LEN(SUBSTITUTE($A986,"|",""))=13, MID($A986, FIND("~", SUBSTITUTE($A986,"|","~", 11))+1, FIND("~", SUBSTITUTE($A986,"|","~", 12))-FIND("~", SUBSTITUTE($A986,"|","~", 11))-1),
    LEN($A986)-LEN(SUBSTITUTE($A986,"|",""))=14, MID($A986, FIND("~", SUBSTITUTE($A986,"|","~", 11))+1, FIND("~", SUBSTITUTE($A986,"|","~", 12))-FIND("~", SUBSTITUTE($A986,"|","~", 11))-1)
), "")</f>
        <v>6277A</v>
      </c>
      <c r="M986" s="47" t="str">
        <f t="shared" si="141"/>
        <v>SB010124/1/26</v>
      </c>
      <c r="N986" s="46" t="str">
        <f t="shared" si="143"/>
        <v/>
      </c>
      <c r="O986" s="60">
        <v>0</v>
      </c>
      <c r="P986" s="60">
        <v>0</v>
      </c>
      <c r="Q986" s="48">
        <v>4593</v>
      </c>
      <c r="R986" s="48">
        <v>332</v>
      </c>
      <c r="S986" s="48"/>
      <c r="T986" s="48"/>
      <c r="U986" s="49"/>
      <c r="V986" s="49"/>
      <c r="W986" s="50"/>
      <c r="X986" s="51">
        <f>IF(A986="", "", IF(COUNTIFS(C$3:C985, C986, D$3:D985, D986, G$3:G985, G986) &gt; 0, "", "11:00"-AW986))</f>
        <v>0.37499999999999994</v>
      </c>
      <c r="Y986" s="52"/>
      <c r="Z986" s="53">
        <v>4.1666666666666664E-2</v>
      </c>
      <c r="AA986" s="54" t="s">
        <v>82</v>
      </c>
      <c r="AB986" s="53"/>
      <c r="AC986" s="54"/>
      <c r="AD986" s="53"/>
      <c r="AE986" s="54"/>
      <c r="AF986" s="53"/>
      <c r="AG986" s="54"/>
      <c r="AH986" s="55">
        <v>4.1666666666666699E-2</v>
      </c>
      <c r="AI986" s="53"/>
      <c r="AJ986" s="54"/>
      <c r="AK986" s="53"/>
      <c r="AL986" s="54"/>
      <c r="AM986" s="53"/>
      <c r="AN986" s="54"/>
      <c r="AO986" s="53"/>
      <c r="AP986" s="54"/>
      <c r="AQ986" s="53"/>
      <c r="AR986" s="54"/>
      <c r="AS986" s="53"/>
      <c r="AT986" s="54"/>
      <c r="AU986" s="53">
        <v>4.1666666666666699E-2</v>
      </c>
      <c r="AV986" s="54" t="s">
        <v>37</v>
      </c>
      <c r="AW986" s="57">
        <f t="shared" si="137"/>
        <v>8.333333333333337E-2</v>
      </c>
      <c r="AX986" s="58" t="s">
        <v>64</v>
      </c>
    </row>
    <row r="987" spans="1:50" ht="21" customHeight="1">
      <c r="A987" s="66" t="s">
        <v>879</v>
      </c>
      <c r="B987" s="39">
        <f t="shared" si="145"/>
        <v>983</v>
      </c>
      <c r="C987" s="40">
        <v>46044</v>
      </c>
      <c r="D987" s="40" t="s">
        <v>80</v>
      </c>
      <c r="E987" s="40" t="s">
        <v>81</v>
      </c>
      <c r="F987" s="41">
        <v>765.7</v>
      </c>
      <c r="G987" s="42" t="s">
        <v>75</v>
      </c>
      <c r="H987" s="43" t="str">
        <f>IFERROR(VLOOKUP($J987,'[9]FROM (3)'!$E$4:$F$230,2,FALSE),"")</f>
        <v>JTCS</v>
      </c>
      <c r="I987" s="44" t="str">
        <f t="shared" si="144"/>
        <v>RACK, PS</v>
      </c>
      <c r="J987" s="44" t="str">
        <f t="shared" si="140"/>
        <v>JGD10-001230-40-0</v>
      </c>
      <c r="K987" s="59" t="str">
        <f t="shared" si="142"/>
        <v>PD26010902</v>
      </c>
      <c r="L987" s="46" t="str" cm="1">
        <f t="array" ref="L987">IFERROR(_xlfn.IFS(
    LEN($A987)-LEN(SUBSTITUTE($A987,"|",""))=12, RIGHT(A987, LEN(A987)-FIND("~", SUBSTITUTE(A987,"|","~", LEN(A987)-LEN(SUBSTITUTE(A987,"|",""))))),
    LEN($A987)-LEN(SUBSTITUTE($A987,"|",""))=13, MID($A987, FIND("~", SUBSTITUTE($A987,"|","~", 11))+1, FIND("~", SUBSTITUTE($A987,"|","~", 12))-FIND("~", SUBSTITUTE($A987,"|","~", 11))-1),
    LEN($A987)-LEN(SUBSTITUTE($A987,"|",""))=14, MID($A987, FIND("~", SUBSTITUTE($A987,"|","~", 11))+1, FIND("~", SUBSTITUTE($A987,"|","~", 12))-FIND("~", SUBSTITUTE($A987,"|","~", 11))-1)
), "")</f>
        <v>E586236</v>
      </c>
      <c r="M987" s="47" t="str">
        <f t="shared" si="141"/>
        <v>SB010106/3/26</v>
      </c>
      <c r="N987" s="46" t="str">
        <f t="shared" si="143"/>
        <v/>
      </c>
      <c r="O987" s="60"/>
      <c r="P987" s="60"/>
      <c r="Q987" s="48">
        <v>168</v>
      </c>
      <c r="R987" s="48">
        <v>825</v>
      </c>
      <c r="S987" s="48"/>
      <c r="T987" s="48"/>
      <c r="U987" s="49">
        <v>53</v>
      </c>
      <c r="V987" s="49">
        <v>5</v>
      </c>
      <c r="W987" s="50"/>
      <c r="X987" s="51">
        <f>IF(A987="", "", IF(COUNTIFS(C$3:C986, C987, D$3:D986, D987, G$3:G986, G987) &gt; 0, "", "11:00"-AW987))</f>
        <v>0.37499999999999994</v>
      </c>
      <c r="Y987" s="52"/>
      <c r="Z987" s="53"/>
      <c r="AA987" s="54"/>
      <c r="AB987" s="53"/>
      <c r="AC987" s="54"/>
      <c r="AD987" s="53"/>
      <c r="AE987" s="54"/>
      <c r="AF987" s="53"/>
      <c r="AG987" s="54"/>
      <c r="AH987" s="55">
        <v>4.1666666666666699E-2</v>
      </c>
      <c r="AI987" s="53"/>
      <c r="AJ987" s="54"/>
      <c r="AK987" s="53">
        <v>4.1666666666666664E-2</v>
      </c>
      <c r="AL987" s="54" t="s">
        <v>67</v>
      </c>
      <c r="AM987" s="53"/>
      <c r="AN987" s="54"/>
      <c r="AO987" s="53"/>
      <c r="AP987" s="54"/>
      <c r="AQ987" s="53"/>
      <c r="AR987" s="54"/>
      <c r="AS987" s="53"/>
      <c r="AT987" s="54"/>
      <c r="AU987" s="53">
        <v>4.1666666666666699E-2</v>
      </c>
      <c r="AV987" s="54" t="s">
        <v>37</v>
      </c>
      <c r="AW987" s="57">
        <f t="shared" si="137"/>
        <v>8.333333333333337E-2</v>
      </c>
      <c r="AX987" s="58" t="s">
        <v>101</v>
      </c>
    </row>
    <row r="988" spans="1:50" ht="21" customHeight="1">
      <c r="A988" s="66" t="s">
        <v>880</v>
      </c>
      <c r="B988" s="39">
        <f t="shared" si="145"/>
        <v>984</v>
      </c>
      <c r="C988" s="40">
        <v>46044</v>
      </c>
      <c r="D988" s="40" t="s">
        <v>80</v>
      </c>
      <c r="E988" s="40" t="s">
        <v>81</v>
      </c>
      <c r="F988" s="41">
        <v>765.7</v>
      </c>
      <c r="G988" s="42" t="s">
        <v>75</v>
      </c>
      <c r="H988" s="43" t="str">
        <f>IFERROR(VLOOKUP($J988,'[9]FROM (3)'!$E$4:$F$230,2,FALSE),"")</f>
        <v>JTCS</v>
      </c>
      <c r="I988" s="44" t="str">
        <f t="shared" si="144"/>
        <v>RACK, PS</v>
      </c>
      <c r="J988" s="44" t="str">
        <f t="shared" si="140"/>
        <v>JGD10-001230-40-0</v>
      </c>
      <c r="K988" s="59" t="str">
        <f t="shared" si="142"/>
        <v>PD26010901</v>
      </c>
      <c r="L988" s="46" t="str" cm="1">
        <f t="array" ref="L988">IFERROR(_xlfn.IFS(
    LEN($A988)-LEN(SUBSTITUTE($A988,"|",""))=12, RIGHT(A988, LEN(A988)-FIND("~", SUBSTITUTE(A988,"|","~", LEN(A988)-LEN(SUBSTITUTE(A988,"|",""))))),
    LEN($A988)-LEN(SUBSTITUTE($A988,"|",""))=13, MID($A988, FIND("~", SUBSTITUTE($A988,"|","~", 11))+1, FIND("~", SUBSTITUTE($A988,"|","~", 12))-FIND("~", SUBSTITUTE($A988,"|","~", 11))-1),
    LEN($A988)-LEN(SUBSTITUTE($A988,"|",""))=14, MID($A988, FIND("~", SUBSTITUTE($A988,"|","~", 11))+1, FIND("~", SUBSTITUTE($A988,"|","~", 12))-FIND("~", SUBSTITUTE($A988,"|","~", 11))-1)
), "")</f>
        <v>E586236</v>
      </c>
      <c r="M988" s="47" t="str">
        <f t="shared" si="141"/>
        <v>SB010106/1/26</v>
      </c>
      <c r="N988" s="46" t="str">
        <f t="shared" si="143"/>
        <v/>
      </c>
      <c r="O988" s="60">
        <v>25</v>
      </c>
      <c r="P988" s="60">
        <v>892</v>
      </c>
      <c r="Q988" s="48">
        <v>175</v>
      </c>
      <c r="R988" s="48">
        <v>859</v>
      </c>
      <c r="S988" s="48"/>
      <c r="T988" s="48"/>
      <c r="U988" s="49"/>
      <c r="V988" s="49"/>
      <c r="W988" s="50"/>
      <c r="X988" s="51" t="str">
        <f>IF(A988="", "", IF(COUNTIFS(C$3:C987, C988, D$3:D987, D988, G$3:G987, G988) &gt; 0, "", "11:00"-AW988))</f>
        <v/>
      </c>
      <c r="Y988" s="52"/>
      <c r="Z988" s="53"/>
      <c r="AA988" s="54"/>
      <c r="AB988" s="53"/>
      <c r="AC988" s="54"/>
      <c r="AD988" s="53"/>
      <c r="AE988" s="54"/>
      <c r="AF988" s="53"/>
      <c r="AG988" s="54"/>
      <c r="AH988" s="55">
        <v>4.1666666666666699E-2</v>
      </c>
      <c r="AI988" s="53"/>
      <c r="AJ988" s="54"/>
      <c r="AK988" s="53"/>
      <c r="AL988" s="54"/>
      <c r="AM988" s="53"/>
      <c r="AN988" s="54"/>
      <c r="AO988" s="53"/>
      <c r="AP988" s="54"/>
      <c r="AQ988" s="53"/>
      <c r="AR988" s="54"/>
      <c r="AS988" s="53"/>
      <c r="AT988" s="54"/>
      <c r="AU988" s="53">
        <v>4.1666666666666699E-2</v>
      </c>
      <c r="AV988" s="54" t="s">
        <v>37</v>
      </c>
      <c r="AW988" s="57">
        <f t="shared" si="137"/>
        <v>4.1666666666666699E-2</v>
      </c>
      <c r="AX988" s="58" t="s">
        <v>101</v>
      </c>
    </row>
    <row r="989" spans="1:50" ht="21" customHeight="1">
      <c r="A989" s="66" t="s">
        <v>881</v>
      </c>
      <c r="B989" s="39">
        <f t="shared" si="145"/>
        <v>985</v>
      </c>
      <c r="C989" s="40">
        <v>46044</v>
      </c>
      <c r="D989" s="40" t="s">
        <v>80</v>
      </c>
      <c r="E989" s="40" t="s">
        <v>81</v>
      </c>
      <c r="F989" s="41">
        <v>765.7</v>
      </c>
      <c r="G989" s="42" t="s">
        <v>75</v>
      </c>
      <c r="H989" s="43" t="str">
        <f>IFERROR(VLOOKUP($J989,'[9]FROM (3)'!$E$4:$F$230,2,FALSE),"")</f>
        <v>JTCS</v>
      </c>
      <c r="I989" s="44" t="str">
        <f t="shared" si="144"/>
        <v>RACK, PS</v>
      </c>
      <c r="J989" s="44" t="str">
        <f t="shared" si="140"/>
        <v>JGD10-001230-40-0</v>
      </c>
      <c r="K989" s="59" t="str">
        <f t="shared" si="142"/>
        <v>PD26010901</v>
      </c>
      <c r="L989" s="46" t="str" cm="1">
        <f t="array" ref="L989">IFERROR(_xlfn.IFS(
    LEN($A989)-LEN(SUBSTITUTE($A989,"|",""))=12, RIGHT(A989, LEN(A989)-FIND("~", SUBSTITUTE(A989,"|","~", LEN(A989)-LEN(SUBSTITUTE(A989,"|",""))))),
    LEN($A989)-LEN(SUBSTITUTE($A989,"|",""))=13, MID($A989, FIND("~", SUBSTITUTE($A989,"|","~", 11))+1, FIND("~", SUBSTITUTE($A989,"|","~", 12))-FIND("~", SUBSTITUTE($A989,"|","~", 11))-1),
    LEN($A989)-LEN(SUBSTITUTE($A989,"|",""))=14, MID($A989, FIND("~", SUBSTITUTE($A989,"|","~", 11))+1, FIND("~", SUBSTITUTE($A989,"|","~", 12))-FIND("~", SUBSTITUTE($A989,"|","~", 11))-1)
), "")</f>
        <v>E586236</v>
      </c>
      <c r="M989" s="47" t="str">
        <f t="shared" si="141"/>
        <v>SB010106/2/26</v>
      </c>
      <c r="N989" s="46" t="str">
        <f t="shared" si="143"/>
        <v/>
      </c>
      <c r="O989" s="60">
        <v>25</v>
      </c>
      <c r="P989" s="60">
        <v>892</v>
      </c>
      <c r="Q989" s="48">
        <v>175</v>
      </c>
      <c r="R989" s="48">
        <v>859</v>
      </c>
      <c r="S989" s="48"/>
      <c r="T989" s="48"/>
      <c r="U989" s="49">
        <v>53</v>
      </c>
      <c r="V989" s="49">
        <v>5</v>
      </c>
      <c r="W989" s="50"/>
      <c r="X989" s="51" t="str">
        <f>IF(A989="", "", IF(COUNTIFS(C$3:C988, C989, D$3:D988, D989, G$3:G988, G989) &gt; 0, "", "11:00"-AW989))</f>
        <v/>
      </c>
      <c r="Y989" s="52"/>
      <c r="Z989" s="53"/>
      <c r="AA989" s="54"/>
      <c r="AB989" s="53"/>
      <c r="AC989" s="54"/>
      <c r="AD989" s="53"/>
      <c r="AE989" s="54"/>
      <c r="AF989" s="53"/>
      <c r="AG989" s="54"/>
      <c r="AH989" s="55">
        <v>4.1666666666666699E-2</v>
      </c>
      <c r="AI989" s="53"/>
      <c r="AJ989" s="54"/>
      <c r="AK989" s="53"/>
      <c r="AL989" s="54"/>
      <c r="AM989" s="53"/>
      <c r="AN989" s="54"/>
      <c r="AO989" s="53"/>
      <c r="AP989" s="54"/>
      <c r="AQ989" s="53"/>
      <c r="AR989" s="54"/>
      <c r="AS989" s="53"/>
      <c r="AT989" s="54"/>
      <c r="AU989" s="53">
        <v>4.1666666666666699E-2</v>
      </c>
      <c r="AV989" s="54" t="s">
        <v>37</v>
      </c>
      <c r="AW989" s="57">
        <f t="shared" si="137"/>
        <v>4.1666666666666699E-2</v>
      </c>
      <c r="AX989" s="58" t="s">
        <v>101</v>
      </c>
    </row>
    <row r="990" spans="1:50" ht="21" customHeight="1">
      <c r="A990" s="66" t="s">
        <v>882</v>
      </c>
      <c r="B990" s="39">
        <f t="shared" si="145"/>
        <v>986</v>
      </c>
      <c r="C990" s="40">
        <v>46044</v>
      </c>
      <c r="D990" s="40" t="s">
        <v>80</v>
      </c>
      <c r="E990" s="40" t="s">
        <v>81</v>
      </c>
      <c r="F990" s="41">
        <v>655.4</v>
      </c>
      <c r="G990" s="42" t="s">
        <v>75</v>
      </c>
      <c r="H990" s="43" t="str">
        <f>IFERROR(VLOOKUP($J990,'[9]FROM (3)'!$E$4:$F$230,2,FALSE),"")</f>
        <v>JAMY</v>
      </c>
      <c r="I990" s="44" t="str">
        <f t="shared" si="144"/>
        <v>RACK BAR</v>
      </c>
      <c r="J990" s="44" t="str">
        <f t="shared" si="140"/>
        <v>JGC10-M09008-51-0</v>
      </c>
      <c r="K990" s="59" t="str">
        <f t="shared" si="142"/>
        <v>PD26010897</v>
      </c>
      <c r="L990" s="46" t="str" cm="1">
        <f t="array" ref="L990">IFERROR(_xlfn.IFS(
    LEN($A990)-LEN(SUBSTITUTE($A990,"|",""))=12, RIGHT(A990, LEN(A990)-FIND("~", SUBSTITUTE(A990,"|","~", LEN(A990)-LEN(SUBSTITUTE(A990,"|",""))))),
    LEN($A990)-LEN(SUBSTITUTE($A990,"|",""))=13, MID($A990, FIND("~", SUBSTITUTE($A990,"|","~", 11))+1, FIND("~", SUBSTITUTE($A990,"|","~", 12))-FIND("~", SUBSTITUTE($A990,"|","~", 11))-1),
    LEN($A990)-LEN(SUBSTITUTE($A990,"|",""))=14, MID($A990, FIND("~", SUBSTITUTE($A990,"|","~", 11))+1, FIND("~", SUBSTITUTE($A990,"|","~", 12))-FIND("~", SUBSTITUTE($A990,"|","~", 11))-1)
), "")</f>
        <v>E586966</v>
      </c>
      <c r="M990" s="47" t="str">
        <f t="shared" si="141"/>
        <v>SB010115/4/26</v>
      </c>
      <c r="N990" s="46" t="str">
        <f t="shared" si="143"/>
        <v/>
      </c>
      <c r="O990" s="60">
        <v>60</v>
      </c>
      <c r="P990" s="60">
        <v>878</v>
      </c>
      <c r="Q990" s="48">
        <v>300</v>
      </c>
      <c r="R990" s="48">
        <v>819</v>
      </c>
      <c r="S990" s="48"/>
      <c r="T990" s="48"/>
      <c r="U990" s="49"/>
      <c r="V990" s="49"/>
      <c r="W990" s="50"/>
      <c r="X990" s="51" t="str">
        <f>IF(A990="", "", IF(COUNTIFS(C$3:C989, C990, D$3:D989, D990, G$3:G989, G990) &gt; 0, "", "11:00"-AW990))</f>
        <v/>
      </c>
      <c r="Y990" s="52"/>
      <c r="Z990" s="53"/>
      <c r="AA990" s="54"/>
      <c r="AB990" s="53"/>
      <c r="AC990" s="54"/>
      <c r="AD990" s="53"/>
      <c r="AE990" s="54"/>
      <c r="AF990" s="53"/>
      <c r="AG990" s="54"/>
      <c r="AH990" s="55">
        <v>4.1666666666666699E-2</v>
      </c>
      <c r="AI990" s="53"/>
      <c r="AJ990" s="54"/>
      <c r="AK990" s="53"/>
      <c r="AL990" s="54"/>
      <c r="AM990" s="53"/>
      <c r="AN990" s="54"/>
      <c r="AO990" s="53"/>
      <c r="AP990" s="54"/>
      <c r="AQ990" s="53"/>
      <c r="AR990" s="54"/>
      <c r="AS990" s="53"/>
      <c r="AT990" s="54"/>
      <c r="AU990" s="53">
        <v>4.1666666666666699E-2</v>
      </c>
      <c r="AV990" s="54" t="s">
        <v>37</v>
      </c>
      <c r="AW990" s="57">
        <f t="shared" ref="AW990:AW1053" si="146">SUM(Z990,AB990,AD990,AF990,AI990,AK990,AM990,AO990,AQ990,AS990,AU990)</f>
        <v>4.1666666666666699E-2</v>
      </c>
      <c r="AX990" s="58" t="s">
        <v>101</v>
      </c>
    </row>
    <row r="991" spans="1:50" ht="21" customHeight="1">
      <c r="A991" s="66" t="s">
        <v>883</v>
      </c>
      <c r="B991" s="39">
        <f t="shared" si="145"/>
        <v>987</v>
      </c>
      <c r="C991" s="40">
        <v>46044</v>
      </c>
      <c r="D991" s="40" t="s">
        <v>80</v>
      </c>
      <c r="E991" s="40" t="s">
        <v>81</v>
      </c>
      <c r="F991" s="41">
        <v>655.4</v>
      </c>
      <c r="G991" s="42" t="s">
        <v>75</v>
      </c>
      <c r="H991" s="43" t="str">
        <f>IFERROR(VLOOKUP($J991,'[9]FROM (3)'!$E$4:$F$230,2,FALSE),"")</f>
        <v>JAMY</v>
      </c>
      <c r="I991" s="44" t="str">
        <f t="shared" si="144"/>
        <v>RACK BAR</v>
      </c>
      <c r="J991" s="44" t="str">
        <f t="shared" si="140"/>
        <v>JGC10-M09008-51-0</v>
      </c>
      <c r="K991" s="59" t="str">
        <f t="shared" si="142"/>
        <v>PD26010897</v>
      </c>
      <c r="L991" s="46" t="str" cm="1">
        <f t="array" ref="L991">IFERROR(_xlfn.IFS(
    LEN($A991)-LEN(SUBSTITUTE($A991,"|",""))=12, RIGHT(A991, LEN(A991)-FIND("~", SUBSTITUTE(A991,"|","~", LEN(A991)-LEN(SUBSTITUTE(A991,"|",""))))),
    LEN($A991)-LEN(SUBSTITUTE($A991,"|",""))=13, MID($A991, FIND("~", SUBSTITUTE($A991,"|","~", 11))+1, FIND("~", SUBSTITUTE($A991,"|","~", 12))-FIND("~", SUBSTITUTE($A991,"|","~", 11))-1),
    LEN($A991)-LEN(SUBSTITUTE($A991,"|",""))=14, MID($A991, FIND("~", SUBSTITUTE($A991,"|","~", 11))+1, FIND("~", SUBSTITUTE($A991,"|","~", 12))-FIND("~", SUBSTITUTE($A991,"|","~", 11))-1)
), "")</f>
        <v>E586966</v>
      </c>
      <c r="M991" s="47" t="str">
        <f t="shared" si="141"/>
        <v>SB010115/6/26</v>
      </c>
      <c r="N991" s="46" t="str">
        <f t="shared" si="143"/>
        <v/>
      </c>
      <c r="O991" s="60">
        <v>60</v>
      </c>
      <c r="P991" s="60">
        <v>878</v>
      </c>
      <c r="Q991" s="48">
        <v>136</v>
      </c>
      <c r="R991" s="48">
        <v>371</v>
      </c>
      <c r="S991" s="48"/>
      <c r="T991" s="48"/>
      <c r="U991" s="49"/>
      <c r="V991" s="49"/>
      <c r="W991" s="50"/>
      <c r="X991" s="51" t="str">
        <f>IF(A991="", "", IF(COUNTIFS(C$3:C990, C991, D$3:D990, D991, G$3:G990, G991) &gt; 0, "", "11:00"-AW991))</f>
        <v/>
      </c>
      <c r="Y991" s="52"/>
      <c r="Z991" s="53"/>
      <c r="AA991" s="54"/>
      <c r="AB991" s="53"/>
      <c r="AC991" s="54"/>
      <c r="AD991" s="53"/>
      <c r="AE991" s="54"/>
      <c r="AF991" s="53"/>
      <c r="AG991" s="54"/>
      <c r="AH991" s="55">
        <v>4.1666666666666699E-2</v>
      </c>
      <c r="AI991" s="53"/>
      <c r="AJ991" s="54"/>
      <c r="AK991" s="53"/>
      <c r="AL991" s="54"/>
      <c r="AM991" s="53"/>
      <c r="AN991" s="54"/>
      <c r="AO991" s="53"/>
      <c r="AP991" s="54"/>
      <c r="AQ991" s="53"/>
      <c r="AR991" s="54"/>
      <c r="AS991" s="53"/>
      <c r="AT991" s="54"/>
      <c r="AU991" s="53">
        <v>4.1666666666666699E-2</v>
      </c>
      <c r="AV991" s="54" t="s">
        <v>37</v>
      </c>
      <c r="AW991" s="57">
        <f t="shared" si="146"/>
        <v>4.1666666666666699E-2</v>
      </c>
      <c r="AX991" s="58" t="s">
        <v>101</v>
      </c>
    </row>
    <row r="992" spans="1:50" ht="21" customHeight="1">
      <c r="A992" s="66" t="s">
        <v>884</v>
      </c>
      <c r="B992" s="39">
        <f t="shared" si="145"/>
        <v>988</v>
      </c>
      <c r="C992" s="40">
        <v>46044</v>
      </c>
      <c r="D992" s="40" t="s">
        <v>80</v>
      </c>
      <c r="E992" s="40" t="s">
        <v>81</v>
      </c>
      <c r="F992" s="41">
        <v>72.3</v>
      </c>
      <c r="G992" s="42" t="s">
        <v>34</v>
      </c>
      <c r="H992" s="43" t="str">
        <f>IFERROR(VLOOKUP($J992,'[9]FROM (3)'!$E$4:$F$230,2,FALSE),"")</f>
        <v>DNTH</v>
      </c>
      <c r="I992" s="44" t="str">
        <f t="shared" si="144"/>
        <v>SLUG HOUSING STATOR</v>
      </c>
      <c r="J992" s="44" t="str">
        <f t="shared" si="140"/>
        <v>TGY94265-0010</v>
      </c>
      <c r="K992" s="59" t="str">
        <f t="shared" si="142"/>
        <v>PD26010953</v>
      </c>
      <c r="L992" s="46" t="str" cm="1">
        <f t="array" ref="L992">IFERROR(_xlfn.IFS(
    LEN($A992)-LEN(SUBSTITUTE($A992,"|",""))=12, RIGHT(A992, LEN(A992)-FIND("~", SUBSTITUTE(A992,"|","~", LEN(A992)-LEN(SUBSTITUTE(A992,"|",""))))),
    LEN($A992)-LEN(SUBSTITUTE($A992,"|",""))=13, MID($A992, FIND("~", SUBSTITUTE($A992,"|","~", 11))+1, FIND("~", SUBSTITUTE($A992,"|","~", 12))-FIND("~", SUBSTITUTE($A992,"|","~", 11))-1),
    LEN($A992)-LEN(SUBSTITUTE($A992,"|",""))=14, MID($A992, FIND("~", SUBSTITUTE($A992,"|","~", 11))+1, FIND("~", SUBSTITUTE($A992,"|","~", 12))-FIND("~", SUBSTITUTE($A992,"|","~", 11))-1)
), "")</f>
        <v>6277A</v>
      </c>
      <c r="M992" s="47" t="str">
        <f t="shared" si="141"/>
        <v>SB010124/2/26</v>
      </c>
      <c r="N992" s="46" t="str">
        <f t="shared" si="143"/>
        <v/>
      </c>
      <c r="O992" s="60"/>
      <c r="P992" s="60"/>
      <c r="Q992" s="48">
        <v>4000</v>
      </c>
      <c r="R992" s="48">
        <v>288</v>
      </c>
      <c r="S992" s="48"/>
      <c r="T992" s="48"/>
      <c r="U992" s="49"/>
      <c r="V992" s="49"/>
      <c r="W992" s="50"/>
      <c r="X992" s="51">
        <f>IF(A992="", "", IF(COUNTIFS(C$3:C991, C992, D$3:D991, D992, G$3:G991, G992) &gt; 0, "", "11:00"-AW992))</f>
        <v>0.41666666666666663</v>
      </c>
      <c r="Y992" s="52"/>
      <c r="Z992" s="53"/>
      <c r="AA992" s="54"/>
      <c r="AB992" s="53"/>
      <c r="AC992" s="54"/>
      <c r="AD992" s="53"/>
      <c r="AE992" s="54"/>
      <c r="AF992" s="53"/>
      <c r="AG992" s="54"/>
      <c r="AH992" s="55">
        <v>4.1666666666666699E-2</v>
      </c>
      <c r="AI992" s="53"/>
      <c r="AJ992" s="54"/>
      <c r="AK992" s="53"/>
      <c r="AL992" s="54"/>
      <c r="AM992" s="53"/>
      <c r="AN992" s="54"/>
      <c r="AO992" s="53"/>
      <c r="AP992" s="54"/>
      <c r="AQ992" s="53"/>
      <c r="AR992" s="54"/>
      <c r="AS992" s="53"/>
      <c r="AT992" s="54"/>
      <c r="AU992" s="53">
        <v>4.1666666666666699E-2</v>
      </c>
      <c r="AV992" s="54" t="s">
        <v>37</v>
      </c>
      <c r="AW992" s="57">
        <f t="shared" si="146"/>
        <v>4.1666666666666699E-2</v>
      </c>
      <c r="AX992" s="58" t="s">
        <v>203</v>
      </c>
    </row>
    <row r="993" spans="1:50" ht="21" customHeight="1">
      <c r="A993" s="66" t="s">
        <v>885</v>
      </c>
      <c r="B993" s="39">
        <f t="shared" si="145"/>
        <v>989</v>
      </c>
      <c r="C993" s="40">
        <f t="shared" ref="C993:C1008" si="147">$C$992</f>
        <v>46044</v>
      </c>
      <c r="D993" s="40" t="s">
        <v>80</v>
      </c>
      <c r="E993" s="40" t="s">
        <v>81</v>
      </c>
      <c r="F993" s="41">
        <v>172</v>
      </c>
      <c r="G993" s="42" t="s">
        <v>41</v>
      </c>
      <c r="H993" s="43" t="str">
        <f>IFERROR(VLOOKUP($J993,'[9]FROM (3)'!$E$4:$F$230,2,FALSE),"")</f>
        <v>DNTH</v>
      </c>
      <c r="I993" s="44" t="str">
        <f t="shared" si="144"/>
        <v>BOSS ROTOR 2 W</v>
      </c>
      <c r="J993" s="44" t="str">
        <f t="shared" si="140"/>
        <v>TGY38713-3301</v>
      </c>
      <c r="K993" s="59" t="str">
        <f t="shared" si="142"/>
        <v>PD26010959</v>
      </c>
      <c r="L993" s="46" t="str" cm="1">
        <f t="array" ref="L993">IFERROR(_xlfn.IFS(
    LEN($A993)-LEN(SUBSTITUTE($A993,"|",""))=12, RIGHT(A993, LEN(A993)-FIND("~", SUBSTITUTE(A993,"|","~", LEN(A993)-LEN(SUBSTITUTE(A993,"|",""))))),
    LEN($A993)-LEN(SUBSTITUTE($A993,"|",""))=13, MID($A993, FIND("~", SUBSTITUTE($A993,"|","~", 11))+1, FIND("~", SUBSTITUTE($A993,"|","~", 12))-FIND("~", SUBSTITUTE($A993,"|","~", 11))-1),
    LEN($A993)-LEN(SUBSTITUTE($A993,"|",""))=14, MID($A993, FIND("~", SUBSTITUTE($A993,"|","~", 11))+1, FIND("~", SUBSTITUTE($A993,"|","~", 12))-FIND("~", SUBSTITUTE($A993,"|","~", 11))-1)
), "")</f>
        <v>E586918</v>
      </c>
      <c r="M993" s="47" t="str">
        <f t="shared" si="141"/>
        <v>SB010120/1/26</v>
      </c>
      <c r="N993" s="46" t="str">
        <f t="shared" si="143"/>
        <v/>
      </c>
      <c r="O993" s="60"/>
      <c r="P993" s="60"/>
      <c r="Q993" s="48">
        <v>2876</v>
      </c>
      <c r="R993" s="48">
        <v>495</v>
      </c>
      <c r="S993" s="48"/>
      <c r="T993" s="48"/>
      <c r="U993" s="49"/>
      <c r="V993" s="49"/>
      <c r="W993" s="50"/>
      <c r="X993" s="51">
        <f>IF(A993="", "", IF(COUNTIFS(C$3:C992, C993, D$3:D992, D993, G$3:G992, G993) &gt; 0, "", "11:00"-AW993))</f>
        <v>0.41666666666666663</v>
      </c>
      <c r="Y993" s="52"/>
      <c r="Z993" s="53"/>
      <c r="AA993" s="54"/>
      <c r="AB993" s="53"/>
      <c r="AC993" s="54"/>
      <c r="AD993" s="53"/>
      <c r="AE993" s="54"/>
      <c r="AF993" s="53"/>
      <c r="AG993" s="54"/>
      <c r="AH993" s="55">
        <v>4.1666666666666699E-2</v>
      </c>
      <c r="AI993" s="53"/>
      <c r="AJ993" s="54"/>
      <c r="AK993" s="53"/>
      <c r="AL993" s="54"/>
      <c r="AM993" s="53"/>
      <c r="AN993" s="54"/>
      <c r="AO993" s="53"/>
      <c r="AP993" s="54"/>
      <c r="AQ993" s="53"/>
      <c r="AR993" s="54"/>
      <c r="AS993" s="53"/>
      <c r="AT993" s="54"/>
      <c r="AU993" s="53">
        <v>4.1666666666666699E-2</v>
      </c>
      <c r="AV993" s="54" t="s">
        <v>37</v>
      </c>
      <c r="AW993" s="57">
        <f t="shared" si="146"/>
        <v>4.1666666666666699E-2</v>
      </c>
      <c r="AX993" s="58" t="s">
        <v>203</v>
      </c>
    </row>
    <row r="994" spans="1:50" ht="21" customHeight="1">
      <c r="A994" s="66" t="s">
        <v>886</v>
      </c>
      <c r="B994" s="39">
        <f t="shared" si="145"/>
        <v>990</v>
      </c>
      <c r="C994" s="40">
        <f t="shared" si="147"/>
        <v>46044</v>
      </c>
      <c r="D994" s="40" t="s">
        <v>80</v>
      </c>
      <c r="E994" s="40" t="s">
        <v>81</v>
      </c>
      <c r="F994" s="41">
        <v>129.4</v>
      </c>
      <c r="G994" s="42" t="s">
        <v>44</v>
      </c>
      <c r="H994" s="43" t="str">
        <f>IFERROR(VLOOKUP($J994,'[9]FROM (3)'!$E$4:$F$230,2,FALSE),"")</f>
        <v>DNTH</v>
      </c>
      <c r="I994" s="44" t="str">
        <f t="shared" si="144"/>
        <v>SHAFT, 2W</v>
      </c>
      <c r="J994" s="44" t="str">
        <f t="shared" si="140"/>
        <v>TG028383-0090</v>
      </c>
      <c r="K994" s="59" t="str">
        <f t="shared" si="142"/>
        <v>PD25110971</v>
      </c>
      <c r="L994" s="46" t="str" cm="1">
        <f t="array" ref="L994">IFERROR(_xlfn.IFS(
    LEN($A994)-LEN(SUBSTITUTE($A994,"|",""))=12, RIGHT(A994, LEN(A994)-FIND("~", SUBSTITUTE(A994,"|","~", LEN(A994)-LEN(SUBSTITUTE(A994,"|",""))))),
    LEN($A994)-LEN(SUBSTITUTE($A994,"|",""))=13, MID($A994, FIND("~", SUBSTITUTE($A994,"|","~", 11))+1, FIND("~", SUBSTITUTE($A994,"|","~", 12))-FIND("~", SUBSTITUTE($A994,"|","~", 11))-1),
    LEN($A994)-LEN(SUBSTITUTE($A994,"|",""))=14, MID($A994, FIND("~", SUBSTITUTE($A994,"|","~", 11))+1, FIND("~", SUBSTITUTE($A994,"|","~", 12))-FIND("~", SUBSTITUTE($A994,"|","~", 11))-1)
), "")</f>
        <v>E483074</v>
      </c>
      <c r="M994" s="47" t="str">
        <f t="shared" si="141"/>
        <v>SB110122/1/25</v>
      </c>
      <c r="N994" s="46" t="str">
        <f t="shared" si="143"/>
        <v/>
      </c>
      <c r="O994" s="60"/>
      <c r="P994" s="60"/>
      <c r="Q994" s="48">
        <v>3551</v>
      </c>
      <c r="R994" s="48">
        <v>1214</v>
      </c>
      <c r="S994" s="48"/>
      <c r="T994" s="48"/>
      <c r="U994" s="49"/>
      <c r="V994" s="49"/>
      <c r="W994" s="50"/>
      <c r="X994" s="51">
        <f>IF(A994="", "", IF(COUNTIFS(C$3:C993, C994, D$3:D993, D994, G$3:G993, G994) &gt; 0, "", "11:00"-AW994))</f>
        <v>0.41666666666666663</v>
      </c>
      <c r="Y994" s="52"/>
      <c r="Z994" s="53"/>
      <c r="AA994" s="54"/>
      <c r="AB994" s="53"/>
      <c r="AC994" s="54"/>
      <c r="AD994" s="53"/>
      <c r="AE994" s="54"/>
      <c r="AF994" s="53"/>
      <c r="AG994" s="54"/>
      <c r="AH994" s="55">
        <v>4.1666666666666699E-2</v>
      </c>
      <c r="AI994" s="53"/>
      <c r="AJ994" s="54"/>
      <c r="AK994" s="53"/>
      <c r="AL994" s="54"/>
      <c r="AM994" s="53"/>
      <c r="AN994" s="54"/>
      <c r="AO994" s="53"/>
      <c r="AP994" s="54"/>
      <c r="AQ994" s="53"/>
      <c r="AR994" s="54"/>
      <c r="AS994" s="53"/>
      <c r="AT994" s="54"/>
      <c r="AU994" s="53">
        <v>4.1666666666666699E-2</v>
      </c>
      <c r="AV994" s="54" t="s">
        <v>37</v>
      </c>
      <c r="AW994" s="57">
        <f t="shared" si="146"/>
        <v>4.1666666666666699E-2</v>
      </c>
      <c r="AX994" s="58" t="s">
        <v>203</v>
      </c>
    </row>
    <row r="995" spans="1:50" ht="21" customHeight="1">
      <c r="A995" s="66" t="s">
        <v>857</v>
      </c>
      <c r="B995" s="39">
        <f t="shared" si="145"/>
        <v>991</v>
      </c>
      <c r="C995" s="40">
        <f t="shared" si="147"/>
        <v>46044</v>
      </c>
      <c r="D995" s="40" t="s">
        <v>80</v>
      </c>
      <c r="E995" s="40" t="s">
        <v>81</v>
      </c>
      <c r="F995" s="41">
        <v>765.7</v>
      </c>
      <c r="G995" s="42" t="s">
        <v>54</v>
      </c>
      <c r="H995" s="43" t="str">
        <f>IFERROR(VLOOKUP($J995,'[9]FROM (3)'!$E$4:$F$230,2,FALSE),"")</f>
        <v>JTCS</v>
      </c>
      <c r="I995" s="44" t="str">
        <f t="shared" si="144"/>
        <v>RACK, PS</v>
      </c>
      <c r="J995" s="44" t="str">
        <f t="shared" si="140"/>
        <v>JGD10S00670-B</v>
      </c>
      <c r="K995" s="59" t="str">
        <f t="shared" si="142"/>
        <v>PD26010970</v>
      </c>
      <c r="L995" s="46" t="str" cm="1">
        <f t="array" ref="L995">IFERROR(_xlfn.IFS(
    LEN($A995)-LEN(SUBSTITUTE($A995,"|",""))=12, RIGHT(A995, LEN(A995)-FIND("~", SUBSTITUTE(A995,"|","~", LEN(A995)-LEN(SUBSTITUTE(A995,"|",""))))),
    LEN($A995)-LEN(SUBSTITUTE($A995,"|",""))=13, MID($A995, FIND("~", SUBSTITUTE($A995,"|","~", 11))+1, FIND("~", SUBSTITUTE($A995,"|","~", 12))-FIND("~", SUBSTITUTE($A995,"|","~", 11))-1),
    LEN($A995)-LEN(SUBSTITUTE($A995,"|",""))=14, MID($A995, FIND("~", SUBSTITUTE($A995,"|","~", 11))+1, FIND("~", SUBSTITUTE($A995,"|","~", 12))-FIND("~", SUBSTITUTE($A995,"|","~", 11))-1)
), "")</f>
        <v>E586447</v>
      </c>
      <c r="M995" s="47" t="str">
        <f t="shared" si="141"/>
        <v>SB010119/6/26</v>
      </c>
      <c r="N995" s="46" t="str">
        <f t="shared" si="143"/>
        <v/>
      </c>
      <c r="O995" s="60" t="s">
        <v>35</v>
      </c>
      <c r="P995" s="60" t="s">
        <v>35</v>
      </c>
      <c r="Q995" s="48">
        <v>102</v>
      </c>
      <c r="R995" s="48">
        <v>501</v>
      </c>
      <c r="S995" s="48"/>
      <c r="T995" s="48"/>
      <c r="U995" s="49"/>
      <c r="V995" s="49"/>
      <c r="W995" s="50"/>
      <c r="X995" s="51">
        <f>IF(A995="", "", IF(COUNTIFS(C$3:C994, C995, D$3:D994, D995, G$3:G994, G995) &gt; 0, "", "11:00"-AW995))</f>
        <v>0.37499999999999994</v>
      </c>
      <c r="Y995" s="52"/>
      <c r="Z995" s="53"/>
      <c r="AA995" s="54"/>
      <c r="AB995" s="53"/>
      <c r="AC995" s="54"/>
      <c r="AD995" s="53"/>
      <c r="AE995" s="54"/>
      <c r="AF995" s="53"/>
      <c r="AG995" s="54"/>
      <c r="AH995" s="55">
        <v>4.1666666666666699E-2</v>
      </c>
      <c r="AI995" s="53"/>
      <c r="AJ995" s="54"/>
      <c r="AK995" s="53"/>
      <c r="AL995" s="54"/>
      <c r="AM995" s="53"/>
      <c r="AN995" s="54"/>
      <c r="AO995" s="53">
        <v>1.3888888888888888E-2</v>
      </c>
      <c r="AP995" s="54" t="s">
        <v>67</v>
      </c>
      <c r="AQ995" s="53">
        <v>2.7777777777777776E-2</v>
      </c>
      <c r="AR995" s="54" t="s">
        <v>67</v>
      </c>
      <c r="AS995" s="53"/>
      <c r="AT995" s="54"/>
      <c r="AU995" s="53">
        <v>4.1666666666666699E-2</v>
      </c>
      <c r="AV995" s="54" t="s">
        <v>37</v>
      </c>
      <c r="AW995" s="57">
        <f t="shared" si="146"/>
        <v>8.333333333333337E-2</v>
      </c>
      <c r="AX995" s="58" t="s">
        <v>91</v>
      </c>
    </row>
    <row r="996" spans="1:50" ht="21" customHeight="1">
      <c r="A996" s="66" t="s">
        <v>887</v>
      </c>
      <c r="B996" s="39">
        <f t="shared" si="145"/>
        <v>992</v>
      </c>
      <c r="C996" s="40">
        <f t="shared" si="147"/>
        <v>46044</v>
      </c>
      <c r="D996" s="40" t="s">
        <v>80</v>
      </c>
      <c r="E996" s="40" t="s">
        <v>81</v>
      </c>
      <c r="F996" s="41">
        <v>765.7</v>
      </c>
      <c r="G996" s="42" t="s">
        <v>54</v>
      </c>
      <c r="H996" s="43" t="str">
        <f>IFERROR(VLOOKUP($J996,'[9]FROM (3)'!$E$4:$F$230,2,FALSE),"")</f>
        <v>JTCS</v>
      </c>
      <c r="I996" s="44" t="str">
        <f t="shared" si="144"/>
        <v>RACK, PS</v>
      </c>
      <c r="J996" s="44" t="str">
        <f t="shared" si="140"/>
        <v>JGD10S00670-B</v>
      </c>
      <c r="K996" s="59" t="str">
        <f t="shared" si="142"/>
        <v>PD26010970</v>
      </c>
      <c r="L996" s="46" t="str" cm="1">
        <f t="array" ref="L996">IFERROR(_xlfn.IFS(
    LEN($A996)-LEN(SUBSTITUTE($A996,"|",""))=12, RIGHT(A996, LEN(A996)-FIND("~", SUBSTITUTE(A996,"|","~", LEN(A996)-LEN(SUBSTITUTE(A996,"|",""))))),
    LEN($A996)-LEN(SUBSTITUTE($A996,"|",""))=13, MID($A996, FIND("~", SUBSTITUTE($A996,"|","~", 11))+1, FIND("~", SUBSTITUTE($A996,"|","~", 12))-FIND("~", SUBSTITUTE($A996,"|","~", 11))-1),
    LEN($A996)-LEN(SUBSTITUTE($A996,"|",""))=14, MID($A996, FIND("~", SUBSTITUTE($A996,"|","~", 11))+1, FIND("~", SUBSTITUTE($A996,"|","~", 12))-FIND("~", SUBSTITUTE($A996,"|","~", 11))-1)
), "")</f>
        <v>E586447</v>
      </c>
      <c r="M996" s="47" t="str">
        <f t="shared" si="141"/>
        <v>SB010119/7/26</v>
      </c>
      <c r="N996" s="46" t="str">
        <f t="shared" si="143"/>
        <v/>
      </c>
      <c r="O996" s="60">
        <v>5</v>
      </c>
      <c r="P996" s="60">
        <v>178</v>
      </c>
      <c r="Q996" s="48">
        <v>30</v>
      </c>
      <c r="R996" s="48">
        <v>147</v>
      </c>
      <c r="S996" s="48">
        <v>5</v>
      </c>
      <c r="T996" s="48" t="s">
        <v>143</v>
      </c>
      <c r="U996" s="49"/>
      <c r="V996" s="49"/>
      <c r="W996" s="50"/>
      <c r="X996" s="51" t="str">
        <f>IF(A996="", "", IF(COUNTIFS(C$3:C995, C996, D$3:D995, D996, G$3:G995, G996) &gt; 0, "", "11:00"-AW996))</f>
        <v/>
      </c>
      <c r="Y996" s="52"/>
      <c r="Z996" s="53"/>
      <c r="AA996" s="54"/>
      <c r="AB996" s="53"/>
      <c r="AC996" s="54"/>
      <c r="AD996" s="53"/>
      <c r="AE996" s="54"/>
      <c r="AF996" s="53"/>
      <c r="AG996" s="54"/>
      <c r="AH996" s="55">
        <v>4.1666666666666699E-2</v>
      </c>
      <c r="AI996" s="53"/>
      <c r="AJ996" s="54"/>
      <c r="AK996" s="53"/>
      <c r="AL996" s="54"/>
      <c r="AM996" s="53"/>
      <c r="AN996" s="54"/>
      <c r="AO996" s="53"/>
      <c r="AP996" s="54"/>
      <c r="AQ996" s="53"/>
      <c r="AR996" s="54"/>
      <c r="AS996" s="53"/>
      <c r="AT996" s="54"/>
      <c r="AU996" s="53">
        <v>4.1666666666666699E-2</v>
      </c>
      <c r="AV996" s="54" t="s">
        <v>37</v>
      </c>
      <c r="AW996" s="57">
        <f t="shared" si="146"/>
        <v>4.1666666666666699E-2</v>
      </c>
      <c r="AX996" s="58" t="s">
        <v>91</v>
      </c>
    </row>
    <row r="997" spans="1:50" ht="21" customHeight="1">
      <c r="A997" s="66" t="s">
        <v>888</v>
      </c>
      <c r="B997" s="39">
        <f t="shared" si="145"/>
        <v>993</v>
      </c>
      <c r="C997" s="40">
        <f t="shared" si="147"/>
        <v>46044</v>
      </c>
      <c r="D997" s="40" t="s">
        <v>80</v>
      </c>
      <c r="E997" s="40" t="s">
        <v>81</v>
      </c>
      <c r="F997" s="41">
        <v>765.7</v>
      </c>
      <c r="G997" s="42" t="s">
        <v>54</v>
      </c>
      <c r="H997" s="43" t="str">
        <f>IFERROR(VLOOKUP($J997,'[9]FROM (3)'!$E$4:$F$230,2,FALSE),"")</f>
        <v>JTCS</v>
      </c>
      <c r="I997" s="44" t="str">
        <f t="shared" si="144"/>
        <v>RACK, PS</v>
      </c>
      <c r="J997" s="44" t="str">
        <f t="shared" si="140"/>
        <v>JGD10S00670-B</v>
      </c>
      <c r="K997" s="59" t="str">
        <f t="shared" si="142"/>
        <v>PD26010970</v>
      </c>
      <c r="L997" s="46" t="str" cm="1">
        <f t="array" ref="L997">IFERROR(_xlfn.IFS(
    LEN($A997)-LEN(SUBSTITUTE($A997,"|",""))=12, RIGHT(A997, LEN(A997)-FIND("~", SUBSTITUTE(A997,"|","~", LEN(A997)-LEN(SUBSTITUTE(A997,"|",""))))),
    LEN($A997)-LEN(SUBSTITUTE($A997,"|",""))=13, MID($A997, FIND("~", SUBSTITUTE($A997,"|","~", 11))+1, FIND("~", SUBSTITUTE($A997,"|","~", 12))-FIND("~", SUBSTITUTE($A997,"|","~", 11))-1),
    LEN($A997)-LEN(SUBSTITUTE($A997,"|",""))=14, MID($A997, FIND("~", SUBSTITUTE($A997,"|","~", 11))+1, FIND("~", SUBSTITUTE($A997,"|","~", 12))-FIND("~", SUBSTITUTE($A997,"|","~", 11))-1)
), "")</f>
        <v>E586447</v>
      </c>
      <c r="M997" s="47" t="str">
        <f t="shared" si="141"/>
        <v>SB010119/5/26</v>
      </c>
      <c r="N997" s="46" t="str">
        <f t="shared" si="143"/>
        <v/>
      </c>
      <c r="O997" s="60">
        <v>25</v>
      </c>
      <c r="P997" s="60">
        <v>890</v>
      </c>
      <c r="Q997" s="48">
        <v>175</v>
      </c>
      <c r="R997" s="48">
        <v>859</v>
      </c>
      <c r="S997" s="48"/>
      <c r="T997" s="48"/>
      <c r="U997" s="49">
        <v>53</v>
      </c>
      <c r="V997" s="49">
        <v>5</v>
      </c>
      <c r="W997" s="50"/>
      <c r="X997" s="51" t="str">
        <f>IF(A997="", "", IF(COUNTIFS(C$3:C996, C997, D$3:D996, D997, G$3:G996, G997) &gt; 0, "", "11:00"-AW997))</f>
        <v/>
      </c>
      <c r="Y997" s="52"/>
      <c r="Z997" s="53"/>
      <c r="AA997" s="54"/>
      <c r="AB997" s="53"/>
      <c r="AC997" s="54"/>
      <c r="AD997" s="53"/>
      <c r="AE997" s="54"/>
      <c r="AF997" s="53"/>
      <c r="AG997" s="54"/>
      <c r="AH997" s="55">
        <v>4.1666666666666699E-2</v>
      </c>
      <c r="AI997" s="53"/>
      <c r="AJ997" s="54"/>
      <c r="AK997" s="53"/>
      <c r="AL997" s="54"/>
      <c r="AM997" s="53"/>
      <c r="AN997" s="54"/>
      <c r="AO997" s="53"/>
      <c r="AP997" s="54"/>
      <c r="AQ997" s="53"/>
      <c r="AR997" s="54"/>
      <c r="AS997" s="53"/>
      <c r="AT997" s="54"/>
      <c r="AU997" s="53">
        <v>4.1666666666666699E-2</v>
      </c>
      <c r="AV997" s="54" t="s">
        <v>37</v>
      </c>
      <c r="AW997" s="57">
        <f t="shared" si="146"/>
        <v>4.1666666666666699E-2</v>
      </c>
      <c r="AX997" s="58" t="s">
        <v>91</v>
      </c>
    </row>
    <row r="998" spans="1:50" ht="21" customHeight="1">
      <c r="A998" s="66" t="s">
        <v>889</v>
      </c>
      <c r="B998" s="39">
        <f t="shared" si="145"/>
        <v>994</v>
      </c>
      <c r="C998" s="40">
        <f t="shared" si="147"/>
        <v>46044</v>
      </c>
      <c r="D998" s="40" t="s">
        <v>80</v>
      </c>
      <c r="E998" s="40" t="s">
        <v>81</v>
      </c>
      <c r="F998" s="41">
        <v>765.7</v>
      </c>
      <c r="G998" s="42" t="s">
        <v>54</v>
      </c>
      <c r="H998" s="43" t="str">
        <f>IFERROR(VLOOKUP($J998,'[9]FROM (3)'!$E$4:$F$230,2,FALSE),"")</f>
        <v>JTCS</v>
      </c>
      <c r="I998" s="44" t="str">
        <f t="shared" si="144"/>
        <v>RACK, PS</v>
      </c>
      <c r="J998" s="44" t="str">
        <f t="shared" si="140"/>
        <v>JGD10S00670-B</v>
      </c>
      <c r="K998" s="59" t="str">
        <f t="shared" si="142"/>
        <v>PD26010967</v>
      </c>
      <c r="L998" s="46" t="str" cm="1">
        <f t="array" ref="L998">IFERROR(_xlfn.IFS(
    LEN($A998)-LEN(SUBSTITUTE($A998,"|",""))=12, RIGHT(A998, LEN(A998)-FIND("~", SUBSTITUTE(A998,"|","~", LEN(A998)-LEN(SUBSTITUTE(A998,"|",""))))),
    LEN($A998)-LEN(SUBSTITUTE($A998,"|",""))=13, MID($A998, FIND("~", SUBSTITUTE($A998,"|","~", 11))+1, FIND("~", SUBSTITUTE($A998,"|","~", 12))-FIND("~", SUBSTITUTE($A998,"|","~", 11))-1),
    LEN($A998)-LEN(SUBSTITUTE($A998,"|",""))=14, MID($A998, FIND("~", SUBSTITUTE($A998,"|","~", 11))+1, FIND("~", SUBSTITUTE($A998,"|","~", 12))-FIND("~", SUBSTITUTE($A998,"|","~", 11))-1)
), "")</f>
        <v>E586447</v>
      </c>
      <c r="M998" s="47" t="str">
        <f t="shared" si="141"/>
        <v>SB010121/4/26</v>
      </c>
      <c r="N998" s="46" t="str">
        <f t="shared" si="143"/>
        <v/>
      </c>
      <c r="O998" s="60">
        <v>25</v>
      </c>
      <c r="P998" s="60">
        <v>890</v>
      </c>
      <c r="Q998" s="48">
        <v>175</v>
      </c>
      <c r="R998" s="48">
        <v>859</v>
      </c>
      <c r="S998" s="48"/>
      <c r="T998" s="48"/>
      <c r="U998" s="49"/>
      <c r="V998" s="49"/>
      <c r="W998" s="50"/>
      <c r="X998" s="51" t="str">
        <f>IF(A998="", "", IF(COUNTIFS(C$3:C997, C998, D$3:D997, D998, G$3:G997, G998) &gt; 0, "", "11:00"-AW998))</f>
        <v/>
      </c>
      <c r="Y998" s="52"/>
      <c r="Z998" s="53"/>
      <c r="AA998" s="54"/>
      <c r="AB998" s="53"/>
      <c r="AC998" s="54"/>
      <c r="AD998" s="53"/>
      <c r="AE998" s="54"/>
      <c r="AF998" s="53"/>
      <c r="AG998" s="54"/>
      <c r="AH998" s="55">
        <v>4.1666666666666699E-2</v>
      </c>
      <c r="AI998" s="53"/>
      <c r="AJ998" s="54"/>
      <c r="AK998" s="53"/>
      <c r="AL998" s="54"/>
      <c r="AM998" s="53"/>
      <c r="AN998" s="54"/>
      <c r="AO998" s="53"/>
      <c r="AP998" s="54"/>
      <c r="AQ998" s="53"/>
      <c r="AR998" s="54"/>
      <c r="AS998" s="53"/>
      <c r="AT998" s="54"/>
      <c r="AU998" s="53">
        <v>4.1666666666666699E-2</v>
      </c>
      <c r="AV998" s="54" t="s">
        <v>37</v>
      </c>
      <c r="AW998" s="57">
        <f t="shared" si="146"/>
        <v>4.1666666666666699E-2</v>
      </c>
      <c r="AX998" s="58" t="s">
        <v>91</v>
      </c>
    </row>
    <row r="999" spans="1:50" ht="21" customHeight="1">
      <c r="A999" s="66" t="s">
        <v>890</v>
      </c>
      <c r="B999" s="39">
        <f t="shared" si="145"/>
        <v>995</v>
      </c>
      <c r="C999" s="40">
        <f t="shared" si="147"/>
        <v>46044</v>
      </c>
      <c r="D999" s="40" t="s">
        <v>80</v>
      </c>
      <c r="E999" s="40" t="s">
        <v>81</v>
      </c>
      <c r="F999" s="41">
        <v>765.7</v>
      </c>
      <c r="G999" s="42" t="s">
        <v>54</v>
      </c>
      <c r="H999" s="43" t="str">
        <f>IFERROR(VLOOKUP($J999,'[9]FROM (3)'!$E$4:$F$230,2,FALSE),"")</f>
        <v>JTCS</v>
      </c>
      <c r="I999" s="44" t="str">
        <f t="shared" si="144"/>
        <v>RACK, PS</v>
      </c>
      <c r="J999" s="44" t="str">
        <f t="shared" si="140"/>
        <v>JGD10S00670-B</v>
      </c>
      <c r="K999" s="59" t="str">
        <f t="shared" si="142"/>
        <v>PD26010967</v>
      </c>
      <c r="L999" s="46" t="str" cm="1">
        <f t="array" ref="L999">IFERROR(_xlfn.IFS(
    LEN($A999)-LEN(SUBSTITUTE($A999,"|",""))=12, RIGHT(A999, LEN(A999)-FIND("~", SUBSTITUTE(A999,"|","~", LEN(A999)-LEN(SUBSTITUTE(A999,"|",""))))),
    LEN($A999)-LEN(SUBSTITUTE($A999,"|",""))=13, MID($A999, FIND("~", SUBSTITUTE($A999,"|","~", 11))+1, FIND("~", SUBSTITUTE($A999,"|","~", 12))-FIND("~", SUBSTITUTE($A999,"|","~", 11))-1),
    LEN($A999)-LEN(SUBSTITUTE($A999,"|",""))=14, MID($A999, FIND("~", SUBSTITUTE($A999,"|","~", 11))+1, FIND("~", SUBSTITUTE($A999,"|","~", 12))-FIND("~", SUBSTITUTE($A999,"|","~", 11))-1)
), "")</f>
        <v>E586447</v>
      </c>
      <c r="M999" s="71" t="str">
        <f t="shared" si="141"/>
        <v>SB010121/5/26</v>
      </c>
      <c r="N999" s="46" t="str">
        <f t="shared" si="143"/>
        <v/>
      </c>
      <c r="O999" s="60">
        <v>25</v>
      </c>
      <c r="P999" s="60">
        <v>890</v>
      </c>
      <c r="Q999" s="48">
        <v>175</v>
      </c>
      <c r="R999" s="48">
        <v>859</v>
      </c>
      <c r="S999" s="48"/>
      <c r="T999" s="48"/>
      <c r="U999" s="49"/>
      <c r="V999" s="49"/>
      <c r="W999" s="50"/>
      <c r="X999" s="51" t="str">
        <f>IF(A999="", "", IF(COUNTIFS(C$3:C998, C999, D$3:D998, D999, G$3:G998, G999) &gt; 0, "", "11:00"-AW999))</f>
        <v/>
      </c>
      <c r="Y999" s="52"/>
      <c r="Z999" s="53"/>
      <c r="AA999" s="54"/>
      <c r="AB999" s="53"/>
      <c r="AC999" s="54"/>
      <c r="AD999" s="53"/>
      <c r="AE999" s="54"/>
      <c r="AF999" s="53"/>
      <c r="AG999" s="54"/>
      <c r="AH999" s="55">
        <v>4.1666666666666699E-2</v>
      </c>
      <c r="AI999" s="53"/>
      <c r="AJ999" s="54"/>
      <c r="AK999" s="53"/>
      <c r="AL999" s="54"/>
      <c r="AM999" s="53"/>
      <c r="AN999" s="54"/>
      <c r="AO999" s="53"/>
      <c r="AP999" s="54"/>
      <c r="AQ999" s="53"/>
      <c r="AR999" s="54"/>
      <c r="AS999" s="53"/>
      <c r="AT999" s="54"/>
      <c r="AU999" s="53">
        <v>4.1666666666666699E-2</v>
      </c>
      <c r="AV999" s="54" t="s">
        <v>37</v>
      </c>
      <c r="AW999" s="57">
        <f t="shared" si="146"/>
        <v>4.1666666666666699E-2</v>
      </c>
      <c r="AX999" s="58" t="s">
        <v>91</v>
      </c>
    </row>
    <row r="1000" spans="1:50" ht="21" customHeight="1">
      <c r="A1000" s="66" t="s">
        <v>891</v>
      </c>
      <c r="B1000" s="39">
        <f t="shared" si="145"/>
        <v>996</v>
      </c>
      <c r="C1000" s="40">
        <f t="shared" si="147"/>
        <v>46044</v>
      </c>
      <c r="D1000" s="40" t="s">
        <v>80</v>
      </c>
      <c r="E1000" s="40" t="s">
        <v>81</v>
      </c>
      <c r="F1000" s="41">
        <v>765.7</v>
      </c>
      <c r="G1000" s="42" t="s">
        <v>54</v>
      </c>
      <c r="H1000" s="43" t="str">
        <f>IFERROR(VLOOKUP($J1000,'[9]FROM (3)'!$E$4:$F$230,2,FALSE),"")</f>
        <v>JTCS</v>
      </c>
      <c r="I1000" s="44" t="str">
        <f t="shared" si="144"/>
        <v>RACK, PS</v>
      </c>
      <c r="J1000" s="44" t="str">
        <f t="shared" si="140"/>
        <v>JGD10S00670-B</v>
      </c>
      <c r="K1000" s="59" t="str">
        <f t="shared" si="142"/>
        <v>PD26010967</v>
      </c>
      <c r="L1000" s="46" t="str" cm="1">
        <f t="array" ref="L1000">IFERROR(_xlfn.IFS(
    LEN($A1000)-LEN(SUBSTITUTE($A1000,"|",""))=12, RIGHT(A1000, LEN(A1000)-FIND("~", SUBSTITUTE(A1000,"|","~", LEN(A1000)-LEN(SUBSTITUTE(A1000,"|",""))))),
    LEN($A1000)-LEN(SUBSTITUTE($A1000,"|",""))=13, MID($A1000, FIND("~", SUBSTITUTE($A1000,"|","~", 11))+1, FIND("~", SUBSTITUTE($A1000,"|","~", 12))-FIND("~", SUBSTITUTE($A1000,"|","~", 11))-1),
    LEN($A1000)-LEN(SUBSTITUTE($A1000,"|",""))=14, MID($A1000, FIND("~", SUBSTITUTE($A1000,"|","~", 11))+1, FIND("~", SUBSTITUTE($A1000,"|","~", 12))-FIND("~", SUBSTITUTE($A1000,"|","~", 11))-1)
), "")</f>
        <v>E586447</v>
      </c>
      <c r="M1000" s="72" t="str">
        <f t="shared" si="141"/>
        <v>SB010121/6/26</v>
      </c>
      <c r="N1000" s="46" t="str">
        <f t="shared" si="143"/>
        <v/>
      </c>
      <c r="O1000" s="60">
        <v>25</v>
      </c>
      <c r="P1000" s="60">
        <v>890</v>
      </c>
      <c r="Q1000" s="48">
        <v>175</v>
      </c>
      <c r="R1000" s="48">
        <v>859</v>
      </c>
      <c r="S1000" s="48"/>
      <c r="T1000" s="48"/>
      <c r="U1000" s="49">
        <v>80</v>
      </c>
      <c r="V1000" s="49">
        <v>8</v>
      </c>
      <c r="W1000" s="50"/>
      <c r="X1000" s="51" t="str">
        <f>IF(A1000="", "", IF(COUNTIFS(C$3:C999, C1000, D$3:D999, D1000, G$3:G999, G1000) &gt; 0, "", "11:00"-AW1000))</f>
        <v/>
      </c>
      <c r="Y1000" s="52" t="str">
        <f t="shared" ref="Y1000:Y1063" si="148">IF(X1000="", "", IF(AND(A1000&lt;&gt;"", AR1000&lt;&gt;"NO OT"), "1:40", IF(AND(A1000&lt;&gt;"", AR1000="NO OT"), "1:0", "")))</f>
        <v/>
      </c>
      <c r="Z1000" s="53"/>
      <c r="AA1000" s="54"/>
      <c r="AB1000" s="53"/>
      <c r="AC1000" s="54"/>
      <c r="AD1000" s="53"/>
      <c r="AE1000" s="54"/>
      <c r="AF1000" s="53"/>
      <c r="AG1000" s="54"/>
      <c r="AH1000" s="55">
        <v>4.1666666666666699E-2</v>
      </c>
      <c r="AI1000" s="53"/>
      <c r="AJ1000" s="54"/>
      <c r="AK1000" s="53"/>
      <c r="AL1000" s="54"/>
      <c r="AM1000" s="53"/>
      <c r="AN1000" s="54"/>
      <c r="AO1000" s="53"/>
      <c r="AP1000" s="54"/>
      <c r="AQ1000" s="53"/>
      <c r="AR1000" s="54"/>
      <c r="AS1000" s="53"/>
      <c r="AT1000" s="54"/>
      <c r="AU1000" s="53">
        <v>4.1666666666666699E-2</v>
      </c>
      <c r="AV1000" s="54" t="s">
        <v>37</v>
      </c>
      <c r="AW1000" s="57">
        <f t="shared" si="146"/>
        <v>4.1666666666666699E-2</v>
      </c>
      <c r="AX1000" s="58" t="s">
        <v>91</v>
      </c>
    </row>
    <row r="1001" spans="1:50" ht="21" customHeight="1">
      <c r="A1001" s="66" t="s">
        <v>892</v>
      </c>
      <c r="B1001" s="39">
        <f t="shared" si="145"/>
        <v>997</v>
      </c>
      <c r="C1001" s="40">
        <f t="shared" si="147"/>
        <v>46044</v>
      </c>
      <c r="D1001" s="40" t="s">
        <v>80</v>
      </c>
      <c r="E1001" s="40" t="s">
        <v>81</v>
      </c>
      <c r="F1001" s="41">
        <v>597.4</v>
      </c>
      <c r="G1001" s="42" t="s">
        <v>54</v>
      </c>
      <c r="H1001" s="43" t="str">
        <f>IFERROR(VLOOKUP($J1001,'[9]FROM (3)'!$E$4:$F$230,2,FALSE),"")</f>
        <v>JTCS</v>
      </c>
      <c r="I1001" s="44" t="str">
        <f t="shared" si="144"/>
        <v>Rack, MS</v>
      </c>
      <c r="J1001" s="44" t="str">
        <f t="shared" si="140"/>
        <v>JGC10-003770-40-0</v>
      </c>
      <c r="K1001" s="59" t="str">
        <f t="shared" si="142"/>
        <v>PD26010905</v>
      </c>
      <c r="L1001" s="46" t="str" cm="1">
        <f t="array" ref="L1001">IFERROR(_xlfn.IFS(
    LEN($A1001)-LEN(SUBSTITUTE($A1001,"|",""))=12, RIGHT(A1001, LEN(A1001)-FIND("~", SUBSTITUTE(A1001,"|","~", LEN(A1001)-LEN(SUBSTITUTE(A1001,"|",""))))),
    LEN($A1001)-LEN(SUBSTITUTE($A1001,"|",""))=13, MID($A1001, FIND("~", SUBSTITUTE($A1001,"|","~", 11))+1, FIND("~", SUBSTITUTE($A1001,"|","~", 12))-FIND("~", SUBSTITUTE($A1001,"|","~", 11))-1),
    LEN($A1001)-LEN(SUBSTITUTE($A1001,"|",""))=14, MID($A1001, FIND("~", SUBSTITUTE($A1001,"|","~", 11))+1, FIND("~", SUBSTITUTE($A1001,"|","~", 12))-FIND("~", SUBSTITUTE($A1001,"|","~", 11))-1)
), "")</f>
        <v>E585971</v>
      </c>
      <c r="M1001" s="72" t="str">
        <f t="shared" si="141"/>
        <v>SB010111/1/26</v>
      </c>
      <c r="N1001" s="46" t="str">
        <f t="shared" si="143"/>
        <v/>
      </c>
      <c r="O1001" s="60">
        <v>77</v>
      </c>
      <c r="P1001" s="60">
        <v>866</v>
      </c>
      <c r="Q1001" s="48">
        <v>125</v>
      </c>
      <c r="R1001" s="48">
        <v>265</v>
      </c>
      <c r="S1001" s="48"/>
      <c r="T1001" s="48"/>
      <c r="U1001" s="49"/>
      <c r="V1001" s="49"/>
      <c r="W1001" s="50"/>
      <c r="X1001" s="51" t="str">
        <f>IF(A1001="", "", IF(COUNTIFS(C$3:C1000, C1001, D$3:D1000, D1001, G$3:G1000, G1001) &gt; 0, "", "11:00"-AW1001))</f>
        <v/>
      </c>
      <c r="Y1001" s="52" t="str">
        <f t="shared" si="148"/>
        <v/>
      </c>
      <c r="Z1001" s="53"/>
      <c r="AA1001" s="54"/>
      <c r="AB1001" s="53"/>
      <c r="AC1001" s="54"/>
      <c r="AD1001" s="53"/>
      <c r="AE1001" s="54"/>
      <c r="AF1001" s="53"/>
      <c r="AG1001" s="54"/>
      <c r="AH1001" s="55">
        <v>4.1666666666666699E-2</v>
      </c>
      <c r="AI1001" s="53"/>
      <c r="AJ1001" s="54"/>
      <c r="AK1001" s="53"/>
      <c r="AL1001" s="54"/>
      <c r="AM1001" s="53"/>
      <c r="AN1001" s="54"/>
      <c r="AO1001" s="53"/>
      <c r="AP1001" s="54"/>
      <c r="AQ1001" s="53"/>
      <c r="AR1001" s="54"/>
      <c r="AS1001" s="53"/>
      <c r="AT1001" s="54"/>
      <c r="AU1001" s="53">
        <v>4.1666666666666699E-2</v>
      </c>
      <c r="AV1001" s="54" t="s">
        <v>37</v>
      </c>
      <c r="AW1001" s="57">
        <f t="shared" si="146"/>
        <v>4.1666666666666699E-2</v>
      </c>
      <c r="AX1001" s="58" t="s">
        <v>91</v>
      </c>
    </row>
    <row r="1002" spans="1:50" ht="21" customHeight="1">
      <c r="A1002" s="66" t="s">
        <v>872</v>
      </c>
      <c r="B1002" s="39">
        <f t="shared" si="145"/>
        <v>998</v>
      </c>
      <c r="C1002" s="40">
        <f t="shared" si="147"/>
        <v>46044</v>
      </c>
      <c r="D1002" s="40" t="s">
        <v>80</v>
      </c>
      <c r="E1002" s="40" t="s">
        <v>81</v>
      </c>
      <c r="F1002" s="41">
        <v>698.5</v>
      </c>
      <c r="G1002" s="42" t="s">
        <v>66</v>
      </c>
      <c r="H1002" s="43" t="str">
        <f>IFERROR(VLOOKUP($J1002,'[9]FROM (3)'!$E$4:$F$230,2,FALSE),"")</f>
        <v>JCTTH</v>
      </c>
      <c r="I1002" s="44" t="str">
        <f t="shared" si="144"/>
        <v>RACK BAR</v>
      </c>
      <c r="J1002" s="44" t="str">
        <f t="shared" si="140"/>
        <v>JGD10-000751/000761-A</v>
      </c>
      <c r="K1002" s="59" t="str">
        <f t="shared" si="142"/>
        <v>PD26010569</v>
      </c>
      <c r="L1002" s="46" t="str" cm="1">
        <f t="array" ref="L1002">IFERROR(_xlfn.IFS(
    LEN($A1002)-LEN(SUBSTITUTE($A1002,"|",""))=12, RIGHT(A1002, LEN(A1002)-FIND("~", SUBSTITUTE(A1002,"|","~", LEN(A1002)-LEN(SUBSTITUTE(A1002,"|",""))))),
    LEN($A1002)-LEN(SUBSTITUTE($A1002,"|",""))=13, MID($A1002, FIND("~", SUBSTITUTE($A1002,"|","~", 11))+1, FIND("~", SUBSTITUTE($A1002,"|","~", 12))-FIND("~", SUBSTITUTE($A1002,"|","~", 11))-1),
    LEN($A1002)-LEN(SUBSTITUTE($A1002,"|",""))=14, MID($A1002, FIND("~", SUBSTITUTE($A1002,"|","~", 11))+1, FIND("~", SUBSTITUTE($A1002,"|","~", 12))-FIND("~", SUBSTITUTE($A1002,"|","~", 11))-1)
), "")</f>
        <v>665077</v>
      </c>
      <c r="M1002" s="72" t="str">
        <f t="shared" si="141"/>
        <v>SB010057/2/26</v>
      </c>
      <c r="N1002" s="46" t="str">
        <f t="shared" si="143"/>
        <v/>
      </c>
      <c r="O1002" s="60" t="s">
        <v>35</v>
      </c>
      <c r="P1002" s="60" t="s">
        <v>35</v>
      </c>
      <c r="Q1002" s="48">
        <v>27</v>
      </c>
      <c r="R1002" s="48">
        <v>121</v>
      </c>
      <c r="S1002" s="48"/>
      <c r="T1002" s="48"/>
      <c r="U1002" s="49">
        <v>196</v>
      </c>
      <c r="V1002" s="49">
        <v>10</v>
      </c>
      <c r="W1002" s="50"/>
      <c r="X1002" s="51">
        <f>IF(A1002="", "", IF(COUNTIFS(C$3:C1001, C1002, D$3:D1001, D1002, G$3:G1001, G1002) &gt; 0, "", "11:00"-AW1002))</f>
        <v>0.41666666666666663</v>
      </c>
      <c r="Y1002" s="52" t="str">
        <f t="shared" si="148"/>
        <v>1:40</v>
      </c>
      <c r="Z1002" s="53"/>
      <c r="AA1002" s="54"/>
      <c r="AB1002" s="53"/>
      <c r="AC1002" s="54"/>
      <c r="AD1002" s="53"/>
      <c r="AE1002" s="54"/>
      <c r="AF1002" s="53"/>
      <c r="AG1002" s="54"/>
      <c r="AH1002" s="55">
        <v>4.1666666666666699E-2</v>
      </c>
      <c r="AI1002" s="53"/>
      <c r="AJ1002" s="54"/>
      <c r="AK1002" s="53"/>
      <c r="AL1002" s="54"/>
      <c r="AM1002" s="53"/>
      <c r="AN1002" s="54"/>
      <c r="AO1002" s="53"/>
      <c r="AP1002" s="54"/>
      <c r="AQ1002" s="53"/>
      <c r="AR1002" s="54"/>
      <c r="AS1002" s="53"/>
      <c r="AT1002" s="54"/>
      <c r="AU1002" s="53">
        <v>4.1666666666666699E-2</v>
      </c>
      <c r="AV1002" s="54" t="s">
        <v>37</v>
      </c>
      <c r="AW1002" s="57">
        <f t="shared" si="146"/>
        <v>4.1666666666666699E-2</v>
      </c>
      <c r="AX1002" s="58" t="s">
        <v>96</v>
      </c>
    </row>
    <row r="1003" spans="1:50" ht="21" customHeight="1">
      <c r="A1003" s="66" t="s">
        <v>893</v>
      </c>
      <c r="B1003" s="39">
        <f t="shared" si="145"/>
        <v>999</v>
      </c>
      <c r="C1003" s="40">
        <f t="shared" si="147"/>
        <v>46044</v>
      </c>
      <c r="D1003" s="40" t="s">
        <v>80</v>
      </c>
      <c r="E1003" s="40" t="s">
        <v>81</v>
      </c>
      <c r="F1003" s="41">
        <v>698.5</v>
      </c>
      <c r="G1003" s="42" t="s">
        <v>66</v>
      </c>
      <c r="H1003" s="43" t="str">
        <f>IFERROR(VLOOKUP($J1003,'[9]FROM (3)'!$E$4:$F$230,2,FALSE),"")</f>
        <v>JCTTH</v>
      </c>
      <c r="I1003" s="44" t="str">
        <f t="shared" si="144"/>
        <v>RACK BAR</v>
      </c>
      <c r="J1003" s="44" t="str">
        <f t="shared" si="140"/>
        <v>JGD10-000751/000761-A</v>
      </c>
      <c r="K1003" s="59" t="str">
        <f t="shared" si="142"/>
        <v>PD26010569</v>
      </c>
      <c r="L1003" s="46" t="str" cm="1">
        <f t="array" ref="L1003">IFERROR(_xlfn.IFS(
    LEN($A1003)-LEN(SUBSTITUTE($A1003,"|",""))=12, RIGHT(A1003, LEN(A1003)-FIND("~", SUBSTITUTE(A1003,"|","~", LEN(A1003)-LEN(SUBSTITUTE(A1003,"|",""))))),
    LEN($A1003)-LEN(SUBSTITUTE($A1003,"|",""))=13, MID($A1003, FIND("~", SUBSTITUTE($A1003,"|","~", 11))+1, FIND("~", SUBSTITUTE($A1003,"|","~", 12))-FIND("~", SUBSTITUTE($A1003,"|","~", 11))-1),
    LEN($A1003)-LEN(SUBSTITUTE($A1003,"|",""))=14, MID($A1003, FIND("~", SUBSTITUTE($A1003,"|","~", 11))+1, FIND("~", SUBSTITUTE($A1003,"|","~", 12))-FIND("~", SUBSTITUTE($A1003,"|","~", 11))-1)
), "")</f>
        <v>665077</v>
      </c>
      <c r="M1003" s="72" t="str">
        <f t="shared" si="141"/>
        <v>SB010057/3/26</v>
      </c>
      <c r="N1003" s="46" t="str">
        <f t="shared" si="143"/>
        <v/>
      </c>
      <c r="O1003" s="60">
        <v>51</v>
      </c>
      <c r="P1003" s="60">
        <v>988</v>
      </c>
      <c r="Q1003" s="48">
        <v>204</v>
      </c>
      <c r="R1003" s="48">
        <v>913</v>
      </c>
      <c r="S1003" s="48"/>
      <c r="T1003" s="48"/>
      <c r="U1003" s="49"/>
      <c r="V1003" s="49"/>
      <c r="W1003" s="50"/>
      <c r="X1003" s="51" t="str">
        <f>IF(A1003="", "", IF(COUNTIFS(C$3:C1002, C1003, D$3:D1002, D1003, G$3:G1002, G1003) &gt; 0, "", "11:00"-AW1003))</f>
        <v/>
      </c>
      <c r="Y1003" s="52" t="str">
        <f t="shared" si="148"/>
        <v/>
      </c>
      <c r="Z1003" s="53"/>
      <c r="AA1003" s="54"/>
      <c r="AB1003" s="53"/>
      <c r="AC1003" s="54"/>
      <c r="AD1003" s="53"/>
      <c r="AE1003" s="54"/>
      <c r="AF1003" s="53"/>
      <c r="AG1003" s="54"/>
      <c r="AH1003" s="55">
        <v>4.1666666666666699E-2</v>
      </c>
      <c r="AI1003" s="53"/>
      <c r="AJ1003" s="54"/>
      <c r="AK1003" s="53"/>
      <c r="AL1003" s="54"/>
      <c r="AM1003" s="53"/>
      <c r="AN1003" s="54"/>
      <c r="AO1003" s="53"/>
      <c r="AP1003" s="54"/>
      <c r="AQ1003" s="53"/>
      <c r="AR1003" s="54"/>
      <c r="AS1003" s="53"/>
      <c r="AT1003" s="54"/>
      <c r="AU1003" s="53">
        <v>4.1666666666666699E-2</v>
      </c>
      <c r="AV1003" s="54" t="s">
        <v>37</v>
      </c>
      <c r="AW1003" s="57">
        <f t="shared" si="146"/>
        <v>4.1666666666666699E-2</v>
      </c>
      <c r="AX1003" s="58" t="s">
        <v>96</v>
      </c>
    </row>
    <row r="1004" spans="1:50" ht="21" customHeight="1">
      <c r="A1004" s="66" t="s">
        <v>894</v>
      </c>
      <c r="B1004" s="39">
        <f t="shared" si="145"/>
        <v>1000</v>
      </c>
      <c r="C1004" s="40">
        <f t="shared" si="147"/>
        <v>46044</v>
      </c>
      <c r="D1004" s="40" t="s">
        <v>80</v>
      </c>
      <c r="E1004" s="40" t="s">
        <v>81</v>
      </c>
      <c r="F1004" s="41">
        <v>698.5</v>
      </c>
      <c r="G1004" s="42" t="s">
        <v>66</v>
      </c>
      <c r="H1004" s="43" t="str">
        <f>IFERROR(VLOOKUP($J1004,'[9]FROM (3)'!$E$4:$F$230,2,FALSE),"")</f>
        <v>JCTTH</v>
      </c>
      <c r="I1004" s="44" t="str">
        <f t="shared" si="144"/>
        <v>RACK BAR</v>
      </c>
      <c r="J1004" s="44" t="str">
        <f t="shared" si="140"/>
        <v>JGD10-000751/000761-A</v>
      </c>
      <c r="K1004" s="59" t="str">
        <f t="shared" si="142"/>
        <v>PD26010573</v>
      </c>
      <c r="L1004" s="46" t="str" cm="1">
        <f t="array" ref="L1004">IFERROR(_xlfn.IFS(
    LEN($A1004)-LEN(SUBSTITUTE($A1004,"|",""))=12, RIGHT(A1004, LEN(A1004)-FIND("~", SUBSTITUTE(A1004,"|","~", LEN(A1004)-LEN(SUBSTITUTE(A1004,"|",""))))),
    LEN($A1004)-LEN(SUBSTITUTE($A1004,"|",""))=13, MID($A1004, FIND("~", SUBSTITUTE($A1004,"|","~", 11))+1, FIND("~", SUBSTITUTE($A1004,"|","~", 12))-FIND("~", SUBSTITUTE($A1004,"|","~", 11))-1),
    LEN($A1004)-LEN(SUBSTITUTE($A1004,"|",""))=14, MID($A1004, FIND("~", SUBSTITUTE($A1004,"|","~", 11))+1, FIND("~", SUBSTITUTE($A1004,"|","~", 12))-FIND("~", SUBSTITUTE($A1004,"|","~", 11))-1)
), "")</f>
        <v>665077</v>
      </c>
      <c r="M1004" s="72" t="str">
        <f t="shared" si="141"/>
        <v>SB010062/2/26</v>
      </c>
      <c r="N1004" s="46"/>
      <c r="O1004" s="60">
        <v>51</v>
      </c>
      <c r="P1004" s="60">
        <v>988</v>
      </c>
      <c r="Q1004" s="48">
        <v>204</v>
      </c>
      <c r="R1004" s="73">
        <v>913</v>
      </c>
      <c r="S1004" s="48"/>
      <c r="T1004" s="48"/>
      <c r="U1004" s="49">
        <v>130</v>
      </c>
      <c r="V1004" s="49">
        <v>7</v>
      </c>
      <c r="W1004" s="50"/>
      <c r="X1004" s="51" t="str">
        <f>IF(A1004="", "", IF(COUNTIFS(C$3:C1003, C1004, D$3:D1003, D1004, G$3:G1003, G1004) &gt; 0, "", "11:00"-AW1004))</f>
        <v/>
      </c>
      <c r="Y1004" s="52" t="str">
        <f t="shared" si="148"/>
        <v/>
      </c>
      <c r="Z1004" s="53"/>
      <c r="AA1004" s="54"/>
      <c r="AB1004" s="53"/>
      <c r="AC1004" s="54"/>
      <c r="AD1004" s="53"/>
      <c r="AE1004" s="54"/>
      <c r="AF1004" s="53"/>
      <c r="AG1004" s="54"/>
      <c r="AH1004" s="55">
        <v>4.1666666666666699E-2</v>
      </c>
      <c r="AI1004" s="53"/>
      <c r="AJ1004" s="54"/>
      <c r="AK1004" s="53"/>
      <c r="AL1004" s="54"/>
      <c r="AM1004" s="53"/>
      <c r="AN1004" s="54"/>
      <c r="AO1004" s="53"/>
      <c r="AP1004" s="54"/>
      <c r="AQ1004" s="53"/>
      <c r="AR1004" s="54"/>
      <c r="AS1004" s="53"/>
      <c r="AT1004" s="54"/>
      <c r="AU1004" s="53">
        <v>4.1666666666666699E-2</v>
      </c>
      <c r="AV1004" s="54" t="s">
        <v>37</v>
      </c>
      <c r="AW1004" s="57">
        <f t="shared" si="146"/>
        <v>4.1666666666666699E-2</v>
      </c>
      <c r="AX1004" s="58" t="s">
        <v>96</v>
      </c>
    </row>
    <row r="1005" spans="1:50" ht="21" customHeight="1">
      <c r="A1005" s="66" t="s">
        <v>895</v>
      </c>
      <c r="B1005" s="39">
        <f t="shared" si="145"/>
        <v>1001</v>
      </c>
      <c r="C1005" s="40">
        <f t="shared" si="147"/>
        <v>46044</v>
      </c>
      <c r="D1005" s="40" t="s">
        <v>80</v>
      </c>
      <c r="E1005" s="40" t="s">
        <v>81</v>
      </c>
      <c r="F1005" s="41">
        <v>698.5</v>
      </c>
      <c r="G1005" s="42" t="s">
        <v>66</v>
      </c>
      <c r="H1005" s="43" t="str">
        <f>IFERROR(VLOOKUP($J1005,'[9]FROM (3)'!$E$4:$F$230,2,FALSE),"")</f>
        <v>JCTTH</v>
      </c>
      <c r="I1005" s="44" t="str">
        <f t="shared" si="144"/>
        <v>RACK BAR</v>
      </c>
      <c r="J1005" s="44" t="str">
        <f t="shared" si="140"/>
        <v>JGD10-000751/000761-A</v>
      </c>
      <c r="K1005" s="59" t="str">
        <f t="shared" si="142"/>
        <v>PD26010573</v>
      </c>
      <c r="L1005" s="46" t="str" cm="1">
        <f t="array" ref="L1005">IFERROR(_xlfn.IFS(
    LEN($A1005)-LEN(SUBSTITUTE($A1005,"|",""))=12, RIGHT(A1005, LEN(A1005)-FIND("~", SUBSTITUTE(A1005,"|","~", LEN(A1005)-LEN(SUBSTITUTE(A1005,"|",""))))),
    LEN($A1005)-LEN(SUBSTITUTE($A1005,"|",""))=13, MID($A1005, FIND("~", SUBSTITUTE($A1005,"|","~", 11))+1, FIND("~", SUBSTITUTE($A1005,"|","~", 12))-FIND("~", SUBSTITUTE($A1005,"|","~", 11))-1),
    LEN($A1005)-LEN(SUBSTITUTE($A1005,"|",""))=14, MID($A1005, FIND("~", SUBSTITUTE($A1005,"|","~", 11))+1, FIND("~", SUBSTITUTE($A1005,"|","~", 12))-FIND("~", SUBSTITUTE($A1005,"|","~", 11))-1)
), "")</f>
        <v>665077</v>
      </c>
      <c r="M1005" s="72" t="str">
        <f t="shared" si="141"/>
        <v>SB010062/1/26</v>
      </c>
      <c r="N1005" s="46" t="str">
        <f t="shared" ref="N1005:N1259" si="149">IFERROR(IF(LEN($A1005)-LEN(SUBSTITUTE($A1005,"|",""))=12,MID($A1005,FIND("~",SUBSTITUTE($A1005,"|","~",11))+1,FIND("~",SUBSTITUTE($A1005,"|","~",12))-FIND("~",SUBSTITUTE($A1005,"|","~",11))-1),IF(LEN($A1005)-LEN(SUBSTITUTE($A1005,"|",""))=13,MID($A1005,FIND("~",SUBSTITUTE($A1005,"|","~",10))+1,FIND("~",SUBSTITUTE($A1005,"|","~",11))-FIND("~",SUBSTITUTE($A1005,"|","~",10))-1), "")),"")</f>
        <v/>
      </c>
      <c r="O1005" s="60">
        <v>51</v>
      </c>
      <c r="P1005" s="60">
        <v>988</v>
      </c>
      <c r="Q1005" s="48">
        <v>204</v>
      </c>
      <c r="R1005" s="48">
        <v>913</v>
      </c>
      <c r="S1005" s="48"/>
      <c r="T1005" s="48"/>
      <c r="U1005" s="49"/>
      <c r="V1005" s="49"/>
      <c r="W1005" s="50"/>
      <c r="X1005" s="51" t="str">
        <f>IF(A1005="", "", IF(COUNTIFS(C$3:C1004, C1005, D$3:D1004, D1005, G$3:G1004, G1005) &gt; 0, "", "11:00"-AW1005))</f>
        <v/>
      </c>
      <c r="Y1005" s="52" t="str">
        <f t="shared" si="148"/>
        <v/>
      </c>
      <c r="Z1005" s="53"/>
      <c r="AA1005" s="54"/>
      <c r="AB1005" s="53"/>
      <c r="AC1005" s="54"/>
      <c r="AD1005" s="53"/>
      <c r="AE1005" s="54"/>
      <c r="AF1005" s="53"/>
      <c r="AG1005" s="54"/>
      <c r="AH1005" s="55">
        <v>4.1666666666666699E-2</v>
      </c>
      <c r="AI1005" s="53"/>
      <c r="AJ1005" s="54"/>
      <c r="AK1005" s="53"/>
      <c r="AL1005" s="54"/>
      <c r="AM1005" s="53"/>
      <c r="AN1005" s="54"/>
      <c r="AO1005" s="53"/>
      <c r="AP1005" s="54"/>
      <c r="AQ1005" s="53"/>
      <c r="AR1005" s="54"/>
      <c r="AS1005" s="53"/>
      <c r="AT1005" s="54"/>
      <c r="AU1005" s="53">
        <v>4.1666666666666699E-2</v>
      </c>
      <c r="AV1005" s="54" t="s">
        <v>37</v>
      </c>
      <c r="AW1005" s="57">
        <f t="shared" si="146"/>
        <v>4.1666666666666699E-2</v>
      </c>
      <c r="AX1005" s="58" t="s">
        <v>96</v>
      </c>
    </row>
    <row r="1006" spans="1:50" ht="21" customHeight="1">
      <c r="A1006" s="66" t="s">
        <v>896</v>
      </c>
      <c r="B1006" s="39">
        <f t="shared" si="145"/>
        <v>1002</v>
      </c>
      <c r="C1006" s="40">
        <f t="shared" si="147"/>
        <v>46044</v>
      </c>
      <c r="D1006" s="40" t="s">
        <v>80</v>
      </c>
      <c r="E1006" s="40" t="s">
        <v>81</v>
      </c>
      <c r="F1006" s="41">
        <v>698.5</v>
      </c>
      <c r="G1006" s="42" t="s">
        <v>66</v>
      </c>
      <c r="H1006" s="43" t="str">
        <f>IFERROR(VLOOKUP($J1006,'[9]FROM (3)'!$E$4:$F$230,2,FALSE),"")</f>
        <v>JCTTH</v>
      </c>
      <c r="I1006" s="44" t="str">
        <f t="shared" si="144"/>
        <v>RACK BAR</v>
      </c>
      <c r="J1006" s="44" t="str">
        <f t="shared" si="140"/>
        <v>JGD10-000751/000761-A</v>
      </c>
      <c r="K1006" s="59" t="str">
        <f t="shared" si="142"/>
        <v>PD26010571</v>
      </c>
      <c r="L1006" s="46" t="str" cm="1">
        <f t="array" ref="L1006">IFERROR(_xlfn.IFS(
    LEN($A1006)-LEN(SUBSTITUTE($A1006,"|",""))=12, RIGHT(A1006, LEN(A1006)-FIND("~", SUBSTITUTE(A1006,"|","~", LEN(A1006)-LEN(SUBSTITUTE(A1006,"|",""))))),
    LEN($A1006)-LEN(SUBSTITUTE($A1006,"|",""))=13, MID($A1006, FIND("~", SUBSTITUTE($A1006,"|","~", 11))+1, FIND("~", SUBSTITUTE($A1006,"|","~", 12))-FIND("~", SUBSTITUTE($A1006,"|","~", 11))-1),
    LEN($A1006)-LEN(SUBSTITUTE($A1006,"|",""))=14, MID($A1006, FIND("~", SUBSTITUTE($A1006,"|","~", 11))+1, FIND("~", SUBSTITUTE($A1006,"|","~", 12))-FIND("~", SUBSTITUTE($A1006,"|","~", 11))-1)
), "")</f>
        <v>665077</v>
      </c>
      <c r="M1006" s="72" t="str">
        <f t="shared" si="141"/>
        <v>SB010059/3/26</v>
      </c>
      <c r="N1006" s="46" t="str">
        <f t="shared" si="149"/>
        <v/>
      </c>
      <c r="O1006" s="60">
        <v>51</v>
      </c>
      <c r="P1006" s="60">
        <v>988</v>
      </c>
      <c r="Q1006" s="48">
        <v>204</v>
      </c>
      <c r="R1006" s="48">
        <v>913</v>
      </c>
      <c r="S1006" s="48"/>
      <c r="T1006" s="48"/>
      <c r="U1006" s="49"/>
      <c r="V1006" s="49"/>
      <c r="W1006" s="50"/>
      <c r="X1006" s="51" t="str">
        <f>IF(A1006="", "", IF(COUNTIFS(C$3:C1005, C1006, D$3:D1005, D1006, G$3:G1005, G1006) &gt; 0, "", "11:00"-AW1006))</f>
        <v/>
      </c>
      <c r="Y1006" s="52" t="str">
        <f t="shared" si="148"/>
        <v/>
      </c>
      <c r="Z1006" s="53"/>
      <c r="AA1006" s="54"/>
      <c r="AB1006" s="53"/>
      <c r="AC1006" s="54"/>
      <c r="AD1006" s="53"/>
      <c r="AE1006" s="54"/>
      <c r="AF1006" s="53"/>
      <c r="AG1006" s="54"/>
      <c r="AH1006" s="55">
        <v>4.1666666666666699E-2</v>
      </c>
      <c r="AI1006" s="53"/>
      <c r="AJ1006" s="54"/>
      <c r="AK1006" s="53"/>
      <c r="AL1006" s="54"/>
      <c r="AM1006" s="53"/>
      <c r="AN1006" s="54"/>
      <c r="AO1006" s="53"/>
      <c r="AP1006" s="54"/>
      <c r="AQ1006" s="53"/>
      <c r="AR1006" s="54"/>
      <c r="AS1006" s="53"/>
      <c r="AT1006" s="54"/>
      <c r="AU1006" s="53">
        <v>4.1666666666666699E-2</v>
      </c>
      <c r="AV1006" s="54" t="s">
        <v>37</v>
      </c>
      <c r="AW1006" s="57">
        <f t="shared" si="146"/>
        <v>4.1666666666666699E-2</v>
      </c>
      <c r="AX1006" s="58" t="s">
        <v>96</v>
      </c>
    </row>
    <row r="1007" spans="1:50" ht="21" customHeight="1">
      <c r="A1007" s="66" t="s">
        <v>897</v>
      </c>
      <c r="B1007" s="39">
        <f t="shared" si="145"/>
        <v>1003</v>
      </c>
      <c r="C1007" s="40">
        <f t="shared" si="147"/>
        <v>46044</v>
      </c>
      <c r="D1007" s="40" t="s">
        <v>80</v>
      </c>
      <c r="E1007" s="40" t="s">
        <v>81</v>
      </c>
      <c r="F1007" s="41">
        <v>698.5</v>
      </c>
      <c r="G1007" s="42" t="s">
        <v>66</v>
      </c>
      <c r="H1007" s="43" t="str">
        <f>IFERROR(VLOOKUP($J1007,'[9]FROM (3)'!$E$4:$F$230,2,FALSE),"")</f>
        <v>JCTTH</v>
      </c>
      <c r="I1007" s="44" t="str">
        <f t="shared" si="144"/>
        <v>RACK BAR</v>
      </c>
      <c r="J1007" s="44" t="str">
        <f t="shared" si="140"/>
        <v>JGD10-000751/000761-A</v>
      </c>
      <c r="K1007" s="59" t="str">
        <f t="shared" si="142"/>
        <v>PD26010571</v>
      </c>
      <c r="L1007" s="46" t="str" cm="1">
        <f t="array" ref="L1007">IFERROR(_xlfn.IFS(
    LEN($A1007)-LEN(SUBSTITUTE($A1007,"|",""))=12, RIGHT(A1007, LEN(A1007)-FIND("~", SUBSTITUTE(A1007,"|","~", LEN(A1007)-LEN(SUBSTITUTE(A1007,"|",""))))),
    LEN($A1007)-LEN(SUBSTITUTE($A1007,"|",""))=13, MID($A1007, FIND("~", SUBSTITUTE($A1007,"|","~", 11))+1, FIND("~", SUBSTITUTE($A1007,"|","~", 12))-FIND("~", SUBSTITUTE($A1007,"|","~", 11))-1),
    LEN($A1007)-LEN(SUBSTITUTE($A1007,"|",""))=14, MID($A1007, FIND("~", SUBSTITUTE($A1007,"|","~", 11))+1, FIND("~", SUBSTITUTE($A1007,"|","~", 12))-FIND("~", SUBSTITUTE($A1007,"|","~", 11))-1)
), "")</f>
        <v>665077</v>
      </c>
      <c r="M1007" s="72" t="str">
        <f t="shared" si="141"/>
        <v>SB010059/2/26</v>
      </c>
      <c r="N1007" s="46" t="str">
        <f t="shared" si="149"/>
        <v/>
      </c>
      <c r="O1007" s="60">
        <v>51</v>
      </c>
      <c r="P1007" s="60">
        <v>988</v>
      </c>
      <c r="Q1007" s="48">
        <v>204</v>
      </c>
      <c r="R1007" s="48">
        <v>913</v>
      </c>
      <c r="S1007" s="48"/>
      <c r="T1007" s="48"/>
      <c r="U1007" s="49"/>
      <c r="V1007" s="49"/>
      <c r="W1007" s="50"/>
      <c r="X1007" s="51" t="str">
        <f>IF(A1007="", "", IF(COUNTIFS(C$3:C1006, C1007, D$3:D1006, D1007, G$3:G1006, G1007) &gt; 0, "", "11:00"-AW1007))</f>
        <v/>
      </c>
      <c r="Y1007" s="52" t="str">
        <f t="shared" si="148"/>
        <v/>
      </c>
      <c r="Z1007" s="53"/>
      <c r="AA1007" s="54"/>
      <c r="AB1007" s="53"/>
      <c r="AC1007" s="54"/>
      <c r="AD1007" s="53"/>
      <c r="AE1007" s="54"/>
      <c r="AF1007" s="53"/>
      <c r="AG1007" s="54"/>
      <c r="AH1007" s="55">
        <v>4.1666666666666699E-2</v>
      </c>
      <c r="AI1007" s="53"/>
      <c r="AJ1007" s="54"/>
      <c r="AK1007" s="53"/>
      <c r="AL1007" s="54"/>
      <c r="AM1007" s="53"/>
      <c r="AN1007" s="54"/>
      <c r="AO1007" s="53"/>
      <c r="AP1007" s="54"/>
      <c r="AQ1007" s="53"/>
      <c r="AR1007" s="54"/>
      <c r="AS1007" s="53"/>
      <c r="AT1007" s="54"/>
      <c r="AU1007" s="53">
        <v>4.1666666666666699E-2</v>
      </c>
      <c r="AV1007" s="54" t="s">
        <v>37</v>
      </c>
      <c r="AW1007" s="57">
        <f t="shared" si="146"/>
        <v>4.1666666666666699E-2</v>
      </c>
      <c r="AX1007" s="58" t="s">
        <v>96</v>
      </c>
    </row>
    <row r="1008" spans="1:50" ht="21" customHeight="1">
      <c r="A1008" s="66" t="s">
        <v>898</v>
      </c>
      <c r="B1008" s="39">
        <f t="shared" si="145"/>
        <v>1004</v>
      </c>
      <c r="C1008" s="40">
        <f t="shared" si="147"/>
        <v>46044</v>
      </c>
      <c r="D1008" s="40" t="s">
        <v>80</v>
      </c>
      <c r="E1008" s="40" t="s">
        <v>81</v>
      </c>
      <c r="F1008" s="41">
        <v>698.5</v>
      </c>
      <c r="G1008" s="42" t="s">
        <v>66</v>
      </c>
      <c r="H1008" s="43" t="str">
        <f>IFERROR(VLOOKUP($J1008,'[9]FROM (3)'!$E$4:$F$230,2,FALSE),"")</f>
        <v>JCTTH</v>
      </c>
      <c r="I1008" s="44" t="str">
        <f t="shared" si="144"/>
        <v>RACK BAR</v>
      </c>
      <c r="J1008" s="44" t="str">
        <f t="shared" si="140"/>
        <v>JGD10-000751/000761-A</v>
      </c>
      <c r="K1008" s="59" t="str">
        <f t="shared" si="142"/>
        <v>PD26010571</v>
      </c>
      <c r="L1008" s="46" t="str" cm="1">
        <f t="array" ref="L1008">IFERROR(_xlfn.IFS(
    LEN($A1008)-LEN(SUBSTITUTE($A1008,"|",""))=12, RIGHT(A1008, LEN(A1008)-FIND("~", SUBSTITUTE(A1008,"|","~", LEN(A1008)-LEN(SUBSTITUTE(A1008,"|",""))))),
    LEN($A1008)-LEN(SUBSTITUTE($A1008,"|",""))=13, MID($A1008, FIND("~", SUBSTITUTE($A1008,"|","~", 11))+1, FIND("~", SUBSTITUTE($A1008,"|","~", 12))-FIND("~", SUBSTITUTE($A1008,"|","~", 11))-1),
    LEN($A1008)-LEN(SUBSTITUTE($A1008,"|",""))=14, MID($A1008, FIND("~", SUBSTITUTE($A1008,"|","~", 11))+1, FIND("~", SUBSTITUTE($A1008,"|","~", 12))-FIND("~", SUBSTITUTE($A1008,"|","~", 11))-1)
), "")</f>
        <v>665077</v>
      </c>
      <c r="M1008" s="72" t="str">
        <f t="shared" si="141"/>
        <v>SB010059/1/26</v>
      </c>
      <c r="N1008" s="46" t="str">
        <f t="shared" si="149"/>
        <v/>
      </c>
      <c r="O1008" s="60">
        <v>51</v>
      </c>
      <c r="P1008" s="60">
        <v>988</v>
      </c>
      <c r="Q1008" s="48">
        <v>22</v>
      </c>
      <c r="R1008" s="48">
        <v>98</v>
      </c>
      <c r="S1008" s="48"/>
      <c r="T1008" s="48"/>
      <c r="U1008" s="49"/>
      <c r="V1008" s="49"/>
      <c r="W1008" s="50"/>
      <c r="X1008" s="51" t="str">
        <f>IF(A1008="", "", IF(COUNTIFS(C$3:C1007, C1008, D$3:D1007, D1008, G$3:G1007, G1008) &gt; 0, "", "11:00"-AW1008))</f>
        <v/>
      </c>
      <c r="Y1008" s="52" t="str">
        <f t="shared" si="148"/>
        <v/>
      </c>
      <c r="Z1008" s="53"/>
      <c r="AA1008" s="54"/>
      <c r="AB1008" s="53"/>
      <c r="AC1008" s="54"/>
      <c r="AD1008" s="53"/>
      <c r="AE1008" s="54"/>
      <c r="AF1008" s="53"/>
      <c r="AG1008" s="54"/>
      <c r="AH1008" s="55">
        <v>4.1666666666666699E-2</v>
      </c>
      <c r="AI1008" s="53"/>
      <c r="AJ1008" s="54"/>
      <c r="AK1008" s="53"/>
      <c r="AL1008" s="54"/>
      <c r="AM1008" s="53"/>
      <c r="AN1008" s="54"/>
      <c r="AO1008" s="53"/>
      <c r="AP1008" s="54"/>
      <c r="AQ1008" s="53"/>
      <c r="AR1008" s="54"/>
      <c r="AS1008" s="53"/>
      <c r="AT1008" s="54"/>
      <c r="AU1008" s="53">
        <v>4.1666666666666699E-2</v>
      </c>
      <c r="AV1008" s="54" t="s">
        <v>37</v>
      </c>
      <c r="AW1008" s="57">
        <f t="shared" si="146"/>
        <v>4.1666666666666699E-2</v>
      </c>
      <c r="AX1008" s="58" t="s">
        <v>770</v>
      </c>
    </row>
    <row r="1009" spans="1:50" ht="21" customHeight="1">
      <c r="A1009" s="66" t="s">
        <v>850</v>
      </c>
      <c r="B1009" s="39">
        <f t="shared" si="145"/>
        <v>1005</v>
      </c>
      <c r="C1009" s="40">
        <v>46044</v>
      </c>
      <c r="D1009" s="40" t="s">
        <v>80</v>
      </c>
      <c r="E1009" s="40" t="s">
        <v>81</v>
      </c>
      <c r="F1009" s="41">
        <v>101.9</v>
      </c>
      <c r="G1009" s="42" t="s">
        <v>108</v>
      </c>
      <c r="H1009" s="43" t="str">
        <f>IFERROR(VLOOKUP($J1009,'[9]FROM (3)'!$E$4:$F$230,2,FALSE),"")</f>
        <v>ATSUMITEC</v>
      </c>
      <c r="I1009" s="44" t="str">
        <f t="shared" si="144"/>
        <v>SPINDLE KICK STARTER</v>
      </c>
      <c r="J1009" s="44" t="str">
        <f t="shared" si="140"/>
        <v>28251-K1M-T000</v>
      </c>
      <c r="K1009" s="59" t="str">
        <f t="shared" si="142"/>
        <v>PD26010765</v>
      </c>
      <c r="L1009" s="46" t="str" cm="1">
        <f t="array" ref="L1009">IFERROR(_xlfn.IFS(
    LEN($A1009)-LEN(SUBSTITUTE($A1009,"|",""))=12, RIGHT(A1009, LEN(A1009)-FIND("~", SUBSTITUTE(A1009,"|","~", LEN(A1009)-LEN(SUBSTITUTE(A1009,"|",""))))),
    LEN($A1009)-LEN(SUBSTITUTE($A1009,"|",""))=13, MID($A1009, FIND("~", SUBSTITUTE($A1009,"|","~", 11))+1, FIND("~", SUBSTITUTE($A1009,"|","~", 12))-FIND("~", SUBSTITUTE($A1009,"|","~", 11))-1),
    LEN($A1009)-LEN(SUBSTITUTE($A1009,"|",""))=14, MID($A1009, FIND("~", SUBSTITUTE($A1009,"|","~", 11))+1, FIND("~", SUBSTITUTE($A1009,"|","~", 12))-FIND("~", SUBSTITUTE($A1009,"|","~", 11))-1)
), "")</f>
        <v>E586160</v>
      </c>
      <c r="M1009" s="72" t="str">
        <f t="shared" si="141"/>
        <v>SB010012/1/26</v>
      </c>
      <c r="N1009" s="46" t="str">
        <f t="shared" si="149"/>
        <v/>
      </c>
      <c r="O1009" s="60"/>
      <c r="P1009" s="60"/>
      <c r="Q1009" s="48">
        <v>2506</v>
      </c>
      <c r="R1009" s="48">
        <v>504</v>
      </c>
      <c r="S1009" s="48"/>
      <c r="T1009" s="48"/>
      <c r="U1009" s="49"/>
      <c r="V1009" s="49"/>
      <c r="W1009" s="50"/>
      <c r="X1009" s="51">
        <f>IF(A1009="", "", IF(COUNTIFS(C$3:C1008, C1009, D$3:D1008, D1009, G$3:G1008, G1009) &gt; 0, "", "11:00"-AW1009))</f>
        <v>0.41666666666666663</v>
      </c>
      <c r="Y1009" s="52" t="str">
        <f t="shared" si="148"/>
        <v>1:40</v>
      </c>
      <c r="Z1009" s="53"/>
      <c r="AA1009" s="54"/>
      <c r="AB1009" s="53"/>
      <c r="AC1009" s="54"/>
      <c r="AD1009" s="53"/>
      <c r="AE1009" s="54"/>
      <c r="AF1009" s="53"/>
      <c r="AG1009" s="54"/>
      <c r="AH1009" s="55">
        <v>4.1666666666666699E-2</v>
      </c>
      <c r="AI1009" s="53"/>
      <c r="AJ1009" s="54"/>
      <c r="AK1009" s="53"/>
      <c r="AL1009" s="54"/>
      <c r="AM1009" s="53"/>
      <c r="AN1009" s="54"/>
      <c r="AO1009" s="53"/>
      <c r="AP1009" s="54"/>
      <c r="AQ1009" s="53"/>
      <c r="AR1009" s="54"/>
      <c r="AS1009" s="53"/>
      <c r="AT1009" s="54"/>
      <c r="AU1009" s="53">
        <v>4.1666666666666699E-2</v>
      </c>
      <c r="AV1009" s="54" t="s">
        <v>37</v>
      </c>
      <c r="AW1009" s="57">
        <f t="shared" si="146"/>
        <v>4.1666666666666699E-2</v>
      </c>
      <c r="AX1009" s="58" t="s">
        <v>770</v>
      </c>
    </row>
    <row r="1010" spans="1:50" ht="21" customHeight="1">
      <c r="A1010" s="66" t="s">
        <v>899</v>
      </c>
      <c r="B1010" s="39">
        <f t="shared" si="145"/>
        <v>1006</v>
      </c>
      <c r="C1010" s="40">
        <v>46044</v>
      </c>
      <c r="D1010" s="40" t="s">
        <v>80</v>
      </c>
      <c r="E1010" s="40" t="s">
        <v>81</v>
      </c>
      <c r="F1010" s="41">
        <v>101.9</v>
      </c>
      <c r="G1010" s="42" t="s">
        <v>108</v>
      </c>
      <c r="H1010" s="43" t="str">
        <f>IFERROR(VLOOKUP($J1010,'[9]FROM (3)'!$E$4:$F$230,2,FALSE),"")</f>
        <v>ATSUMITEC</v>
      </c>
      <c r="I1010" s="44" t="str">
        <f t="shared" si="144"/>
        <v>SPINDLE KICK STARTER</v>
      </c>
      <c r="J1010" s="44" t="str">
        <f t="shared" si="140"/>
        <v>28251-K1M-T000</v>
      </c>
      <c r="K1010" s="59" t="str">
        <f t="shared" si="142"/>
        <v>PD26010765</v>
      </c>
      <c r="L1010" s="46" t="str" cm="1">
        <f t="array" ref="L1010">IFERROR(_xlfn.IFS(
    LEN($A1010)-LEN(SUBSTITUTE($A1010,"|",""))=12, RIGHT(A1010, LEN(A1010)-FIND("~", SUBSTITUTE(A1010,"|","~", LEN(A1010)-LEN(SUBSTITUTE(A1010,"|",""))))),
    LEN($A1010)-LEN(SUBSTITUTE($A1010,"|",""))=13, MID($A1010, FIND("~", SUBSTITUTE($A1010,"|","~", 11))+1, FIND("~", SUBSTITUTE($A1010,"|","~", 12))-FIND("~", SUBSTITUTE($A1010,"|","~", 11))-1),
    LEN($A1010)-LEN(SUBSTITUTE($A1010,"|",""))=14, MID($A1010, FIND("~", SUBSTITUTE($A1010,"|","~", 11))+1, FIND("~", SUBSTITUTE($A1010,"|","~", 12))-FIND("~", SUBSTITUTE($A1010,"|","~", 11))-1)
), "")</f>
        <v>E586160</v>
      </c>
      <c r="M1010" s="72" t="str">
        <f t="shared" si="141"/>
        <v>SB010012/2/26</v>
      </c>
      <c r="N1010" s="46" t="str">
        <f t="shared" si="149"/>
        <v/>
      </c>
      <c r="O1010" s="60">
        <v>97</v>
      </c>
      <c r="P1010" s="60">
        <v>1008</v>
      </c>
      <c r="Q1010" s="48">
        <v>1564</v>
      </c>
      <c r="R1010" s="48">
        <v>314</v>
      </c>
      <c r="S1010" s="48"/>
      <c r="T1010" s="48"/>
      <c r="U1010" s="49"/>
      <c r="V1010" s="49"/>
      <c r="W1010" s="50"/>
      <c r="X1010" s="51" t="str">
        <f>IF(A1010="", "", IF(COUNTIFS(C$3:C1009, C1010, D$3:D1009, D1010, G$3:G1009, G1010) &gt; 0, "", "11:00"-AW1010))</f>
        <v/>
      </c>
      <c r="Y1010" s="52" t="str">
        <f t="shared" si="148"/>
        <v/>
      </c>
      <c r="Z1010" s="53"/>
      <c r="AA1010" s="54"/>
      <c r="AB1010" s="53"/>
      <c r="AC1010" s="54"/>
      <c r="AD1010" s="53"/>
      <c r="AE1010" s="54"/>
      <c r="AF1010" s="53"/>
      <c r="AG1010" s="54"/>
      <c r="AH1010" s="55">
        <v>4.1666666666666699E-2</v>
      </c>
      <c r="AI1010" s="53"/>
      <c r="AJ1010" s="54"/>
      <c r="AK1010" s="53"/>
      <c r="AL1010" s="54"/>
      <c r="AM1010" s="53"/>
      <c r="AN1010" s="54"/>
      <c r="AO1010" s="53"/>
      <c r="AP1010" s="54"/>
      <c r="AQ1010" s="53"/>
      <c r="AR1010" s="54"/>
      <c r="AS1010" s="53"/>
      <c r="AT1010" s="54"/>
      <c r="AU1010" s="53">
        <v>4.1666666666666699E-2</v>
      </c>
      <c r="AV1010" s="54" t="s">
        <v>37</v>
      </c>
      <c r="AW1010" s="57">
        <f t="shared" si="146"/>
        <v>4.1666666666666699E-2</v>
      </c>
      <c r="AX1010" s="58" t="s">
        <v>770</v>
      </c>
    </row>
    <row r="1011" spans="1:50" ht="21" customHeight="1">
      <c r="A1011" s="66" t="s">
        <v>873</v>
      </c>
      <c r="B1011" s="39">
        <f t="shared" si="145"/>
        <v>1007</v>
      </c>
      <c r="C1011" s="40">
        <v>46044</v>
      </c>
      <c r="D1011" s="40" t="s">
        <v>80</v>
      </c>
      <c r="E1011" s="40" t="s">
        <v>81</v>
      </c>
      <c r="F1011" s="41">
        <v>375</v>
      </c>
      <c r="G1011" s="42" t="s">
        <v>172</v>
      </c>
      <c r="H1011" s="43" t="str">
        <f>IFERROR(VLOOKUP($J1011,'[9]FROM (3)'!$E$4:$F$230,2,FALSE),"")</f>
        <v>ATAC</v>
      </c>
      <c r="I1011" s="44" t="str">
        <f t="shared" si="144"/>
        <v>SEAT,WATER PUMP PULLEY</v>
      </c>
      <c r="J1011" s="44" t="str">
        <f t="shared" si="140"/>
        <v>16171-05030</v>
      </c>
      <c r="K1011" s="59" t="str">
        <f t="shared" si="142"/>
        <v>PD26010856</v>
      </c>
      <c r="L1011" s="46" t="str" cm="1">
        <f t="array" ref="L1011">IFERROR(_xlfn.IFS(
    LEN($A1011)-LEN(SUBSTITUTE($A1011,"|",""))=12, RIGHT(A1011, LEN(A1011)-FIND("~", SUBSTITUTE(A1011,"|","~", LEN(A1011)-LEN(SUBSTITUTE(A1011,"|",""))))),
    LEN($A1011)-LEN(SUBSTITUTE($A1011,"|",""))=13, MID($A1011, FIND("~", SUBSTITUTE($A1011,"|","~", 11))+1, FIND("~", SUBSTITUTE($A1011,"|","~", 12))-FIND("~", SUBSTITUTE($A1011,"|","~", 11))-1),
    LEN($A1011)-LEN(SUBSTITUTE($A1011,"|",""))=14, MID($A1011, FIND("~", SUBSTITUTE($A1011,"|","~", 11))+1, FIND("~", SUBSTITUTE($A1011,"|","~", 12))-FIND("~", SUBSTITUTE($A1011,"|","~", 11))-1)
), "")</f>
        <v>665898</v>
      </c>
      <c r="M1011" s="72" t="str">
        <f t="shared" si="141"/>
        <v>SB010102/2/26</v>
      </c>
      <c r="N1011" s="46" t="str">
        <f t="shared" si="149"/>
        <v/>
      </c>
      <c r="O1011" s="60"/>
      <c r="P1011" s="60"/>
      <c r="Q1011" s="48">
        <v>2112</v>
      </c>
      <c r="R1011" s="48">
        <v>792</v>
      </c>
      <c r="S1011" s="48"/>
      <c r="T1011" s="48"/>
      <c r="U1011" s="49">
        <v>136</v>
      </c>
      <c r="V1011" s="49">
        <v>10</v>
      </c>
      <c r="W1011" s="50"/>
      <c r="X1011" s="51">
        <f>IF(A1011="", "", IF(COUNTIFS(C$3:C1010, C1011, D$3:D1010, D1011, G$3:G1010, G1011) &gt; 0, "", "11:00"-AW1011))</f>
        <v>0.41666666666666663</v>
      </c>
      <c r="Y1011" s="52" t="str">
        <f t="shared" si="148"/>
        <v>1:40</v>
      </c>
      <c r="Z1011" s="53"/>
      <c r="AA1011" s="54"/>
      <c r="AB1011" s="53"/>
      <c r="AC1011" s="54"/>
      <c r="AD1011" s="53"/>
      <c r="AE1011" s="54"/>
      <c r="AF1011" s="53"/>
      <c r="AG1011" s="54"/>
      <c r="AH1011" s="55">
        <v>4.1666666666666699E-2</v>
      </c>
      <c r="AI1011" s="53"/>
      <c r="AJ1011" s="54"/>
      <c r="AK1011" s="53"/>
      <c r="AL1011" s="54"/>
      <c r="AM1011" s="53"/>
      <c r="AN1011" s="54"/>
      <c r="AO1011" s="53"/>
      <c r="AP1011" s="54"/>
      <c r="AQ1011" s="53"/>
      <c r="AR1011" s="54"/>
      <c r="AS1011" s="53"/>
      <c r="AT1011" s="54"/>
      <c r="AU1011" s="53">
        <v>4.1666666666666699E-2</v>
      </c>
      <c r="AV1011" s="54" t="s">
        <v>37</v>
      </c>
      <c r="AW1011" s="57">
        <f t="shared" si="146"/>
        <v>4.1666666666666699E-2</v>
      </c>
      <c r="AX1011" s="58" t="s">
        <v>770</v>
      </c>
    </row>
    <row r="1012" spans="1:50" ht="21" customHeight="1">
      <c r="A1012" s="66" t="s">
        <v>900</v>
      </c>
      <c r="B1012" s="39">
        <f t="shared" si="145"/>
        <v>1008</v>
      </c>
      <c r="C1012" s="40">
        <v>46044</v>
      </c>
      <c r="D1012" s="40" t="s">
        <v>80</v>
      </c>
      <c r="E1012" s="40" t="s">
        <v>81</v>
      </c>
      <c r="F1012" s="41">
        <v>375</v>
      </c>
      <c r="G1012" s="42" t="s">
        <v>172</v>
      </c>
      <c r="H1012" s="43" t="str">
        <f>IFERROR(VLOOKUP($J1012,'[9]FROM (3)'!$E$4:$F$230,2,FALSE),"")</f>
        <v>ATAC</v>
      </c>
      <c r="I1012" s="44" t="str">
        <f t="shared" si="144"/>
        <v>SEAT,WATER PUMP PULLEY</v>
      </c>
      <c r="J1012" s="44" t="str">
        <f t="shared" si="140"/>
        <v>16171-05030</v>
      </c>
      <c r="K1012" s="59" t="str">
        <f t="shared" si="142"/>
        <v>PD26010858</v>
      </c>
      <c r="L1012" s="46" t="str" cm="1">
        <f t="array" ref="L1012">IFERROR(_xlfn.IFS(
    LEN($A1012)-LEN(SUBSTITUTE($A1012,"|",""))=12, RIGHT(A1012, LEN(A1012)-FIND("~", SUBSTITUTE(A1012,"|","~", LEN(A1012)-LEN(SUBSTITUTE(A1012,"|",""))))),
    LEN($A1012)-LEN(SUBSTITUTE($A1012,"|",""))=13, MID($A1012, FIND("~", SUBSTITUTE($A1012,"|","~", 11))+1, FIND("~", SUBSTITUTE($A1012,"|","~", 12))-FIND("~", SUBSTITUTE($A1012,"|","~", 11))-1),
    LEN($A1012)-LEN(SUBSTITUTE($A1012,"|",""))=14, MID($A1012, FIND("~", SUBSTITUTE($A1012,"|","~", 11))+1, FIND("~", SUBSTITUTE($A1012,"|","~", 12))-FIND("~", SUBSTITUTE($A1012,"|","~", 11))-1)
), "")</f>
        <v>665898</v>
      </c>
      <c r="M1012" s="72" t="str">
        <f t="shared" si="141"/>
        <v>SB010104/3/26</v>
      </c>
      <c r="N1012" s="46" t="str">
        <f t="shared" si="149"/>
        <v/>
      </c>
      <c r="O1012" s="60">
        <v>7</v>
      </c>
      <c r="P1012" s="60">
        <v>498</v>
      </c>
      <c r="Q1012" s="48">
        <v>706</v>
      </c>
      <c r="R1012" s="48">
        <v>265</v>
      </c>
      <c r="S1012" s="48"/>
      <c r="T1012" s="48"/>
      <c r="U1012" s="49"/>
      <c r="V1012" s="49"/>
      <c r="W1012" s="50"/>
      <c r="X1012" s="51" t="str">
        <f>IF(A1012="", "", IF(COUNTIFS(C$3:C1011, C1012, D$3:D1011, D1012, G$3:G1011, G1012) &gt; 0, "", "11:00"-AW1012))</f>
        <v/>
      </c>
      <c r="Y1012" s="52" t="str">
        <f t="shared" si="148"/>
        <v/>
      </c>
      <c r="Z1012" s="53"/>
      <c r="AA1012" s="54"/>
      <c r="AB1012" s="53"/>
      <c r="AC1012" s="54"/>
      <c r="AD1012" s="53"/>
      <c r="AE1012" s="54"/>
      <c r="AF1012" s="53"/>
      <c r="AG1012" s="54"/>
      <c r="AH1012" s="55">
        <v>4.1666666666666699E-2</v>
      </c>
      <c r="AI1012" s="53"/>
      <c r="AJ1012" s="54"/>
      <c r="AK1012" s="53"/>
      <c r="AL1012" s="54"/>
      <c r="AM1012" s="53"/>
      <c r="AN1012" s="54"/>
      <c r="AO1012" s="53"/>
      <c r="AP1012" s="54"/>
      <c r="AQ1012" s="53"/>
      <c r="AR1012" s="54"/>
      <c r="AS1012" s="53"/>
      <c r="AT1012" s="54"/>
      <c r="AU1012" s="53">
        <v>4.1666666666666699E-2</v>
      </c>
      <c r="AV1012" s="54" t="s">
        <v>37</v>
      </c>
      <c r="AW1012" s="57">
        <f t="shared" si="146"/>
        <v>4.1666666666666699E-2</v>
      </c>
      <c r="AX1012" s="58" t="s">
        <v>770</v>
      </c>
    </row>
    <row r="1013" spans="1:50" ht="21" customHeight="1">
      <c r="A1013" s="66" t="s">
        <v>851</v>
      </c>
      <c r="B1013" s="39">
        <f t="shared" si="145"/>
        <v>1009</v>
      </c>
      <c r="C1013" s="40">
        <v>46044</v>
      </c>
      <c r="D1013" s="40" t="s">
        <v>80</v>
      </c>
      <c r="E1013" s="40" t="s">
        <v>81</v>
      </c>
      <c r="F1013" s="41">
        <v>148.5</v>
      </c>
      <c r="G1013" s="42" t="s">
        <v>46</v>
      </c>
      <c r="H1013" s="43" t="str">
        <f>IFERROR(VLOOKUP($J1013,'[9]FROM (3)'!$E$4:$F$230,2,FALSE),"")</f>
        <v>SIAM NSK</v>
      </c>
      <c r="I1013" s="44" t="str">
        <f t="shared" si="144"/>
        <v>SHAFT SPLINE</v>
      </c>
      <c r="J1013" s="44" t="str">
        <f t="shared" si="140"/>
        <v>2530S0610P</v>
      </c>
      <c r="K1013" s="59" t="str">
        <f t="shared" si="142"/>
        <v>PD26010866</v>
      </c>
      <c r="L1013" s="46" t="str" cm="1">
        <f t="array" ref="L1013">IFERROR(_xlfn.IFS(
    LEN($A1013)-LEN(SUBSTITUTE($A1013,"|",""))=12, RIGHT(A1013, LEN(A1013)-FIND("~", SUBSTITUTE(A1013,"|","~", LEN(A1013)-LEN(SUBSTITUTE(A1013,"|",""))))),
    LEN($A1013)-LEN(SUBSTITUTE($A1013,"|",""))=13, MID($A1013, FIND("~", SUBSTITUTE($A1013,"|","~", 11))+1, FIND("~", SUBSTITUTE($A1013,"|","~", 12))-FIND("~", SUBSTITUTE($A1013,"|","~", 11))-1),
    LEN($A1013)-LEN(SUBSTITUTE($A1013,"|",""))=14, MID($A1013, FIND("~", SUBSTITUTE($A1013,"|","~", 11))+1, FIND("~", SUBSTITUTE($A1013,"|","~", 12))-FIND("~", SUBSTITUTE($A1013,"|","~", 11))-1)
), "")</f>
        <v>E484056</v>
      </c>
      <c r="M1013" s="72" t="str">
        <f t="shared" si="141"/>
        <v>SB010093/1/26</v>
      </c>
      <c r="N1013" s="46" t="str">
        <f t="shared" si="149"/>
        <v/>
      </c>
      <c r="O1013" s="60"/>
      <c r="P1013" s="60"/>
      <c r="Q1013" s="48">
        <v>354</v>
      </c>
      <c r="R1013" s="48">
        <v>118</v>
      </c>
      <c r="S1013" s="48"/>
      <c r="T1013" s="48"/>
      <c r="U1013" s="49"/>
      <c r="V1013" s="49"/>
      <c r="W1013" s="50"/>
      <c r="X1013" s="51">
        <f>IF(A1013="", "", IF(COUNTIFS(C$3:C1012, C1013, D$3:D1012, D1013, G$3:G1012, G1013) &gt; 0, "", "11:00"-AW1013))</f>
        <v>0.41666666666666663</v>
      </c>
      <c r="Y1013" s="52" t="str">
        <f t="shared" si="148"/>
        <v>1:40</v>
      </c>
      <c r="Z1013" s="53"/>
      <c r="AA1013" s="54"/>
      <c r="AB1013" s="53"/>
      <c r="AC1013" s="54"/>
      <c r="AD1013" s="53"/>
      <c r="AE1013" s="54"/>
      <c r="AF1013" s="53"/>
      <c r="AG1013" s="54"/>
      <c r="AH1013" s="55">
        <v>4.1666666666666699E-2</v>
      </c>
      <c r="AI1013" s="53"/>
      <c r="AJ1013" s="54"/>
      <c r="AK1013" s="53"/>
      <c r="AL1013" s="54"/>
      <c r="AM1013" s="53"/>
      <c r="AN1013" s="54"/>
      <c r="AO1013" s="53"/>
      <c r="AP1013" s="54"/>
      <c r="AQ1013" s="53"/>
      <c r="AR1013" s="54"/>
      <c r="AS1013" s="53"/>
      <c r="AT1013" s="54"/>
      <c r="AU1013" s="53">
        <v>4.1666666666666699E-2</v>
      </c>
      <c r="AV1013" s="54" t="s">
        <v>37</v>
      </c>
      <c r="AW1013" s="57">
        <f t="shared" si="146"/>
        <v>4.1666666666666699E-2</v>
      </c>
      <c r="AX1013" s="58" t="s">
        <v>770</v>
      </c>
    </row>
    <row r="1014" spans="1:50" ht="21" customHeight="1">
      <c r="A1014" s="66" t="s">
        <v>901</v>
      </c>
      <c r="B1014" s="39">
        <f t="shared" si="145"/>
        <v>1010</v>
      </c>
      <c r="C1014" s="40">
        <v>46044</v>
      </c>
      <c r="D1014" s="40" t="s">
        <v>80</v>
      </c>
      <c r="E1014" s="40" t="s">
        <v>81</v>
      </c>
      <c r="F1014" s="41">
        <v>148.5</v>
      </c>
      <c r="G1014" s="42" t="s">
        <v>46</v>
      </c>
      <c r="H1014" s="43" t="str">
        <f>IFERROR(VLOOKUP($J1014,'[9]FROM (3)'!$E$4:$F$230,2,FALSE),"")</f>
        <v>SIAM NSK</v>
      </c>
      <c r="I1014" s="44" t="str">
        <f t="shared" si="144"/>
        <v>SHAFT SPLINE</v>
      </c>
      <c r="J1014" s="44" t="str">
        <f t="shared" si="140"/>
        <v>2530S0610P</v>
      </c>
      <c r="K1014" s="59" t="str">
        <f t="shared" si="142"/>
        <v>PD26010866</v>
      </c>
      <c r="L1014" s="46" t="str" cm="1">
        <f t="array" ref="L1014">IFERROR(_xlfn.IFS(
    LEN($A1014)-LEN(SUBSTITUTE($A1014,"|",""))=12, RIGHT(A1014, LEN(A1014)-FIND("~", SUBSTITUTE(A1014,"|","~", LEN(A1014)-LEN(SUBSTITUTE(A1014,"|",""))))),
    LEN($A1014)-LEN(SUBSTITUTE($A1014,"|",""))=13, MID($A1014, FIND("~", SUBSTITUTE($A1014,"|","~", 11))+1, FIND("~", SUBSTITUTE($A1014,"|","~", 12))-FIND("~", SUBSTITUTE($A1014,"|","~", 11))-1),
    LEN($A1014)-LEN(SUBSTITUTE($A1014,"|",""))=14, MID($A1014, FIND("~", SUBSTITUTE($A1014,"|","~", 11))+1, FIND("~", SUBSTITUTE($A1014,"|","~", 12))-FIND("~", SUBSTITUTE($A1014,"|","~", 11))-1)
), "")</f>
        <v>E484056</v>
      </c>
      <c r="M1014" s="72" t="str">
        <f t="shared" si="141"/>
        <v>SB010093/2/26</v>
      </c>
      <c r="N1014" s="46" t="str">
        <f t="shared" si="149"/>
        <v/>
      </c>
      <c r="O1014" s="60">
        <v>80</v>
      </c>
      <c r="P1014" s="60">
        <v>1024</v>
      </c>
      <c r="Q1014" s="48">
        <v>2669</v>
      </c>
      <c r="R1014" s="48">
        <v>894</v>
      </c>
      <c r="S1014" s="48"/>
      <c r="T1014" s="48"/>
      <c r="U1014" s="49">
        <v>65</v>
      </c>
      <c r="V1014" s="49">
        <v>24</v>
      </c>
      <c r="W1014" s="50"/>
      <c r="X1014" s="51" t="str">
        <f>IF(A1014="", "", IF(COUNTIFS(C$3:C1013, C1014, D$3:D1013, D1014, G$3:G1013, G1014) &gt; 0, "", "11:00"-AW1014))</f>
        <v/>
      </c>
      <c r="Y1014" s="52" t="str">
        <f t="shared" si="148"/>
        <v/>
      </c>
      <c r="Z1014" s="53"/>
      <c r="AA1014" s="54"/>
      <c r="AB1014" s="53"/>
      <c r="AC1014" s="54"/>
      <c r="AD1014" s="53"/>
      <c r="AE1014" s="54"/>
      <c r="AF1014" s="53"/>
      <c r="AG1014" s="54"/>
      <c r="AH1014" s="55">
        <v>4.1666666666666699E-2</v>
      </c>
      <c r="AI1014" s="53"/>
      <c r="AJ1014" s="54"/>
      <c r="AK1014" s="53"/>
      <c r="AL1014" s="54"/>
      <c r="AM1014" s="53"/>
      <c r="AN1014" s="54"/>
      <c r="AO1014" s="53"/>
      <c r="AP1014" s="54"/>
      <c r="AQ1014" s="53"/>
      <c r="AR1014" s="54"/>
      <c r="AS1014" s="53"/>
      <c r="AT1014" s="54"/>
      <c r="AU1014" s="53">
        <v>4.1666666666666699E-2</v>
      </c>
      <c r="AV1014" s="54" t="s">
        <v>37</v>
      </c>
      <c r="AW1014" s="57">
        <f t="shared" si="146"/>
        <v>4.1666666666666699E-2</v>
      </c>
      <c r="AX1014" s="58" t="s">
        <v>770</v>
      </c>
    </row>
    <row r="1015" spans="1:50" ht="21" customHeight="1">
      <c r="A1015" s="66" t="s">
        <v>902</v>
      </c>
      <c r="B1015" s="39">
        <f t="shared" si="145"/>
        <v>1011</v>
      </c>
      <c r="C1015" s="40">
        <v>46044</v>
      </c>
      <c r="D1015" s="40" t="s">
        <v>80</v>
      </c>
      <c r="E1015" s="40" t="s">
        <v>81</v>
      </c>
      <c r="F1015" s="41">
        <v>148.5</v>
      </c>
      <c r="G1015" s="42" t="s">
        <v>46</v>
      </c>
      <c r="H1015" s="43" t="str">
        <f>IFERROR(VLOOKUP($J1015,'[9]FROM (3)'!$E$4:$F$230,2,FALSE),"")</f>
        <v>SIAM NSK</v>
      </c>
      <c r="I1015" s="44" t="str">
        <f t="shared" si="144"/>
        <v>SHAFT SPLINE</v>
      </c>
      <c r="J1015" s="44" t="str">
        <f t="shared" si="140"/>
        <v>2530S0610P</v>
      </c>
      <c r="K1015" s="59" t="str">
        <f t="shared" si="142"/>
        <v>PD26010867</v>
      </c>
      <c r="L1015" s="46" t="str" cm="1">
        <f t="array" ref="L1015">IFERROR(_xlfn.IFS(
    LEN($A1015)-LEN(SUBSTITUTE($A1015,"|",""))=12, RIGHT(A1015, LEN(A1015)-FIND("~", SUBSTITUTE(A1015,"|","~", LEN(A1015)-LEN(SUBSTITUTE(A1015,"|",""))))),
    LEN($A1015)-LEN(SUBSTITUTE($A1015,"|",""))=13, MID($A1015, FIND("~", SUBSTITUTE($A1015,"|","~", 11))+1, FIND("~", SUBSTITUTE($A1015,"|","~", 12))-FIND("~", SUBSTITUTE($A1015,"|","~", 11))-1),
    LEN($A1015)-LEN(SUBSTITUTE($A1015,"|",""))=14, MID($A1015, FIND("~", SUBSTITUTE($A1015,"|","~", 11))+1, FIND("~", SUBSTITUTE($A1015,"|","~", 12))-FIND("~", SUBSTITUTE($A1015,"|","~", 11))-1)
), "")</f>
        <v>E484056</v>
      </c>
      <c r="M1015" s="72" t="str">
        <f t="shared" si="141"/>
        <v>SB010093/3/26</v>
      </c>
      <c r="N1015" s="46" t="str">
        <f t="shared" si="149"/>
        <v/>
      </c>
      <c r="O1015" s="60">
        <v>80</v>
      </c>
      <c r="P1015" s="60">
        <v>1012</v>
      </c>
      <c r="Q1015" s="48">
        <v>1550</v>
      </c>
      <c r="R1015" s="48">
        <v>519</v>
      </c>
      <c r="S1015" s="48"/>
      <c r="T1015" s="48"/>
      <c r="U1015" s="49"/>
      <c r="V1015" s="49"/>
      <c r="W1015" s="50"/>
      <c r="X1015" s="51" t="str">
        <f>IF(A1015="", "", IF(COUNTIFS(C$3:C1014, C1015, D$3:D1014, D1015, G$3:G1014, G1015) &gt; 0, "", "11:00"-AW1015))</f>
        <v/>
      </c>
      <c r="Y1015" s="52" t="str">
        <f t="shared" si="148"/>
        <v/>
      </c>
      <c r="Z1015" s="53"/>
      <c r="AA1015" s="54"/>
      <c r="AB1015" s="53"/>
      <c r="AC1015" s="54"/>
      <c r="AD1015" s="53"/>
      <c r="AE1015" s="54"/>
      <c r="AF1015" s="53"/>
      <c r="AG1015" s="54"/>
      <c r="AH1015" s="55">
        <v>4.1666666666666699E-2</v>
      </c>
      <c r="AI1015" s="53"/>
      <c r="AJ1015" s="54"/>
      <c r="AK1015" s="53"/>
      <c r="AL1015" s="54"/>
      <c r="AM1015" s="53"/>
      <c r="AN1015" s="54"/>
      <c r="AO1015" s="53"/>
      <c r="AP1015" s="54"/>
      <c r="AQ1015" s="53"/>
      <c r="AR1015" s="54"/>
      <c r="AS1015" s="53"/>
      <c r="AT1015" s="54"/>
      <c r="AU1015" s="53">
        <v>4.1666666666666699E-2</v>
      </c>
      <c r="AV1015" s="54" t="s">
        <v>37</v>
      </c>
      <c r="AW1015" s="57">
        <f t="shared" si="146"/>
        <v>4.1666666666666699E-2</v>
      </c>
      <c r="AX1015" s="58" t="s">
        <v>109</v>
      </c>
    </row>
    <row r="1016" spans="1:50" ht="21" customHeight="1">
      <c r="A1016" s="66" t="s">
        <v>903</v>
      </c>
      <c r="B1016" s="39">
        <f t="shared" si="145"/>
        <v>1012</v>
      </c>
      <c r="C1016" s="40">
        <v>46044</v>
      </c>
      <c r="D1016" s="40" t="s">
        <v>80</v>
      </c>
      <c r="E1016" s="40" t="s">
        <v>81</v>
      </c>
      <c r="F1016" s="41">
        <v>732.8</v>
      </c>
      <c r="G1016" s="42" t="s">
        <v>192</v>
      </c>
      <c r="H1016" s="43" t="str">
        <f>IFERROR(VLOOKUP($J1016,'[9]FROM (3)'!$E$4:$F$230,2,FALSE),"")</f>
        <v>JATH</v>
      </c>
      <c r="I1016" s="44" t="str">
        <f t="shared" si="144"/>
        <v>JGF02-002060-31-3</v>
      </c>
      <c r="J1016" s="44" t="str">
        <f t="shared" si="140"/>
        <v>RACK BAR BLANK (JGF02-002060-31-3) 58*D</v>
      </c>
      <c r="K1016" s="59" t="str">
        <f t="shared" si="142"/>
        <v>PD25120570</v>
      </c>
      <c r="L1016" s="46" t="str" cm="1">
        <f t="array" ref="L1016">IFERROR(_xlfn.IFS(
    LEN($A1016)-LEN(SUBSTITUTE($A1016,"|",""))=12, RIGHT(A1016, LEN(A1016)-FIND("~", SUBSTITUTE(A1016,"|","~", LEN(A1016)-LEN(SUBSTITUTE(A1016,"|",""))))),
    LEN($A1016)-LEN(SUBSTITUTE($A1016,"|",""))=13, MID($A1016, FIND("~", SUBSTITUTE($A1016,"|","~", 11))+1, FIND("~", SUBSTITUTE($A1016,"|","~", 12))-FIND("~", SUBSTITUTE($A1016,"|","~", 11))-1),
    LEN($A1016)-LEN(SUBSTITUTE($A1016,"|",""))=14, MID($A1016, FIND("~", SUBSTITUTE($A1016,"|","~", 11))+1, FIND("~", SUBSTITUTE($A1016,"|","~", 12))-FIND("~", SUBSTITUTE($A1016,"|","~", 11))-1)
), "")</f>
        <v>5B9507</v>
      </c>
      <c r="M1016" s="72" t="str">
        <f t="shared" si="141"/>
        <v>TSK2</v>
      </c>
      <c r="N1016" s="46" t="str">
        <f t="shared" si="149"/>
        <v>FB010136/6/26</v>
      </c>
      <c r="O1016" s="60">
        <v>58</v>
      </c>
      <c r="P1016" s="60">
        <v>271</v>
      </c>
      <c r="Q1016" s="48">
        <v>58</v>
      </c>
      <c r="R1016" s="48">
        <v>271</v>
      </c>
      <c r="S1016" s="48"/>
      <c r="T1016" s="48"/>
      <c r="U1016" s="49"/>
      <c r="V1016" s="49"/>
      <c r="W1016" s="50"/>
      <c r="X1016" s="51">
        <f>IF(A1016="", "", IF(COUNTIFS(C$3:C1015, C1016, D$3:D1015, D1016, G$3:G1015, G1016) &gt; 0, "", "11:00"-AW1016))</f>
        <v>0.41666666666666663</v>
      </c>
      <c r="Y1016" s="52" t="str">
        <f t="shared" si="148"/>
        <v>1:40</v>
      </c>
      <c r="Z1016" s="53"/>
      <c r="AA1016" s="54"/>
      <c r="AB1016" s="53"/>
      <c r="AC1016" s="54"/>
      <c r="AD1016" s="53"/>
      <c r="AE1016" s="54"/>
      <c r="AF1016" s="53"/>
      <c r="AG1016" s="54"/>
      <c r="AH1016" s="55">
        <v>4.1666666666666699E-2</v>
      </c>
      <c r="AI1016" s="53"/>
      <c r="AJ1016" s="54"/>
      <c r="AK1016" s="53"/>
      <c r="AL1016" s="54"/>
      <c r="AM1016" s="53"/>
      <c r="AN1016" s="54"/>
      <c r="AO1016" s="53"/>
      <c r="AP1016" s="54"/>
      <c r="AQ1016" s="53"/>
      <c r="AR1016" s="54"/>
      <c r="AS1016" s="53"/>
      <c r="AT1016" s="54"/>
      <c r="AU1016" s="53">
        <v>4.1666666666666699E-2</v>
      </c>
      <c r="AV1016" s="54" t="s">
        <v>37</v>
      </c>
      <c r="AW1016" s="57">
        <f t="shared" si="146"/>
        <v>4.1666666666666699E-2</v>
      </c>
      <c r="AX1016" s="58" t="s">
        <v>109</v>
      </c>
    </row>
    <row r="1017" spans="1:50" ht="21" customHeight="1">
      <c r="A1017" s="66" t="s">
        <v>904</v>
      </c>
      <c r="B1017" s="39">
        <f t="shared" si="145"/>
        <v>1013</v>
      </c>
      <c r="C1017" s="40">
        <v>46044</v>
      </c>
      <c r="D1017" s="40" t="s">
        <v>80</v>
      </c>
      <c r="E1017" s="40" t="s">
        <v>81</v>
      </c>
      <c r="F1017" s="41">
        <v>732.8</v>
      </c>
      <c r="G1017" s="42" t="s">
        <v>192</v>
      </c>
      <c r="H1017" s="43" t="str">
        <f>IFERROR(VLOOKUP($J1017,'[9]FROM (3)'!$E$4:$F$230,2,FALSE),"")</f>
        <v>JATH</v>
      </c>
      <c r="I1017" s="44" t="str">
        <f t="shared" si="144"/>
        <v>JGF02-002060-31-3</v>
      </c>
      <c r="J1017" s="44" t="str">
        <f t="shared" ref="J1017:J1080" si="150">IFERROR(MID(A1017,FIND("~",SUBSTITUTE(A1017,"|","~",3))+1,FIND("~",SUBSTITUTE(A1017,"|","~",4))-FIND("~",SUBSTITUTE(A1017,"|","~",3))-1),"")</f>
        <v>RACK BAR BLANK (JGF02-002060-31-3) 58*D</v>
      </c>
      <c r="K1017" s="59" t="str">
        <f t="shared" si="142"/>
        <v>PD25120570</v>
      </c>
      <c r="L1017" s="46" t="str" cm="1">
        <f t="array" ref="L1017">IFERROR(_xlfn.IFS(
    LEN($A1017)-LEN(SUBSTITUTE($A1017,"|",""))=12, RIGHT(A1017, LEN(A1017)-FIND("~", SUBSTITUTE(A1017,"|","~", LEN(A1017)-LEN(SUBSTITUTE(A1017,"|",""))))),
    LEN($A1017)-LEN(SUBSTITUTE($A1017,"|",""))=13, MID($A1017, FIND("~", SUBSTITUTE($A1017,"|","~", 11))+1, FIND("~", SUBSTITUTE($A1017,"|","~", 12))-FIND("~", SUBSTITUTE($A1017,"|","~", 11))-1),
    LEN($A1017)-LEN(SUBSTITUTE($A1017,"|",""))=14, MID($A1017, FIND("~", SUBSTITUTE($A1017,"|","~", 11))+1, FIND("~", SUBSTITUTE($A1017,"|","~", 12))-FIND("~", SUBSTITUTE($A1017,"|","~", 11))-1)
), "")</f>
        <v>5B9507</v>
      </c>
      <c r="M1017" s="72" t="str">
        <f t="shared" si="141"/>
        <v>TSK2</v>
      </c>
      <c r="N1017" s="46" t="str">
        <f t="shared" si="149"/>
        <v>FB010136/1/26</v>
      </c>
      <c r="O1017" s="60">
        <v>58</v>
      </c>
      <c r="P1017" s="60">
        <v>271</v>
      </c>
      <c r="Q1017" s="48">
        <v>58</v>
      </c>
      <c r="R1017" s="48">
        <v>271</v>
      </c>
      <c r="S1017" s="48"/>
      <c r="T1017" s="48"/>
      <c r="U1017" s="49"/>
      <c r="V1017" s="49"/>
      <c r="W1017" s="50"/>
      <c r="X1017" s="51" t="str">
        <f>IF(A1017="", "", IF(COUNTIFS(C$3:C1016, C1017, D$3:D1016, D1017, G$3:G1016, G1017) &gt; 0, "", "11:00"-AW1017))</f>
        <v/>
      </c>
      <c r="Y1017" s="52" t="str">
        <f t="shared" si="148"/>
        <v/>
      </c>
      <c r="Z1017" s="53"/>
      <c r="AA1017" s="54"/>
      <c r="AB1017" s="53"/>
      <c r="AC1017" s="54"/>
      <c r="AD1017" s="53"/>
      <c r="AE1017" s="54"/>
      <c r="AF1017" s="53"/>
      <c r="AG1017" s="54"/>
      <c r="AH1017" s="55">
        <v>4.1666666666666699E-2</v>
      </c>
      <c r="AI1017" s="53"/>
      <c r="AJ1017" s="54"/>
      <c r="AK1017" s="53"/>
      <c r="AL1017" s="54"/>
      <c r="AM1017" s="53"/>
      <c r="AN1017" s="54"/>
      <c r="AO1017" s="53"/>
      <c r="AP1017" s="54"/>
      <c r="AQ1017" s="53"/>
      <c r="AR1017" s="54"/>
      <c r="AS1017" s="53"/>
      <c r="AT1017" s="54"/>
      <c r="AU1017" s="53">
        <v>4.1666666666666699E-2</v>
      </c>
      <c r="AV1017" s="54" t="s">
        <v>37</v>
      </c>
      <c r="AW1017" s="57">
        <f t="shared" si="146"/>
        <v>4.1666666666666699E-2</v>
      </c>
      <c r="AX1017" s="58" t="s">
        <v>109</v>
      </c>
    </row>
    <row r="1018" spans="1:50" ht="21" customHeight="1">
      <c r="A1018" s="66" t="s">
        <v>905</v>
      </c>
      <c r="B1018" s="39">
        <f t="shared" si="145"/>
        <v>1014</v>
      </c>
      <c r="C1018" s="40">
        <v>46044</v>
      </c>
      <c r="D1018" s="40" t="s">
        <v>80</v>
      </c>
      <c r="E1018" s="40" t="s">
        <v>81</v>
      </c>
      <c r="F1018" s="41">
        <v>732.8</v>
      </c>
      <c r="G1018" s="42" t="s">
        <v>192</v>
      </c>
      <c r="H1018" s="43" t="str">
        <f>IFERROR(VLOOKUP($J1018,'[9]FROM (3)'!$E$4:$F$230,2,FALSE),"")</f>
        <v>JATH</v>
      </c>
      <c r="I1018" s="44" t="str">
        <f t="shared" si="144"/>
        <v>JGF02-002060-31-3</v>
      </c>
      <c r="J1018" s="44" t="str">
        <f t="shared" si="150"/>
        <v>RACK BAR BLANK (JGF02-002060-31-3) 58*D</v>
      </c>
      <c r="K1018" s="59" t="str">
        <f t="shared" si="142"/>
        <v>PD25120570</v>
      </c>
      <c r="L1018" s="46" t="str" cm="1">
        <f t="array" ref="L1018">IFERROR(_xlfn.IFS(
    LEN($A1018)-LEN(SUBSTITUTE($A1018,"|",""))=12, RIGHT(A1018, LEN(A1018)-FIND("~", SUBSTITUTE(A1018,"|","~", LEN(A1018)-LEN(SUBSTITUTE(A1018,"|",""))))),
    LEN($A1018)-LEN(SUBSTITUTE($A1018,"|",""))=13, MID($A1018, FIND("~", SUBSTITUTE($A1018,"|","~", 11))+1, FIND("~", SUBSTITUTE($A1018,"|","~", 12))-FIND("~", SUBSTITUTE($A1018,"|","~", 11))-1),
    LEN($A1018)-LEN(SUBSTITUTE($A1018,"|",""))=14, MID($A1018, FIND("~", SUBSTITUTE($A1018,"|","~", 11))+1, FIND("~", SUBSTITUTE($A1018,"|","~", 12))-FIND("~", SUBSTITUTE($A1018,"|","~", 11))-1)
), "")</f>
        <v>5B9507</v>
      </c>
      <c r="M1018" s="72" t="str">
        <f t="shared" si="141"/>
        <v>TSK2</v>
      </c>
      <c r="N1018" s="46" t="str">
        <f t="shared" si="149"/>
        <v>FB010136/13/26</v>
      </c>
      <c r="O1018" s="60">
        <v>58</v>
      </c>
      <c r="P1018" s="60">
        <v>271</v>
      </c>
      <c r="Q1018" s="48">
        <v>58</v>
      </c>
      <c r="R1018" s="48">
        <v>271</v>
      </c>
      <c r="S1018" s="48"/>
      <c r="T1018" s="48"/>
      <c r="U1018" s="49"/>
      <c r="V1018" s="49"/>
      <c r="W1018" s="50"/>
      <c r="X1018" s="51" t="str">
        <f>IF(A1018="", "", IF(COUNTIFS(C$3:C1017, C1018, D$3:D1017, D1018, G$3:G1017, G1018) &gt; 0, "", "11:00"-AW1018))</f>
        <v/>
      </c>
      <c r="Y1018" s="52" t="str">
        <f t="shared" si="148"/>
        <v/>
      </c>
      <c r="Z1018" s="53"/>
      <c r="AA1018" s="54"/>
      <c r="AB1018" s="53"/>
      <c r="AC1018" s="54"/>
      <c r="AD1018" s="53"/>
      <c r="AE1018" s="54"/>
      <c r="AF1018" s="53"/>
      <c r="AG1018" s="54"/>
      <c r="AH1018" s="55">
        <v>4.1666666666666699E-2</v>
      </c>
      <c r="AI1018" s="53"/>
      <c r="AJ1018" s="54"/>
      <c r="AK1018" s="53"/>
      <c r="AL1018" s="54"/>
      <c r="AM1018" s="53"/>
      <c r="AN1018" s="54"/>
      <c r="AO1018" s="53"/>
      <c r="AP1018" s="54"/>
      <c r="AQ1018" s="53"/>
      <c r="AR1018" s="54"/>
      <c r="AS1018" s="53"/>
      <c r="AT1018" s="54"/>
      <c r="AU1018" s="53">
        <v>4.1666666666666699E-2</v>
      </c>
      <c r="AV1018" s="54" t="s">
        <v>37</v>
      </c>
      <c r="AW1018" s="57">
        <f t="shared" si="146"/>
        <v>4.1666666666666699E-2</v>
      </c>
      <c r="AX1018" s="58" t="s">
        <v>109</v>
      </c>
    </row>
    <row r="1019" spans="1:50" ht="21" customHeight="1">
      <c r="A1019" s="66" t="s">
        <v>906</v>
      </c>
      <c r="B1019" s="39">
        <f t="shared" si="145"/>
        <v>1015</v>
      </c>
      <c r="C1019" s="40">
        <v>46044</v>
      </c>
      <c r="D1019" s="40" t="s">
        <v>80</v>
      </c>
      <c r="E1019" s="40" t="s">
        <v>81</v>
      </c>
      <c r="F1019" s="41">
        <v>732.8</v>
      </c>
      <c r="G1019" s="42" t="s">
        <v>192</v>
      </c>
      <c r="H1019" s="43" t="str">
        <f>IFERROR(VLOOKUP($J1019,'[9]FROM (3)'!$E$4:$F$230,2,FALSE),"")</f>
        <v>JATH</v>
      </c>
      <c r="I1019" s="44" t="str">
        <f t="shared" si="144"/>
        <v>JGF02-002060-31-3</v>
      </c>
      <c r="J1019" s="44" t="str">
        <f t="shared" si="150"/>
        <v>RACK BAR BLANK (JGF02-002060-31-3) 58*D</v>
      </c>
      <c r="K1019" s="59" t="str">
        <f t="shared" si="142"/>
        <v>PD25120570</v>
      </c>
      <c r="L1019" s="46" t="str" cm="1">
        <f t="array" ref="L1019">IFERROR(_xlfn.IFS(
    LEN($A1019)-LEN(SUBSTITUTE($A1019,"|",""))=12, RIGHT(A1019, LEN(A1019)-FIND("~", SUBSTITUTE(A1019,"|","~", LEN(A1019)-LEN(SUBSTITUTE(A1019,"|",""))))),
    LEN($A1019)-LEN(SUBSTITUTE($A1019,"|",""))=13, MID($A1019, FIND("~", SUBSTITUTE($A1019,"|","~", 11))+1, FIND("~", SUBSTITUTE($A1019,"|","~", 12))-FIND("~", SUBSTITUTE($A1019,"|","~", 11))-1),
    LEN($A1019)-LEN(SUBSTITUTE($A1019,"|",""))=14, MID($A1019, FIND("~", SUBSTITUTE($A1019,"|","~", 11))+1, FIND("~", SUBSTITUTE($A1019,"|","~", 12))-FIND("~", SUBSTITUTE($A1019,"|","~", 11))-1)
), "")</f>
        <v>5B9507</v>
      </c>
      <c r="M1019" s="72" t="str">
        <f t="shared" si="141"/>
        <v>TSK2</v>
      </c>
      <c r="N1019" s="46" t="str">
        <f t="shared" si="149"/>
        <v>FB010136/9/26</v>
      </c>
      <c r="O1019" s="60">
        <v>58</v>
      </c>
      <c r="P1019" s="60">
        <v>271</v>
      </c>
      <c r="Q1019" s="48">
        <v>58</v>
      </c>
      <c r="R1019" s="48">
        <v>271</v>
      </c>
      <c r="S1019" s="48"/>
      <c r="T1019" s="48"/>
      <c r="U1019" s="49"/>
      <c r="V1019" s="49"/>
      <c r="W1019" s="50"/>
      <c r="X1019" s="51" t="str">
        <f>IF(A1019="", "", IF(COUNTIFS(C$3:C1018, C1019, D$3:D1018, D1019, G$3:G1018, G1019) &gt; 0, "", "11:00"-AW1019))</f>
        <v/>
      </c>
      <c r="Y1019" s="52" t="str">
        <f t="shared" si="148"/>
        <v/>
      </c>
      <c r="Z1019" s="53"/>
      <c r="AA1019" s="54"/>
      <c r="AB1019" s="53"/>
      <c r="AC1019" s="54"/>
      <c r="AD1019" s="53"/>
      <c r="AE1019" s="54"/>
      <c r="AF1019" s="53"/>
      <c r="AG1019" s="54"/>
      <c r="AH1019" s="55">
        <v>4.1666666666666699E-2</v>
      </c>
      <c r="AI1019" s="53"/>
      <c r="AJ1019" s="54"/>
      <c r="AK1019" s="53"/>
      <c r="AL1019" s="54"/>
      <c r="AM1019" s="53"/>
      <c r="AN1019" s="54"/>
      <c r="AO1019" s="53"/>
      <c r="AP1019" s="54"/>
      <c r="AQ1019" s="53"/>
      <c r="AR1019" s="54"/>
      <c r="AS1019" s="53"/>
      <c r="AT1019" s="54"/>
      <c r="AU1019" s="53">
        <v>4.1666666666666699E-2</v>
      </c>
      <c r="AV1019" s="54" t="s">
        <v>37</v>
      </c>
      <c r="AW1019" s="57">
        <f t="shared" si="146"/>
        <v>4.1666666666666699E-2</v>
      </c>
      <c r="AX1019" s="58" t="s">
        <v>109</v>
      </c>
    </row>
    <row r="1020" spans="1:50" ht="21" customHeight="1">
      <c r="A1020" s="66" t="s">
        <v>907</v>
      </c>
      <c r="B1020" s="39">
        <f t="shared" si="145"/>
        <v>1016</v>
      </c>
      <c r="C1020" s="40">
        <v>46044</v>
      </c>
      <c r="D1020" s="40" t="s">
        <v>80</v>
      </c>
      <c r="E1020" s="40" t="s">
        <v>81</v>
      </c>
      <c r="F1020" s="41">
        <v>732.8</v>
      </c>
      <c r="G1020" s="42" t="s">
        <v>192</v>
      </c>
      <c r="H1020" s="43" t="str">
        <f>IFERROR(VLOOKUP($J1020,'[9]FROM (3)'!$E$4:$F$230,2,FALSE),"")</f>
        <v>JATH</v>
      </c>
      <c r="I1020" s="44" t="str">
        <f t="shared" si="144"/>
        <v>JGF02-002060-31-3</v>
      </c>
      <c r="J1020" s="44" t="str">
        <f t="shared" si="150"/>
        <v>RACK BAR BLANK (JGF02-002060-31-3) 58*D</v>
      </c>
      <c r="K1020" s="59" t="str">
        <f t="shared" si="142"/>
        <v>PD25120570</v>
      </c>
      <c r="L1020" s="46" t="str" cm="1">
        <f t="array" ref="L1020">IFERROR(_xlfn.IFS(
    LEN($A1020)-LEN(SUBSTITUTE($A1020,"|",""))=12, RIGHT(A1020, LEN(A1020)-FIND("~", SUBSTITUTE(A1020,"|","~", LEN(A1020)-LEN(SUBSTITUTE(A1020,"|",""))))),
    LEN($A1020)-LEN(SUBSTITUTE($A1020,"|",""))=13, MID($A1020, FIND("~", SUBSTITUTE($A1020,"|","~", 11))+1, FIND("~", SUBSTITUTE($A1020,"|","~", 12))-FIND("~", SUBSTITUTE($A1020,"|","~", 11))-1),
    LEN($A1020)-LEN(SUBSTITUTE($A1020,"|",""))=14, MID($A1020, FIND("~", SUBSTITUTE($A1020,"|","~", 11))+1, FIND("~", SUBSTITUTE($A1020,"|","~", 12))-FIND("~", SUBSTITUTE($A1020,"|","~", 11))-1)
), "")</f>
        <v>5B9507</v>
      </c>
      <c r="M1020" s="72" t="str">
        <f t="shared" si="141"/>
        <v>TSK2</v>
      </c>
      <c r="N1020" s="46" t="str">
        <f t="shared" si="149"/>
        <v>FB010136/10/26</v>
      </c>
      <c r="O1020" s="60">
        <v>58</v>
      </c>
      <c r="P1020" s="60">
        <v>271</v>
      </c>
      <c r="Q1020" s="48">
        <v>58</v>
      </c>
      <c r="R1020" s="48">
        <v>271</v>
      </c>
      <c r="S1020" s="48"/>
      <c r="T1020" s="48"/>
      <c r="U1020" s="49"/>
      <c r="V1020" s="49"/>
      <c r="W1020" s="50"/>
      <c r="X1020" s="51" t="str">
        <f>IF(A1020="", "", IF(COUNTIFS(C$3:C1019, C1020, D$3:D1019, D1020, G$3:G1019, G1020) &gt; 0, "", "11:00"-AW1020))</f>
        <v/>
      </c>
      <c r="Y1020" s="52" t="str">
        <f t="shared" si="148"/>
        <v/>
      </c>
      <c r="Z1020" s="53"/>
      <c r="AA1020" s="54"/>
      <c r="AB1020" s="53"/>
      <c r="AC1020" s="54"/>
      <c r="AD1020" s="53"/>
      <c r="AE1020" s="54"/>
      <c r="AF1020" s="53"/>
      <c r="AG1020" s="54"/>
      <c r="AH1020" s="55">
        <v>4.1666666666666699E-2</v>
      </c>
      <c r="AI1020" s="53"/>
      <c r="AJ1020" s="54"/>
      <c r="AK1020" s="53"/>
      <c r="AL1020" s="54"/>
      <c r="AM1020" s="53"/>
      <c r="AN1020" s="54"/>
      <c r="AO1020" s="53"/>
      <c r="AP1020" s="54"/>
      <c r="AQ1020" s="53"/>
      <c r="AR1020" s="54"/>
      <c r="AS1020" s="53"/>
      <c r="AT1020" s="54"/>
      <c r="AU1020" s="53">
        <v>4.1666666666666699E-2</v>
      </c>
      <c r="AV1020" s="54" t="s">
        <v>37</v>
      </c>
      <c r="AW1020" s="57">
        <f t="shared" si="146"/>
        <v>4.1666666666666699E-2</v>
      </c>
      <c r="AX1020" s="58" t="s">
        <v>109</v>
      </c>
    </row>
    <row r="1021" spans="1:50" ht="21" customHeight="1">
      <c r="A1021" s="66" t="s">
        <v>860</v>
      </c>
      <c r="B1021" s="39">
        <f t="shared" si="145"/>
        <v>1017</v>
      </c>
      <c r="C1021" s="40">
        <v>46044</v>
      </c>
      <c r="D1021" s="40" t="s">
        <v>80</v>
      </c>
      <c r="E1021" s="40" t="s">
        <v>81</v>
      </c>
      <c r="F1021" s="41">
        <v>655.4</v>
      </c>
      <c r="G1021" s="42" t="s">
        <v>85</v>
      </c>
      <c r="H1021" s="43" t="str">
        <f>IFERROR(VLOOKUP($J1021,'[9]FROM (3)'!$E$4:$F$230,2,FALSE),"")</f>
        <v>JAMY</v>
      </c>
      <c r="I1021" s="44" t="str">
        <f t="shared" si="144"/>
        <v>RACK BAR</v>
      </c>
      <c r="J1021" s="44" t="str">
        <f t="shared" si="150"/>
        <v>JGC10-M09008-51-0</v>
      </c>
      <c r="K1021" s="59" t="str">
        <f t="shared" si="142"/>
        <v>PD26010892</v>
      </c>
      <c r="L1021" s="46" t="str" cm="1">
        <f t="array" ref="L1021">IFERROR(_xlfn.IFS(
    LEN($A1021)-LEN(SUBSTITUTE($A1021,"|",""))=12, RIGHT(A1021, LEN(A1021)-FIND("~", SUBSTITUTE(A1021,"|","~", LEN(A1021)-LEN(SUBSTITUTE(A1021,"|",""))))),
    LEN($A1021)-LEN(SUBSTITUTE($A1021,"|",""))=13, MID($A1021, FIND("~", SUBSTITUTE($A1021,"|","~", 11))+1, FIND("~", SUBSTITUTE($A1021,"|","~", 12))-FIND("~", SUBSTITUTE($A1021,"|","~", 11))-1),
    LEN($A1021)-LEN(SUBSTITUTE($A1021,"|",""))=14, MID($A1021, FIND("~", SUBSTITUTE($A1021,"|","~", 11))+1, FIND("~", SUBSTITUTE($A1021,"|","~", 12))-FIND("~", SUBSTITUTE($A1021,"|","~", 11))-1)
), "")</f>
        <v>E586966</v>
      </c>
      <c r="M1021" s="72" t="str">
        <f t="shared" si="141"/>
        <v>SB010107/4/26</v>
      </c>
      <c r="N1021" s="46" t="str">
        <f t="shared" si="149"/>
        <v/>
      </c>
      <c r="O1021" s="60" t="s">
        <v>35</v>
      </c>
      <c r="P1021" s="60" t="s">
        <v>35</v>
      </c>
      <c r="Q1021" s="48">
        <v>82</v>
      </c>
      <c r="R1021" s="48">
        <v>224</v>
      </c>
      <c r="S1021" s="48">
        <v>20</v>
      </c>
      <c r="T1021" s="48" t="s">
        <v>167</v>
      </c>
      <c r="U1021" s="49"/>
      <c r="V1021" s="49"/>
      <c r="W1021" s="50"/>
      <c r="X1021" s="51">
        <f>IF(A1021="", "", IF(COUNTIFS(C$3:C1020, C1021, D$3:D1020, D1021, G$3:G1020, G1021) &gt; 0, "", "11:00"-AW1021))</f>
        <v>0.34722222222222215</v>
      </c>
      <c r="Y1021" s="52" t="str">
        <f t="shared" si="148"/>
        <v>1:40</v>
      </c>
      <c r="Z1021" s="53"/>
      <c r="AA1021" s="54"/>
      <c r="AB1021" s="53"/>
      <c r="AC1021" s="54"/>
      <c r="AD1021" s="53"/>
      <c r="AE1021" s="54"/>
      <c r="AF1021" s="53"/>
      <c r="AG1021" s="54"/>
      <c r="AH1021" s="55">
        <v>4.1666666666666699E-2</v>
      </c>
      <c r="AI1021" s="53"/>
      <c r="AJ1021" s="54"/>
      <c r="AK1021" s="53"/>
      <c r="AL1021" s="54"/>
      <c r="AM1021" s="53">
        <v>1.3888888888888888E-2</v>
      </c>
      <c r="AN1021" s="54" t="s">
        <v>82</v>
      </c>
      <c r="AO1021" s="53">
        <v>1.3888888888888888E-2</v>
      </c>
      <c r="AP1021" s="54" t="s">
        <v>82</v>
      </c>
      <c r="AQ1021" s="53">
        <v>6.9444444444444441E-3</v>
      </c>
      <c r="AR1021" s="54" t="s">
        <v>67</v>
      </c>
      <c r="AS1021" s="53">
        <v>3.4722222222222224E-2</v>
      </c>
      <c r="AT1021" s="54" t="s">
        <v>67</v>
      </c>
      <c r="AU1021" s="53">
        <v>4.1666666666666699E-2</v>
      </c>
      <c r="AV1021" s="54" t="s">
        <v>37</v>
      </c>
      <c r="AW1021" s="57">
        <f t="shared" si="146"/>
        <v>0.11111111111111115</v>
      </c>
      <c r="AX1021" s="58" t="s">
        <v>86</v>
      </c>
    </row>
    <row r="1022" spans="1:50" ht="21" customHeight="1">
      <c r="A1022" s="66" t="s">
        <v>908</v>
      </c>
      <c r="B1022" s="39">
        <f t="shared" si="145"/>
        <v>1018</v>
      </c>
      <c r="C1022" s="40">
        <v>46044</v>
      </c>
      <c r="D1022" s="40" t="s">
        <v>80</v>
      </c>
      <c r="E1022" s="40" t="s">
        <v>81</v>
      </c>
      <c r="F1022" s="41">
        <v>655.4</v>
      </c>
      <c r="G1022" s="42" t="s">
        <v>85</v>
      </c>
      <c r="H1022" s="43" t="str">
        <f>IFERROR(VLOOKUP($J1022,'[9]FROM (3)'!$E$4:$F$230,2,FALSE),"")</f>
        <v>JAMY</v>
      </c>
      <c r="I1022" s="44" t="str">
        <f t="shared" si="144"/>
        <v>RACK BAR</v>
      </c>
      <c r="J1022" s="44" t="str">
        <f t="shared" si="150"/>
        <v>JGC10-M09008-51-0</v>
      </c>
      <c r="K1022" s="59" t="str">
        <f t="shared" si="142"/>
        <v>PD26010892</v>
      </c>
      <c r="L1022" s="46" t="str" cm="1">
        <f t="array" ref="L1022">IFERROR(_xlfn.IFS(
    LEN($A1022)-LEN(SUBSTITUTE($A1022,"|",""))=12, RIGHT(A1022, LEN(A1022)-FIND("~", SUBSTITUTE(A1022,"|","~", LEN(A1022)-LEN(SUBSTITUTE(A1022,"|",""))))),
    LEN($A1022)-LEN(SUBSTITUTE($A1022,"|",""))=13, MID($A1022, FIND("~", SUBSTITUTE($A1022,"|","~", 11))+1, FIND("~", SUBSTITUTE($A1022,"|","~", 12))-FIND("~", SUBSTITUTE($A1022,"|","~", 11))-1),
    LEN($A1022)-LEN(SUBSTITUTE($A1022,"|",""))=14, MID($A1022, FIND("~", SUBSTITUTE($A1022,"|","~", 11))+1, FIND("~", SUBSTITUTE($A1022,"|","~", 12))-FIND("~", SUBSTITUTE($A1022,"|","~", 11))-1)
), "")</f>
        <v>E586966</v>
      </c>
      <c r="M1022" s="72" t="str">
        <f t="shared" si="141"/>
        <v>SB010107/3/26</v>
      </c>
      <c r="N1022" s="46" t="str">
        <f t="shared" si="149"/>
        <v/>
      </c>
      <c r="O1022" s="60">
        <v>60</v>
      </c>
      <c r="P1022" s="60">
        <v>870</v>
      </c>
      <c r="Q1022" s="48">
        <v>284</v>
      </c>
      <c r="R1022" s="48">
        <v>775</v>
      </c>
      <c r="S1022" s="48">
        <v>16</v>
      </c>
      <c r="T1022" s="48" t="s">
        <v>167</v>
      </c>
      <c r="U1022" s="49">
        <v>97</v>
      </c>
      <c r="V1022" s="49">
        <v>6</v>
      </c>
      <c r="W1022" s="50"/>
      <c r="X1022" s="51" t="str">
        <f>IF(A1022="", "", IF(COUNTIFS(C$3:C1021, C1022, D$3:D1021, D1022, G$3:G1021, G1022) &gt; 0, "", "11:00"-AW1022))</f>
        <v/>
      </c>
      <c r="Y1022" s="52" t="str">
        <f t="shared" si="148"/>
        <v/>
      </c>
      <c r="Z1022" s="53"/>
      <c r="AA1022" s="54"/>
      <c r="AB1022" s="53"/>
      <c r="AC1022" s="54"/>
      <c r="AD1022" s="53"/>
      <c r="AE1022" s="54"/>
      <c r="AF1022" s="53"/>
      <c r="AG1022" s="54"/>
      <c r="AH1022" s="55">
        <v>4.1666666666666699E-2</v>
      </c>
      <c r="AI1022" s="53"/>
      <c r="AJ1022" s="54"/>
      <c r="AK1022" s="53"/>
      <c r="AL1022" s="54"/>
      <c r="AM1022" s="53"/>
      <c r="AN1022" s="54"/>
      <c r="AO1022" s="53"/>
      <c r="AP1022" s="54"/>
      <c r="AQ1022" s="53"/>
      <c r="AR1022" s="54"/>
      <c r="AS1022" s="53"/>
      <c r="AT1022" s="54"/>
      <c r="AU1022" s="53">
        <v>4.1666666666666699E-2</v>
      </c>
      <c r="AV1022" s="54" t="s">
        <v>37</v>
      </c>
      <c r="AW1022" s="57">
        <f t="shared" si="146"/>
        <v>4.1666666666666699E-2</v>
      </c>
      <c r="AX1022" s="58" t="s">
        <v>86</v>
      </c>
    </row>
    <row r="1023" spans="1:50" ht="21" customHeight="1">
      <c r="A1023" s="66" t="s">
        <v>909</v>
      </c>
      <c r="B1023" s="39">
        <f t="shared" si="145"/>
        <v>1019</v>
      </c>
      <c r="C1023" s="40">
        <v>46044</v>
      </c>
      <c r="D1023" s="40" t="s">
        <v>80</v>
      </c>
      <c r="E1023" s="40" t="s">
        <v>81</v>
      </c>
      <c r="F1023" s="41">
        <v>655.4</v>
      </c>
      <c r="G1023" s="42" t="s">
        <v>85</v>
      </c>
      <c r="H1023" s="43" t="str">
        <f>IFERROR(VLOOKUP($J1023,'[9]FROM (3)'!$E$4:$F$230,2,FALSE),"")</f>
        <v>JAMY</v>
      </c>
      <c r="I1023" s="44" t="str">
        <f t="shared" si="144"/>
        <v>RACK BAR</v>
      </c>
      <c r="J1023" s="44" t="str">
        <f t="shared" si="150"/>
        <v>JGC10-M09008-51-0</v>
      </c>
      <c r="K1023" s="59" t="str">
        <f t="shared" si="142"/>
        <v>PD26010891</v>
      </c>
      <c r="L1023" s="46" t="str" cm="1">
        <f t="array" ref="L1023">IFERROR(_xlfn.IFS(
    LEN($A1023)-LEN(SUBSTITUTE($A1023,"|",""))=12, RIGHT(A1023, LEN(A1023)-FIND("~", SUBSTITUTE(A1023,"|","~", LEN(A1023)-LEN(SUBSTITUTE(A1023,"|",""))))),
    LEN($A1023)-LEN(SUBSTITUTE($A1023,"|",""))=13, MID($A1023, FIND("~", SUBSTITUTE($A1023,"|","~", 11))+1, FIND("~", SUBSTITUTE($A1023,"|","~", 12))-FIND("~", SUBSTITUTE($A1023,"|","~", 11))-1),
    LEN($A1023)-LEN(SUBSTITUTE($A1023,"|",""))=14, MID($A1023, FIND("~", SUBSTITUTE($A1023,"|","~", 11))+1, FIND("~", SUBSTITUTE($A1023,"|","~", 12))-FIND("~", SUBSTITUTE($A1023,"|","~", 11))-1)
), "")</f>
        <v>E586966</v>
      </c>
      <c r="M1023" s="72" t="str">
        <f t="shared" si="141"/>
        <v>SB010107/2/26</v>
      </c>
      <c r="N1023" s="46" t="str">
        <f t="shared" si="149"/>
        <v/>
      </c>
      <c r="O1023" s="60">
        <v>60</v>
      </c>
      <c r="P1023" s="60">
        <v>870</v>
      </c>
      <c r="Q1023" s="48">
        <v>300</v>
      </c>
      <c r="R1023" s="48">
        <v>819</v>
      </c>
      <c r="S1023" s="48" t="s">
        <v>35</v>
      </c>
      <c r="T1023" s="48"/>
      <c r="U1023" s="49"/>
      <c r="V1023" s="49"/>
      <c r="W1023" s="50"/>
      <c r="X1023" s="51" t="str">
        <f>IF(A1023="", "", IF(COUNTIFS(C$3:C1022, C1023, D$3:D1022, D1023, G$3:G1022, G1023) &gt; 0, "", "11:00"-AW1023))</f>
        <v/>
      </c>
      <c r="Y1023" s="52" t="str">
        <f t="shared" si="148"/>
        <v/>
      </c>
      <c r="Z1023" s="53"/>
      <c r="AA1023" s="54"/>
      <c r="AB1023" s="53"/>
      <c r="AC1023" s="54"/>
      <c r="AD1023" s="53"/>
      <c r="AE1023" s="54"/>
      <c r="AF1023" s="53"/>
      <c r="AG1023" s="54"/>
      <c r="AH1023" s="55">
        <v>4.1666666666666699E-2</v>
      </c>
      <c r="AI1023" s="53"/>
      <c r="AJ1023" s="54"/>
      <c r="AK1023" s="53"/>
      <c r="AL1023" s="54"/>
      <c r="AM1023" s="53"/>
      <c r="AN1023" s="54"/>
      <c r="AO1023" s="53"/>
      <c r="AP1023" s="54"/>
      <c r="AQ1023" s="53"/>
      <c r="AR1023" s="54"/>
      <c r="AS1023" s="53"/>
      <c r="AT1023" s="54"/>
      <c r="AU1023" s="53">
        <v>4.1666666666666699E-2</v>
      </c>
      <c r="AV1023" s="54" t="s">
        <v>37</v>
      </c>
      <c r="AW1023" s="57">
        <f t="shared" si="146"/>
        <v>4.1666666666666699E-2</v>
      </c>
      <c r="AX1023" s="58" t="s">
        <v>86</v>
      </c>
    </row>
    <row r="1024" spans="1:50" ht="21" customHeight="1">
      <c r="A1024" s="66" t="s">
        <v>910</v>
      </c>
      <c r="B1024" s="39">
        <f t="shared" si="145"/>
        <v>1020</v>
      </c>
      <c r="C1024" s="40">
        <v>46044</v>
      </c>
      <c r="D1024" s="40" t="s">
        <v>80</v>
      </c>
      <c r="E1024" s="40" t="s">
        <v>81</v>
      </c>
      <c r="F1024" s="41">
        <v>655.4</v>
      </c>
      <c r="G1024" s="42" t="s">
        <v>85</v>
      </c>
      <c r="H1024" s="43" t="str">
        <f>IFERROR(VLOOKUP($J1024,'[9]FROM (3)'!$E$4:$F$230,2,FALSE),"")</f>
        <v>JAMY</v>
      </c>
      <c r="I1024" s="44" t="str">
        <f t="shared" si="144"/>
        <v>RACK BAR</v>
      </c>
      <c r="J1024" s="44" t="str">
        <f t="shared" si="150"/>
        <v>JGC10-M09008-51-0</v>
      </c>
      <c r="K1024" s="59" t="str">
        <f t="shared" si="142"/>
        <v>PD26010891</v>
      </c>
      <c r="L1024" s="46" t="str" cm="1">
        <f t="array" ref="L1024">IFERROR(_xlfn.IFS(
    LEN($A1024)-LEN(SUBSTITUTE($A1024,"|",""))=12, RIGHT(A1024, LEN(A1024)-FIND("~", SUBSTITUTE(A1024,"|","~", LEN(A1024)-LEN(SUBSTITUTE(A1024,"|",""))))),
    LEN($A1024)-LEN(SUBSTITUTE($A1024,"|",""))=13, MID($A1024, FIND("~", SUBSTITUTE($A1024,"|","~", 11))+1, FIND("~", SUBSTITUTE($A1024,"|","~", 12))-FIND("~", SUBSTITUTE($A1024,"|","~", 11))-1),
    LEN($A1024)-LEN(SUBSTITUTE($A1024,"|",""))=14, MID($A1024, FIND("~", SUBSTITUTE($A1024,"|","~", 11))+1, FIND("~", SUBSTITUTE($A1024,"|","~", 12))-FIND("~", SUBSTITUTE($A1024,"|","~", 11))-1)
), "")</f>
        <v>E586966</v>
      </c>
      <c r="M1024" s="72" t="str">
        <f t="shared" si="141"/>
        <v>SB010107/1/26</v>
      </c>
      <c r="N1024" s="46" t="str">
        <f t="shared" si="149"/>
        <v/>
      </c>
      <c r="O1024" s="60">
        <v>60</v>
      </c>
      <c r="P1024" s="60">
        <v>870</v>
      </c>
      <c r="Q1024" s="48">
        <v>300</v>
      </c>
      <c r="R1024" s="48">
        <v>819</v>
      </c>
      <c r="S1024" s="48" t="s">
        <v>35</v>
      </c>
      <c r="T1024" s="48"/>
      <c r="U1024" s="49"/>
      <c r="V1024" s="49"/>
      <c r="W1024" s="50"/>
      <c r="X1024" s="51" t="str">
        <f>IF(A1024="", "", IF(COUNTIFS(C$3:C1023, C1024, D$3:D1023, D1024, G$3:G1023, G1024) &gt; 0, "", "11:00"-AW1024))</f>
        <v/>
      </c>
      <c r="Y1024" s="52" t="str">
        <f t="shared" si="148"/>
        <v/>
      </c>
      <c r="Z1024" s="53"/>
      <c r="AA1024" s="54"/>
      <c r="AB1024" s="53"/>
      <c r="AC1024" s="54"/>
      <c r="AD1024" s="53"/>
      <c r="AE1024" s="54"/>
      <c r="AF1024" s="53"/>
      <c r="AG1024" s="54"/>
      <c r="AH1024" s="55">
        <v>4.1666666666666699E-2</v>
      </c>
      <c r="AI1024" s="53"/>
      <c r="AJ1024" s="54"/>
      <c r="AK1024" s="53"/>
      <c r="AL1024" s="54"/>
      <c r="AM1024" s="53"/>
      <c r="AN1024" s="54"/>
      <c r="AO1024" s="53"/>
      <c r="AP1024" s="54"/>
      <c r="AQ1024" s="53"/>
      <c r="AR1024" s="54"/>
      <c r="AS1024" s="53"/>
      <c r="AT1024" s="54"/>
      <c r="AU1024" s="53">
        <v>4.1666666666666699E-2</v>
      </c>
      <c r="AV1024" s="54" t="s">
        <v>37</v>
      </c>
      <c r="AW1024" s="57">
        <f t="shared" si="146"/>
        <v>4.1666666666666699E-2</v>
      </c>
      <c r="AX1024" s="58" t="s">
        <v>86</v>
      </c>
    </row>
    <row r="1025" spans="1:50" ht="21" customHeight="1">
      <c r="A1025" s="66" t="s">
        <v>911</v>
      </c>
      <c r="B1025" s="39">
        <f t="shared" si="145"/>
        <v>1021</v>
      </c>
      <c r="C1025" s="40">
        <v>46044</v>
      </c>
      <c r="D1025" s="40" t="s">
        <v>80</v>
      </c>
      <c r="E1025" s="40" t="s">
        <v>81</v>
      </c>
      <c r="F1025" s="41">
        <v>765.7</v>
      </c>
      <c r="G1025" s="42" t="s">
        <v>85</v>
      </c>
      <c r="H1025" s="43" t="str">
        <f>IFERROR(VLOOKUP($J1025,'[9]FROM (3)'!$E$4:$F$230,2,FALSE),"")</f>
        <v>JTCS</v>
      </c>
      <c r="I1025" s="44" t="str">
        <f t="shared" si="144"/>
        <v>RACK, PS</v>
      </c>
      <c r="J1025" s="44" t="str">
        <f t="shared" si="150"/>
        <v>JGD10S00670-B</v>
      </c>
      <c r="K1025" s="59" t="str">
        <f t="shared" si="142"/>
        <v>PD26011056</v>
      </c>
      <c r="L1025" s="46" t="str" cm="1">
        <f t="array" ref="L1025">IFERROR(_xlfn.IFS(
    LEN($A1025)-LEN(SUBSTITUTE($A1025,"|",""))=12, RIGHT(A1025, LEN(A1025)-FIND("~", SUBSTITUTE(A1025,"|","~", LEN(A1025)-LEN(SUBSTITUTE(A1025,"|",""))))),
    LEN($A1025)-LEN(SUBSTITUTE($A1025,"|",""))=13, MID($A1025, FIND("~", SUBSTITUTE($A1025,"|","~", 11))+1, FIND("~", SUBSTITUTE($A1025,"|","~", 12))-FIND("~", SUBSTITUTE($A1025,"|","~", 11))-1),
    LEN($A1025)-LEN(SUBSTITUTE($A1025,"|",""))=14, MID($A1025, FIND("~", SUBSTITUTE($A1025,"|","~", 11))+1, FIND("~", SUBSTITUTE($A1025,"|","~", 12))-FIND("~", SUBSTITUTE($A1025,"|","~", 11))-1)
), "")</f>
        <v>E586447</v>
      </c>
      <c r="M1025" s="72" t="str">
        <f t="shared" si="141"/>
        <v>SB010141/1/26</v>
      </c>
      <c r="N1025" s="46" t="str">
        <f t="shared" si="149"/>
        <v/>
      </c>
      <c r="O1025" s="60">
        <v>25</v>
      </c>
      <c r="P1025" s="60">
        <v>890</v>
      </c>
      <c r="Q1025" s="48">
        <v>30</v>
      </c>
      <c r="R1025" s="48">
        <v>147</v>
      </c>
      <c r="S1025" s="48" t="s">
        <v>35</v>
      </c>
      <c r="T1025" s="48"/>
      <c r="U1025" s="49"/>
      <c r="V1025" s="49"/>
      <c r="W1025" s="50"/>
      <c r="X1025" s="51" t="str">
        <f>IF(A1025="", "", IF(COUNTIFS(C$3:C1024, C1025, D$3:D1024, D1025, G$3:G1024, G1025) &gt; 0, "", "11:00"-AW1025))</f>
        <v/>
      </c>
      <c r="Y1025" s="52" t="str">
        <f t="shared" si="148"/>
        <v/>
      </c>
      <c r="Z1025" s="53"/>
      <c r="AA1025" s="54"/>
      <c r="AB1025" s="53"/>
      <c r="AC1025" s="54"/>
      <c r="AD1025" s="53"/>
      <c r="AE1025" s="54"/>
      <c r="AF1025" s="53"/>
      <c r="AG1025" s="54"/>
      <c r="AH1025" s="55">
        <v>4.1666666666666699E-2</v>
      </c>
      <c r="AI1025" s="53"/>
      <c r="AJ1025" s="54"/>
      <c r="AK1025" s="53"/>
      <c r="AL1025" s="54"/>
      <c r="AM1025" s="53"/>
      <c r="AN1025" s="54"/>
      <c r="AO1025" s="53"/>
      <c r="AP1025" s="54"/>
      <c r="AQ1025" s="53"/>
      <c r="AR1025" s="54"/>
      <c r="AS1025" s="53"/>
      <c r="AT1025" s="54"/>
      <c r="AU1025" s="53">
        <v>4.1666666666666699E-2</v>
      </c>
      <c r="AV1025" s="54" t="s">
        <v>37</v>
      </c>
      <c r="AW1025" s="57">
        <f t="shared" si="146"/>
        <v>4.1666666666666699E-2</v>
      </c>
      <c r="AX1025" s="58" t="s">
        <v>86</v>
      </c>
    </row>
    <row r="1026" spans="1:50" ht="21" customHeight="1">
      <c r="A1026" s="66" t="s">
        <v>912</v>
      </c>
      <c r="B1026" s="39">
        <f t="shared" si="145"/>
        <v>1022</v>
      </c>
      <c r="C1026" s="40">
        <v>46044</v>
      </c>
      <c r="D1026" s="40" t="s">
        <v>80</v>
      </c>
      <c r="E1026" s="40" t="s">
        <v>81</v>
      </c>
      <c r="F1026" s="41">
        <v>146.80000000000001</v>
      </c>
      <c r="G1026" s="42" t="s">
        <v>115</v>
      </c>
      <c r="H1026" s="43" t="str">
        <f>IFERROR(VLOOKUP($J1026,'[9]FROM (3)'!$E$4:$F$230,2,FALSE),"")</f>
        <v>DNTH</v>
      </c>
      <c r="I1026" s="44" t="str">
        <f t="shared" si="144"/>
        <v>SHAFT, 2W</v>
      </c>
      <c r="J1026" s="44" t="str">
        <f t="shared" si="150"/>
        <v>TG028383-0040</v>
      </c>
      <c r="K1026" s="59" t="str">
        <f t="shared" si="142"/>
        <v>PD25111201</v>
      </c>
      <c r="L1026" s="46" t="str" cm="1">
        <f t="array" ref="L1026">IFERROR(_xlfn.IFS(
    LEN($A1026)-LEN(SUBSTITUTE($A1026,"|",""))=12, RIGHT(A1026, LEN(A1026)-FIND("~", SUBSTITUTE(A1026,"|","~", LEN(A1026)-LEN(SUBSTITUTE(A1026,"|",""))))),
    LEN($A1026)-LEN(SUBSTITUTE($A1026,"|",""))=13, MID($A1026, FIND("~", SUBSTITUTE($A1026,"|","~", 11))+1, FIND("~", SUBSTITUTE($A1026,"|","~", 12))-FIND("~", SUBSTITUTE($A1026,"|","~", 11))-1),
    LEN($A1026)-LEN(SUBSTITUTE($A1026,"|",""))=14, MID($A1026, FIND("~", SUBSTITUTE($A1026,"|","~", 11))+1, FIND("~", SUBSTITUTE($A1026,"|","~", 12))-FIND("~", SUBSTITUTE($A1026,"|","~", 11))-1)
), "")</f>
        <v>E483074</v>
      </c>
      <c r="M1026" s="72" t="str">
        <f t="shared" si="141"/>
        <v>FP120395/1/25</v>
      </c>
      <c r="N1026" s="46" t="str">
        <f t="shared" si="149"/>
        <v>FP120395/1/25</v>
      </c>
      <c r="O1026" s="60">
        <v>1500</v>
      </c>
      <c r="P1026" s="60">
        <v>581</v>
      </c>
      <c r="Q1026" s="48">
        <v>1500</v>
      </c>
      <c r="R1026" s="48">
        <v>581</v>
      </c>
      <c r="S1026" s="48"/>
      <c r="T1026" s="48"/>
      <c r="U1026" s="49"/>
      <c r="V1026" s="49"/>
      <c r="W1026" s="50"/>
      <c r="X1026" s="51">
        <f>IF(A1026="", "", IF(COUNTIFS(C$3:C1025, C1026, D$3:D1025, D1026, G$3:G1025, G1026) &gt; 0, "", "11:00"-AW1026))</f>
        <v>0.41666666666666663</v>
      </c>
      <c r="Y1026" s="52" t="str">
        <f t="shared" si="148"/>
        <v>1:40</v>
      </c>
      <c r="Z1026" s="53"/>
      <c r="AA1026" s="54"/>
      <c r="AB1026" s="53"/>
      <c r="AC1026" s="54"/>
      <c r="AD1026" s="53"/>
      <c r="AE1026" s="54"/>
      <c r="AF1026" s="53"/>
      <c r="AG1026" s="54"/>
      <c r="AH1026" s="55">
        <v>4.1666666666666699E-2</v>
      </c>
      <c r="AI1026" s="53"/>
      <c r="AJ1026" s="54"/>
      <c r="AK1026" s="53"/>
      <c r="AL1026" s="54"/>
      <c r="AM1026" s="53"/>
      <c r="AN1026" s="54"/>
      <c r="AO1026" s="53"/>
      <c r="AP1026" s="54"/>
      <c r="AQ1026" s="53"/>
      <c r="AR1026" s="54"/>
      <c r="AS1026" s="53"/>
      <c r="AT1026" s="54"/>
      <c r="AU1026" s="53">
        <v>4.1666666666666699E-2</v>
      </c>
      <c r="AV1026" s="54" t="s">
        <v>37</v>
      </c>
      <c r="AW1026" s="57">
        <f t="shared" si="146"/>
        <v>4.1666666666666699E-2</v>
      </c>
      <c r="AX1026" s="58" t="s">
        <v>224</v>
      </c>
    </row>
    <row r="1027" spans="1:50" ht="21" customHeight="1">
      <c r="A1027" s="66" t="s">
        <v>913</v>
      </c>
      <c r="B1027" s="39">
        <f t="shared" si="145"/>
        <v>1023</v>
      </c>
      <c r="C1027" s="40">
        <v>46044</v>
      </c>
      <c r="D1027" s="40" t="s">
        <v>80</v>
      </c>
      <c r="E1027" s="40" t="s">
        <v>81</v>
      </c>
      <c r="F1027" s="41">
        <v>146.80000000000001</v>
      </c>
      <c r="G1027" s="42" t="s">
        <v>115</v>
      </c>
      <c r="H1027" s="43" t="str">
        <f>IFERROR(VLOOKUP($J1027,'[9]FROM (3)'!$E$4:$F$230,2,FALSE),"")</f>
        <v>DNTH</v>
      </c>
      <c r="I1027" s="44" t="str">
        <f t="shared" si="144"/>
        <v>SHAFT, 2W</v>
      </c>
      <c r="J1027" s="44" t="str">
        <f t="shared" si="150"/>
        <v>TG028383-0040</v>
      </c>
      <c r="K1027" s="59" t="str">
        <f t="shared" si="142"/>
        <v>PD25111200</v>
      </c>
      <c r="L1027" s="46" t="str" cm="1">
        <f t="array" ref="L1027">IFERROR(_xlfn.IFS(
    LEN($A1027)-LEN(SUBSTITUTE($A1027,"|",""))=12, RIGHT(A1027, LEN(A1027)-FIND("~", SUBSTITUTE(A1027,"|","~", LEN(A1027)-LEN(SUBSTITUTE(A1027,"|",""))))),
    LEN($A1027)-LEN(SUBSTITUTE($A1027,"|",""))=13, MID($A1027, FIND("~", SUBSTITUTE($A1027,"|","~", 11))+1, FIND("~", SUBSTITUTE($A1027,"|","~", 12))-FIND("~", SUBSTITUTE($A1027,"|","~", 11))-1),
    LEN($A1027)-LEN(SUBSTITUTE($A1027,"|",""))=14, MID($A1027, FIND("~", SUBSTITUTE($A1027,"|","~", 11))+1, FIND("~", SUBSTITUTE($A1027,"|","~", 12))-FIND("~", SUBSTITUTE($A1027,"|","~", 11))-1)
), "")</f>
        <v>E483074</v>
      </c>
      <c r="M1027" s="72" t="str">
        <f t="shared" si="141"/>
        <v>FP120378/5/25</v>
      </c>
      <c r="N1027" s="46" t="str">
        <f t="shared" si="149"/>
        <v>FP120378/5/25</v>
      </c>
      <c r="O1027" s="60">
        <v>1560</v>
      </c>
      <c r="P1027" s="60">
        <v>604</v>
      </c>
      <c r="Q1027" s="48">
        <v>1560</v>
      </c>
      <c r="R1027" s="48">
        <v>604</v>
      </c>
      <c r="S1027" s="48"/>
      <c r="T1027" s="48"/>
      <c r="U1027" s="49"/>
      <c r="V1027" s="49"/>
      <c r="W1027" s="50"/>
      <c r="X1027" s="51" t="str">
        <f>IF(A1027="", "", IF(COUNTIFS(C$3:C1026, C1027, D$3:D1026, D1027, G$3:G1026, G1027) &gt; 0, "", "11:00"-AW1027))</f>
        <v/>
      </c>
      <c r="Y1027" s="52" t="str">
        <f t="shared" si="148"/>
        <v/>
      </c>
      <c r="Z1027" s="53"/>
      <c r="AA1027" s="54"/>
      <c r="AB1027" s="53"/>
      <c r="AC1027" s="54"/>
      <c r="AD1027" s="53"/>
      <c r="AE1027" s="54"/>
      <c r="AF1027" s="53"/>
      <c r="AG1027" s="54"/>
      <c r="AH1027" s="55">
        <v>4.1666666666666699E-2</v>
      </c>
      <c r="AI1027" s="53"/>
      <c r="AJ1027" s="54"/>
      <c r="AK1027" s="53"/>
      <c r="AL1027" s="54"/>
      <c r="AM1027" s="53"/>
      <c r="AN1027" s="54"/>
      <c r="AO1027" s="53"/>
      <c r="AP1027" s="54"/>
      <c r="AQ1027" s="53"/>
      <c r="AR1027" s="54"/>
      <c r="AS1027" s="53"/>
      <c r="AT1027" s="54"/>
      <c r="AU1027" s="53">
        <v>4.1666666666666699E-2</v>
      </c>
      <c r="AV1027" s="54" t="s">
        <v>37</v>
      </c>
      <c r="AW1027" s="57">
        <f t="shared" si="146"/>
        <v>4.1666666666666699E-2</v>
      </c>
      <c r="AX1027" s="58" t="s">
        <v>224</v>
      </c>
    </row>
    <row r="1028" spans="1:50" ht="21" customHeight="1">
      <c r="A1028" s="66" t="s">
        <v>914</v>
      </c>
      <c r="B1028" s="39">
        <f t="shared" si="145"/>
        <v>1024</v>
      </c>
      <c r="C1028" s="40">
        <v>46044</v>
      </c>
      <c r="D1028" s="40" t="s">
        <v>80</v>
      </c>
      <c r="E1028" s="40" t="s">
        <v>81</v>
      </c>
      <c r="F1028" s="41">
        <v>167.7</v>
      </c>
      <c r="G1028" s="42" t="s">
        <v>62</v>
      </c>
      <c r="H1028" s="43" t="str">
        <f>IFERROR(VLOOKUP($J1028,'[9]FROM (3)'!$E$4:$F$230,2,FALSE),"")</f>
        <v>DNTH</v>
      </c>
      <c r="I1028" s="44" t="str">
        <f t="shared" si="144"/>
        <v>SHAFT STARTER ARMATURE, 1W</v>
      </c>
      <c r="J1028" s="44" t="str">
        <f t="shared" si="150"/>
        <v>TG028993-557B</v>
      </c>
      <c r="K1028" s="59" t="str">
        <f t="shared" si="142"/>
        <v>PD26011055</v>
      </c>
      <c r="L1028" s="46" t="str" cm="1">
        <f t="array" ref="L1028">IFERROR(_xlfn.IFS(
    LEN($A1028)-LEN(SUBSTITUTE($A1028,"|",""))=12, RIGHT(A1028, LEN(A1028)-FIND("~", SUBSTITUTE(A1028,"|","~", LEN(A1028)-LEN(SUBSTITUTE(A1028,"|",""))))),
    LEN($A1028)-LEN(SUBSTITUTE($A1028,"|",""))=13, MID($A1028, FIND("~", SUBSTITUTE($A1028,"|","~", 11))+1, FIND("~", SUBSTITUTE($A1028,"|","~", 12))-FIND("~", SUBSTITUTE($A1028,"|","~", 11))-1),
    LEN($A1028)-LEN(SUBSTITUTE($A1028,"|",""))=14, MID($A1028, FIND("~", SUBSTITUTE($A1028,"|","~", 11))+1, FIND("~", SUBSTITUTE($A1028,"|","~", 12))-FIND("~", SUBSTITUTE($A1028,"|","~", 11))-1)
), "")</f>
        <v>E586473</v>
      </c>
      <c r="M1028" s="72" t="str">
        <f t="shared" si="141"/>
        <v>SB010082/1/26</v>
      </c>
      <c r="N1028" s="46" t="str">
        <f t="shared" si="149"/>
        <v/>
      </c>
      <c r="O1028" s="60">
        <v>36</v>
      </c>
      <c r="P1028" s="60">
        <v>209</v>
      </c>
      <c r="Q1028" s="48">
        <v>400</v>
      </c>
      <c r="R1028" s="48">
        <v>96</v>
      </c>
      <c r="S1028" s="48"/>
      <c r="T1028" s="48"/>
      <c r="U1028" s="49"/>
      <c r="V1028" s="49"/>
      <c r="W1028" s="50"/>
      <c r="X1028" s="51">
        <f>IF(A1028="", "", IF(COUNTIFS(C$3:C1027, C1028, D$3:D1027, D1028, G$3:G1027, G1028) &gt; 0, "", "11:00"-AW1028))</f>
        <v>0.125</v>
      </c>
      <c r="Y1028" s="52" t="str">
        <f t="shared" si="148"/>
        <v>1:40</v>
      </c>
      <c r="Z1028" s="53">
        <v>4.1666666666666664E-2</v>
      </c>
      <c r="AA1028" s="54" t="s">
        <v>90</v>
      </c>
      <c r="AB1028" s="53">
        <v>4.1666666666666664E-2</v>
      </c>
      <c r="AC1028" s="54" t="s">
        <v>90</v>
      </c>
      <c r="AD1028" s="53">
        <v>4.1666666666666664E-2</v>
      </c>
      <c r="AE1028" s="54" t="s">
        <v>90</v>
      </c>
      <c r="AF1028" s="53">
        <v>4.1666666666666664E-2</v>
      </c>
      <c r="AG1028" s="54" t="s">
        <v>90</v>
      </c>
      <c r="AH1028" s="55">
        <v>4.1666666666666699E-2</v>
      </c>
      <c r="AI1028" s="53">
        <v>4.1666666666666664E-2</v>
      </c>
      <c r="AJ1028" s="54" t="s">
        <v>90</v>
      </c>
      <c r="AK1028" s="53">
        <v>4.1666666666666664E-2</v>
      </c>
      <c r="AL1028" s="54" t="s">
        <v>90</v>
      </c>
      <c r="AM1028" s="53">
        <v>4.1666666666666664E-2</v>
      </c>
      <c r="AN1028" s="54" t="s">
        <v>90</v>
      </c>
      <c r="AO1028" s="53"/>
      <c r="AP1028" s="54"/>
      <c r="AQ1028" s="53"/>
      <c r="AR1028" s="54"/>
      <c r="AS1028" s="53"/>
      <c r="AT1028" s="54"/>
      <c r="AU1028" s="53">
        <v>4.1666666666666699E-2</v>
      </c>
      <c r="AV1028" s="54" t="s">
        <v>37</v>
      </c>
      <c r="AW1028" s="57">
        <f t="shared" si="146"/>
        <v>0.33333333333333331</v>
      </c>
      <c r="AX1028" s="58" t="s">
        <v>224</v>
      </c>
    </row>
    <row r="1029" spans="1:50" ht="21" customHeight="1">
      <c r="A1029" s="66" t="s">
        <v>883</v>
      </c>
      <c r="B1029" s="39">
        <f t="shared" si="145"/>
        <v>1025</v>
      </c>
      <c r="C1029" s="40">
        <v>46044</v>
      </c>
      <c r="D1029" s="40" t="s">
        <v>32</v>
      </c>
      <c r="E1029" s="40" t="s">
        <v>33</v>
      </c>
      <c r="F1029" s="41">
        <v>655.4</v>
      </c>
      <c r="G1029" s="42" t="s">
        <v>75</v>
      </c>
      <c r="H1029" s="43" t="str">
        <f>IFERROR(VLOOKUP($J1029,'[9]FROM (3)'!$E$4:$F$230,2,FALSE),"")</f>
        <v>JAMY</v>
      </c>
      <c r="I1029" s="44" t="str">
        <f t="shared" si="144"/>
        <v>RACK BAR</v>
      </c>
      <c r="J1029" s="44" t="str">
        <f t="shared" si="150"/>
        <v>JGC10-M09008-51-0</v>
      </c>
      <c r="K1029" s="59" t="str">
        <f t="shared" si="142"/>
        <v>PD26010897</v>
      </c>
      <c r="L1029" s="46" t="str" cm="1">
        <f t="array" ref="L1029">IFERROR(_xlfn.IFS(
    LEN($A1029)-LEN(SUBSTITUTE($A1029,"|",""))=12, RIGHT(A1029, LEN(A1029)-FIND("~", SUBSTITUTE(A1029,"|","~", LEN(A1029)-LEN(SUBSTITUTE(A1029,"|",""))))),
    LEN($A1029)-LEN(SUBSTITUTE($A1029,"|",""))=13, MID($A1029, FIND("~", SUBSTITUTE($A1029,"|","~", 11))+1, FIND("~", SUBSTITUTE($A1029,"|","~", 12))-FIND("~", SUBSTITUTE($A1029,"|","~", 11))-1),
    LEN($A1029)-LEN(SUBSTITUTE($A1029,"|",""))=14, MID($A1029, FIND("~", SUBSTITUTE($A1029,"|","~", 11))+1, FIND("~", SUBSTITUTE($A1029,"|","~", 12))-FIND("~", SUBSTITUTE($A1029,"|","~", 11))-1)
), "")</f>
        <v>E586966</v>
      </c>
      <c r="M1029" s="72" t="str">
        <f t="shared" si="141"/>
        <v>SB010115/6/26</v>
      </c>
      <c r="N1029" s="46" t="str">
        <f t="shared" si="149"/>
        <v/>
      </c>
      <c r="O1029" s="60">
        <v>0</v>
      </c>
      <c r="P1029" s="60">
        <v>0</v>
      </c>
      <c r="Q1029" s="48">
        <v>164</v>
      </c>
      <c r="R1029" s="48">
        <v>448</v>
      </c>
      <c r="S1029" s="48"/>
      <c r="T1029" s="48"/>
      <c r="U1029" s="49"/>
      <c r="V1029" s="49"/>
      <c r="W1029" s="50"/>
      <c r="X1029" s="51" t="str">
        <f>IF(A1029="", "", IF(COUNTIFS(C$3:C1028, C1029, D$3:D1028, D1029, G$3:G1028, G1029) &gt; 0, "", "11:00"-AW1029))</f>
        <v/>
      </c>
      <c r="Y1029" s="52" t="str">
        <f t="shared" si="148"/>
        <v/>
      </c>
      <c r="Z1029" s="53"/>
      <c r="AA1029" s="54"/>
      <c r="AB1029" s="53"/>
      <c r="AC1029" s="54"/>
      <c r="AD1029" s="53"/>
      <c r="AE1029" s="54"/>
      <c r="AF1029" s="53"/>
      <c r="AG1029" s="54" t="s">
        <v>122</v>
      </c>
      <c r="AH1029" s="55">
        <v>4.1666666666666699E-2</v>
      </c>
      <c r="AI1029" s="53"/>
      <c r="AJ1029" s="54"/>
      <c r="AK1029" s="53"/>
      <c r="AL1029" s="54"/>
      <c r="AM1029" s="53"/>
      <c r="AN1029" s="54"/>
      <c r="AO1029" s="53"/>
      <c r="AP1029" s="54"/>
      <c r="AQ1029" s="53">
        <v>4.1666666666666664E-2</v>
      </c>
      <c r="AR1029" s="54" t="s">
        <v>37</v>
      </c>
      <c r="AS1029" s="53">
        <v>4.1666666666666664E-2</v>
      </c>
      <c r="AT1029" s="54" t="s">
        <v>37</v>
      </c>
      <c r="AU1029" s="53">
        <v>4.1666666666666699E-2</v>
      </c>
      <c r="AV1029" s="54" t="s">
        <v>37</v>
      </c>
      <c r="AW1029" s="57">
        <f t="shared" si="146"/>
        <v>0.12500000000000003</v>
      </c>
      <c r="AX1029" s="58" t="s">
        <v>77</v>
      </c>
    </row>
    <row r="1030" spans="1:50" ht="21" customHeight="1">
      <c r="A1030" s="66" t="s">
        <v>915</v>
      </c>
      <c r="B1030" s="39">
        <f t="shared" si="145"/>
        <v>1026</v>
      </c>
      <c r="C1030" s="40">
        <v>46044</v>
      </c>
      <c r="D1030" s="40" t="s">
        <v>32</v>
      </c>
      <c r="E1030" s="40" t="s">
        <v>33</v>
      </c>
      <c r="F1030" s="41">
        <v>655.4</v>
      </c>
      <c r="G1030" s="42" t="s">
        <v>75</v>
      </c>
      <c r="H1030" s="43" t="str">
        <f>IFERROR(VLOOKUP($J1030,'[9]FROM (3)'!$E$4:$F$230,2,FALSE),"")</f>
        <v>JAMY</v>
      </c>
      <c r="I1030" s="44" t="str">
        <f t="shared" si="144"/>
        <v>RACK BAR</v>
      </c>
      <c r="J1030" s="44" t="str">
        <f t="shared" si="150"/>
        <v>JGC10-M09008-51-0</v>
      </c>
      <c r="K1030" s="59" t="str">
        <f t="shared" ref="K1030:K1093" si="151">IFERROR(LEFT(A1030,SEARCH("|",A1030)-1),"")</f>
        <v>PD26010897</v>
      </c>
      <c r="L1030" s="46" t="str" cm="1">
        <f t="array" ref="L1030">IFERROR(_xlfn.IFS(
    LEN($A1030)-LEN(SUBSTITUTE($A1030,"|",""))=12, RIGHT(A1030, LEN(A1030)-FIND("~", SUBSTITUTE(A1030,"|","~", LEN(A1030)-LEN(SUBSTITUTE(A1030,"|",""))))),
    LEN($A1030)-LEN(SUBSTITUTE($A1030,"|",""))=13, MID($A1030, FIND("~", SUBSTITUTE($A1030,"|","~", 11))+1, FIND("~", SUBSTITUTE($A1030,"|","~", 12))-FIND("~", SUBSTITUTE($A1030,"|","~", 11))-1),
    LEN($A1030)-LEN(SUBSTITUTE($A1030,"|",""))=14, MID($A1030, FIND("~", SUBSTITUTE($A1030,"|","~", 11))+1, FIND("~", SUBSTITUTE($A1030,"|","~", 12))-FIND("~", SUBSTITUTE($A1030,"|","~", 11))-1)
), "")</f>
        <v>E586966</v>
      </c>
      <c r="M1030" s="72" t="str">
        <f t="shared" si="141"/>
        <v>SB010115/5/26</v>
      </c>
      <c r="N1030" s="46" t="str">
        <f t="shared" si="149"/>
        <v/>
      </c>
      <c r="O1030" s="60">
        <v>60</v>
      </c>
      <c r="P1030" s="60">
        <v>878</v>
      </c>
      <c r="Q1030" s="48">
        <v>299</v>
      </c>
      <c r="R1030" s="48">
        <v>816</v>
      </c>
      <c r="S1030" s="48">
        <v>1</v>
      </c>
      <c r="T1030" s="48" t="s">
        <v>167</v>
      </c>
      <c r="U1030" s="49">
        <v>146</v>
      </c>
      <c r="V1030" s="49">
        <v>9</v>
      </c>
      <c r="W1030" s="50"/>
      <c r="X1030" s="51" t="str">
        <f>IF(A1030="", "", IF(COUNTIFS(C$3:C1029, C1030, D$3:D1029, D1030, G$3:G1029, G1030) &gt; 0, "", "11:00"-AW1030))</f>
        <v/>
      </c>
      <c r="Y1030" s="52" t="str">
        <f t="shared" si="148"/>
        <v/>
      </c>
      <c r="Z1030" s="53"/>
      <c r="AA1030" s="54"/>
      <c r="AB1030" s="53"/>
      <c r="AC1030" s="54"/>
      <c r="AD1030" s="53"/>
      <c r="AE1030" s="54"/>
      <c r="AF1030" s="53"/>
      <c r="AG1030" s="54"/>
      <c r="AH1030" s="55">
        <v>4.1666666666666699E-2</v>
      </c>
      <c r="AI1030" s="53"/>
      <c r="AJ1030" s="54"/>
      <c r="AK1030" s="53"/>
      <c r="AL1030" s="54"/>
      <c r="AM1030" s="53"/>
      <c r="AN1030" s="54"/>
      <c r="AO1030" s="53"/>
      <c r="AP1030" s="54"/>
      <c r="AQ1030" s="53"/>
      <c r="AR1030" s="54"/>
      <c r="AS1030" s="53"/>
      <c r="AT1030" s="54"/>
      <c r="AU1030" s="53">
        <v>4.1666666666666699E-2</v>
      </c>
      <c r="AV1030" s="54" t="s">
        <v>37</v>
      </c>
      <c r="AW1030" s="57">
        <f t="shared" si="146"/>
        <v>4.1666666666666699E-2</v>
      </c>
      <c r="AX1030" s="58" t="s">
        <v>77</v>
      </c>
    </row>
    <row r="1031" spans="1:50" ht="21" customHeight="1">
      <c r="A1031" s="66" t="s">
        <v>916</v>
      </c>
      <c r="B1031" s="39">
        <f t="shared" si="145"/>
        <v>1027</v>
      </c>
      <c r="C1031" s="40">
        <v>46044</v>
      </c>
      <c r="D1031" s="40" t="s">
        <v>32</v>
      </c>
      <c r="E1031" s="40" t="s">
        <v>33</v>
      </c>
      <c r="F1031" s="41">
        <v>655.4</v>
      </c>
      <c r="G1031" s="42" t="s">
        <v>75</v>
      </c>
      <c r="H1031" s="43" t="str">
        <f>IFERROR(VLOOKUP($J1031,'[9]FROM (3)'!$E$4:$F$230,2,FALSE),"")</f>
        <v>JAMY</v>
      </c>
      <c r="I1031" s="44" t="str">
        <f t="shared" ref="I1031:I1094" si="152">IFERROR(MID(A1031,FIND("~",SUBSTITUTE(A1031,"|","~",4))+1,FIND("~",SUBSTITUTE(A1031,"|","~",5))-FIND("~",SUBSTITUTE(A1031,"|","~",4))-1),"")</f>
        <v>RACK BAR</v>
      </c>
      <c r="J1031" s="44" t="str">
        <f t="shared" si="150"/>
        <v>JGC10-M09008-51-0</v>
      </c>
      <c r="K1031" s="59" t="str">
        <f t="shared" si="151"/>
        <v>PD26010896</v>
      </c>
      <c r="L1031" s="46" t="str" cm="1">
        <f t="array" ref="L1031">IFERROR(_xlfn.IFS(
    LEN($A1031)-LEN(SUBSTITUTE($A1031,"|",""))=12, RIGHT(A1031, LEN(A1031)-FIND("~", SUBSTITUTE(A1031,"|","~", LEN(A1031)-LEN(SUBSTITUTE(A1031,"|",""))))),
    LEN($A1031)-LEN(SUBSTITUTE($A1031,"|",""))=13, MID($A1031, FIND("~", SUBSTITUTE($A1031,"|","~", 11))+1, FIND("~", SUBSTITUTE($A1031,"|","~", 12))-FIND("~", SUBSTITUTE($A1031,"|","~", 11))-1),
    LEN($A1031)-LEN(SUBSTITUTE($A1031,"|",""))=14, MID($A1031, FIND("~", SUBSTITUTE($A1031,"|","~", 11))+1, FIND("~", SUBSTITUTE($A1031,"|","~", 12))-FIND("~", SUBSTITUTE($A1031,"|","~", 11))-1)
), "")</f>
        <v>E586966</v>
      </c>
      <c r="M1031" s="72" t="str">
        <f t="shared" si="141"/>
        <v>SB010115/2/26</v>
      </c>
      <c r="N1031" s="46" t="str">
        <f t="shared" si="149"/>
        <v/>
      </c>
      <c r="O1031" s="60">
        <v>60</v>
      </c>
      <c r="P1031" s="60">
        <v>878</v>
      </c>
      <c r="Q1031" s="48">
        <v>300</v>
      </c>
      <c r="R1031" s="48">
        <v>819</v>
      </c>
      <c r="S1031" s="48"/>
      <c r="T1031" s="48"/>
      <c r="U1031" s="49"/>
      <c r="V1031" s="49"/>
      <c r="W1031" s="50"/>
      <c r="X1031" s="51" t="str">
        <f>IF(A1031="", "", IF(COUNTIFS(C$3:C1030, C1031, D$3:D1030, D1031, G$3:G1030, G1031) &gt; 0, "", "11:00"-AW1031))</f>
        <v/>
      </c>
      <c r="Y1031" s="52" t="str">
        <f t="shared" si="148"/>
        <v/>
      </c>
      <c r="Z1031" s="53"/>
      <c r="AA1031" s="54"/>
      <c r="AB1031" s="53"/>
      <c r="AC1031" s="54"/>
      <c r="AD1031" s="53"/>
      <c r="AE1031" s="54"/>
      <c r="AF1031" s="53"/>
      <c r="AG1031" s="54"/>
      <c r="AH1031" s="55">
        <v>4.1666666666666699E-2</v>
      </c>
      <c r="AI1031" s="53"/>
      <c r="AJ1031" s="54"/>
      <c r="AK1031" s="53"/>
      <c r="AL1031" s="54"/>
      <c r="AM1031" s="53"/>
      <c r="AN1031" s="54"/>
      <c r="AO1031" s="53"/>
      <c r="AP1031" s="54"/>
      <c r="AQ1031" s="53"/>
      <c r="AR1031" s="54"/>
      <c r="AS1031" s="53"/>
      <c r="AT1031" s="54"/>
      <c r="AU1031" s="53">
        <v>4.1666666666666699E-2</v>
      </c>
      <c r="AV1031" s="54" t="s">
        <v>37</v>
      </c>
      <c r="AW1031" s="57">
        <f t="shared" si="146"/>
        <v>4.1666666666666699E-2</v>
      </c>
      <c r="AX1031" s="58" t="s">
        <v>77</v>
      </c>
    </row>
    <row r="1032" spans="1:50" ht="21" customHeight="1">
      <c r="A1032" s="66" t="s">
        <v>917</v>
      </c>
      <c r="B1032" s="39">
        <f t="shared" si="145"/>
        <v>1028</v>
      </c>
      <c r="C1032" s="40">
        <v>46044</v>
      </c>
      <c r="D1032" s="40" t="s">
        <v>32</v>
      </c>
      <c r="E1032" s="40" t="s">
        <v>33</v>
      </c>
      <c r="F1032" s="41">
        <v>655.4</v>
      </c>
      <c r="G1032" s="42" t="s">
        <v>75</v>
      </c>
      <c r="H1032" s="43" t="str">
        <f>IFERROR(VLOOKUP($J1032,'[9]FROM (3)'!$E$4:$F$230,2,FALSE),"")</f>
        <v>JAMY</v>
      </c>
      <c r="I1032" s="44" t="str">
        <f t="shared" si="152"/>
        <v>RACK BAR</v>
      </c>
      <c r="J1032" s="44" t="str">
        <f t="shared" si="150"/>
        <v>JGC10-M09008-51-0</v>
      </c>
      <c r="K1032" s="59" t="str">
        <f t="shared" si="151"/>
        <v>PD26010896</v>
      </c>
      <c r="L1032" s="46" t="str" cm="1">
        <f t="array" ref="L1032">IFERROR(_xlfn.IFS(
    LEN($A1032)-LEN(SUBSTITUTE($A1032,"|",""))=12, RIGHT(A1032, LEN(A1032)-FIND("~", SUBSTITUTE(A1032,"|","~", LEN(A1032)-LEN(SUBSTITUTE(A1032,"|",""))))),
    LEN($A1032)-LEN(SUBSTITUTE($A1032,"|",""))=13, MID($A1032, FIND("~", SUBSTITUTE($A1032,"|","~", 11))+1, FIND("~", SUBSTITUTE($A1032,"|","~", 12))-FIND("~", SUBSTITUTE($A1032,"|","~", 11))-1),
    LEN($A1032)-LEN(SUBSTITUTE($A1032,"|",""))=14, MID($A1032, FIND("~", SUBSTITUTE($A1032,"|","~", 11))+1, FIND("~", SUBSTITUTE($A1032,"|","~", 12))-FIND("~", SUBSTITUTE($A1032,"|","~", 11))-1)
), "")</f>
        <v>E586966</v>
      </c>
      <c r="M1032" s="72" t="str">
        <f t="shared" si="141"/>
        <v>SB010115/1/26</v>
      </c>
      <c r="N1032" s="46" t="str">
        <f t="shared" si="149"/>
        <v/>
      </c>
      <c r="O1032" s="60">
        <v>60</v>
      </c>
      <c r="P1032" s="60">
        <v>878</v>
      </c>
      <c r="Q1032" s="48">
        <v>195</v>
      </c>
      <c r="R1032" s="48">
        <v>532</v>
      </c>
      <c r="S1032" s="48">
        <v>10</v>
      </c>
      <c r="T1032" s="48" t="s">
        <v>167</v>
      </c>
      <c r="U1032" s="49"/>
      <c r="V1032" s="49"/>
      <c r="W1032" s="50"/>
      <c r="X1032" s="51" t="str">
        <f>IF(A1032="", "", IF(COUNTIFS(C$3:C1031, C1032, D$3:D1031, D1032, G$3:G1031, G1032) &gt; 0, "", "11:00"-AW1032))</f>
        <v/>
      </c>
      <c r="Y1032" s="52" t="str">
        <f t="shared" si="148"/>
        <v/>
      </c>
      <c r="Z1032" s="53"/>
      <c r="AA1032" s="54"/>
      <c r="AB1032" s="53"/>
      <c r="AC1032" s="54"/>
      <c r="AD1032" s="53"/>
      <c r="AE1032" s="54"/>
      <c r="AF1032" s="53"/>
      <c r="AG1032" s="54"/>
      <c r="AH1032" s="55">
        <v>4.1666666666666699E-2</v>
      </c>
      <c r="AI1032" s="53"/>
      <c r="AJ1032" s="54"/>
      <c r="AK1032" s="53"/>
      <c r="AL1032" s="54"/>
      <c r="AM1032" s="53"/>
      <c r="AN1032" s="54"/>
      <c r="AO1032" s="53"/>
      <c r="AP1032" s="54"/>
      <c r="AQ1032" s="53"/>
      <c r="AR1032" s="54"/>
      <c r="AS1032" s="53"/>
      <c r="AT1032" s="54"/>
      <c r="AU1032" s="53">
        <v>4.1666666666666699E-2</v>
      </c>
      <c r="AV1032" s="54" t="s">
        <v>37</v>
      </c>
      <c r="AW1032" s="57">
        <f t="shared" si="146"/>
        <v>4.1666666666666699E-2</v>
      </c>
      <c r="AX1032" s="58" t="s">
        <v>77</v>
      </c>
    </row>
    <row r="1033" spans="1:50" ht="21" customHeight="1">
      <c r="A1033" s="66" t="s">
        <v>911</v>
      </c>
      <c r="B1033" s="39">
        <f t="shared" si="145"/>
        <v>1029</v>
      </c>
      <c r="C1033" s="40">
        <v>46045</v>
      </c>
      <c r="D1033" s="40" t="s">
        <v>32</v>
      </c>
      <c r="E1033" s="40" t="s">
        <v>33</v>
      </c>
      <c r="F1033" s="41">
        <v>765.7</v>
      </c>
      <c r="G1033" s="42" t="s">
        <v>85</v>
      </c>
      <c r="H1033" s="43" t="str">
        <f>IFERROR(VLOOKUP($J1033,'[9]FROM (3)'!$E$4:$F$230,2,FALSE),"")</f>
        <v>JTCS</v>
      </c>
      <c r="I1033" s="44" t="str">
        <f t="shared" si="152"/>
        <v>RACK, PS</v>
      </c>
      <c r="J1033" s="44" t="str">
        <f t="shared" si="150"/>
        <v>JGD10S00670-B</v>
      </c>
      <c r="K1033" s="59" t="str">
        <f t="shared" si="151"/>
        <v>PD26011056</v>
      </c>
      <c r="L1033" s="46" t="str" cm="1">
        <f t="array" ref="L1033">IFERROR(_xlfn.IFS(
    LEN($A1033)-LEN(SUBSTITUTE($A1033,"|",""))=12, RIGHT(A1033, LEN(A1033)-FIND("~", SUBSTITUTE(A1033,"|","~", LEN(A1033)-LEN(SUBSTITUTE(A1033,"|",""))))),
    LEN($A1033)-LEN(SUBSTITUTE($A1033,"|",""))=13, MID($A1033, FIND("~", SUBSTITUTE($A1033,"|","~", 11))+1, FIND("~", SUBSTITUTE($A1033,"|","~", 12))-FIND("~", SUBSTITUTE($A1033,"|","~", 11))-1),
    LEN($A1033)-LEN(SUBSTITUTE($A1033,"|",""))=14, MID($A1033, FIND("~", SUBSTITUTE($A1033,"|","~", 11))+1, FIND("~", SUBSTITUTE($A1033,"|","~", 12))-FIND("~", SUBSTITUTE($A1033,"|","~", 11))-1)
), "")</f>
        <v>E586447</v>
      </c>
      <c r="M1033" s="72" t="str">
        <f t="shared" si="141"/>
        <v>SB010141/1/26</v>
      </c>
      <c r="N1033" s="46" t="str">
        <f t="shared" si="149"/>
        <v/>
      </c>
      <c r="O1033" s="60">
        <v>25</v>
      </c>
      <c r="P1033" s="60">
        <v>890</v>
      </c>
      <c r="Q1033" s="48">
        <v>175</v>
      </c>
      <c r="R1033" s="48">
        <v>859</v>
      </c>
      <c r="S1033" s="48"/>
      <c r="T1033" s="48"/>
      <c r="U1033" s="49"/>
      <c r="V1033" s="49"/>
      <c r="W1033" s="50"/>
      <c r="X1033" s="51">
        <f>IF(A1033="", "", IF(COUNTIFS(C$3:C1032, C1033, D$3:D1032, D1033, G$3:G1032, G1033) &gt; 0, "", "11:00"-AW1033))</f>
        <v>0.33333333333333326</v>
      </c>
      <c r="Y1033" s="52" t="str">
        <f t="shared" si="148"/>
        <v>1:0</v>
      </c>
      <c r="Z1033" s="53"/>
      <c r="AA1033" s="54"/>
      <c r="AB1033" s="53"/>
      <c r="AC1033" s="54"/>
      <c r="AD1033" s="53"/>
      <c r="AE1033" s="54"/>
      <c r="AF1033" s="53"/>
      <c r="AG1033" s="54"/>
      <c r="AH1033" s="55">
        <v>4.1666666666666699E-2</v>
      </c>
      <c r="AI1033" s="53"/>
      <c r="AJ1033" s="54"/>
      <c r="AK1033" s="53"/>
      <c r="AL1033" s="54"/>
      <c r="AM1033" s="53"/>
      <c r="AN1033" s="54"/>
      <c r="AO1033" s="53"/>
      <c r="AP1033" s="54"/>
      <c r="AQ1033" s="53">
        <v>4.1666666666666664E-2</v>
      </c>
      <c r="AR1033" s="54" t="s">
        <v>37</v>
      </c>
      <c r="AS1033" s="53">
        <v>4.1666666666666664E-2</v>
      </c>
      <c r="AT1033" s="54" t="s">
        <v>37</v>
      </c>
      <c r="AU1033" s="53">
        <v>4.1666666666666699E-2</v>
      </c>
      <c r="AV1033" s="54" t="s">
        <v>37</v>
      </c>
      <c r="AW1033" s="57">
        <f t="shared" si="146"/>
        <v>0.12500000000000003</v>
      </c>
      <c r="AX1033" s="58" t="s">
        <v>117</v>
      </c>
    </row>
    <row r="1034" spans="1:50" ht="21" customHeight="1">
      <c r="A1034" s="66" t="s">
        <v>918</v>
      </c>
      <c r="B1034" s="39">
        <f t="shared" ref="B1034:B1097" si="153">IF(A1034="","",B1033+1)</f>
        <v>1030</v>
      </c>
      <c r="C1034" s="40">
        <v>46045</v>
      </c>
      <c r="D1034" s="40" t="s">
        <v>32</v>
      </c>
      <c r="E1034" s="40" t="s">
        <v>33</v>
      </c>
      <c r="F1034" s="41">
        <v>765.7</v>
      </c>
      <c r="G1034" s="42" t="s">
        <v>85</v>
      </c>
      <c r="H1034" s="43" t="str">
        <f>IFERROR(VLOOKUP($J1034,'[9]FROM (3)'!$E$4:$F$230,2,FALSE),"")</f>
        <v>JTCS</v>
      </c>
      <c r="I1034" s="44" t="str">
        <f t="shared" si="152"/>
        <v>RACK, PS</v>
      </c>
      <c r="J1034" s="44" t="str">
        <f t="shared" si="150"/>
        <v>JGD10S00670-B</v>
      </c>
      <c r="K1034" s="59" t="str">
        <f t="shared" si="151"/>
        <v>PD26011056</v>
      </c>
      <c r="L1034" s="46" t="str" cm="1">
        <f t="array" ref="L1034">IFERROR(_xlfn.IFS(
    LEN($A1034)-LEN(SUBSTITUTE($A1034,"|",""))=12, RIGHT(A1034, LEN(A1034)-FIND("~", SUBSTITUTE(A1034,"|","~", LEN(A1034)-LEN(SUBSTITUTE(A1034,"|",""))))),
    LEN($A1034)-LEN(SUBSTITUTE($A1034,"|",""))=13, MID($A1034, FIND("~", SUBSTITUTE($A1034,"|","~", 11))+1, FIND("~", SUBSTITUTE($A1034,"|","~", 12))-FIND("~", SUBSTITUTE($A1034,"|","~", 11))-1),
    LEN($A1034)-LEN(SUBSTITUTE($A1034,"|",""))=14, MID($A1034, FIND("~", SUBSTITUTE($A1034,"|","~", 11))+1, FIND("~", SUBSTITUTE($A1034,"|","~", 12))-FIND("~", SUBSTITUTE($A1034,"|","~", 11))-1)
), "")</f>
        <v>E586447</v>
      </c>
      <c r="M1034" s="72" t="str">
        <f t="shared" si="141"/>
        <v>SB010141/2/26</v>
      </c>
      <c r="N1034" s="46" t="str">
        <f t="shared" si="149"/>
        <v/>
      </c>
      <c r="O1034" s="60">
        <v>25</v>
      </c>
      <c r="P1034" s="60">
        <v>890</v>
      </c>
      <c r="Q1034" s="48">
        <v>175</v>
      </c>
      <c r="R1034" s="48">
        <v>859</v>
      </c>
      <c r="S1034" s="48"/>
      <c r="T1034" s="48"/>
      <c r="U1034" s="49"/>
      <c r="V1034" s="49"/>
      <c r="W1034" s="50"/>
      <c r="X1034" s="51" t="str">
        <f>IF(A1034="", "", IF(COUNTIFS(C$3:C1033, C1034, D$3:D1033, D1034, G$3:G1033, G1034) &gt; 0, "", "11:00"-AW1034))</f>
        <v/>
      </c>
      <c r="Y1034" s="52" t="str">
        <f t="shared" si="148"/>
        <v/>
      </c>
      <c r="Z1034" s="53"/>
      <c r="AA1034" s="54"/>
      <c r="AB1034" s="53"/>
      <c r="AC1034" s="54"/>
      <c r="AD1034" s="53"/>
      <c r="AE1034" s="54"/>
      <c r="AF1034" s="53"/>
      <c r="AG1034" s="54"/>
      <c r="AH1034" s="55">
        <v>4.1666666666666699E-2</v>
      </c>
      <c r="AI1034" s="53"/>
      <c r="AJ1034" s="54"/>
      <c r="AK1034" s="53"/>
      <c r="AL1034" s="54"/>
      <c r="AM1034" s="53"/>
      <c r="AN1034" s="54"/>
      <c r="AO1034" s="53"/>
      <c r="AP1034" s="54"/>
      <c r="AQ1034" s="53">
        <v>4.1666666666666664E-2</v>
      </c>
      <c r="AR1034" s="54" t="s">
        <v>37</v>
      </c>
      <c r="AS1034" s="53">
        <v>4.1666666666666664E-2</v>
      </c>
      <c r="AT1034" s="54" t="s">
        <v>37</v>
      </c>
      <c r="AU1034" s="53">
        <v>4.1666666666666699E-2</v>
      </c>
      <c r="AV1034" s="54" t="s">
        <v>37</v>
      </c>
      <c r="AW1034" s="57">
        <f t="shared" si="146"/>
        <v>0.12500000000000003</v>
      </c>
      <c r="AX1034" s="58" t="s">
        <v>117</v>
      </c>
    </row>
    <row r="1035" spans="1:50" ht="21" customHeight="1">
      <c r="A1035" s="66" t="s">
        <v>919</v>
      </c>
      <c r="B1035" s="39">
        <f t="shared" si="153"/>
        <v>1031</v>
      </c>
      <c r="C1035" s="40">
        <v>46045</v>
      </c>
      <c r="D1035" s="40" t="s">
        <v>32</v>
      </c>
      <c r="E1035" s="40" t="s">
        <v>33</v>
      </c>
      <c r="F1035" s="41">
        <v>765.7</v>
      </c>
      <c r="G1035" s="42" t="s">
        <v>85</v>
      </c>
      <c r="H1035" s="43" t="str">
        <f>IFERROR(VLOOKUP($J1035,'[9]FROM (3)'!$E$4:$F$230,2,FALSE),"")</f>
        <v>JTCS</v>
      </c>
      <c r="I1035" s="44" t="str">
        <f t="shared" si="152"/>
        <v>RACK, PS</v>
      </c>
      <c r="J1035" s="44" t="str">
        <f t="shared" si="150"/>
        <v>JGD10S00670-B</v>
      </c>
      <c r="K1035" s="59" t="str">
        <f t="shared" si="151"/>
        <v>PD26011056</v>
      </c>
      <c r="L1035" s="46" t="str" cm="1">
        <f t="array" ref="L1035">IFERROR(_xlfn.IFS(
    LEN($A1035)-LEN(SUBSTITUTE($A1035,"|",""))=12, RIGHT(A1035, LEN(A1035)-FIND("~", SUBSTITUTE(A1035,"|","~", LEN(A1035)-LEN(SUBSTITUTE(A1035,"|",""))))),
    LEN($A1035)-LEN(SUBSTITUTE($A1035,"|",""))=13, MID($A1035, FIND("~", SUBSTITUTE($A1035,"|","~", 11))+1, FIND("~", SUBSTITUTE($A1035,"|","~", 12))-FIND("~", SUBSTITUTE($A1035,"|","~", 11))-1),
    LEN($A1035)-LEN(SUBSTITUTE($A1035,"|",""))=14, MID($A1035, FIND("~", SUBSTITUTE($A1035,"|","~", 11))+1, FIND("~", SUBSTITUTE($A1035,"|","~", 12))-FIND("~", SUBSTITUTE($A1035,"|","~", 11))-1)
), "")</f>
        <v>E586447</v>
      </c>
      <c r="M1035" s="72" t="str">
        <f t="shared" si="141"/>
        <v>SB010141/3/26</v>
      </c>
      <c r="N1035" s="46" t="str">
        <f t="shared" si="149"/>
        <v/>
      </c>
      <c r="O1035" s="60">
        <v>25</v>
      </c>
      <c r="P1035" s="60">
        <v>890</v>
      </c>
      <c r="Q1035" s="48">
        <v>174</v>
      </c>
      <c r="R1035" s="48">
        <v>854</v>
      </c>
      <c r="S1035" s="48">
        <v>1</v>
      </c>
      <c r="T1035" s="48" t="s">
        <v>167</v>
      </c>
      <c r="U1035" s="49">
        <v>80</v>
      </c>
      <c r="V1035" s="49"/>
      <c r="W1035" s="50"/>
      <c r="X1035" s="51" t="str">
        <f>IF(A1035="", "", IF(COUNTIFS(C$3:C1034, C1035, D$3:D1034, D1035, G$3:G1034, G1035) &gt; 0, "", "11:00"-AW1035))</f>
        <v/>
      </c>
      <c r="Y1035" s="52" t="str">
        <f t="shared" si="148"/>
        <v/>
      </c>
      <c r="Z1035" s="53"/>
      <c r="AA1035" s="54"/>
      <c r="AB1035" s="53"/>
      <c r="AC1035" s="54"/>
      <c r="AD1035" s="53"/>
      <c r="AE1035" s="54"/>
      <c r="AF1035" s="53"/>
      <c r="AG1035" s="54"/>
      <c r="AH1035" s="55">
        <v>4.1666666666666699E-2</v>
      </c>
      <c r="AI1035" s="53"/>
      <c r="AJ1035" s="54"/>
      <c r="AK1035" s="53"/>
      <c r="AL1035" s="54"/>
      <c r="AM1035" s="53"/>
      <c r="AN1035" s="54"/>
      <c r="AO1035" s="53"/>
      <c r="AP1035" s="54"/>
      <c r="AQ1035" s="53">
        <v>4.1666666666666664E-2</v>
      </c>
      <c r="AR1035" s="54" t="s">
        <v>37</v>
      </c>
      <c r="AS1035" s="53">
        <v>4.1666666666666664E-2</v>
      </c>
      <c r="AT1035" s="54" t="s">
        <v>37</v>
      </c>
      <c r="AU1035" s="53">
        <v>4.1666666666666699E-2</v>
      </c>
      <c r="AV1035" s="54" t="s">
        <v>37</v>
      </c>
      <c r="AW1035" s="57">
        <f t="shared" si="146"/>
        <v>0.12500000000000003</v>
      </c>
      <c r="AX1035" s="58" t="s">
        <v>117</v>
      </c>
    </row>
    <row r="1036" spans="1:50" ht="21" customHeight="1">
      <c r="A1036" s="66" t="s">
        <v>920</v>
      </c>
      <c r="B1036" s="39">
        <f t="shared" si="153"/>
        <v>1032</v>
      </c>
      <c r="C1036" s="40">
        <v>46045</v>
      </c>
      <c r="D1036" s="40" t="s">
        <v>32</v>
      </c>
      <c r="E1036" s="40" t="s">
        <v>33</v>
      </c>
      <c r="F1036" s="41">
        <v>765.7</v>
      </c>
      <c r="G1036" s="42" t="s">
        <v>85</v>
      </c>
      <c r="H1036" s="43" t="str">
        <f>IFERROR(VLOOKUP($J1036,'[9]FROM (3)'!$E$4:$F$230,2,FALSE),"")</f>
        <v>JTCS</v>
      </c>
      <c r="I1036" s="44" t="str">
        <f t="shared" si="152"/>
        <v>RACK, PS</v>
      </c>
      <c r="J1036" s="44" t="str">
        <f t="shared" si="150"/>
        <v>JGD10S00670-B</v>
      </c>
      <c r="K1036" s="59" t="str">
        <f t="shared" si="151"/>
        <v>PD26011057</v>
      </c>
      <c r="L1036" s="46" t="str" cm="1">
        <f t="array" ref="L1036">IFERROR(_xlfn.IFS(
    LEN($A1036)-LEN(SUBSTITUTE($A1036,"|",""))=12, RIGHT(A1036, LEN(A1036)-FIND("~", SUBSTITUTE(A1036,"|","~", LEN(A1036)-LEN(SUBSTITUTE(A1036,"|",""))))),
    LEN($A1036)-LEN(SUBSTITUTE($A1036,"|",""))=13, MID($A1036, FIND("~", SUBSTITUTE($A1036,"|","~", 11))+1, FIND("~", SUBSTITUTE($A1036,"|","~", 12))-FIND("~", SUBSTITUTE($A1036,"|","~", 11))-1),
    LEN($A1036)-LEN(SUBSTITUTE($A1036,"|",""))=14, MID($A1036, FIND("~", SUBSTITUTE($A1036,"|","~", 11))+1, FIND("~", SUBSTITUTE($A1036,"|","~", 12))-FIND("~", SUBSTITUTE($A1036,"|","~", 11))-1)
), "")</f>
        <v>E586447</v>
      </c>
      <c r="M1036" s="72" t="str">
        <f t="shared" si="141"/>
        <v>SB010141/4/26</v>
      </c>
      <c r="N1036" s="46" t="str">
        <f t="shared" si="149"/>
        <v/>
      </c>
      <c r="O1036" s="60">
        <v>25</v>
      </c>
      <c r="P1036" s="60">
        <v>890</v>
      </c>
      <c r="Q1036" s="48">
        <v>165</v>
      </c>
      <c r="R1036" s="48">
        <v>810</v>
      </c>
      <c r="S1036" s="48">
        <v>10</v>
      </c>
      <c r="T1036" s="48" t="s">
        <v>787</v>
      </c>
      <c r="U1036" s="49"/>
      <c r="V1036" s="49"/>
      <c r="W1036" s="50"/>
      <c r="X1036" s="51" t="str">
        <f>IF(A1036="", "", IF(COUNTIFS(C$3:C1035, C1036, D$3:D1035, D1036, G$3:G1035, G1036) &gt; 0, "", "11:00"-AW1036))</f>
        <v/>
      </c>
      <c r="Y1036" s="52" t="str">
        <f t="shared" si="148"/>
        <v/>
      </c>
      <c r="Z1036" s="53"/>
      <c r="AA1036" s="54"/>
      <c r="AB1036" s="53"/>
      <c r="AC1036" s="54"/>
      <c r="AD1036" s="53"/>
      <c r="AE1036" s="54"/>
      <c r="AF1036" s="53"/>
      <c r="AG1036" s="54"/>
      <c r="AH1036" s="55">
        <v>4.1666666666666699E-2</v>
      </c>
      <c r="AI1036" s="53">
        <v>4.1666666666666664E-2</v>
      </c>
      <c r="AJ1036" s="54" t="s">
        <v>82</v>
      </c>
      <c r="AK1036" s="53"/>
      <c r="AL1036" s="54"/>
      <c r="AM1036" s="53"/>
      <c r="AN1036" s="54"/>
      <c r="AO1036" s="53"/>
      <c r="AP1036" s="54"/>
      <c r="AQ1036" s="53">
        <v>4.1666666666666664E-2</v>
      </c>
      <c r="AR1036" s="54" t="s">
        <v>37</v>
      </c>
      <c r="AS1036" s="53">
        <v>4.1666666666666664E-2</v>
      </c>
      <c r="AT1036" s="54" t="s">
        <v>37</v>
      </c>
      <c r="AU1036" s="53">
        <v>4.1666666666666699E-2</v>
      </c>
      <c r="AV1036" s="54" t="s">
        <v>37</v>
      </c>
      <c r="AW1036" s="57">
        <f t="shared" si="146"/>
        <v>0.16666666666666669</v>
      </c>
      <c r="AX1036" s="58" t="s">
        <v>117</v>
      </c>
    </row>
    <row r="1037" spans="1:50" ht="21" customHeight="1">
      <c r="A1037" s="66" t="s">
        <v>921</v>
      </c>
      <c r="B1037" s="39">
        <f t="shared" si="153"/>
        <v>1033</v>
      </c>
      <c r="C1037" s="40">
        <v>46045</v>
      </c>
      <c r="D1037" s="40" t="s">
        <v>32</v>
      </c>
      <c r="E1037" s="40" t="s">
        <v>33</v>
      </c>
      <c r="F1037" s="41">
        <v>765.7</v>
      </c>
      <c r="G1037" s="42" t="s">
        <v>85</v>
      </c>
      <c r="H1037" s="43" t="str">
        <f>IFERROR(VLOOKUP($J1037,'[9]FROM (3)'!$E$4:$F$230,2,FALSE),"")</f>
        <v>JTCS</v>
      </c>
      <c r="I1037" s="44" t="str">
        <f t="shared" si="152"/>
        <v>RACK, PS</v>
      </c>
      <c r="J1037" s="44" t="str">
        <f t="shared" si="150"/>
        <v>JGD10S00670-B</v>
      </c>
      <c r="K1037" s="59" t="str">
        <f t="shared" si="151"/>
        <v>PD26011057</v>
      </c>
      <c r="L1037" s="46" t="str" cm="1">
        <f t="array" ref="L1037">IFERROR(_xlfn.IFS(
    LEN($A1037)-LEN(SUBSTITUTE($A1037,"|",""))=12, RIGHT(A1037, LEN(A1037)-FIND("~", SUBSTITUTE(A1037,"|","~", LEN(A1037)-LEN(SUBSTITUTE(A1037,"|",""))))),
    LEN($A1037)-LEN(SUBSTITUTE($A1037,"|",""))=13, MID($A1037, FIND("~", SUBSTITUTE($A1037,"|","~", 11))+1, FIND("~", SUBSTITUTE($A1037,"|","~", 12))-FIND("~", SUBSTITUTE($A1037,"|","~", 11))-1),
    LEN($A1037)-LEN(SUBSTITUTE($A1037,"|",""))=14, MID($A1037, FIND("~", SUBSTITUTE($A1037,"|","~", 11))+1, FIND("~", SUBSTITUTE($A1037,"|","~", 12))-FIND("~", SUBSTITUTE($A1037,"|","~", 11))-1)
), "")</f>
        <v>E586447</v>
      </c>
      <c r="M1037" s="72" t="str">
        <f t="shared" si="141"/>
        <v>SB010141/6/26</v>
      </c>
      <c r="N1037" s="46" t="str">
        <f t="shared" si="149"/>
        <v/>
      </c>
      <c r="O1037" s="60">
        <v>25</v>
      </c>
      <c r="P1037" s="60">
        <v>890</v>
      </c>
      <c r="Q1037" s="48">
        <v>104</v>
      </c>
      <c r="R1037" s="48">
        <v>511</v>
      </c>
      <c r="S1037" s="48">
        <v>10</v>
      </c>
      <c r="T1037" s="48" t="s">
        <v>167</v>
      </c>
      <c r="U1037" s="49"/>
      <c r="V1037" s="49"/>
      <c r="W1037" s="50"/>
      <c r="X1037" s="51" t="str">
        <f>IF(A1037="", "", IF(COUNTIFS(C$3:C1036, C1037, D$3:D1036, D1037, G$3:G1036, G1037) &gt; 0, "", "11:00"-AW1037))</f>
        <v/>
      </c>
      <c r="Y1037" s="52" t="str">
        <f t="shared" si="148"/>
        <v/>
      </c>
      <c r="Z1037" s="53"/>
      <c r="AA1037" s="54"/>
      <c r="AB1037" s="53"/>
      <c r="AC1037" s="54"/>
      <c r="AD1037" s="53"/>
      <c r="AE1037" s="54"/>
      <c r="AF1037" s="53"/>
      <c r="AG1037" s="54"/>
      <c r="AH1037" s="55">
        <v>4.1666666666666699E-2</v>
      </c>
      <c r="AI1037" s="53"/>
      <c r="AJ1037" s="54"/>
      <c r="AK1037" s="53"/>
      <c r="AL1037" s="54"/>
      <c r="AM1037" s="53"/>
      <c r="AN1037" s="54"/>
      <c r="AO1037" s="53"/>
      <c r="AP1037" s="54"/>
      <c r="AQ1037" s="53">
        <v>4.1666666666666664E-2</v>
      </c>
      <c r="AR1037" s="54" t="s">
        <v>37</v>
      </c>
      <c r="AS1037" s="53">
        <v>4.1666666666666664E-2</v>
      </c>
      <c r="AT1037" s="54" t="s">
        <v>37</v>
      </c>
      <c r="AU1037" s="53">
        <v>4.1666666666666699E-2</v>
      </c>
      <c r="AV1037" s="54" t="s">
        <v>37</v>
      </c>
      <c r="AW1037" s="57">
        <f t="shared" si="146"/>
        <v>0.12500000000000003</v>
      </c>
      <c r="AX1037" s="58" t="s">
        <v>117</v>
      </c>
    </row>
    <row r="1038" spans="1:50" ht="21" customHeight="1">
      <c r="A1038" s="66" t="s">
        <v>884</v>
      </c>
      <c r="B1038" s="39">
        <f t="shared" si="153"/>
        <v>1034</v>
      </c>
      <c r="C1038" s="40">
        <v>46045</v>
      </c>
      <c r="D1038" s="40" t="s">
        <v>32</v>
      </c>
      <c r="E1038" s="40" t="s">
        <v>33</v>
      </c>
      <c r="F1038" s="41">
        <v>72.3</v>
      </c>
      <c r="G1038" s="42" t="s">
        <v>34</v>
      </c>
      <c r="H1038" s="43" t="str">
        <f>IFERROR(VLOOKUP($J1038,'[9]FROM (3)'!$E$4:$F$230,2,FALSE),"")</f>
        <v>DNTH</v>
      </c>
      <c r="I1038" s="44" t="str">
        <f t="shared" si="152"/>
        <v>SLUG HOUSING STATOR</v>
      </c>
      <c r="J1038" s="44" t="str">
        <f t="shared" si="150"/>
        <v>TGY94265-0010</v>
      </c>
      <c r="K1038" s="59" t="str">
        <f t="shared" si="151"/>
        <v>PD26010953</v>
      </c>
      <c r="L1038" s="46" t="str" cm="1">
        <f t="array" ref="L1038">IFERROR(_xlfn.IFS(
    LEN($A1038)-LEN(SUBSTITUTE($A1038,"|",""))=12, RIGHT(A1038, LEN(A1038)-FIND("~", SUBSTITUTE(A1038,"|","~", LEN(A1038)-LEN(SUBSTITUTE(A1038,"|",""))))),
    LEN($A1038)-LEN(SUBSTITUTE($A1038,"|",""))=13, MID($A1038, FIND("~", SUBSTITUTE($A1038,"|","~", 11))+1, FIND("~", SUBSTITUTE($A1038,"|","~", 12))-FIND("~", SUBSTITUTE($A1038,"|","~", 11))-1),
    LEN($A1038)-LEN(SUBSTITUTE($A1038,"|",""))=14, MID($A1038, FIND("~", SUBSTITUTE($A1038,"|","~", 11))+1, FIND("~", SUBSTITUTE($A1038,"|","~", 12))-FIND("~", SUBSTITUTE($A1038,"|","~", 11))-1)
), "")</f>
        <v>6277A</v>
      </c>
      <c r="M1038" s="72" t="str">
        <f t="shared" si="141"/>
        <v>SB010124/2/26</v>
      </c>
      <c r="N1038" s="46" t="str">
        <f t="shared" si="149"/>
        <v/>
      </c>
      <c r="O1038" s="60" t="s">
        <v>35</v>
      </c>
      <c r="P1038" s="60" t="s">
        <v>35</v>
      </c>
      <c r="Q1038" s="48">
        <v>4059</v>
      </c>
      <c r="R1038" s="48">
        <v>293</v>
      </c>
      <c r="S1038" s="48"/>
      <c r="T1038" s="48"/>
      <c r="U1038" s="49"/>
      <c r="V1038" s="49"/>
      <c r="W1038" s="50"/>
      <c r="X1038" s="51">
        <f>IF(A1038="", "", IF(COUNTIFS(C$3:C1037, C1038, D$3:D1037, D1038, G$3:G1037, G1038) &gt; 0, "", "11:00"-AW1038))</f>
        <v>0.33333333333333326</v>
      </c>
      <c r="Y1038" s="52" t="str">
        <f t="shared" si="148"/>
        <v>1:0</v>
      </c>
      <c r="Z1038" s="53"/>
      <c r="AA1038" s="54"/>
      <c r="AB1038" s="53"/>
      <c r="AC1038" s="54"/>
      <c r="AD1038" s="53"/>
      <c r="AE1038" s="54"/>
      <c r="AF1038" s="53"/>
      <c r="AG1038" s="54"/>
      <c r="AH1038" s="55">
        <v>4.1666666666666699E-2</v>
      </c>
      <c r="AI1038" s="53"/>
      <c r="AJ1038" s="54"/>
      <c r="AK1038" s="53"/>
      <c r="AL1038" s="54"/>
      <c r="AM1038" s="53"/>
      <c r="AN1038" s="54"/>
      <c r="AO1038" s="53"/>
      <c r="AP1038" s="54"/>
      <c r="AQ1038" s="53">
        <v>4.1666666666666664E-2</v>
      </c>
      <c r="AR1038" s="54" t="s">
        <v>37</v>
      </c>
      <c r="AS1038" s="53">
        <v>4.1666666666666664E-2</v>
      </c>
      <c r="AT1038" s="54" t="s">
        <v>37</v>
      </c>
      <c r="AU1038" s="53">
        <v>4.1666666666666699E-2</v>
      </c>
      <c r="AV1038" s="54" t="s">
        <v>37</v>
      </c>
      <c r="AW1038" s="57">
        <f t="shared" si="146"/>
        <v>0.12500000000000003</v>
      </c>
      <c r="AX1038" s="58" t="s">
        <v>48</v>
      </c>
    </row>
    <row r="1039" spans="1:50" ht="21" customHeight="1">
      <c r="A1039" s="66" t="s">
        <v>885</v>
      </c>
      <c r="B1039" s="39">
        <f t="shared" si="153"/>
        <v>1035</v>
      </c>
      <c r="C1039" s="40">
        <v>46045</v>
      </c>
      <c r="D1039" s="40" t="s">
        <v>32</v>
      </c>
      <c r="E1039" s="40" t="s">
        <v>33</v>
      </c>
      <c r="F1039" s="41">
        <v>172</v>
      </c>
      <c r="G1039" s="42" t="s">
        <v>41</v>
      </c>
      <c r="H1039" s="43" t="str">
        <f>IFERROR(VLOOKUP($J1039,'[9]FROM (3)'!$E$4:$F$230,2,FALSE),"")</f>
        <v>DNTH</v>
      </c>
      <c r="I1039" s="44" t="str">
        <f t="shared" si="152"/>
        <v>BOSS ROTOR 2 W</v>
      </c>
      <c r="J1039" s="44" t="str">
        <f t="shared" si="150"/>
        <v>TGY38713-3301</v>
      </c>
      <c r="K1039" s="59" t="str">
        <f t="shared" si="151"/>
        <v>PD26010959</v>
      </c>
      <c r="L1039" s="46" t="str" cm="1">
        <f t="array" ref="L1039">IFERROR(_xlfn.IFS(
    LEN($A1039)-LEN(SUBSTITUTE($A1039,"|",""))=12, RIGHT(A1039, LEN(A1039)-FIND("~", SUBSTITUTE(A1039,"|","~", LEN(A1039)-LEN(SUBSTITUTE(A1039,"|",""))))),
    LEN($A1039)-LEN(SUBSTITUTE($A1039,"|",""))=13, MID($A1039, FIND("~", SUBSTITUTE($A1039,"|","~", 11))+1, FIND("~", SUBSTITUTE($A1039,"|","~", 12))-FIND("~", SUBSTITUTE($A1039,"|","~", 11))-1),
    LEN($A1039)-LEN(SUBSTITUTE($A1039,"|",""))=14, MID($A1039, FIND("~", SUBSTITUTE($A1039,"|","~", 11))+1, FIND("~", SUBSTITUTE($A1039,"|","~", 12))-FIND("~", SUBSTITUTE($A1039,"|","~", 11))-1)
), "")</f>
        <v>E586918</v>
      </c>
      <c r="M1039" s="72" t="str">
        <f t="shared" si="141"/>
        <v>SB010120/1/26</v>
      </c>
      <c r="N1039" s="46" t="str">
        <f t="shared" si="149"/>
        <v/>
      </c>
      <c r="O1039" s="60" t="s">
        <v>35</v>
      </c>
      <c r="P1039" s="60" t="s">
        <v>35</v>
      </c>
      <c r="Q1039" s="48">
        <v>2281</v>
      </c>
      <c r="R1039" s="48">
        <v>392</v>
      </c>
      <c r="S1039" s="48"/>
      <c r="T1039" s="48"/>
      <c r="U1039" s="49"/>
      <c r="V1039" s="49"/>
      <c r="W1039" s="50"/>
      <c r="X1039" s="51">
        <f>IF(A1039="", "", IF(COUNTIFS(C$3:C1038, C1039, D$3:D1038, D1039, G$3:G1038, G1039) &gt; 0, "", "11:00"-AW1039))</f>
        <v>0.33333333333333326</v>
      </c>
      <c r="Y1039" s="52" t="str">
        <f t="shared" si="148"/>
        <v>1:0</v>
      </c>
      <c r="Z1039" s="53"/>
      <c r="AA1039" s="54"/>
      <c r="AB1039" s="53"/>
      <c r="AC1039" s="54"/>
      <c r="AD1039" s="53"/>
      <c r="AE1039" s="54"/>
      <c r="AF1039" s="53"/>
      <c r="AG1039" s="54"/>
      <c r="AH1039" s="55">
        <v>4.1666666666666699E-2</v>
      </c>
      <c r="AI1039" s="53"/>
      <c r="AJ1039" s="54"/>
      <c r="AK1039" s="53"/>
      <c r="AL1039" s="54"/>
      <c r="AM1039" s="53"/>
      <c r="AN1039" s="54"/>
      <c r="AO1039" s="53"/>
      <c r="AP1039" s="54"/>
      <c r="AQ1039" s="53">
        <v>4.1666666666666664E-2</v>
      </c>
      <c r="AR1039" s="54" t="s">
        <v>37</v>
      </c>
      <c r="AS1039" s="53">
        <v>4.1666666666666664E-2</v>
      </c>
      <c r="AT1039" s="54" t="s">
        <v>37</v>
      </c>
      <c r="AU1039" s="53">
        <v>4.1666666666666699E-2</v>
      </c>
      <c r="AV1039" s="54" t="s">
        <v>37</v>
      </c>
      <c r="AW1039" s="57">
        <f t="shared" si="146"/>
        <v>0.12500000000000003</v>
      </c>
      <c r="AX1039" s="58" t="s">
        <v>48</v>
      </c>
    </row>
    <row r="1040" spans="1:50" ht="21" customHeight="1">
      <c r="A1040" s="66" t="s">
        <v>886</v>
      </c>
      <c r="B1040" s="39">
        <f t="shared" si="153"/>
        <v>1036</v>
      </c>
      <c r="C1040" s="40">
        <v>46045</v>
      </c>
      <c r="D1040" s="40" t="s">
        <v>32</v>
      </c>
      <c r="E1040" s="40" t="s">
        <v>33</v>
      </c>
      <c r="F1040" s="41">
        <v>129.4</v>
      </c>
      <c r="G1040" s="42" t="s">
        <v>44</v>
      </c>
      <c r="H1040" s="43" t="str">
        <f>IFERROR(VLOOKUP($J1040,'[9]FROM (3)'!$E$4:$F$230,2,FALSE),"")</f>
        <v>DNTH</v>
      </c>
      <c r="I1040" s="44" t="str">
        <f t="shared" si="152"/>
        <v>SHAFT, 2W</v>
      </c>
      <c r="J1040" s="44" t="str">
        <f t="shared" si="150"/>
        <v>TG028383-0090</v>
      </c>
      <c r="K1040" s="59" t="str">
        <f t="shared" si="151"/>
        <v>PD25110971</v>
      </c>
      <c r="L1040" s="46" t="str" cm="1">
        <f t="array" ref="L1040">IFERROR(_xlfn.IFS(
    LEN($A1040)-LEN(SUBSTITUTE($A1040,"|",""))=12, RIGHT(A1040, LEN(A1040)-FIND("~", SUBSTITUTE(A1040,"|","~", LEN(A1040)-LEN(SUBSTITUTE(A1040,"|",""))))),
    LEN($A1040)-LEN(SUBSTITUTE($A1040,"|",""))=13, MID($A1040, FIND("~", SUBSTITUTE($A1040,"|","~", 11))+1, FIND("~", SUBSTITUTE($A1040,"|","~", 12))-FIND("~", SUBSTITUTE($A1040,"|","~", 11))-1),
    LEN($A1040)-LEN(SUBSTITUTE($A1040,"|",""))=14, MID($A1040, FIND("~", SUBSTITUTE($A1040,"|","~", 11))+1, FIND("~", SUBSTITUTE($A1040,"|","~", 12))-FIND("~", SUBSTITUTE($A1040,"|","~", 11))-1)
), "")</f>
        <v>E483074</v>
      </c>
      <c r="M1040" s="72" t="str">
        <f t="shared" si="141"/>
        <v>SB110122/1/25</v>
      </c>
      <c r="N1040" s="46" t="str">
        <f t="shared" si="149"/>
        <v/>
      </c>
      <c r="O1040" s="60" t="s">
        <v>35</v>
      </c>
      <c r="P1040" s="60" t="s">
        <v>35</v>
      </c>
      <c r="Q1040" s="48">
        <v>400</v>
      </c>
      <c r="R1040" s="48">
        <v>137</v>
      </c>
      <c r="S1040" s="48"/>
      <c r="T1040" s="48"/>
      <c r="U1040" s="49"/>
      <c r="V1040" s="49"/>
      <c r="W1040" s="50"/>
      <c r="X1040" s="51">
        <f>IF(A1040="", "", IF(COUNTIFS(C$3:C1039, C1040, D$3:D1039, D1040, G$3:G1039, G1040) &gt; 0, "", "11:00"-AW1040))</f>
        <v>0.33333333333333326</v>
      </c>
      <c r="Y1040" s="52" t="str">
        <f t="shared" si="148"/>
        <v>1:0</v>
      </c>
      <c r="Z1040" s="53"/>
      <c r="AA1040" s="54"/>
      <c r="AB1040" s="53"/>
      <c r="AC1040" s="54"/>
      <c r="AD1040" s="53"/>
      <c r="AE1040" s="54"/>
      <c r="AF1040" s="53"/>
      <c r="AG1040" s="54"/>
      <c r="AH1040" s="55">
        <v>4.1666666666666699E-2</v>
      </c>
      <c r="AI1040" s="53"/>
      <c r="AJ1040" s="54"/>
      <c r="AK1040" s="53"/>
      <c r="AL1040" s="54"/>
      <c r="AM1040" s="53"/>
      <c r="AN1040" s="54"/>
      <c r="AO1040" s="53"/>
      <c r="AP1040" s="54"/>
      <c r="AQ1040" s="53">
        <v>4.1666666666666664E-2</v>
      </c>
      <c r="AR1040" s="54" t="s">
        <v>37</v>
      </c>
      <c r="AS1040" s="53">
        <v>4.1666666666666664E-2</v>
      </c>
      <c r="AT1040" s="54" t="s">
        <v>37</v>
      </c>
      <c r="AU1040" s="53">
        <v>4.1666666666666699E-2</v>
      </c>
      <c r="AV1040" s="54" t="s">
        <v>37</v>
      </c>
      <c r="AW1040" s="57">
        <f t="shared" si="146"/>
        <v>0.12500000000000003</v>
      </c>
      <c r="AX1040" s="58" t="s">
        <v>48</v>
      </c>
    </row>
    <row r="1041" spans="1:50" ht="21" customHeight="1">
      <c r="A1041" s="66" t="s">
        <v>922</v>
      </c>
      <c r="B1041" s="39">
        <f t="shared" si="153"/>
        <v>1037</v>
      </c>
      <c r="C1041" s="40">
        <v>46045</v>
      </c>
      <c r="D1041" s="40" t="s">
        <v>32</v>
      </c>
      <c r="E1041" s="40" t="s">
        <v>33</v>
      </c>
      <c r="F1041" s="41">
        <v>129.4</v>
      </c>
      <c r="G1041" s="42" t="s">
        <v>44</v>
      </c>
      <c r="H1041" s="43" t="str">
        <f>IFERROR(VLOOKUP($J1041,'[9]FROM (3)'!$E$4:$F$230,2,FALSE),"")</f>
        <v>DNTH</v>
      </c>
      <c r="I1041" s="44" t="str">
        <f t="shared" si="152"/>
        <v>SHAFT, 2W</v>
      </c>
      <c r="J1041" s="44" t="str">
        <f t="shared" si="150"/>
        <v>TG028383-0090</v>
      </c>
      <c r="K1041" s="59" t="str">
        <f t="shared" si="151"/>
        <v>PD25110971</v>
      </c>
      <c r="L1041" s="46" t="str" cm="1">
        <f t="array" ref="L1041">IFERROR(_xlfn.IFS(
    LEN($A1041)-LEN(SUBSTITUTE($A1041,"|",""))=12, RIGHT(A1041, LEN(A1041)-FIND("~", SUBSTITUTE(A1041,"|","~", LEN(A1041)-LEN(SUBSTITUTE(A1041,"|",""))))),
    LEN($A1041)-LEN(SUBSTITUTE($A1041,"|",""))=13, MID($A1041, FIND("~", SUBSTITUTE($A1041,"|","~", 11))+1, FIND("~", SUBSTITUTE($A1041,"|","~", 12))-FIND("~", SUBSTITUTE($A1041,"|","~", 11))-1),
    LEN($A1041)-LEN(SUBSTITUTE($A1041,"|",""))=14, MID($A1041, FIND("~", SUBSTITUTE($A1041,"|","~", 11))+1, FIND("~", SUBSTITUTE($A1041,"|","~", 12))-FIND("~", SUBSTITUTE($A1041,"|","~", 11))-1)
), "")</f>
        <v>E483074</v>
      </c>
      <c r="M1041" s="72" t="str">
        <f t="shared" si="141"/>
        <v>SB110122/3/25</v>
      </c>
      <c r="N1041" s="46" t="str">
        <f t="shared" si="149"/>
        <v/>
      </c>
      <c r="O1041" s="60" t="s">
        <v>35</v>
      </c>
      <c r="P1041" s="60" t="s">
        <v>35</v>
      </c>
      <c r="Q1041" s="48">
        <v>2416</v>
      </c>
      <c r="R1041" s="48">
        <v>826</v>
      </c>
      <c r="S1041" s="48"/>
      <c r="T1041" s="48"/>
      <c r="U1041" s="49"/>
      <c r="V1041" s="49"/>
      <c r="W1041" s="50"/>
      <c r="X1041" s="51" t="str">
        <f>IF(A1041="", "", IF(COUNTIFS(C$3:C1040, C1041, D$3:D1040, D1041, G$3:G1040, G1041) &gt; 0, "", "11:00"-AW1041))</f>
        <v/>
      </c>
      <c r="Y1041" s="52" t="str">
        <f t="shared" si="148"/>
        <v/>
      </c>
      <c r="Z1041" s="53"/>
      <c r="AA1041" s="54"/>
      <c r="AB1041" s="53"/>
      <c r="AC1041" s="54"/>
      <c r="AD1041" s="53"/>
      <c r="AE1041" s="54"/>
      <c r="AF1041" s="53"/>
      <c r="AG1041" s="54"/>
      <c r="AH1041" s="55">
        <v>4.1666666666666699E-2</v>
      </c>
      <c r="AI1041" s="53"/>
      <c r="AJ1041" s="54"/>
      <c r="AK1041" s="53"/>
      <c r="AL1041" s="54"/>
      <c r="AM1041" s="53"/>
      <c r="AN1041" s="54"/>
      <c r="AO1041" s="53"/>
      <c r="AP1041" s="54"/>
      <c r="AQ1041" s="53">
        <v>4.1666666666666664E-2</v>
      </c>
      <c r="AR1041" s="54" t="s">
        <v>37</v>
      </c>
      <c r="AS1041" s="53">
        <v>4.1666666666666664E-2</v>
      </c>
      <c r="AT1041" s="54" t="s">
        <v>37</v>
      </c>
      <c r="AU1041" s="53">
        <v>4.1666666666666699E-2</v>
      </c>
      <c r="AV1041" s="54" t="s">
        <v>37</v>
      </c>
      <c r="AW1041" s="57">
        <f t="shared" si="146"/>
        <v>0.12500000000000003</v>
      </c>
      <c r="AX1041" s="58" t="s">
        <v>48</v>
      </c>
    </row>
    <row r="1042" spans="1:50" ht="21" customHeight="1">
      <c r="A1042" s="66" t="s">
        <v>892</v>
      </c>
      <c r="B1042" s="39">
        <f t="shared" si="153"/>
        <v>1038</v>
      </c>
      <c r="C1042" s="40">
        <v>46045</v>
      </c>
      <c r="D1042" s="40" t="s">
        <v>32</v>
      </c>
      <c r="E1042" s="40" t="s">
        <v>33</v>
      </c>
      <c r="F1042" s="41">
        <v>597.4</v>
      </c>
      <c r="G1042" s="42" t="s">
        <v>54</v>
      </c>
      <c r="H1042" s="43" t="str">
        <f>IFERROR(VLOOKUP($J1042,'[9]FROM (3)'!$E$4:$F$230,2,FALSE),"")</f>
        <v>JTCS</v>
      </c>
      <c r="I1042" s="44" t="str">
        <f t="shared" si="152"/>
        <v>Rack, MS</v>
      </c>
      <c r="J1042" s="44" t="str">
        <f t="shared" si="150"/>
        <v>JGC10-003770-40-0</v>
      </c>
      <c r="K1042" s="59" t="str">
        <f t="shared" si="151"/>
        <v>PD26010905</v>
      </c>
      <c r="L1042" s="46" t="str" cm="1">
        <f t="array" ref="L1042">IFERROR(_xlfn.IFS(
    LEN($A1042)-LEN(SUBSTITUTE($A1042,"|",""))=12, RIGHT(A1042, LEN(A1042)-FIND("~", SUBSTITUTE(A1042,"|","~", LEN(A1042)-LEN(SUBSTITUTE(A1042,"|",""))))),
    LEN($A1042)-LEN(SUBSTITUTE($A1042,"|",""))=13, MID($A1042, FIND("~", SUBSTITUTE($A1042,"|","~", 11))+1, FIND("~", SUBSTITUTE($A1042,"|","~", 12))-FIND("~", SUBSTITUTE($A1042,"|","~", 11))-1),
    LEN($A1042)-LEN(SUBSTITUTE($A1042,"|",""))=14, MID($A1042, FIND("~", SUBSTITUTE($A1042,"|","~", 11))+1, FIND("~", SUBSTITUTE($A1042,"|","~", 12))-FIND("~", SUBSTITUTE($A1042,"|","~", 11))-1)
), "")</f>
        <v>E585971</v>
      </c>
      <c r="M1042" s="72" t="str">
        <f t="shared" si="141"/>
        <v>SB010111/1/26</v>
      </c>
      <c r="N1042" s="46" t="str">
        <f t="shared" si="149"/>
        <v/>
      </c>
      <c r="O1042" s="60"/>
      <c r="P1042" s="60"/>
      <c r="Q1042" s="48">
        <v>256</v>
      </c>
      <c r="R1042" s="48">
        <v>543</v>
      </c>
      <c r="S1042" s="48">
        <v>2</v>
      </c>
      <c r="T1042" s="48" t="s">
        <v>167</v>
      </c>
      <c r="U1042" s="49"/>
      <c r="V1042" s="49"/>
      <c r="W1042" s="50"/>
      <c r="X1042" s="51">
        <f>IF(A1042="", "", IF(COUNTIFS(C$3:C1041, C1042, D$3:D1041, D1042, G$3:G1041, G1042) &gt; 0, "", "11:00"-AW1042))</f>
        <v>0.33333333333333326</v>
      </c>
      <c r="Y1042" s="52" t="str">
        <f t="shared" si="148"/>
        <v>1:0</v>
      </c>
      <c r="Z1042" s="53"/>
      <c r="AA1042" s="54"/>
      <c r="AB1042" s="53"/>
      <c r="AC1042" s="54"/>
      <c r="AD1042" s="53"/>
      <c r="AE1042" s="54"/>
      <c r="AF1042" s="53"/>
      <c r="AG1042" s="54"/>
      <c r="AH1042" s="55">
        <v>4.1666666666666699E-2</v>
      </c>
      <c r="AI1042" s="53"/>
      <c r="AJ1042" s="54"/>
      <c r="AK1042" s="53"/>
      <c r="AL1042" s="54" t="s">
        <v>122</v>
      </c>
      <c r="AM1042" s="53"/>
      <c r="AN1042" s="54"/>
      <c r="AO1042" s="53"/>
      <c r="AP1042" s="54"/>
      <c r="AQ1042" s="53">
        <v>4.1666666666666664E-2</v>
      </c>
      <c r="AR1042" s="54" t="s">
        <v>37</v>
      </c>
      <c r="AS1042" s="53">
        <v>4.1666666666666664E-2</v>
      </c>
      <c r="AT1042" s="54" t="s">
        <v>37</v>
      </c>
      <c r="AU1042" s="53">
        <v>4.1666666666666699E-2</v>
      </c>
      <c r="AV1042" s="54" t="s">
        <v>37</v>
      </c>
      <c r="AW1042" s="57">
        <f t="shared" si="146"/>
        <v>0.12500000000000003</v>
      </c>
      <c r="AX1042" s="58" t="s">
        <v>56</v>
      </c>
    </row>
    <row r="1043" spans="1:50" ht="21" customHeight="1">
      <c r="A1043" s="66" t="s">
        <v>923</v>
      </c>
      <c r="B1043" s="39">
        <f t="shared" si="153"/>
        <v>1039</v>
      </c>
      <c r="C1043" s="40">
        <v>46045</v>
      </c>
      <c r="D1043" s="40" t="s">
        <v>32</v>
      </c>
      <c r="E1043" s="40" t="s">
        <v>33</v>
      </c>
      <c r="F1043" s="41">
        <v>597.4</v>
      </c>
      <c r="G1043" s="42" t="s">
        <v>54</v>
      </c>
      <c r="H1043" s="43" t="str">
        <f>IFERROR(VLOOKUP($J1043,'[9]FROM (3)'!$E$4:$F$230,2,FALSE),"")</f>
        <v>JTCS</v>
      </c>
      <c r="I1043" s="44" t="str">
        <f t="shared" si="152"/>
        <v>Rack, MS</v>
      </c>
      <c r="J1043" s="44" t="str">
        <f t="shared" si="150"/>
        <v>JGC10-003770-40-0</v>
      </c>
      <c r="K1043" s="59" t="str">
        <f t="shared" si="151"/>
        <v>PD26010905</v>
      </c>
      <c r="L1043" s="46" t="str" cm="1">
        <f t="array" ref="L1043">IFERROR(_xlfn.IFS(
    LEN($A1043)-LEN(SUBSTITUTE($A1043,"|",""))=12, RIGHT(A1043, LEN(A1043)-FIND("~", SUBSTITUTE(A1043,"|","~", LEN(A1043)-LEN(SUBSTITUTE(A1043,"|",""))))),
    LEN($A1043)-LEN(SUBSTITUTE($A1043,"|",""))=13, MID($A1043, FIND("~", SUBSTITUTE($A1043,"|","~", 11))+1, FIND("~", SUBSTITUTE($A1043,"|","~", 12))-FIND("~", SUBSTITUTE($A1043,"|","~", 11))-1),
    LEN($A1043)-LEN(SUBSTITUTE($A1043,"|",""))=14, MID($A1043, FIND("~", SUBSTITUTE($A1043,"|","~", 11))+1, FIND("~", SUBSTITUTE($A1043,"|","~", 12))-FIND("~", SUBSTITUTE($A1043,"|","~", 11))-1)
), "")</f>
        <v>E585971</v>
      </c>
      <c r="M1043" s="72" t="str">
        <f t="shared" si="141"/>
        <v>SB010111/2/26</v>
      </c>
      <c r="N1043" s="46" t="str">
        <f t="shared" si="149"/>
        <v/>
      </c>
      <c r="O1043" s="60">
        <v>77</v>
      </c>
      <c r="P1043" s="60">
        <v>866</v>
      </c>
      <c r="Q1043" s="48">
        <v>385</v>
      </c>
      <c r="R1043" s="48">
        <v>816</v>
      </c>
      <c r="S1043" s="48"/>
      <c r="T1043" s="48"/>
      <c r="U1043" s="49">
        <v>94</v>
      </c>
      <c r="V1043" s="49">
        <v>7</v>
      </c>
      <c r="W1043" s="50"/>
      <c r="X1043" s="51" t="str">
        <f>IF(A1043="", "", IF(COUNTIFS(C$3:C1042, C1043, D$3:D1042, D1043, G$3:G1042, G1043) &gt; 0, "", "11:00"-AW1043))</f>
        <v/>
      </c>
      <c r="Y1043" s="52" t="str">
        <f t="shared" si="148"/>
        <v/>
      </c>
      <c r="Z1043" s="53"/>
      <c r="AA1043" s="54"/>
      <c r="AB1043" s="53"/>
      <c r="AC1043" s="54"/>
      <c r="AD1043" s="53"/>
      <c r="AE1043" s="54"/>
      <c r="AF1043" s="53"/>
      <c r="AG1043" s="54"/>
      <c r="AH1043" s="55">
        <v>4.1666666666666699E-2</v>
      </c>
      <c r="AI1043" s="53"/>
      <c r="AJ1043" s="54"/>
      <c r="AK1043" s="53"/>
      <c r="AL1043" s="54"/>
      <c r="AM1043" s="53"/>
      <c r="AN1043" s="54"/>
      <c r="AO1043" s="53"/>
      <c r="AP1043" s="54"/>
      <c r="AQ1043" s="53"/>
      <c r="AR1043" s="54"/>
      <c r="AS1043" s="53"/>
      <c r="AT1043" s="54"/>
      <c r="AU1043" s="53">
        <v>4.1666666666666699E-2</v>
      </c>
      <c r="AV1043" s="54" t="s">
        <v>37</v>
      </c>
      <c r="AW1043" s="57">
        <f t="shared" si="146"/>
        <v>4.1666666666666699E-2</v>
      </c>
      <c r="AX1043" s="58" t="s">
        <v>56</v>
      </c>
    </row>
    <row r="1044" spans="1:50" ht="21" customHeight="1">
      <c r="A1044" s="66" t="s">
        <v>924</v>
      </c>
      <c r="B1044" s="39">
        <f t="shared" si="153"/>
        <v>1040</v>
      </c>
      <c r="C1044" s="40">
        <v>46045</v>
      </c>
      <c r="D1044" s="40" t="s">
        <v>32</v>
      </c>
      <c r="E1044" s="40" t="s">
        <v>33</v>
      </c>
      <c r="F1044" s="41">
        <v>597.4</v>
      </c>
      <c r="G1044" s="42" t="s">
        <v>54</v>
      </c>
      <c r="H1044" s="43" t="str">
        <f>IFERROR(VLOOKUP($J1044,'[9]FROM (3)'!$E$4:$F$230,2,FALSE),"")</f>
        <v>JTCS</v>
      </c>
      <c r="I1044" s="44" t="str">
        <f t="shared" si="152"/>
        <v>Rack, MS</v>
      </c>
      <c r="J1044" s="44" t="str">
        <f t="shared" si="150"/>
        <v>JGC10-003770-40-0</v>
      </c>
      <c r="K1044" s="59" t="str">
        <f t="shared" si="151"/>
        <v>PD26010904</v>
      </c>
      <c r="L1044" s="46" t="str" cm="1">
        <f t="array" ref="L1044">IFERROR(_xlfn.IFS(
    LEN($A1044)-LEN(SUBSTITUTE($A1044,"|",""))=12, RIGHT(A1044, LEN(A1044)-FIND("~", SUBSTITUTE(A1044,"|","~", LEN(A1044)-LEN(SUBSTITUTE(A1044,"|",""))))),
    LEN($A1044)-LEN(SUBSTITUTE($A1044,"|",""))=13, MID($A1044, FIND("~", SUBSTITUTE($A1044,"|","~", 11))+1, FIND("~", SUBSTITUTE($A1044,"|","~", 12))-FIND("~", SUBSTITUTE($A1044,"|","~", 11))-1),
    LEN($A1044)-LEN(SUBSTITUTE($A1044,"|",""))=14, MID($A1044, FIND("~", SUBSTITUTE($A1044,"|","~", 11))+1, FIND("~", SUBSTITUTE($A1044,"|","~", 12))-FIND("~", SUBSTITUTE($A1044,"|","~", 11))-1)
), "")</f>
        <v>E586613</v>
      </c>
      <c r="M1044" s="72" t="str">
        <f t="shared" si="141"/>
        <v>SB010109/2/26</v>
      </c>
      <c r="N1044" s="46" t="str">
        <f t="shared" si="149"/>
        <v/>
      </c>
      <c r="O1044" s="60">
        <v>80</v>
      </c>
      <c r="P1044" s="60">
        <v>904</v>
      </c>
      <c r="Q1044" s="48">
        <v>317</v>
      </c>
      <c r="R1044" s="48">
        <v>672</v>
      </c>
      <c r="S1044" s="48"/>
      <c r="T1044" s="48"/>
      <c r="U1044" s="49"/>
      <c r="V1044" s="49"/>
      <c r="W1044" s="50"/>
      <c r="X1044" s="51" t="str">
        <f>IF(A1044="", "", IF(COUNTIFS(C$3:C1043, C1044, D$3:D1043, D1044, G$3:G1043, G1044) &gt; 0, "", "11:00"-AW1044))</f>
        <v/>
      </c>
      <c r="Y1044" s="52" t="str">
        <f t="shared" si="148"/>
        <v/>
      </c>
      <c r="Z1044" s="53"/>
      <c r="AA1044" s="54"/>
      <c r="AB1044" s="53"/>
      <c r="AC1044" s="54"/>
      <c r="AD1044" s="53"/>
      <c r="AE1044" s="54"/>
      <c r="AF1044" s="53"/>
      <c r="AG1044" s="54"/>
      <c r="AH1044" s="55">
        <v>4.1666666666666699E-2</v>
      </c>
      <c r="AI1044" s="53"/>
      <c r="AJ1044" s="54"/>
      <c r="AK1044" s="53"/>
      <c r="AL1044" s="54"/>
      <c r="AM1044" s="53"/>
      <c r="AN1044" s="54"/>
      <c r="AO1044" s="53"/>
      <c r="AP1044" s="54"/>
      <c r="AQ1044" s="53"/>
      <c r="AR1044" s="54"/>
      <c r="AS1044" s="53"/>
      <c r="AT1044" s="54"/>
      <c r="AU1044" s="53">
        <v>4.1666666666666699E-2</v>
      </c>
      <c r="AV1044" s="54" t="s">
        <v>37</v>
      </c>
      <c r="AW1044" s="57">
        <f t="shared" si="146"/>
        <v>4.1666666666666699E-2</v>
      </c>
      <c r="AX1044" s="58" t="s">
        <v>56</v>
      </c>
    </row>
    <row r="1045" spans="1:50" ht="21" customHeight="1">
      <c r="A1045" s="66" t="s">
        <v>914</v>
      </c>
      <c r="B1045" s="39">
        <f t="shared" si="153"/>
        <v>1041</v>
      </c>
      <c r="C1045" s="40">
        <v>46045</v>
      </c>
      <c r="D1045" s="40" t="s">
        <v>32</v>
      </c>
      <c r="E1045" s="40" t="s">
        <v>33</v>
      </c>
      <c r="F1045" s="41">
        <v>167.7</v>
      </c>
      <c r="G1045" s="42" t="s">
        <v>62</v>
      </c>
      <c r="H1045" s="43" t="str">
        <f>IFERROR(VLOOKUP($J1045,'[9]FROM (3)'!$E$4:$F$230,2,FALSE),"")</f>
        <v>DNTH</v>
      </c>
      <c r="I1045" s="44" t="str">
        <f t="shared" si="152"/>
        <v>SHAFT STARTER ARMATURE, 1W</v>
      </c>
      <c r="J1045" s="44" t="str">
        <f t="shared" si="150"/>
        <v>TG028993-557B</v>
      </c>
      <c r="K1045" s="59" t="str">
        <f t="shared" si="151"/>
        <v>PD26011055</v>
      </c>
      <c r="L1045" s="46" t="str" cm="1">
        <f t="array" ref="L1045">IFERROR(_xlfn.IFS(
    LEN($A1045)-LEN(SUBSTITUTE($A1045,"|",""))=12, RIGHT(A1045, LEN(A1045)-FIND("~", SUBSTITUTE(A1045,"|","~", LEN(A1045)-LEN(SUBSTITUTE(A1045,"|",""))))),
    LEN($A1045)-LEN(SUBSTITUTE($A1045,"|",""))=13, MID($A1045, FIND("~", SUBSTITUTE($A1045,"|","~", 11))+1, FIND("~", SUBSTITUTE($A1045,"|","~", 12))-FIND("~", SUBSTITUTE($A1045,"|","~", 11))-1),
    LEN($A1045)-LEN(SUBSTITUTE($A1045,"|",""))=14, MID($A1045, FIND("~", SUBSTITUTE($A1045,"|","~", 11))+1, FIND("~", SUBSTITUTE($A1045,"|","~", 12))-FIND("~", SUBSTITUTE($A1045,"|","~", 11))-1)
), "")</f>
        <v>E586473</v>
      </c>
      <c r="M1045" s="72" t="str">
        <f t="shared" si="141"/>
        <v>SB010082/1/26</v>
      </c>
      <c r="N1045" s="46" t="str">
        <f t="shared" si="149"/>
        <v/>
      </c>
      <c r="O1045" s="60">
        <v>0</v>
      </c>
      <c r="P1045" s="60">
        <v>0</v>
      </c>
      <c r="Q1045" s="48">
        <v>320</v>
      </c>
      <c r="R1045" s="48">
        <v>76</v>
      </c>
      <c r="S1045" s="48"/>
      <c r="T1045" s="48"/>
      <c r="U1045" s="49"/>
      <c r="V1045" s="49"/>
      <c r="W1045" s="50"/>
      <c r="X1045" s="51">
        <f>IF(A1045="", "", IF(COUNTIFS(C$3:C1044, C1045, D$3:D1044, D1045, G$3:G1044, G1045) &gt; 0, "", "11:00"-AW1045))</f>
        <v>0.16666666666666663</v>
      </c>
      <c r="Y1045" s="52" t="str">
        <f t="shared" si="148"/>
        <v>1:0</v>
      </c>
      <c r="Z1045" s="53">
        <v>2.0833333333333332E-2</v>
      </c>
      <c r="AA1045" s="54" t="s">
        <v>63</v>
      </c>
      <c r="AB1045" s="53"/>
      <c r="AC1045" s="54"/>
      <c r="AD1045" s="53">
        <v>4.1666666666666664E-2</v>
      </c>
      <c r="AE1045" s="54" t="s">
        <v>90</v>
      </c>
      <c r="AF1045" s="53">
        <v>4.1666666666666664E-2</v>
      </c>
      <c r="AG1045" s="54" t="s">
        <v>90</v>
      </c>
      <c r="AH1045" s="55">
        <v>4.1666666666666699E-2</v>
      </c>
      <c r="AI1045" s="53">
        <v>4.1666666666666664E-2</v>
      </c>
      <c r="AJ1045" s="54" t="s">
        <v>90</v>
      </c>
      <c r="AK1045" s="53">
        <v>2.0833333333333332E-2</v>
      </c>
      <c r="AL1045" s="54" t="s">
        <v>90</v>
      </c>
      <c r="AM1045" s="53"/>
      <c r="AN1045" s="54"/>
      <c r="AO1045" s="53"/>
      <c r="AP1045" s="54"/>
      <c r="AQ1045" s="53">
        <v>4.1666666666666664E-2</v>
      </c>
      <c r="AR1045" s="54" t="s">
        <v>37</v>
      </c>
      <c r="AS1045" s="53">
        <v>4.1666666666666664E-2</v>
      </c>
      <c r="AT1045" s="54" t="s">
        <v>37</v>
      </c>
      <c r="AU1045" s="53">
        <v>4.1666666666666699E-2</v>
      </c>
      <c r="AV1045" s="54" t="s">
        <v>37</v>
      </c>
      <c r="AW1045" s="57">
        <f t="shared" si="146"/>
        <v>0.29166666666666669</v>
      </c>
      <c r="AX1045" s="58" t="s">
        <v>64</v>
      </c>
    </row>
    <row r="1046" spans="1:50" ht="21" customHeight="1">
      <c r="A1046" s="66" t="s">
        <v>925</v>
      </c>
      <c r="B1046" s="39">
        <f t="shared" si="153"/>
        <v>1042</v>
      </c>
      <c r="C1046" s="40">
        <v>46045</v>
      </c>
      <c r="D1046" s="40" t="s">
        <v>32</v>
      </c>
      <c r="E1046" s="40" t="s">
        <v>33</v>
      </c>
      <c r="F1046" s="41">
        <v>167.7</v>
      </c>
      <c r="G1046" s="42" t="s">
        <v>62</v>
      </c>
      <c r="H1046" s="43" t="str">
        <f>IFERROR(VLOOKUP($J1046,'[9]FROM (3)'!$E$4:$F$230,2,FALSE),"")</f>
        <v>DNTH</v>
      </c>
      <c r="I1046" s="44" t="str">
        <f t="shared" si="152"/>
        <v>SHAFT STARTER ARMATURE, 1W</v>
      </c>
      <c r="J1046" s="44" t="str">
        <f t="shared" si="150"/>
        <v>TG028993-557B</v>
      </c>
      <c r="K1046" s="59" t="str">
        <f t="shared" si="151"/>
        <v>PD26011055</v>
      </c>
      <c r="L1046" s="46" t="str" cm="1">
        <f t="array" ref="L1046">IFERROR(_xlfn.IFS(
    LEN($A1046)-LEN(SUBSTITUTE($A1046,"|",""))=12, RIGHT(A1046, LEN(A1046)-FIND("~", SUBSTITUTE(A1046,"|","~", LEN(A1046)-LEN(SUBSTITUTE(A1046,"|",""))))),
    LEN($A1046)-LEN(SUBSTITUTE($A1046,"|",""))=13, MID($A1046, FIND("~", SUBSTITUTE($A1046,"|","~", 11))+1, FIND("~", SUBSTITUTE($A1046,"|","~", 12))-FIND("~", SUBSTITUTE($A1046,"|","~", 11))-1),
    LEN($A1046)-LEN(SUBSTITUTE($A1046,"|",""))=14, MID($A1046, FIND("~", SUBSTITUTE($A1046,"|","~", 11))+1, FIND("~", SUBSTITUTE($A1046,"|","~", 12))-FIND("~", SUBSTITUTE($A1046,"|","~", 11))-1)
), "")</f>
        <v>E586473</v>
      </c>
      <c r="M1046" s="72" t="str">
        <f t="shared" si="141"/>
        <v>SB010082/2/26</v>
      </c>
      <c r="N1046" s="46" t="str">
        <f t="shared" si="149"/>
        <v/>
      </c>
      <c r="O1046" s="60">
        <v>36</v>
      </c>
      <c r="P1046" s="60">
        <v>209</v>
      </c>
      <c r="Q1046" s="48">
        <v>165</v>
      </c>
      <c r="R1046" s="48">
        <v>39</v>
      </c>
      <c r="S1046" s="48"/>
      <c r="T1046" s="48"/>
      <c r="U1046" s="49"/>
      <c r="V1046" s="49"/>
      <c r="W1046" s="50"/>
      <c r="X1046" s="51" t="str">
        <f>IF(A1046="", "", IF(COUNTIFS(C$3:C1045, C1046, D$3:D1045, D1046, G$3:G1045, G1046) &gt; 0, "", "11:00"-AW1046))</f>
        <v/>
      </c>
      <c r="Y1046" s="52" t="str">
        <f t="shared" si="148"/>
        <v/>
      </c>
      <c r="Z1046" s="53"/>
      <c r="AA1046" s="54"/>
      <c r="AB1046" s="53"/>
      <c r="AC1046" s="54"/>
      <c r="AD1046" s="53"/>
      <c r="AE1046" s="54"/>
      <c r="AF1046" s="53"/>
      <c r="AG1046" s="54"/>
      <c r="AH1046" s="55">
        <v>4.1666666666666699E-2</v>
      </c>
      <c r="AI1046" s="53"/>
      <c r="AJ1046" s="54"/>
      <c r="AK1046" s="53"/>
      <c r="AL1046" s="54"/>
      <c r="AM1046" s="53"/>
      <c r="AN1046" s="54"/>
      <c r="AO1046" s="53"/>
      <c r="AP1046" s="54"/>
      <c r="AQ1046" s="53"/>
      <c r="AR1046" s="54"/>
      <c r="AS1046" s="53"/>
      <c r="AT1046" s="54"/>
      <c r="AU1046" s="53">
        <v>4.1666666666666699E-2</v>
      </c>
      <c r="AV1046" s="54" t="s">
        <v>37</v>
      </c>
      <c r="AW1046" s="57">
        <f t="shared" si="146"/>
        <v>4.1666666666666699E-2</v>
      </c>
      <c r="AX1046" s="58" t="s">
        <v>64</v>
      </c>
    </row>
    <row r="1047" spans="1:50" ht="21" customHeight="1">
      <c r="A1047" s="66" t="s">
        <v>898</v>
      </c>
      <c r="B1047" s="39">
        <f t="shared" si="153"/>
        <v>1043</v>
      </c>
      <c r="C1047" s="40">
        <v>46045</v>
      </c>
      <c r="D1047" s="40" t="s">
        <v>32</v>
      </c>
      <c r="E1047" s="40" t="s">
        <v>33</v>
      </c>
      <c r="F1047" s="41">
        <v>698.5</v>
      </c>
      <c r="G1047" s="42" t="s">
        <v>66</v>
      </c>
      <c r="H1047" s="43" t="str">
        <f>IFERROR(VLOOKUP($J1047,'[9]FROM (3)'!$E$4:$F$230,2,FALSE),"")</f>
        <v>JCTTH</v>
      </c>
      <c r="I1047" s="44" t="str">
        <f t="shared" si="152"/>
        <v>RACK BAR</v>
      </c>
      <c r="J1047" s="44" t="str">
        <f t="shared" si="150"/>
        <v>JGD10-000751/000761-A</v>
      </c>
      <c r="K1047" s="59" t="str">
        <f t="shared" si="151"/>
        <v>PD26010571</v>
      </c>
      <c r="L1047" s="46" t="str" cm="1">
        <f t="array" ref="L1047">IFERROR(_xlfn.IFS(
    LEN($A1047)-LEN(SUBSTITUTE($A1047,"|",""))=12, RIGHT(A1047, LEN(A1047)-FIND("~", SUBSTITUTE(A1047,"|","~", LEN(A1047)-LEN(SUBSTITUTE(A1047,"|",""))))),
    LEN($A1047)-LEN(SUBSTITUTE($A1047,"|",""))=13, MID($A1047, FIND("~", SUBSTITUTE($A1047,"|","~", 11))+1, FIND("~", SUBSTITUTE($A1047,"|","~", 12))-FIND("~", SUBSTITUTE($A1047,"|","~", 11))-1),
    LEN($A1047)-LEN(SUBSTITUTE($A1047,"|",""))=14, MID($A1047, FIND("~", SUBSTITUTE($A1047,"|","~", 11))+1, FIND("~", SUBSTITUTE($A1047,"|","~", 12))-FIND("~", SUBSTITUTE($A1047,"|","~", 11))-1)
), "")</f>
        <v>665077</v>
      </c>
      <c r="M1047" s="72" t="str">
        <f t="shared" si="141"/>
        <v>SB010059/1/26</v>
      </c>
      <c r="N1047" s="46" t="str">
        <f t="shared" si="149"/>
        <v/>
      </c>
      <c r="O1047" s="60">
        <v>46</v>
      </c>
      <c r="P1047" s="60">
        <v>891</v>
      </c>
      <c r="Q1047" s="48">
        <v>181</v>
      </c>
      <c r="R1047" s="48">
        <v>810</v>
      </c>
      <c r="S1047" s="48"/>
      <c r="T1047" s="48"/>
      <c r="U1047" s="49">
        <v>195</v>
      </c>
      <c r="V1047" s="49">
        <v>10</v>
      </c>
      <c r="W1047" s="50"/>
      <c r="X1047" s="51">
        <f>IF(A1047="", "", IF(COUNTIFS(C$3:C1046, C1047, D$3:D1046, D1047, G$3:G1046, G1047) &gt; 0, "", "11:00"-AW1047))</f>
        <v>0.37499999999999994</v>
      </c>
      <c r="Y1047" s="52" t="str">
        <f t="shared" si="148"/>
        <v>1:40</v>
      </c>
      <c r="Z1047" s="53"/>
      <c r="AA1047" s="54"/>
      <c r="AB1047" s="53"/>
      <c r="AC1047" s="54"/>
      <c r="AD1047" s="53">
        <v>4.1666666666666664E-2</v>
      </c>
      <c r="AE1047" s="54" t="s">
        <v>67</v>
      </c>
      <c r="AF1047" s="53"/>
      <c r="AG1047" s="54"/>
      <c r="AH1047" s="55">
        <v>4.1666666666666699E-2</v>
      </c>
      <c r="AI1047" s="53"/>
      <c r="AJ1047" s="54"/>
      <c r="AK1047" s="53"/>
      <c r="AL1047" s="54"/>
      <c r="AM1047" s="53"/>
      <c r="AN1047" s="54"/>
      <c r="AO1047" s="53"/>
      <c r="AP1047" s="54"/>
      <c r="AQ1047" s="53"/>
      <c r="AR1047" s="54"/>
      <c r="AS1047" s="53"/>
      <c r="AT1047" s="54"/>
      <c r="AU1047" s="53">
        <v>4.1666666666666699E-2</v>
      </c>
      <c r="AV1047" s="54" t="s">
        <v>37</v>
      </c>
      <c r="AW1047" s="57">
        <f t="shared" si="146"/>
        <v>8.333333333333337E-2</v>
      </c>
      <c r="AX1047" s="58" t="s">
        <v>68</v>
      </c>
    </row>
    <row r="1048" spans="1:50" ht="21" customHeight="1">
      <c r="A1048" s="66" t="s">
        <v>926</v>
      </c>
      <c r="B1048" s="39">
        <f t="shared" si="153"/>
        <v>1044</v>
      </c>
      <c r="C1048" s="40">
        <v>46045</v>
      </c>
      <c r="D1048" s="40" t="s">
        <v>32</v>
      </c>
      <c r="E1048" s="40" t="s">
        <v>33</v>
      </c>
      <c r="F1048" s="41">
        <v>598.79999999999995</v>
      </c>
      <c r="G1048" s="42" t="s">
        <v>66</v>
      </c>
      <c r="H1048" s="43" t="str">
        <f>IFERROR(VLOOKUP($J1048,'[9]FROM (3)'!$E$4:$F$230,2,FALSE),"")</f>
        <v>JTCS</v>
      </c>
      <c r="I1048" s="44" t="str">
        <f t="shared" si="152"/>
        <v>RACK, MS</v>
      </c>
      <c r="J1048" s="44" t="str">
        <f t="shared" si="150"/>
        <v>JGC10-001180-S</v>
      </c>
      <c r="K1048" s="59" t="str">
        <f t="shared" si="151"/>
        <v>PD26010777</v>
      </c>
      <c r="L1048" s="46" t="str" cm="1">
        <f t="array" ref="L1048">IFERROR(_xlfn.IFS(
    LEN($A1048)-LEN(SUBSTITUTE($A1048,"|",""))=12, RIGHT(A1048, LEN(A1048)-FIND("~", SUBSTITUTE(A1048,"|","~", LEN(A1048)-LEN(SUBSTITUTE(A1048,"|",""))))),
    LEN($A1048)-LEN(SUBSTITUTE($A1048,"|",""))=13, MID($A1048, FIND("~", SUBSTITUTE($A1048,"|","~", 11))+1, FIND("~", SUBSTITUTE($A1048,"|","~", 12))-FIND("~", SUBSTITUTE($A1048,"|","~", 11))-1),
    LEN($A1048)-LEN(SUBSTITUTE($A1048,"|",""))=14, MID($A1048, FIND("~", SUBSTITUTE($A1048,"|","~", 11))+1, FIND("~", SUBSTITUTE($A1048,"|","~", 12))-FIND("~", SUBSTITUTE($A1048,"|","~", 11))-1)
), "")</f>
        <v>E585971</v>
      </c>
      <c r="M1048" s="72" t="str">
        <f t="shared" si="141"/>
        <v>SB010092/4/26</v>
      </c>
      <c r="N1048" s="46" t="str">
        <f t="shared" si="149"/>
        <v/>
      </c>
      <c r="O1048" s="60">
        <v>80</v>
      </c>
      <c r="P1048" s="60">
        <v>904</v>
      </c>
      <c r="Q1048" s="48">
        <v>400</v>
      </c>
      <c r="R1048" s="48">
        <v>850</v>
      </c>
      <c r="S1048" s="48"/>
      <c r="T1048" s="48"/>
      <c r="U1048" s="49"/>
      <c r="V1048" s="49"/>
      <c r="W1048" s="50"/>
      <c r="X1048" s="51" t="str">
        <f>IF(A1048="", "", IF(COUNTIFS(C$3:C1047, C1048, D$3:D1047, D1048, G$3:G1047, G1048) &gt; 0, "", "11:00"-AW1048))</f>
        <v/>
      </c>
      <c r="Y1048" s="52" t="str">
        <f t="shared" si="148"/>
        <v/>
      </c>
      <c r="Z1048" s="53"/>
      <c r="AA1048" s="54"/>
      <c r="AB1048" s="53"/>
      <c r="AC1048" s="54"/>
      <c r="AD1048" s="53"/>
      <c r="AE1048" s="54"/>
      <c r="AF1048" s="53"/>
      <c r="AG1048" s="54"/>
      <c r="AH1048" s="55">
        <v>4.1666666666666699E-2</v>
      </c>
      <c r="AI1048" s="53"/>
      <c r="AJ1048" s="54"/>
      <c r="AK1048" s="53"/>
      <c r="AL1048" s="54"/>
      <c r="AM1048" s="53"/>
      <c r="AN1048" s="54"/>
      <c r="AO1048" s="53"/>
      <c r="AP1048" s="54"/>
      <c r="AQ1048" s="53"/>
      <c r="AR1048" s="54"/>
      <c r="AS1048" s="53"/>
      <c r="AT1048" s="54"/>
      <c r="AU1048" s="53">
        <v>4.1666666666666699E-2</v>
      </c>
      <c r="AV1048" s="54" t="s">
        <v>37</v>
      </c>
      <c r="AW1048" s="57">
        <f t="shared" si="146"/>
        <v>4.1666666666666699E-2</v>
      </c>
      <c r="AX1048" s="58" t="s">
        <v>68</v>
      </c>
    </row>
    <row r="1049" spans="1:50" ht="21" customHeight="1">
      <c r="A1049" s="66" t="s">
        <v>927</v>
      </c>
      <c r="B1049" s="39">
        <f t="shared" si="153"/>
        <v>1045</v>
      </c>
      <c r="C1049" s="40">
        <v>46045</v>
      </c>
      <c r="D1049" s="40" t="s">
        <v>32</v>
      </c>
      <c r="E1049" s="40" t="s">
        <v>33</v>
      </c>
      <c r="F1049" s="41">
        <v>598.79999999999995</v>
      </c>
      <c r="G1049" s="42" t="s">
        <v>66</v>
      </c>
      <c r="H1049" s="43" t="str">
        <f>IFERROR(VLOOKUP($J1049,'[9]FROM (3)'!$E$4:$F$230,2,FALSE),"")</f>
        <v>JTCS</v>
      </c>
      <c r="I1049" s="44" t="str">
        <f t="shared" si="152"/>
        <v>RACK, MS</v>
      </c>
      <c r="J1049" s="44" t="str">
        <f t="shared" si="150"/>
        <v>JGC10-001180-S</v>
      </c>
      <c r="K1049" s="59" t="str">
        <f t="shared" si="151"/>
        <v>PD26010777</v>
      </c>
      <c r="L1049" s="46" t="str" cm="1">
        <f t="array" ref="L1049">IFERROR(_xlfn.IFS(
    LEN($A1049)-LEN(SUBSTITUTE($A1049,"|",""))=12, RIGHT(A1049, LEN(A1049)-FIND("~", SUBSTITUTE(A1049,"|","~", LEN(A1049)-LEN(SUBSTITUTE(A1049,"|",""))))),
    LEN($A1049)-LEN(SUBSTITUTE($A1049,"|",""))=13, MID($A1049, FIND("~", SUBSTITUTE($A1049,"|","~", 11))+1, FIND("~", SUBSTITUTE($A1049,"|","~", 12))-FIND("~", SUBSTITUTE($A1049,"|","~", 11))-1),
    LEN($A1049)-LEN(SUBSTITUTE($A1049,"|",""))=14, MID($A1049, FIND("~", SUBSTITUTE($A1049,"|","~", 11))+1, FIND("~", SUBSTITUTE($A1049,"|","~", 12))-FIND("~", SUBSTITUTE($A1049,"|","~", 11))-1)
), "")</f>
        <v>E585971</v>
      </c>
      <c r="M1049" s="72" t="str">
        <f t="shared" si="141"/>
        <v>SB010092/6/26</v>
      </c>
      <c r="N1049" s="46" t="str">
        <f t="shared" si="149"/>
        <v/>
      </c>
      <c r="O1049" s="60">
        <v>80</v>
      </c>
      <c r="P1049" s="60">
        <v>904</v>
      </c>
      <c r="Q1049" s="48">
        <v>400</v>
      </c>
      <c r="R1049" s="48">
        <v>850</v>
      </c>
      <c r="S1049" s="48"/>
      <c r="T1049" s="48"/>
      <c r="U1049" s="49"/>
      <c r="V1049" s="49"/>
      <c r="W1049" s="50"/>
      <c r="X1049" s="51" t="str">
        <f>IF(A1049="", "", IF(COUNTIFS(C$3:C1048, C1049, D$3:D1048, D1049, G$3:G1048, G1049) &gt; 0, "", "11:00"-AW1049))</f>
        <v/>
      </c>
      <c r="Y1049" s="52" t="str">
        <f t="shared" si="148"/>
        <v/>
      </c>
      <c r="Z1049" s="53"/>
      <c r="AA1049" s="54"/>
      <c r="AB1049" s="53"/>
      <c r="AC1049" s="54"/>
      <c r="AD1049" s="53"/>
      <c r="AE1049" s="54"/>
      <c r="AF1049" s="53"/>
      <c r="AG1049" s="54"/>
      <c r="AH1049" s="55">
        <v>4.1666666666666699E-2</v>
      </c>
      <c r="AI1049" s="53"/>
      <c r="AJ1049" s="54"/>
      <c r="AK1049" s="53"/>
      <c r="AL1049" s="54"/>
      <c r="AM1049" s="53"/>
      <c r="AN1049" s="54"/>
      <c r="AO1049" s="53"/>
      <c r="AP1049" s="54"/>
      <c r="AQ1049" s="53"/>
      <c r="AR1049" s="54"/>
      <c r="AS1049" s="53"/>
      <c r="AT1049" s="54"/>
      <c r="AU1049" s="53">
        <v>4.1666666666666699E-2</v>
      </c>
      <c r="AV1049" s="54" t="s">
        <v>37</v>
      </c>
      <c r="AW1049" s="57">
        <f t="shared" si="146"/>
        <v>4.1666666666666699E-2</v>
      </c>
      <c r="AX1049" s="58" t="s">
        <v>68</v>
      </c>
    </row>
    <row r="1050" spans="1:50" ht="21" customHeight="1">
      <c r="A1050" s="66" t="s">
        <v>928</v>
      </c>
      <c r="B1050" s="39">
        <f t="shared" si="153"/>
        <v>1046</v>
      </c>
      <c r="C1050" s="40">
        <v>46045</v>
      </c>
      <c r="D1050" s="40" t="s">
        <v>32</v>
      </c>
      <c r="E1050" s="40" t="s">
        <v>33</v>
      </c>
      <c r="F1050" s="41">
        <v>598.79999999999995</v>
      </c>
      <c r="G1050" s="42" t="s">
        <v>66</v>
      </c>
      <c r="H1050" s="43" t="str">
        <f>IFERROR(VLOOKUP($J1050,'[9]FROM (3)'!$E$4:$F$230,2,FALSE),"")</f>
        <v>JTCS</v>
      </c>
      <c r="I1050" s="44" t="str">
        <f t="shared" si="152"/>
        <v>RACK, MS</v>
      </c>
      <c r="J1050" s="44" t="str">
        <f t="shared" si="150"/>
        <v>JGC10-001180-S</v>
      </c>
      <c r="K1050" s="59" t="str">
        <f t="shared" si="151"/>
        <v>PD26010777</v>
      </c>
      <c r="L1050" s="46" t="str" cm="1">
        <f t="array" ref="L1050">IFERROR(_xlfn.IFS(
    LEN($A1050)-LEN(SUBSTITUTE($A1050,"|",""))=12, RIGHT(A1050, LEN(A1050)-FIND("~", SUBSTITUTE(A1050,"|","~", LEN(A1050)-LEN(SUBSTITUTE(A1050,"|",""))))),
    LEN($A1050)-LEN(SUBSTITUTE($A1050,"|",""))=13, MID($A1050, FIND("~", SUBSTITUTE($A1050,"|","~", 11))+1, FIND("~", SUBSTITUTE($A1050,"|","~", 12))-FIND("~", SUBSTITUTE($A1050,"|","~", 11))-1),
    LEN($A1050)-LEN(SUBSTITUTE($A1050,"|",""))=14, MID($A1050, FIND("~", SUBSTITUTE($A1050,"|","~", 11))+1, FIND("~", SUBSTITUTE($A1050,"|","~", 12))-FIND("~", SUBSTITUTE($A1050,"|","~", 11))-1)
), "")</f>
        <v>E585971</v>
      </c>
      <c r="M1050" s="72" t="str">
        <f t="shared" si="141"/>
        <v>SB010092/5/26</v>
      </c>
      <c r="N1050" s="46" t="str">
        <f t="shared" si="149"/>
        <v/>
      </c>
      <c r="O1050" s="60">
        <v>1</v>
      </c>
      <c r="P1050" s="60">
        <v>11</v>
      </c>
      <c r="Q1050" s="48">
        <v>1</v>
      </c>
      <c r="R1050" s="48">
        <v>2</v>
      </c>
      <c r="S1050" s="48"/>
      <c r="T1050" s="48"/>
      <c r="U1050" s="49"/>
      <c r="V1050" s="49"/>
      <c r="W1050" s="50"/>
      <c r="X1050" s="51" t="str">
        <f>IF(A1050="", "", IF(COUNTIFS(C$3:C1049, C1050, D$3:D1049, D1050, G$3:G1049, G1050) &gt; 0, "", "11:00"-AW1050))</f>
        <v/>
      </c>
      <c r="Y1050" s="52" t="str">
        <f t="shared" si="148"/>
        <v/>
      </c>
      <c r="Z1050" s="53"/>
      <c r="AA1050" s="54"/>
      <c r="AB1050" s="53"/>
      <c r="AC1050" s="54"/>
      <c r="AD1050" s="53"/>
      <c r="AE1050" s="54"/>
      <c r="AF1050" s="53"/>
      <c r="AG1050" s="54"/>
      <c r="AH1050" s="55">
        <v>4.1666666666666699E-2</v>
      </c>
      <c r="AI1050" s="53"/>
      <c r="AJ1050" s="54"/>
      <c r="AK1050" s="53"/>
      <c r="AL1050" s="54"/>
      <c r="AM1050" s="53"/>
      <c r="AN1050" s="54"/>
      <c r="AO1050" s="53">
        <v>6.9444444444444441E-3</v>
      </c>
      <c r="AP1050" s="54" t="s">
        <v>67</v>
      </c>
      <c r="AQ1050" s="53">
        <v>1.3888888888888888E-2</v>
      </c>
      <c r="AR1050" s="54" t="s">
        <v>67</v>
      </c>
      <c r="AS1050" s="53"/>
      <c r="AT1050" s="54"/>
      <c r="AU1050" s="53">
        <v>4.1666666666666699E-2</v>
      </c>
      <c r="AV1050" s="54" t="s">
        <v>37</v>
      </c>
      <c r="AW1050" s="57">
        <f t="shared" si="146"/>
        <v>6.2500000000000028E-2</v>
      </c>
      <c r="AX1050" s="58" t="s">
        <v>68</v>
      </c>
    </row>
    <row r="1051" spans="1:50" ht="21" customHeight="1">
      <c r="A1051" s="66" t="s">
        <v>899</v>
      </c>
      <c r="B1051" s="39">
        <f t="shared" si="153"/>
        <v>1047</v>
      </c>
      <c r="C1051" s="40">
        <v>46045</v>
      </c>
      <c r="D1051" s="40" t="s">
        <v>32</v>
      </c>
      <c r="E1051" s="40" t="s">
        <v>33</v>
      </c>
      <c r="F1051" s="41">
        <v>101.9</v>
      </c>
      <c r="G1051" s="42" t="s">
        <v>108</v>
      </c>
      <c r="H1051" s="43" t="str">
        <f>IFERROR(VLOOKUP($J1051,'[9]FROM (3)'!$E$4:$F$230,2,FALSE),"")</f>
        <v>ATSUMITEC</v>
      </c>
      <c r="I1051" s="44" t="str">
        <f t="shared" si="152"/>
        <v>SPINDLE KICK STARTER</v>
      </c>
      <c r="J1051" s="44" t="str">
        <f t="shared" si="150"/>
        <v>28251-K1M-T000</v>
      </c>
      <c r="K1051" s="59" t="str">
        <f t="shared" si="151"/>
        <v>PD26010765</v>
      </c>
      <c r="L1051" s="46" t="str" cm="1">
        <f t="array" ref="L1051">IFERROR(_xlfn.IFS(
    LEN($A1051)-LEN(SUBSTITUTE($A1051,"|",""))=12, RIGHT(A1051, LEN(A1051)-FIND("~", SUBSTITUTE(A1051,"|","~", LEN(A1051)-LEN(SUBSTITUTE(A1051,"|",""))))),
    LEN($A1051)-LEN(SUBSTITUTE($A1051,"|",""))=13, MID($A1051, FIND("~", SUBSTITUTE($A1051,"|","~", 11))+1, FIND("~", SUBSTITUTE($A1051,"|","~", 12))-FIND("~", SUBSTITUTE($A1051,"|","~", 11))-1),
    LEN($A1051)-LEN(SUBSTITUTE($A1051,"|",""))=14, MID($A1051, FIND("~", SUBSTITUTE($A1051,"|","~", 11))+1, FIND("~", SUBSTITUTE($A1051,"|","~", 12))-FIND("~", SUBSTITUTE($A1051,"|","~", 11))-1)
), "")</f>
        <v>E586160</v>
      </c>
      <c r="M1051" s="72" t="str">
        <f t="shared" si="141"/>
        <v>SB010012/2/26</v>
      </c>
      <c r="N1051" s="46" t="str">
        <f t="shared" si="149"/>
        <v/>
      </c>
      <c r="O1051" s="60" t="s">
        <v>35</v>
      </c>
      <c r="P1051" s="60" t="s">
        <v>35</v>
      </c>
      <c r="Q1051" s="48">
        <v>3189</v>
      </c>
      <c r="R1051" s="48">
        <v>641</v>
      </c>
      <c r="S1051" s="48"/>
      <c r="T1051" s="48"/>
      <c r="U1051" s="49">
        <v>25</v>
      </c>
      <c r="V1051" s="49">
        <v>39</v>
      </c>
      <c r="W1051" s="50"/>
      <c r="X1051" s="51">
        <f>IF(A1051="", "", IF(COUNTIFS(C$3:C1050, C1051, D$3:D1050, D1051, G$3:G1050, G1051) &gt; 0, "", "11:00"-AW1051))</f>
        <v>0.41666666666666663</v>
      </c>
      <c r="Y1051" s="52" t="str">
        <f t="shared" si="148"/>
        <v>1:40</v>
      </c>
      <c r="Z1051" s="53"/>
      <c r="AA1051" s="54"/>
      <c r="AB1051" s="53"/>
      <c r="AC1051" s="54"/>
      <c r="AD1051" s="53"/>
      <c r="AE1051" s="54"/>
      <c r="AF1051" s="53"/>
      <c r="AG1051" s="54"/>
      <c r="AH1051" s="55">
        <v>4.1666666666666699E-2</v>
      </c>
      <c r="AI1051" s="53"/>
      <c r="AJ1051" s="54"/>
      <c r="AK1051" s="53"/>
      <c r="AL1051" s="54"/>
      <c r="AM1051" s="53"/>
      <c r="AN1051" s="54"/>
      <c r="AO1051" s="53"/>
      <c r="AP1051" s="54"/>
      <c r="AQ1051" s="53"/>
      <c r="AR1051" s="54"/>
      <c r="AS1051" s="53"/>
      <c r="AT1051" s="54"/>
      <c r="AU1051" s="53">
        <v>4.1666666666666699E-2</v>
      </c>
      <c r="AV1051" s="54" t="s">
        <v>37</v>
      </c>
      <c r="AW1051" s="57">
        <f t="shared" si="146"/>
        <v>4.1666666666666699E-2</v>
      </c>
      <c r="AX1051" s="58" t="s">
        <v>380</v>
      </c>
    </row>
    <row r="1052" spans="1:50" ht="21" customHeight="1">
      <c r="A1052" s="66" t="s">
        <v>929</v>
      </c>
      <c r="B1052" s="39">
        <f t="shared" si="153"/>
        <v>1048</v>
      </c>
      <c r="C1052" s="40">
        <v>46045</v>
      </c>
      <c r="D1052" s="40" t="s">
        <v>32</v>
      </c>
      <c r="E1052" s="40" t="s">
        <v>33</v>
      </c>
      <c r="F1052" s="41">
        <v>191</v>
      </c>
      <c r="G1052" s="42" t="s">
        <v>108</v>
      </c>
      <c r="H1052" s="43" t="str">
        <f>IFERROR(VLOOKUP($J1052,'[9]FROM (3)'!$E$4:$F$230,2,FALSE),"")</f>
        <v>SIAM NSK</v>
      </c>
      <c r="I1052" s="44" t="str">
        <f t="shared" si="152"/>
        <v>STG.SHAFT</v>
      </c>
      <c r="J1052" s="44" t="str">
        <f t="shared" si="150"/>
        <v>2528S0250C</v>
      </c>
      <c r="K1052" s="59" t="str">
        <f t="shared" si="151"/>
        <v>PD26010975</v>
      </c>
      <c r="L1052" s="46" t="str" cm="1">
        <f t="array" ref="L1052">IFERROR(_xlfn.IFS(
    LEN($A1052)-LEN(SUBSTITUTE($A1052,"|",""))=12, RIGHT(A1052, LEN(A1052)-FIND("~", SUBSTITUTE(A1052,"|","~", LEN(A1052)-LEN(SUBSTITUTE(A1052,"|",""))))),
    LEN($A1052)-LEN(SUBSTITUTE($A1052,"|",""))=13, MID($A1052, FIND("~", SUBSTITUTE($A1052,"|","~", 11))+1, FIND("~", SUBSTITUTE($A1052,"|","~", 12))-FIND("~", SUBSTITUTE($A1052,"|","~", 11))-1),
    LEN($A1052)-LEN(SUBSTITUTE($A1052,"|",""))=14, MID($A1052, FIND("~", SUBSTITUTE($A1052,"|","~", 11))+1, FIND("~", SUBSTITUTE($A1052,"|","~", 12))-FIND("~", SUBSTITUTE($A1052,"|","~", 11))-1)
), "")</f>
        <v>E484056</v>
      </c>
      <c r="M1052" s="72" t="str">
        <f t="shared" si="141"/>
        <v>SB010126/4/26</v>
      </c>
      <c r="N1052" s="46" t="str">
        <f t="shared" si="149"/>
        <v/>
      </c>
      <c r="O1052" s="60">
        <v>84</v>
      </c>
      <c r="P1052" s="60">
        <v>1026</v>
      </c>
      <c r="Q1052" s="48">
        <v>708</v>
      </c>
      <c r="R1052" s="48">
        <v>301</v>
      </c>
      <c r="S1052" s="48"/>
      <c r="T1052" s="48"/>
      <c r="U1052" s="49"/>
      <c r="V1052" s="49"/>
      <c r="W1052" s="50"/>
      <c r="X1052" s="51" t="str">
        <f>IF(A1052="", "", IF(COUNTIFS(C$3:C1051, C1052, D$3:D1051, D1052, G$3:G1051, G1052) &gt; 0, "", "11:00"-AW1052))</f>
        <v/>
      </c>
      <c r="Y1052" s="52" t="str">
        <f t="shared" si="148"/>
        <v/>
      </c>
      <c r="Z1052" s="53"/>
      <c r="AA1052" s="54"/>
      <c r="AB1052" s="53"/>
      <c r="AC1052" s="54"/>
      <c r="AD1052" s="53"/>
      <c r="AE1052" s="54"/>
      <c r="AF1052" s="53"/>
      <c r="AG1052" s="54"/>
      <c r="AH1052" s="55">
        <v>4.1666666666666699E-2</v>
      </c>
      <c r="AI1052" s="53"/>
      <c r="AJ1052" s="54"/>
      <c r="AK1052" s="53"/>
      <c r="AL1052" s="54"/>
      <c r="AM1052" s="53"/>
      <c r="AN1052" s="54"/>
      <c r="AO1052" s="53"/>
      <c r="AP1052" s="54"/>
      <c r="AQ1052" s="53"/>
      <c r="AR1052" s="54"/>
      <c r="AS1052" s="53"/>
      <c r="AT1052" s="54"/>
      <c r="AU1052" s="53">
        <v>4.1666666666666699E-2</v>
      </c>
      <c r="AV1052" s="54" t="s">
        <v>37</v>
      </c>
      <c r="AW1052" s="57">
        <f t="shared" si="146"/>
        <v>4.1666666666666699E-2</v>
      </c>
      <c r="AX1052" s="58" t="s">
        <v>380</v>
      </c>
    </row>
    <row r="1053" spans="1:50" ht="21" customHeight="1">
      <c r="A1053" s="66" t="s">
        <v>900</v>
      </c>
      <c r="B1053" s="39">
        <f t="shared" si="153"/>
        <v>1049</v>
      </c>
      <c r="C1053" s="40">
        <v>46045</v>
      </c>
      <c r="D1053" s="40" t="s">
        <v>32</v>
      </c>
      <c r="E1053" s="40" t="s">
        <v>33</v>
      </c>
      <c r="F1053" s="41">
        <v>375</v>
      </c>
      <c r="G1053" s="42" t="s">
        <v>172</v>
      </c>
      <c r="H1053" s="43" t="str">
        <f>IFERROR(VLOOKUP($J1053,'[9]FROM (3)'!$E$4:$F$230,2,FALSE),"")</f>
        <v>ATAC</v>
      </c>
      <c r="I1053" s="44" t="str">
        <f t="shared" si="152"/>
        <v>SEAT,WATER PUMP PULLEY</v>
      </c>
      <c r="J1053" s="44" t="str">
        <f t="shared" si="150"/>
        <v>16171-05030</v>
      </c>
      <c r="K1053" s="59" t="str">
        <f t="shared" si="151"/>
        <v>PD26010858</v>
      </c>
      <c r="L1053" s="46" t="str" cm="1">
        <f t="array" ref="L1053">IFERROR(_xlfn.IFS(
    LEN($A1053)-LEN(SUBSTITUTE($A1053,"|",""))=12, RIGHT(A1053, LEN(A1053)-FIND("~", SUBSTITUTE(A1053,"|","~", LEN(A1053)-LEN(SUBSTITUTE(A1053,"|",""))))),
    LEN($A1053)-LEN(SUBSTITUTE($A1053,"|",""))=13, MID($A1053, FIND("~", SUBSTITUTE($A1053,"|","~", 11))+1, FIND("~", SUBSTITUTE($A1053,"|","~", 12))-FIND("~", SUBSTITUTE($A1053,"|","~", 11))-1),
    LEN($A1053)-LEN(SUBSTITUTE($A1053,"|",""))=14, MID($A1053, FIND("~", SUBSTITUTE($A1053,"|","~", 11))+1, FIND("~", SUBSTITUTE($A1053,"|","~", 12))-FIND("~", SUBSTITUTE($A1053,"|","~", 11))-1)
), "")</f>
        <v>665898</v>
      </c>
      <c r="M1053" s="72" t="str">
        <f t="shared" si="141"/>
        <v>SB010104/3/26</v>
      </c>
      <c r="N1053" s="46" t="str">
        <f t="shared" si="149"/>
        <v/>
      </c>
      <c r="O1053" s="60" t="s">
        <v>35</v>
      </c>
      <c r="P1053" s="60" t="s">
        <v>35</v>
      </c>
      <c r="Q1053" s="48">
        <v>505</v>
      </c>
      <c r="R1053" s="48">
        <v>189</v>
      </c>
      <c r="S1053" s="48"/>
      <c r="T1053" s="48"/>
      <c r="U1053" s="49"/>
      <c r="V1053" s="49"/>
      <c r="W1053" s="50"/>
      <c r="X1053" s="51">
        <f>IF(A1053="", "", IF(COUNTIFS(C$3:C1052, C1053, D$3:D1052, D1053, G$3:G1052, G1053) &gt; 0, "", "11:00"-AW1053))</f>
        <v>0.41666666666666663</v>
      </c>
      <c r="Y1053" s="52" t="str">
        <f t="shared" si="148"/>
        <v>1:40</v>
      </c>
      <c r="Z1053" s="53"/>
      <c r="AA1053" s="54"/>
      <c r="AB1053" s="53"/>
      <c r="AC1053" s="54"/>
      <c r="AD1053" s="53"/>
      <c r="AE1053" s="54"/>
      <c r="AF1053" s="53"/>
      <c r="AG1053" s="54"/>
      <c r="AH1053" s="55">
        <v>4.1666666666666699E-2</v>
      </c>
      <c r="AI1053" s="53"/>
      <c r="AJ1053" s="54"/>
      <c r="AK1053" s="53"/>
      <c r="AL1053" s="54"/>
      <c r="AM1053" s="53"/>
      <c r="AN1053" s="54"/>
      <c r="AO1053" s="53"/>
      <c r="AP1053" s="54"/>
      <c r="AQ1053" s="53"/>
      <c r="AR1053" s="54"/>
      <c r="AS1053" s="53"/>
      <c r="AT1053" s="54"/>
      <c r="AU1053" s="53">
        <v>4.1666666666666699E-2</v>
      </c>
      <c r="AV1053" s="54" t="s">
        <v>37</v>
      </c>
      <c r="AW1053" s="57">
        <f t="shared" si="146"/>
        <v>4.1666666666666699E-2</v>
      </c>
      <c r="AX1053" s="58" t="s">
        <v>380</v>
      </c>
    </row>
    <row r="1054" spans="1:50" ht="21" customHeight="1">
      <c r="A1054" s="66" t="s">
        <v>930</v>
      </c>
      <c r="B1054" s="39">
        <f t="shared" si="153"/>
        <v>1050</v>
      </c>
      <c r="C1054" s="40">
        <v>46045</v>
      </c>
      <c r="D1054" s="40" t="s">
        <v>32</v>
      </c>
      <c r="E1054" s="40" t="s">
        <v>33</v>
      </c>
      <c r="F1054" s="41">
        <v>375</v>
      </c>
      <c r="G1054" s="42" t="s">
        <v>172</v>
      </c>
      <c r="H1054" s="43" t="str">
        <f>IFERROR(VLOOKUP($J1054,'[9]FROM (3)'!$E$4:$F$230,2,FALSE),"")</f>
        <v>ATAC</v>
      </c>
      <c r="I1054" s="44" t="str">
        <f t="shared" si="152"/>
        <v>SEAT,WATER PUMP PULLEY</v>
      </c>
      <c r="J1054" s="44" t="str">
        <f t="shared" si="150"/>
        <v>16171-05030</v>
      </c>
      <c r="K1054" s="59" t="str">
        <f t="shared" si="151"/>
        <v>PD26010858</v>
      </c>
      <c r="L1054" s="46" t="str" cm="1">
        <f t="array" ref="L1054">IFERROR(_xlfn.IFS(
    LEN($A1054)-LEN(SUBSTITUTE($A1054,"|",""))=12, RIGHT(A1054, LEN(A1054)-FIND("~", SUBSTITUTE(A1054,"|","~", LEN(A1054)-LEN(SUBSTITUTE(A1054,"|",""))))),
    LEN($A1054)-LEN(SUBSTITUTE($A1054,"|",""))=13, MID($A1054, FIND("~", SUBSTITUTE($A1054,"|","~", 11))+1, FIND("~", SUBSTITUTE($A1054,"|","~", 12))-FIND("~", SUBSTITUTE($A1054,"|","~", 11))-1),
    LEN($A1054)-LEN(SUBSTITUTE($A1054,"|",""))=14, MID($A1054, FIND("~", SUBSTITUTE($A1054,"|","~", 11))+1, FIND("~", SUBSTITUTE($A1054,"|","~", 12))-FIND("~", SUBSTITUTE($A1054,"|","~", 11))-1)
), "")</f>
        <v>665898</v>
      </c>
      <c r="M1054" s="72" t="str">
        <f t="shared" si="141"/>
        <v>SB010104/1/26</v>
      </c>
      <c r="N1054" s="46" t="str">
        <f t="shared" si="149"/>
        <v/>
      </c>
      <c r="O1054" s="60">
        <v>14</v>
      </c>
      <c r="P1054" s="60">
        <v>990</v>
      </c>
      <c r="Q1054" s="48">
        <v>2167</v>
      </c>
      <c r="R1054" s="48">
        <v>813</v>
      </c>
      <c r="S1054" s="48"/>
      <c r="T1054" s="48"/>
      <c r="U1054" s="49"/>
      <c r="V1054" s="49"/>
      <c r="W1054" s="50"/>
      <c r="X1054" s="51" t="str">
        <f>IF(A1054="", "", IF(COUNTIFS(C$3:C1053, C1054, D$3:D1053, D1054, G$3:G1053, G1054) &gt; 0, "", "11:00"-AW1054))</f>
        <v/>
      </c>
      <c r="Y1054" s="52" t="str">
        <f t="shared" si="148"/>
        <v/>
      </c>
      <c r="Z1054" s="53"/>
      <c r="AA1054" s="54"/>
      <c r="AB1054" s="53"/>
      <c r="AC1054" s="54"/>
      <c r="AD1054" s="53"/>
      <c r="AE1054" s="54"/>
      <c r="AF1054" s="53"/>
      <c r="AG1054" s="54"/>
      <c r="AH1054" s="55">
        <v>4.1666666666666699E-2</v>
      </c>
      <c r="AI1054" s="53"/>
      <c r="AJ1054" s="54"/>
      <c r="AK1054" s="53"/>
      <c r="AL1054" s="54"/>
      <c r="AM1054" s="53"/>
      <c r="AN1054" s="54"/>
      <c r="AO1054" s="53"/>
      <c r="AP1054" s="54"/>
      <c r="AQ1054" s="53">
        <v>2.0833333333333332E-2</v>
      </c>
      <c r="AR1054" s="54" t="s">
        <v>67</v>
      </c>
      <c r="AS1054" s="53"/>
      <c r="AT1054" s="54"/>
      <c r="AU1054" s="53">
        <v>4.1666666666666699E-2</v>
      </c>
      <c r="AV1054" s="54" t="s">
        <v>37</v>
      </c>
      <c r="AW1054" s="57">
        <f t="shared" ref="AW1054:AW1117" si="154">SUM(Z1054,AB1054,AD1054,AF1054,AI1054,AK1054,AM1054,AO1054,AQ1054,AS1054,AU1054)</f>
        <v>6.2500000000000028E-2</v>
      </c>
      <c r="AX1054" s="58" t="s">
        <v>380</v>
      </c>
    </row>
    <row r="1055" spans="1:50" ht="21" customHeight="1">
      <c r="A1055" s="66" t="s">
        <v>902</v>
      </c>
      <c r="B1055" s="39">
        <f t="shared" si="153"/>
        <v>1051</v>
      </c>
      <c r="C1055" s="40">
        <v>46045</v>
      </c>
      <c r="D1055" s="40" t="s">
        <v>32</v>
      </c>
      <c r="E1055" s="40" t="s">
        <v>33</v>
      </c>
      <c r="F1055" s="41">
        <v>148.5</v>
      </c>
      <c r="G1055" s="42" t="s">
        <v>46</v>
      </c>
      <c r="H1055" s="43" t="str">
        <f>IFERROR(VLOOKUP($J1055,'[9]FROM (3)'!$E$4:$F$230,2,FALSE),"")</f>
        <v>SIAM NSK</v>
      </c>
      <c r="I1055" s="44" t="str">
        <f t="shared" si="152"/>
        <v>SHAFT SPLINE</v>
      </c>
      <c r="J1055" s="44" t="str">
        <f t="shared" si="150"/>
        <v>2530S0610P</v>
      </c>
      <c r="K1055" s="59" t="str">
        <f t="shared" si="151"/>
        <v>PD26010867</v>
      </c>
      <c r="L1055" s="46" t="str" cm="1">
        <f t="array" ref="L1055">IFERROR(_xlfn.IFS(
    LEN($A1055)-LEN(SUBSTITUTE($A1055,"|",""))=12, RIGHT(A1055, LEN(A1055)-FIND("~", SUBSTITUTE(A1055,"|","~", LEN(A1055)-LEN(SUBSTITUTE(A1055,"|",""))))),
    LEN($A1055)-LEN(SUBSTITUTE($A1055,"|",""))=13, MID($A1055, FIND("~", SUBSTITUTE($A1055,"|","~", 11))+1, FIND("~", SUBSTITUTE($A1055,"|","~", 12))-FIND("~", SUBSTITUTE($A1055,"|","~", 11))-1),
    LEN($A1055)-LEN(SUBSTITUTE($A1055,"|",""))=14, MID($A1055, FIND("~", SUBSTITUTE($A1055,"|","~", 11))+1, FIND("~", SUBSTITUTE($A1055,"|","~", 12))-FIND("~", SUBSTITUTE($A1055,"|","~", 11))-1)
), "")</f>
        <v>E484056</v>
      </c>
      <c r="M1055" s="72" t="str">
        <f t="shared" si="141"/>
        <v>SB010093/3/26</v>
      </c>
      <c r="N1055" s="46" t="str">
        <f t="shared" si="149"/>
        <v/>
      </c>
      <c r="O1055" s="60" t="s">
        <v>35</v>
      </c>
      <c r="P1055" s="60" t="s">
        <v>35</v>
      </c>
      <c r="Q1055" s="48">
        <v>1086</v>
      </c>
      <c r="R1055" s="48">
        <v>397</v>
      </c>
      <c r="S1055" s="48"/>
      <c r="T1055" s="48"/>
      <c r="U1055" s="49"/>
      <c r="V1055" s="49"/>
      <c r="W1055" s="50"/>
      <c r="X1055" s="51">
        <f>IF(A1055="", "", IF(COUNTIFS(C$3:C1054, C1055, D$3:D1054, D1055, G$3:G1054, G1055) &gt; 0, "", "11:00"-AW1055))</f>
        <v>0.41666666666666663</v>
      </c>
      <c r="Y1055" s="52" t="str">
        <f t="shared" si="148"/>
        <v>1:40</v>
      </c>
      <c r="Z1055" s="53"/>
      <c r="AA1055" s="54"/>
      <c r="AB1055" s="53"/>
      <c r="AC1055" s="54"/>
      <c r="AD1055" s="53"/>
      <c r="AE1055" s="54"/>
      <c r="AF1055" s="53"/>
      <c r="AG1055" s="54"/>
      <c r="AH1055" s="55">
        <v>4.1666666666666699E-2</v>
      </c>
      <c r="AI1055" s="53"/>
      <c r="AJ1055" s="54"/>
      <c r="AK1055" s="53"/>
      <c r="AL1055" s="54"/>
      <c r="AM1055" s="53"/>
      <c r="AN1055" s="54"/>
      <c r="AO1055" s="53"/>
      <c r="AP1055" s="54"/>
      <c r="AQ1055" s="53"/>
      <c r="AR1055" s="54"/>
      <c r="AS1055" s="53"/>
      <c r="AT1055" s="54"/>
      <c r="AU1055" s="53">
        <v>4.1666666666666699E-2</v>
      </c>
      <c r="AV1055" s="54" t="s">
        <v>37</v>
      </c>
      <c r="AW1055" s="57">
        <f t="shared" si="154"/>
        <v>4.1666666666666699E-2</v>
      </c>
      <c r="AX1055" s="58" t="s">
        <v>380</v>
      </c>
    </row>
    <row r="1056" spans="1:50" ht="21" customHeight="1">
      <c r="A1056" s="66" t="s">
        <v>931</v>
      </c>
      <c r="B1056" s="39">
        <f t="shared" si="153"/>
        <v>1052</v>
      </c>
      <c r="C1056" s="40">
        <v>46045</v>
      </c>
      <c r="D1056" s="40" t="s">
        <v>32</v>
      </c>
      <c r="E1056" s="40" t="s">
        <v>33</v>
      </c>
      <c r="F1056" s="41">
        <v>148.5</v>
      </c>
      <c r="G1056" s="42" t="s">
        <v>46</v>
      </c>
      <c r="H1056" s="43" t="str">
        <f>IFERROR(VLOOKUP($J1056,'[9]FROM (3)'!$E$4:$F$230,2,FALSE),"")</f>
        <v>SIAM NSK</v>
      </c>
      <c r="I1056" s="44" t="str">
        <f t="shared" si="152"/>
        <v>SHAFT SPLINE</v>
      </c>
      <c r="J1056" s="44" t="str">
        <f t="shared" si="150"/>
        <v>2530S0610P</v>
      </c>
      <c r="K1056" s="59" t="str">
        <f t="shared" si="151"/>
        <v>PD26010867</v>
      </c>
      <c r="L1056" s="46" t="str" cm="1">
        <f t="array" ref="L1056">IFERROR(_xlfn.IFS(
    LEN($A1056)-LEN(SUBSTITUTE($A1056,"|",""))=12, RIGHT(A1056, LEN(A1056)-FIND("~", SUBSTITUTE(A1056,"|","~", LEN(A1056)-LEN(SUBSTITUTE(A1056,"|",""))))),
    LEN($A1056)-LEN(SUBSTITUTE($A1056,"|",""))=13, MID($A1056, FIND("~", SUBSTITUTE($A1056,"|","~", 11))+1, FIND("~", SUBSTITUTE($A1056,"|","~", 12))-FIND("~", SUBSTITUTE($A1056,"|","~", 11))-1),
    LEN($A1056)-LEN(SUBSTITUTE($A1056,"|",""))=14, MID($A1056, FIND("~", SUBSTITUTE($A1056,"|","~", 11))+1, FIND("~", SUBSTITUTE($A1056,"|","~", 12))-FIND("~", SUBSTITUTE($A1056,"|","~", 11))-1)
), "")</f>
        <v>E484056</v>
      </c>
      <c r="M1056" s="72" t="str">
        <f t="shared" si="141"/>
        <v>SB010093/4/26</v>
      </c>
      <c r="N1056" s="46" t="str">
        <f t="shared" si="149"/>
        <v/>
      </c>
      <c r="O1056" s="60">
        <v>79</v>
      </c>
      <c r="P1056" s="60">
        <v>1006</v>
      </c>
      <c r="Q1056" s="48">
        <v>2627</v>
      </c>
      <c r="R1056" s="48">
        <v>961</v>
      </c>
      <c r="S1056" s="48"/>
      <c r="T1056" s="48"/>
      <c r="U1056" s="49">
        <v>64</v>
      </c>
      <c r="V1056" s="49">
        <v>27</v>
      </c>
      <c r="W1056" s="50"/>
      <c r="X1056" s="51" t="str">
        <f>IF(A1056="", "", IF(COUNTIFS(C$3:C1055, C1056, D$3:D1055, D1056, G$3:G1055, G1056) &gt; 0, "", "11:00"-AW1056))</f>
        <v/>
      </c>
      <c r="Y1056" s="52" t="str">
        <f t="shared" si="148"/>
        <v/>
      </c>
      <c r="Z1056" s="53"/>
      <c r="AA1056" s="54"/>
      <c r="AB1056" s="53"/>
      <c r="AC1056" s="54"/>
      <c r="AD1056" s="53"/>
      <c r="AE1056" s="54"/>
      <c r="AF1056" s="53"/>
      <c r="AG1056" s="54"/>
      <c r="AH1056" s="55">
        <v>4.1666666666666699E-2</v>
      </c>
      <c r="AI1056" s="53"/>
      <c r="AJ1056" s="54"/>
      <c r="AK1056" s="53"/>
      <c r="AL1056" s="54"/>
      <c r="AM1056" s="53"/>
      <c r="AN1056" s="54"/>
      <c r="AO1056" s="53"/>
      <c r="AP1056" s="54"/>
      <c r="AQ1056" s="53"/>
      <c r="AR1056" s="54"/>
      <c r="AS1056" s="53"/>
      <c r="AT1056" s="54"/>
      <c r="AU1056" s="53">
        <v>4.1666666666666699E-2</v>
      </c>
      <c r="AV1056" s="54" t="s">
        <v>37</v>
      </c>
      <c r="AW1056" s="57">
        <f t="shared" si="154"/>
        <v>4.1666666666666699E-2</v>
      </c>
      <c r="AX1056" s="58" t="s">
        <v>380</v>
      </c>
    </row>
    <row r="1057" spans="1:50" ht="21" customHeight="1">
      <c r="A1057" s="66" t="s">
        <v>932</v>
      </c>
      <c r="B1057" s="39">
        <f t="shared" si="153"/>
        <v>1053</v>
      </c>
      <c r="C1057" s="40">
        <v>46045</v>
      </c>
      <c r="D1057" s="40" t="s">
        <v>32</v>
      </c>
      <c r="E1057" s="40" t="s">
        <v>33</v>
      </c>
      <c r="F1057" s="41">
        <v>270</v>
      </c>
      <c r="G1057" s="42" t="s">
        <v>46</v>
      </c>
      <c r="H1057" s="43" t="str">
        <f>IFERROR(VLOOKUP($J1057,'[9]FROM (3)'!$E$4:$F$230,2,FALSE),"")</f>
        <v>M&amp;T</v>
      </c>
      <c r="I1057" s="44" t="str">
        <f t="shared" si="152"/>
        <v>LEVER SHIFT NO.2</v>
      </c>
      <c r="J1057" s="44" t="str">
        <f t="shared" si="150"/>
        <v>MAOK-54310</v>
      </c>
      <c r="K1057" s="59" t="str">
        <f t="shared" si="151"/>
        <v>PD26011103</v>
      </c>
      <c r="L1057" s="46" t="str" cm="1">
        <f t="array" ref="L1057">IFERROR(_xlfn.IFS(
    LEN($A1057)-LEN(SUBSTITUTE($A1057,"|",""))=12, RIGHT(A1057, LEN(A1057)-FIND("~", SUBSTITUTE(A1057,"|","~", LEN(A1057)-LEN(SUBSTITUTE(A1057,"|",""))))),
    LEN($A1057)-LEN(SUBSTITUTE($A1057,"|",""))=13, MID($A1057, FIND("~", SUBSTITUTE($A1057,"|","~", 11))+1, FIND("~", SUBSTITUTE($A1057,"|","~", 12))-FIND("~", SUBSTITUTE($A1057,"|","~", 11))-1),
    LEN($A1057)-LEN(SUBSTITUTE($A1057,"|",""))=14, MID($A1057, FIND("~", SUBSTITUTE($A1057,"|","~", 11))+1, FIND("~", SUBSTITUTE($A1057,"|","~", 12))-FIND("~", SUBSTITUTE($A1057,"|","~", 11))-1)
), "")</f>
        <v>E586918</v>
      </c>
      <c r="M1057" s="72" t="str">
        <f t="shared" si="141"/>
        <v>SB010151/1/26</v>
      </c>
      <c r="N1057" s="46" t="str">
        <f t="shared" si="149"/>
        <v/>
      </c>
      <c r="O1057" s="60">
        <v>55</v>
      </c>
      <c r="P1057" s="60">
        <v>1005</v>
      </c>
      <c r="Q1057" s="48">
        <v>544</v>
      </c>
      <c r="R1057" s="48">
        <v>147</v>
      </c>
      <c r="S1057" s="48"/>
      <c r="T1057" s="48"/>
      <c r="U1057" s="49"/>
      <c r="V1057" s="49"/>
      <c r="W1057" s="50"/>
      <c r="X1057" s="51" t="str">
        <f>IF(A1057="", "", IF(COUNTIFS(C$3:C1056, C1057, D$3:D1056, D1057, G$3:G1056, G1057) &gt; 0, "", "11:00"-AW1057))</f>
        <v/>
      </c>
      <c r="Y1057" s="52" t="str">
        <f t="shared" si="148"/>
        <v/>
      </c>
      <c r="Z1057" s="53"/>
      <c r="AA1057" s="54"/>
      <c r="AB1057" s="53"/>
      <c r="AC1057" s="54"/>
      <c r="AD1057" s="53"/>
      <c r="AE1057" s="54"/>
      <c r="AF1057" s="53"/>
      <c r="AG1057" s="54"/>
      <c r="AH1057" s="55">
        <v>4.1666666666666699E-2</v>
      </c>
      <c r="AI1057" s="53"/>
      <c r="AJ1057" s="54"/>
      <c r="AK1057" s="53"/>
      <c r="AL1057" s="54"/>
      <c r="AM1057" s="53"/>
      <c r="AN1057" s="54"/>
      <c r="AO1057" s="53"/>
      <c r="AP1057" s="54"/>
      <c r="AQ1057" s="53"/>
      <c r="AR1057" s="54"/>
      <c r="AS1057" s="53"/>
      <c r="AT1057" s="54"/>
      <c r="AU1057" s="53">
        <v>4.1666666666666699E-2</v>
      </c>
      <c r="AV1057" s="54" t="s">
        <v>37</v>
      </c>
      <c r="AW1057" s="57">
        <f t="shared" si="154"/>
        <v>4.1666666666666699E-2</v>
      </c>
      <c r="AX1057" s="58" t="s">
        <v>380</v>
      </c>
    </row>
    <row r="1058" spans="1:50" ht="21" customHeight="1">
      <c r="A1058" s="66" t="s">
        <v>933</v>
      </c>
      <c r="B1058" s="39">
        <f t="shared" si="153"/>
        <v>1054</v>
      </c>
      <c r="C1058" s="40">
        <v>46045</v>
      </c>
      <c r="D1058" s="40" t="s">
        <v>80</v>
      </c>
      <c r="E1058" s="40" t="s">
        <v>81</v>
      </c>
      <c r="F1058" s="41">
        <v>655.4</v>
      </c>
      <c r="G1058" s="42" t="s">
        <v>75</v>
      </c>
      <c r="H1058" s="43" t="str">
        <f>IFERROR(VLOOKUP($J1058,'[9]FROM (3)'!$E$4:$F$230,2,FALSE),"")</f>
        <v>JAMY</v>
      </c>
      <c r="I1058" s="44" t="str">
        <f t="shared" si="152"/>
        <v>RACK BAR</v>
      </c>
      <c r="J1058" s="44" t="str">
        <f t="shared" si="150"/>
        <v>JGC10-M09008-51-0</v>
      </c>
      <c r="K1058" s="59" t="str">
        <f t="shared" si="151"/>
        <v>PD26010896</v>
      </c>
      <c r="L1058" s="46" t="str" cm="1">
        <f t="array" ref="L1058">IFERROR(_xlfn.IFS(
    LEN($A1058)-LEN(SUBSTITUTE($A1058,"|",""))=12, RIGHT(A1058, LEN(A1058)-FIND("~", SUBSTITUTE(A1058,"|","~", LEN(A1058)-LEN(SUBSTITUTE(A1058,"|",""))))),
    LEN($A1058)-LEN(SUBSTITUTE($A1058,"|",""))=13, MID($A1058, FIND("~", SUBSTITUTE($A1058,"|","~", 11))+1, FIND("~", SUBSTITUTE($A1058,"|","~", 12))-FIND("~", SUBSTITUTE($A1058,"|","~", 11))-1),
    LEN($A1058)-LEN(SUBSTITUTE($A1058,"|",""))=14, MID($A1058, FIND("~", SUBSTITUTE($A1058,"|","~", 11))+1, FIND("~", SUBSTITUTE($A1058,"|","~", 12))-FIND("~", SUBSTITUTE($A1058,"|","~", 11))-1)
), "")</f>
        <v>E586966</v>
      </c>
      <c r="M1058" s="72" t="str">
        <f t="shared" si="141"/>
        <v>SB010115/1/26</v>
      </c>
      <c r="N1058" s="46" t="str">
        <f t="shared" si="149"/>
        <v/>
      </c>
      <c r="O1058" s="60"/>
      <c r="P1058" s="60"/>
      <c r="Q1058" s="48">
        <v>105</v>
      </c>
      <c r="R1058" s="48">
        <v>287</v>
      </c>
      <c r="S1058" s="48"/>
      <c r="T1058" s="48"/>
      <c r="U1058" s="49"/>
      <c r="V1058" s="49"/>
      <c r="W1058" s="50"/>
      <c r="X1058" s="51">
        <f>IF(A1058="", "", IF(COUNTIFS(C$3:C1057, C1058, D$3:D1057, D1058, G$3:G1057, G1058) &gt; 0, "", "11:00"-AW1058))</f>
        <v>0.41666666666666663</v>
      </c>
      <c r="Y1058" s="52" t="str">
        <f t="shared" si="148"/>
        <v>1:40</v>
      </c>
      <c r="Z1058" s="53"/>
      <c r="AA1058" s="54"/>
      <c r="AB1058" s="53"/>
      <c r="AC1058" s="54"/>
      <c r="AD1058" s="53"/>
      <c r="AE1058" s="54"/>
      <c r="AF1058" s="53"/>
      <c r="AG1058" s="54"/>
      <c r="AH1058" s="55">
        <v>4.1666666666666699E-2</v>
      </c>
      <c r="AI1058" s="53"/>
      <c r="AJ1058" s="54"/>
      <c r="AK1058" s="53"/>
      <c r="AL1058" s="54"/>
      <c r="AM1058" s="53"/>
      <c r="AN1058" s="54"/>
      <c r="AO1058" s="53"/>
      <c r="AP1058" s="54"/>
      <c r="AQ1058" s="53"/>
      <c r="AR1058" s="54"/>
      <c r="AS1058" s="53"/>
      <c r="AT1058" s="54"/>
      <c r="AU1058" s="53">
        <v>4.1666666666666699E-2</v>
      </c>
      <c r="AV1058" s="54" t="s">
        <v>37</v>
      </c>
      <c r="AW1058" s="57">
        <f t="shared" si="154"/>
        <v>4.1666666666666699E-2</v>
      </c>
      <c r="AX1058" s="58" t="s">
        <v>101</v>
      </c>
    </row>
    <row r="1059" spans="1:50" ht="21" customHeight="1">
      <c r="A1059" s="66" t="s">
        <v>934</v>
      </c>
      <c r="B1059" s="39">
        <f t="shared" si="153"/>
        <v>1055</v>
      </c>
      <c r="C1059" s="40">
        <v>46045</v>
      </c>
      <c r="D1059" s="40" t="s">
        <v>80</v>
      </c>
      <c r="E1059" s="40" t="s">
        <v>81</v>
      </c>
      <c r="F1059" s="41">
        <v>655.4</v>
      </c>
      <c r="G1059" s="42" t="s">
        <v>75</v>
      </c>
      <c r="H1059" s="43" t="str">
        <f>IFERROR(VLOOKUP($J1059,'[9]FROM (3)'!$E$4:$F$230,2,FALSE),"")</f>
        <v>JAMY</v>
      </c>
      <c r="I1059" s="44" t="str">
        <f t="shared" si="152"/>
        <v>RACK BAR</v>
      </c>
      <c r="J1059" s="44" t="str">
        <f t="shared" si="150"/>
        <v>JGC10-M09008-51-0</v>
      </c>
      <c r="K1059" s="59" t="str">
        <f t="shared" si="151"/>
        <v>PD26010896</v>
      </c>
      <c r="L1059" s="46" t="str" cm="1">
        <f t="array" ref="L1059">IFERROR(_xlfn.IFS(
    LEN($A1059)-LEN(SUBSTITUTE($A1059,"|",""))=12, RIGHT(A1059, LEN(A1059)-FIND("~", SUBSTITUTE(A1059,"|","~", LEN(A1059)-LEN(SUBSTITUTE(A1059,"|",""))))),
    LEN($A1059)-LEN(SUBSTITUTE($A1059,"|",""))=13, MID($A1059, FIND("~", SUBSTITUTE($A1059,"|","~", 11))+1, FIND("~", SUBSTITUTE($A1059,"|","~", 12))-FIND("~", SUBSTITUTE($A1059,"|","~", 11))-1),
    LEN($A1059)-LEN(SUBSTITUTE($A1059,"|",""))=14, MID($A1059, FIND("~", SUBSTITUTE($A1059,"|","~", 11))+1, FIND("~", SUBSTITUTE($A1059,"|","~", 12))-FIND("~", SUBSTITUTE($A1059,"|","~", 11))-1)
), "")</f>
        <v>E586966</v>
      </c>
      <c r="M1059" s="72" t="str">
        <f t="shared" si="141"/>
        <v>SB010115/3/26</v>
      </c>
      <c r="N1059" s="46" t="str">
        <f t="shared" si="149"/>
        <v/>
      </c>
      <c r="O1059" s="60">
        <v>60</v>
      </c>
      <c r="P1059" s="60">
        <v>878</v>
      </c>
      <c r="Q1059" s="48">
        <v>290</v>
      </c>
      <c r="R1059" s="48">
        <v>792</v>
      </c>
      <c r="S1059" s="48"/>
      <c r="T1059" s="48"/>
      <c r="U1059" s="49">
        <v>45</v>
      </c>
      <c r="V1059" s="49">
        <v>9</v>
      </c>
      <c r="W1059" s="50"/>
      <c r="X1059" s="51" t="str">
        <f>IF(A1059="", "", IF(COUNTIFS(C$3:C1058, C1059, D$3:D1058, D1059, G$3:G1058, G1059) &gt; 0, "", "11:00"-AW1059))</f>
        <v/>
      </c>
      <c r="Y1059" s="52" t="str">
        <f t="shared" si="148"/>
        <v/>
      </c>
      <c r="Z1059" s="53"/>
      <c r="AA1059" s="54"/>
      <c r="AB1059" s="53"/>
      <c r="AC1059" s="54"/>
      <c r="AD1059" s="53"/>
      <c r="AE1059" s="54"/>
      <c r="AF1059" s="53"/>
      <c r="AG1059" s="54"/>
      <c r="AH1059" s="55">
        <v>4.1666666666666699E-2</v>
      </c>
      <c r="AI1059" s="53"/>
      <c r="AJ1059" s="54"/>
      <c r="AK1059" s="53"/>
      <c r="AL1059" s="54"/>
      <c r="AM1059" s="53"/>
      <c r="AN1059" s="54"/>
      <c r="AO1059" s="53"/>
      <c r="AP1059" s="54"/>
      <c r="AQ1059" s="53"/>
      <c r="AR1059" s="54"/>
      <c r="AS1059" s="53"/>
      <c r="AT1059" s="54"/>
      <c r="AU1059" s="53">
        <v>4.1666666666666699E-2</v>
      </c>
      <c r="AV1059" s="54" t="s">
        <v>37</v>
      </c>
      <c r="AW1059" s="57">
        <f t="shared" si="154"/>
        <v>4.1666666666666699E-2</v>
      </c>
      <c r="AX1059" s="58" t="s">
        <v>101</v>
      </c>
    </row>
    <row r="1060" spans="1:50" ht="21" customHeight="1">
      <c r="A1060" s="66" t="s">
        <v>935</v>
      </c>
      <c r="B1060" s="39">
        <f t="shared" si="153"/>
        <v>1056</v>
      </c>
      <c r="C1060" s="40">
        <v>46045</v>
      </c>
      <c r="D1060" s="40" t="s">
        <v>80</v>
      </c>
      <c r="E1060" s="40" t="s">
        <v>81</v>
      </c>
      <c r="F1060" s="41">
        <v>655.4</v>
      </c>
      <c r="G1060" s="42" t="s">
        <v>75</v>
      </c>
      <c r="H1060" s="43" t="str">
        <f>IFERROR(VLOOKUP($J1060,'[9]FROM (3)'!$E$4:$F$230,2,FALSE),"")</f>
        <v>JAMY</v>
      </c>
      <c r="I1060" s="44" t="str">
        <f t="shared" si="152"/>
        <v>RACK BAR</v>
      </c>
      <c r="J1060" s="44" t="str">
        <f t="shared" si="150"/>
        <v>JGC10-M09008-51-0</v>
      </c>
      <c r="K1060" s="59" t="str">
        <f t="shared" si="151"/>
        <v>PD26010895</v>
      </c>
      <c r="L1060" s="46" t="str" cm="1">
        <f t="array" ref="L1060">IFERROR(_xlfn.IFS(
    LEN($A1060)-LEN(SUBSTITUTE($A1060,"|",""))=12, RIGHT(A1060, LEN(A1060)-FIND("~", SUBSTITUTE(A1060,"|","~", LEN(A1060)-LEN(SUBSTITUTE(A1060,"|",""))))),
    LEN($A1060)-LEN(SUBSTITUTE($A1060,"|",""))=13, MID($A1060, FIND("~", SUBSTITUTE($A1060,"|","~", 11))+1, FIND("~", SUBSTITUTE($A1060,"|","~", 12))-FIND("~", SUBSTITUTE($A1060,"|","~", 11))-1),
    LEN($A1060)-LEN(SUBSTITUTE($A1060,"|",""))=14, MID($A1060, FIND("~", SUBSTITUTE($A1060,"|","~", 11))+1, FIND("~", SUBSTITUTE($A1060,"|","~", 12))-FIND("~", SUBSTITUTE($A1060,"|","~", 11))-1)
), "")</f>
        <v>E586966</v>
      </c>
      <c r="M1060" s="72" t="str">
        <f t="shared" si="141"/>
        <v>SB010110/6/26</v>
      </c>
      <c r="N1060" s="46" t="str">
        <f t="shared" si="149"/>
        <v/>
      </c>
      <c r="O1060" s="60">
        <v>60</v>
      </c>
      <c r="P1060" s="60">
        <v>878</v>
      </c>
      <c r="Q1060" s="48">
        <v>300</v>
      </c>
      <c r="R1060" s="48">
        <v>819</v>
      </c>
      <c r="S1060" s="48"/>
      <c r="T1060" s="48"/>
      <c r="U1060" s="49"/>
      <c r="V1060" s="49"/>
      <c r="W1060" s="50"/>
      <c r="X1060" s="51" t="str">
        <f>IF(A1060="", "", IF(COUNTIFS(C$3:C1059, C1060, D$3:D1059, D1060, G$3:G1059, G1060) &gt; 0, "", "11:00"-AW1060))</f>
        <v/>
      </c>
      <c r="Y1060" s="52" t="str">
        <f t="shared" si="148"/>
        <v/>
      </c>
      <c r="Z1060" s="53"/>
      <c r="AA1060" s="54"/>
      <c r="AB1060" s="53"/>
      <c r="AC1060" s="54"/>
      <c r="AD1060" s="53"/>
      <c r="AE1060" s="54"/>
      <c r="AF1060" s="53"/>
      <c r="AG1060" s="54"/>
      <c r="AH1060" s="55">
        <v>4.1666666666666699E-2</v>
      </c>
      <c r="AI1060" s="53"/>
      <c r="AJ1060" s="54"/>
      <c r="AK1060" s="53"/>
      <c r="AL1060" s="54"/>
      <c r="AM1060" s="53"/>
      <c r="AN1060" s="54"/>
      <c r="AO1060" s="53"/>
      <c r="AP1060" s="54"/>
      <c r="AQ1060" s="53"/>
      <c r="AR1060" s="54"/>
      <c r="AS1060" s="53"/>
      <c r="AT1060" s="54"/>
      <c r="AU1060" s="53">
        <v>4.1666666666666699E-2</v>
      </c>
      <c r="AV1060" s="54" t="s">
        <v>37</v>
      </c>
      <c r="AW1060" s="57">
        <f t="shared" si="154"/>
        <v>4.1666666666666699E-2</v>
      </c>
      <c r="AX1060" s="58" t="s">
        <v>101</v>
      </c>
    </row>
    <row r="1061" spans="1:50" ht="21" customHeight="1">
      <c r="A1061" s="66" t="s">
        <v>936</v>
      </c>
      <c r="B1061" s="39">
        <f t="shared" si="153"/>
        <v>1057</v>
      </c>
      <c r="C1061" s="40">
        <v>46045</v>
      </c>
      <c r="D1061" s="40" t="s">
        <v>80</v>
      </c>
      <c r="E1061" s="40" t="s">
        <v>81</v>
      </c>
      <c r="F1061" s="41">
        <v>655.4</v>
      </c>
      <c r="G1061" s="42" t="s">
        <v>75</v>
      </c>
      <c r="H1061" s="43" t="str">
        <f>IFERROR(VLOOKUP($J1061,'[9]FROM (3)'!$E$4:$F$230,2,FALSE),"")</f>
        <v>JAMY</v>
      </c>
      <c r="I1061" s="44" t="str">
        <f t="shared" si="152"/>
        <v>RACK BAR</v>
      </c>
      <c r="J1061" s="44" t="str">
        <f t="shared" si="150"/>
        <v>JGC10-M09008-51-0</v>
      </c>
      <c r="K1061" s="59" t="str">
        <f t="shared" si="151"/>
        <v>PD26010895</v>
      </c>
      <c r="L1061" s="46" t="str" cm="1">
        <f t="array" ref="L1061">IFERROR(_xlfn.IFS(
    LEN($A1061)-LEN(SUBSTITUTE($A1061,"|",""))=12, RIGHT(A1061, LEN(A1061)-FIND("~", SUBSTITUTE(A1061,"|","~", LEN(A1061)-LEN(SUBSTITUTE(A1061,"|",""))))),
    LEN($A1061)-LEN(SUBSTITUTE($A1061,"|",""))=13, MID($A1061, FIND("~", SUBSTITUTE($A1061,"|","~", 11))+1, FIND("~", SUBSTITUTE($A1061,"|","~", 12))-FIND("~", SUBSTITUTE($A1061,"|","~", 11))-1),
    LEN($A1061)-LEN(SUBSTITUTE($A1061,"|",""))=14, MID($A1061, FIND("~", SUBSTITUTE($A1061,"|","~", 11))+1, FIND("~", SUBSTITUTE($A1061,"|","~", 12))-FIND("~", SUBSTITUTE($A1061,"|","~", 11))-1)
), "")</f>
        <v>E586966</v>
      </c>
      <c r="M1061" s="72" t="str">
        <f t="shared" si="141"/>
        <v>SB010110/5/26</v>
      </c>
      <c r="N1061" s="46" t="str">
        <f t="shared" si="149"/>
        <v/>
      </c>
      <c r="O1061" s="60">
        <v>60</v>
      </c>
      <c r="P1061" s="60">
        <v>878</v>
      </c>
      <c r="Q1061" s="48">
        <v>300</v>
      </c>
      <c r="R1061" s="48">
        <v>819</v>
      </c>
      <c r="S1061" s="48"/>
      <c r="T1061" s="48"/>
      <c r="U1061" s="49"/>
      <c r="V1061" s="49"/>
      <c r="W1061" s="50"/>
      <c r="X1061" s="51" t="str">
        <f>IF(A1061="", "", IF(COUNTIFS(C$3:C1060, C1061, D$3:D1060, D1061, G$3:G1060, G1061) &gt; 0, "", "11:00"-AW1061))</f>
        <v/>
      </c>
      <c r="Y1061" s="52" t="str">
        <f t="shared" si="148"/>
        <v/>
      </c>
      <c r="Z1061" s="53"/>
      <c r="AA1061" s="54"/>
      <c r="AB1061" s="53"/>
      <c r="AC1061" s="54"/>
      <c r="AD1061" s="53"/>
      <c r="AE1061" s="54"/>
      <c r="AF1061" s="53"/>
      <c r="AG1061" s="54"/>
      <c r="AH1061" s="55">
        <v>4.1666666666666699E-2</v>
      </c>
      <c r="AI1061" s="53"/>
      <c r="AJ1061" s="54"/>
      <c r="AK1061" s="53"/>
      <c r="AL1061" s="54"/>
      <c r="AM1061" s="53"/>
      <c r="AN1061" s="54"/>
      <c r="AO1061" s="53"/>
      <c r="AP1061" s="54"/>
      <c r="AQ1061" s="53"/>
      <c r="AR1061" s="54"/>
      <c r="AS1061" s="53"/>
      <c r="AT1061" s="54"/>
      <c r="AU1061" s="53">
        <v>4.1666666666666699E-2</v>
      </c>
      <c r="AV1061" s="54" t="s">
        <v>37</v>
      </c>
      <c r="AW1061" s="57">
        <f t="shared" si="154"/>
        <v>4.1666666666666699E-2</v>
      </c>
      <c r="AX1061" s="58" t="s">
        <v>101</v>
      </c>
    </row>
    <row r="1062" spans="1:50" ht="21" customHeight="1">
      <c r="A1062" s="66" t="s">
        <v>937</v>
      </c>
      <c r="B1062" s="39">
        <f t="shared" si="153"/>
        <v>1058</v>
      </c>
      <c r="C1062" s="40">
        <v>46045</v>
      </c>
      <c r="D1062" s="40" t="s">
        <v>80</v>
      </c>
      <c r="E1062" s="40" t="s">
        <v>81</v>
      </c>
      <c r="F1062" s="41">
        <v>655.4</v>
      </c>
      <c r="G1062" s="42" t="s">
        <v>75</v>
      </c>
      <c r="H1062" s="43" t="str">
        <f>IFERROR(VLOOKUP($J1062,'[9]FROM (3)'!$E$4:$F$230,2,FALSE),"")</f>
        <v>JAMY</v>
      </c>
      <c r="I1062" s="44" t="str">
        <f t="shared" si="152"/>
        <v>RACK BAR</v>
      </c>
      <c r="J1062" s="44" t="str">
        <f t="shared" si="150"/>
        <v>JGC10-M09008-51-0</v>
      </c>
      <c r="K1062" s="59" t="str">
        <f t="shared" si="151"/>
        <v>PD26010895</v>
      </c>
      <c r="L1062" s="46" t="str" cm="1">
        <f t="array" ref="L1062">IFERROR(_xlfn.IFS(
    LEN($A1062)-LEN(SUBSTITUTE($A1062,"|",""))=12, RIGHT(A1062, LEN(A1062)-FIND("~", SUBSTITUTE(A1062,"|","~", LEN(A1062)-LEN(SUBSTITUTE(A1062,"|",""))))),
    LEN($A1062)-LEN(SUBSTITUTE($A1062,"|",""))=13, MID($A1062, FIND("~", SUBSTITUTE($A1062,"|","~", 11))+1, FIND("~", SUBSTITUTE($A1062,"|","~", 12))-FIND("~", SUBSTITUTE($A1062,"|","~", 11))-1),
    LEN($A1062)-LEN(SUBSTITUTE($A1062,"|",""))=14, MID($A1062, FIND("~", SUBSTITUTE($A1062,"|","~", 11))+1, FIND("~", SUBSTITUTE($A1062,"|","~", 12))-FIND("~", SUBSTITUTE($A1062,"|","~", 11))-1)
), "")</f>
        <v>E586966</v>
      </c>
      <c r="M1062" s="72" t="str">
        <f t="shared" si="141"/>
        <v>SB010110/4/26</v>
      </c>
      <c r="N1062" s="46" t="str">
        <f t="shared" si="149"/>
        <v/>
      </c>
      <c r="O1062" s="60">
        <v>60</v>
      </c>
      <c r="P1062" s="60">
        <v>878</v>
      </c>
      <c r="Q1062" s="48">
        <v>171</v>
      </c>
      <c r="R1062" s="48">
        <v>467</v>
      </c>
      <c r="S1062" s="48">
        <v>20</v>
      </c>
      <c r="T1062" s="48" t="s">
        <v>143</v>
      </c>
      <c r="U1062" s="49"/>
      <c r="V1062" s="49"/>
      <c r="W1062" s="50"/>
      <c r="X1062" s="51" t="str">
        <f>IF(A1062="", "", IF(COUNTIFS(C$3:C1061, C1062, D$3:D1061, D1062, G$3:G1061, G1062) &gt; 0, "", "11:00"-AW1062))</f>
        <v/>
      </c>
      <c r="Y1062" s="52" t="str">
        <f t="shared" si="148"/>
        <v/>
      </c>
      <c r="Z1062" s="53"/>
      <c r="AA1062" s="54"/>
      <c r="AB1062" s="53"/>
      <c r="AC1062" s="54"/>
      <c r="AD1062" s="53"/>
      <c r="AE1062" s="54"/>
      <c r="AF1062" s="53"/>
      <c r="AG1062" s="54"/>
      <c r="AH1062" s="55">
        <v>4.1666666666666699E-2</v>
      </c>
      <c r="AI1062" s="53"/>
      <c r="AJ1062" s="54"/>
      <c r="AK1062" s="53"/>
      <c r="AL1062" s="54"/>
      <c r="AM1062" s="53"/>
      <c r="AN1062" s="54"/>
      <c r="AO1062" s="53"/>
      <c r="AP1062" s="54"/>
      <c r="AQ1062" s="53"/>
      <c r="AR1062" s="54"/>
      <c r="AS1062" s="53"/>
      <c r="AT1062" s="54"/>
      <c r="AU1062" s="53">
        <v>4.1666666666666699E-2</v>
      </c>
      <c r="AV1062" s="54" t="s">
        <v>37</v>
      </c>
      <c r="AW1062" s="57">
        <f t="shared" si="154"/>
        <v>4.1666666666666699E-2</v>
      </c>
      <c r="AX1062" s="58" t="s">
        <v>101</v>
      </c>
    </row>
    <row r="1063" spans="1:50" ht="21" customHeight="1">
      <c r="A1063" s="66" t="s">
        <v>886</v>
      </c>
      <c r="B1063" s="39">
        <f t="shared" si="153"/>
        <v>1059</v>
      </c>
      <c r="C1063" s="40">
        <v>46045</v>
      </c>
      <c r="D1063" s="40" t="s">
        <v>80</v>
      </c>
      <c r="E1063" s="40" t="s">
        <v>81</v>
      </c>
      <c r="F1063" s="41">
        <v>129.4</v>
      </c>
      <c r="G1063" s="42" t="s">
        <v>44</v>
      </c>
      <c r="H1063" s="43" t="str">
        <f>IFERROR(VLOOKUP($J1063,'[9]FROM (3)'!$E$4:$F$230,2,FALSE),"")</f>
        <v>DNTH</v>
      </c>
      <c r="I1063" s="44" t="str">
        <f t="shared" si="152"/>
        <v>SHAFT, 2W</v>
      </c>
      <c r="J1063" s="44" t="str">
        <f t="shared" si="150"/>
        <v>TG028383-0090</v>
      </c>
      <c r="K1063" s="59" t="str">
        <f t="shared" si="151"/>
        <v>PD25110971</v>
      </c>
      <c r="L1063" s="46" t="str" cm="1">
        <f t="array" ref="L1063">IFERROR(_xlfn.IFS(
    LEN($A1063)-LEN(SUBSTITUTE($A1063,"|",""))=12, RIGHT(A1063, LEN(A1063)-FIND("~", SUBSTITUTE(A1063,"|","~", LEN(A1063)-LEN(SUBSTITUTE(A1063,"|",""))))),
    LEN($A1063)-LEN(SUBSTITUTE($A1063,"|",""))=13, MID($A1063, FIND("~", SUBSTITUTE($A1063,"|","~", 11))+1, FIND("~", SUBSTITUTE($A1063,"|","~", 12))-FIND("~", SUBSTITUTE($A1063,"|","~", 11))-1),
    LEN($A1063)-LEN(SUBSTITUTE($A1063,"|",""))=14, MID($A1063, FIND("~", SUBSTITUTE($A1063,"|","~", 11))+1, FIND("~", SUBSTITUTE($A1063,"|","~", 12))-FIND("~", SUBSTITUTE($A1063,"|","~", 11))-1)
), "")</f>
        <v>E483074</v>
      </c>
      <c r="M1063" s="72" t="str">
        <f t="shared" si="141"/>
        <v>SB110122/1/25</v>
      </c>
      <c r="N1063" s="46" t="str">
        <f t="shared" si="149"/>
        <v/>
      </c>
      <c r="O1063" s="60"/>
      <c r="P1063" s="60"/>
      <c r="Q1063" s="48">
        <v>1359</v>
      </c>
      <c r="R1063" s="48">
        <v>465</v>
      </c>
      <c r="S1063" s="48"/>
      <c r="T1063" s="48"/>
      <c r="U1063" s="49">
        <v>45</v>
      </c>
      <c r="V1063" s="49">
        <v>115</v>
      </c>
      <c r="W1063" s="50"/>
      <c r="X1063" s="51">
        <f>IF(A1063="", "", IF(COUNTIFS(C$3:C1062, C1063, D$3:D1062, D1063, G$3:G1062, G1063) &gt; 0, "", "11:00"-AW1063))</f>
        <v>0.41666666666666663</v>
      </c>
      <c r="Y1063" s="52" t="str">
        <f t="shared" si="148"/>
        <v>1:40</v>
      </c>
      <c r="Z1063" s="53"/>
      <c r="AA1063" s="54"/>
      <c r="AB1063" s="53"/>
      <c r="AC1063" s="54"/>
      <c r="AD1063" s="53"/>
      <c r="AE1063" s="54"/>
      <c r="AF1063" s="53"/>
      <c r="AG1063" s="54"/>
      <c r="AH1063" s="55">
        <v>4.1666666666666699E-2</v>
      </c>
      <c r="AI1063" s="53"/>
      <c r="AJ1063" s="54"/>
      <c r="AK1063" s="53"/>
      <c r="AL1063" s="54"/>
      <c r="AM1063" s="53"/>
      <c r="AN1063" s="54"/>
      <c r="AO1063" s="53"/>
      <c r="AP1063" s="54"/>
      <c r="AQ1063" s="53"/>
      <c r="AR1063" s="54"/>
      <c r="AS1063" s="53"/>
      <c r="AT1063" s="54"/>
      <c r="AU1063" s="53">
        <v>4.1666666666666699E-2</v>
      </c>
      <c r="AV1063" s="54" t="s">
        <v>37</v>
      </c>
      <c r="AW1063" s="57">
        <f t="shared" si="154"/>
        <v>4.1666666666666699E-2</v>
      </c>
      <c r="AX1063" s="58" t="s">
        <v>203</v>
      </c>
    </row>
    <row r="1064" spans="1:50" ht="21" customHeight="1">
      <c r="A1064" s="66" t="s">
        <v>938</v>
      </c>
      <c r="B1064" s="39">
        <f t="shared" si="153"/>
        <v>1060</v>
      </c>
      <c r="C1064" s="40">
        <v>46045</v>
      </c>
      <c r="D1064" s="40" t="s">
        <v>80</v>
      </c>
      <c r="E1064" s="40" t="s">
        <v>81</v>
      </c>
      <c r="F1064" s="41" t="s">
        <v>404</v>
      </c>
      <c r="G1064" s="42" t="s">
        <v>44</v>
      </c>
      <c r="H1064" s="43" t="str">
        <f>IFERROR(VLOOKUP($J1064,'[9]FROM (3)'!$E$4:$F$230,2,FALSE),"")</f>
        <v>DNTH</v>
      </c>
      <c r="I1064" s="44" t="str">
        <f t="shared" si="152"/>
        <v>SLUG VALVE ROTARY</v>
      </c>
      <c r="J1064" s="44" t="str">
        <f t="shared" si="150"/>
        <v>TGY95613-0020</v>
      </c>
      <c r="K1064" s="59" t="str">
        <f t="shared" si="151"/>
        <v>PD26011085</v>
      </c>
      <c r="L1064" s="46" t="str" cm="1">
        <f t="array" ref="L1064">IFERROR(_xlfn.IFS(
    LEN($A1064)-LEN(SUBSTITUTE($A1064,"|",""))=12, RIGHT(A1064, LEN(A1064)-FIND("~", SUBSTITUTE(A1064,"|","~", LEN(A1064)-LEN(SUBSTITUTE(A1064,"|",""))))),
    LEN($A1064)-LEN(SUBSTITUTE($A1064,"|",""))=13, MID($A1064, FIND("~", SUBSTITUTE($A1064,"|","~", 11))+1, FIND("~", SUBSTITUTE($A1064,"|","~", 12))-FIND("~", SUBSTITUTE($A1064,"|","~", 11))-1),
    LEN($A1064)-LEN(SUBSTITUTE($A1064,"|",""))=14, MID($A1064, FIND("~", SUBSTITUTE($A1064,"|","~", 11))+1, FIND("~", SUBSTITUTE($A1064,"|","~", 12))-FIND("~", SUBSTITUTE($A1064,"|","~", 11))-1)
), "")</f>
        <v>E585734</v>
      </c>
      <c r="M1064" s="72" t="str">
        <f t="shared" si="141"/>
        <v>SB010147/2/26</v>
      </c>
      <c r="N1064" s="46" t="str">
        <f t="shared" si="149"/>
        <v/>
      </c>
      <c r="O1064" s="60">
        <v>89</v>
      </c>
      <c r="P1064" s="60">
        <v>4234</v>
      </c>
      <c r="Q1064" s="48">
        <v>2279</v>
      </c>
      <c r="R1064" s="48">
        <v>451</v>
      </c>
      <c r="S1064" s="48"/>
      <c r="T1064" s="48"/>
      <c r="U1064" s="49"/>
      <c r="V1064" s="49"/>
      <c r="W1064" s="50"/>
      <c r="X1064" s="51" t="str">
        <f>IF(A1064="", "", IF(COUNTIFS(C$3:C1063, C1064, D$3:D1063, D1064, G$3:G1063, G1064) &gt; 0, "", "11:00"-AW1064))</f>
        <v/>
      </c>
      <c r="Y1064" s="52" t="str">
        <f t="shared" ref="Y1064:Y1127" si="155">IF(X1064="", "", IF(AND(A1064&lt;&gt;"", AR1064&lt;&gt;"NO OT"), "1:40", IF(AND(A1064&lt;&gt;"", AR1064="NO OT"), "1:0", "")))</f>
        <v/>
      </c>
      <c r="Z1064" s="53"/>
      <c r="AA1064" s="54"/>
      <c r="AB1064" s="53"/>
      <c r="AC1064" s="54"/>
      <c r="AD1064" s="53"/>
      <c r="AE1064" s="54"/>
      <c r="AF1064" s="53"/>
      <c r="AG1064" s="54"/>
      <c r="AH1064" s="55">
        <v>4.1666666666666699E-2</v>
      </c>
      <c r="AI1064" s="53">
        <v>2.0833333333333332E-2</v>
      </c>
      <c r="AJ1064" s="54" t="s">
        <v>67</v>
      </c>
      <c r="AK1064" s="53"/>
      <c r="AL1064" s="54"/>
      <c r="AM1064" s="53"/>
      <c r="AN1064" s="54"/>
      <c r="AO1064" s="53"/>
      <c r="AP1064" s="54"/>
      <c r="AQ1064" s="53"/>
      <c r="AR1064" s="54"/>
      <c r="AS1064" s="53"/>
      <c r="AT1064" s="54"/>
      <c r="AU1064" s="53">
        <v>4.1666666666666699E-2</v>
      </c>
      <c r="AV1064" s="54" t="s">
        <v>37</v>
      </c>
      <c r="AW1064" s="57">
        <f t="shared" si="154"/>
        <v>6.2500000000000028E-2</v>
      </c>
      <c r="AX1064" s="58" t="s">
        <v>203</v>
      </c>
    </row>
    <row r="1065" spans="1:50" ht="21" customHeight="1">
      <c r="A1065" s="66" t="s">
        <v>885</v>
      </c>
      <c r="B1065" s="39">
        <f t="shared" si="153"/>
        <v>1061</v>
      </c>
      <c r="C1065" s="40">
        <v>46045</v>
      </c>
      <c r="D1065" s="40" t="s">
        <v>80</v>
      </c>
      <c r="E1065" s="40" t="s">
        <v>81</v>
      </c>
      <c r="F1065" s="41">
        <v>172</v>
      </c>
      <c r="G1065" s="42" t="s">
        <v>41</v>
      </c>
      <c r="H1065" s="43" t="str">
        <f>IFERROR(VLOOKUP($J1065,'[9]FROM (3)'!$E$4:$F$230,2,FALSE),"")</f>
        <v>DNTH</v>
      </c>
      <c r="I1065" s="44" t="str">
        <f t="shared" si="152"/>
        <v>BOSS ROTOR 2 W</v>
      </c>
      <c r="J1065" s="44" t="str">
        <f t="shared" si="150"/>
        <v>TGY38713-3301</v>
      </c>
      <c r="K1065" s="59" t="str">
        <f t="shared" si="151"/>
        <v>PD26010959</v>
      </c>
      <c r="L1065" s="46" t="str" cm="1">
        <f t="array" ref="L1065">IFERROR(_xlfn.IFS(
    LEN($A1065)-LEN(SUBSTITUTE($A1065,"|",""))=12, RIGHT(A1065, LEN(A1065)-FIND("~", SUBSTITUTE(A1065,"|","~", LEN(A1065)-LEN(SUBSTITUTE(A1065,"|",""))))),
    LEN($A1065)-LEN(SUBSTITUTE($A1065,"|",""))=13, MID($A1065, FIND("~", SUBSTITUTE($A1065,"|","~", 11))+1, FIND("~", SUBSTITUTE($A1065,"|","~", 12))-FIND("~", SUBSTITUTE($A1065,"|","~", 11))-1),
    LEN($A1065)-LEN(SUBSTITUTE($A1065,"|",""))=14, MID($A1065, FIND("~", SUBSTITUTE($A1065,"|","~", 11))+1, FIND("~", SUBSTITUTE($A1065,"|","~", 12))-FIND("~", SUBSTITUTE($A1065,"|","~", 11))-1)
), "")</f>
        <v>E586918</v>
      </c>
      <c r="M1065" s="72" t="str">
        <f t="shared" si="141"/>
        <v>SB010120/1/26</v>
      </c>
      <c r="N1065" s="46" t="str">
        <f t="shared" si="149"/>
        <v/>
      </c>
      <c r="O1065" s="60"/>
      <c r="P1065" s="60"/>
      <c r="Q1065" s="48">
        <v>2291</v>
      </c>
      <c r="R1065" s="48">
        <v>894</v>
      </c>
      <c r="S1065" s="48"/>
      <c r="T1065" s="48"/>
      <c r="U1065" s="49">
        <v>53</v>
      </c>
      <c r="V1065" s="49">
        <v>216</v>
      </c>
      <c r="W1065" s="50"/>
      <c r="X1065" s="51">
        <f>IF(A1065="", "", IF(COUNTIFS(C$3:C1064, C1065, D$3:D1064, D1065, G$3:G1064, G1065) &gt; 0, "", "11:00"-AW1065))</f>
        <v>0.41666666666666663</v>
      </c>
      <c r="Y1065" s="52" t="str">
        <f t="shared" si="155"/>
        <v>1:40</v>
      </c>
      <c r="Z1065" s="53"/>
      <c r="AA1065" s="54"/>
      <c r="AB1065" s="53"/>
      <c r="AC1065" s="54"/>
      <c r="AD1065" s="53"/>
      <c r="AE1065" s="54"/>
      <c r="AF1065" s="53"/>
      <c r="AG1065" s="54"/>
      <c r="AH1065" s="55">
        <v>4.1666666666666699E-2</v>
      </c>
      <c r="AI1065" s="53"/>
      <c r="AJ1065" s="54"/>
      <c r="AK1065" s="53"/>
      <c r="AL1065" s="54"/>
      <c r="AM1065" s="53"/>
      <c r="AN1065" s="54"/>
      <c r="AO1065" s="53"/>
      <c r="AP1065" s="54"/>
      <c r="AQ1065" s="53"/>
      <c r="AR1065" s="54"/>
      <c r="AS1065" s="53"/>
      <c r="AT1065" s="54"/>
      <c r="AU1065" s="53">
        <v>4.1666666666666699E-2</v>
      </c>
      <c r="AV1065" s="54" t="s">
        <v>37</v>
      </c>
      <c r="AW1065" s="57">
        <f t="shared" si="154"/>
        <v>4.1666666666666699E-2</v>
      </c>
      <c r="AX1065" s="58" t="s">
        <v>203</v>
      </c>
    </row>
    <row r="1066" spans="1:50" ht="21" customHeight="1">
      <c r="A1066" s="66" t="s">
        <v>884</v>
      </c>
      <c r="B1066" s="39">
        <f t="shared" si="153"/>
        <v>1062</v>
      </c>
      <c r="C1066" s="40">
        <v>46045</v>
      </c>
      <c r="D1066" s="40" t="s">
        <v>80</v>
      </c>
      <c r="E1066" s="40" t="s">
        <v>81</v>
      </c>
      <c r="F1066" s="41">
        <v>72.3</v>
      </c>
      <c r="G1066" s="42" t="s">
        <v>34</v>
      </c>
      <c r="H1066" s="43" t="str">
        <f>IFERROR(VLOOKUP($J1066,'[9]FROM (3)'!$E$4:$F$230,2,FALSE),"")</f>
        <v>DNTH</v>
      </c>
      <c r="I1066" s="44" t="str">
        <f t="shared" si="152"/>
        <v>SLUG HOUSING STATOR</v>
      </c>
      <c r="J1066" s="44" t="str">
        <f t="shared" si="150"/>
        <v>TGY94265-0010</v>
      </c>
      <c r="K1066" s="59" t="str">
        <f t="shared" si="151"/>
        <v>PD26010953</v>
      </c>
      <c r="L1066" s="46" t="str" cm="1">
        <f t="array" ref="L1066">IFERROR(_xlfn.IFS(
    LEN($A1066)-LEN(SUBSTITUTE($A1066,"|",""))=12, RIGHT(A1066, LEN(A1066)-FIND("~", SUBSTITUTE(A1066,"|","~", LEN(A1066)-LEN(SUBSTITUTE(A1066,"|",""))))),
    LEN($A1066)-LEN(SUBSTITUTE($A1066,"|",""))=13, MID($A1066, FIND("~", SUBSTITUTE($A1066,"|","~", 11))+1, FIND("~", SUBSTITUTE($A1066,"|","~", 12))-FIND("~", SUBSTITUTE($A1066,"|","~", 11))-1),
    LEN($A1066)-LEN(SUBSTITUTE($A1066,"|",""))=14, MID($A1066, FIND("~", SUBSTITUTE($A1066,"|","~", 11))+1, FIND("~", SUBSTITUTE($A1066,"|","~", 12))-FIND("~", SUBSTITUTE($A1066,"|","~", 11))-1)
), "")</f>
        <v>6277A</v>
      </c>
      <c r="M1066" s="72" t="str">
        <f t="shared" si="141"/>
        <v>SB010124/2/26</v>
      </c>
      <c r="N1066" s="46" t="str">
        <f t="shared" si="149"/>
        <v/>
      </c>
      <c r="O1066" s="60"/>
      <c r="P1066" s="60" t="s">
        <v>939</v>
      </c>
      <c r="Q1066" s="48">
        <v>4854</v>
      </c>
      <c r="R1066" s="48">
        <v>568</v>
      </c>
      <c r="S1066" s="48"/>
      <c r="T1066" s="48"/>
      <c r="U1066" s="49"/>
      <c r="V1066" s="49"/>
      <c r="W1066" s="50"/>
      <c r="X1066" s="51">
        <f>IF(A1066="", "", IF(COUNTIFS(C$3:C1065, C1066, D$3:D1065, D1066, G$3:G1065, G1066) &gt; 0, "", "11:00"-AW1066))</f>
        <v>0.39583333333333326</v>
      </c>
      <c r="Y1066" s="52" t="str">
        <f t="shared" si="155"/>
        <v>1:40</v>
      </c>
      <c r="Z1066" s="53"/>
      <c r="AA1066" s="54"/>
      <c r="AB1066" s="53"/>
      <c r="AC1066" s="54"/>
      <c r="AD1066" s="53"/>
      <c r="AE1066" s="54"/>
      <c r="AF1066" s="53">
        <v>2.0833333333333332E-2</v>
      </c>
      <c r="AG1066" s="54" t="s">
        <v>82</v>
      </c>
      <c r="AH1066" s="55">
        <v>4.1666666666666699E-2</v>
      </c>
      <c r="AI1066" s="53"/>
      <c r="AJ1066" s="54"/>
      <c r="AK1066" s="53"/>
      <c r="AL1066" s="54"/>
      <c r="AM1066" s="53"/>
      <c r="AN1066" s="54"/>
      <c r="AO1066" s="53"/>
      <c r="AP1066" s="54"/>
      <c r="AQ1066" s="53"/>
      <c r="AR1066" s="54"/>
      <c r="AS1066" s="53"/>
      <c r="AT1066" s="54"/>
      <c r="AU1066" s="53">
        <v>4.1666666666666699E-2</v>
      </c>
      <c r="AV1066" s="54" t="s">
        <v>37</v>
      </c>
      <c r="AW1066" s="57">
        <f t="shared" si="154"/>
        <v>6.2500000000000028E-2</v>
      </c>
      <c r="AX1066" s="58" t="s">
        <v>203</v>
      </c>
    </row>
    <row r="1067" spans="1:50" ht="21" customHeight="1">
      <c r="A1067" s="66" t="s">
        <v>924</v>
      </c>
      <c r="B1067" s="39">
        <f t="shared" si="153"/>
        <v>1063</v>
      </c>
      <c r="C1067" s="40">
        <v>46045</v>
      </c>
      <c r="D1067" s="40" t="s">
        <v>80</v>
      </c>
      <c r="E1067" s="40" t="s">
        <v>81</v>
      </c>
      <c r="F1067" s="41">
        <v>597.4</v>
      </c>
      <c r="G1067" s="42" t="s">
        <v>54</v>
      </c>
      <c r="H1067" s="43" t="str">
        <f>IFERROR(VLOOKUP($J1067,'[9]FROM (3)'!$E$4:$F$230,2,FALSE),"")</f>
        <v>JTCS</v>
      </c>
      <c r="I1067" s="44" t="str">
        <f t="shared" si="152"/>
        <v>Rack, MS</v>
      </c>
      <c r="J1067" s="44" t="str">
        <f t="shared" si="150"/>
        <v>JGC10-003770-40-0</v>
      </c>
      <c r="K1067" s="59" t="str">
        <f t="shared" si="151"/>
        <v>PD26010904</v>
      </c>
      <c r="L1067" s="46" t="str" cm="1">
        <f t="array" ref="L1067">IFERROR(_xlfn.IFS(
    LEN($A1067)-LEN(SUBSTITUTE($A1067,"|",""))=12, RIGHT(A1067, LEN(A1067)-FIND("~", SUBSTITUTE(A1067,"|","~", LEN(A1067)-LEN(SUBSTITUTE(A1067,"|",""))))),
    LEN($A1067)-LEN(SUBSTITUTE($A1067,"|",""))=13, MID($A1067, FIND("~", SUBSTITUTE($A1067,"|","~", 11))+1, FIND("~", SUBSTITUTE($A1067,"|","~", 12))-FIND("~", SUBSTITUTE($A1067,"|","~", 11))-1),
    LEN($A1067)-LEN(SUBSTITUTE($A1067,"|",""))=14, MID($A1067, FIND("~", SUBSTITUTE($A1067,"|","~", 11))+1, FIND("~", SUBSTITUTE($A1067,"|","~", 12))-FIND("~", SUBSTITUTE($A1067,"|","~", 11))-1)
), "")</f>
        <v>E586613</v>
      </c>
      <c r="M1067" s="72" t="str">
        <f t="shared" si="141"/>
        <v>SB010109/2/26</v>
      </c>
      <c r="N1067" s="46" t="str">
        <f t="shared" si="149"/>
        <v/>
      </c>
      <c r="O1067" s="60" t="s">
        <v>35</v>
      </c>
      <c r="P1067" s="60" t="s">
        <v>35</v>
      </c>
      <c r="Q1067" s="48">
        <v>83</v>
      </c>
      <c r="R1067" s="48">
        <v>176</v>
      </c>
      <c r="S1067" s="48"/>
      <c r="T1067" s="48"/>
      <c r="U1067" s="49"/>
      <c r="V1067" s="49"/>
      <c r="W1067" s="50"/>
      <c r="X1067" s="51">
        <f>IF(A1067="", "", IF(COUNTIFS(C$3:C1066, C1067, D$3:D1066, D1067, G$3:G1066, G1067) &gt; 0, "", "11:00"-AW1067))</f>
        <v>0.37499999999999994</v>
      </c>
      <c r="Y1067" s="52" t="str">
        <f t="shared" si="155"/>
        <v>1:40</v>
      </c>
      <c r="Z1067" s="53"/>
      <c r="AA1067" s="54"/>
      <c r="AB1067" s="53"/>
      <c r="AC1067" s="54"/>
      <c r="AD1067" s="53"/>
      <c r="AE1067" s="54"/>
      <c r="AF1067" s="53"/>
      <c r="AG1067" s="54"/>
      <c r="AH1067" s="55">
        <v>4.1666666666666699E-2</v>
      </c>
      <c r="AI1067" s="53">
        <v>4.1666666666666664E-2</v>
      </c>
      <c r="AJ1067" s="54" t="s">
        <v>67</v>
      </c>
      <c r="AK1067" s="53"/>
      <c r="AL1067" s="54"/>
      <c r="AM1067" s="53"/>
      <c r="AN1067" s="54"/>
      <c r="AO1067" s="53"/>
      <c r="AP1067" s="54"/>
      <c r="AQ1067" s="53"/>
      <c r="AR1067" s="54"/>
      <c r="AS1067" s="53"/>
      <c r="AT1067" s="54"/>
      <c r="AU1067" s="53">
        <v>4.1666666666666699E-2</v>
      </c>
      <c r="AV1067" s="54" t="s">
        <v>37</v>
      </c>
      <c r="AW1067" s="57">
        <f t="shared" si="154"/>
        <v>8.333333333333337E-2</v>
      </c>
      <c r="AX1067" s="58" t="s">
        <v>91</v>
      </c>
    </row>
    <row r="1068" spans="1:50" ht="21" customHeight="1">
      <c r="A1068" s="66" t="s">
        <v>940</v>
      </c>
      <c r="B1068" s="39">
        <f t="shared" si="153"/>
        <v>1064</v>
      </c>
      <c r="C1068" s="40">
        <v>46045</v>
      </c>
      <c r="D1068" s="40" t="s">
        <v>80</v>
      </c>
      <c r="E1068" s="40" t="s">
        <v>81</v>
      </c>
      <c r="F1068" s="41">
        <v>597.4</v>
      </c>
      <c r="G1068" s="42" t="s">
        <v>54</v>
      </c>
      <c r="H1068" s="43" t="str">
        <f>IFERROR(VLOOKUP($J1068,'[9]FROM (3)'!$E$4:$F$230,2,FALSE),"")</f>
        <v>JTCS</v>
      </c>
      <c r="I1068" s="44" t="str">
        <f t="shared" si="152"/>
        <v>Rack, MS</v>
      </c>
      <c r="J1068" s="44" t="str">
        <f t="shared" si="150"/>
        <v>JGC10-003770-40-0</v>
      </c>
      <c r="K1068" s="59" t="str">
        <f t="shared" si="151"/>
        <v>PD26010904</v>
      </c>
      <c r="L1068" s="46" t="str" cm="1">
        <f t="array" ref="L1068">IFERROR(_xlfn.IFS(
    LEN($A1068)-LEN(SUBSTITUTE($A1068,"|",""))=12, RIGHT(A1068, LEN(A1068)-FIND("~", SUBSTITUTE(A1068,"|","~", LEN(A1068)-LEN(SUBSTITUTE(A1068,"|",""))))),
    LEN($A1068)-LEN(SUBSTITUTE($A1068,"|",""))=13, MID($A1068, FIND("~", SUBSTITUTE($A1068,"|","~", 11))+1, FIND("~", SUBSTITUTE($A1068,"|","~", 12))-FIND("~", SUBSTITUTE($A1068,"|","~", 11))-1),
    LEN($A1068)-LEN(SUBSTITUTE($A1068,"|",""))=14, MID($A1068, FIND("~", SUBSTITUTE($A1068,"|","~", 11))+1, FIND("~", SUBSTITUTE($A1068,"|","~", 12))-FIND("~", SUBSTITUTE($A1068,"|","~", 11))-1)
), "")</f>
        <v>E586613</v>
      </c>
      <c r="M1068" s="72" t="str">
        <f t="shared" si="141"/>
        <v>SB010109/1/26</v>
      </c>
      <c r="N1068" s="46" t="str">
        <f t="shared" si="149"/>
        <v/>
      </c>
      <c r="O1068" s="60">
        <v>80</v>
      </c>
      <c r="P1068" s="60">
        <v>904</v>
      </c>
      <c r="Q1068" s="48">
        <v>400</v>
      </c>
      <c r="R1068" s="48">
        <v>848</v>
      </c>
      <c r="S1068" s="48"/>
      <c r="T1068" s="48"/>
      <c r="U1068" s="49">
        <v>99</v>
      </c>
      <c r="V1068" s="49">
        <v>7</v>
      </c>
      <c r="W1068" s="50"/>
      <c r="X1068" s="51" t="str">
        <f>IF(A1068="", "", IF(COUNTIFS(C$3:C1067, C1068, D$3:D1067, D1068, G$3:G1067, G1068) &gt; 0, "", "11:00"-AW1068))</f>
        <v/>
      </c>
      <c r="Y1068" s="52" t="str">
        <f t="shared" si="155"/>
        <v/>
      </c>
      <c r="Z1068" s="53"/>
      <c r="AA1068" s="54"/>
      <c r="AB1068" s="53"/>
      <c r="AC1068" s="54"/>
      <c r="AD1068" s="53"/>
      <c r="AE1068" s="54"/>
      <c r="AF1068" s="53"/>
      <c r="AG1068" s="54"/>
      <c r="AH1068" s="55">
        <v>4.1666666666666699E-2</v>
      </c>
      <c r="AI1068" s="53"/>
      <c r="AJ1068" s="54"/>
      <c r="AK1068" s="53"/>
      <c r="AL1068" s="54"/>
      <c r="AM1068" s="53"/>
      <c r="AN1068" s="54"/>
      <c r="AO1068" s="53"/>
      <c r="AP1068" s="54"/>
      <c r="AQ1068" s="53"/>
      <c r="AR1068" s="54"/>
      <c r="AS1068" s="53"/>
      <c r="AT1068" s="54"/>
      <c r="AU1068" s="53">
        <v>4.1666666666666699E-2</v>
      </c>
      <c r="AV1068" s="54" t="s">
        <v>37</v>
      </c>
      <c r="AW1068" s="57">
        <f t="shared" si="154"/>
        <v>4.1666666666666699E-2</v>
      </c>
      <c r="AX1068" s="58" t="s">
        <v>91</v>
      </c>
    </row>
    <row r="1069" spans="1:50" ht="21" customHeight="1">
      <c r="A1069" s="66" t="s">
        <v>941</v>
      </c>
      <c r="B1069" s="39">
        <f t="shared" si="153"/>
        <v>1065</v>
      </c>
      <c r="C1069" s="40">
        <v>46045</v>
      </c>
      <c r="D1069" s="40" t="s">
        <v>80</v>
      </c>
      <c r="E1069" s="40" t="s">
        <v>81</v>
      </c>
      <c r="F1069" s="41">
        <v>698.5</v>
      </c>
      <c r="G1069" s="42" t="s">
        <v>54</v>
      </c>
      <c r="H1069" s="43" t="str">
        <f>IFERROR(VLOOKUP($J1069,'[9]FROM (3)'!$E$4:$F$230,2,FALSE),"")</f>
        <v>JCTTH</v>
      </c>
      <c r="I1069" s="44" t="str">
        <f t="shared" si="152"/>
        <v>RACK BAR</v>
      </c>
      <c r="J1069" s="44" t="str">
        <f t="shared" si="150"/>
        <v>JGD10-000751/000761-A</v>
      </c>
      <c r="K1069" s="59" t="str">
        <f t="shared" si="151"/>
        <v>PD26010575</v>
      </c>
      <c r="L1069" s="46" t="str" cm="1">
        <f t="array" ref="L1069">IFERROR(_xlfn.IFS(
    LEN($A1069)-LEN(SUBSTITUTE($A1069,"|",""))=12, RIGHT(A1069, LEN(A1069)-FIND("~", SUBSTITUTE(A1069,"|","~", LEN(A1069)-LEN(SUBSTITUTE(A1069,"|",""))))),
    LEN($A1069)-LEN(SUBSTITUTE($A1069,"|",""))=13, MID($A1069, FIND("~", SUBSTITUTE($A1069,"|","~", 11))+1, FIND("~", SUBSTITUTE($A1069,"|","~", 12))-FIND("~", SUBSTITUTE($A1069,"|","~", 11))-1),
    LEN($A1069)-LEN(SUBSTITUTE($A1069,"|",""))=14, MID($A1069, FIND("~", SUBSTITUTE($A1069,"|","~", 11))+1, FIND("~", SUBSTITUTE($A1069,"|","~", 12))-FIND("~", SUBSTITUTE($A1069,"|","~", 11))-1)
), "")</f>
        <v>665077</v>
      </c>
      <c r="M1069" s="72" t="str">
        <f t="shared" si="141"/>
        <v>SB010064/3/26</v>
      </c>
      <c r="N1069" s="46" t="str">
        <f t="shared" si="149"/>
        <v/>
      </c>
      <c r="O1069" s="60">
        <v>51</v>
      </c>
      <c r="P1069" s="60">
        <v>988</v>
      </c>
      <c r="Q1069" s="48">
        <v>204</v>
      </c>
      <c r="R1069" s="48">
        <v>913</v>
      </c>
      <c r="S1069" s="48"/>
      <c r="T1069" s="48"/>
      <c r="U1069" s="49"/>
      <c r="V1069" s="49"/>
      <c r="W1069" s="50"/>
      <c r="X1069" s="51" t="str">
        <f>IF(A1069="", "", IF(COUNTIFS(C$3:C1068, C1069, D$3:D1068, D1069, G$3:G1068, G1069) &gt; 0, "", "11:00"-AW1069))</f>
        <v/>
      </c>
      <c r="Y1069" s="52" t="str">
        <f t="shared" si="155"/>
        <v/>
      </c>
      <c r="Z1069" s="53"/>
      <c r="AA1069" s="54"/>
      <c r="AB1069" s="53"/>
      <c r="AC1069" s="54"/>
      <c r="AD1069" s="53"/>
      <c r="AE1069" s="54"/>
      <c r="AF1069" s="53"/>
      <c r="AG1069" s="54"/>
      <c r="AH1069" s="55">
        <v>4.1666666666666699E-2</v>
      </c>
      <c r="AI1069" s="53"/>
      <c r="AJ1069" s="54"/>
      <c r="AK1069" s="53"/>
      <c r="AL1069" s="54"/>
      <c r="AM1069" s="53"/>
      <c r="AN1069" s="54"/>
      <c r="AO1069" s="53"/>
      <c r="AP1069" s="54"/>
      <c r="AQ1069" s="53"/>
      <c r="AR1069" s="54"/>
      <c r="AS1069" s="53"/>
      <c r="AT1069" s="54"/>
      <c r="AU1069" s="53">
        <v>4.1666666666666699E-2</v>
      </c>
      <c r="AV1069" s="54" t="s">
        <v>37</v>
      </c>
      <c r="AW1069" s="57">
        <f t="shared" si="154"/>
        <v>4.1666666666666699E-2</v>
      </c>
      <c r="AX1069" s="58" t="s">
        <v>91</v>
      </c>
    </row>
    <row r="1070" spans="1:50" ht="21" customHeight="1">
      <c r="A1070" s="66" t="s">
        <v>942</v>
      </c>
      <c r="B1070" s="39">
        <f t="shared" si="153"/>
        <v>1066</v>
      </c>
      <c r="C1070" s="40">
        <v>46045</v>
      </c>
      <c r="D1070" s="40" t="s">
        <v>80</v>
      </c>
      <c r="E1070" s="40" t="s">
        <v>81</v>
      </c>
      <c r="F1070" s="41">
        <v>698.5</v>
      </c>
      <c r="G1070" s="42" t="s">
        <v>54</v>
      </c>
      <c r="H1070" s="43" t="str">
        <f>IFERROR(VLOOKUP($J1070,'[9]FROM (3)'!$E$4:$F$230,2,FALSE),"")</f>
        <v>JCTTH</v>
      </c>
      <c r="I1070" s="44" t="str">
        <f t="shared" si="152"/>
        <v>RACK BAR</v>
      </c>
      <c r="J1070" s="44" t="str">
        <f t="shared" si="150"/>
        <v>JGD10-000751/000761-A</v>
      </c>
      <c r="K1070" s="59" t="str">
        <f t="shared" si="151"/>
        <v>PD26010575</v>
      </c>
      <c r="L1070" s="46" t="str" cm="1">
        <f t="array" ref="L1070">IFERROR(_xlfn.IFS(
    LEN($A1070)-LEN(SUBSTITUTE($A1070,"|",""))=12, RIGHT(A1070, LEN(A1070)-FIND("~", SUBSTITUTE(A1070,"|","~", LEN(A1070)-LEN(SUBSTITUTE(A1070,"|",""))))),
    LEN($A1070)-LEN(SUBSTITUTE($A1070,"|",""))=13, MID($A1070, FIND("~", SUBSTITUTE($A1070,"|","~", 11))+1, FIND("~", SUBSTITUTE($A1070,"|","~", 12))-FIND("~", SUBSTITUTE($A1070,"|","~", 11))-1),
    LEN($A1070)-LEN(SUBSTITUTE($A1070,"|",""))=14, MID($A1070, FIND("~", SUBSTITUTE($A1070,"|","~", 11))+1, FIND("~", SUBSTITUTE($A1070,"|","~", 12))-FIND("~", SUBSTITUTE($A1070,"|","~", 11))-1)
), "")</f>
        <v>665077</v>
      </c>
      <c r="M1070" s="72" t="str">
        <f t="shared" si="141"/>
        <v>SB010064/1/26</v>
      </c>
      <c r="N1070" s="46" t="str">
        <f t="shared" si="149"/>
        <v/>
      </c>
      <c r="O1070" s="60">
        <v>51</v>
      </c>
      <c r="P1070" s="60">
        <v>988</v>
      </c>
      <c r="Q1070" s="48">
        <v>204</v>
      </c>
      <c r="R1070" s="48">
        <v>913</v>
      </c>
      <c r="S1070" s="48"/>
      <c r="T1070" s="48"/>
      <c r="U1070" s="49"/>
      <c r="V1070" s="49"/>
      <c r="W1070" s="50"/>
      <c r="X1070" s="51" t="str">
        <f>IF(A1070="", "", IF(COUNTIFS(C$3:C1069, C1070, D$3:D1069, D1070, G$3:G1069, G1070) &gt; 0, "", "11:00"-AW1070))</f>
        <v/>
      </c>
      <c r="Y1070" s="52" t="str">
        <f t="shared" si="155"/>
        <v/>
      </c>
      <c r="Z1070" s="53"/>
      <c r="AA1070" s="54"/>
      <c r="AB1070" s="53"/>
      <c r="AC1070" s="54"/>
      <c r="AD1070" s="53"/>
      <c r="AE1070" s="54"/>
      <c r="AF1070" s="53"/>
      <c r="AG1070" s="54"/>
      <c r="AH1070" s="55">
        <v>4.1666666666666699E-2</v>
      </c>
      <c r="AI1070" s="53"/>
      <c r="AJ1070" s="54"/>
      <c r="AK1070" s="53"/>
      <c r="AL1070" s="54"/>
      <c r="AM1070" s="53"/>
      <c r="AN1070" s="54"/>
      <c r="AO1070" s="53"/>
      <c r="AP1070" s="54"/>
      <c r="AQ1070" s="53"/>
      <c r="AR1070" s="54"/>
      <c r="AS1070" s="53"/>
      <c r="AT1070" s="54"/>
      <c r="AU1070" s="53">
        <v>4.1666666666666699E-2</v>
      </c>
      <c r="AV1070" s="54" t="s">
        <v>37</v>
      </c>
      <c r="AW1070" s="57">
        <f t="shared" si="154"/>
        <v>4.1666666666666699E-2</v>
      </c>
      <c r="AX1070" s="58" t="s">
        <v>91</v>
      </c>
    </row>
    <row r="1071" spans="1:50" ht="21" customHeight="1">
      <c r="A1071" s="66" t="s">
        <v>943</v>
      </c>
      <c r="B1071" s="39">
        <f t="shared" si="153"/>
        <v>1067</v>
      </c>
      <c r="C1071" s="40">
        <v>46045</v>
      </c>
      <c r="D1071" s="40" t="s">
        <v>80</v>
      </c>
      <c r="E1071" s="40" t="s">
        <v>81</v>
      </c>
      <c r="F1071" s="41">
        <v>698.5</v>
      </c>
      <c r="G1071" s="42" t="s">
        <v>54</v>
      </c>
      <c r="H1071" s="43" t="str">
        <f>IFERROR(VLOOKUP($J1071,'[9]FROM (3)'!$E$4:$F$230,2,FALSE),"")</f>
        <v>JCTTH</v>
      </c>
      <c r="I1071" s="44" t="str">
        <f t="shared" si="152"/>
        <v>RACK BAR</v>
      </c>
      <c r="J1071" s="44" t="str">
        <f t="shared" si="150"/>
        <v>JGD10-000751/000761-A</v>
      </c>
      <c r="K1071" s="59" t="str">
        <f t="shared" si="151"/>
        <v>PD26010575</v>
      </c>
      <c r="L1071" s="46" t="str" cm="1">
        <f t="array" ref="L1071">IFERROR(_xlfn.IFS(
    LEN($A1071)-LEN(SUBSTITUTE($A1071,"|",""))=12, RIGHT(A1071, LEN(A1071)-FIND("~", SUBSTITUTE(A1071,"|","~", LEN(A1071)-LEN(SUBSTITUTE(A1071,"|",""))))),
    LEN($A1071)-LEN(SUBSTITUTE($A1071,"|",""))=13, MID($A1071, FIND("~", SUBSTITUTE($A1071,"|","~", 11))+1, FIND("~", SUBSTITUTE($A1071,"|","~", 12))-FIND("~", SUBSTITUTE($A1071,"|","~", 11))-1),
    LEN($A1071)-LEN(SUBSTITUTE($A1071,"|",""))=14, MID($A1071, FIND("~", SUBSTITUTE($A1071,"|","~", 11))+1, FIND("~", SUBSTITUTE($A1071,"|","~", 12))-FIND("~", SUBSTITUTE($A1071,"|","~", 11))-1)
), "")</f>
        <v>665077</v>
      </c>
      <c r="M1071" s="72" t="str">
        <f t="shared" si="141"/>
        <v>SB010064/2/26</v>
      </c>
      <c r="N1071" s="46" t="str">
        <f t="shared" si="149"/>
        <v/>
      </c>
      <c r="O1071" s="60">
        <v>51</v>
      </c>
      <c r="P1071" s="60">
        <v>988</v>
      </c>
      <c r="Q1071" s="48">
        <v>107</v>
      </c>
      <c r="R1071" s="48">
        <v>479</v>
      </c>
      <c r="S1071" s="48"/>
      <c r="T1071" s="48"/>
      <c r="U1071" s="49"/>
      <c r="V1071" s="49"/>
      <c r="W1071" s="50"/>
      <c r="X1071" s="51" t="str">
        <f>IF(A1071="", "", IF(COUNTIFS(C$3:C1070, C1071, D$3:D1070, D1071, G$3:G1070, G1071) &gt; 0, "", "11:00"-AW1071))</f>
        <v/>
      </c>
      <c r="Y1071" s="52" t="str">
        <f t="shared" si="155"/>
        <v/>
      </c>
      <c r="Z1071" s="53"/>
      <c r="AA1071" s="54"/>
      <c r="AB1071" s="53"/>
      <c r="AC1071" s="54"/>
      <c r="AD1071" s="53"/>
      <c r="AE1071" s="54"/>
      <c r="AF1071" s="53"/>
      <c r="AG1071" s="54"/>
      <c r="AH1071" s="55">
        <v>4.1666666666666699E-2</v>
      </c>
      <c r="AI1071" s="53"/>
      <c r="AJ1071" s="54"/>
      <c r="AK1071" s="53"/>
      <c r="AL1071" s="54"/>
      <c r="AM1071" s="53"/>
      <c r="AN1071" s="54"/>
      <c r="AO1071" s="53"/>
      <c r="AP1071" s="54"/>
      <c r="AQ1071" s="53"/>
      <c r="AR1071" s="54"/>
      <c r="AS1071" s="53"/>
      <c r="AT1071" s="54"/>
      <c r="AU1071" s="53">
        <v>4.1666666666666699E-2</v>
      </c>
      <c r="AV1071" s="54" t="s">
        <v>37</v>
      </c>
      <c r="AW1071" s="57">
        <f t="shared" si="154"/>
        <v>4.1666666666666699E-2</v>
      </c>
      <c r="AX1071" s="58" t="s">
        <v>91</v>
      </c>
    </row>
    <row r="1072" spans="1:50" ht="21" customHeight="1">
      <c r="A1072" s="66" t="s">
        <v>928</v>
      </c>
      <c r="B1072" s="39">
        <f t="shared" si="153"/>
        <v>1068</v>
      </c>
      <c r="C1072" s="40">
        <v>46045</v>
      </c>
      <c r="D1072" s="40" t="s">
        <v>80</v>
      </c>
      <c r="E1072" s="40" t="s">
        <v>81</v>
      </c>
      <c r="F1072" s="41">
        <v>598.79999999999995</v>
      </c>
      <c r="G1072" s="42" t="s">
        <v>66</v>
      </c>
      <c r="H1072" s="43" t="str">
        <f>IFERROR(VLOOKUP($J1072,'[9]FROM (3)'!$E$4:$F$230,2,FALSE),"")</f>
        <v>JTCS</v>
      </c>
      <c r="I1072" s="44" t="str">
        <f t="shared" si="152"/>
        <v>RACK, MS</v>
      </c>
      <c r="J1072" s="44" t="str">
        <f t="shared" si="150"/>
        <v>JGC10-001180-S</v>
      </c>
      <c r="K1072" s="59" t="str">
        <f t="shared" si="151"/>
        <v>PD26010777</v>
      </c>
      <c r="L1072" s="46" t="str" cm="1">
        <f t="array" ref="L1072">IFERROR(_xlfn.IFS(
    LEN($A1072)-LEN(SUBSTITUTE($A1072,"|",""))=12, RIGHT(A1072, LEN(A1072)-FIND("~", SUBSTITUTE(A1072,"|","~", LEN(A1072)-LEN(SUBSTITUTE(A1072,"|",""))))),
    LEN($A1072)-LEN(SUBSTITUTE($A1072,"|",""))=13, MID($A1072, FIND("~", SUBSTITUTE($A1072,"|","~", 11))+1, FIND("~", SUBSTITUTE($A1072,"|","~", 12))-FIND("~", SUBSTITUTE($A1072,"|","~", 11))-1),
    LEN($A1072)-LEN(SUBSTITUTE($A1072,"|",""))=14, MID($A1072, FIND("~", SUBSTITUTE($A1072,"|","~", 11))+1, FIND("~", SUBSTITUTE($A1072,"|","~", 12))-FIND("~", SUBSTITUTE($A1072,"|","~", 11))-1)
), "")</f>
        <v>E585971</v>
      </c>
      <c r="M1072" s="72" t="str">
        <f t="shared" si="141"/>
        <v>SB010092/5/26</v>
      </c>
      <c r="N1072" s="46" t="str">
        <f t="shared" si="149"/>
        <v/>
      </c>
      <c r="O1072" s="60" t="s">
        <v>35</v>
      </c>
      <c r="P1072" s="60" t="s">
        <v>35</v>
      </c>
      <c r="Q1072" s="48">
        <v>399</v>
      </c>
      <c r="R1072" s="48">
        <v>848</v>
      </c>
      <c r="S1072" s="48"/>
      <c r="T1072" s="48"/>
      <c r="U1072" s="49">
        <v>142</v>
      </c>
      <c r="V1072" s="49">
        <v>10</v>
      </c>
      <c r="W1072" s="50"/>
      <c r="X1072" s="51">
        <f>IF(A1072="", "", IF(COUNTIFS(C$3:C1071, C1072, D$3:D1071, D1072, G$3:G1071, G1072) &gt; 0, "", "11:00"-AW1072))</f>
        <v>0.37499999999999994</v>
      </c>
      <c r="Y1072" s="52" t="str">
        <f t="shared" si="155"/>
        <v>1:40</v>
      </c>
      <c r="Z1072" s="53"/>
      <c r="AA1072" s="54"/>
      <c r="AB1072" s="53"/>
      <c r="AC1072" s="54"/>
      <c r="AD1072" s="53"/>
      <c r="AE1072" s="54"/>
      <c r="AF1072" s="53">
        <v>2.0833333333333332E-2</v>
      </c>
      <c r="AG1072" s="54" t="s">
        <v>67</v>
      </c>
      <c r="AH1072" s="55">
        <v>4.1666666666666699E-2</v>
      </c>
      <c r="AI1072" s="53">
        <v>2.0833333333333332E-2</v>
      </c>
      <c r="AJ1072" s="54" t="s">
        <v>67</v>
      </c>
      <c r="AK1072" s="53"/>
      <c r="AL1072" s="54"/>
      <c r="AM1072" s="53"/>
      <c r="AN1072" s="54"/>
      <c r="AO1072" s="53"/>
      <c r="AP1072" s="54"/>
      <c r="AQ1072" s="53"/>
      <c r="AR1072" s="54"/>
      <c r="AS1072" s="53"/>
      <c r="AT1072" s="54"/>
      <c r="AU1072" s="53">
        <v>4.1666666666666699E-2</v>
      </c>
      <c r="AV1072" s="54" t="s">
        <v>37</v>
      </c>
      <c r="AW1072" s="57">
        <f t="shared" si="154"/>
        <v>8.333333333333337E-2</v>
      </c>
      <c r="AX1072" s="58" t="s">
        <v>96</v>
      </c>
    </row>
    <row r="1073" spans="1:50" ht="21" customHeight="1">
      <c r="A1073" s="66" t="s">
        <v>944</v>
      </c>
      <c r="B1073" s="39">
        <f t="shared" si="153"/>
        <v>1069</v>
      </c>
      <c r="C1073" s="40">
        <v>46045</v>
      </c>
      <c r="D1073" s="40" t="s">
        <v>80</v>
      </c>
      <c r="E1073" s="40" t="s">
        <v>81</v>
      </c>
      <c r="F1073" s="41">
        <v>630.4</v>
      </c>
      <c r="G1073" s="42" t="s">
        <v>66</v>
      </c>
      <c r="H1073" s="43" t="str">
        <f>IFERROR(VLOOKUP($J1073,'[9]FROM (3)'!$E$4:$F$230,2,FALSE),"")</f>
        <v>JTCS</v>
      </c>
      <c r="I1073" s="44" t="str">
        <f t="shared" si="152"/>
        <v>RACK, MS</v>
      </c>
      <c r="J1073" s="44" t="str">
        <f t="shared" si="150"/>
        <v>JGC10-003140-40-0</v>
      </c>
      <c r="K1073" s="59" t="str">
        <f t="shared" si="151"/>
        <v>PD26011079</v>
      </c>
      <c r="L1073" s="46" t="str" cm="1">
        <f t="array" ref="L1073">IFERROR(_xlfn.IFS(
    LEN($A1073)-LEN(SUBSTITUTE($A1073,"|",""))=12, RIGHT(A1073, LEN(A1073)-FIND("~", SUBSTITUTE(A1073,"|","~", LEN(A1073)-LEN(SUBSTITUTE(A1073,"|",""))))),
    LEN($A1073)-LEN(SUBSTITUTE($A1073,"|",""))=13, MID($A1073, FIND("~", SUBSTITUTE($A1073,"|","~", 11))+1, FIND("~", SUBSTITUTE($A1073,"|","~", 12))-FIND("~", SUBSTITUTE($A1073,"|","~", 11))-1),
    LEN($A1073)-LEN(SUBSTITUTE($A1073,"|",""))=14, MID($A1073, FIND("~", SUBSTITUTE($A1073,"|","~", 11))+1, FIND("~", SUBSTITUTE($A1073,"|","~", 12))-FIND("~", SUBSTITUTE($A1073,"|","~", 11))-1)
), "")</f>
        <v>E586613</v>
      </c>
      <c r="M1073" s="72" t="str">
        <f t="shared" si="141"/>
        <v>SB010143/1/26</v>
      </c>
      <c r="N1073" s="46" t="str">
        <f t="shared" si="149"/>
        <v/>
      </c>
      <c r="O1073" s="60">
        <v>64</v>
      </c>
      <c r="P1073" s="60">
        <v>928</v>
      </c>
      <c r="Q1073" s="48">
        <v>320</v>
      </c>
      <c r="R1073" s="48">
        <v>840</v>
      </c>
      <c r="S1073" s="48"/>
      <c r="T1073" s="48"/>
      <c r="U1073" s="49">
        <v>160</v>
      </c>
      <c r="V1073" s="49">
        <v>6</v>
      </c>
      <c r="W1073" s="50"/>
      <c r="X1073" s="51" t="str">
        <f>IF(A1073="", "", IF(COUNTIFS(C$3:C1072, C1073, D$3:D1072, D1073, G$3:G1072, G1073) &gt; 0, "", "11:00"-AW1073))</f>
        <v/>
      </c>
      <c r="Y1073" s="52" t="str">
        <f t="shared" si="155"/>
        <v/>
      </c>
      <c r="Z1073" s="53"/>
      <c r="AA1073" s="54"/>
      <c r="AB1073" s="53"/>
      <c r="AC1073" s="54"/>
      <c r="AD1073" s="53"/>
      <c r="AE1073" s="54"/>
      <c r="AF1073" s="53"/>
      <c r="AG1073" s="54"/>
      <c r="AH1073" s="55">
        <v>4.1666666666666699E-2</v>
      </c>
      <c r="AI1073" s="53"/>
      <c r="AJ1073" s="54"/>
      <c r="AK1073" s="53"/>
      <c r="AL1073" s="54"/>
      <c r="AM1073" s="53"/>
      <c r="AN1073" s="54"/>
      <c r="AO1073" s="53"/>
      <c r="AP1073" s="54"/>
      <c r="AQ1073" s="53"/>
      <c r="AR1073" s="54"/>
      <c r="AS1073" s="53"/>
      <c r="AT1073" s="54"/>
      <c r="AU1073" s="53">
        <v>4.1666666666666699E-2</v>
      </c>
      <c r="AV1073" s="54" t="s">
        <v>37</v>
      </c>
      <c r="AW1073" s="57">
        <f t="shared" si="154"/>
        <v>4.1666666666666699E-2</v>
      </c>
      <c r="AX1073" s="58" t="s">
        <v>96</v>
      </c>
    </row>
    <row r="1074" spans="1:50" ht="21" customHeight="1">
      <c r="A1074" s="66" t="s">
        <v>945</v>
      </c>
      <c r="B1074" s="39">
        <f t="shared" si="153"/>
        <v>1070</v>
      </c>
      <c r="C1074" s="40">
        <v>46045</v>
      </c>
      <c r="D1074" s="40" t="s">
        <v>80</v>
      </c>
      <c r="E1074" s="40" t="s">
        <v>81</v>
      </c>
      <c r="F1074" s="41">
        <v>630.4</v>
      </c>
      <c r="G1074" s="42" t="s">
        <v>66</v>
      </c>
      <c r="H1074" s="43" t="str">
        <f>IFERROR(VLOOKUP($J1074,'[9]FROM (3)'!$E$4:$F$230,2,FALSE),"")</f>
        <v>JTCS</v>
      </c>
      <c r="I1074" s="44" t="str">
        <f t="shared" si="152"/>
        <v>RACK, MS</v>
      </c>
      <c r="J1074" s="44" t="str">
        <f t="shared" si="150"/>
        <v>JGC10-003140-40-0</v>
      </c>
      <c r="K1074" s="59" t="str">
        <f t="shared" si="151"/>
        <v>PD26011079</v>
      </c>
      <c r="L1074" s="46" t="str" cm="1">
        <f t="array" ref="L1074">IFERROR(_xlfn.IFS(
    LEN($A1074)-LEN(SUBSTITUTE($A1074,"|",""))=12, RIGHT(A1074, LEN(A1074)-FIND("~", SUBSTITUTE(A1074,"|","~", LEN(A1074)-LEN(SUBSTITUTE(A1074,"|",""))))),
    LEN($A1074)-LEN(SUBSTITUTE($A1074,"|",""))=13, MID($A1074, FIND("~", SUBSTITUTE($A1074,"|","~", 11))+1, FIND("~", SUBSTITUTE($A1074,"|","~", 12))-FIND("~", SUBSTITUTE($A1074,"|","~", 11))-1),
    LEN($A1074)-LEN(SUBSTITUTE($A1074,"|",""))=14, MID($A1074, FIND("~", SUBSTITUTE($A1074,"|","~", 11))+1, FIND("~", SUBSTITUTE($A1074,"|","~", 12))-FIND("~", SUBSTITUTE($A1074,"|","~", 11))-1)
), "")</f>
        <v>E586613</v>
      </c>
      <c r="M1074" s="72" t="str">
        <f t="shared" si="141"/>
        <v>SB010143/2/26</v>
      </c>
      <c r="N1074" s="46" t="str">
        <f t="shared" si="149"/>
        <v/>
      </c>
      <c r="O1074" s="60">
        <v>64</v>
      </c>
      <c r="P1074" s="60">
        <v>928</v>
      </c>
      <c r="Q1074" s="48">
        <v>320</v>
      </c>
      <c r="R1074" s="48">
        <v>840</v>
      </c>
      <c r="S1074" s="48"/>
      <c r="T1074" s="48"/>
      <c r="U1074" s="49"/>
      <c r="V1074" s="49"/>
      <c r="W1074" s="50"/>
      <c r="X1074" s="51" t="str">
        <f>IF(A1074="", "", IF(COUNTIFS(C$3:C1073, C1074, D$3:D1073, D1074, G$3:G1073, G1074) &gt; 0, "", "11:00"-AW1074))</f>
        <v/>
      </c>
      <c r="Y1074" s="52" t="str">
        <f t="shared" si="155"/>
        <v/>
      </c>
      <c r="Z1074" s="53"/>
      <c r="AA1074" s="54"/>
      <c r="AB1074" s="53"/>
      <c r="AC1074" s="54"/>
      <c r="AD1074" s="53"/>
      <c r="AE1074" s="54"/>
      <c r="AF1074" s="53"/>
      <c r="AG1074" s="54"/>
      <c r="AH1074" s="55">
        <v>4.1666666666666699E-2</v>
      </c>
      <c r="AI1074" s="53"/>
      <c r="AJ1074" s="54"/>
      <c r="AK1074" s="53"/>
      <c r="AL1074" s="54"/>
      <c r="AM1074" s="53"/>
      <c r="AN1074" s="54"/>
      <c r="AO1074" s="53"/>
      <c r="AP1074" s="54"/>
      <c r="AQ1074" s="53"/>
      <c r="AR1074" s="54"/>
      <c r="AS1074" s="53"/>
      <c r="AT1074" s="54"/>
      <c r="AU1074" s="53">
        <v>4.1666666666666699E-2</v>
      </c>
      <c r="AV1074" s="54" t="s">
        <v>37</v>
      </c>
      <c r="AW1074" s="57">
        <f t="shared" si="154"/>
        <v>4.1666666666666699E-2</v>
      </c>
      <c r="AX1074" s="58" t="s">
        <v>96</v>
      </c>
    </row>
    <row r="1075" spans="1:50" ht="21" customHeight="1">
      <c r="A1075" s="66" t="s">
        <v>929</v>
      </c>
      <c r="B1075" s="39">
        <f t="shared" si="153"/>
        <v>1071</v>
      </c>
      <c r="C1075" s="40">
        <v>46045</v>
      </c>
      <c r="D1075" s="40" t="s">
        <v>80</v>
      </c>
      <c r="E1075" s="40" t="s">
        <v>81</v>
      </c>
      <c r="F1075" s="41">
        <v>191</v>
      </c>
      <c r="G1075" s="42" t="s">
        <v>108</v>
      </c>
      <c r="H1075" s="43" t="str">
        <f>IFERROR(VLOOKUP($J1075,'[9]FROM (3)'!$E$4:$F$230,2,FALSE),"")</f>
        <v>SIAM NSK</v>
      </c>
      <c r="I1075" s="44" t="str">
        <f t="shared" si="152"/>
        <v>STG.SHAFT</v>
      </c>
      <c r="J1075" s="44" t="str">
        <f t="shared" si="150"/>
        <v>2528S0250C</v>
      </c>
      <c r="K1075" s="59" t="str">
        <f t="shared" si="151"/>
        <v>PD26010975</v>
      </c>
      <c r="L1075" s="46" t="str" cm="1">
        <f t="array" ref="L1075">IFERROR(_xlfn.IFS(
    LEN($A1075)-LEN(SUBSTITUTE($A1075,"|",""))=12, RIGHT(A1075, LEN(A1075)-FIND("~", SUBSTITUTE(A1075,"|","~", LEN(A1075)-LEN(SUBSTITUTE(A1075,"|",""))))),
    LEN($A1075)-LEN(SUBSTITUTE($A1075,"|",""))=13, MID($A1075, FIND("~", SUBSTITUTE($A1075,"|","~", 11))+1, FIND("~", SUBSTITUTE($A1075,"|","~", 12))-FIND("~", SUBSTITUTE($A1075,"|","~", 11))-1),
    LEN($A1075)-LEN(SUBSTITUTE($A1075,"|",""))=14, MID($A1075, FIND("~", SUBSTITUTE($A1075,"|","~", 11))+1, FIND("~", SUBSTITUTE($A1075,"|","~", 12))-FIND("~", SUBSTITUTE($A1075,"|","~", 11))-1)
), "")</f>
        <v>E484056</v>
      </c>
      <c r="M1075" s="72" t="str">
        <f t="shared" si="141"/>
        <v>SB010126/4/26</v>
      </c>
      <c r="N1075" s="46" t="str">
        <f t="shared" si="149"/>
        <v/>
      </c>
      <c r="O1075" s="60"/>
      <c r="P1075" s="60"/>
      <c r="Q1075" s="48">
        <v>1587</v>
      </c>
      <c r="R1075" s="48">
        <v>674</v>
      </c>
      <c r="S1075" s="48"/>
      <c r="T1075" s="48"/>
      <c r="U1075" s="49"/>
      <c r="V1075" s="49"/>
      <c r="W1075" s="50"/>
      <c r="X1075" s="51">
        <f>IF(A1075="", "", IF(COUNTIFS(C$3:C1074, C1075, D$3:D1074, D1075, G$3:G1074, G1075) &gt; 0, "", "11:00"-AW1075))</f>
        <v>0.41666666666666663</v>
      </c>
      <c r="Y1075" s="52" t="str">
        <f t="shared" si="155"/>
        <v>1:40</v>
      </c>
      <c r="Z1075" s="53"/>
      <c r="AA1075" s="54"/>
      <c r="AB1075" s="53"/>
      <c r="AC1075" s="54"/>
      <c r="AD1075" s="53"/>
      <c r="AE1075" s="54"/>
      <c r="AF1075" s="53"/>
      <c r="AG1075" s="54"/>
      <c r="AH1075" s="55">
        <v>4.1666666666666699E-2</v>
      </c>
      <c r="AI1075" s="53"/>
      <c r="AJ1075" s="54"/>
      <c r="AK1075" s="53"/>
      <c r="AL1075" s="54"/>
      <c r="AM1075" s="53"/>
      <c r="AN1075" s="54"/>
      <c r="AO1075" s="53"/>
      <c r="AP1075" s="54"/>
      <c r="AQ1075" s="53"/>
      <c r="AR1075" s="54"/>
      <c r="AS1075" s="53"/>
      <c r="AT1075" s="54"/>
      <c r="AU1075" s="53">
        <v>4.1666666666666699E-2</v>
      </c>
      <c r="AV1075" s="54" t="s">
        <v>37</v>
      </c>
      <c r="AW1075" s="57">
        <f t="shared" si="154"/>
        <v>4.1666666666666699E-2</v>
      </c>
      <c r="AX1075" s="58" t="s">
        <v>770</v>
      </c>
    </row>
    <row r="1076" spans="1:50" ht="21" customHeight="1">
      <c r="A1076" s="66" t="s">
        <v>946</v>
      </c>
      <c r="B1076" s="39">
        <f t="shared" si="153"/>
        <v>1072</v>
      </c>
      <c r="C1076" s="40">
        <v>46045</v>
      </c>
      <c r="D1076" s="40" t="s">
        <v>80</v>
      </c>
      <c r="E1076" s="40" t="s">
        <v>81</v>
      </c>
      <c r="F1076" s="41">
        <v>191</v>
      </c>
      <c r="G1076" s="42" t="s">
        <v>108</v>
      </c>
      <c r="H1076" s="43" t="str">
        <f>IFERROR(VLOOKUP($J1076,'[9]FROM (3)'!$E$4:$F$230,2,FALSE),"")</f>
        <v>SIAM NSK</v>
      </c>
      <c r="I1076" s="44" t="str">
        <f t="shared" si="152"/>
        <v>STG.SHAFT</v>
      </c>
      <c r="J1076" s="44" t="str">
        <f t="shared" si="150"/>
        <v>2528S0250C</v>
      </c>
      <c r="K1076" s="59" t="str">
        <f t="shared" si="151"/>
        <v>PD26010975</v>
      </c>
      <c r="L1076" s="46" t="str" cm="1">
        <f t="array" ref="L1076">IFERROR(_xlfn.IFS(
    LEN($A1076)-LEN(SUBSTITUTE($A1076,"|",""))=12, RIGHT(A1076, LEN(A1076)-FIND("~", SUBSTITUTE(A1076,"|","~", LEN(A1076)-LEN(SUBSTITUTE(A1076,"|",""))))),
    LEN($A1076)-LEN(SUBSTITUTE($A1076,"|",""))=13, MID($A1076, FIND("~", SUBSTITUTE($A1076,"|","~", 11))+1, FIND("~", SUBSTITUTE($A1076,"|","~", 12))-FIND("~", SUBSTITUTE($A1076,"|","~", 11))-1),
    LEN($A1076)-LEN(SUBSTITUTE($A1076,"|",""))=14, MID($A1076, FIND("~", SUBSTITUTE($A1076,"|","~", 11))+1, FIND("~", SUBSTITUTE($A1076,"|","~", 12))-FIND("~", SUBSTITUTE($A1076,"|","~", 11))-1)
), "")</f>
        <v>E484056</v>
      </c>
      <c r="M1076" s="72" t="str">
        <f t="shared" si="141"/>
        <v>SB010126/3/26</v>
      </c>
      <c r="N1076" s="46" t="str">
        <f t="shared" si="149"/>
        <v/>
      </c>
      <c r="O1076" s="60">
        <v>84</v>
      </c>
      <c r="P1076" s="60">
        <v>1026</v>
      </c>
      <c r="Q1076" s="48">
        <v>2295</v>
      </c>
      <c r="R1076" s="48">
        <v>975</v>
      </c>
      <c r="S1076" s="48"/>
      <c r="T1076" s="48"/>
      <c r="U1076" s="49">
        <v>83</v>
      </c>
      <c r="V1076" s="49">
        <v>21</v>
      </c>
      <c r="W1076" s="50"/>
      <c r="X1076" s="51" t="str">
        <f>IF(A1076="", "", IF(COUNTIFS(C$3:C1075, C1076, D$3:D1075, D1076, G$3:G1075, G1076) &gt; 0, "", "11:00"-AW1076))</f>
        <v/>
      </c>
      <c r="Y1076" s="52" t="str">
        <f t="shared" si="155"/>
        <v/>
      </c>
      <c r="Z1076" s="53"/>
      <c r="AA1076" s="54"/>
      <c r="AB1076" s="53"/>
      <c r="AC1076" s="54"/>
      <c r="AD1076" s="53"/>
      <c r="AE1076" s="54"/>
      <c r="AF1076" s="53"/>
      <c r="AG1076" s="54"/>
      <c r="AH1076" s="55">
        <v>4.1666666666666699E-2</v>
      </c>
      <c r="AI1076" s="53"/>
      <c r="AJ1076" s="54"/>
      <c r="AK1076" s="53"/>
      <c r="AL1076" s="54"/>
      <c r="AM1076" s="53"/>
      <c r="AN1076" s="54"/>
      <c r="AO1076" s="53"/>
      <c r="AP1076" s="54"/>
      <c r="AQ1076" s="53"/>
      <c r="AR1076" s="54"/>
      <c r="AS1076" s="53"/>
      <c r="AT1076" s="54"/>
      <c r="AU1076" s="53">
        <v>4.1666666666666699E-2</v>
      </c>
      <c r="AV1076" s="54" t="s">
        <v>37</v>
      </c>
      <c r="AW1076" s="57">
        <f t="shared" si="154"/>
        <v>4.1666666666666699E-2</v>
      </c>
      <c r="AX1076" s="58" t="s">
        <v>770</v>
      </c>
    </row>
    <row r="1077" spans="1:50" ht="21" customHeight="1">
      <c r="A1077" s="66" t="s">
        <v>947</v>
      </c>
      <c r="B1077" s="39">
        <f t="shared" si="153"/>
        <v>1073</v>
      </c>
      <c r="C1077" s="40">
        <v>46045</v>
      </c>
      <c r="D1077" s="40" t="s">
        <v>80</v>
      </c>
      <c r="E1077" s="40" t="s">
        <v>81</v>
      </c>
      <c r="F1077" s="41">
        <v>191</v>
      </c>
      <c r="G1077" s="42" t="s">
        <v>108</v>
      </c>
      <c r="H1077" s="43" t="str">
        <f>IFERROR(VLOOKUP($J1077,'[9]FROM (3)'!$E$4:$F$230,2,FALSE),"")</f>
        <v>SIAM NSK</v>
      </c>
      <c r="I1077" s="44" t="str">
        <f t="shared" si="152"/>
        <v>STG.SHAFT</v>
      </c>
      <c r="J1077" s="44" t="str">
        <f t="shared" si="150"/>
        <v>2528S0250C</v>
      </c>
      <c r="K1077" s="59" t="str">
        <f t="shared" si="151"/>
        <v>PD26010974</v>
      </c>
      <c r="L1077" s="46" t="str" cm="1">
        <f t="array" ref="L1077">IFERROR(_xlfn.IFS(
    LEN($A1077)-LEN(SUBSTITUTE($A1077,"|",""))=12, RIGHT(A1077, LEN(A1077)-FIND("~", SUBSTITUTE(A1077,"|","~", LEN(A1077)-LEN(SUBSTITUTE(A1077,"|",""))))),
    LEN($A1077)-LEN(SUBSTITUTE($A1077,"|",""))=13, MID($A1077, FIND("~", SUBSTITUTE($A1077,"|","~", 11))+1, FIND("~", SUBSTITUTE($A1077,"|","~", 12))-FIND("~", SUBSTITUTE($A1077,"|","~", 11))-1),
    LEN($A1077)-LEN(SUBSTITUTE($A1077,"|",""))=14, MID($A1077, FIND("~", SUBSTITUTE($A1077,"|","~", 11))+1, FIND("~", SUBSTITUTE($A1077,"|","~", 12))-FIND("~", SUBSTITUTE($A1077,"|","~", 11))-1)
), "")</f>
        <v>E484056</v>
      </c>
      <c r="M1077" s="72" t="str">
        <f t="shared" si="141"/>
        <v>SB010126/1/26</v>
      </c>
      <c r="N1077" s="46" t="str">
        <f t="shared" si="149"/>
        <v/>
      </c>
      <c r="O1077" s="60">
        <v>84</v>
      </c>
      <c r="P1077" s="60">
        <v>1026</v>
      </c>
      <c r="Q1077" s="48">
        <v>222</v>
      </c>
      <c r="R1077" s="48">
        <v>94</v>
      </c>
      <c r="S1077" s="48"/>
      <c r="T1077" s="48"/>
      <c r="U1077" s="49"/>
      <c r="V1077" s="49"/>
      <c r="W1077" s="50"/>
      <c r="X1077" s="51" t="str">
        <f>IF(A1077="", "", IF(COUNTIFS(C$3:C1076, C1077, D$3:D1076, D1077, G$3:G1076, G1077) &gt; 0, "", "11:00"-AW1077))</f>
        <v/>
      </c>
      <c r="Y1077" s="52" t="str">
        <f t="shared" si="155"/>
        <v/>
      </c>
      <c r="Z1077" s="53"/>
      <c r="AA1077" s="54"/>
      <c r="AB1077" s="53"/>
      <c r="AC1077" s="54"/>
      <c r="AD1077" s="53"/>
      <c r="AE1077" s="54"/>
      <c r="AF1077" s="53"/>
      <c r="AG1077" s="54"/>
      <c r="AH1077" s="55">
        <v>4.1666666666666699E-2</v>
      </c>
      <c r="AI1077" s="53"/>
      <c r="AJ1077" s="54"/>
      <c r="AK1077" s="53"/>
      <c r="AL1077" s="54"/>
      <c r="AM1077" s="53"/>
      <c r="AN1077" s="54"/>
      <c r="AO1077" s="53"/>
      <c r="AP1077" s="54"/>
      <c r="AQ1077" s="53"/>
      <c r="AR1077" s="54"/>
      <c r="AS1077" s="53"/>
      <c r="AT1077" s="54"/>
      <c r="AU1077" s="53">
        <v>4.1666666666666699E-2</v>
      </c>
      <c r="AV1077" s="54" t="s">
        <v>37</v>
      </c>
      <c r="AW1077" s="57">
        <f t="shared" si="154"/>
        <v>4.1666666666666699E-2</v>
      </c>
      <c r="AX1077" s="58" t="s">
        <v>770</v>
      </c>
    </row>
    <row r="1078" spans="1:50" ht="21" customHeight="1">
      <c r="A1078" s="66" t="s">
        <v>930</v>
      </c>
      <c r="B1078" s="39">
        <f t="shared" si="153"/>
        <v>1074</v>
      </c>
      <c r="C1078" s="40">
        <v>46045</v>
      </c>
      <c r="D1078" s="40" t="s">
        <v>80</v>
      </c>
      <c r="E1078" s="40" t="s">
        <v>81</v>
      </c>
      <c r="F1078" s="41">
        <v>375</v>
      </c>
      <c r="G1078" s="42" t="s">
        <v>172</v>
      </c>
      <c r="H1078" s="43" t="str">
        <f>IFERROR(VLOOKUP($J1078,'[9]FROM (3)'!$E$4:$F$230,2,FALSE),"")</f>
        <v>ATAC</v>
      </c>
      <c r="I1078" s="44" t="str">
        <f t="shared" si="152"/>
        <v>SEAT,WATER PUMP PULLEY</v>
      </c>
      <c r="J1078" s="44" t="str">
        <f t="shared" si="150"/>
        <v>16171-05030</v>
      </c>
      <c r="K1078" s="59" t="str">
        <f t="shared" si="151"/>
        <v>PD26010858</v>
      </c>
      <c r="L1078" s="46" t="str" cm="1">
        <f t="array" ref="L1078">IFERROR(_xlfn.IFS(
    LEN($A1078)-LEN(SUBSTITUTE($A1078,"|",""))=12, RIGHT(A1078, LEN(A1078)-FIND("~", SUBSTITUTE(A1078,"|","~", LEN(A1078)-LEN(SUBSTITUTE(A1078,"|",""))))),
    LEN($A1078)-LEN(SUBSTITUTE($A1078,"|",""))=13, MID($A1078, FIND("~", SUBSTITUTE($A1078,"|","~", 11))+1, FIND("~", SUBSTITUTE($A1078,"|","~", 12))-FIND("~", SUBSTITUTE($A1078,"|","~", 11))-1),
    LEN($A1078)-LEN(SUBSTITUTE($A1078,"|",""))=14, MID($A1078, FIND("~", SUBSTITUTE($A1078,"|","~", 11))+1, FIND("~", SUBSTITUTE($A1078,"|","~", 12))-FIND("~", SUBSTITUTE($A1078,"|","~", 11))-1)
), "")</f>
        <v>665898</v>
      </c>
      <c r="M1078" s="72" t="str">
        <f t="shared" si="141"/>
        <v>SB010104/1/26</v>
      </c>
      <c r="N1078" s="46" t="str">
        <f t="shared" si="149"/>
        <v/>
      </c>
      <c r="O1078" s="60"/>
      <c r="P1078" s="60"/>
      <c r="Q1078" s="48">
        <v>236</v>
      </c>
      <c r="R1078" s="48">
        <v>88</v>
      </c>
      <c r="S1078" s="48"/>
      <c r="T1078" s="48"/>
      <c r="U1078" s="49"/>
      <c r="V1078" s="49"/>
      <c r="W1078" s="50"/>
      <c r="X1078" s="51">
        <f>IF(A1078="", "", IF(COUNTIFS(C$3:C1077, C1078, D$3:D1077, D1078, G$3:G1077, G1078) &gt; 0, "", "11:00"-AW1078))</f>
        <v>0.41666666666666663</v>
      </c>
      <c r="Y1078" s="52" t="str">
        <f t="shared" si="155"/>
        <v>1:40</v>
      </c>
      <c r="Z1078" s="53"/>
      <c r="AA1078" s="54"/>
      <c r="AB1078" s="53"/>
      <c r="AC1078" s="54"/>
      <c r="AD1078" s="53"/>
      <c r="AE1078" s="54"/>
      <c r="AF1078" s="53"/>
      <c r="AG1078" s="54"/>
      <c r="AH1078" s="55">
        <v>4.1666666666666699E-2</v>
      </c>
      <c r="AI1078" s="53"/>
      <c r="AJ1078" s="54"/>
      <c r="AK1078" s="53"/>
      <c r="AL1078" s="54"/>
      <c r="AM1078" s="53"/>
      <c r="AN1078" s="54"/>
      <c r="AO1078" s="53"/>
      <c r="AP1078" s="54"/>
      <c r="AQ1078" s="53"/>
      <c r="AR1078" s="54"/>
      <c r="AS1078" s="53"/>
      <c r="AT1078" s="54"/>
      <c r="AU1078" s="53">
        <v>4.1666666666666699E-2</v>
      </c>
      <c r="AV1078" s="54" t="s">
        <v>37</v>
      </c>
      <c r="AW1078" s="57">
        <f t="shared" si="154"/>
        <v>4.1666666666666699E-2</v>
      </c>
      <c r="AX1078" s="58" t="s">
        <v>770</v>
      </c>
    </row>
    <row r="1079" spans="1:50" ht="21" customHeight="1">
      <c r="A1079" s="66" t="s">
        <v>948</v>
      </c>
      <c r="B1079" s="39">
        <f t="shared" si="153"/>
        <v>1075</v>
      </c>
      <c r="C1079" s="40">
        <v>46045</v>
      </c>
      <c r="D1079" s="40" t="s">
        <v>80</v>
      </c>
      <c r="E1079" s="40" t="s">
        <v>81</v>
      </c>
      <c r="F1079" s="41">
        <v>375</v>
      </c>
      <c r="G1079" s="42" t="s">
        <v>172</v>
      </c>
      <c r="H1079" s="43" t="str">
        <f>IFERROR(VLOOKUP($J1079,'[9]FROM (3)'!$E$4:$F$230,2,FALSE),"")</f>
        <v>ATAC</v>
      </c>
      <c r="I1079" s="44" t="str">
        <f t="shared" si="152"/>
        <v>SEAT,WATER PUMP PULLEY</v>
      </c>
      <c r="J1079" s="44" t="str">
        <f t="shared" si="150"/>
        <v>16171-05030</v>
      </c>
      <c r="K1079" s="59" t="str">
        <f t="shared" si="151"/>
        <v>PD26010858</v>
      </c>
      <c r="L1079" s="46" t="str" cm="1">
        <f t="array" ref="L1079">IFERROR(_xlfn.IFS(
    LEN($A1079)-LEN(SUBSTITUTE($A1079,"|",""))=12, RIGHT(A1079, LEN(A1079)-FIND("~", SUBSTITUTE(A1079,"|","~", LEN(A1079)-LEN(SUBSTITUTE(A1079,"|",""))))),
    LEN($A1079)-LEN(SUBSTITUTE($A1079,"|",""))=13, MID($A1079, FIND("~", SUBSTITUTE($A1079,"|","~", 11))+1, FIND("~", SUBSTITUTE($A1079,"|","~", 12))-FIND("~", SUBSTITUTE($A1079,"|","~", 11))-1),
    LEN($A1079)-LEN(SUBSTITUTE($A1079,"|",""))=14, MID($A1079, FIND("~", SUBSTITUTE($A1079,"|","~", 11))+1, FIND("~", SUBSTITUTE($A1079,"|","~", 12))-FIND("~", SUBSTITUTE($A1079,"|","~", 11))-1)
), "")</f>
        <v>665898</v>
      </c>
      <c r="M1079" s="72" t="str">
        <f t="shared" si="141"/>
        <v>SB010104/2/26</v>
      </c>
      <c r="N1079" s="46" t="str">
        <f t="shared" si="149"/>
        <v/>
      </c>
      <c r="O1079" s="60">
        <v>14</v>
      </c>
      <c r="P1079" s="60">
        <v>990</v>
      </c>
      <c r="Q1079" s="48">
        <v>2417</v>
      </c>
      <c r="R1079" s="48">
        <v>906</v>
      </c>
      <c r="S1079" s="48"/>
      <c r="T1079" s="48"/>
      <c r="U1079" s="49"/>
      <c r="V1079" s="49"/>
      <c r="W1079" s="50"/>
      <c r="X1079" s="51" t="str">
        <f>IF(A1079="", "", IF(COUNTIFS(C$3:C1078, C1079, D$3:D1078, D1079, G$3:G1078, G1079) &gt; 0, "", "11:00"-AW1079))</f>
        <v/>
      </c>
      <c r="Y1079" s="52" t="str">
        <f t="shared" si="155"/>
        <v/>
      </c>
      <c r="Z1079" s="53"/>
      <c r="AA1079" s="54"/>
      <c r="AB1079" s="53"/>
      <c r="AC1079" s="54"/>
      <c r="AD1079" s="53"/>
      <c r="AE1079" s="54"/>
      <c r="AF1079" s="53"/>
      <c r="AG1079" s="54"/>
      <c r="AH1079" s="55">
        <v>4.1666666666666699E-2</v>
      </c>
      <c r="AI1079" s="53"/>
      <c r="AJ1079" s="54"/>
      <c r="AK1079" s="53"/>
      <c r="AL1079" s="54"/>
      <c r="AM1079" s="53"/>
      <c r="AN1079" s="54"/>
      <c r="AO1079" s="53"/>
      <c r="AP1079" s="54"/>
      <c r="AQ1079" s="53"/>
      <c r="AR1079" s="54"/>
      <c r="AS1079" s="53"/>
      <c r="AT1079" s="54"/>
      <c r="AU1079" s="53">
        <v>4.1666666666666699E-2</v>
      </c>
      <c r="AV1079" s="54" t="s">
        <v>37</v>
      </c>
      <c r="AW1079" s="57">
        <f t="shared" si="154"/>
        <v>4.1666666666666699E-2</v>
      </c>
      <c r="AX1079" s="58" t="s">
        <v>770</v>
      </c>
    </row>
    <row r="1080" spans="1:50" ht="21" customHeight="1">
      <c r="A1080" s="66" t="s">
        <v>949</v>
      </c>
      <c r="B1080" s="39">
        <f t="shared" si="153"/>
        <v>1076</v>
      </c>
      <c r="C1080" s="40">
        <v>46045</v>
      </c>
      <c r="D1080" s="40" t="s">
        <v>80</v>
      </c>
      <c r="E1080" s="40" t="s">
        <v>81</v>
      </c>
      <c r="F1080" s="41">
        <v>375</v>
      </c>
      <c r="G1080" s="42" t="s">
        <v>172</v>
      </c>
      <c r="H1080" s="43" t="str">
        <f>IFERROR(VLOOKUP($J1080,'[9]FROM (3)'!$E$4:$F$230,2,FALSE),"")</f>
        <v>ATAC</v>
      </c>
      <c r="I1080" s="44" t="str">
        <f t="shared" si="152"/>
        <v>SEAT,WATER PUMP PULLEY</v>
      </c>
      <c r="J1080" s="44" t="str">
        <f t="shared" si="150"/>
        <v>16171-05030</v>
      </c>
      <c r="K1080" s="59" t="str">
        <f t="shared" si="151"/>
        <v>PD26010817</v>
      </c>
      <c r="L1080" s="46" t="str" cm="1">
        <f t="array" ref="L1080">IFERROR(_xlfn.IFS(
    LEN($A1080)-LEN(SUBSTITUTE($A1080,"|",""))=12, RIGHT(A1080, LEN(A1080)-FIND("~", SUBSTITUTE(A1080,"|","~", LEN(A1080)-LEN(SUBSTITUTE(A1080,"|",""))))),
    LEN($A1080)-LEN(SUBSTITUTE($A1080,"|",""))=13, MID($A1080, FIND("~", SUBSTITUTE($A1080,"|","~", 11))+1, FIND("~", SUBSTITUTE($A1080,"|","~", 12))-FIND("~", SUBSTITUTE($A1080,"|","~", 11))-1),
    LEN($A1080)-LEN(SUBSTITUTE($A1080,"|",""))=14, MID($A1080, FIND("~", SUBSTITUTE($A1080,"|","~", 11))+1, FIND("~", SUBSTITUTE($A1080,"|","~", 12))-FIND("~", SUBSTITUTE($A1080,"|","~", 11))-1)
), "")</f>
        <v>665900</v>
      </c>
      <c r="M1080" s="72" t="str">
        <f t="shared" si="141"/>
        <v>SB010101/6/26</v>
      </c>
      <c r="N1080" s="46" t="str">
        <f t="shared" si="149"/>
        <v/>
      </c>
      <c r="O1080" s="60">
        <v>14</v>
      </c>
      <c r="P1080" s="60">
        <v>990</v>
      </c>
      <c r="Q1080" s="48">
        <v>165</v>
      </c>
      <c r="R1080" s="48">
        <v>62</v>
      </c>
      <c r="S1080" s="48"/>
      <c r="T1080" s="48"/>
      <c r="U1080" s="49"/>
      <c r="V1080" s="49"/>
      <c r="W1080" s="50"/>
      <c r="X1080" s="51" t="str">
        <f>IF(A1080="", "", IF(COUNTIFS(C$3:C1079, C1080, D$3:D1079, D1080, G$3:G1079, G1080) &gt; 0, "", "11:00"-AW1080))</f>
        <v/>
      </c>
      <c r="Y1080" s="52" t="str">
        <f t="shared" si="155"/>
        <v/>
      </c>
      <c r="Z1080" s="53"/>
      <c r="AA1080" s="54"/>
      <c r="AB1080" s="53"/>
      <c r="AC1080" s="54"/>
      <c r="AD1080" s="53"/>
      <c r="AE1080" s="54"/>
      <c r="AF1080" s="53"/>
      <c r="AG1080" s="54"/>
      <c r="AH1080" s="55">
        <v>4.1666666666666699E-2</v>
      </c>
      <c r="AI1080" s="53"/>
      <c r="AJ1080" s="54"/>
      <c r="AK1080" s="53"/>
      <c r="AL1080" s="54"/>
      <c r="AM1080" s="53"/>
      <c r="AN1080" s="54"/>
      <c r="AO1080" s="53"/>
      <c r="AP1080" s="54"/>
      <c r="AQ1080" s="53"/>
      <c r="AR1080" s="54"/>
      <c r="AS1080" s="53"/>
      <c r="AT1080" s="54"/>
      <c r="AU1080" s="53">
        <v>4.1666666666666699E-2</v>
      </c>
      <c r="AV1080" s="54" t="s">
        <v>37</v>
      </c>
      <c r="AW1080" s="57">
        <f t="shared" si="154"/>
        <v>4.1666666666666699E-2</v>
      </c>
      <c r="AX1080" s="58" t="s">
        <v>770</v>
      </c>
    </row>
    <row r="1081" spans="1:50" ht="21" customHeight="1">
      <c r="A1081" s="66" t="s">
        <v>932</v>
      </c>
      <c r="B1081" s="39">
        <f t="shared" si="153"/>
        <v>1077</v>
      </c>
      <c r="C1081" s="40">
        <v>46045</v>
      </c>
      <c r="D1081" s="40" t="s">
        <v>80</v>
      </c>
      <c r="E1081" s="40" t="s">
        <v>81</v>
      </c>
      <c r="F1081" s="41">
        <v>270</v>
      </c>
      <c r="G1081" s="42" t="s">
        <v>46</v>
      </c>
      <c r="H1081" s="43" t="str">
        <f>IFERROR(VLOOKUP($J1081,'[9]FROM (3)'!$E$4:$F$230,2,FALSE),"")</f>
        <v>M&amp;T</v>
      </c>
      <c r="I1081" s="44" t="str">
        <f t="shared" si="152"/>
        <v>LEVER SHIFT NO.2</v>
      </c>
      <c r="J1081" s="44" t="str">
        <f t="shared" ref="J1081:J1144" si="156">IFERROR(MID(A1081,FIND("~",SUBSTITUTE(A1081,"|","~",3))+1,FIND("~",SUBSTITUTE(A1081,"|","~",4))-FIND("~",SUBSTITUTE(A1081,"|","~",3))-1),"")</f>
        <v>MAOK-54310</v>
      </c>
      <c r="K1081" s="59" t="str">
        <f t="shared" si="151"/>
        <v>PD26011103</v>
      </c>
      <c r="L1081" s="46" t="str" cm="1">
        <f t="array" ref="L1081">IFERROR(_xlfn.IFS(
    LEN($A1081)-LEN(SUBSTITUTE($A1081,"|",""))=12, RIGHT(A1081, LEN(A1081)-FIND("~", SUBSTITUTE(A1081,"|","~", LEN(A1081)-LEN(SUBSTITUTE(A1081,"|",""))))),
    LEN($A1081)-LEN(SUBSTITUTE($A1081,"|",""))=13, MID($A1081, FIND("~", SUBSTITUTE($A1081,"|","~", 11))+1, FIND("~", SUBSTITUTE($A1081,"|","~", 12))-FIND("~", SUBSTITUTE($A1081,"|","~", 11))-1),
    LEN($A1081)-LEN(SUBSTITUTE($A1081,"|",""))=14, MID($A1081, FIND("~", SUBSTITUTE($A1081,"|","~", 11))+1, FIND("~", SUBSTITUTE($A1081,"|","~", 12))-FIND("~", SUBSTITUTE($A1081,"|","~", 11))-1)
), "")</f>
        <v>E586918</v>
      </c>
      <c r="M1081" s="72" t="str">
        <f t="shared" si="141"/>
        <v>SB010151/1/26</v>
      </c>
      <c r="N1081" s="46" t="str">
        <f t="shared" si="149"/>
        <v/>
      </c>
      <c r="O1081" s="60"/>
      <c r="P1081" s="60"/>
      <c r="Q1081" s="48">
        <v>2971</v>
      </c>
      <c r="R1081" s="48">
        <v>802</v>
      </c>
      <c r="S1081" s="48"/>
      <c r="T1081" s="48"/>
      <c r="U1081" s="49"/>
      <c r="V1081" s="49"/>
      <c r="W1081" s="50"/>
      <c r="X1081" s="51">
        <f>IF(A1081="", "", IF(COUNTIFS(C$3:C1080, C1081, D$3:D1080, D1081, G$3:G1080, G1081) &gt; 0, "", "11:00"-AW1081))</f>
        <v>0.41666666666666663</v>
      </c>
      <c r="Y1081" s="52" t="str">
        <f t="shared" si="155"/>
        <v>1:40</v>
      </c>
      <c r="Z1081" s="53"/>
      <c r="AA1081" s="54"/>
      <c r="AB1081" s="53"/>
      <c r="AC1081" s="54"/>
      <c r="AD1081" s="53"/>
      <c r="AE1081" s="54"/>
      <c r="AF1081" s="53"/>
      <c r="AG1081" s="54"/>
      <c r="AH1081" s="55">
        <v>4.1666666666666699E-2</v>
      </c>
      <c r="AI1081" s="53"/>
      <c r="AJ1081" s="54"/>
      <c r="AK1081" s="53"/>
      <c r="AL1081" s="54"/>
      <c r="AM1081" s="53"/>
      <c r="AN1081" s="54"/>
      <c r="AO1081" s="53"/>
      <c r="AP1081" s="54"/>
      <c r="AQ1081" s="53"/>
      <c r="AR1081" s="54"/>
      <c r="AS1081" s="53"/>
      <c r="AT1081" s="54"/>
      <c r="AU1081" s="53">
        <v>4.1666666666666699E-2</v>
      </c>
      <c r="AV1081" s="54" t="s">
        <v>37</v>
      </c>
      <c r="AW1081" s="57">
        <f t="shared" si="154"/>
        <v>4.1666666666666699E-2</v>
      </c>
      <c r="AX1081" s="58" t="s">
        <v>770</v>
      </c>
    </row>
    <row r="1082" spans="1:50" ht="21" customHeight="1">
      <c r="A1082" s="66" t="s">
        <v>950</v>
      </c>
      <c r="B1082" s="39">
        <f t="shared" si="153"/>
        <v>1078</v>
      </c>
      <c r="C1082" s="40">
        <v>46045</v>
      </c>
      <c r="D1082" s="40" t="s">
        <v>80</v>
      </c>
      <c r="E1082" s="40" t="s">
        <v>81</v>
      </c>
      <c r="F1082" s="41">
        <v>270</v>
      </c>
      <c r="G1082" s="42" t="s">
        <v>46</v>
      </c>
      <c r="H1082" s="43" t="str">
        <f>IFERROR(VLOOKUP($J1082,'[9]FROM (3)'!$E$4:$F$230,2,FALSE),"")</f>
        <v>M&amp;T</v>
      </c>
      <c r="I1082" s="44" t="str">
        <f t="shared" si="152"/>
        <v>LEVER SHIFT NO.2</v>
      </c>
      <c r="J1082" s="44" t="str">
        <f t="shared" si="156"/>
        <v>MAOK-54310</v>
      </c>
      <c r="K1082" s="59" t="str">
        <f t="shared" si="151"/>
        <v>PD26011103</v>
      </c>
      <c r="L1082" s="46" t="str" cm="1">
        <f t="array" ref="L1082">IFERROR(_xlfn.IFS(
    LEN($A1082)-LEN(SUBSTITUTE($A1082,"|",""))=12, RIGHT(A1082, LEN(A1082)-FIND("~", SUBSTITUTE(A1082,"|","~", LEN(A1082)-LEN(SUBSTITUTE(A1082,"|",""))))),
    LEN($A1082)-LEN(SUBSTITUTE($A1082,"|",""))=13, MID($A1082, FIND("~", SUBSTITUTE($A1082,"|","~", 11))+1, FIND("~", SUBSTITUTE($A1082,"|","~", 12))-FIND("~", SUBSTITUTE($A1082,"|","~", 11))-1),
    LEN($A1082)-LEN(SUBSTITUTE($A1082,"|",""))=14, MID($A1082, FIND("~", SUBSTITUTE($A1082,"|","~", 11))+1, FIND("~", SUBSTITUTE($A1082,"|","~", 12))-FIND("~", SUBSTITUTE($A1082,"|","~", 11))-1)
), "")</f>
        <v>E586918</v>
      </c>
      <c r="M1082" s="72" t="str">
        <f t="shared" si="141"/>
        <v>SB010151/2/26</v>
      </c>
      <c r="N1082" s="46" t="str">
        <f t="shared" si="149"/>
        <v/>
      </c>
      <c r="O1082" s="60">
        <v>56</v>
      </c>
      <c r="P1082" s="60">
        <v>1024</v>
      </c>
      <c r="Q1082" s="48">
        <v>970</v>
      </c>
      <c r="R1082" s="48">
        <v>262</v>
      </c>
      <c r="S1082" s="48"/>
      <c r="T1082" s="48"/>
      <c r="U1082" s="49"/>
      <c r="V1082" s="49"/>
      <c r="W1082" s="50"/>
      <c r="X1082" s="51" t="str">
        <f>IF(A1082="", "", IF(COUNTIFS(C$3:C1081, C1082, D$3:D1081, D1082, G$3:G1081, G1082) &gt; 0, "", "11:00"-AW1082))</f>
        <v/>
      </c>
      <c r="Y1082" s="52" t="str">
        <f t="shared" si="155"/>
        <v/>
      </c>
      <c r="Z1082" s="53"/>
      <c r="AA1082" s="54"/>
      <c r="AB1082" s="53"/>
      <c r="AC1082" s="54"/>
      <c r="AD1082" s="53"/>
      <c r="AE1082" s="54"/>
      <c r="AF1082" s="53"/>
      <c r="AG1082" s="54"/>
      <c r="AH1082" s="55">
        <v>4.1666666666666699E-2</v>
      </c>
      <c r="AI1082" s="53"/>
      <c r="AJ1082" s="54"/>
      <c r="AK1082" s="53"/>
      <c r="AL1082" s="54"/>
      <c r="AM1082" s="53"/>
      <c r="AN1082" s="54"/>
      <c r="AO1082" s="53"/>
      <c r="AP1082" s="54"/>
      <c r="AQ1082" s="53"/>
      <c r="AR1082" s="54"/>
      <c r="AS1082" s="53"/>
      <c r="AT1082" s="54"/>
      <c r="AU1082" s="53">
        <v>4.1666666666666699E-2</v>
      </c>
      <c r="AV1082" s="54" t="s">
        <v>37</v>
      </c>
      <c r="AW1082" s="57">
        <f t="shared" si="154"/>
        <v>4.1666666666666699E-2</v>
      </c>
      <c r="AX1082" s="58" t="s">
        <v>770</v>
      </c>
    </row>
    <row r="1083" spans="1:50" ht="21" customHeight="1">
      <c r="A1083" s="66" t="s">
        <v>951</v>
      </c>
      <c r="B1083" s="39">
        <f t="shared" si="153"/>
        <v>1079</v>
      </c>
      <c r="C1083" s="40">
        <v>46045</v>
      </c>
      <c r="D1083" s="40" t="s">
        <v>80</v>
      </c>
      <c r="E1083" s="40" t="s">
        <v>81</v>
      </c>
      <c r="F1083" s="41">
        <v>732.8</v>
      </c>
      <c r="G1083" s="42" t="s">
        <v>192</v>
      </c>
      <c r="H1083" s="43" t="str">
        <f>IFERROR(VLOOKUP($J1083,'[9]FROM (3)'!$E$4:$F$230,2,FALSE),"")</f>
        <v>JATH</v>
      </c>
      <c r="I1083" s="44" t="str">
        <f t="shared" si="152"/>
        <v>JGF02-002060-31-3</v>
      </c>
      <c r="J1083" s="44" t="str">
        <f t="shared" si="156"/>
        <v>RACK BAR BLANK (JGF02-002060-31-3) 58*D</v>
      </c>
      <c r="K1083" s="59" t="str">
        <f t="shared" si="151"/>
        <v>PD25120570</v>
      </c>
      <c r="L1083" s="46" t="str" cm="1">
        <f t="array" ref="L1083">IFERROR(_xlfn.IFS(
    LEN($A1083)-LEN(SUBSTITUTE($A1083,"|",""))=12, RIGHT(A1083, LEN(A1083)-FIND("~", SUBSTITUTE(A1083,"|","~", LEN(A1083)-LEN(SUBSTITUTE(A1083,"|",""))))),
    LEN($A1083)-LEN(SUBSTITUTE($A1083,"|",""))=13, MID($A1083, FIND("~", SUBSTITUTE($A1083,"|","~", 11))+1, FIND("~", SUBSTITUTE($A1083,"|","~", 12))-FIND("~", SUBSTITUTE($A1083,"|","~", 11))-1),
    LEN($A1083)-LEN(SUBSTITUTE($A1083,"|",""))=14, MID($A1083, FIND("~", SUBSTITUTE($A1083,"|","~", 11))+1, FIND("~", SUBSTITUTE($A1083,"|","~", 12))-FIND("~", SUBSTITUTE($A1083,"|","~", 11))-1)
), "")</f>
        <v>5B9507</v>
      </c>
      <c r="M1083" s="72" t="str">
        <f t="shared" si="141"/>
        <v>TSK2</v>
      </c>
      <c r="N1083" s="46" t="str">
        <f t="shared" si="149"/>
        <v>FB010136/14/26</v>
      </c>
      <c r="O1083" s="60">
        <v>30</v>
      </c>
      <c r="P1083" s="60">
        <v>140</v>
      </c>
      <c r="Q1083" s="48">
        <v>30</v>
      </c>
      <c r="R1083" s="48">
        <v>140</v>
      </c>
      <c r="S1083" s="48"/>
      <c r="T1083" s="48"/>
      <c r="U1083" s="49"/>
      <c r="V1083" s="49"/>
      <c r="W1083" s="50"/>
      <c r="X1083" s="51">
        <f>IF(A1083="", "", IF(COUNTIFS(C$3:C1082, C1083, D$3:D1082, D1083, G$3:G1082, G1083) &gt; 0, "", "11:00"-AW1083))</f>
        <v>0.41666666666666663</v>
      </c>
      <c r="Y1083" s="52" t="str">
        <f t="shared" si="155"/>
        <v>1:40</v>
      </c>
      <c r="Z1083" s="53"/>
      <c r="AA1083" s="54"/>
      <c r="AB1083" s="53"/>
      <c r="AC1083" s="54"/>
      <c r="AD1083" s="53"/>
      <c r="AE1083" s="54"/>
      <c r="AF1083" s="53"/>
      <c r="AG1083" s="54"/>
      <c r="AH1083" s="55">
        <v>4.1666666666666699E-2</v>
      </c>
      <c r="AI1083" s="53"/>
      <c r="AJ1083" s="54"/>
      <c r="AK1083" s="53"/>
      <c r="AL1083" s="54"/>
      <c r="AM1083" s="53"/>
      <c r="AN1083" s="54"/>
      <c r="AO1083" s="53"/>
      <c r="AP1083" s="54"/>
      <c r="AQ1083" s="53"/>
      <c r="AR1083" s="54"/>
      <c r="AS1083" s="53"/>
      <c r="AT1083" s="54"/>
      <c r="AU1083" s="53">
        <v>4.1666666666666699E-2</v>
      </c>
      <c r="AV1083" s="54" t="s">
        <v>37</v>
      </c>
      <c r="AW1083" s="57">
        <f t="shared" si="154"/>
        <v>4.1666666666666699E-2</v>
      </c>
      <c r="AX1083" s="58" t="s">
        <v>109</v>
      </c>
    </row>
    <row r="1084" spans="1:50" ht="21" customHeight="1">
      <c r="A1084" s="66" t="s">
        <v>952</v>
      </c>
      <c r="B1084" s="39">
        <f t="shared" si="153"/>
        <v>1080</v>
      </c>
      <c r="C1084" s="40">
        <v>46045</v>
      </c>
      <c r="D1084" s="40" t="s">
        <v>80</v>
      </c>
      <c r="E1084" s="40" t="s">
        <v>81</v>
      </c>
      <c r="F1084" s="41">
        <v>732.8</v>
      </c>
      <c r="G1084" s="42" t="s">
        <v>192</v>
      </c>
      <c r="H1084" s="43" t="str">
        <f>IFERROR(VLOOKUP($J1084,'[9]FROM (3)'!$E$4:$F$230,2,FALSE),"")</f>
        <v>JATH</v>
      </c>
      <c r="I1084" s="44" t="str">
        <f t="shared" si="152"/>
        <v>JGF02-002060-31-3</v>
      </c>
      <c r="J1084" s="44" t="str">
        <f t="shared" si="156"/>
        <v>RACK BAR BLANK (JGF02-002060-31-3) 58*D</v>
      </c>
      <c r="K1084" s="59" t="str">
        <f t="shared" si="151"/>
        <v>PD26010787</v>
      </c>
      <c r="L1084" s="46" t="str" cm="1">
        <f t="array" ref="L1084">IFERROR(_xlfn.IFS(
    LEN($A1084)-LEN(SUBSTITUTE($A1084,"|",""))=12, RIGHT(A1084, LEN(A1084)-FIND("~", SUBSTITUTE(A1084,"|","~", LEN(A1084)-LEN(SUBSTITUTE(A1084,"|",""))))),
    LEN($A1084)-LEN(SUBSTITUTE($A1084,"|",""))=13, MID($A1084, FIND("~", SUBSTITUTE($A1084,"|","~", 11))+1, FIND("~", SUBSTITUTE($A1084,"|","~", 12))-FIND("~", SUBSTITUTE($A1084,"|","~", 11))-1),
    LEN($A1084)-LEN(SUBSTITUTE($A1084,"|",""))=14, MID($A1084, FIND("~", SUBSTITUTE($A1084,"|","~", 11))+1, FIND("~", SUBSTITUTE($A1084,"|","~", 12))-FIND("~", SUBSTITUTE($A1084,"|","~", 11))-1)
), "")</f>
        <v>5B3838</v>
      </c>
      <c r="M1084" s="72" t="str">
        <f t="shared" si="141"/>
        <v>TSK2</v>
      </c>
      <c r="N1084" s="46" t="str">
        <f t="shared" si="149"/>
        <v>FB010225/1/26</v>
      </c>
      <c r="O1084" s="60">
        <v>58</v>
      </c>
      <c r="P1084" s="60">
        <v>271</v>
      </c>
      <c r="Q1084" s="48">
        <v>58</v>
      </c>
      <c r="R1084" s="48">
        <v>271</v>
      </c>
      <c r="S1084" s="48"/>
      <c r="T1084" s="48"/>
      <c r="U1084" s="49"/>
      <c r="V1084" s="49"/>
      <c r="W1084" s="50"/>
      <c r="X1084" s="51" t="str">
        <f>IF(A1084="", "", IF(COUNTIFS(C$3:C1083, C1084, D$3:D1083, D1084, G$3:G1083, G1084) &gt; 0, "", "11:00"-AW1084))</f>
        <v/>
      </c>
      <c r="Y1084" s="52" t="str">
        <f t="shared" si="155"/>
        <v/>
      </c>
      <c r="Z1084" s="53"/>
      <c r="AA1084" s="54"/>
      <c r="AB1084" s="53"/>
      <c r="AC1084" s="54"/>
      <c r="AD1084" s="53"/>
      <c r="AE1084" s="54"/>
      <c r="AF1084" s="53"/>
      <c r="AG1084" s="54"/>
      <c r="AH1084" s="55">
        <v>4.1666666666666699E-2</v>
      </c>
      <c r="AI1084" s="53"/>
      <c r="AJ1084" s="54"/>
      <c r="AK1084" s="53"/>
      <c r="AL1084" s="54"/>
      <c r="AM1084" s="53"/>
      <c r="AN1084" s="54"/>
      <c r="AO1084" s="53"/>
      <c r="AP1084" s="54"/>
      <c r="AQ1084" s="53"/>
      <c r="AR1084" s="54"/>
      <c r="AS1084" s="53"/>
      <c r="AT1084" s="54"/>
      <c r="AU1084" s="53">
        <v>4.1666666666666699E-2</v>
      </c>
      <c r="AV1084" s="54" t="s">
        <v>37</v>
      </c>
      <c r="AW1084" s="57">
        <f t="shared" si="154"/>
        <v>4.1666666666666699E-2</v>
      </c>
      <c r="AX1084" s="58" t="s">
        <v>109</v>
      </c>
    </row>
    <row r="1085" spans="1:50" ht="21" customHeight="1">
      <c r="A1085" s="66" t="s">
        <v>953</v>
      </c>
      <c r="B1085" s="39">
        <f t="shared" si="153"/>
        <v>1081</v>
      </c>
      <c r="C1085" s="40">
        <v>46045</v>
      </c>
      <c r="D1085" s="40" t="s">
        <v>80</v>
      </c>
      <c r="E1085" s="40" t="s">
        <v>81</v>
      </c>
      <c r="F1085" s="41">
        <v>732.8</v>
      </c>
      <c r="G1085" s="42" t="s">
        <v>192</v>
      </c>
      <c r="H1085" s="43" t="str">
        <f>IFERROR(VLOOKUP($J1085,'[9]FROM (3)'!$E$4:$F$230,2,FALSE),"")</f>
        <v>JATH</v>
      </c>
      <c r="I1085" s="44" t="str">
        <f t="shared" si="152"/>
        <v>JGF02-002060-31-3</v>
      </c>
      <c r="J1085" s="44" t="str">
        <f t="shared" si="156"/>
        <v>RACK BAR BLANK (JGF02-002060-31-3) 58*D</v>
      </c>
      <c r="K1085" s="59" t="str">
        <f t="shared" si="151"/>
        <v>PD26010787</v>
      </c>
      <c r="L1085" s="46" t="str" cm="1">
        <f t="array" ref="L1085">IFERROR(_xlfn.IFS(
    LEN($A1085)-LEN(SUBSTITUTE($A1085,"|",""))=12, RIGHT(A1085, LEN(A1085)-FIND("~", SUBSTITUTE(A1085,"|","~", LEN(A1085)-LEN(SUBSTITUTE(A1085,"|",""))))),
    LEN($A1085)-LEN(SUBSTITUTE($A1085,"|",""))=13, MID($A1085, FIND("~", SUBSTITUTE($A1085,"|","~", 11))+1, FIND("~", SUBSTITUTE($A1085,"|","~", 12))-FIND("~", SUBSTITUTE($A1085,"|","~", 11))-1),
    LEN($A1085)-LEN(SUBSTITUTE($A1085,"|",""))=14, MID($A1085, FIND("~", SUBSTITUTE($A1085,"|","~", 11))+1, FIND("~", SUBSTITUTE($A1085,"|","~", 12))-FIND("~", SUBSTITUTE($A1085,"|","~", 11))-1)
), "")</f>
        <v>5B3838</v>
      </c>
      <c r="M1085" s="72" t="str">
        <f t="shared" si="141"/>
        <v>TSK2</v>
      </c>
      <c r="N1085" s="46" t="str">
        <f t="shared" si="149"/>
        <v>FB010225/2/26</v>
      </c>
      <c r="O1085" s="60">
        <v>54</v>
      </c>
      <c r="P1085" s="60">
        <v>252</v>
      </c>
      <c r="Q1085" s="48">
        <v>54</v>
      </c>
      <c r="R1085" s="48">
        <v>252</v>
      </c>
      <c r="S1085" s="48"/>
      <c r="T1085" s="48"/>
      <c r="U1085" s="49"/>
      <c r="V1085" s="49"/>
      <c r="W1085" s="50"/>
      <c r="X1085" s="51" t="str">
        <f>IF(A1085="", "", IF(COUNTIFS(C$3:C1084, C1085, D$3:D1084, D1085, G$3:G1084, G1085) &gt; 0, "", "11:00"-AW1085))</f>
        <v/>
      </c>
      <c r="Y1085" s="52" t="str">
        <f t="shared" si="155"/>
        <v/>
      </c>
      <c r="Z1085" s="53"/>
      <c r="AA1085" s="54"/>
      <c r="AB1085" s="53"/>
      <c r="AC1085" s="54"/>
      <c r="AD1085" s="53"/>
      <c r="AE1085" s="54"/>
      <c r="AF1085" s="53"/>
      <c r="AG1085" s="54"/>
      <c r="AH1085" s="55">
        <v>4.1666666666666699E-2</v>
      </c>
      <c r="AI1085" s="53"/>
      <c r="AJ1085" s="54"/>
      <c r="AK1085" s="53"/>
      <c r="AL1085" s="54"/>
      <c r="AM1085" s="53"/>
      <c r="AN1085" s="54"/>
      <c r="AO1085" s="53"/>
      <c r="AP1085" s="54"/>
      <c r="AQ1085" s="53"/>
      <c r="AR1085" s="54"/>
      <c r="AS1085" s="53"/>
      <c r="AT1085" s="54"/>
      <c r="AU1085" s="53">
        <v>4.1666666666666699E-2</v>
      </c>
      <c r="AV1085" s="54" t="s">
        <v>37</v>
      </c>
      <c r="AW1085" s="57">
        <f t="shared" si="154"/>
        <v>4.1666666666666699E-2</v>
      </c>
      <c r="AX1085" s="58" t="s">
        <v>109</v>
      </c>
    </row>
    <row r="1086" spans="1:50" ht="21" customHeight="1">
      <c r="A1086" s="66" t="s">
        <v>954</v>
      </c>
      <c r="B1086" s="39">
        <f t="shared" si="153"/>
        <v>1082</v>
      </c>
      <c r="C1086" s="40">
        <v>46045</v>
      </c>
      <c r="D1086" s="40" t="s">
        <v>80</v>
      </c>
      <c r="E1086" s="40" t="s">
        <v>81</v>
      </c>
      <c r="F1086" s="41">
        <v>732.8</v>
      </c>
      <c r="G1086" s="42" t="s">
        <v>192</v>
      </c>
      <c r="H1086" s="43" t="str">
        <f>IFERROR(VLOOKUP($J1086,'[9]FROM (3)'!$E$4:$F$230,2,FALSE),"")</f>
        <v>JATH</v>
      </c>
      <c r="I1086" s="44" t="str">
        <f t="shared" si="152"/>
        <v>JGF02-002060-31-3</v>
      </c>
      <c r="J1086" s="44" t="str">
        <f t="shared" si="156"/>
        <v>RACK BAR BLANK (JGF02-002060-31-3) 58*D</v>
      </c>
      <c r="K1086" s="59" t="str">
        <f t="shared" si="151"/>
        <v>PD26010787</v>
      </c>
      <c r="L1086" s="46" t="str" cm="1">
        <f t="array" ref="L1086">IFERROR(_xlfn.IFS(
    LEN($A1086)-LEN(SUBSTITUTE($A1086,"|",""))=12, RIGHT(A1086, LEN(A1086)-FIND("~", SUBSTITUTE(A1086,"|","~", LEN(A1086)-LEN(SUBSTITUTE(A1086,"|",""))))),
    LEN($A1086)-LEN(SUBSTITUTE($A1086,"|",""))=13, MID($A1086, FIND("~", SUBSTITUTE($A1086,"|","~", 11))+1, FIND("~", SUBSTITUTE($A1086,"|","~", 12))-FIND("~", SUBSTITUTE($A1086,"|","~", 11))-1),
    LEN($A1086)-LEN(SUBSTITUTE($A1086,"|",""))=14, MID($A1086, FIND("~", SUBSTITUTE($A1086,"|","~", 11))+1, FIND("~", SUBSTITUTE($A1086,"|","~", 12))-FIND("~", SUBSTITUTE($A1086,"|","~", 11))-1)
), "")</f>
        <v>5B3838</v>
      </c>
      <c r="M1086" s="72" t="str">
        <f t="shared" si="141"/>
        <v>TSK2</v>
      </c>
      <c r="N1086" s="46" t="str">
        <f t="shared" si="149"/>
        <v>FB010225/3/26</v>
      </c>
      <c r="O1086" s="60">
        <v>58</v>
      </c>
      <c r="P1086" s="60">
        <v>271</v>
      </c>
      <c r="Q1086" s="48">
        <v>58</v>
      </c>
      <c r="R1086" s="48">
        <v>271</v>
      </c>
      <c r="S1086" s="48"/>
      <c r="T1086" s="48"/>
      <c r="U1086" s="49"/>
      <c r="V1086" s="49"/>
      <c r="W1086" s="50"/>
      <c r="X1086" s="51" t="str">
        <f>IF(A1086="", "", IF(COUNTIFS(C$3:C1085, C1086, D$3:D1085, D1086, G$3:G1085, G1086) &gt; 0, "", "11:00"-AW1086))</f>
        <v/>
      </c>
      <c r="Y1086" s="52" t="str">
        <f t="shared" si="155"/>
        <v/>
      </c>
      <c r="Z1086" s="53"/>
      <c r="AA1086" s="54"/>
      <c r="AB1086" s="53"/>
      <c r="AC1086" s="54"/>
      <c r="AD1086" s="53"/>
      <c r="AE1086" s="54"/>
      <c r="AF1086" s="53"/>
      <c r="AG1086" s="54"/>
      <c r="AH1086" s="55">
        <v>4.1666666666666699E-2</v>
      </c>
      <c r="AI1086" s="53"/>
      <c r="AJ1086" s="54"/>
      <c r="AK1086" s="53"/>
      <c r="AL1086" s="54"/>
      <c r="AM1086" s="53"/>
      <c r="AN1086" s="54"/>
      <c r="AO1086" s="53"/>
      <c r="AP1086" s="54"/>
      <c r="AQ1086" s="53"/>
      <c r="AR1086" s="54"/>
      <c r="AS1086" s="53"/>
      <c r="AT1086" s="54"/>
      <c r="AU1086" s="53">
        <v>4.1666666666666699E-2</v>
      </c>
      <c r="AV1086" s="54" t="s">
        <v>37</v>
      </c>
      <c r="AW1086" s="57">
        <f t="shared" si="154"/>
        <v>4.1666666666666699E-2</v>
      </c>
      <c r="AX1086" s="58" t="s">
        <v>109</v>
      </c>
    </row>
    <row r="1087" spans="1:50" ht="21" customHeight="1">
      <c r="A1087" s="66" t="s">
        <v>955</v>
      </c>
      <c r="B1087" s="39">
        <f t="shared" si="153"/>
        <v>1083</v>
      </c>
      <c r="C1087" s="40">
        <v>46045</v>
      </c>
      <c r="D1087" s="40" t="s">
        <v>80</v>
      </c>
      <c r="E1087" s="40" t="s">
        <v>81</v>
      </c>
      <c r="F1087" s="41">
        <v>732.8</v>
      </c>
      <c r="G1087" s="42" t="s">
        <v>192</v>
      </c>
      <c r="H1087" s="43" t="str">
        <f>IFERROR(VLOOKUP($J1087,'[9]FROM (3)'!$E$4:$F$230,2,FALSE),"")</f>
        <v>JATH</v>
      </c>
      <c r="I1087" s="44" t="str">
        <f t="shared" si="152"/>
        <v>JGF02-002060-31-3</v>
      </c>
      <c r="J1087" s="44" t="str">
        <f t="shared" si="156"/>
        <v>RACK BAR BLANK (JGF02-002060-31-3) 58*D</v>
      </c>
      <c r="K1087" s="59" t="str">
        <f t="shared" si="151"/>
        <v>PD26010787</v>
      </c>
      <c r="L1087" s="46" t="str" cm="1">
        <f t="array" ref="L1087">IFERROR(_xlfn.IFS(
    LEN($A1087)-LEN(SUBSTITUTE($A1087,"|",""))=12, RIGHT(A1087, LEN(A1087)-FIND("~", SUBSTITUTE(A1087,"|","~", LEN(A1087)-LEN(SUBSTITUTE(A1087,"|",""))))),
    LEN($A1087)-LEN(SUBSTITUTE($A1087,"|",""))=13, MID($A1087, FIND("~", SUBSTITUTE($A1087,"|","~", 11))+1, FIND("~", SUBSTITUTE($A1087,"|","~", 12))-FIND("~", SUBSTITUTE($A1087,"|","~", 11))-1),
    LEN($A1087)-LEN(SUBSTITUTE($A1087,"|",""))=14, MID($A1087, FIND("~", SUBSTITUTE($A1087,"|","~", 11))+1, FIND("~", SUBSTITUTE($A1087,"|","~", 12))-FIND("~", SUBSTITUTE($A1087,"|","~", 11))-1)
), "")</f>
        <v>5B3838</v>
      </c>
      <c r="M1087" s="72" t="str">
        <f t="shared" si="141"/>
        <v>TSK2</v>
      </c>
      <c r="N1087" s="46" t="str">
        <f t="shared" si="149"/>
        <v>FB010225/4/26</v>
      </c>
      <c r="O1087" s="60">
        <v>54</v>
      </c>
      <c r="P1087" s="60">
        <v>252</v>
      </c>
      <c r="Q1087" s="48">
        <v>54</v>
      </c>
      <c r="R1087" s="48">
        <v>252</v>
      </c>
      <c r="S1087" s="48"/>
      <c r="T1087" s="48"/>
      <c r="U1087" s="49"/>
      <c r="V1087" s="49"/>
      <c r="W1087" s="50"/>
      <c r="X1087" s="51" t="str">
        <f>IF(A1087="", "", IF(COUNTIFS(C$3:C1086, C1087, D$3:D1086, D1087, G$3:G1086, G1087) &gt; 0, "", "11:00"-AW1087))</f>
        <v/>
      </c>
      <c r="Y1087" s="52" t="str">
        <f t="shared" si="155"/>
        <v/>
      </c>
      <c r="Z1087" s="53"/>
      <c r="AA1087" s="54"/>
      <c r="AB1087" s="53"/>
      <c r="AC1087" s="54"/>
      <c r="AD1087" s="53"/>
      <c r="AE1087" s="54"/>
      <c r="AF1087" s="53"/>
      <c r="AG1087" s="54"/>
      <c r="AH1087" s="55">
        <v>4.1666666666666699E-2</v>
      </c>
      <c r="AI1087" s="53"/>
      <c r="AJ1087" s="54"/>
      <c r="AK1087" s="53"/>
      <c r="AL1087" s="54"/>
      <c r="AM1087" s="53"/>
      <c r="AN1087" s="54"/>
      <c r="AO1087" s="53"/>
      <c r="AP1087" s="54"/>
      <c r="AQ1087" s="53"/>
      <c r="AR1087" s="54"/>
      <c r="AS1087" s="53"/>
      <c r="AT1087" s="54"/>
      <c r="AU1087" s="53">
        <v>4.1666666666666699E-2</v>
      </c>
      <c r="AV1087" s="54" t="s">
        <v>37</v>
      </c>
      <c r="AW1087" s="57">
        <f t="shared" si="154"/>
        <v>4.1666666666666699E-2</v>
      </c>
      <c r="AX1087" s="58" t="s">
        <v>109</v>
      </c>
    </row>
    <row r="1088" spans="1:50" ht="21" customHeight="1">
      <c r="A1088" s="66" t="s">
        <v>921</v>
      </c>
      <c r="B1088" s="39">
        <f t="shared" si="153"/>
        <v>1084</v>
      </c>
      <c r="C1088" s="40">
        <v>46045</v>
      </c>
      <c r="D1088" s="40" t="s">
        <v>80</v>
      </c>
      <c r="E1088" s="40" t="s">
        <v>81</v>
      </c>
      <c r="F1088" s="41">
        <v>765.7</v>
      </c>
      <c r="G1088" s="42" t="s">
        <v>85</v>
      </c>
      <c r="H1088" s="43" t="str">
        <f>IFERROR(VLOOKUP($J1088,'[9]FROM (3)'!$E$4:$F$230,2,FALSE),"")</f>
        <v>JTCS</v>
      </c>
      <c r="I1088" s="44" t="str">
        <f t="shared" si="152"/>
        <v>RACK, PS</v>
      </c>
      <c r="J1088" s="44" t="str">
        <f t="shared" si="156"/>
        <v>JGD10S00670-B</v>
      </c>
      <c r="K1088" s="59" t="str">
        <f t="shared" si="151"/>
        <v>PD26011057</v>
      </c>
      <c r="L1088" s="46" t="str" cm="1">
        <f t="array" ref="L1088">IFERROR(_xlfn.IFS(
    LEN($A1088)-LEN(SUBSTITUTE($A1088,"|",""))=12, RIGHT(A1088, LEN(A1088)-FIND("~", SUBSTITUTE(A1088,"|","~", LEN(A1088)-LEN(SUBSTITUTE(A1088,"|",""))))),
    LEN($A1088)-LEN(SUBSTITUTE($A1088,"|",""))=13, MID($A1088, FIND("~", SUBSTITUTE($A1088,"|","~", 11))+1, FIND("~", SUBSTITUTE($A1088,"|","~", 12))-FIND("~", SUBSTITUTE($A1088,"|","~", 11))-1),
    LEN($A1088)-LEN(SUBSTITUTE($A1088,"|",""))=14, MID($A1088, FIND("~", SUBSTITUTE($A1088,"|","~", 11))+1, FIND("~", SUBSTITUTE($A1088,"|","~", 12))-FIND("~", SUBSTITUTE($A1088,"|","~", 11))-1)
), "")</f>
        <v>E586447</v>
      </c>
      <c r="M1088" s="72" t="str">
        <f t="shared" si="141"/>
        <v>SB010141/6/26</v>
      </c>
      <c r="N1088" s="46" t="str">
        <f t="shared" si="149"/>
        <v/>
      </c>
      <c r="O1088" s="60" t="s">
        <v>35</v>
      </c>
      <c r="P1088" s="60" t="s">
        <v>35</v>
      </c>
      <c r="Q1088" s="48">
        <v>53</v>
      </c>
      <c r="R1088" s="48">
        <v>260</v>
      </c>
      <c r="S1088" s="48">
        <v>8</v>
      </c>
      <c r="T1088" s="48" t="s">
        <v>167</v>
      </c>
      <c r="U1088" s="49"/>
      <c r="V1088" s="49"/>
      <c r="W1088" s="50"/>
      <c r="X1088" s="51">
        <f>IF(A1088="", "", IF(COUNTIFS(C$3:C1087, C1088, D$3:D1087, D1088, G$3:G1087, G1088) &gt; 0, "", "11:00"-AW1088))</f>
        <v>0.37499999999999994</v>
      </c>
      <c r="Y1088" s="52" t="str">
        <f t="shared" si="155"/>
        <v>1:40</v>
      </c>
      <c r="Z1088" s="53"/>
      <c r="AA1088" s="54"/>
      <c r="AB1088" s="53"/>
      <c r="AC1088" s="54"/>
      <c r="AD1088" s="53">
        <v>3.4722222222222224E-2</v>
      </c>
      <c r="AE1088" s="54" t="s">
        <v>67</v>
      </c>
      <c r="AF1088" s="53">
        <v>6.9444444444444441E-3</v>
      </c>
      <c r="AG1088" s="54" t="s">
        <v>67</v>
      </c>
      <c r="AH1088" s="55">
        <v>4.1666666666666699E-2</v>
      </c>
      <c r="AI1088" s="53"/>
      <c r="AJ1088" s="54"/>
      <c r="AK1088" s="53"/>
      <c r="AL1088" s="54"/>
      <c r="AM1088" s="53"/>
      <c r="AN1088" s="54"/>
      <c r="AO1088" s="53"/>
      <c r="AP1088" s="54"/>
      <c r="AQ1088" s="53"/>
      <c r="AR1088" s="54"/>
      <c r="AS1088" s="53"/>
      <c r="AT1088" s="54"/>
      <c r="AU1088" s="53">
        <v>4.1666666666666699E-2</v>
      </c>
      <c r="AV1088" s="54" t="s">
        <v>37</v>
      </c>
      <c r="AW1088" s="57">
        <f t="shared" si="154"/>
        <v>8.333333333333337E-2</v>
      </c>
      <c r="AX1088" s="58" t="s">
        <v>86</v>
      </c>
    </row>
    <row r="1089" spans="1:50" ht="21" customHeight="1">
      <c r="A1089" s="66" t="s">
        <v>956</v>
      </c>
      <c r="B1089" s="39">
        <f t="shared" si="153"/>
        <v>1085</v>
      </c>
      <c r="C1089" s="40">
        <v>46045</v>
      </c>
      <c r="D1089" s="40" t="s">
        <v>80</v>
      </c>
      <c r="E1089" s="40" t="s">
        <v>81</v>
      </c>
      <c r="F1089" s="41">
        <v>765.7</v>
      </c>
      <c r="G1089" s="42" t="s">
        <v>85</v>
      </c>
      <c r="H1089" s="43" t="str">
        <f>IFERROR(VLOOKUP($J1089,'[9]FROM (3)'!$E$4:$F$230,2,FALSE),"")</f>
        <v>JTCS</v>
      </c>
      <c r="I1089" s="44" t="str">
        <f t="shared" si="152"/>
        <v>RACK, PS</v>
      </c>
      <c r="J1089" s="44" t="str">
        <f t="shared" si="156"/>
        <v>JGD10S00670-B</v>
      </c>
      <c r="K1089" s="59" t="str">
        <f t="shared" si="151"/>
        <v>PD26011057</v>
      </c>
      <c r="L1089" s="46" t="str" cm="1">
        <f t="array" ref="L1089">IFERROR(_xlfn.IFS(
    LEN($A1089)-LEN(SUBSTITUTE($A1089,"|",""))=12, RIGHT(A1089, LEN(A1089)-FIND("~", SUBSTITUTE(A1089,"|","~", LEN(A1089)-LEN(SUBSTITUTE(A1089,"|",""))))),
    LEN($A1089)-LEN(SUBSTITUTE($A1089,"|",""))=13, MID($A1089, FIND("~", SUBSTITUTE($A1089,"|","~", 11))+1, FIND("~", SUBSTITUTE($A1089,"|","~", 12))-FIND("~", SUBSTITUTE($A1089,"|","~", 11))-1),
    LEN($A1089)-LEN(SUBSTITUTE($A1089,"|",""))=14, MID($A1089, FIND("~", SUBSTITUTE($A1089,"|","~", 11))+1, FIND("~", SUBSTITUTE($A1089,"|","~", 12))-FIND("~", SUBSTITUTE($A1089,"|","~", 11))-1)
), "")</f>
        <v>E586447</v>
      </c>
      <c r="M1089" s="72" t="str">
        <f t="shared" si="141"/>
        <v>SB010141/5/26</v>
      </c>
      <c r="N1089" s="46" t="str">
        <f t="shared" si="149"/>
        <v/>
      </c>
      <c r="O1089" s="60">
        <v>25</v>
      </c>
      <c r="P1089" s="60">
        <v>890</v>
      </c>
      <c r="Q1089" s="60">
        <v>175</v>
      </c>
      <c r="R1089" s="60">
        <v>859</v>
      </c>
      <c r="S1089" s="48" t="s">
        <v>35</v>
      </c>
      <c r="T1089" s="48"/>
      <c r="U1089" s="49">
        <v>76</v>
      </c>
      <c r="V1089" s="49">
        <v>7</v>
      </c>
      <c r="W1089" s="50"/>
      <c r="X1089" s="51" t="str">
        <f>IF(A1089="", "", IF(COUNTIFS(C$3:C1088, C1089, D$3:D1088, D1089, G$3:G1088, G1089) &gt; 0, "", "11:00"-AW1089))</f>
        <v/>
      </c>
      <c r="Y1089" s="52" t="str">
        <f t="shared" si="155"/>
        <v/>
      </c>
      <c r="Z1089" s="53"/>
      <c r="AA1089" s="54"/>
      <c r="AB1089" s="53"/>
      <c r="AC1089" s="54"/>
      <c r="AD1089" s="53"/>
      <c r="AE1089" s="54"/>
      <c r="AF1089" s="53"/>
      <c r="AG1089" s="54"/>
      <c r="AH1089" s="55">
        <v>4.1666666666666699E-2</v>
      </c>
      <c r="AI1089" s="53"/>
      <c r="AJ1089" s="54"/>
      <c r="AK1089" s="53"/>
      <c r="AL1089" s="54"/>
      <c r="AM1089" s="53"/>
      <c r="AN1089" s="54"/>
      <c r="AO1089" s="53"/>
      <c r="AP1089" s="54"/>
      <c r="AQ1089" s="53"/>
      <c r="AR1089" s="54"/>
      <c r="AS1089" s="53"/>
      <c r="AT1089" s="54"/>
      <c r="AU1089" s="53">
        <v>4.1666666666666699E-2</v>
      </c>
      <c r="AV1089" s="54" t="s">
        <v>37</v>
      </c>
      <c r="AW1089" s="57">
        <f t="shared" si="154"/>
        <v>4.1666666666666699E-2</v>
      </c>
      <c r="AX1089" s="58" t="s">
        <v>86</v>
      </c>
    </row>
    <row r="1090" spans="1:50" ht="21" customHeight="1">
      <c r="A1090" s="66" t="s">
        <v>957</v>
      </c>
      <c r="B1090" s="39">
        <f t="shared" si="153"/>
        <v>1086</v>
      </c>
      <c r="C1090" s="40">
        <v>46045</v>
      </c>
      <c r="D1090" s="40" t="s">
        <v>80</v>
      </c>
      <c r="E1090" s="40" t="s">
        <v>81</v>
      </c>
      <c r="F1090" s="41">
        <v>597.4</v>
      </c>
      <c r="G1090" s="42" t="s">
        <v>85</v>
      </c>
      <c r="H1090" s="43" t="str">
        <f>IFERROR(VLOOKUP($J1090,'[9]FROM (3)'!$E$4:$F$230,2,FALSE),"")</f>
        <v>JTCS</v>
      </c>
      <c r="I1090" s="44" t="str">
        <f t="shared" si="152"/>
        <v>Rack, MS</v>
      </c>
      <c r="J1090" s="44" t="str">
        <f t="shared" si="156"/>
        <v>JGC10-003770-40-0</v>
      </c>
      <c r="K1090" s="59" t="str">
        <f t="shared" si="151"/>
        <v>PD26010996</v>
      </c>
      <c r="L1090" s="46" t="str" cm="1">
        <f t="array" ref="L1090">IFERROR(_xlfn.IFS(
    LEN($A1090)-LEN(SUBSTITUTE($A1090,"|",""))=12, RIGHT(A1090, LEN(A1090)-FIND("~", SUBSTITUTE(A1090,"|","~", LEN(A1090)-LEN(SUBSTITUTE(A1090,"|",""))))),
    LEN($A1090)-LEN(SUBSTITUTE($A1090,"|",""))=13, MID($A1090, FIND("~", SUBSTITUTE($A1090,"|","~", 11))+1, FIND("~", SUBSTITUTE($A1090,"|","~", 12))-FIND("~", SUBSTITUTE($A1090,"|","~", 11))-1),
    LEN($A1090)-LEN(SUBSTITUTE($A1090,"|",""))=14, MID($A1090, FIND("~", SUBSTITUTE($A1090,"|","~", 11))+1, FIND("~", SUBSTITUTE($A1090,"|","~", 12))-FIND("~", SUBSTITUTE($A1090,"|","~", 11))-1)
), "")</f>
        <v>E586613</v>
      </c>
      <c r="M1090" s="72" t="str">
        <f t="shared" si="141"/>
        <v>SB010123/6/26</v>
      </c>
      <c r="N1090" s="46" t="str">
        <f t="shared" si="149"/>
        <v/>
      </c>
      <c r="O1090" s="60">
        <v>80</v>
      </c>
      <c r="P1090" s="60">
        <v>900</v>
      </c>
      <c r="Q1090" s="60">
        <v>398</v>
      </c>
      <c r="R1090" s="60">
        <v>844</v>
      </c>
      <c r="S1090" s="48">
        <v>2</v>
      </c>
      <c r="T1090" s="48" t="s">
        <v>787</v>
      </c>
      <c r="U1090" s="49"/>
      <c r="V1090" s="49"/>
      <c r="W1090" s="50"/>
      <c r="X1090" s="51" t="str">
        <f>IF(A1090="", "", IF(COUNTIFS(C$3:C1089, C1090, D$3:D1089, D1090, G$3:G1089, G1090) &gt; 0, "", "11:00"-AW1090))</f>
        <v/>
      </c>
      <c r="Y1090" s="52" t="str">
        <f t="shared" si="155"/>
        <v/>
      </c>
      <c r="Z1090" s="53"/>
      <c r="AA1090" s="54"/>
      <c r="AB1090" s="53"/>
      <c r="AC1090" s="54"/>
      <c r="AD1090" s="53"/>
      <c r="AE1090" s="54"/>
      <c r="AF1090" s="53"/>
      <c r="AG1090" s="54"/>
      <c r="AH1090" s="55">
        <v>4.1666666666666699E-2</v>
      </c>
      <c r="AI1090" s="53"/>
      <c r="AJ1090" s="54"/>
      <c r="AK1090" s="53"/>
      <c r="AL1090" s="54"/>
      <c r="AM1090" s="53"/>
      <c r="AN1090" s="54"/>
      <c r="AO1090" s="53"/>
      <c r="AP1090" s="54"/>
      <c r="AQ1090" s="53"/>
      <c r="AR1090" s="54"/>
      <c r="AS1090" s="53"/>
      <c r="AT1090" s="54"/>
      <c r="AU1090" s="53">
        <v>4.1666666666666699E-2</v>
      </c>
      <c r="AV1090" s="54" t="s">
        <v>37</v>
      </c>
      <c r="AW1090" s="57">
        <f t="shared" si="154"/>
        <v>4.1666666666666699E-2</v>
      </c>
      <c r="AX1090" s="58" t="s">
        <v>86</v>
      </c>
    </row>
    <row r="1091" spans="1:50" ht="21" customHeight="1">
      <c r="A1091" s="74" t="s">
        <v>958</v>
      </c>
      <c r="B1091" s="39">
        <f t="shared" si="153"/>
        <v>1087</v>
      </c>
      <c r="C1091" s="40">
        <v>46045</v>
      </c>
      <c r="D1091" s="40" t="s">
        <v>80</v>
      </c>
      <c r="E1091" s="40" t="s">
        <v>81</v>
      </c>
      <c r="F1091" s="41">
        <v>597.4</v>
      </c>
      <c r="G1091" s="42" t="s">
        <v>85</v>
      </c>
      <c r="H1091" s="43" t="str">
        <f>IFERROR(VLOOKUP($J1091,'[9]FROM (3)'!$E$4:$F$230,2,FALSE),"")</f>
        <v>JTCS</v>
      </c>
      <c r="I1091" s="44" t="str">
        <f t="shared" si="152"/>
        <v>Rack, MS</v>
      </c>
      <c r="J1091" s="44" t="str">
        <f t="shared" si="156"/>
        <v>JGC10-003770-40-0</v>
      </c>
      <c r="K1091" s="59" t="str">
        <f t="shared" si="151"/>
        <v>PD26010996</v>
      </c>
      <c r="L1091" s="46" t="str" cm="1">
        <f t="array" ref="L1091">IFERROR(_xlfn.IFS(
    LEN($A1091)-LEN(SUBSTITUTE($A1091,"|",""))=12, RIGHT(A1091, LEN(A1091)-FIND("~", SUBSTITUTE(A1091,"|","~", LEN(A1091)-LEN(SUBSTITUTE(A1091,"|",""))))),
    LEN($A1091)-LEN(SUBSTITUTE($A1091,"|",""))=13, MID($A1091, FIND("~", SUBSTITUTE($A1091,"|","~", 11))+1, FIND("~", SUBSTITUTE($A1091,"|","~", 12))-FIND("~", SUBSTITUTE($A1091,"|","~", 11))-1),
    LEN($A1091)-LEN(SUBSTITUTE($A1091,"|",""))=14, MID($A1091, FIND("~", SUBSTITUTE($A1091,"|","~", 11))+1, FIND("~", SUBSTITUTE($A1091,"|","~", 12))-FIND("~", SUBSTITUTE($A1091,"|","~", 11))-1)
), "")</f>
        <v>E586613</v>
      </c>
      <c r="M1091" s="72" t="str">
        <f t="shared" si="141"/>
        <v>SB010123/5/26</v>
      </c>
      <c r="N1091" s="46" t="str">
        <f t="shared" si="149"/>
        <v/>
      </c>
      <c r="O1091" s="60">
        <v>80</v>
      </c>
      <c r="P1091" s="60">
        <v>900</v>
      </c>
      <c r="Q1091" s="60">
        <v>400</v>
      </c>
      <c r="R1091" s="60">
        <v>848</v>
      </c>
      <c r="S1091" s="48" t="s">
        <v>35</v>
      </c>
      <c r="T1091" s="48"/>
      <c r="U1091" s="49"/>
      <c r="V1091" s="49"/>
      <c r="W1091" s="50"/>
      <c r="X1091" s="51" t="str">
        <f>IF(A1091="", "", IF(COUNTIFS(C$3:C1090, C1091, D$3:D1090, D1091, G$3:G1090, G1091) &gt; 0, "", "11:00"-AW1091))</f>
        <v/>
      </c>
      <c r="Y1091" s="52" t="str">
        <f t="shared" si="155"/>
        <v/>
      </c>
      <c r="Z1091" s="53"/>
      <c r="AA1091" s="54"/>
      <c r="AB1091" s="53"/>
      <c r="AC1091" s="54"/>
      <c r="AD1091" s="53"/>
      <c r="AE1091" s="54"/>
      <c r="AF1091" s="53"/>
      <c r="AG1091" s="54"/>
      <c r="AH1091" s="55">
        <v>4.1666666666666699E-2</v>
      </c>
      <c r="AI1091" s="53"/>
      <c r="AJ1091" s="54"/>
      <c r="AK1091" s="53"/>
      <c r="AL1091" s="54"/>
      <c r="AM1091" s="53"/>
      <c r="AN1091" s="54"/>
      <c r="AO1091" s="53"/>
      <c r="AP1091" s="54"/>
      <c r="AQ1091" s="53"/>
      <c r="AR1091" s="54"/>
      <c r="AS1091" s="53"/>
      <c r="AT1091" s="54"/>
      <c r="AU1091" s="53">
        <v>4.1666666666666699E-2</v>
      </c>
      <c r="AV1091" s="54" t="s">
        <v>37</v>
      </c>
      <c r="AW1091" s="57">
        <f t="shared" si="154"/>
        <v>4.1666666666666699E-2</v>
      </c>
      <c r="AX1091" s="58" t="s">
        <v>86</v>
      </c>
    </row>
    <row r="1092" spans="1:50" ht="21" customHeight="1">
      <c r="A1092" s="66" t="s">
        <v>959</v>
      </c>
      <c r="B1092" s="39">
        <f t="shared" si="153"/>
        <v>1088</v>
      </c>
      <c r="C1092" s="40">
        <v>46045</v>
      </c>
      <c r="D1092" s="40" t="s">
        <v>80</v>
      </c>
      <c r="E1092" s="40" t="s">
        <v>81</v>
      </c>
      <c r="F1092" s="41">
        <v>597.4</v>
      </c>
      <c r="G1092" s="42" t="s">
        <v>85</v>
      </c>
      <c r="H1092" s="43" t="str">
        <f>IFERROR(VLOOKUP($J1092,'[9]FROM (3)'!$E$4:$F$230,2,FALSE),"")</f>
        <v>JTCS</v>
      </c>
      <c r="I1092" s="44" t="str">
        <f t="shared" si="152"/>
        <v>Rack, MS</v>
      </c>
      <c r="J1092" s="44" t="str">
        <f t="shared" si="156"/>
        <v>JGC10-003770-40-0</v>
      </c>
      <c r="K1092" s="59" t="str">
        <f t="shared" si="151"/>
        <v>PD26010996</v>
      </c>
      <c r="L1092" s="46" t="str" cm="1">
        <f t="array" ref="L1092">IFERROR(_xlfn.IFS(
    LEN($A1092)-LEN(SUBSTITUTE($A1092,"|",""))=12, RIGHT(A1092, LEN(A1092)-FIND("~", SUBSTITUTE(A1092,"|","~", LEN(A1092)-LEN(SUBSTITUTE(A1092,"|",""))))),
    LEN($A1092)-LEN(SUBSTITUTE($A1092,"|",""))=13, MID($A1092, FIND("~", SUBSTITUTE($A1092,"|","~", 11))+1, FIND("~", SUBSTITUTE($A1092,"|","~", 12))-FIND("~", SUBSTITUTE($A1092,"|","~", 11))-1),
    LEN($A1092)-LEN(SUBSTITUTE($A1092,"|",""))=14, MID($A1092, FIND("~", SUBSTITUTE($A1092,"|","~", 11))+1, FIND("~", SUBSTITUTE($A1092,"|","~", 12))-FIND("~", SUBSTITUTE($A1092,"|","~", 11))-1)
), "")</f>
        <v>E586613</v>
      </c>
      <c r="M1092" s="72" t="str">
        <f t="shared" si="141"/>
        <v>SB010123/4/26</v>
      </c>
      <c r="N1092" s="46" t="str">
        <f t="shared" si="149"/>
        <v/>
      </c>
      <c r="O1092" s="60">
        <v>80</v>
      </c>
      <c r="P1092" s="60">
        <v>900</v>
      </c>
      <c r="Q1092" s="60">
        <v>35</v>
      </c>
      <c r="R1092" s="60">
        <v>74</v>
      </c>
      <c r="S1092" s="48" t="s">
        <v>35</v>
      </c>
      <c r="T1092" s="48"/>
      <c r="U1092" s="49"/>
      <c r="V1092" s="49"/>
      <c r="W1092" s="50"/>
      <c r="X1092" s="51" t="str">
        <f>IF(A1092="", "", IF(COUNTIFS(C$3:C1091, C1092, D$3:D1091, D1092, G$3:G1091, G1092) &gt; 0, "", "11:00"-AW1092))</f>
        <v/>
      </c>
      <c r="Y1092" s="52" t="str">
        <f t="shared" si="155"/>
        <v/>
      </c>
      <c r="Z1092" s="53"/>
      <c r="AA1092" s="54"/>
      <c r="AB1092" s="53"/>
      <c r="AC1092" s="54"/>
      <c r="AD1092" s="53"/>
      <c r="AE1092" s="54"/>
      <c r="AF1092" s="53"/>
      <c r="AG1092" s="54"/>
      <c r="AH1092" s="55">
        <v>4.1666666666666699E-2</v>
      </c>
      <c r="AI1092" s="53"/>
      <c r="AJ1092" s="54"/>
      <c r="AK1092" s="53"/>
      <c r="AL1092" s="54"/>
      <c r="AM1092" s="53"/>
      <c r="AN1092" s="54"/>
      <c r="AO1092" s="53"/>
      <c r="AP1092" s="54"/>
      <c r="AQ1092" s="53"/>
      <c r="AR1092" s="54"/>
      <c r="AS1092" s="53"/>
      <c r="AT1092" s="54"/>
      <c r="AU1092" s="53">
        <v>4.1666666666666699E-2</v>
      </c>
      <c r="AV1092" s="54" t="s">
        <v>37</v>
      </c>
      <c r="AW1092" s="57">
        <f t="shared" si="154"/>
        <v>4.1666666666666699E-2</v>
      </c>
      <c r="AX1092" s="58" t="s">
        <v>86</v>
      </c>
    </row>
    <row r="1093" spans="1:50" ht="21" customHeight="1">
      <c r="A1093" s="66" t="s">
        <v>925</v>
      </c>
      <c r="B1093" s="39">
        <f t="shared" si="153"/>
        <v>1089</v>
      </c>
      <c r="C1093" s="40">
        <v>46045</v>
      </c>
      <c r="D1093" s="40" t="s">
        <v>80</v>
      </c>
      <c r="E1093" s="40" t="s">
        <v>81</v>
      </c>
      <c r="F1093" s="41">
        <v>167.7</v>
      </c>
      <c r="G1093" s="42" t="s">
        <v>62</v>
      </c>
      <c r="H1093" s="43" t="str">
        <f>IFERROR(VLOOKUP($J1093,'[9]FROM (3)'!$E$4:$F$230,2,FALSE),"")</f>
        <v>DNTH</v>
      </c>
      <c r="I1093" s="44" t="str">
        <f t="shared" si="152"/>
        <v>SHAFT STARTER ARMATURE, 1W</v>
      </c>
      <c r="J1093" s="44" t="str">
        <f t="shared" si="156"/>
        <v>TG028993-557B</v>
      </c>
      <c r="K1093" s="59" t="str">
        <f t="shared" si="151"/>
        <v>PD26011055</v>
      </c>
      <c r="L1093" s="46" t="str" cm="1">
        <f t="array" ref="L1093">IFERROR(_xlfn.IFS(
    LEN($A1093)-LEN(SUBSTITUTE($A1093,"|",""))=12, RIGHT(A1093, LEN(A1093)-FIND("~", SUBSTITUTE(A1093,"|","~", LEN(A1093)-LEN(SUBSTITUTE(A1093,"|",""))))),
    LEN($A1093)-LEN(SUBSTITUTE($A1093,"|",""))=13, MID($A1093, FIND("~", SUBSTITUTE($A1093,"|","~", 11))+1, FIND("~", SUBSTITUTE($A1093,"|","~", 12))-FIND("~", SUBSTITUTE($A1093,"|","~", 11))-1),
    LEN($A1093)-LEN(SUBSTITUTE($A1093,"|",""))=14, MID($A1093, FIND("~", SUBSTITUTE($A1093,"|","~", 11))+1, FIND("~", SUBSTITUTE($A1093,"|","~", 12))-FIND("~", SUBSTITUTE($A1093,"|","~", 11))-1)
), "")</f>
        <v>E586473</v>
      </c>
      <c r="M1093" s="72" t="str">
        <f t="shared" si="141"/>
        <v>SB010082/2/26</v>
      </c>
      <c r="N1093" s="46" t="str">
        <f t="shared" si="149"/>
        <v/>
      </c>
      <c r="O1093" s="60"/>
      <c r="P1093" s="60"/>
      <c r="Q1093" s="60"/>
      <c r="R1093" s="60"/>
      <c r="S1093" s="48"/>
      <c r="T1093" s="48"/>
      <c r="U1093" s="49"/>
      <c r="V1093" s="49"/>
      <c r="W1093" s="50"/>
      <c r="X1093" s="51">
        <f>IF(A1093="", "", IF(COUNTIFS(C$3:C1092, C1093, D$3:D1092, D1093, G$3:G1092, G1093) &gt; 0, "", "11:00"-AW1093))</f>
        <v>0.33333333333333326</v>
      </c>
      <c r="Y1093" s="52" t="str">
        <f t="shared" si="155"/>
        <v>1:40</v>
      </c>
      <c r="Z1093" s="53"/>
      <c r="AA1093" s="54"/>
      <c r="AB1093" s="53"/>
      <c r="AC1093" s="54"/>
      <c r="AD1093" s="53"/>
      <c r="AE1093" s="54"/>
      <c r="AF1093" s="53"/>
      <c r="AG1093" s="54"/>
      <c r="AH1093" s="55">
        <v>4.1666666666666699E-2</v>
      </c>
      <c r="AI1093" s="53"/>
      <c r="AJ1093" s="54"/>
      <c r="AK1093" s="53"/>
      <c r="AL1093" s="54"/>
      <c r="AM1093" s="53"/>
      <c r="AN1093" s="54"/>
      <c r="AO1093" s="53"/>
      <c r="AP1093" s="54"/>
      <c r="AQ1093" s="53">
        <v>4.1666666666666664E-2</v>
      </c>
      <c r="AR1093" s="54" t="s">
        <v>67</v>
      </c>
      <c r="AS1093" s="53">
        <v>4.1666666666666664E-2</v>
      </c>
      <c r="AT1093" s="54" t="s">
        <v>67</v>
      </c>
      <c r="AU1093" s="53">
        <v>4.1666666666666699E-2</v>
      </c>
      <c r="AV1093" s="54" t="s">
        <v>37</v>
      </c>
      <c r="AW1093" s="57">
        <f t="shared" si="154"/>
        <v>0.12500000000000003</v>
      </c>
      <c r="AX1093" s="58" t="s">
        <v>224</v>
      </c>
    </row>
    <row r="1094" spans="1:50" ht="21" customHeight="1">
      <c r="A1094" s="66" t="s">
        <v>960</v>
      </c>
      <c r="B1094" s="39">
        <f t="shared" si="153"/>
        <v>1090</v>
      </c>
      <c r="C1094" s="40">
        <v>46046</v>
      </c>
      <c r="D1094" s="40" t="s">
        <v>32</v>
      </c>
      <c r="E1094" s="40" t="s">
        <v>33</v>
      </c>
      <c r="F1094" s="41">
        <v>747.3</v>
      </c>
      <c r="G1094" s="42" t="s">
        <v>66</v>
      </c>
      <c r="H1094" s="43" t="str">
        <f>IFERROR(VLOOKUP($J1094,'[9]FROM (3)'!$E$4:$F$230,2,FALSE),"")</f>
        <v>JTCS</v>
      </c>
      <c r="I1094" s="44" t="str">
        <f t="shared" si="152"/>
        <v>RACK BAR</v>
      </c>
      <c r="J1094" s="44" t="str">
        <f t="shared" si="156"/>
        <v>JGD10S000800-B</v>
      </c>
      <c r="K1094" s="59" t="str">
        <f t="shared" ref="K1094:K1157" si="157">IFERROR(LEFT(A1094,SEARCH("|",A1094)-1),"")</f>
        <v>PD26010961</v>
      </c>
      <c r="L1094" s="46" t="str" cm="1">
        <f t="array" ref="L1094">IFERROR(_xlfn.IFS(
    LEN($A1094)-LEN(SUBSTITUTE($A1094,"|",""))=12, RIGHT(A1094, LEN(A1094)-FIND("~", SUBSTITUTE(A1094,"|","~", LEN(A1094)-LEN(SUBSTITUTE(A1094,"|",""))))),
    LEN($A1094)-LEN(SUBSTITUTE($A1094,"|",""))=13, MID($A1094, FIND("~", SUBSTITUTE($A1094,"|","~", 11))+1, FIND("~", SUBSTITUTE($A1094,"|","~", 12))-FIND("~", SUBSTITUTE($A1094,"|","~", 11))-1),
    LEN($A1094)-LEN(SUBSTITUTE($A1094,"|",""))=14, MID($A1094, FIND("~", SUBSTITUTE($A1094,"|","~", 11))+1, FIND("~", SUBSTITUTE($A1094,"|","~", 12))-FIND("~", SUBSTITUTE($A1094,"|","~", 11))-1)
), "")</f>
        <v>E586967</v>
      </c>
      <c r="M1094" s="72" t="str">
        <f t="shared" si="141"/>
        <v>SB010112/5/26</v>
      </c>
      <c r="N1094" s="46" t="str">
        <f t="shared" si="149"/>
        <v/>
      </c>
      <c r="O1094" s="60">
        <v>48</v>
      </c>
      <c r="P1094" s="60">
        <v>978</v>
      </c>
      <c r="Q1094" s="60">
        <v>192</v>
      </c>
      <c r="R1094" s="60">
        <v>920</v>
      </c>
      <c r="S1094" s="48"/>
      <c r="T1094" s="48"/>
      <c r="U1094" s="49"/>
      <c r="V1094" s="49"/>
      <c r="W1094" s="50"/>
      <c r="X1094" s="51">
        <f>IF(A1094="", "", IF(COUNTIFS(C$3:C1093, C1094, D$3:D1093, D1094, G$3:G1093, G1094) &gt; 0, "", "11:00"-AW1094))</f>
        <v>0.33333333333333326</v>
      </c>
      <c r="Y1094" s="52" t="str">
        <f t="shared" si="155"/>
        <v>1:0</v>
      </c>
      <c r="Z1094" s="53"/>
      <c r="AA1094" s="54"/>
      <c r="AB1094" s="53"/>
      <c r="AC1094" s="54"/>
      <c r="AD1094" s="53"/>
      <c r="AE1094" s="54"/>
      <c r="AF1094" s="53"/>
      <c r="AG1094" s="54"/>
      <c r="AH1094" s="55">
        <v>4.1666666666666699E-2</v>
      </c>
      <c r="AI1094" s="53"/>
      <c r="AJ1094" s="54"/>
      <c r="AK1094" s="53"/>
      <c r="AL1094" s="54"/>
      <c r="AM1094" s="53"/>
      <c r="AN1094" s="54"/>
      <c r="AO1094" s="53"/>
      <c r="AP1094" s="54"/>
      <c r="AQ1094" s="53">
        <v>4.1666666666666664E-2</v>
      </c>
      <c r="AR1094" s="54" t="s">
        <v>37</v>
      </c>
      <c r="AS1094" s="53">
        <v>4.1666666666666664E-2</v>
      </c>
      <c r="AT1094" s="54" t="s">
        <v>37</v>
      </c>
      <c r="AU1094" s="53">
        <v>4.1666666666666699E-2</v>
      </c>
      <c r="AV1094" s="54" t="s">
        <v>37</v>
      </c>
      <c r="AW1094" s="57">
        <f t="shared" si="154"/>
        <v>0.12500000000000003</v>
      </c>
      <c r="AX1094" s="58" t="s">
        <v>68</v>
      </c>
    </row>
    <row r="1095" spans="1:50" ht="21" customHeight="1">
      <c r="A1095" s="66" t="s">
        <v>961</v>
      </c>
      <c r="B1095" s="39">
        <f t="shared" si="153"/>
        <v>1091</v>
      </c>
      <c r="C1095" s="40">
        <v>46046</v>
      </c>
      <c r="D1095" s="40" t="s">
        <v>32</v>
      </c>
      <c r="E1095" s="40" t="s">
        <v>33</v>
      </c>
      <c r="F1095" s="41">
        <v>747.3</v>
      </c>
      <c r="G1095" s="42" t="s">
        <v>66</v>
      </c>
      <c r="H1095" s="43" t="str">
        <f>IFERROR(VLOOKUP($J1095,'[9]FROM (3)'!$E$4:$F$230,2,FALSE),"")</f>
        <v>JTCS</v>
      </c>
      <c r="I1095" s="44" t="str">
        <f t="shared" ref="I1095:I1158" si="158">IFERROR(MID(A1095,FIND("~",SUBSTITUTE(A1095,"|","~",4))+1,FIND("~",SUBSTITUTE(A1095,"|","~",5))-FIND("~",SUBSTITUTE(A1095,"|","~",4))-1),"")</f>
        <v>RACK BAR</v>
      </c>
      <c r="J1095" s="44" t="str">
        <f t="shared" si="156"/>
        <v>JGD10S000800-B</v>
      </c>
      <c r="K1095" s="59" t="str">
        <f t="shared" si="157"/>
        <v>PD26010961</v>
      </c>
      <c r="L1095" s="46" t="str" cm="1">
        <f t="array" ref="L1095">IFERROR(_xlfn.IFS(
    LEN($A1095)-LEN(SUBSTITUTE($A1095,"|",""))=12, RIGHT(A1095, LEN(A1095)-FIND("~", SUBSTITUTE(A1095,"|","~", LEN(A1095)-LEN(SUBSTITUTE(A1095,"|",""))))),
    LEN($A1095)-LEN(SUBSTITUTE($A1095,"|",""))=13, MID($A1095, FIND("~", SUBSTITUTE($A1095,"|","~", 11))+1, FIND("~", SUBSTITUTE($A1095,"|","~", 12))-FIND("~", SUBSTITUTE($A1095,"|","~", 11))-1),
    LEN($A1095)-LEN(SUBSTITUTE($A1095,"|",""))=14, MID($A1095, FIND("~", SUBSTITUTE($A1095,"|","~", 11))+1, FIND("~", SUBSTITUTE($A1095,"|","~", 12))-FIND("~", SUBSTITUTE($A1095,"|","~", 11))-1)
), "")</f>
        <v>E586967</v>
      </c>
      <c r="M1095" s="72" t="str">
        <f t="shared" si="141"/>
        <v>SB010112/4/26</v>
      </c>
      <c r="N1095" s="46" t="str">
        <f t="shared" si="149"/>
        <v/>
      </c>
      <c r="O1095" s="60">
        <v>48</v>
      </c>
      <c r="P1095" s="60">
        <v>978</v>
      </c>
      <c r="Q1095" s="48">
        <v>192</v>
      </c>
      <c r="R1095" s="48">
        <v>920</v>
      </c>
      <c r="S1095" s="48"/>
      <c r="T1095" s="48"/>
      <c r="U1095" s="49"/>
      <c r="V1095" s="49"/>
      <c r="W1095" s="50"/>
      <c r="X1095" s="51" t="str">
        <f>IF(A1095="", "", IF(COUNTIFS(C$3:C1094, C1095, D$3:D1094, D1095, G$3:G1094, G1095) &gt; 0, "", "11:00"-AW1095))</f>
        <v/>
      </c>
      <c r="Y1095" s="52" t="str">
        <f t="shared" si="155"/>
        <v/>
      </c>
      <c r="Z1095" s="53"/>
      <c r="AA1095" s="54"/>
      <c r="AB1095" s="53"/>
      <c r="AC1095" s="54"/>
      <c r="AD1095" s="53"/>
      <c r="AE1095" s="54"/>
      <c r="AF1095" s="53"/>
      <c r="AG1095" s="54"/>
      <c r="AH1095" s="55">
        <v>4.1666666666666699E-2</v>
      </c>
      <c r="AI1095" s="53"/>
      <c r="AJ1095" s="54"/>
      <c r="AK1095" s="53"/>
      <c r="AL1095" s="54"/>
      <c r="AM1095" s="53"/>
      <c r="AN1095" s="54"/>
      <c r="AO1095" s="53"/>
      <c r="AP1095" s="54"/>
      <c r="AQ1095" s="53"/>
      <c r="AR1095" s="54" t="s">
        <v>37</v>
      </c>
      <c r="AS1095" s="53"/>
      <c r="AT1095" s="54" t="s">
        <v>37</v>
      </c>
      <c r="AU1095" s="53">
        <v>4.1666666666666699E-2</v>
      </c>
      <c r="AV1095" s="54" t="s">
        <v>37</v>
      </c>
      <c r="AW1095" s="57">
        <f t="shared" si="154"/>
        <v>4.1666666666666699E-2</v>
      </c>
      <c r="AX1095" s="58" t="s">
        <v>68</v>
      </c>
    </row>
    <row r="1096" spans="1:50" ht="21" customHeight="1">
      <c r="A1096" s="66" t="s">
        <v>962</v>
      </c>
      <c r="B1096" s="39">
        <f t="shared" si="153"/>
        <v>1092</v>
      </c>
      <c r="C1096" s="40">
        <v>46046</v>
      </c>
      <c r="D1096" s="40" t="s">
        <v>32</v>
      </c>
      <c r="E1096" s="40" t="s">
        <v>33</v>
      </c>
      <c r="F1096" s="41">
        <v>747.3</v>
      </c>
      <c r="G1096" s="42" t="s">
        <v>66</v>
      </c>
      <c r="H1096" s="43" t="str">
        <f>IFERROR(VLOOKUP($J1096,'[9]FROM (3)'!$E$4:$F$230,2,FALSE),"")</f>
        <v>JTCS</v>
      </c>
      <c r="I1096" s="44" t="str">
        <f t="shared" si="158"/>
        <v>RACK BAR</v>
      </c>
      <c r="J1096" s="44" t="str">
        <f t="shared" si="156"/>
        <v>JGD10S000800-B</v>
      </c>
      <c r="K1096" s="59" t="str">
        <f t="shared" si="157"/>
        <v>PD26010961</v>
      </c>
      <c r="L1096" s="46" t="str" cm="1">
        <f t="array" ref="L1096">IFERROR(_xlfn.IFS(
    LEN($A1096)-LEN(SUBSTITUTE($A1096,"|",""))=12, RIGHT(A1096, LEN(A1096)-FIND("~", SUBSTITUTE(A1096,"|","~", LEN(A1096)-LEN(SUBSTITUTE(A1096,"|",""))))),
    LEN($A1096)-LEN(SUBSTITUTE($A1096,"|",""))=13, MID($A1096, FIND("~", SUBSTITUTE($A1096,"|","~", 11))+1, FIND("~", SUBSTITUTE($A1096,"|","~", 12))-FIND("~", SUBSTITUTE($A1096,"|","~", 11))-1),
    LEN($A1096)-LEN(SUBSTITUTE($A1096,"|",""))=14, MID($A1096, FIND("~", SUBSTITUTE($A1096,"|","~", 11))+1, FIND("~", SUBSTITUTE($A1096,"|","~", 12))-FIND("~", SUBSTITUTE($A1096,"|","~", 11))-1)
), "")</f>
        <v>E586967</v>
      </c>
      <c r="M1096" s="72" t="str">
        <f t="shared" si="141"/>
        <v>SB010112/6/26</v>
      </c>
      <c r="N1096" s="46" t="str">
        <f t="shared" si="149"/>
        <v/>
      </c>
      <c r="O1096" s="60">
        <v>48</v>
      </c>
      <c r="P1096" s="60">
        <v>978</v>
      </c>
      <c r="Q1096" s="48">
        <v>192</v>
      </c>
      <c r="R1096" s="48">
        <v>920</v>
      </c>
      <c r="S1096" s="48"/>
      <c r="T1096" s="48"/>
      <c r="U1096" s="49">
        <v>160</v>
      </c>
      <c r="V1096" s="49">
        <v>9</v>
      </c>
      <c r="W1096" s="50"/>
      <c r="X1096" s="51" t="str">
        <f>IF(A1096="", "", IF(COUNTIFS(C$3:C1095, C1096, D$3:D1095, D1096, G$3:G1095, G1096) &gt; 0, "", "11:00"-AW1096))</f>
        <v/>
      </c>
      <c r="Y1096" s="52" t="str">
        <f t="shared" si="155"/>
        <v/>
      </c>
      <c r="Z1096" s="53"/>
      <c r="AA1096" s="54"/>
      <c r="AB1096" s="53"/>
      <c r="AC1096" s="54"/>
      <c r="AD1096" s="53"/>
      <c r="AE1096" s="54"/>
      <c r="AF1096" s="53"/>
      <c r="AG1096" s="54"/>
      <c r="AH1096" s="55">
        <v>4.1666666666666699E-2</v>
      </c>
      <c r="AI1096" s="53"/>
      <c r="AJ1096" s="54"/>
      <c r="AK1096" s="53"/>
      <c r="AL1096" s="54"/>
      <c r="AM1096" s="53"/>
      <c r="AN1096" s="54"/>
      <c r="AO1096" s="53"/>
      <c r="AP1096" s="54"/>
      <c r="AQ1096" s="53"/>
      <c r="AR1096" s="54" t="s">
        <v>37</v>
      </c>
      <c r="AS1096" s="53"/>
      <c r="AT1096" s="54" t="s">
        <v>37</v>
      </c>
      <c r="AU1096" s="53">
        <v>4.1666666666666699E-2</v>
      </c>
      <c r="AV1096" s="54" t="s">
        <v>37</v>
      </c>
      <c r="AW1096" s="57">
        <f t="shared" si="154"/>
        <v>4.1666666666666699E-2</v>
      </c>
      <c r="AX1096" s="58" t="s">
        <v>68</v>
      </c>
    </row>
    <row r="1097" spans="1:50" ht="21" customHeight="1">
      <c r="A1097" s="66" t="s">
        <v>963</v>
      </c>
      <c r="B1097" s="39">
        <f t="shared" si="153"/>
        <v>1093</v>
      </c>
      <c r="C1097" s="40">
        <v>46046</v>
      </c>
      <c r="D1097" s="40" t="s">
        <v>32</v>
      </c>
      <c r="E1097" s="40" t="s">
        <v>33</v>
      </c>
      <c r="F1097" s="41">
        <v>747.3</v>
      </c>
      <c r="G1097" s="42" t="s">
        <v>66</v>
      </c>
      <c r="H1097" s="43" t="str">
        <f>IFERROR(VLOOKUP($J1097,'[9]FROM (3)'!$E$4:$F$230,2,FALSE),"")</f>
        <v>JTCS</v>
      </c>
      <c r="I1097" s="44" t="str">
        <f t="shared" si="158"/>
        <v>RACK BAR</v>
      </c>
      <c r="J1097" s="44" t="str">
        <f t="shared" si="156"/>
        <v>JGD10S000800-B</v>
      </c>
      <c r="K1097" s="59" t="str">
        <f t="shared" si="157"/>
        <v>PD26010960</v>
      </c>
      <c r="L1097" s="46" t="str" cm="1">
        <f t="array" ref="L1097">IFERROR(_xlfn.IFS(
    LEN($A1097)-LEN(SUBSTITUTE($A1097,"|",""))=12, RIGHT(A1097, LEN(A1097)-FIND("~", SUBSTITUTE(A1097,"|","~", LEN(A1097)-LEN(SUBSTITUTE(A1097,"|",""))))),
    LEN($A1097)-LEN(SUBSTITUTE($A1097,"|",""))=13, MID($A1097, FIND("~", SUBSTITUTE($A1097,"|","~", 11))+1, FIND("~", SUBSTITUTE($A1097,"|","~", 12))-FIND("~", SUBSTITUTE($A1097,"|","~", 11))-1),
    LEN($A1097)-LEN(SUBSTITUTE($A1097,"|",""))=14, MID($A1097, FIND("~", SUBSTITUTE($A1097,"|","~", 11))+1, FIND("~", SUBSTITUTE($A1097,"|","~", 12))-FIND("~", SUBSTITUTE($A1097,"|","~", 11))-1)
), "")</f>
        <v>E586967</v>
      </c>
      <c r="M1097" s="72" t="str">
        <f t="shared" si="141"/>
        <v>SB010112/3/26</v>
      </c>
      <c r="N1097" s="46" t="str">
        <f t="shared" si="149"/>
        <v/>
      </c>
      <c r="O1097" s="60">
        <v>33</v>
      </c>
      <c r="P1097" s="60">
        <v>672</v>
      </c>
      <c r="Q1097" s="48">
        <v>130</v>
      </c>
      <c r="R1097" s="48">
        <v>623</v>
      </c>
      <c r="S1097" s="48"/>
      <c r="T1097" s="48"/>
      <c r="U1097" s="49"/>
      <c r="V1097" s="49"/>
      <c r="W1097" s="50"/>
      <c r="X1097" s="51" t="str">
        <f>IF(A1097="", "", IF(COUNTIFS(C$3:C1096, C1097, D$3:D1096, D1097, G$3:G1096, G1097) &gt; 0, "", "11:00"-AW1097))</f>
        <v/>
      </c>
      <c r="Y1097" s="52" t="str">
        <f t="shared" si="155"/>
        <v/>
      </c>
      <c r="Z1097" s="53"/>
      <c r="AA1097" s="54"/>
      <c r="AB1097" s="53"/>
      <c r="AC1097" s="54"/>
      <c r="AD1097" s="53"/>
      <c r="AE1097" s="54"/>
      <c r="AF1097" s="53"/>
      <c r="AG1097" s="54"/>
      <c r="AH1097" s="55">
        <v>4.1666666666666699E-2</v>
      </c>
      <c r="AI1097" s="53"/>
      <c r="AJ1097" s="54"/>
      <c r="AK1097" s="53"/>
      <c r="AL1097" s="54"/>
      <c r="AM1097" s="53"/>
      <c r="AN1097" s="54"/>
      <c r="AO1097" s="53"/>
      <c r="AP1097" s="54"/>
      <c r="AQ1097" s="53"/>
      <c r="AR1097" s="54" t="s">
        <v>37</v>
      </c>
      <c r="AS1097" s="53"/>
      <c r="AT1097" s="54" t="s">
        <v>37</v>
      </c>
      <c r="AU1097" s="53">
        <v>4.1666666666666699E-2</v>
      </c>
      <c r="AV1097" s="54" t="s">
        <v>37</v>
      </c>
      <c r="AW1097" s="57">
        <f t="shared" si="154"/>
        <v>4.1666666666666699E-2</v>
      </c>
      <c r="AX1097" s="58" t="s">
        <v>68</v>
      </c>
    </row>
    <row r="1098" spans="1:50" ht="21" customHeight="1">
      <c r="A1098" s="66" t="s">
        <v>964</v>
      </c>
      <c r="B1098" s="39">
        <f t="shared" ref="B1098:B1161" si="159">IF(A1098="","",B1097+1)</f>
        <v>1094</v>
      </c>
      <c r="C1098" s="40">
        <v>46046</v>
      </c>
      <c r="D1098" s="40" t="s">
        <v>32</v>
      </c>
      <c r="E1098" s="40" t="s">
        <v>33</v>
      </c>
      <c r="F1098" s="41">
        <v>167.7</v>
      </c>
      <c r="G1098" s="42" t="s">
        <v>62</v>
      </c>
      <c r="H1098" s="43" t="str">
        <f>IFERROR(VLOOKUP($J1098,'[9]FROM (3)'!$E$4:$F$230,2,FALSE),"")</f>
        <v>DNTH</v>
      </c>
      <c r="I1098" s="44" t="str">
        <f t="shared" si="158"/>
        <v>SHAFT STARTER ARMATURE, 1W</v>
      </c>
      <c r="J1098" s="44" t="str">
        <f t="shared" si="156"/>
        <v>TG028993-557B</v>
      </c>
      <c r="K1098" s="59" t="str">
        <f t="shared" si="157"/>
        <v>PD26011055</v>
      </c>
      <c r="L1098" s="46" t="str" cm="1">
        <f t="array" ref="L1098">IFERROR(_xlfn.IFS(
    LEN($A1098)-LEN(SUBSTITUTE($A1098,"|",""))=12, RIGHT(A1098, LEN(A1098)-FIND("~", SUBSTITUTE(A1098,"|","~", LEN(A1098)-LEN(SUBSTITUTE(A1098,"|",""))))),
    LEN($A1098)-LEN(SUBSTITUTE($A1098,"|",""))=13, MID($A1098, FIND("~", SUBSTITUTE($A1098,"|","~", 11))+1, FIND("~", SUBSTITUTE($A1098,"|","~", 12))-FIND("~", SUBSTITUTE($A1098,"|","~", 11))-1),
    LEN($A1098)-LEN(SUBSTITUTE($A1098,"|",""))=14, MID($A1098, FIND("~", SUBSTITUTE($A1098,"|","~", 11))+1, FIND("~", SUBSTITUTE($A1098,"|","~", 12))-FIND("~", SUBSTITUTE($A1098,"|","~", 11))-1)
), "")</f>
        <v>E586473</v>
      </c>
      <c r="M1098" s="72" t="str">
        <f t="shared" si="141"/>
        <v>SB010082/3/26</v>
      </c>
      <c r="N1098" s="46" t="str">
        <f t="shared" si="149"/>
        <v/>
      </c>
      <c r="O1098" s="60">
        <v>0</v>
      </c>
      <c r="P1098" s="60">
        <v>0</v>
      </c>
      <c r="Q1098" s="48">
        <v>635</v>
      </c>
      <c r="R1098" s="48">
        <v>151</v>
      </c>
      <c r="S1098" s="48"/>
      <c r="T1098" s="48"/>
      <c r="U1098" s="49">
        <v>42</v>
      </c>
      <c r="V1098" s="49">
        <v>7</v>
      </c>
      <c r="W1098" s="50"/>
      <c r="X1098" s="51">
        <f>IF(A1098="", "", IF(COUNTIFS(C$3:C1097, C1098, D$3:D1097, D1098, G$3:G1097, G1098) &gt; 0, "", "11:00"-AW1098))</f>
        <v>0.22222222222222221</v>
      </c>
      <c r="Y1098" s="52" t="str">
        <f t="shared" si="155"/>
        <v>1:0</v>
      </c>
      <c r="Z1098" s="53">
        <v>2.0833333333333332E-2</v>
      </c>
      <c r="AA1098" s="54" t="s">
        <v>63</v>
      </c>
      <c r="AB1098" s="53"/>
      <c r="AC1098" s="54"/>
      <c r="AD1098" s="53">
        <v>1.3888888888888888E-2</v>
      </c>
      <c r="AE1098" s="54" t="s">
        <v>965</v>
      </c>
      <c r="AF1098" s="53"/>
      <c r="AG1098" s="54"/>
      <c r="AH1098" s="55">
        <v>4.1666666666666699E-2</v>
      </c>
      <c r="AI1098" s="53"/>
      <c r="AJ1098" s="54"/>
      <c r="AK1098" s="53"/>
      <c r="AL1098" s="54"/>
      <c r="AM1098" s="53">
        <v>3.4722222222222224E-2</v>
      </c>
      <c r="AN1098" s="54" t="s">
        <v>129</v>
      </c>
      <c r="AO1098" s="53">
        <v>4.1666666666666664E-2</v>
      </c>
      <c r="AP1098" s="54" t="s">
        <v>129</v>
      </c>
      <c r="AQ1098" s="53">
        <v>4.1666666666666664E-2</v>
      </c>
      <c r="AR1098" s="54" t="s">
        <v>37</v>
      </c>
      <c r="AS1098" s="53">
        <v>4.1666666666666664E-2</v>
      </c>
      <c r="AT1098" s="54" t="s">
        <v>37</v>
      </c>
      <c r="AU1098" s="53">
        <v>4.1666666666666699E-2</v>
      </c>
      <c r="AV1098" s="54" t="s">
        <v>37</v>
      </c>
      <c r="AW1098" s="57">
        <f t="shared" si="154"/>
        <v>0.2361111111111111</v>
      </c>
      <c r="AX1098" s="58" t="s">
        <v>64</v>
      </c>
    </row>
    <row r="1099" spans="1:50" ht="21" customHeight="1">
      <c r="A1099" s="66" t="s">
        <v>947</v>
      </c>
      <c r="B1099" s="39">
        <f t="shared" si="159"/>
        <v>1095</v>
      </c>
      <c r="C1099" s="40">
        <v>46046</v>
      </c>
      <c r="D1099" s="40" t="s">
        <v>32</v>
      </c>
      <c r="E1099" s="40" t="s">
        <v>33</v>
      </c>
      <c r="F1099" s="41">
        <v>191</v>
      </c>
      <c r="G1099" s="42" t="s">
        <v>108</v>
      </c>
      <c r="H1099" s="43" t="str">
        <f>IFERROR(VLOOKUP($J1099,'[9]FROM (3)'!$E$4:$F$230,2,FALSE),"")</f>
        <v>SIAM NSK</v>
      </c>
      <c r="I1099" s="44" t="str">
        <f t="shared" si="158"/>
        <v>STG.SHAFT</v>
      </c>
      <c r="J1099" s="44" t="str">
        <f t="shared" si="156"/>
        <v>2528S0250C</v>
      </c>
      <c r="K1099" s="59" t="str">
        <f t="shared" si="157"/>
        <v>PD26010974</v>
      </c>
      <c r="L1099" s="46" t="str" cm="1">
        <f t="array" ref="L1099">IFERROR(_xlfn.IFS(
    LEN($A1099)-LEN(SUBSTITUTE($A1099,"|",""))=12, RIGHT(A1099, LEN(A1099)-FIND("~", SUBSTITUTE(A1099,"|","~", LEN(A1099)-LEN(SUBSTITUTE(A1099,"|",""))))),
    LEN($A1099)-LEN(SUBSTITUTE($A1099,"|",""))=13, MID($A1099, FIND("~", SUBSTITUTE($A1099,"|","~", 11))+1, FIND("~", SUBSTITUTE($A1099,"|","~", 12))-FIND("~", SUBSTITUTE($A1099,"|","~", 11))-1),
    LEN($A1099)-LEN(SUBSTITUTE($A1099,"|",""))=14, MID($A1099, FIND("~", SUBSTITUTE($A1099,"|","~", 11))+1, FIND("~", SUBSTITUTE($A1099,"|","~", 12))-FIND("~", SUBSTITUTE($A1099,"|","~", 11))-1)
), "")</f>
        <v>E484056</v>
      </c>
      <c r="M1099" s="72" t="str">
        <f t="shared" si="141"/>
        <v>SB010126/1/26</v>
      </c>
      <c r="N1099" s="46" t="str">
        <f t="shared" si="149"/>
        <v/>
      </c>
      <c r="O1099" s="60"/>
      <c r="P1099" s="60"/>
      <c r="Q1099" s="48">
        <v>2073</v>
      </c>
      <c r="R1099" s="48">
        <v>881</v>
      </c>
      <c r="S1099" s="48"/>
      <c r="T1099" s="48"/>
      <c r="U1099" s="49"/>
      <c r="V1099" s="49"/>
      <c r="W1099" s="50"/>
      <c r="X1099" s="51">
        <f>IF(A1099="", "", IF(COUNTIFS(C$3:C1098, C1099, D$3:D1098, D1099, G$3:G1098, G1099) &gt; 0, "", "11:00"-AW1099))</f>
        <v>0.33333333333333326</v>
      </c>
      <c r="Y1099" s="52" t="str">
        <f t="shared" si="155"/>
        <v>1:0</v>
      </c>
      <c r="Z1099" s="53"/>
      <c r="AA1099" s="54"/>
      <c r="AB1099" s="53"/>
      <c r="AC1099" s="54"/>
      <c r="AD1099" s="53"/>
      <c r="AE1099" s="54"/>
      <c r="AF1099" s="53"/>
      <c r="AG1099" s="54"/>
      <c r="AH1099" s="55">
        <v>4.1666666666666699E-2</v>
      </c>
      <c r="AI1099" s="53"/>
      <c r="AJ1099" s="54"/>
      <c r="AK1099" s="53"/>
      <c r="AL1099" s="54"/>
      <c r="AM1099" s="53"/>
      <c r="AN1099" s="54"/>
      <c r="AO1099" s="53"/>
      <c r="AP1099" s="54"/>
      <c r="AQ1099" s="53">
        <v>4.1666666666666664E-2</v>
      </c>
      <c r="AR1099" s="54" t="s">
        <v>37</v>
      </c>
      <c r="AS1099" s="53">
        <v>4.1666666666666664E-2</v>
      </c>
      <c r="AT1099" s="54" t="s">
        <v>37</v>
      </c>
      <c r="AU1099" s="53">
        <v>4.1666666666666699E-2</v>
      </c>
      <c r="AV1099" s="54" t="s">
        <v>37</v>
      </c>
      <c r="AW1099" s="57">
        <f t="shared" si="154"/>
        <v>0.12500000000000003</v>
      </c>
      <c r="AX1099" s="58" t="s">
        <v>380</v>
      </c>
    </row>
    <row r="1100" spans="1:50" ht="21" customHeight="1">
      <c r="A1100" s="66" t="s">
        <v>966</v>
      </c>
      <c r="B1100" s="39">
        <f t="shared" si="159"/>
        <v>1096</v>
      </c>
      <c r="C1100" s="40">
        <v>46046</v>
      </c>
      <c r="D1100" s="40" t="s">
        <v>32</v>
      </c>
      <c r="E1100" s="40" t="s">
        <v>33</v>
      </c>
      <c r="F1100" s="41">
        <v>191</v>
      </c>
      <c r="G1100" s="42" t="s">
        <v>108</v>
      </c>
      <c r="H1100" s="43" t="str">
        <f>IFERROR(VLOOKUP($J1100,'[9]FROM (3)'!$E$4:$F$230,2,FALSE),"")</f>
        <v>SIAM NSK</v>
      </c>
      <c r="I1100" s="44" t="str">
        <f t="shared" si="158"/>
        <v>STG.SHAFT</v>
      </c>
      <c r="J1100" s="44" t="str">
        <f t="shared" si="156"/>
        <v>2528S0250C</v>
      </c>
      <c r="K1100" s="59" t="str">
        <f t="shared" si="157"/>
        <v>PD26010974</v>
      </c>
      <c r="L1100" s="46" t="str" cm="1">
        <f t="array" ref="L1100">IFERROR(_xlfn.IFS(
    LEN($A1100)-LEN(SUBSTITUTE($A1100,"|",""))=12, RIGHT(A1100, LEN(A1100)-FIND("~", SUBSTITUTE(A1100,"|","~", LEN(A1100)-LEN(SUBSTITUTE(A1100,"|",""))))),
    LEN($A1100)-LEN(SUBSTITUTE($A1100,"|",""))=13, MID($A1100, FIND("~", SUBSTITUTE($A1100,"|","~", 11))+1, FIND("~", SUBSTITUTE($A1100,"|","~", 12))-FIND("~", SUBSTITUTE($A1100,"|","~", 11))-1),
    LEN($A1100)-LEN(SUBSTITUTE($A1100,"|",""))=14, MID($A1100, FIND("~", SUBSTITUTE($A1100,"|","~", 11))+1, FIND("~", SUBSTITUTE($A1100,"|","~", 12))-FIND("~", SUBSTITUTE($A1100,"|","~", 11))-1)
), "")</f>
        <v>E484056</v>
      </c>
      <c r="M1100" s="72" t="str">
        <f t="shared" si="141"/>
        <v>SB010126/2/26</v>
      </c>
      <c r="N1100" s="46" t="str">
        <f t="shared" si="149"/>
        <v/>
      </c>
      <c r="O1100" s="60">
        <v>85</v>
      </c>
      <c r="P1100" s="60">
        <v>1038</v>
      </c>
      <c r="Q1100" s="48">
        <v>1182</v>
      </c>
      <c r="R1100" s="48">
        <v>502</v>
      </c>
      <c r="S1100" s="48"/>
      <c r="T1100" s="48"/>
      <c r="U1100" s="49"/>
      <c r="V1100" s="49"/>
      <c r="W1100" s="50"/>
      <c r="X1100" s="51" t="str">
        <f>IF(A1100="", "", IF(COUNTIFS(C$3:C1099, C1100, D$3:D1099, D1100, G$3:G1099, G1100) &gt; 0, "", "11:00"-AW1100))</f>
        <v/>
      </c>
      <c r="Y1100" s="52" t="str">
        <f t="shared" si="155"/>
        <v/>
      </c>
      <c r="Z1100" s="53"/>
      <c r="AA1100" s="54"/>
      <c r="AB1100" s="53"/>
      <c r="AC1100" s="54"/>
      <c r="AD1100" s="53"/>
      <c r="AE1100" s="54"/>
      <c r="AF1100" s="53"/>
      <c r="AG1100" s="54"/>
      <c r="AH1100" s="55">
        <v>4.1666666666666699E-2</v>
      </c>
      <c r="AI1100" s="53"/>
      <c r="AJ1100" s="54"/>
      <c r="AK1100" s="53"/>
      <c r="AL1100" s="54"/>
      <c r="AM1100" s="53"/>
      <c r="AN1100" s="54"/>
      <c r="AO1100" s="53"/>
      <c r="AP1100" s="54"/>
      <c r="AQ1100" s="53">
        <v>4.1666666666666664E-2</v>
      </c>
      <c r="AR1100" s="54" t="s">
        <v>37</v>
      </c>
      <c r="AS1100" s="53">
        <v>4.1666666666666664E-2</v>
      </c>
      <c r="AT1100" s="54" t="s">
        <v>37</v>
      </c>
      <c r="AU1100" s="53">
        <v>4.1666666666666699E-2</v>
      </c>
      <c r="AV1100" s="54" t="s">
        <v>37</v>
      </c>
      <c r="AW1100" s="57">
        <f t="shared" si="154"/>
        <v>0.12500000000000003</v>
      </c>
      <c r="AX1100" s="58" t="s">
        <v>380</v>
      </c>
    </row>
    <row r="1101" spans="1:50" ht="21" customHeight="1">
      <c r="A1101" s="66" t="s">
        <v>949</v>
      </c>
      <c r="B1101" s="39">
        <f t="shared" si="159"/>
        <v>1097</v>
      </c>
      <c r="C1101" s="40">
        <v>46046</v>
      </c>
      <c r="D1101" s="40" t="s">
        <v>32</v>
      </c>
      <c r="E1101" s="40" t="s">
        <v>33</v>
      </c>
      <c r="F1101" s="41">
        <v>375</v>
      </c>
      <c r="G1101" s="42" t="s">
        <v>172</v>
      </c>
      <c r="H1101" s="43" t="str">
        <f>IFERROR(VLOOKUP($J1101,'[9]FROM (3)'!$E$4:$F$230,2,FALSE),"")</f>
        <v>ATAC</v>
      </c>
      <c r="I1101" s="44" t="str">
        <f t="shared" si="158"/>
        <v>SEAT,WATER PUMP PULLEY</v>
      </c>
      <c r="J1101" s="44" t="str">
        <f t="shared" si="156"/>
        <v>16171-05030</v>
      </c>
      <c r="K1101" s="59" t="str">
        <f t="shared" si="157"/>
        <v>PD26010817</v>
      </c>
      <c r="L1101" s="46" t="str" cm="1">
        <f t="array" ref="L1101">IFERROR(_xlfn.IFS(
    LEN($A1101)-LEN(SUBSTITUTE($A1101,"|",""))=12, RIGHT(A1101, LEN(A1101)-FIND("~", SUBSTITUTE(A1101,"|","~", LEN(A1101)-LEN(SUBSTITUTE(A1101,"|",""))))),
    LEN($A1101)-LEN(SUBSTITUTE($A1101,"|",""))=13, MID($A1101, FIND("~", SUBSTITUTE($A1101,"|","~", 11))+1, FIND("~", SUBSTITUTE($A1101,"|","~", 12))-FIND("~", SUBSTITUTE($A1101,"|","~", 11))-1),
    LEN($A1101)-LEN(SUBSTITUTE($A1101,"|",""))=14, MID($A1101, FIND("~", SUBSTITUTE($A1101,"|","~", 11))+1, FIND("~", SUBSTITUTE($A1101,"|","~", 12))-FIND("~", SUBSTITUTE($A1101,"|","~", 11))-1)
), "")</f>
        <v>665900</v>
      </c>
      <c r="M1101" s="72" t="str">
        <f t="shared" si="141"/>
        <v>SB010101/6/26</v>
      </c>
      <c r="N1101" s="46" t="str">
        <f t="shared" si="149"/>
        <v/>
      </c>
      <c r="O1101" s="60" t="s">
        <v>35</v>
      </c>
      <c r="P1101" s="60" t="s">
        <v>35</v>
      </c>
      <c r="Q1101" s="48">
        <v>2235</v>
      </c>
      <c r="R1101" s="48">
        <v>838</v>
      </c>
      <c r="S1101" s="48"/>
      <c r="T1101" s="48"/>
      <c r="U1101" s="49"/>
      <c r="V1101" s="49"/>
      <c r="W1101" s="50"/>
      <c r="X1101" s="51">
        <f>IF(A1101="", "", IF(COUNTIFS(C$3:C1100, C1101, D$3:D1100, D1101, G$3:G1100, G1101) &gt; 0, "", "11:00"-AW1101))</f>
        <v>0.33333333333333326</v>
      </c>
      <c r="Y1101" s="52" t="str">
        <f t="shared" si="155"/>
        <v>1:0</v>
      </c>
      <c r="Z1101" s="53"/>
      <c r="AA1101" s="54"/>
      <c r="AB1101" s="53"/>
      <c r="AC1101" s="54"/>
      <c r="AD1101" s="53"/>
      <c r="AE1101" s="54"/>
      <c r="AF1101" s="53"/>
      <c r="AG1101" s="54"/>
      <c r="AH1101" s="55">
        <v>4.1666666666666699E-2</v>
      </c>
      <c r="AI1101" s="53"/>
      <c r="AJ1101" s="54"/>
      <c r="AK1101" s="53"/>
      <c r="AL1101" s="54"/>
      <c r="AM1101" s="53"/>
      <c r="AN1101" s="54"/>
      <c r="AO1101" s="53"/>
      <c r="AP1101" s="54"/>
      <c r="AQ1101" s="53">
        <v>4.1666666666666664E-2</v>
      </c>
      <c r="AR1101" s="54" t="s">
        <v>37</v>
      </c>
      <c r="AS1101" s="53">
        <v>4.1666666666666664E-2</v>
      </c>
      <c r="AT1101" s="54" t="s">
        <v>37</v>
      </c>
      <c r="AU1101" s="53">
        <v>4.1666666666666699E-2</v>
      </c>
      <c r="AV1101" s="54" t="s">
        <v>37</v>
      </c>
      <c r="AW1101" s="57">
        <f t="shared" si="154"/>
        <v>0.12500000000000003</v>
      </c>
      <c r="AX1101" s="58" t="s">
        <v>380</v>
      </c>
    </row>
    <row r="1102" spans="1:50" ht="21" customHeight="1">
      <c r="A1102" s="66" t="s">
        <v>950</v>
      </c>
      <c r="B1102" s="39">
        <f t="shared" si="159"/>
        <v>1098</v>
      </c>
      <c r="C1102" s="40">
        <v>46046</v>
      </c>
      <c r="D1102" s="40" t="s">
        <v>32</v>
      </c>
      <c r="E1102" s="40" t="s">
        <v>33</v>
      </c>
      <c r="F1102" s="41">
        <v>270</v>
      </c>
      <c r="G1102" s="42" t="s">
        <v>46</v>
      </c>
      <c r="H1102" s="43" t="str">
        <f>IFERROR(VLOOKUP($J1102,'[9]FROM (3)'!$E$4:$F$230,2,FALSE),"")</f>
        <v>M&amp;T</v>
      </c>
      <c r="I1102" s="44" t="str">
        <f t="shared" si="158"/>
        <v>LEVER SHIFT NO.2</v>
      </c>
      <c r="J1102" s="44" t="str">
        <f t="shared" si="156"/>
        <v>MAOK-54310</v>
      </c>
      <c r="K1102" s="59" t="str">
        <f t="shared" si="157"/>
        <v>PD26011103</v>
      </c>
      <c r="L1102" s="46" t="str" cm="1">
        <f t="array" ref="L1102">IFERROR(_xlfn.IFS(
    LEN($A1102)-LEN(SUBSTITUTE($A1102,"|",""))=12, RIGHT(A1102, LEN(A1102)-FIND("~", SUBSTITUTE(A1102,"|","~", LEN(A1102)-LEN(SUBSTITUTE(A1102,"|",""))))),
    LEN($A1102)-LEN(SUBSTITUTE($A1102,"|",""))=13, MID($A1102, FIND("~", SUBSTITUTE($A1102,"|","~", 11))+1, FIND("~", SUBSTITUTE($A1102,"|","~", 12))-FIND("~", SUBSTITUTE($A1102,"|","~", 11))-1),
    LEN($A1102)-LEN(SUBSTITUTE($A1102,"|",""))=14, MID($A1102, FIND("~", SUBSTITUTE($A1102,"|","~", 11))+1, FIND("~", SUBSTITUTE($A1102,"|","~", 12))-FIND("~", SUBSTITUTE($A1102,"|","~", 11))-1)
), "")</f>
        <v>E586918</v>
      </c>
      <c r="M1102" s="72" t="str">
        <f t="shared" si="141"/>
        <v>SB010151/2/26</v>
      </c>
      <c r="N1102" s="46" t="str">
        <f t="shared" si="149"/>
        <v/>
      </c>
      <c r="O1102" s="60" t="s">
        <v>35</v>
      </c>
      <c r="P1102" s="60" t="s">
        <v>35</v>
      </c>
      <c r="Q1102" s="48">
        <v>2612</v>
      </c>
      <c r="R1102" s="48">
        <v>705</v>
      </c>
      <c r="S1102" s="48"/>
      <c r="T1102" s="48"/>
      <c r="U1102" s="49">
        <v>31</v>
      </c>
      <c r="V1102" s="49">
        <v>48</v>
      </c>
      <c r="W1102" s="50"/>
      <c r="X1102" s="51">
        <f>IF(A1102="", "", IF(COUNTIFS(C$3:C1101, C1102, D$3:D1101, D1102, G$3:G1101, G1102) &gt; 0, "", "11:00"-AW1102))</f>
        <v>0.27777777777777773</v>
      </c>
      <c r="Y1102" s="52" t="str">
        <f t="shared" si="155"/>
        <v>1:0</v>
      </c>
      <c r="Z1102" s="53"/>
      <c r="AA1102" s="54"/>
      <c r="AB1102" s="53"/>
      <c r="AC1102" s="54"/>
      <c r="AD1102" s="53"/>
      <c r="AE1102" s="54"/>
      <c r="AF1102" s="53"/>
      <c r="AG1102" s="54"/>
      <c r="AH1102" s="55">
        <v>4.1666666666666699E-2</v>
      </c>
      <c r="AI1102" s="53"/>
      <c r="AJ1102" s="54"/>
      <c r="AK1102" s="53"/>
      <c r="AL1102" s="54"/>
      <c r="AM1102" s="53">
        <v>1.3888888888888888E-2</v>
      </c>
      <c r="AN1102" s="54" t="s">
        <v>129</v>
      </c>
      <c r="AO1102" s="53">
        <v>4.1666666666666664E-2</v>
      </c>
      <c r="AP1102" s="54" t="s">
        <v>67</v>
      </c>
      <c r="AQ1102" s="53">
        <v>4.1666666666666664E-2</v>
      </c>
      <c r="AR1102" s="54" t="s">
        <v>37</v>
      </c>
      <c r="AS1102" s="53">
        <v>4.1666666666666664E-2</v>
      </c>
      <c r="AT1102" s="54" t="s">
        <v>37</v>
      </c>
      <c r="AU1102" s="53">
        <v>4.1666666666666699E-2</v>
      </c>
      <c r="AV1102" s="54" t="s">
        <v>37</v>
      </c>
      <c r="AW1102" s="57">
        <f t="shared" si="154"/>
        <v>0.18055555555555558</v>
      </c>
      <c r="AX1102" s="58" t="s">
        <v>380</v>
      </c>
    </row>
    <row r="1103" spans="1:50" ht="21" customHeight="1">
      <c r="A1103" s="66" t="s">
        <v>959</v>
      </c>
      <c r="B1103" s="39">
        <f t="shared" si="159"/>
        <v>1099</v>
      </c>
      <c r="C1103" s="40">
        <v>46046</v>
      </c>
      <c r="D1103" s="40" t="s">
        <v>32</v>
      </c>
      <c r="E1103" s="40" t="s">
        <v>33</v>
      </c>
      <c r="F1103" s="41">
        <v>597.4</v>
      </c>
      <c r="G1103" s="42" t="s">
        <v>85</v>
      </c>
      <c r="H1103" s="43" t="str">
        <f>IFERROR(VLOOKUP($J1103,'[9]FROM (3)'!$E$4:$F$230,2,FALSE),"")</f>
        <v>JTCS</v>
      </c>
      <c r="I1103" s="44" t="str">
        <f t="shared" si="158"/>
        <v>Rack, MS</v>
      </c>
      <c r="J1103" s="44" t="str">
        <f t="shared" si="156"/>
        <v>JGC10-003770-40-0</v>
      </c>
      <c r="K1103" s="59" t="str">
        <f t="shared" si="157"/>
        <v>PD26010996</v>
      </c>
      <c r="L1103" s="46" t="str" cm="1">
        <f t="array" ref="L1103">IFERROR(_xlfn.IFS(
    LEN($A1103)-LEN(SUBSTITUTE($A1103,"|",""))=12, RIGHT(A1103, LEN(A1103)-FIND("~", SUBSTITUTE(A1103,"|","~", LEN(A1103)-LEN(SUBSTITUTE(A1103,"|",""))))),
    LEN($A1103)-LEN(SUBSTITUTE($A1103,"|",""))=13, MID($A1103, FIND("~", SUBSTITUTE($A1103,"|","~", 11))+1, FIND("~", SUBSTITUTE($A1103,"|","~", 12))-FIND("~", SUBSTITUTE($A1103,"|","~", 11))-1),
    LEN($A1103)-LEN(SUBSTITUTE($A1103,"|",""))=14, MID($A1103, FIND("~", SUBSTITUTE($A1103,"|","~", 11))+1, FIND("~", SUBSTITUTE($A1103,"|","~", 12))-FIND("~", SUBSTITUTE($A1103,"|","~", 11))-1)
), "")</f>
        <v>E586613</v>
      </c>
      <c r="M1103" s="72" t="str">
        <f t="shared" si="141"/>
        <v>SB010123/4/26</v>
      </c>
      <c r="N1103" s="46" t="str">
        <f t="shared" si="149"/>
        <v/>
      </c>
      <c r="O1103" s="60" t="s">
        <v>35</v>
      </c>
      <c r="P1103" s="60" t="s">
        <v>35</v>
      </c>
      <c r="Q1103" s="48">
        <v>358</v>
      </c>
      <c r="R1103" s="48">
        <v>759</v>
      </c>
      <c r="S1103" s="48">
        <v>7</v>
      </c>
      <c r="T1103" s="48" t="s">
        <v>167</v>
      </c>
      <c r="U1103" s="49">
        <v>147</v>
      </c>
      <c r="V1103" s="49">
        <v>10</v>
      </c>
      <c r="W1103" s="50"/>
      <c r="X1103" s="51">
        <f>IF(A1103="", "", IF(COUNTIFS(C$3:C1102, C1103, D$3:D1102, D1103, G$3:G1102, G1103) &gt; 0, "", "11:00"-AW1103))</f>
        <v>0.1736111111111111</v>
      </c>
      <c r="Y1103" s="52" t="str">
        <f t="shared" si="155"/>
        <v>1:0</v>
      </c>
      <c r="Z1103" s="53">
        <v>4.1666666666666664E-2</v>
      </c>
      <c r="AA1103" s="54" t="s">
        <v>90</v>
      </c>
      <c r="AB1103" s="53">
        <v>4.1666666666666664E-2</v>
      </c>
      <c r="AC1103" s="54" t="s">
        <v>90</v>
      </c>
      <c r="AD1103" s="53">
        <v>3.4722222222222224E-2</v>
      </c>
      <c r="AE1103" s="54" t="s">
        <v>90</v>
      </c>
      <c r="AF1103" s="53">
        <v>4.1666666666666664E-2</v>
      </c>
      <c r="AG1103" s="54" t="s">
        <v>90</v>
      </c>
      <c r="AH1103" s="55">
        <v>4.1666666666666699E-2</v>
      </c>
      <c r="AI1103" s="53"/>
      <c r="AJ1103" s="54"/>
      <c r="AK1103" s="53"/>
      <c r="AL1103" s="54"/>
      <c r="AM1103" s="53"/>
      <c r="AN1103" s="54"/>
      <c r="AO1103" s="53"/>
      <c r="AP1103" s="54"/>
      <c r="AQ1103" s="53">
        <v>4.1666666666666664E-2</v>
      </c>
      <c r="AR1103" s="54" t="s">
        <v>37</v>
      </c>
      <c r="AS1103" s="53">
        <v>4.1666666666666664E-2</v>
      </c>
      <c r="AT1103" s="54" t="s">
        <v>37</v>
      </c>
      <c r="AU1103" s="53">
        <v>4.1666666666666699E-2</v>
      </c>
      <c r="AV1103" s="54" t="s">
        <v>37</v>
      </c>
      <c r="AW1103" s="57">
        <f t="shared" si="154"/>
        <v>0.28472222222222221</v>
      </c>
      <c r="AX1103" s="58" t="s">
        <v>117</v>
      </c>
    </row>
    <row r="1104" spans="1:50" ht="21" customHeight="1">
      <c r="A1104" s="66" t="s">
        <v>967</v>
      </c>
      <c r="B1104" s="39">
        <f t="shared" si="159"/>
        <v>1100</v>
      </c>
      <c r="C1104" s="40">
        <v>46046</v>
      </c>
      <c r="D1104" s="40" t="s">
        <v>32</v>
      </c>
      <c r="E1104" s="40" t="s">
        <v>33</v>
      </c>
      <c r="F1104" s="41">
        <v>597.4</v>
      </c>
      <c r="G1104" s="42" t="s">
        <v>85</v>
      </c>
      <c r="H1104" s="43" t="str">
        <f>IFERROR(VLOOKUP($J1104,'[9]FROM (3)'!$E$4:$F$230,2,FALSE),"")</f>
        <v>JTCS</v>
      </c>
      <c r="I1104" s="44" t="str">
        <f t="shared" si="158"/>
        <v>Rack, MS</v>
      </c>
      <c r="J1104" s="44" t="str">
        <f t="shared" si="156"/>
        <v>JGC10-003770-40-0</v>
      </c>
      <c r="K1104" s="59" t="str">
        <f t="shared" si="157"/>
        <v>PD26010995</v>
      </c>
      <c r="L1104" s="46" t="str" cm="1">
        <f t="array" ref="L1104">IFERROR(_xlfn.IFS(
    LEN($A1104)-LEN(SUBSTITUTE($A1104,"|",""))=12, RIGHT(A1104, LEN(A1104)-FIND("~", SUBSTITUTE(A1104,"|","~", LEN(A1104)-LEN(SUBSTITUTE(A1104,"|",""))))),
    LEN($A1104)-LEN(SUBSTITUTE($A1104,"|",""))=13, MID($A1104, FIND("~", SUBSTITUTE($A1104,"|","~", 11))+1, FIND("~", SUBSTITUTE($A1104,"|","~", 12))-FIND("~", SUBSTITUTE($A1104,"|","~", 11))-1),
    LEN($A1104)-LEN(SUBSTITUTE($A1104,"|",""))=14, MID($A1104, FIND("~", SUBSTITUTE($A1104,"|","~", 11))+1, FIND("~", SUBSTITUTE($A1104,"|","~", 12))-FIND("~", SUBSTITUTE($A1104,"|","~", 11))-1)
), "")</f>
        <v>E586613</v>
      </c>
      <c r="M1104" s="72" t="str">
        <f t="shared" si="141"/>
        <v>SB010123/3/26</v>
      </c>
      <c r="N1104" s="46" t="str">
        <f t="shared" si="149"/>
        <v/>
      </c>
      <c r="O1104" s="60">
        <v>80</v>
      </c>
      <c r="P1104" s="60">
        <v>900</v>
      </c>
      <c r="Q1104" s="48">
        <v>246</v>
      </c>
      <c r="R1104" s="48">
        <v>522</v>
      </c>
      <c r="S1104" s="48"/>
      <c r="T1104" s="48"/>
      <c r="U1104" s="49"/>
      <c r="V1104" s="49"/>
      <c r="W1104" s="50"/>
      <c r="X1104" s="51" t="str">
        <f>IF(A1104="", "", IF(COUNTIFS(C$3:C1103, C1104, D$3:D1103, D1104, G$3:G1103, G1104) &gt; 0, "", "11:00"-AW1104))</f>
        <v/>
      </c>
      <c r="Y1104" s="52" t="str">
        <f t="shared" si="155"/>
        <v/>
      </c>
      <c r="Z1104" s="53"/>
      <c r="AA1104" s="54"/>
      <c r="AB1104" s="53"/>
      <c r="AC1104" s="54"/>
      <c r="AD1104" s="53"/>
      <c r="AE1104" s="54"/>
      <c r="AF1104" s="53"/>
      <c r="AG1104" s="54"/>
      <c r="AH1104" s="55">
        <v>4.1666666666666699E-2</v>
      </c>
      <c r="AI1104" s="53"/>
      <c r="AJ1104" s="54"/>
      <c r="AK1104" s="53"/>
      <c r="AL1104" s="54"/>
      <c r="AM1104" s="53"/>
      <c r="AN1104" s="54"/>
      <c r="AO1104" s="53"/>
      <c r="AP1104" s="54"/>
      <c r="AQ1104" s="53">
        <v>4.1666666666666664E-2</v>
      </c>
      <c r="AR1104" s="54" t="s">
        <v>37</v>
      </c>
      <c r="AS1104" s="53">
        <v>4.1666666666666664E-2</v>
      </c>
      <c r="AT1104" s="54" t="s">
        <v>37</v>
      </c>
      <c r="AU1104" s="53">
        <v>4.1666666666666699E-2</v>
      </c>
      <c r="AV1104" s="54" t="s">
        <v>37</v>
      </c>
      <c r="AW1104" s="57">
        <f t="shared" si="154"/>
        <v>0.12500000000000003</v>
      </c>
      <c r="AX1104" s="58" t="s">
        <v>117</v>
      </c>
    </row>
    <row r="1105" spans="1:50" ht="21" customHeight="1">
      <c r="A1105" s="66" t="s">
        <v>968</v>
      </c>
      <c r="B1105" s="39">
        <f t="shared" si="159"/>
        <v>1101</v>
      </c>
      <c r="C1105" s="40">
        <v>46046</v>
      </c>
      <c r="D1105" s="40" t="s">
        <v>32</v>
      </c>
      <c r="E1105" s="40" t="s">
        <v>33</v>
      </c>
      <c r="F1105" s="41">
        <v>23.4</v>
      </c>
      <c r="G1105" s="42" t="s">
        <v>34</v>
      </c>
      <c r="H1105" s="43" t="str">
        <f>IFERROR(VLOOKUP($J1105,'[9]FROM (3)'!$E$4:$F$230,2,FALSE),"")</f>
        <v/>
      </c>
      <c r="I1105" s="44" t="str">
        <f t="shared" si="158"/>
        <v>FLANGE-13 SLUG</v>
      </c>
      <c r="J1105" s="44" t="str">
        <f t="shared" si="156"/>
        <v>ZZ2B7401TX1</v>
      </c>
      <c r="K1105" s="59" t="str">
        <f t="shared" si="157"/>
        <v>PD26010928</v>
      </c>
      <c r="L1105" s="46" t="str" cm="1">
        <f t="array" ref="L1105">IFERROR(_xlfn.IFS(
    LEN($A1105)-LEN(SUBSTITUTE($A1105,"|",""))=12, RIGHT(A1105, LEN(A1105)-FIND("~", SUBSTITUTE(A1105,"|","~", LEN(A1105)-LEN(SUBSTITUTE(A1105,"|",""))))),
    LEN($A1105)-LEN(SUBSTITUTE($A1105,"|",""))=13, MID($A1105, FIND("~", SUBSTITUTE($A1105,"|","~", 11))+1, FIND("~", SUBSTITUTE($A1105,"|","~", 12))-FIND("~", SUBSTITUTE($A1105,"|","~", 11))-1),
    LEN($A1105)-LEN(SUBSTITUTE($A1105,"|",""))=14, MID($A1105, FIND("~", SUBSTITUTE($A1105,"|","~", 11))+1, FIND("~", SUBSTITUTE($A1105,"|","~", 12))-FIND("~", SUBSTITUTE($A1105,"|","~", 11))-1)
), "")</f>
        <v>1-79662</v>
      </c>
      <c r="M1105" s="72" t="str">
        <f t="shared" si="141"/>
        <v>2B2600188</v>
      </c>
      <c r="N1105" s="46" t="str">
        <f t="shared" si="149"/>
        <v/>
      </c>
      <c r="O1105" s="60">
        <v>36</v>
      </c>
      <c r="P1105" s="60">
        <v>1955</v>
      </c>
      <c r="Q1105" s="48">
        <v>2500</v>
      </c>
      <c r="R1105" s="48">
        <v>577</v>
      </c>
      <c r="S1105" s="48"/>
      <c r="T1105" s="48"/>
      <c r="U1105" s="49"/>
      <c r="V1105" s="49"/>
      <c r="W1105" s="50"/>
      <c r="X1105" s="51">
        <f>IF(A1105="", "", IF(COUNTIFS(C$3:C1104, C1105, D$3:D1104, D1105, G$3:G1104, G1105) &gt; 0, "", "11:00"-AW1105))</f>
        <v>0.24999999999999994</v>
      </c>
      <c r="Y1105" s="52" t="str">
        <f t="shared" si="155"/>
        <v>1:0</v>
      </c>
      <c r="Z1105" s="53">
        <v>4.1666666666666664E-2</v>
      </c>
      <c r="AA1105" s="54" t="s">
        <v>129</v>
      </c>
      <c r="AB1105" s="53">
        <v>4.1666666666666664E-2</v>
      </c>
      <c r="AC1105" s="54" t="s">
        <v>237</v>
      </c>
      <c r="AD1105" s="53"/>
      <c r="AE1105" s="54"/>
      <c r="AF1105" s="53"/>
      <c r="AG1105" s="54"/>
      <c r="AH1105" s="55">
        <v>4.1666666666666699E-2</v>
      </c>
      <c r="AI1105" s="53"/>
      <c r="AJ1105" s="54"/>
      <c r="AK1105" s="53"/>
      <c r="AL1105" s="54"/>
      <c r="AM1105" s="53"/>
      <c r="AN1105" s="54"/>
      <c r="AO1105" s="53"/>
      <c r="AP1105" s="54"/>
      <c r="AQ1105" s="53">
        <v>4.1666666666666664E-2</v>
      </c>
      <c r="AR1105" s="54" t="s">
        <v>37</v>
      </c>
      <c r="AS1105" s="53">
        <v>4.1666666666666664E-2</v>
      </c>
      <c r="AT1105" s="54" t="s">
        <v>37</v>
      </c>
      <c r="AU1105" s="53">
        <v>4.1666666666666699E-2</v>
      </c>
      <c r="AV1105" s="54" t="s">
        <v>37</v>
      </c>
      <c r="AW1105" s="57">
        <f t="shared" si="154"/>
        <v>0.20833333333333337</v>
      </c>
      <c r="AX1105" s="58" t="s">
        <v>48</v>
      </c>
    </row>
    <row r="1106" spans="1:50" ht="21" customHeight="1">
      <c r="A1106" s="66" t="s">
        <v>969</v>
      </c>
      <c r="B1106" s="39">
        <f t="shared" si="159"/>
        <v>1102</v>
      </c>
      <c r="C1106" s="40">
        <v>46046</v>
      </c>
      <c r="D1106" s="40" t="s">
        <v>32</v>
      </c>
      <c r="E1106" s="40" t="s">
        <v>33</v>
      </c>
      <c r="F1106" s="41">
        <v>133.80000000000001</v>
      </c>
      <c r="G1106" s="42" t="s">
        <v>41</v>
      </c>
      <c r="H1106" s="43" t="str">
        <f>IFERROR(VLOOKUP($J1106,'[9]FROM (3)'!$E$4:$F$230,2,FALSE),"")</f>
        <v xml:space="preserve">DNTH </v>
      </c>
      <c r="I1106" s="44" t="str">
        <f t="shared" si="158"/>
        <v>Barrel</v>
      </c>
      <c r="J1106" s="44" t="str">
        <f t="shared" si="156"/>
        <v>TG028986-0030</v>
      </c>
      <c r="K1106" s="59" t="str">
        <f t="shared" si="157"/>
        <v>PD25121291</v>
      </c>
      <c r="L1106" s="46" t="str" cm="1">
        <f t="array" ref="L1106">IFERROR(_xlfn.IFS(
    LEN($A1106)-LEN(SUBSTITUTE($A1106,"|",""))=12, RIGHT(A1106, LEN(A1106)-FIND("~", SUBSTITUTE(A1106,"|","~", LEN(A1106)-LEN(SUBSTITUTE(A1106,"|",""))))),
    LEN($A1106)-LEN(SUBSTITUTE($A1106,"|",""))=13, MID($A1106, FIND("~", SUBSTITUTE($A1106,"|","~", 11))+1, FIND("~", SUBSTITUTE($A1106,"|","~", 12))-FIND("~", SUBSTITUTE($A1106,"|","~", 11))-1),
    LEN($A1106)-LEN(SUBSTITUTE($A1106,"|",""))=14, MID($A1106, FIND("~", SUBSTITUTE($A1106,"|","~", 11))+1, FIND("~", SUBSTITUTE($A1106,"|","~", 12))-FIND("~", SUBSTITUTE($A1106,"|","~", 11))-1)
), "")</f>
        <v>E586056</v>
      </c>
      <c r="M1106" s="72" t="str">
        <f t="shared" si="141"/>
        <v>SB120087/3/25</v>
      </c>
      <c r="N1106" s="46" t="str">
        <f t="shared" si="149"/>
        <v/>
      </c>
      <c r="O1106" s="60">
        <v>47</v>
      </c>
      <c r="P1106" s="60">
        <v>920</v>
      </c>
      <c r="Q1106" s="48">
        <v>2771</v>
      </c>
      <c r="R1106" s="48">
        <v>371</v>
      </c>
      <c r="S1106" s="48"/>
      <c r="T1106" s="48"/>
      <c r="U1106" s="49"/>
      <c r="V1106" s="49"/>
      <c r="W1106" s="50"/>
      <c r="X1106" s="51">
        <f>IF(A1106="", "", IF(COUNTIFS(C$3:C1105, C1106, D$3:D1105, D1106, G$3:G1105, G1106) &gt; 0, "", "11:00"-AW1106))</f>
        <v>0.31249999999999994</v>
      </c>
      <c r="Y1106" s="52" t="str">
        <f t="shared" si="155"/>
        <v>1:0</v>
      </c>
      <c r="Z1106" s="53">
        <v>2.0833333333333332E-2</v>
      </c>
      <c r="AA1106" s="54" t="s">
        <v>67</v>
      </c>
      <c r="AB1106" s="53"/>
      <c r="AC1106" s="54"/>
      <c r="AD1106" s="53"/>
      <c r="AE1106" s="54"/>
      <c r="AF1106" s="53"/>
      <c r="AG1106" s="54"/>
      <c r="AH1106" s="55">
        <v>4.1666666666666699E-2</v>
      </c>
      <c r="AI1106" s="53"/>
      <c r="AJ1106" s="54"/>
      <c r="AK1106" s="53"/>
      <c r="AL1106" s="54"/>
      <c r="AM1106" s="53"/>
      <c r="AN1106" s="54"/>
      <c r="AO1106" s="53"/>
      <c r="AP1106" s="54"/>
      <c r="AQ1106" s="53">
        <v>4.1666666666666664E-2</v>
      </c>
      <c r="AR1106" s="54" t="s">
        <v>37</v>
      </c>
      <c r="AS1106" s="53">
        <v>4.1666666666666664E-2</v>
      </c>
      <c r="AT1106" s="54" t="s">
        <v>37</v>
      </c>
      <c r="AU1106" s="53">
        <v>4.1666666666666699E-2</v>
      </c>
      <c r="AV1106" s="54" t="s">
        <v>37</v>
      </c>
      <c r="AW1106" s="57">
        <f t="shared" si="154"/>
        <v>0.14583333333333337</v>
      </c>
      <c r="AX1106" s="58" t="s">
        <v>48</v>
      </c>
    </row>
    <row r="1107" spans="1:50" ht="21" customHeight="1">
      <c r="A1107" s="66" t="s">
        <v>938</v>
      </c>
      <c r="B1107" s="39">
        <f t="shared" si="159"/>
        <v>1103</v>
      </c>
      <c r="C1107" s="40">
        <v>46046</v>
      </c>
      <c r="D1107" s="40" t="s">
        <v>32</v>
      </c>
      <c r="E1107" s="40" t="s">
        <v>33</v>
      </c>
      <c r="F1107" s="41">
        <v>198.2</v>
      </c>
      <c r="G1107" s="42" t="s">
        <v>44</v>
      </c>
      <c r="H1107" s="43" t="str">
        <f>IFERROR(VLOOKUP($J1107,'[9]FROM (3)'!$E$4:$F$230,2,FALSE),"")</f>
        <v>DNTH</v>
      </c>
      <c r="I1107" s="44" t="str">
        <f t="shared" si="158"/>
        <v>SLUG VALVE ROTARY</v>
      </c>
      <c r="J1107" s="44" t="str">
        <f t="shared" si="156"/>
        <v>TGY95613-0020</v>
      </c>
      <c r="K1107" s="59" t="str">
        <f t="shared" si="157"/>
        <v>PD26011085</v>
      </c>
      <c r="L1107" s="46" t="str" cm="1">
        <f t="array" ref="L1107">IFERROR(_xlfn.IFS(
    LEN($A1107)-LEN(SUBSTITUTE($A1107,"|",""))=12, RIGHT(A1107, LEN(A1107)-FIND("~", SUBSTITUTE(A1107,"|","~", LEN(A1107)-LEN(SUBSTITUTE(A1107,"|",""))))),
    LEN($A1107)-LEN(SUBSTITUTE($A1107,"|",""))=13, MID($A1107, FIND("~", SUBSTITUTE($A1107,"|","~", 11))+1, FIND("~", SUBSTITUTE($A1107,"|","~", 12))-FIND("~", SUBSTITUTE($A1107,"|","~", 11))-1),
    LEN($A1107)-LEN(SUBSTITUTE($A1107,"|",""))=14, MID($A1107, FIND("~", SUBSTITUTE($A1107,"|","~", 11))+1, FIND("~", SUBSTITUTE($A1107,"|","~", 12))-FIND("~", SUBSTITUTE($A1107,"|","~", 11))-1)
), "")</f>
        <v>E585734</v>
      </c>
      <c r="M1107" s="72" t="str">
        <f t="shared" si="141"/>
        <v>SB010147/2/26</v>
      </c>
      <c r="N1107" s="46" t="str">
        <f t="shared" si="149"/>
        <v/>
      </c>
      <c r="O1107" s="60" t="s">
        <v>35</v>
      </c>
      <c r="P1107" s="60" t="s">
        <v>35</v>
      </c>
      <c r="Q1107" s="48">
        <v>3358</v>
      </c>
      <c r="R1107" s="48">
        <v>666</v>
      </c>
      <c r="S1107" s="48"/>
      <c r="T1107" s="48"/>
      <c r="U1107" s="49"/>
      <c r="V1107" s="49"/>
      <c r="W1107" s="50"/>
      <c r="X1107" s="51">
        <f>IF(A1107="", "", IF(COUNTIFS(C$3:C1106, C1107, D$3:D1106, D1107, G$3:G1106, G1107) &gt; 0, "", "11:00"-AW1107))</f>
        <v>0.33333333333333326</v>
      </c>
      <c r="Y1107" s="52" t="str">
        <f t="shared" si="155"/>
        <v>1:0</v>
      </c>
      <c r="Z1107" s="53"/>
      <c r="AA1107" s="54"/>
      <c r="AB1107" s="53"/>
      <c r="AC1107" s="54"/>
      <c r="AD1107" s="53"/>
      <c r="AE1107" s="54"/>
      <c r="AF1107" s="53"/>
      <c r="AG1107" s="54"/>
      <c r="AH1107" s="55">
        <v>4.1666666666666699E-2</v>
      </c>
      <c r="AI1107" s="53"/>
      <c r="AJ1107" s="54"/>
      <c r="AK1107" s="53"/>
      <c r="AL1107" s="54"/>
      <c r="AM1107" s="53"/>
      <c r="AN1107" s="54"/>
      <c r="AO1107" s="53"/>
      <c r="AP1107" s="54"/>
      <c r="AQ1107" s="53">
        <v>4.1666666666666664E-2</v>
      </c>
      <c r="AR1107" s="54" t="s">
        <v>37</v>
      </c>
      <c r="AS1107" s="53">
        <v>4.1666666666666664E-2</v>
      </c>
      <c r="AT1107" s="54" t="s">
        <v>37</v>
      </c>
      <c r="AU1107" s="53">
        <v>4.1666666666666699E-2</v>
      </c>
      <c r="AV1107" s="54" t="s">
        <v>37</v>
      </c>
      <c r="AW1107" s="57">
        <f t="shared" si="154"/>
        <v>0.12500000000000003</v>
      </c>
      <c r="AX1107" s="58" t="s">
        <v>48</v>
      </c>
    </row>
    <row r="1108" spans="1:50" ht="21" customHeight="1">
      <c r="A1108" s="66" t="s">
        <v>937</v>
      </c>
      <c r="B1108" s="39">
        <f t="shared" si="159"/>
        <v>1104</v>
      </c>
      <c r="C1108" s="40">
        <v>46046</v>
      </c>
      <c r="D1108" s="40" t="s">
        <v>32</v>
      </c>
      <c r="E1108" s="40" t="s">
        <v>33</v>
      </c>
      <c r="F1108" s="41">
        <v>655.4</v>
      </c>
      <c r="G1108" s="42" t="s">
        <v>75</v>
      </c>
      <c r="H1108" s="43" t="str">
        <f>IFERROR(VLOOKUP($J1108,'[9]FROM (3)'!$E$4:$F$230,2,FALSE),"")</f>
        <v>JAMY</v>
      </c>
      <c r="I1108" s="44" t="str">
        <f t="shared" si="158"/>
        <v>RACK BAR</v>
      </c>
      <c r="J1108" s="44" t="str">
        <f t="shared" si="156"/>
        <v>JGC10-M09008-51-0</v>
      </c>
      <c r="K1108" s="59" t="str">
        <f t="shared" si="157"/>
        <v>PD26010895</v>
      </c>
      <c r="L1108" s="46" t="str" cm="1">
        <f t="array" ref="L1108">IFERROR(_xlfn.IFS(
    LEN($A1108)-LEN(SUBSTITUTE($A1108,"|",""))=12, RIGHT(A1108, LEN(A1108)-FIND("~", SUBSTITUTE(A1108,"|","~", LEN(A1108)-LEN(SUBSTITUTE(A1108,"|",""))))),
    LEN($A1108)-LEN(SUBSTITUTE($A1108,"|",""))=13, MID($A1108, FIND("~", SUBSTITUTE($A1108,"|","~", 11))+1, FIND("~", SUBSTITUTE($A1108,"|","~", 12))-FIND("~", SUBSTITUTE($A1108,"|","~", 11))-1),
    LEN($A1108)-LEN(SUBSTITUTE($A1108,"|",""))=14, MID($A1108, FIND("~", SUBSTITUTE($A1108,"|","~", 11))+1, FIND("~", SUBSTITUTE($A1108,"|","~", 12))-FIND("~", SUBSTITUTE($A1108,"|","~", 11))-1)
), "")</f>
        <v>E586966</v>
      </c>
      <c r="M1108" s="72" t="str">
        <f t="shared" si="141"/>
        <v>SB010110/4/26</v>
      </c>
      <c r="N1108" s="46" t="str">
        <f t="shared" si="149"/>
        <v/>
      </c>
      <c r="O1108" s="60">
        <v>0</v>
      </c>
      <c r="P1108" s="60">
        <v>0</v>
      </c>
      <c r="Q1108" s="48">
        <v>109</v>
      </c>
      <c r="R1108" s="48">
        <v>298</v>
      </c>
      <c r="S1108" s="48"/>
      <c r="T1108" s="48"/>
      <c r="U1108" s="49">
        <v>143</v>
      </c>
      <c r="V1108" s="49">
        <v>9</v>
      </c>
      <c r="W1108" s="50"/>
      <c r="X1108" s="51">
        <f>IF(A1108="", "", IF(COUNTIFS(C$3:C1107, C1108, D$3:D1107, D1108, G$3:G1107, G1108) &gt; 0, "", "11:00"-AW1108))</f>
        <v>0.29166666666666663</v>
      </c>
      <c r="Y1108" s="52" t="str">
        <f t="shared" si="155"/>
        <v>1:0</v>
      </c>
      <c r="Z1108" s="53"/>
      <c r="AA1108" s="54"/>
      <c r="AB1108" s="53">
        <v>4.1666666666666664E-2</v>
      </c>
      <c r="AC1108" s="54" t="s">
        <v>67</v>
      </c>
      <c r="AD1108" s="53"/>
      <c r="AE1108" s="54"/>
      <c r="AF1108" s="53"/>
      <c r="AG1108" s="54"/>
      <c r="AH1108" s="55">
        <v>4.1666666666666699E-2</v>
      </c>
      <c r="AI1108" s="53"/>
      <c r="AJ1108" s="54"/>
      <c r="AK1108" s="53"/>
      <c r="AL1108" s="54"/>
      <c r="AM1108" s="53"/>
      <c r="AN1108" s="54"/>
      <c r="AO1108" s="53"/>
      <c r="AP1108" s="54" t="s">
        <v>122</v>
      </c>
      <c r="AQ1108" s="53">
        <v>4.1666666666666664E-2</v>
      </c>
      <c r="AR1108" s="54" t="s">
        <v>37</v>
      </c>
      <c r="AS1108" s="53">
        <v>4.1666666666666664E-2</v>
      </c>
      <c r="AT1108" s="54" t="s">
        <v>37</v>
      </c>
      <c r="AU1108" s="53">
        <v>4.1666666666666699E-2</v>
      </c>
      <c r="AV1108" s="54" t="s">
        <v>37</v>
      </c>
      <c r="AW1108" s="57">
        <f t="shared" si="154"/>
        <v>0.16666666666666669</v>
      </c>
      <c r="AX1108" s="58" t="s">
        <v>77</v>
      </c>
    </row>
    <row r="1109" spans="1:50" ht="21" customHeight="1">
      <c r="A1109" s="66" t="s">
        <v>970</v>
      </c>
      <c r="B1109" s="39">
        <f t="shared" si="159"/>
        <v>1105</v>
      </c>
      <c r="C1109" s="40">
        <v>46046</v>
      </c>
      <c r="D1109" s="40" t="s">
        <v>32</v>
      </c>
      <c r="E1109" s="40" t="s">
        <v>33</v>
      </c>
      <c r="F1109" s="41">
        <v>755.4</v>
      </c>
      <c r="G1109" s="42" t="s">
        <v>75</v>
      </c>
      <c r="H1109" s="43" t="str">
        <f>IFERROR(VLOOKUP($J1109,'[9]FROM (3)'!$E$4:$F$230,2,FALSE),"")</f>
        <v>JTCS</v>
      </c>
      <c r="I1109" s="44" t="str">
        <f t="shared" si="158"/>
        <v>RACK, PS</v>
      </c>
      <c r="J1109" s="44" t="str">
        <f t="shared" si="156"/>
        <v>JGD10-001260-40-1</v>
      </c>
      <c r="K1109" s="59" t="str">
        <f t="shared" si="157"/>
        <v>PD26010773</v>
      </c>
      <c r="L1109" s="46" t="str" cm="1">
        <f t="array" ref="L1109">IFERROR(_xlfn.IFS(
    LEN($A1109)-LEN(SUBSTITUTE($A1109,"|",""))=12, RIGHT(A1109, LEN(A1109)-FIND("~", SUBSTITUTE(A1109,"|","~", LEN(A1109)-LEN(SUBSTITUTE(A1109,"|",""))))),
    LEN($A1109)-LEN(SUBSTITUTE($A1109,"|",""))=13, MID($A1109, FIND("~", SUBSTITUTE($A1109,"|","~", 11))+1, FIND("~", SUBSTITUTE($A1109,"|","~", 12))-FIND("~", SUBSTITUTE($A1109,"|","~", 11))-1),
    LEN($A1109)-LEN(SUBSTITUTE($A1109,"|",""))=14, MID($A1109, FIND("~", SUBSTITUTE($A1109,"|","~", 11))+1, FIND("~", SUBSTITUTE($A1109,"|","~", 12))-FIND("~", SUBSTITUTE($A1109,"|","~", 11))-1)
), "")</f>
        <v>E586967</v>
      </c>
      <c r="M1109" s="72" t="str">
        <f t="shared" si="141"/>
        <v>SB010083/5/26</v>
      </c>
      <c r="N1109" s="46" t="str">
        <f t="shared" si="149"/>
        <v/>
      </c>
      <c r="O1109" s="60">
        <v>47</v>
      </c>
      <c r="P1109" s="60">
        <v>976</v>
      </c>
      <c r="Q1109" s="48">
        <v>188</v>
      </c>
      <c r="R1109" s="48">
        <v>910</v>
      </c>
      <c r="S1109" s="48"/>
      <c r="T1109" s="48"/>
      <c r="U1109" s="49"/>
      <c r="V1109" s="49"/>
      <c r="W1109" s="50"/>
      <c r="X1109" s="51" t="str">
        <f>IF(A1109="", "", IF(COUNTIFS(C$3:C1108, C1109, D$3:D1108, D1109, G$3:G1108, G1109) &gt; 0, "", "11:00"-AW1109))</f>
        <v/>
      </c>
      <c r="Y1109" s="52" t="str">
        <f t="shared" si="155"/>
        <v/>
      </c>
      <c r="Z1109" s="53"/>
      <c r="AA1109" s="54"/>
      <c r="AB1109" s="53"/>
      <c r="AC1109" s="54"/>
      <c r="AD1109" s="53"/>
      <c r="AE1109" s="54"/>
      <c r="AF1109" s="53"/>
      <c r="AG1109" s="54"/>
      <c r="AH1109" s="55">
        <v>4.1666666666666699E-2</v>
      </c>
      <c r="AI1109" s="53"/>
      <c r="AJ1109" s="54"/>
      <c r="AK1109" s="53"/>
      <c r="AL1109" s="54"/>
      <c r="AM1109" s="53"/>
      <c r="AN1109" s="54"/>
      <c r="AO1109" s="53"/>
      <c r="AP1109" s="54"/>
      <c r="AQ1109" s="53"/>
      <c r="AR1109" s="54"/>
      <c r="AS1109" s="53"/>
      <c r="AT1109" s="54"/>
      <c r="AU1109" s="53">
        <v>4.1666666666666699E-2</v>
      </c>
      <c r="AV1109" s="54" t="s">
        <v>37</v>
      </c>
      <c r="AW1109" s="57">
        <f t="shared" si="154"/>
        <v>4.1666666666666699E-2</v>
      </c>
      <c r="AX1109" s="58" t="s">
        <v>77</v>
      </c>
    </row>
    <row r="1110" spans="1:50" ht="21" customHeight="1">
      <c r="A1110" s="66" t="s">
        <v>971</v>
      </c>
      <c r="B1110" s="39">
        <f t="shared" si="159"/>
        <v>1106</v>
      </c>
      <c r="C1110" s="40">
        <v>46046</v>
      </c>
      <c r="D1110" s="40" t="s">
        <v>32</v>
      </c>
      <c r="E1110" s="40" t="s">
        <v>33</v>
      </c>
      <c r="F1110" s="41">
        <v>755.4</v>
      </c>
      <c r="G1110" s="42" t="s">
        <v>75</v>
      </c>
      <c r="H1110" s="43" t="str">
        <f>IFERROR(VLOOKUP($J1110,'[9]FROM (3)'!$E$4:$F$230,2,FALSE),"")</f>
        <v>JTCS</v>
      </c>
      <c r="I1110" s="44" t="str">
        <f t="shared" si="158"/>
        <v>RACK, PS</v>
      </c>
      <c r="J1110" s="44" t="str">
        <f t="shared" si="156"/>
        <v>JGD10-001260-40-1</v>
      </c>
      <c r="K1110" s="59" t="str">
        <f t="shared" si="157"/>
        <v>PD26010773</v>
      </c>
      <c r="L1110" s="46" t="str" cm="1">
        <f t="array" ref="L1110">IFERROR(_xlfn.IFS(
    LEN($A1110)-LEN(SUBSTITUTE($A1110,"|",""))=12, RIGHT(A1110, LEN(A1110)-FIND("~", SUBSTITUTE(A1110,"|","~", LEN(A1110)-LEN(SUBSTITUTE(A1110,"|",""))))),
    LEN($A1110)-LEN(SUBSTITUTE($A1110,"|",""))=13, MID($A1110, FIND("~", SUBSTITUTE($A1110,"|","~", 11))+1, FIND("~", SUBSTITUTE($A1110,"|","~", 12))-FIND("~", SUBSTITUTE($A1110,"|","~", 11))-1),
    LEN($A1110)-LEN(SUBSTITUTE($A1110,"|",""))=14, MID($A1110, FIND("~", SUBSTITUTE($A1110,"|","~", 11))+1, FIND("~", SUBSTITUTE($A1110,"|","~", 12))-FIND("~", SUBSTITUTE($A1110,"|","~", 11))-1)
), "")</f>
        <v>E586967</v>
      </c>
      <c r="M1110" s="72" t="str">
        <f t="shared" si="141"/>
        <v>SB010083/4/26</v>
      </c>
      <c r="N1110" s="46" t="str">
        <f t="shared" si="149"/>
        <v/>
      </c>
      <c r="O1110" s="60">
        <v>47</v>
      </c>
      <c r="P1110" s="60">
        <v>976</v>
      </c>
      <c r="Q1110" s="48">
        <v>188</v>
      </c>
      <c r="R1110" s="48">
        <v>910</v>
      </c>
      <c r="S1110" s="48"/>
      <c r="T1110" s="48"/>
      <c r="U1110" s="49"/>
      <c r="V1110" s="49"/>
      <c r="W1110" s="50"/>
      <c r="X1110" s="51" t="str">
        <f>IF(A1110="", "", IF(COUNTIFS(C$3:C1109, C1110, D$3:D1109, D1110, G$3:G1109, G1110) &gt; 0, "", "11:00"-AW1110))</f>
        <v/>
      </c>
      <c r="Y1110" s="52" t="str">
        <f t="shared" si="155"/>
        <v/>
      </c>
      <c r="Z1110" s="53"/>
      <c r="AA1110" s="54"/>
      <c r="AB1110" s="53"/>
      <c r="AC1110" s="54"/>
      <c r="AD1110" s="53"/>
      <c r="AE1110" s="54"/>
      <c r="AF1110" s="53"/>
      <c r="AG1110" s="54"/>
      <c r="AH1110" s="55">
        <v>4.1666666666666699E-2</v>
      </c>
      <c r="AI1110" s="53"/>
      <c r="AJ1110" s="54"/>
      <c r="AK1110" s="53"/>
      <c r="AL1110" s="54"/>
      <c r="AM1110" s="53"/>
      <c r="AN1110" s="54"/>
      <c r="AO1110" s="53"/>
      <c r="AP1110" s="54"/>
      <c r="AQ1110" s="53"/>
      <c r="AR1110" s="54"/>
      <c r="AS1110" s="53"/>
      <c r="AT1110" s="54"/>
      <c r="AU1110" s="53">
        <v>4.1666666666666699E-2</v>
      </c>
      <c r="AV1110" s="54" t="s">
        <v>37</v>
      </c>
      <c r="AW1110" s="57">
        <f t="shared" si="154"/>
        <v>4.1666666666666699E-2</v>
      </c>
      <c r="AX1110" s="58" t="s">
        <v>77</v>
      </c>
    </row>
    <row r="1111" spans="1:50" ht="21" customHeight="1">
      <c r="A1111" s="66" t="s">
        <v>972</v>
      </c>
      <c r="B1111" s="39">
        <f t="shared" si="159"/>
        <v>1107</v>
      </c>
      <c r="C1111" s="40">
        <v>46046</v>
      </c>
      <c r="D1111" s="40" t="s">
        <v>32</v>
      </c>
      <c r="E1111" s="40" t="s">
        <v>33</v>
      </c>
      <c r="F1111" s="41">
        <v>755.4</v>
      </c>
      <c r="G1111" s="42" t="s">
        <v>75</v>
      </c>
      <c r="H1111" s="43" t="str">
        <f>IFERROR(VLOOKUP($J1111,'[9]FROM (3)'!$E$4:$F$230,2,FALSE),"")</f>
        <v>JTCS</v>
      </c>
      <c r="I1111" s="44" t="str">
        <f t="shared" si="158"/>
        <v>RACK, PS</v>
      </c>
      <c r="J1111" s="44" t="str">
        <f t="shared" si="156"/>
        <v>JGD10-001260-40-1</v>
      </c>
      <c r="K1111" s="59" t="str">
        <f t="shared" si="157"/>
        <v>PD26010773</v>
      </c>
      <c r="L1111" s="46" t="str" cm="1">
        <f t="array" ref="L1111">IFERROR(_xlfn.IFS(
    LEN($A1111)-LEN(SUBSTITUTE($A1111,"|",""))=12, RIGHT(A1111, LEN(A1111)-FIND("~", SUBSTITUTE(A1111,"|","~", LEN(A1111)-LEN(SUBSTITUTE(A1111,"|",""))))),
    LEN($A1111)-LEN(SUBSTITUTE($A1111,"|",""))=13, MID($A1111, FIND("~", SUBSTITUTE($A1111,"|","~", 11))+1, FIND("~", SUBSTITUTE($A1111,"|","~", 12))-FIND("~", SUBSTITUTE($A1111,"|","~", 11))-1),
    LEN($A1111)-LEN(SUBSTITUTE($A1111,"|",""))=14, MID($A1111, FIND("~", SUBSTITUTE($A1111,"|","~", 11))+1, FIND("~", SUBSTITUTE($A1111,"|","~", 12))-FIND("~", SUBSTITUTE($A1111,"|","~", 11))-1)
), "")</f>
        <v>E586967</v>
      </c>
      <c r="M1111" s="72" t="str">
        <f t="shared" si="141"/>
        <v>SB010083/6/26</v>
      </c>
      <c r="N1111" s="46" t="str">
        <f t="shared" si="149"/>
        <v/>
      </c>
      <c r="O1111" s="60">
        <v>47</v>
      </c>
      <c r="P1111" s="60">
        <v>976</v>
      </c>
      <c r="Q1111" s="48">
        <v>185</v>
      </c>
      <c r="R1111" s="48">
        <v>895</v>
      </c>
      <c r="S1111" s="48">
        <v>3</v>
      </c>
      <c r="T1111" s="48" t="s">
        <v>167</v>
      </c>
      <c r="U1111" s="49">
        <v>155</v>
      </c>
      <c r="V1111" s="49">
        <v>9</v>
      </c>
      <c r="W1111" s="50"/>
      <c r="X1111" s="51" t="str">
        <f>IF(A1111="", "", IF(COUNTIFS(C$3:C1110, C1111, D$3:D1110, D1111, G$3:G1110, G1111) &gt; 0, "", "11:00"-AW1111))</f>
        <v/>
      </c>
      <c r="Y1111" s="52" t="str">
        <f t="shared" si="155"/>
        <v/>
      </c>
      <c r="Z1111" s="53"/>
      <c r="AA1111" s="54"/>
      <c r="AB1111" s="53"/>
      <c r="AC1111" s="54"/>
      <c r="AD1111" s="53"/>
      <c r="AE1111" s="54"/>
      <c r="AF1111" s="53"/>
      <c r="AG1111" s="54"/>
      <c r="AH1111" s="55">
        <v>4.1666666666666699E-2</v>
      </c>
      <c r="AI1111" s="53"/>
      <c r="AJ1111" s="54"/>
      <c r="AK1111" s="53"/>
      <c r="AL1111" s="54"/>
      <c r="AM1111" s="53"/>
      <c r="AN1111" s="54"/>
      <c r="AO1111" s="53"/>
      <c r="AP1111" s="54"/>
      <c r="AQ1111" s="53"/>
      <c r="AR1111" s="54"/>
      <c r="AS1111" s="53"/>
      <c r="AT1111" s="54"/>
      <c r="AU1111" s="53">
        <v>4.1666666666666699E-2</v>
      </c>
      <c r="AV1111" s="54" t="s">
        <v>37</v>
      </c>
      <c r="AW1111" s="57">
        <f t="shared" si="154"/>
        <v>4.1666666666666699E-2</v>
      </c>
      <c r="AX1111" s="58" t="s">
        <v>77</v>
      </c>
    </row>
    <row r="1112" spans="1:50" ht="21" customHeight="1">
      <c r="A1112" s="66" t="s">
        <v>973</v>
      </c>
      <c r="B1112" s="39">
        <f t="shared" si="159"/>
        <v>1108</v>
      </c>
      <c r="C1112" s="40">
        <v>46046</v>
      </c>
      <c r="D1112" s="40" t="s">
        <v>32</v>
      </c>
      <c r="E1112" s="40" t="s">
        <v>33</v>
      </c>
      <c r="F1112" s="41">
        <v>755.4</v>
      </c>
      <c r="G1112" s="42" t="s">
        <v>75</v>
      </c>
      <c r="H1112" s="43" t="str">
        <f>IFERROR(VLOOKUP($J1112,'[9]FROM (3)'!$E$4:$F$230,2,FALSE),"")</f>
        <v>JTCS</v>
      </c>
      <c r="I1112" s="44" t="str">
        <f t="shared" si="158"/>
        <v>RACK, PS</v>
      </c>
      <c r="J1112" s="44" t="str">
        <f t="shared" si="156"/>
        <v>JGD10-001260-40-1</v>
      </c>
      <c r="K1112" s="59" t="str">
        <f t="shared" si="157"/>
        <v>PD26010772</v>
      </c>
      <c r="L1112" s="46" t="str" cm="1">
        <f t="array" ref="L1112">IFERROR(_xlfn.IFS(
    LEN($A1112)-LEN(SUBSTITUTE($A1112,"|",""))=12, RIGHT(A1112, LEN(A1112)-FIND("~", SUBSTITUTE(A1112,"|","~", LEN(A1112)-LEN(SUBSTITUTE(A1112,"|",""))))),
    LEN($A1112)-LEN(SUBSTITUTE($A1112,"|",""))=13, MID($A1112, FIND("~", SUBSTITUTE($A1112,"|","~", 11))+1, FIND("~", SUBSTITUTE($A1112,"|","~", 12))-FIND("~", SUBSTITUTE($A1112,"|","~", 11))-1),
    LEN($A1112)-LEN(SUBSTITUTE($A1112,"|",""))=14, MID($A1112, FIND("~", SUBSTITUTE($A1112,"|","~", 11))+1, FIND("~", SUBSTITUTE($A1112,"|","~", 12))-FIND("~", SUBSTITUTE($A1112,"|","~", 11))-1)
), "")</f>
        <v>E586967</v>
      </c>
      <c r="M1112" s="72" t="str">
        <f t="shared" si="141"/>
        <v>SB010083/3/26</v>
      </c>
      <c r="N1112" s="46" t="str">
        <f t="shared" si="149"/>
        <v/>
      </c>
      <c r="O1112" s="60">
        <v>47</v>
      </c>
      <c r="P1112" s="60">
        <v>976</v>
      </c>
      <c r="Q1112" s="48">
        <v>104</v>
      </c>
      <c r="R1112" s="48">
        <v>503</v>
      </c>
      <c r="S1112" s="48"/>
      <c r="T1112" s="48"/>
      <c r="U1112" s="49"/>
      <c r="V1112" s="49"/>
      <c r="W1112" s="50"/>
      <c r="X1112" s="51" t="str">
        <f>IF(A1112="", "", IF(COUNTIFS(C$3:C1111, C1112, D$3:D1111, D1112, G$3:G1111, G1112) &gt; 0, "", "11:00"-AW1112))</f>
        <v/>
      </c>
      <c r="Y1112" s="52" t="str">
        <f t="shared" si="155"/>
        <v/>
      </c>
      <c r="Z1112" s="53"/>
      <c r="AA1112" s="54"/>
      <c r="AB1112" s="53"/>
      <c r="AC1112" s="54"/>
      <c r="AD1112" s="53"/>
      <c r="AE1112" s="54"/>
      <c r="AF1112" s="53"/>
      <c r="AG1112" s="54"/>
      <c r="AH1112" s="55">
        <v>4.1666666666666699E-2</v>
      </c>
      <c r="AI1112" s="53"/>
      <c r="AJ1112" s="54"/>
      <c r="AK1112" s="53"/>
      <c r="AL1112" s="54"/>
      <c r="AM1112" s="53"/>
      <c r="AN1112" s="54"/>
      <c r="AO1112" s="53"/>
      <c r="AP1112" s="54"/>
      <c r="AQ1112" s="53"/>
      <c r="AR1112" s="54"/>
      <c r="AS1112" s="53"/>
      <c r="AT1112" s="54"/>
      <c r="AU1112" s="53">
        <v>4.1666666666666699E-2</v>
      </c>
      <c r="AV1112" s="54" t="s">
        <v>37</v>
      </c>
      <c r="AW1112" s="57">
        <f t="shared" si="154"/>
        <v>4.1666666666666699E-2</v>
      </c>
      <c r="AX1112" s="58" t="s">
        <v>77</v>
      </c>
    </row>
    <row r="1113" spans="1:50" ht="21" customHeight="1">
      <c r="A1113" s="66" t="s">
        <v>943</v>
      </c>
      <c r="B1113" s="39">
        <f t="shared" si="159"/>
        <v>1109</v>
      </c>
      <c r="C1113" s="40">
        <v>46046</v>
      </c>
      <c r="D1113" s="40" t="s">
        <v>32</v>
      </c>
      <c r="E1113" s="40" t="s">
        <v>33</v>
      </c>
      <c r="F1113" s="41">
        <v>698.5</v>
      </c>
      <c r="G1113" s="42" t="s">
        <v>54</v>
      </c>
      <c r="H1113" s="43" t="str">
        <f>IFERROR(VLOOKUP($J1113,'[9]FROM (3)'!$E$4:$F$230,2,FALSE),"")</f>
        <v>JCTTH</v>
      </c>
      <c r="I1113" s="44" t="str">
        <f t="shared" si="158"/>
        <v>RACK BAR</v>
      </c>
      <c r="J1113" s="44" t="str">
        <f t="shared" si="156"/>
        <v>JGD10-000751/000761-A</v>
      </c>
      <c r="K1113" s="59" t="str">
        <f t="shared" si="157"/>
        <v>PD26010575</v>
      </c>
      <c r="L1113" s="46" t="str" cm="1">
        <f t="array" ref="L1113">IFERROR(_xlfn.IFS(
    LEN($A1113)-LEN(SUBSTITUTE($A1113,"|",""))=12, RIGHT(A1113, LEN(A1113)-FIND("~", SUBSTITUTE(A1113,"|","~", LEN(A1113)-LEN(SUBSTITUTE(A1113,"|",""))))),
    LEN($A1113)-LEN(SUBSTITUTE($A1113,"|",""))=13, MID($A1113, FIND("~", SUBSTITUTE($A1113,"|","~", 11))+1, FIND("~", SUBSTITUTE($A1113,"|","~", 12))-FIND("~", SUBSTITUTE($A1113,"|","~", 11))-1),
    LEN($A1113)-LEN(SUBSTITUTE($A1113,"|",""))=14, MID($A1113, FIND("~", SUBSTITUTE($A1113,"|","~", 11))+1, FIND("~", SUBSTITUTE($A1113,"|","~", 12))-FIND("~", SUBSTITUTE($A1113,"|","~", 11))-1)
), "")</f>
        <v>665077</v>
      </c>
      <c r="M1113" s="72" t="str">
        <f t="shared" si="141"/>
        <v>SB010064/2/26</v>
      </c>
      <c r="N1113" s="46" t="str">
        <f t="shared" si="149"/>
        <v/>
      </c>
      <c r="O1113" s="60"/>
      <c r="P1113" s="60"/>
      <c r="Q1113" s="48">
        <v>97</v>
      </c>
      <c r="R1113" s="48">
        <v>434</v>
      </c>
      <c r="S1113" s="48"/>
      <c r="T1113" s="48"/>
      <c r="U1113" s="49">
        <v>196</v>
      </c>
      <c r="V1113" s="49">
        <v>10</v>
      </c>
      <c r="W1113" s="50"/>
      <c r="X1113" s="51">
        <f>IF(A1113="", "", IF(COUNTIFS(C$3:C1112, C1113, D$3:D1112, D1113, G$3:G1112, G1113) &gt; 0, "", "11:00"-AW1113))</f>
        <v>0.33333333333333326</v>
      </c>
      <c r="Y1113" s="52" t="str">
        <f t="shared" si="155"/>
        <v>1:0</v>
      </c>
      <c r="Z1113" s="53"/>
      <c r="AA1113" s="54" t="s">
        <v>122</v>
      </c>
      <c r="AB1113" s="53"/>
      <c r="AC1113" s="54"/>
      <c r="AD1113" s="53"/>
      <c r="AE1113" s="54"/>
      <c r="AF1113" s="53"/>
      <c r="AG1113" s="54"/>
      <c r="AH1113" s="55">
        <v>4.1666666666666699E-2</v>
      </c>
      <c r="AI1113" s="53"/>
      <c r="AJ1113" s="54"/>
      <c r="AK1113" s="53"/>
      <c r="AL1113" s="54"/>
      <c r="AM1113" s="53"/>
      <c r="AN1113" s="54" t="s">
        <v>122</v>
      </c>
      <c r="AO1113" s="53"/>
      <c r="AP1113" s="54"/>
      <c r="AQ1113" s="53">
        <v>4.1666666666666664E-2</v>
      </c>
      <c r="AR1113" s="54" t="s">
        <v>37</v>
      </c>
      <c r="AS1113" s="53">
        <v>4.1666666666666664E-2</v>
      </c>
      <c r="AT1113" s="54" t="s">
        <v>37</v>
      </c>
      <c r="AU1113" s="53">
        <v>4.1666666666666699E-2</v>
      </c>
      <c r="AV1113" s="54" t="s">
        <v>37</v>
      </c>
      <c r="AW1113" s="57">
        <f t="shared" si="154"/>
        <v>0.12500000000000003</v>
      </c>
      <c r="AX1113" s="58" t="s">
        <v>56</v>
      </c>
    </row>
    <row r="1114" spans="1:50" ht="21" customHeight="1">
      <c r="A1114" s="66" t="s">
        <v>974</v>
      </c>
      <c r="B1114" s="39">
        <f t="shared" si="159"/>
        <v>1110</v>
      </c>
      <c r="C1114" s="40">
        <v>46046</v>
      </c>
      <c r="D1114" s="40" t="s">
        <v>32</v>
      </c>
      <c r="E1114" s="40" t="s">
        <v>33</v>
      </c>
      <c r="F1114" s="41">
        <v>698.5</v>
      </c>
      <c r="G1114" s="42" t="s">
        <v>54</v>
      </c>
      <c r="H1114" s="43" t="str">
        <f>IFERROR(VLOOKUP($J1114,'[9]FROM (3)'!$E$4:$F$230,2,FALSE),"")</f>
        <v>JCTTH</v>
      </c>
      <c r="I1114" s="44" t="str">
        <f t="shared" si="158"/>
        <v>RACK BAR</v>
      </c>
      <c r="J1114" s="44" t="str">
        <f t="shared" si="156"/>
        <v>JGD10-000751/000761-A</v>
      </c>
      <c r="K1114" s="59" t="str">
        <f t="shared" si="157"/>
        <v>PD26010572</v>
      </c>
      <c r="L1114" s="46" t="str" cm="1">
        <f t="array" ref="L1114">IFERROR(_xlfn.IFS(
    LEN($A1114)-LEN(SUBSTITUTE($A1114,"|",""))=12, RIGHT(A1114, LEN(A1114)-FIND("~", SUBSTITUTE(A1114,"|","~", LEN(A1114)-LEN(SUBSTITUTE(A1114,"|",""))))),
    LEN($A1114)-LEN(SUBSTITUTE($A1114,"|",""))=13, MID($A1114, FIND("~", SUBSTITUTE($A1114,"|","~", 11))+1, FIND("~", SUBSTITUTE($A1114,"|","~", 12))-FIND("~", SUBSTITUTE($A1114,"|","~", 11))-1),
    LEN($A1114)-LEN(SUBSTITUTE($A1114,"|",""))=14, MID($A1114, FIND("~", SUBSTITUTE($A1114,"|","~", 11))+1, FIND("~", SUBSTITUTE($A1114,"|","~", 12))-FIND("~", SUBSTITUTE($A1114,"|","~", 11))-1)
), "")</f>
        <v>665077</v>
      </c>
      <c r="M1114" s="72" t="str">
        <f t="shared" si="141"/>
        <v>SB010059/5/26</v>
      </c>
      <c r="N1114" s="46" t="str">
        <f t="shared" si="149"/>
        <v/>
      </c>
      <c r="O1114" s="60">
        <v>51</v>
      </c>
      <c r="P1114" s="60">
        <v>988</v>
      </c>
      <c r="Q1114" s="48">
        <v>204</v>
      </c>
      <c r="R1114" s="48">
        <v>913</v>
      </c>
      <c r="S1114" s="48"/>
      <c r="T1114" s="48"/>
      <c r="U1114" s="49"/>
      <c r="V1114" s="49"/>
      <c r="W1114" s="50"/>
      <c r="X1114" s="51" t="str">
        <f>IF(A1114="", "", IF(COUNTIFS(C$3:C1113, C1114, D$3:D1113, D1114, G$3:G1113, G1114) &gt; 0, "", "11:00"-AW1114))</f>
        <v/>
      </c>
      <c r="Y1114" s="52" t="str">
        <f t="shared" si="155"/>
        <v/>
      </c>
      <c r="Z1114" s="53"/>
      <c r="AA1114" s="54"/>
      <c r="AB1114" s="53"/>
      <c r="AC1114" s="54"/>
      <c r="AD1114" s="53"/>
      <c r="AE1114" s="54"/>
      <c r="AF1114" s="53"/>
      <c r="AG1114" s="54"/>
      <c r="AH1114" s="55">
        <v>4.1666666666666699E-2</v>
      </c>
      <c r="AI1114" s="53"/>
      <c r="AJ1114" s="54"/>
      <c r="AK1114" s="53"/>
      <c r="AL1114" s="54"/>
      <c r="AM1114" s="53"/>
      <c r="AN1114" s="54"/>
      <c r="AO1114" s="53"/>
      <c r="AP1114" s="54"/>
      <c r="AQ1114" s="53"/>
      <c r="AR1114" s="54"/>
      <c r="AS1114" s="53"/>
      <c r="AT1114" s="54"/>
      <c r="AU1114" s="53">
        <v>4.1666666666666699E-2</v>
      </c>
      <c r="AV1114" s="54" t="s">
        <v>37</v>
      </c>
      <c r="AW1114" s="57">
        <f t="shared" si="154"/>
        <v>4.1666666666666699E-2</v>
      </c>
      <c r="AX1114" s="58" t="s">
        <v>56</v>
      </c>
    </row>
    <row r="1115" spans="1:50" ht="21" customHeight="1">
      <c r="A1115" s="66" t="s">
        <v>975</v>
      </c>
      <c r="B1115" s="39">
        <f t="shared" si="159"/>
        <v>1111</v>
      </c>
      <c r="C1115" s="40">
        <v>46046</v>
      </c>
      <c r="D1115" s="40" t="s">
        <v>32</v>
      </c>
      <c r="E1115" s="40" t="s">
        <v>33</v>
      </c>
      <c r="F1115" s="41">
        <v>698.5</v>
      </c>
      <c r="G1115" s="42" t="s">
        <v>54</v>
      </c>
      <c r="H1115" s="43" t="str">
        <f>IFERROR(VLOOKUP($J1115,'[9]FROM (3)'!$E$4:$F$230,2,FALSE),"")</f>
        <v>JCTTH</v>
      </c>
      <c r="I1115" s="44" t="str">
        <f t="shared" si="158"/>
        <v>RACK BAR</v>
      </c>
      <c r="J1115" s="44" t="str">
        <f t="shared" si="156"/>
        <v>JGD10-000751/000761-A</v>
      </c>
      <c r="K1115" s="59" t="str">
        <f t="shared" si="157"/>
        <v>PD26010572</v>
      </c>
      <c r="L1115" s="46" t="str" cm="1">
        <f t="array" ref="L1115">IFERROR(_xlfn.IFS(
    LEN($A1115)-LEN(SUBSTITUTE($A1115,"|",""))=12, RIGHT(A1115, LEN(A1115)-FIND("~", SUBSTITUTE(A1115,"|","~", LEN(A1115)-LEN(SUBSTITUTE(A1115,"|",""))))),
    LEN($A1115)-LEN(SUBSTITUTE($A1115,"|",""))=13, MID($A1115, FIND("~", SUBSTITUTE($A1115,"|","~", 11))+1, FIND("~", SUBSTITUTE($A1115,"|","~", 12))-FIND("~", SUBSTITUTE($A1115,"|","~", 11))-1),
    LEN($A1115)-LEN(SUBSTITUTE($A1115,"|",""))=14, MID($A1115, FIND("~", SUBSTITUTE($A1115,"|","~", 11))+1, FIND("~", SUBSTITUTE($A1115,"|","~", 12))-FIND("~", SUBSTITUTE($A1115,"|","~", 11))-1)
), "")</f>
        <v>665077</v>
      </c>
      <c r="M1115" s="72" t="str">
        <f t="shared" si="141"/>
        <v>SB010059/6/26</v>
      </c>
      <c r="N1115" s="46" t="str">
        <f t="shared" si="149"/>
        <v/>
      </c>
      <c r="O1115" s="60">
        <v>51</v>
      </c>
      <c r="P1115" s="75">
        <v>988</v>
      </c>
      <c r="Q1115" s="48">
        <v>204</v>
      </c>
      <c r="R1115" s="48">
        <v>913</v>
      </c>
      <c r="S1115" s="48"/>
      <c r="T1115" s="48"/>
      <c r="U1115" s="49"/>
      <c r="V1115" s="49"/>
      <c r="W1115" s="50"/>
      <c r="X1115" s="51" t="str">
        <f>IF(A1115="", "", IF(COUNTIFS(C$3:C1114, C1115, D$3:D1114, D1115, G$3:G1114, G1115) &gt; 0, "", "11:00"-AW1115))</f>
        <v/>
      </c>
      <c r="Y1115" s="52" t="str">
        <f t="shared" si="155"/>
        <v/>
      </c>
      <c r="Z1115" s="53"/>
      <c r="AA1115" s="54"/>
      <c r="AB1115" s="53"/>
      <c r="AC1115" s="54"/>
      <c r="AD1115" s="53"/>
      <c r="AE1115" s="54"/>
      <c r="AF1115" s="53"/>
      <c r="AG1115" s="54"/>
      <c r="AH1115" s="55">
        <v>4.1666666666666699E-2</v>
      </c>
      <c r="AI1115" s="53"/>
      <c r="AJ1115" s="54"/>
      <c r="AK1115" s="53"/>
      <c r="AL1115" s="54"/>
      <c r="AM1115" s="53"/>
      <c r="AN1115" s="54"/>
      <c r="AO1115" s="53"/>
      <c r="AP1115" s="54"/>
      <c r="AQ1115" s="53"/>
      <c r="AR1115" s="54"/>
      <c r="AS1115" s="53"/>
      <c r="AT1115" s="54"/>
      <c r="AU1115" s="53">
        <v>4.1666666666666699E-2</v>
      </c>
      <c r="AV1115" s="54" t="s">
        <v>37</v>
      </c>
      <c r="AW1115" s="57">
        <f t="shared" si="154"/>
        <v>4.1666666666666699E-2</v>
      </c>
      <c r="AX1115" s="58" t="s">
        <v>56</v>
      </c>
    </row>
    <row r="1116" spans="1:50" ht="21" customHeight="1">
      <c r="A1116" s="66" t="s">
        <v>976</v>
      </c>
      <c r="B1116" s="39">
        <f t="shared" si="159"/>
        <v>1112</v>
      </c>
      <c r="C1116" s="40">
        <v>46046</v>
      </c>
      <c r="D1116" s="40" t="s">
        <v>32</v>
      </c>
      <c r="E1116" s="40" t="s">
        <v>33</v>
      </c>
      <c r="F1116" s="41">
        <v>698.5</v>
      </c>
      <c r="G1116" s="42" t="s">
        <v>54</v>
      </c>
      <c r="H1116" s="43" t="str">
        <f>IFERROR(VLOOKUP($J1116,'[9]FROM (3)'!$E$4:$F$230,2,FALSE),"")</f>
        <v>JCTTH</v>
      </c>
      <c r="I1116" s="44" t="str">
        <f t="shared" si="158"/>
        <v>RACK BAR</v>
      </c>
      <c r="J1116" s="44" t="str">
        <f t="shared" si="156"/>
        <v>JGD10-000751/000761-A</v>
      </c>
      <c r="K1116" s="59" t="str">
        <f t="shared" si="157"/>
        <v>PD26010572</v>
      </c>
      <c r="L1116" s="46" t="str" cm="1">
        <f t="array" ref="L1116">IFERROR(_xlfn.IFS(
    LEN($A1116)-LEN(SUBSTITUTE($A1116,"|",""))=12, RIGHT(A1116, LEN(A1116)-FIND("~", SUBSTITUTE(A1116,"|","~", LEN(A1116)-LEN(SUBSTITUTE(A1116,"|",""))))),
    LEN($A1116)-LEN(SUBSTITUTE($A1116,"|",""))=13, MID($A1116, FIND("~", SUBSTITUTE($A1116,"|","~", 11))+1, FIND("~", SUBSTITUTE($A1116,"|","~", 12))-FIND("~", SUBSTITUTE($A1116,"|","~", 11))-1),
    LEN($A1116)-LEN(SUBSTITUTE($A1116,"|",""))=14, MID($A1116, FIND("~", SUBSTITUTE($A1116,"|","~", 11))+1, FIND("~", SUBSTITUTE($A1116,"|","~", 12))-FIND("~", SUBSTITUTE($A1116,"|","~", 11))-1)
), "")</f>
        <v>665077</v>
      </c>
      <c r="M1116" s="72" t="str">
        <f t="shared" si="141"/>
        <v>SB010059/4/26</v>
      </c>
      <c r="N1116" s="46" t="str">
        <f t="shared" si="149"/>
        <v/>
      </c>
      <c r="O1116" s="60">
        <v>51</v>
      </c>
      <c r="P1116" s="60">
        <v>988</v>
      </c>
      <c r="Q1116" s="48">
        <v>204</v>
      </c>
      <c r="R1116" s="48">
        <v>913</v>
      </c>
      <c r="S1116" s="48"/>
      <c r="T1116" s="48"/>
      <c r="U1116" s="49">
        <v>196</v>
      </c>
      <c r="V1116" s="49">
        <v>10</v>
      </c>
      <c r="W1116" s="50"/>
      <c r="X1116" s="51" t="str">
        <f>IF(A1116="", "", IF(COUNTIFS(C$3:C1115, C1116, D$3:D1115, D1116, G$3:G1115, G1116) &gt; 0, "", "11:00"-AW1116))</f>
        <v/>
      </c>
      <c r="Y1116" s="52" t="str">
        <f t="shared" si="155"/>
        <v/>
      </c>
      <c r="Z1116" s="53"/>
      <c r="AA1116" s="54"/>
      <c r="AB1116" s="53"/>
      <c r="AC1116" s="54"/>
      <c r="AD1116" s="53"/>
      <c r="AE1116" s="54"/>
      <c r="AF1116" s="53"/>
      <c r="AG1116" s="54"/>
      <c r="AH1116" s="55">
        <v>4.1666666666666699E-2</v>
      </c>
      <c r="AI1116" s="53"/>
      <c r="AJ1116" s="54"/>
      <c r="AK1116" s="53"/>
      <c r="AL1116" s="54"/>
      <c r="AM1116" s="53"/>
      <c r="AN1116" s="54"/>
      <c r="AO1116" s="53"/>
      <c r="AP1116" s="54"/>
      <c r="AQ1116" s="53"/>
      <c r="AR1116" s="54"/>
      <c r="AS1116" s="53"/>
      <c r="AT1116" s="54"/>
      <c r="AU1116" s="53">
        <v>4.1666666666666699E-2</v>
      </c>
      <c r="AV1116" s="54" t="s">
        <v>37</v>
      </c>
      <c r="AW1116" s="57">
        <f t="shared" si="154"/>
        <v>4.1666666666666699E-2</v>
      </c>
      <c r="AX1116" s="58" t="s">
        <v>56</v>
      </c>
    </row>
    <row r="1117" spans="1:50" ht="21" customHeight="1">
      <c r="A1117" s="66" t="s">
        <v>977</v>
      </c>
      <c r="B1117" s="39">
        <f t="shared" si="159"/>
        <v>1113</v>
      </c>
      <c r="C1117" s="40">
        <v>46046</v>
      </c>
      <c r="D1117" s="40" t="s">
        <v>32</v>
      </c>
      <c r="E1117" s="40" t="s">
        <v>33</v>
      </c>
      <c r="F1117" s="41">
        <v>698.5</v>
      </c>
      <c r="G1117" s="42" t="s">
        <v>54</v>
      </c>
      <c r="H1117" s="43" t="str">
        <f>IFERROR(VLOOKUP($J1117,'[9]FROM (3)'!$E$4:$F$230,2,FALSE),"")</f>
        <v>JCTTH</v>
      </c>
      <c r="I1117" s="44" t="str">
        <f t="shared" si="158"/>
        <v>RACK BAR</v>
      </c>
      <c r="J1117" s="44" t="str">
        <f t="shared" si="156"/>
        <v>JGD10-000751/000761-A</v>
      </c>
      <c r="K1117" s="59" t="str">
        <f t="shared" si="157"/>
        <v>PD26010576</v>
      </c>
      <c r="L1117" s="46" t="str" cm="1">
        <f t="array" ref="L1117">IFERROR(_xlfn.IFS(
    LEN($A1117)-LEN(SUBSTITUTE($A1117,"|",""))=12, RIGHT(A1117, LEN(A1117)-FIND("~", SUBSTITUTE(A1117,"|","~", LEN(A1117)-LEN(SUBSTITUTE(A1117,"|",""))))),
    LEN($A1117)-LEN(SUBSTITUTE($A1117,"|",""))=13, MID($A1117, FIND("~", SUBSTITUTE($A1117,"|","~", 11))+1, FIND("~", SUBSTITUTE($A1117,"|","~", 12))-FIND("~", SUBSTITUTE($A1117,"|","~", 11))-1),
    LEN($A1117)-LEN(SUBSTITUTE($A1117,"|",""))=14, MID($A1117, FIND("~", SUBSTITUTE($A1117,"|","~", 11))+1, FIND("~", SUBSTITUTE($A1117,"|","~", 12))-FIND("~", SUBSTITUTE($A1117,"|","~", 11))-1)
), "")</f>
        <v>665077</v>
      </c>
      <c r="M1117" s="72" t="str">
        <f t="shared" si="141"/>
        <v>SB010064/4/26</v>
      </c>
      <c r="N1117" s="46" t="str">
        <f t="shared" si="149"/>
        <v/>
      </c>
      <c r="O1117" s="60">
        <v>51</v>
      </c>
      <c r="P1117" s="60">
        <v>988</v>
      </c>
      <c r="Q1117" s="48">
        <v>169</v>
      </c>
      <c r="R1117" s="48">
        <v>756</v>
      </c>
      <c r="S1117" s="48"/>
      <c r="T1117" s="48"/>
      <c r="U1117" s="49"/>
      <c r="V1117" s="49"/>
      <c r="W1117" s="50"/>
      <c r="X1117" s="51" t="str">
        <f>IF(A1117="", "", IF(COUNTIFS(C$3:C1116, C1117, D$3:D1116, D1117, G$3:G1116, G1117) &gt; 0, "", "11:00"-AW1117))</f>
        <v/>
      </c>
      <c r="Y1117" s="52" t="str">
        <f t="shared" si="155"/>
        <v/>
      </c>
      <c r="Z1117" s="53"/>
      <c r="AA1117" s="54"/>
      <c r="AB1117" s="53"/>
      <c r="AC1117" s="54"/>
      <c r="AD1117" s="53"/>
      <c r="AE1117" s="54"/>
      <c r="AF1117" s="53"/>
      <c r="AG1117" s="54"/>
      <c r="AH1117" s="55">
        <v>4.1666666666666699E-2</v>
      </c>
      <c r="AI1117" s="53"/>
      <c r="AJ1117" s="54"/>
      <c r="AK1117" s="53"/>
      <c r="AL1117" s="54"/>
      <c r="AM1117" s="53"/>
      <c r="AN1117" s="54"/>
      <c r="AO1117" s="53"/>
      <c r="AP1117" s="54"/>
      <c r="AQ1117" s="53"/>
      <c r="AR1117" s="54"/>
      <c r="AS1117" s="53"/>
      <c r="AT1117" s="54"/>
      <c r="AU1117" s="53">
        <v>4.1666666666666699E-2</v>
      </c>
      <c r="AV1117" s="54" t="s">
        <v>37</v>
      </c>
      <c r="AW1117" s="57">
        <f t="shared" si="154"/>
        <v>4.1666666666666699E-2</v>
      </c>
      <c r="AX1117" s="58" t="s">
        <v>56</v>
      </c>
    </row>
    <row r="1118" spans="1:50" ht="21" customHeight="1">
      <c r="A1118" s="66" t="s">
        <v>968</v>
      </c>
      <c r="B1118" s="39">
        <f t="shared" si="159"/>
        <v>1114</v>
      </c>
      <c r="C1118" s="40">
        <v>46048</v>
      </c>
      <c r="D1118" s="40" t="s">
        <v>80</v>
      </c>
      <c r="E1118" s="40" t="s">
        <v>33</v>
      </c>
      <c r="F1118" s="41">
        <v>23.4</v>
      </c>
      <c r="G1118" s="42" t="s">
        <v>34</v>
      </c>
      <c r="H1118" s="43" t="str">
        <f>IFERROR(VLOOKUP($J1118,'[9]FROM (3)'!$E$4:$F$230,2,FALSE),"")</f>
        <v/>
      </c>
      <c r="I1118" s="44" t="str">
        <f t="shared" si="158"/>
        <v>FLANGE-13 SLUG</v>
      </c>
      <c r="J1118" s="44" t="str">
        <f t="shared" si="156"/>
        <v>ZZ2B7401TX1</v>
      </c>
      <c r="K1118" s="59" t="str">
        <f t="shared" si="157"/>
        <v>PD26010928</v>
      </c>
      <c r="L1118" s="46" t="str" cm="1">
        <f t="array" ref="L1118">IFERROR(_xlfn.IFS(
    LEN($A1118)-LEN(SUBSTITUTE($A1118,"|",""))=12, RIGHT(A1118, LEN(A1118)-FIND("~", SUBSTITUTE(A1118,"|","~", LEN(A1118)-LEN(SUBSTITUTE(A1118,"|",""))))),
    LEN($A1118)-LEN(SUBSTITUTE($A1118,"|",""))=13, MID($A1118, FIND("~", SUBSTITUTE($A1118,"|","~", 11))+1, FIND("~", SUBSTITUTE($A1118,"|","~", 12))-FIND("~", SUBSTITUTE($A1118,"|","~", 11))-1),
    LEN($A1118)-LEN(SUBSTITUTE($A1118,"|",""))=14, MID($A1118, FIND("~", SUBSTITUTE($A1118,"|","~", 11))+1, FIND("~", SUBSTITUTE($A1118,"|","~", 12))-FIND("~", SUBSTITUTE($A1118,"|","~", 11))-1)
), "")</f>
        <v>1-79662</v>
      </c>
      <c r="M1118" s="72" t="str">
        <f t="shared" si="141"/>
        <v>2B2600188</v>
      </c>
      <c r="N1118" s="46" t="str">
        <f t="shared" si="149"/>
        <v/>
      </c>
      <c r="O1118" s="60"/>
      <c r="P1118" s="60"/>
      <c r="Q1118" s="48">
        <v>3067</v>
      </c>
      <c r="R1118" s="48">
        <v>707</v>
      </c>
      <c r="S1118" s="48"/>
      <c r="T1118" s="48"/>
      <c r="U1118" s="49"/>
      <c r="V1118" s="49"/>
      <c r="W1118" s="50"/>
      <c r="X1118" s="51">
        <f>IF(A1118="", "", IF(COUNTIFS(C$3:C1117, C1118, D$3:D1117, D1118, G$3:G1117, G1118) &gt; 0, "", "11:00"-AW1118))</f>
        <v>0.33333333333333326</v>
      </c>
      <c r="Y1118" s="52" t="str">
        <f t="shared" si="155"/>
        <v>1:0</v>
      </c>
      <c r="Z1118" s="53"/>
      <c r="AA1118" s="54"/>
      <c r="AB1118" s="53"/>
      <c r="AC1118" s="54"/>
      <c r="AD1118" s="53"/>
      <c r="AE1118" s="54"/>
      <c r="AF1118" s="53"/>
      <c r="AG1118" s="54"/>
      <c r="AH1118" s="55">
        <v>4.1666666666666699E-2</v>
      </c>
      <c r="AI1118" s="53"/>
      <c r="AJ1118" s="54"/>
      <c r="AK1118" s="53"/>
      <c r="AL1118" s="54"/>
      <c r="AM1118" s="53"/>
      <c r="AN1118" s="54"/>
      <c r="AO1118" s="53"/>
      <c r="AP1118" s="54"/>
      <c r="AQ1118" s="53">
        <v>4.1666666666666664E-2</v>
      </c>
      <c r="AR1118" s="54" t="s">
        <v>37</v>
      </c>
      <c r="AS1118" s="53">
        <v>4.1666666666666664E-2</v>
      </c>
      <c r="AT1118" s="54" t="s">
        <v>37</v>
      </c>
      <c r="AU1118" s="53">
        <v>4.1666666666666699E-2</v>
      </c>
      <c r="AV1118" s="54" t="s">
        <v>37</v>
      </c>
      <c r="AW1118" s="57">
        <f t="shared" ref="AW1118:AW1181" si="160">SUM(Z1118,AB1118,AD1118,AF1118,AI1118,AK1118,AM1118,AO1118,AQ1118,AS1118,AU1118)</f>
        <v>0.12500000000000003</v>
      </c>
      <c r="AX1118" s="58" t="s">
        <v>203</v>
      </c>
    </row>
    <row r="1119" spans="1:50" ht="21" customHeight="1">
      <c r="A1119" s="66" t="s">
        <v>978</v>
      </c>
      <c r="B1119" s="39">
        <f t="shared" si="159"/>
        <v>1115</v>
      </c>
      <c r="C1119" s="40">
        <v>46048</v>
      </c>
      <c r="D1119" s="40" t="s">
        <v>80</v>
      </c>
      <c r="E1119" s="40" t="s">
        <v>33</v>
      </c>
      <c r="F1119" s="41" t="s">
        <v>404</v>
      </c>
      <c r="G1119" s="42" t="s">
        <v>44</v>
      </c>
      <c r="H1119" s="43" t="str">
        <f>IFERROR(VLOOKUP($J1119,'[9]FROM (3)'!$E$4:$F$230,2,FALSE),"")</f>
        <v>DNTH</v>
      </c>
      <c r="I1119" s="44" t="str">
        <f t="shared" si="158"/>
        <v>SLUG VALVE ROTARY</v>
      </c>
      <c r="J1119" s="44" t="str">
        <f t="shared" si="156"/>
        <v>TGY95613-0020</v>
      </c>
      <c r="K1119" s="59" t="str">
        <f t="shared" si="157"/>
        <v>PD26011085</v>
      </c>
      <c r="L1119" s="46" t="str" cm="1">
        <f t="array" ref="L1119">IFERROR(_xlfn.IFS(
    LEN($A1119)-LEN(SUBSTITUTE($A1119,"|",""))=12, RIGHT(A1119, LEN(A1119)-FIND("~", SUBSTITUTE(A1119,"|","~", LEN(A1119)-LEN(SUBSTITUTE(A1119,"|",""))))),
    LEN($A1119)-LEN(SUBSTITUTE($A1119,"|",""))=13, MID($A1119, FIND("~", SUBSTITUTE($A1119,"|","~", 11))+1, FIND("~", SUBSTITUTE($A1119,"|","~", 12))-FIND("~", SUBSTITUTE($A1119,"|","~", 11))-1),
    LEN($A1119)-LEN(SUBSTITUTE($A1119,"|",""))=14, MID($A1119, FIND("~", SUBSTITUTE($A1119,"|","~", 11))+1, FIND("~", SUBSTITUTE($A1119,"|","~", 12))-FIND("~", SUBSTITUTE($A1119,"|","~", 11))-1)
), "")</f>
        <v>E585734</v>
      </c>
      <c r="M1119" s="72" t="str">
        <f t="shared" si="141"/>
        <v>SB010147/1/26</v>
      </c>
      <c r="N1119" s="46" t="str">
        <f t="shared" si="149"/>
        <v/>
      </c>
      <c r="O1119" s="60"/>
      <c r="P1119" s="60"/>
      <c r="Q1119" s="48">
        <v>3358</v>
      </c>
      <c r="R1119" s="48">
        <v>666</v>
      </c>
      <c r="S1119" s="48"/>
      <c r="T1119" s="48"/>
      <c r="U1119" s="49"/>
      <c r="V1119" s="49"/>
      <c r="W1119" s="50"/>
      <c r="X1119" s="51">
        <f>IF(A1119="", "", IF(COUNTIFS(C$3:C1118, C1119, D$3:D1118, D1119, G$3:G1118, G1119) &gt; 0, "", "11:00"-AW1119))</f>
        <v>0.33333333333333326</v>
      </c>
      <c r="Y1119" s="52" t="str">
        <f t="shared" si="155"/>
        <v>1:0</v>
      </c>
      <c r="Z1119" s="53"/>
      <c r="AA1119" s="54"/>
      <c r="AB1119" s="53"/>
      <c r="AC1119" s="54"/>
      <c r="AD1119" s="53"/>
      <c r="AE1119" s="54"/>
      <c r="AF1119" s="53"/>
      <c r="AG1119" s="54"/>
      <c r="AH1119" s="55">
        <v>4.1666666666666699E-2</v>
      </c>
      <c r="AI1119" s="53"/>
      <c r="AJ1119" s="54"/>
      <c r="AK1119" s="53"/>
      <c r="AL1119" s="54"/>
      <c r="AM1119" s="53"/>
      <c r="AN1119" s="54"/>
      <c r="AO1119" s="53"/>
      <c r="AP1119" s="54"/>
      <c r="AQ1119" s="53">
        <v>4.1666666666666664E-2</v>
      </c>
      <c r="AR1119" s="54" t="s">
        <v>37</v>
      </c>
      <c r="AS1119" s="53">
        <v>4.1666666666666664E-2</v>
      </c>
      <c r="AT1119" s="54" t="s">
        <v>37</v>
      </c>
      <c r="AU1119" s="53">
        <v>4.1666666666666699E-2</v>
      </c>
      <c r="AV1119" s="54" t="s">
        <v>37</v>
      </c>
      <c r="AW1119" s="57">
        <f t="shared" si="160"/>
        <v>0.12500000000000003</v>
      </c>
      <c r="AX1119" s="58" t="s">
        <v>203</v>
      </c>
    </row>
    <row r="1120" spans="1:50" ht="21" customHeight="1">
      <c r="A1120" s="66" t="s">
        <v>977</v>
      </c>
      <c r="B1120" s="39">
        <f t="shared" si="159"/>
        <v>1116</v>
      </c>
      <c r="C1120" s="40">
        <v>46048</v>
      </c>
      <c r="D1120" s="40" t="s">
        <v>80</v>
      </c>
      <c r="E1120" s="40" t="s">
        <v>33</v>
      </c>
      <c r="F1120" s="41">
        <v>698.5</v>
      </c>
      <c r="G1120" s="42" t="s">
        <v>54</v>
      </c>
      <c r="H1120" s="43" t="str">
        <f>IFERROR(VLOOKUP($J1120,'[9]FROM (3)'!$E$4:$F$230,2,FALSE),"")</f>
        <v>JCTTH</v>
      </c>
      <c r="I1120" s="44" t="str">
        <f t="shared" si="158"/>
        <v>RACK BAR</v>
      </c>
      <c r="J1120" s="44" t="str">
        <f t="shared" si="156"/>
        <v>JGD10-000751/000761-A</v>
      </c>
      <c r="K1120" s="59" t="str">
        <f t="shared" si="157"/>
        <v>PD26010576</v>
      </c>
      <c r="L1120" s="46" t="str" cm="1">
        <f t="array" ref="L1120">IFERROR(_xlfn.IFS(
    LEN($A1120)-LEN(SUBSTITUTE($A1120,"|",""))=12, RIGHT(A1120, LEN(A1120)-FIND("~", SUBSTITUTE(A1120,"|","~", LEN(A1120)-LEN(SUBSTITUTE(A1120,"|",""))))),
    LEN($A1120)-LEN(SUBSTITUTE($A1120,"|",""))=13, MID($A1120, FIND("~", SUBSTITUTE($A1120,"|","~", 11))+1, FIND("~", SUBSTITUTE($A1120,"|","~", 12))-FIND("~", SUBSTITUTE($A1120,"|","~", 11))-1),
    LEN($A1120)-LEN(SUBSTITUTE($A1120,"|",""))=14, MID($A1120, FIND("~", SUBSTITUTE($A1120,"|","~", 11))+1, FIND("~", SUBSTITUTE($A1120,"|","~", 12))-FIND("~", SUBSTITUTE($A1120,"|","~", 11))-1)
), "")</f>
        <v>665077</v>
      </c>
      <c r="M1120" s="72" t="str">
        <f t="shared" si="141"/>
        <v>SB010064/4/26</v>
      </c>
      <c r="N1120" s="46" t="str">
        <f t="shared" si="149"/>
        <v/>
      </c>
      <c r="O1120" s="60" t="s">
        <v>35</v>
      </c>
      <c r="P1120" s="60" t="s">
        <v>35</v>
      </c>
      <c r="Q1120" s="48">
        <v>35</v>
      </c>
      <c r="R1120" s="48">
        <v>157</v>
      </c>
      <c r="S1120" s="48"/>
      <c r="T1120" s="48"/>
      <c r="U1120" s="49"/>
      <c r="V1120" s="49"/>
      <c r="W1120" s="50"/>
      <c r="X1120" s="51">
        <f>IF(A1120="", "", IF(COUNTIFS(C$3:C1119, C1120, D$3:D1119, D1120, G$3:G1119, G1120) &gt; 0, "", "11:00"-AW1120))</f>
        <v>0.33333333333333326</v>
      </c>
      <c r="Y1120" s="52" t="str">
        <f t="shared" si="155"/>
        <v>1:0</v>
      </c>
      <c r="Z1120" s="53"/>
      <c r="AA1120" s="54"/>
      <c r="AB1120" s="53"/>
      <c r="AC1120" s="54"/>
      <c r="AD1120" s="53"/>
      <c r="AE1120" s="54"/>
      <c r="AF1120" s="53"/>
      <c r="AG1120" s="54"/>
      <c r="AH1120" s="55">
        <v>4.1666666666666699E-2</v>
      </c>
      <c r="AI1120" s="53"/>
      <c r="AJ1120" s="54"/>
      <c r="AK1120" s="53"/>
      <c r="AL1120" s="54"/>
      <c r="AM1120" s="53"/>
      <c r="AN1120" s="54"/>
      <c r="AO1120" s="53"/>
      <c r="AP1120" s="54"/>
      <c r="AQ1120" s="53">
        <v>4.1666666666666664E-2</v>
      </c>
      <c r="AR1120" s="54" t="s">
        <v>37</v>
      </c>
      <c r="AS1120" s="53">
        <v>4.1666666666666664E-2</v>
      </c>
      <c r="AT1120" s="54" t="s">
        <v>37</v>
      </c>
      <c r="AU1120" s="53">
        <v>4.1666666666666699E-2</v>
      </c>
      <c r="AV1120" s="54" t="s">
        <v>37</v>
      </c>
      <c r="AW1120" s="57">
        <f t="shared" si="160"/>
        <v>0.12500000000000003</v>
      </c>
      <c r="AX1120" s="58" t="s">
        <v>91</v>
      </c>
    </row>
    <row r="1121" spans="1:50" ht="21" customHeight="1">
      <c r="A1121" s="66" t="s">
        <v>979</v>
      </c>
      <c r="B1121" s="39">
        <f t="shared" si="159"/>
        <v>1117</v>
      </c>
      <c r="C1121" s="40">
        <v>46048</v>
      </c>
      <c r="D1121" s="40" t="s">
        <v>80</v>
      </c>
      <c r="E1121" s="40" t="s">
        <v>33</v>
      </c>
      <c r="F1121" s="41">
        <v>698.5</v>
      </c>
      <c r="G1121" s="42" t="s">
        <v>54</v>
      </c>
      <c r="H1121" s="43" t="str">
        <f>IFERROR(VLOOKUP($J1121,'[9]FROM (3)'!$E$4:$F$230,2,FALSE),"")</f>
        <v>JCTTH</v>
      </c>
      <c r="I1121" s="44" t="str">
        <f t="shared" si="158"/>
        <v>RACK BAR</v>
      </c>
      <c r="J1121" s="44" t="str">
        <f t="shared" si="156"/>
        <v>JGD10-000751/000761-A</v>
      </c>
      <c r="K1121" s="59" t="str">
        <f t="shared" si="157"/>
        <v>PD26010576</v>
      </c>
      <c r="L1121" s="46" t="str" cm="1">
        <f t="array" ref="L1121">IFERROR(_xlfn.IFS(
    LEN($A1121)-LEN(SUBSTITUTE($A1121,"|",""))=12, RIGHT(A1121, LEN(A1121)-FIND("~", SUBSTITUTE(A1121,"|","~", LEN(A1121)-LEN(SUBSTITUTE(A1121,"|",""))))),
    LEN($A1121)-LEN(SUBSTITUTE($A1121,"|",""))=13, MID($A1121, FIND("~", SUBSTITUTE($A1121,"|","~", 11))+1, FIND("~", SUBSTITUTE($A1121,"|","~", 12))-FIND("~", SUBSTITUTE($A1121,"|","~", 11))-1),
    LEN($A1121)-LEN(SUBSTITUTE($A1121,"|",""))=14, MID($A1121, FIND("~", SUBSTITUTE($A1121,"|","~", 11))+1, FIND("~", SUBSTITUTE($A1121,"|","~", 12))-FIND("~", SUBSTITUTE($A1121,"|","~", 11))-1)
), "")</f>
        <v>665077</v>
      </c>
      <c r="M1121" s="72" t="str">
        <f t="shared" si="141"/>
        <v>SB010064/6/26</v>
      </c>
      <c r="N1121" s="46" t="str">
        <f t="shared" si="149"/>
        <v/>
      </c>
      <c r="O1121" s="60">
        <v>51</v>
      </c>
      <c r="P1121" s="60">
        <v>988</v>
      </c>
      <c r="Q1121" s="48">
        <v>204</v>
      </c>
      <c r="R1121" s="48">
        <v>913</v>
      </c>
      <c r="S1121" s="48"/>
      <c r="T1121" s="48"/>
      <c r="U1121" s="49"/>
      <c r="V1121" s="49"/>
      <c r="W1121" s="50"/>
      <c r="X1121" s="51" t="str">
        <f>IF(A1121="", "", IF(COUNTIFS(C$3:C1120, C1121, D$3:D1120, D1121, G$3:G1120, G1121) &gt; 0, "", "11:00"-AW1121))</f>
        <v/>
      </c>
      <c r="Y1121" s="52" t="str">
        <f t="shared" si="155"/>
        <v/>
      </c>
      <c r="Z1121" s="53"/>
      <c r="AA1121" s="54"/>
      <c r="AB1121" s="53"/>
      <c r="AC1121" s="54"/>
      <c r="AD1121" s="53"/>
      <c r="AE1121" s="54"/>
      <c r="AF1121" s="53"/>
      <c r="AG1121" s="54"/>
      <c r="AH1121" s="55">
        <v>4.1666666666666699E-2</v>
      </c>
      <c r="AI1121" s="53"/>
      <c r="AJ1121" s="54"/>
      <c r="AK1121" s="53"/>
      <c r="AL1121" s="54"/>
      <c r="AM1121" s="53"/>
      <c r="AN1121" s="54"/>
      <c r="AO1121" s="53"/>
      <c r="AP1121" s="54"/>
      <c r="AQ1121" s="53"/>
      <c r="AR1121" s="54"/>
      <c r="AS1121" s="53"/>
      <c r="AT1121" s="54"/>
      <c r="AU1121" s="53">
        <v>4.1666666666666699E-2</v>
      </c>
      <c r="AV1121" s="54" t="s">
        <v>37</v>
      </c>
      <c r="AW1121" s="57">
        <f t="shared" si="160"/>
        <v>4.1666666666666699E-2</v>
      </c>
      <c r="AX1121" s="58" t="s">
        <v>91</v>
      </c>
    </row>
    <row r="1122" spans="1:50" ht="21" customHeight="1">
      <c r="A1122" s="66" t="s">
        <v>980</v>
      </c>
      <c r="B1122" s="39">
        <f t="shared" si="159"/>
        <v>1118</v>
      </c>
      <c r="C1122" s="40">
        <v>46048</v>
      </c>
      <c r="D1122" s="40" t="s">
        <v>80</v>
      </c>
      <c r="E1122" s="40" t="s">
        <v>33</v>
      </c>
      <c r="F1122" s="41">
        <v>698.5</v>
      </c>
      <c r="G1122" s="42" t="s">
        <v>54</v>
      </c>
      <c r="H1122" s="43" t="str">
        <f>IFERROR(VLOOKUP($J1122,'[9]FROM (3)'!$E$4:$F$230,2,FALSE),"")</f>
        <v>JCTTH</v>
      </c>
      <c r="I1122" s="44" t="str">
        <f t="shared" si="158"/>
        <v>RACK BAR</v>
      </c>
      <c r="J1122" s="44" t="str">
        <f t="shared" si="156"/>
        <v>JGD10-000751/000761-A</v>
      </c>
      <c r="K1122" s="59" t="str">
        <f t="shared" si="157"/>
        <v>PD26010576</v>
      </c>
      <c r="L1122" s="46" t="str" cm="1">
        <f t="array" ref="L1122">IFERROR(_xlfn.IFS(
    LEN($A1122)-LEN(SUBSTITUTE($A1122,"|",""))=12, RIGHT(A1122, LEN(A1122)-FIND("~", SUBSTITUTE(A1122,"|","~", LEN(A1122)-LEN(SUBSTITUTE(A1122,"|",""))))),
    LEN($A1122)-LEN(SUBSTITUTE($A1122,"|",""))=13, MID($A1122, FIND("~", SUBSTITUTE($A1122,"|","~", 11))+1, FIND("~", SUBSTITUTE($A1122,"|","~", 12))-FIND("~", SUBSTITUTE($A1122,"|","~", 11))-1),
    LEN($A1122)-LEN(SUBSTITUTE($A1122,"|",""))=14, MID($A1122, FIND("~", SUBSTITUTE($A1122,"|","~", 11))+1, FIND("~", SUBSTITUTE($A1122,"|","~", 12))-FIND("~", SUBSTITUTE($A1122,"|","~", 11))-1)
), "")</f>
        <v>665077</v>
      </c>
      <c r="M1122" s="72" t="str">
        <f t="shared" si="141"/>
        <v>SB010064/5/26</v>
      </c>
      <c r="N1122" s="46" t="str">
        <f t="shared" si="149"/>
        <v/>
      </c>
      <c r="O1122" s="60">
        <v>51</v>
      </c>
      <c r="P1122" s="60">
        <v>988</v>
      </c>
      <c r="Q1122" s="48">
        <v>204</v>
      </c>
      <c r="R1122" s="48">
        <v>913</v>
      </c>
      <c r="S1122" s="48"/>
      <c r="T1122" s="48"/>
      <c r="U1122" s="49">
        <v>196</v>
      </c>
      <c r="V1122" s="49">
        <v>10</v>
      </c>
      <c r="W1122" s="50"/>
      <c r="X1122" s="51" t="str">
        <f>IF(A1122="", "", IF(COUNTIFS(C$3:C1121, C1122, D$3:D1121, D1122, G$3:G1121, G1122) &gt; 0, "", "11:00"-AW1122))</f>
        <v/>
      </c>
      <c r="Y1122" s="52" t="str">
        <f t="shared" si="155"/>
        <v/>
      </c>
      <c r="Z1122" s="53"/>
      <c r="AA1122" s="54"/>
      <c r="AB1122" s="53"/>
      <c r="AC1122" s="54"/>
      <c r="AD1122" s="53"/>
      <c r="AE1122" s="54"/>
      <c r="AF1122" s="53"/>
      <c r="AG1122" s="54"/>
      <c r="AH1122" s="55">
        <v>4.1666666666666699E-2</v>
      </c>
      <c r="AI1122" s="53"/>
      <c r="AJ1122" s="54"/>
      <c r="AK1122" s="53"/>
      <c r="AL1122" s="54"/>
      <c r="AM1122" s="53"/>
      <c r="AN1122" s="54"/>
      <c r="AO1122" s="53"/>
      <c r="AP1122" s="54"/>
      <c r="AQ1122" s="53"/>
      <c r="AR1122" s="54"/>
      <c r="AS1122" s="53"/>
      <c r="AT1122" s="54"/>
      <c r="AU1122" s="53">
        <v>4.1666666666666699E-2</v>
      </c>
      <c r="AV1122" s="54" t="s">
        <v>37</v>
      </c>
      <c r="AW1122" s="57">
        <f t="shared" si="160"/>
        <v>4.1666666666666699E-2</v>
      </c>
      <c r="AX1122" s="58" t="s">
        <v>91</v>
      </c>
    </row>
    <row r="1123" spans="1:50" ht="21" customHeight="1">
      <c r="A1123" s="66" t="s">
        <v>981</v>
      </c>
      <c r="B1123" s="39">
        <f t="shared" si="159"/>
        <v>1119</v>
      </c>
      <c r="C1123" s="40">
        <v>46048</v>
      </c>
      <c r="D1123" s="40" t="s">
        <v>80</v>
      </c>
      <c r="E1123" s="40" t="s">
        <v>33</v>
      </c>
      <c r="F1123" s="41">
        <v>698.5</v>
      </c>
      <c r="G1123" s="42" t="s">
        <v>54</v>
      </c>
      <c r="H1123" s="43" t="str">
        <f>IFERROR(VLOOKUP($J1123,'[9]FROM (3)'!$E$4:$F$230,2,FALSE),"")</f>
        <v>JCTTH</v>
      </c>
      <c r="I1123" s="44" t="str">
        <f t="shared" si="158"/>
        <v>RACK BAR</v>
      </c>
      <c r="J1123" s="44" t="str">
        <f t="shared" si="156"/>
        <v>JGD10-000751/000761-A</v>
      </c>
      <c r="K1123" s="59" t="str">
        <f t="shared" si="157"/>
        <v>PD26010644</v>
      </c>
      <c r="L1123" s="46" t="str" cm="1">
        <f t="array" ref="L1123">IFERROR(_xlfn.IFS(
    LEN($A1123)-LEN(SUBSTITUTE($A1123,"|",""))=12, RIGHT(A1123, LEN(A1123)-FIND("~", SUBSTITUTE(A1123,"|","~", LEN(A1123)-LEN(SUBSTITUTE(A1123,"|",""))))),
    LEN($A1123)-LEN(SUBSTITUTE($A1123,"|",""))=13, MID($A1123, FIND("~", SUBSTITUTE($A1123,"|","~", 11))+1, FIND("~", SUBSTITUTE($A1123,"|","~", 12))-FIND("~", SUBSTITUTE($A1123,"|","~", 11))-1),
    LEN($A1123)-LEN(SUBSTITUTE($A1123,"|",""))=14, MID($A1123, FIND("~", SUBSTITUTE($A1123,"|","~", 11))+1, FIND("~", SUBSTITUTE($A1123,"|","~", 12))-FIND("~", SUBSTITUTE($A1123,"|","~", 11))-1)
), "")</f>
        <v>665076</v>
      </c>
      <c r="M1123" s="72" t="str">
        <f t="shared" si="141"/>
        <v>SB010069/3/26</v>
      </c>
      <c r="N1123" s="46" t="str">
        <f t="shared" si="149"/>
        <v/>
      </c>
      <c r="O1123" s="60">
        <v>39</v>
      </c>
      <c r="P1123" s="60">
        <v>756</v>
      </c>
      <c r="Q1123" s="48">
        <v>156</v>
      </c>
      <c r="R1123" s="48">
        <v>698</v>
      </c>
      <c r="S1123" s="48"/>
      <c r="T1123" s="48"/>
      <c r="U1123" s="49"/>
      <c r="V1123" s="49"/>
      <c r="W1123" s="50"/>
      <c r="X1123" s="51" t="str">
        <f>IF(A1123="", "", IF(COUNTIFS(C$3:C1122, C1123, D$3:D1122, D1123, G$3:G1122, G1123) &gt; 0, "", "11:00"-AW1123))</f>
        <v/>
      </c>
      <c r="Y1123" s="52" t="str">
        <f t="shared" si="155"/>
        <v/>
      </c>
      <c r="Z1123" s="53"/>
      <c r="AA1123" s="54"/>
      <c r="AB1123" s="53"/>
      <c r="AC1123" s="54"/>
      <c r="AD1123" s="53"/>
      <c r="AE1123" s="54"/>
      <c r="AF1123" s="53"/>
      <c r="AG1123" s="54"/>
      <c r="AH1123" s="55">
        <v>4.1666666666666699E-2</v>
      </c>
      <c r="AI1123" s="53"/>
      <c r="AJ1123" s="54"/>
      <c r="AK1123" s="53"/>
      <c r="AL1123" s="54"/>
      <c r="AM1123" s="53"/>
      <c r="AN1123" s="54"/>
      <c r="AO1123" s="53"/>
      <c r="AP1123" s="54"/>
      <c r="AQ1123" s="53"/>
      <c r="AR1123" s="54"/>
      <c r="AS1123" s="53"/>
      <c r="AT1123" s="54"/>
      <c r="AU1123" s="53">
        <v>4.1666666666666699E-2</v>
      </c>
      <c r="AV1123" s="54" t="s">
        <v>37</v>
      </c>
      <c r="AW1123" s="57">
        <f t="shared" si="160"/>
        <v>4.1666666666666699E-2</v>
      </c>
      <c r="AX1123" s="58" t="s">
        <v>91</v>
      </c>
    </row>
    <row r="1124" spans="1:50" ht="21" customHeight="1">
      <c r="A1124" s="66" t="s">
        <v>982</v>
      </c>
      <c r="B1124" s="39">
        <f t="shared" si="159"/>
        <v>1120</v>
      </c>
      <c r="C1124" s="40">
        <v>46048</v>
      </c>
      <c r="D1124" s="40" t="s">
        <v>80</v>
      </c>
      <c r="E1124" s="40" t="s">
        <v>33</v>
      </c>
      <c r="F1124" s="41">
        <v>698.5</v>
      </c>
      <c r="G1124" s="42" t="s">
        <v>54</v>
      </c>
      <c r="H1124" s="43" t="str">
        <f>IFERROR(VLOOKUP($J1124,'[9]FROM (3)'!$E$4:$F$230,2,FALSE),"")</f>
        <v>JCTTH</v>
      </c>
      <c r="I1124" s="44" t="str">
        <f t="shared" si="158"/>
        <v>RACK BAR</v>
      </c>
      <c r="J1124" s="44" t="str">
        <f t="shared" si="156"/>
        <v>JGD10-000751/000761-A</v>
      </c>
      <c r="K1124" s="59" t="str">
        <f t="shared" si="157"/>
        <v>PD26010644</v>
      </c>
      <c r="L1124" s="46" t="str" cm="1">
        <f t="array" ref="L1124">IFERROR(_xlfn.IFS(
    LEN($A1124)-LEN(SUBSTITUTE($A1124,"|",""))=12, RIGHT(A1124, LEN(A1124)-FIND("~", SUBSTITUTE(A1124,"|","~", LEN(A1124)-LEN(SUBSTITUTE(A1124,"|",""))))),
    LEN($A1124)-LEN(SUBSTITUTE($A1124,"|",""))=13, MID($A1124, FIND("~", SUBSTITUTE($A1124,"|","~", 11))+1, FIND("~", SUBSTITUTE($A1124,"|","~", 12))-FIND("~", SUBSTITUTE($A1124,"|","~", 11))-1),
    LEN($A1124)-LEN(SUBSTITUTE($A1124,"|",""))=14, MID($A1124, FIND("~", SUBSTITUTE($A1124,"|","~", 11))+1, FIND("~", SUBSTITUTE($A1124,"|","~", 12))-FIND("~", SUBSTITUTE($A1124,"|","~", 11))-1)
), "")</f>
        <v>665076</v>
      </c>
      <c r="M1124" s="72" t="str">
        <f t="shared" si="141"/>
        <v>SB010069/1/26</v>
      </c>
      <c r="N1124" s="46" t="str">
        <f t="shared" si="149"/>
        <v/>
      </c>
      <c r="O1124" s="60">
        <v>51</v>
      </c>
      <c r="P1124" s="60">
        <v>988</v>
      </c>
      <c r="Q1124" s="48">
        <v>204</v>
      </c>
      <c r="R1124" s="48">
        <v>913</v>
      </c>
      <c r="S1124" s="48"/>
      <c r="T1124" s="48"/>
      <c r="U1124" s="49"/>
      <c r="V1124" s="49"/>
      <c r="W1124" s="50"/>
      <c r="X1124" s="51" t="str">
        <f>IF(A1124="", "", IF(COUNTIFS(C$3:C1123, C1124, D$3:D1123, D1124, G$3:G1123, G1124) &gt; 0, "", "11:00"-AW1124))</f>
        <v/>
      </c>
      <c r="Y1124" s="52" t="str">
        <f t="shared" si="155"/>
        <v/>
      </c>
      <c r="Z1124" s="53"/>
      <c r="AA1124" s="54"/>
      <c r="AB1124" s="53"/>
      <c r="AC1124" s="54"/>
      <c r="AD1124" s="53"/>
      <c r="AE1124" s="54"/>
      <c r="AF1124" s="53"/>
      <c r="AG1124" s="54"/>
      <c r="AH1124" s="55">
        <v>4.1666666666666699E-2</v>
      </c>
      <c r="AI1124" s="53"/>
      <c r="AJ1124" s="54"/>
      <c r="AK1124" s="53"/>
      <c r="AL1124" s="54"/>
      <c r="AM1124" s="53"/>
      <c r="AN1124" s="54"/>
      <c r="AO1124" s="53"/>
      <c r="AP1124" s="54"/>
      <c r="AQ1124" s="53"/>
      <c r="AR1124" s="54"/>
      <c r="AS1124" s="53"/>
      <c r="AT1124" s="54"/>
      <c r="AU1124" s="53">
        <v>4.1666666666666699E-2</v>
      </c>
      <c r="AV1124" s="54" t="s">
        <v>37</v>
      </c>
      <c r="AW1124" s="57">
        <f t="shared" si="160"/>
        <v>4.1666666666666699E-2</v>
      </c>
      <c r="AX1124" s="58" t="s">
        <v>91</v>
      </c>
    </row>
    <row r="1125" spans="1:50" ht="21" customHeight="1">
      <c r="A1125" s="66" t="s">
        <v>983</v>
      </c>
      <c r="B1125" s="39">
        <f t="shared" si="159"/>
        <v>1121</v>
      </c>
      <c r="C1125" s="40">
        <v>46048</v>
      </c>
      <c r="D1125" s="40" t="s">
        <v>80</v>
      </c>
      <c r="E1125" s="40" t="s">
        <v>33</v>
      </c>
      <c r="F1125" s="41">
        <v>698.5</v>
      </c>
      <c r="G1125" s="42" t="s">
        <v>54</v>
      </c>
      <c r="H1125" s="43" t="str">
        <f>IFERROR(VLOOKUP($J1125,'[9]FROM (3)'!$E$4:$F$230,2,FALSE),"")</f>
        <v>JCTTH</v>
      </c>
      <c r="I1125" s="44" t="str">
        <f t="shared" si="158"/>
        <v>RACK BAR</v>
      </c>
      <c r="J1125" s="44" t="str">
        <f t="shared" si="156"/>
        <v>JGD10-000751/000761-A</v>
      </c>
      <c r="K1125" s="59" t="str">
        <f t="shared" si="157"/>
        <v>PD26010644</v>
      </c>
      <c r="L1125" s="46" t="str" cm="1">
        <f t="array" ref="L1125">IFERROR(_xlfn.IFS(
    LEN($A1125)-LEN(SUBSTITUTE($A1125,"|",""))=12, RIGHT(A1125, LEN(A1125)-FIND("~", SUBSTITUTE(A1125,"|","~", LEN(A1125)-LEN(SUBSTITUTE(A1125,"|",""))))),
    LEN($A1125)-LEN(SUBSTITUTE($A1125,"|",""))=13, MID($A1125, FIND("~", SUBSTITUTE($A1125,"|","~", 11))+1, FIND("~", SUBSTITUTE($A1125,"|","~", 12))-FIND("~", SUBSTITUTE($A1125,"|","~", 11))-1),
    LEN($A1125)-LEN(SUBSTITUTE($A1125,"|",""))=14, MID($A1125, FIND("~", SUBSTITUTE($A1125,"|","~", 11))+1, FIND("~", SUBSTITUTE($A1125,"|","~", 12))-FIND("~", SUBSTITUTE($A1125,"|","~", 11))-1)
), "")</f>
        <v>665076</v>
      </c>
      <c r="M1125" s="72" t="str">
        <f t="shared" si="141"/>
        <v>SB010069/2/26</v>
      </c>
      <c r="N1125" s="46" t="str">
        <f t="shared" si="149"/>
        <v/>
      </c>
      <c r="O1125" s="60">
        <v>51</v>
      </c>
      <c r="P1125" s="60">
        <v>988</v>
      </c>
      <c r="Q1125" s="48">
        <v>75</v>
      </c>
      <c r="R1125" s="48">
        <v>336</v>
      </c>
      <c r="S1125" s="48"/>
      <c r="T1125" s="48"/>
      <c r="U1125" s="49"/>
      <c r="V1125" s="49"/>
      <c r="W1125" s="50"/>
      <c r="X1125" s="51" t="str">
        <f>IF(A1125="", "", IF(COUNTIFS(C$3:C1124, C1125, D$3:D1124, D1125, G$3:G1124, G1125) &gt; 0, "", "11:00"-AW1125))</f>
        <v/>
      </c>
      <c r="Y1125" s="52" t="str">
        <f t="shared" si="155"/>
        <v/>
      </c>
      <c r="Z1125" s="53"/>
      <c r="AA1125" s="54"/>
      <c r="AB1125" s="53"/>
      <c r="AC1125" s="54"/>
      <c r="AD1125" s="53"/>
      <c r="AE1125" s="54"/>
      <c r="AF1125" s="53"/>
      <c r="AG1125" s="54"/>
      <c r="AH1125" s="55">
        <v>4.1666666666666699E-2</v>
      </c>
      <c r="AI1125" s="53"/>
      <c r="AJ1125" s="54"/>
      <c r="AK1125" s="53"/>
      <c r="AL1125" s="54"/>
      <c r="AM1125" s="53"/>
      <c r="AN1125" s="54"/>
      <c r="AO1125" s="53"/>
      <c r="AP1125" s="54"/>
      <c r="AQ1125" s="53"/>
      <c r="AR1125" s="54"/>
      <c r="AS1125" s="53"/>
      <c r="AT1125" s="54"/>
      <c r="AU1125" s="53">
        <v>4.1666666666666699E-2</v>
      </c>
      <c r="AV1125" s="54" t="s">
        <v>37</v>
      </c>
      <c r="AW1125" s="57">
        <f t="shared" si="160"/>
        <v>4.1666666666666699E-2</v>
      </c>
      <c r="AX1125" s="58" t="s">
        <v>91</v>
      </c>
    </row>
    <row r="1126" spans="1:50" ht="21" customHeight="1">
      <c r="A1126" s="66" t="s">
        <v>969</v>
      </c>
      <c r="B1126" s="39">
        <f t="shared" si="159"/>
        <v>1122</v>
      </c>
      <c r="C1126" s="40">
        <v>46048</v>
      </c>
      <c r="D1126" s="40" t="s">
        <v>80</v>
      </c>
      <c r="E1126" s="40" t="s">
        <v>33</v>
      </c>
      <c r="F1126" s="41">
        <v>133.80000000000001</v>
      </c>
      <c r="G1126" s="42" t="s">
        <v>41</v>
      </c>
      <c r="H1126" s="43" t="str">
        <f>IFERROR(VLOOKUP($J1126,'[9]FROM (3)'!$E$4:$F$230,2,FALSE),"")</f>
        <v xml:space="preserve">DNTH </v>
      </c>
      <c r="I1126" s="44" t="str">
        <f t="shared" si="158"/>
        <v>Barrel</v>
      </c>
      <c r="J1126" s="44" t="str">
        <f t="shared" si="156"/>
        <v>TG028986-0030</v>
      </c>
      <c r="K1126" s="59" t="str">
        <f t="shared" si="157"/>
        <v>PD25121291</v>
      </c>
      <c r="L1126" s="46" t="str" cm="1">
        <f t="array" ref="L1126">IFERROR(_xlfn.IFS(
    LEN($A1126)-LEN(SUBSTITUTE($A1126,"|",""))=12, RIGHT(A1126, LEN(A1126)-FIND("~", SUBSTITUTE(A1126,"|","~", LEN(A1126)-LEN(SUBSTITUTE(A1126,"|",""))))),
    LEN($A1126)-LEN(SUBSTITUTE($A1126,"|",""))=13, MID($A1126, FIND("~", SUBSTITUTE($A1126,"|","~", 11))+1, FIND("~", SUBSTITUTE($A1126,"|","~", 12))-FIND("~", SUBSTITUTE($A1126,"|","~", 11))-1),
    LEN($A1126)-LEN(SUBSTITUTE($A1126,"|",""))=14, MID($A1126, FIND("~", SUBSTITUTE($A1126,"|","~", 11))+1, FIND("~", SUBSTITUTE($A1126,"|","~", 12))-FIND("~", SUBSTITUTE($A1126,"|","~", 11))-1)
), "")</f>
        <v>E586056</v>
      </c>
      <c r="M1126" s="72" t="str">
        <f t="shared" si="141"/>
        <v>SB120087/3/25</v>
      </c>
      <c r="N1126" s="46" t="str">
        <f t="shared" si="149"/>
        <v/>
      </c>
      <c r="O1126" s="60"/>
      <c r="P1126" s="60"/>
      <c r="Q1126" s="48">
        <v>2965</v>
      </c>
      <c r="R1126" s="48">
        <v>397</v>
      </c>
      <c r="S1126" s="48"/>
      <c r="T1126" s="48"/>
      <c r="U1126" s="49"/>
      <c r="V1126" s="49"/>
      <c r="W1126" s="50"/>
      <c r="X1126" s="51">
        <f>IF(A1126="", "", IF(COUNTIFS(C$3:C1125, C1126, D$3:D1125, D1126, G$3:G1125, G1126) &gt; 0, "", "11:00"-AW1126))</f>
        <v>0.33333333333333326</v>
      </c>
      <c r="Y1126" s="52" t="str">
        <f t="shared" si="155"/>
        <v>1:0</v>
      </c>
      <c r="Z1126" s="53"/>
      <c r="AA1126" s="54"/>
      <c r="AB1126" s="53"/>
      <c r="AC1126" s="54"/>
      <c r="AD1126" s="53"/>
      <c r="AE1126" s="54"/>
      <c r="AF1126" s="53"/>
      <c r="AG1126" s="54"/>
      <c r="AH1126" s="55">
        <v>4.1666666666666699E-2</v>
      </c>
      <c r="AI1126" s="53"/>
      <c r="AJ1126" s="54"/>
      <c r="AK1126" s="53"/>
      <c r="AL1126" s="54"/>
      <c r="AM1126" s="53"/>
      <c r="AN1126" s="54"/>
      <c r="AO1126" s="53"/>
      <c r="AP1126" s="54"/>
      <c r="AQ1126" s="53">
        <v>4.1666666666666664E-2</v>
      </c>
      <c r="AR1126" s="54" t="s">
        <v>37</v>
      </c>
      <c r="AS1126" s="53">
        <v>4.1666666666666664E-2</v>
      </c>
      <c r="AT1126" s="54" t="s">
        <v>37</v>
      </c>
      <c r="AU1126" s="53">
        <v>4.1666666666666699E-2</v>
      </c>
      <c r="AV1126" s="54" t="s">
        <v>37</v>
      </c>
      <c r="AW1126" s="57">
        <f t="shared" si="160"/>
        <v>0.12500000000000003</v>
      </c>
      <c r="AX1126" s="58" t="s">
        <v>203</v>
      </c>
    </row>
    <row r="1127" spans="1:50" ht="21" customHeight="1">
      <c r="A1127" s="66" t="s">
        <v>984</v>
      </c>
      <c r="B1127" s="39">
        <f t="shared" si="159"/>
        <v>1123</v>
      </c>
      <c r="C1127" s="40">
        <v>46048</v>
      </c>
      <c r="D1127" s="40" t="s">
        <v>80</v>
      </c>
      <c r="E1127" s="40" t="s">
        <v>33</v>
      </c>
      <c r="F1127" s="41">
        <v>146.80000000000001</v>
      </c>
      <c r="G1127" s="42" t="s">
        <v>115</v>
      </c>
      <c r="H1127" s="43" t="str">
        <f>IFERROR(VLOOKUP($J1127,'[9]FROM (3)'!$E$4:$F$230,2,FALSE),"")</f>
        <v>DNTH</v>
      </c>
      <c r="I1127" s="44" t="str">
        <f t="shared" si="158"/>
        <v>SHAFT, 2W</v>
      </c>
      <c r="J1127" s="44" t="str">
        <f t="shared" si="156"/>
        <v>TG028383-0040</v>
      </c>
      <c r="K1127" s="59" t="str">
        <f t="shared" si="157"/>
        <v>PD25111201</v>
      </c>
      <c r="L1127" s="46" t="str" cm="1">
        <f t="array" ref="L1127">IFERROR(_xlfn.IFS(
    LEN($A1127)-LEN(SUBSTITUTE($A1127,"|",""))=12, RIGHT(A1127, LEN(A1127)-FIND("~", SUBSTITUTE(A1127,"|","~", LEN(A1127)-LEN(SUBSTITUTE(A1127,"|",""))))),
    LEN($A1127)-LEN(SUBSTITUTE($A1127,"|",""))=13, MID($A1127, FIND("~", SUBSTITUTE($A1127,"|","~", 11))+1, FIND("~", SUBSTITUTE($A1127,"|","~", 12))-FIND("~", SUBSTITUTE($A1127,"|","~", 11))-1),
    LEN($A1127)-LEN(SUBSTITUTE($A1127,"|",""))=14, MID($A1127, FIND("~", SUBSTITUTE($A1127,"|","~", 11))+1, FIND("~", SUBSTITUTE($A1127,"|","~", 12))-FIND("~", SUBSTITUTE($A1127,"|","~", 11))-1)
), "")</f>
        <v>E483074</v>
      </c>
      <c r="M1127" s="72" t="str">
        <f t="shared" si="141"/>
        <v>FP120395/2/25</v>
      </c>
      <c r="N1127" s="46" t="str">
        <f t="shared" si="149"/>
        <v>FP120395/2/25</v>
      </c>
      <c r="O1127" s="60">
        <v>1500</v>
      </c>
      <c r="P1127" s="60">
        <v>581</v>
      </c>
      <c r="Q1127" s="48">
        <v>1500</v>
      </c>
      <c r="R1127" s="48">
        <v>581</v>
      </c>
      <c r="S1127" s="48" t="s">
        <v>35</v>
      </c>
      <c r="T1127" s="48"/>
      <c r="U1127" s="49"/>
      <c r="V1127" s="49"/>
      <c r="W1127" s="50"/>
      <c r="X1127" s="51">
        <f>IF(A1127="", "", IF(COUNTIFS(C$3:C1126, C1127, D$3:D1126, D1127, G$3:G1126, G1127) &gt; 0, "", "11:00"-AW1127))</f>
        <v>0.33333333333333326</v>
      </c>
      <c r="Y1127" s="52" t="str">
        <f t="shared" si="155"/>
        <v>1:0</v>
      </c>
      <c r="Z1127" s="53"/>
      <c r="AA1127" s="54"/>
      <c r="AB1127" s="53"/>
      <c r="AC1127" s="54"/>
      <c r="AD1127" s="53"/>
      <c r="AE1127" s="54"/>
      <c r="AF1127" s="53"/>
      <c r="AG1127" s="54"/>
      <c r="AH1127" s="55">
        <v>4.1666666666666699E-2</v>
      </c>
      <c r="AI1127" s="53"/>
      <c r="AJ1127" s="54"/>
      <c r="AK1127" s="53"/>
      <c r="AL1127" s="54"/>
      <c r="AM1127" s="53"/>
      <c r="AN1127" s="54"/>
      <c r="AO1127" s="53"/>
      <c r="AP1127" s="54"/>
      <c r="AQ1127" s="53">
        <v>4.1666666666666664E-2</v>
      </c>
      <c r="AR1127" s="54" t="s">
        <v>37</v>
      </c>
      <c r="AS1127" s="53">
        <v>4.1666666666666664E-2</v>
      </c>
      <c r="AT1127" s="54" t="s">
        <v>37</v>
      </c>
      <c r="AU1127" s="53">
        <v>4.1666666666666699E-2</v>
      </c>
      <c r="AV1127" s="54" t="s">
        <v>37</v>
      </c>
      <c r="AW1127" s="57">
        <f t="shared" si="160"/>
        <v>0.12500000000000003</v>
      </c>
      <c r="AX1127" s="58" t="s">
        <v>109</v>
      </c>
    </row>
    <row r="1128" spans="1:50" ht="21" customHeight="1">
      <c r="A1128" s="66" t="s">
        <v>985</v>
      </c>
      <c r="B1128" s="39">
        <f t="shared" si="159"/>
        <v>1124</v>
      </c>
      <c r="C1128" s="40">
        <v>46048</v>
      </c>
      <c r="D1128" s="40" t="s">
        <v>80</v>
      </c>
      <c r="E1128" s="40" t="s">
        <v>33</v>
      </c>
      <c r="F1128" s="41">
        <v>146.80000000000001</v>
      </c>
      <c r="G1128" s="42" t="s">
        <v>115</v>
      </c>
      <c r="H1128" s="43" t="str">
        <f>IFERROR(VLOOKUP($J1128,'[9]FROM (3)'!$E$4:$F$230,2,FALSE),"")</f>
        <v>DNTH</v>
      </c>
      <c r="I1128" s="44" t="str">
        <f t="shared" si="158"/>
        <v>SHAFT, 2W</v>
      </c>
      <c r="J1128" s="44" t="str">
        <f t="shared" si="156"/>
        <v>TG028383-0040</v>
      </c>
      <c r="K1128" s="59" t="str">
        <f t="shared" si="157"/>
        <v>PD25111201</v>
      </c>
      <c r="L1128" s="46" t="str" cm="1">
        <f t="array" ref="L1128">IFERROR(_xlfn.IFS(
    LEN($A1128)-LEN(SUBSTITUTE($A1128,"|",""))=12, RIGHT(A1128, LEN(A1128)-FIND("~", SUBSTITUTE(A1128,"|","~", LEN(A1128)-LEN(SUBSTITUTE(A1128,"|",""))))),
    LEN($A1128)-LEN(SUBSTITUTE($A1128,"|",""))=13, MID($A1128, FIND("~", SUBSTITUTE($A1128,"|","~", 11))+1, FIND("~", SUBSTITUTE($A1128,"|","~", 12))-FIND("~", SUBSTITUTE($A1128,"|","~", 11))-1),
    LEN($A1128)-LEN(SUBSTITUTE($A1128,"|",""))=14, MID($A1128, FIND("~", SUBSTITUTE($A1128,"|","~", 11))+1, FIND("~", SUBSTITUTE($A1128,"|","~", 12))-FIND("~", SUBSTITUTE($A1128,"|","~", 11))-1)
), "")</f>
        <v>E483074</v>
      </c>
      <c r="M1128" s="72" t="str">
        <f t="shared" si="141"/>
        <v>FP120395/3/25</v>
      </c>
      <c r="N1128" s="46" t="str">
        <f t="shared" si="149"/>
        <v>FP120395/3/25</v>
      </c>
      <c r="O1128" s="60">
        <v>1500</v>
      </c>
      <c r="P1128" s="60">
        <v>581</v>
      </c>
      <c r="Q1128" s="48">
        <v>1500</v>
      </c>
      <c r="R1128" s="48">
        <v>581</v>
      </c>
      <c r="S1128" s="48" t="s">
        <v>35</v>
      </c>
      <c r="T1128" s="48"/>
      <c r="U1128" s="49"/>
      <c r="V1128" s="49"/>
      <c r="W1128" s="50"/>
      <c r="X1128" s="51" t="str">
        <f>IF(A1128="", "", IF(COUNTIFS(C$3:C1127, C1128, D$3:D1127, D1128, G$3:G1127, G1128) &gt; 0, "", "11:00"-AW1128))</f>
        <v/>
      </c>
      <c r="Y1128" s="52" t="str">
        <f t="shared" ref="Y1128:Y1191" si="161">IF(X1128="", "", IF(AND(A1128&lt;&gt;"", AR1128&lt;&gt;"NO OT"), "1:40", IF(AND(A1128&lt;&gt;"", AR1128="NO OT"), "1:0", "")))</f>
        <v/>
      </c>
      <c r="Z1128" s="53"/>
      <c r="AA1128" s="54"/>
      <c r="AB1128" s="53"/>
      <c r="AC1128" s="54"/>
      <c r="AD1128" s="53"/>
      <c r="AE1128" s="54"/>
      <c r="AF1128" s="53"/>
      <c r="AG1128" s="54"/>
      <c r="AH1128" s="55">
        <v>4.1666666666666699E-2</v>
      </c>
      <c r="AI1128" s="53"/>
      <c r="AJ1128" s="54"/>
      <c r="AK1128" s="53"/>
      <c r="AL1128" s="54"/>
      <c r="AM1128" s="53"/>
      <c r="AN1128" s="54"/>
      <c r="AO1128" s="53"/>
      <c r="AP1128" s="54"/>
      <c r="AQ1128" s="53"/>
      <c r="AR1128" s="54"/>
      <c r="AS1128" s="53"/>
      <c r="AT1128" s="54"/>
      <c r="AU1128" s="53">
        <v>4.1666666666666699E-2</v>
      </c>
      <c r="AV1128" s="54" t="s">
        <v>37</v>
      </c>
      <c r="AW1128" s="57">
        <f t="shared" si="160"/>
        <v>4.1666666666666699E-2</v>
      </c>
      <c r="AX1128" s="58" t="s">
        <v>109</v>
      </c>
    </row>
    <row r="1129" spans="1:50" ht="21" customHeight="1">
      <c r="A1129" s="66" t="s">
        <v>986</v>
      </c>
      <c r="B1129" s="39">
        <f t="shared" si="159"/>
        <v>1125</v>
      </c>
      <c r="C1129" s="40">
        <v>46048</v>
      </c>
      <c r="D1129" s="40" t="s">
        <v>80</v>
      </c>
      <c r="E1129" s="40" t="s">
        <v>33</v>
      </c>
      <c r="F1129" s="41">
        <v>129.4</v>
      </c>
      <c r="G1129" s="42" t="s">
        <v>115</v>
      </c>
      <c r="H1129" s="43" t="str">
        <f>IFERROR(VLOOKUP($J1129,'[9]FROM (3)'!$E$4:$F$230,2,FALSE),"")</f>
        <v>DNTH</v>
      </c>
      <c r="I1129" s="44" t="str">
        <f t="shared" si="158"/>
        <v>SHAFT, 2W</v>
      </c>
      <c r="J1129" s="44" t="str">
        <f t="shared" si="156"/>
        <v>TG028383-0090</v>
      </c>
      <c r="K1129" s="59" t="str">
        <f t="shared" si="157"/>
        <v>PD25110674</v>
      </c>
      <c r="L1129" s="46" t="str" cm="1">
        <f t="array" ref="L1129">IFERROR(_xlfn.IFS(
    LEN($A1129)-LEN(SUBSTITUTE($A1129,"|",""))=12, RIGHT(A1129, LEN(A1129)-FIND("~", SUBSTITUTE(A1129,"|","~", LEN(A1129)-LEN(SUBSTITUTE(A1129,"|",""))))),
    LEN($A1129)-LEN(SUBSTITUTE($A1129,"|",""))=13, MID($A1129, FIND("~", SUBSTITUTE($A1129,"|","~", 11))+1, FIND("~", SUBSTITUTE($A1129,"|","~", 12))-FIND("~", SUBSTITUTE($A1129,"|","~", 11))-1),
    LEN($A1129)-LEN(SUBSTITUTE($A1129,"|",""))=14, MID($A1129, FIND("~", SUBSTITUTE($A1129,"|","~", 11))+1, FIND("~", SUBSTITUTE($A1129,"|","~", 12))-FIND("~", SUBSTITUTE($A1129,"|","~", 11))-1)
), "")</f>
        <v>E483074</v>
      </c>
      <c r="M1129" s="72" t="str">
        <f t="shared" si="141"/>
        <v>FP120382/5/25</v>
      </c>
      <c r="N1129" s="46" t="str">
        <f t="shared" si="149"/>
        <v>FP120382/5/25</v>
      </c>
      <c r="O1129" s="60">
        <v>1500</v>
      </c>
      <c r="P1129" s="60">
        <v>513</v>
      </c>
      <c r="Q1129" s="48">
        <v>1500</v>
      </c>
      <c r="R1129" s="48">
        <v>513</v>
      </c>
      <c r="S1129" s="48" t="s">
        <v>35</v>
      </c>
      <c r="T1129" s="48"/>
      <c r="U1129" s="49"/>
      <c r="V1129" s="49"/>
      <c r="W1129" s="50"/>
      <c r="X1129" s="51" t="str">
        <f>IF(A1129="", "", IF(COUNTIFS(C$3:C1128, C1129, D$3:D1128, D1129, G$3:G1128, G1129) &gt; 0, "", "11:00"-AW1129))</f>
        <v/>
      </c>
      <c r="Y1129" s="52" t="str">
        <f t="shared" si="161"/>
        <v/>
      </c>
      <c r="Z1129" s="53"/>
      <c r="AA1129" s="54"/>
      <c r="AB1129" s="53"/>
      <c r="AC1129" s="54"/>
      <c r="AD1129" s="53"/>
      <c r="AE1129" s="54"/>
      <c r="AF1129" s="53"/>
      <c r="AG1129" s="54"/>
      <c r="AH1129" s="55">
        <v>4.1666666666666699E-2</v>
      </c>
      <c r="AI1129" s="53"/>
      <c r="AJ1129" s="54"/>
      <c r="AK1129" s="53"/>
      <c r="AL1129" s="54"/>
      <c r="AM1129" s="53"/>
      <c r="AN1129" s="54"/>
      <c r="AO1129" s="53"/>
      <c r="AP1129" s="54"/>
      <c r="AQ1129" s="53"/>
      <c r="AR1129" s="54"/>
      <c r="AS1129" s="53"/>
      <c r="AT1129" s="54"/>
      <c r="AU1129" s="53">
        <v>4.1666666666666699E-2</v>
      </c>
      <c r="AV1129" s="54" t="s">
        <v>37</v>
      </c>
      <c r="AW1129" s="57">
        <f t="shared" si="160"/>
        <v>4.1666666666666699E-2</v>
      </c>
      <c r="AX1129" s="58" t="s">
        <v>109</v>
      </c>
    </row>
    <row r="1130" spans="1:50" ht="21" customHeight="1">
      <c r="A1130" s="66" t="s">
        <v>987</v>
      </c>
      <c r="B1130" s="39">
        <f t="shared" si="159"/>
        <v>1126</v>
      </c>
      <c r="C1130" s="40">
        <v>46048</v>
      </c>
      <c r="D1130" s="40" t="s">
        <v>80</v>
      </c>
      <c r="E1130" s="40" t="s">
        <v>33</v>
      </c>
      <c r="F1130" s="41">
        <v>129.4</v>
      </c>
      <c r="G1130" s="42" t="s">
        <v>115</v>
      </c>
      <c r="H1130" s="43" t="str">
        <f>IFERROR(VLOOKUP($J1130,'[9]FROM (3)'!$E$4:$F$230,2,FALSE),"")</f>
        <v>DNTH</v>
      </c>
      <c r="I1130" s="44" t="str">
        <f t="shared" si="158"/>
        <v>SHAFT, 2W</v>
      </c>
      <c r="J1130" s="44" t="str">
        <f t="shared" si="156"/>
        <v>TG028383-0090</v>
      </c>
      <c r="K1130" s="59" t="str">
        <f t="shared" si="157"/>
        <v>PD25110674</v>
      </c>
      <c r="L1130" s="46" t="str" cm="1">
        <f t="array" ref="L1130">IFERROR(_xlfn.IFS(
    LEN($A1130)-LEN(SUBSTITUTE($A1130,"|",""))=12, RIGHT(A1130, LEN(A1130)-FIND("~", SUBSTITUTE(A1130,"|","~", LEN(A1130)-LEN(SUBSTITUTE(A1130,"|",""))))),
    LEN($A1130)-LEN(SUBSTITUTE($A1130,"|",""))=13, MID($A1130, FIND("~", SUBSTITUTE($A1130,"|","~", 11))+1, FIND("~", SUBSTITUTE($A1130,"|","~", 12))-FIND("~", SUBSTITUTE($A1130,"|","~", 11))-1),
    LEN($A1130)-LEN(SUBSTITUTE($A1130,"|",""))=14, MID($A1130, FIND("~", SUBSTITUTE($A1130,"|","~", 11))+1, FIND("~", SUBSTITUTE($A1130,"|","~", 12))-FIND("~", SUBSTITUTE($A1130,"|","~", 11))-1)
), "")</f>
        <v>E483074</v>
      </c>
      <c r="M1130" s="72" t="str">
        <f t="shared" si="141"/>
        <v>FP120382/6/25</v>
      </c>
      <c r="N1130" s="46" t="str">
        <f t="shared" si="149"/>
        <v>FP120382/6/25</v>
      </c>
      <c r="O1130" s="60">
        <v>1050</v>
      </c>
      <c r="P1130" s="60">
        <v>359</v>
      </c>
      <c r="Q1130" s="48">
        <v>1060</v>
      </c>
      <c r="R1130" s="48">
        <v>363</v>
      </c>
      <c r="S1130" s="48" t="s">
        <v>35</v>
      </c>
      <c r="T1130" s="48"/>
      <c r="U1130" s="49"/>
      <c r="V1130" s="49"/>
      <c r="W1130" s="50"/>
      <c r="X1130" s="51" t="str">
        <f>IF(A1130="", "", IF(COUNTIFS(C$3:C1129, C1130, D$3:D1129, D1130, G$3:G1129, G1130) &gt; 0, "", "11:00"-AW1130))</f>
        <v/>
      </c>
      <c r="Y1130" s="52" t="str">
        <f t="shared" si="161"/>
        <v/>
      </c>
      <c r="Z1130" s="53"/>
      <c r="AA1130" s="54"/>
      <c r="AB1130" s="53"/>
      <c r="AC1130" s="54"/>
      <c r="AD1130" s="53"/>
      <c r="AE1130" s="54"/>
      <c r="AF1130" s="53"/>
      <c r="AG1130" s="54"/>
      <c r="AH1130" s="55">
        <v>4.1666666666666699E-2</v>
      </c>
      <c r="AI1130" s="53"/>
      <c r="AJ1130" s="54"/>
      <c r="AK1130" s="53"/>
      <c r="AL1130" s="54"/>
      <c r="AM1130" s="53"/>
      <c r="AN1130" s="54"/>
      <c r="AO1130" s="53"/>
      <c r="AP1130" s="54"/>
      <c r="AQ1130" s="53"/>
      <c r="AR1130" s="54"/>
      <c r="AS1130" s="53"/>
      <c r="AT1130" s="54"/>
      <c r="AU1130" s="53">
        <v>4.1666666666666699E-2</v>
      </c>
      <c r="AV1130" s="54" t="s">
        <v>37</v>
      </c>
      <c r="AW1130" s="57">
        <f t="shared" si="160"/>
        <v>4.1666666666666699E-2</v>
      </c>
      <c r="AX1130" s="58" t="s">
        <v>109</v>
      </c>
    </row>
    <row r="1131" spans="1:50" ht="21" customHeight="1">
      <c r="A1131" s="66" t="s">
        <v>973</v>
      </c>
      <c r="B1131" s="39">
        <f t="shared" si="159"/>
        <v>1127</v>
      </c>
      <c r="C1131" s="40">
        <v>46048</v>
      </c>
      <c r="D1131" s="40" t="s">
        <v>80</v>
      </c>
      <c r="E1131" s="40" t="s">
        <v>33</v>
      </c>
      <c r="F1131" s="41">
        <v>755.4</v>
      </c>
      <c r="G1131" s="42" t="s">
        <v>75</v>
      </c>
      <c r="H1131" s="43" t="str">
        <f>IFERROR(VLOOKUP($J1131,'[9]FROM (3)'!$E$4:$F$230,2,FALSE),"")</f>
        <v>JTCS</v>
      </c>
      <c r="I1131" s="44" t="str">
        <f t="shared" si="158"/>
        <v>RACK, PS</v>
      </c>
      <c r="J1131" s="44" t="str">
        <f t="shared" si="156"/>
        <v>JGD10-001260-40-1</v>
      </c>
      <c r="K1131" s="59" t="str">
        <f t="shared" si="157"/>
        <v>PD26010772</v>
      </c>
      <c r="L1131" s="46" t="str" cm="1">
        <f t="array" ref="L1131">IFERROR(_xlfn.IFS(
    LEN($A1131)-LEN(SUBSTITUTE($A1131,"|",""))=12, RIGHT(A1131, LEN(A1131)-FIND("~", SUBSTITUTE(A1131,"|","~", LEN(A1131)-LEN(SUBSTITUTE(A1131,"|",""))))),
    LEN($A1131)-LEN(SUBSTITUTE($A1131,"|",""))=13, MID($A1131, FIND("~", SUBSTITUTE($A1131,"|","~", 11))+1, FIND("~", SUBSTITUTE($A1131,"|","~", 12))-FIND("~", SUBSTITUTE($A1131,"|","~", 11))-1),
    LEN($A1131)-LEN(SUBSTITUTE($A1131,"|",""))=14, MID($A1131, FIND("~", SUBSTITUTE($A1131,"|","~", 11))+1, FIND("~", SUBSTITUTE($A1131,"|","~", 12))-FIND("~", SUBSTITUTE($A1131,"|","~", 11))-1)
), "")</f>
        <v>E586967</v>
      </c>
      <c r="M1131" s="72" t="str">
        <f t="shared" si="141"/>
        <v>SB010083/3/26</v>
      </c>
      <c r="N1131" s="46" t="str">
        <f t="shared" si="149"/>
        <v/>
      </c>
      <c r="O1131" s="60"/>
      <c r="P1131" s="60"/>
      <c r="Q1131" s="48">
        <v>84</v>
      </c>
      <c r="R1131" s="48">
        <v>407</v>
      </c>
      <c r="S1131" s="48"/>
      <c r="T1131" s="48"/>
      <c r="U1131" s="49"/>
      <c r="V1131" s="49"/>
      <c r="W1131" s="50"/>
      <c r="X1131" s="51">
        <f>IF(A1131="", "", IF(COUNTIFS(C$3:C1130, C1131, D$3:D1130, D1131, G$3:G1130, G1131) &gt; 0, "", "11:00"-AW1131))</f>
        <v>0.33333333333333326</v>
      </c>
      <c r="Y1131" s="52" t="str">
        <f t="shared" si="161"/>
        <v>1:0</v>
      </c>
      <c r="Z1131" s="53"/>
      <c r="AA1131" s="54"/>
      <c r="AB1131" s="53"/>
      <c r="AC1131" s="54"/>
      <c r="AD1131" s="53"/>
      <c r="AE1131" s="54"/>
      <c r="AF1131" s="53"/>
      <c r="AG1131" s="54"/>
      <c r="AH1131" s="55">
        <v>4.1666666666666699E-2</v>
      </c>
      <c r="AI1131" s="53"/>
      <c r="AJ1131" s="54"/>
      <c r="AK1131" s="53"/>
      <c r="AL1131" s="54"/>
      <c r="AM1131" s="53"/>
      <c r="AN1131" s="54"/>
      <c r="AO1131" s="53"/>
      <c r="AP1131" s="54"/>
      <c r="AQ1131" s="53">
        <v>4.1666666666666664E-2</v>
      </c>
      <c r="AR1131" s="54" t="s">
        <v>37</v>
      </c>
      <c r="AS1131" s="53">
        <v>4.1666666666666664E-2</v>
      </c>
      <c r="AT1131" s="54" t="s">
        <v>37</v>
      </c>
      <c r="AU1131" s="53">
        <v>4.1666666666666699E-2</v>
      </c>
      <c r="AV1131" s="54" t="s">
        <v>37</v>
      </c>
      <c r="AW1131" s="57">
        <f t="shared" si="160"/>
        <v>0.12500000000000003</v>
      </c>
      <c r="AX1131" s="58" t="s">
        <v>101</v>
      </c>
    </row>
    <row r="1132" spans="1:50" ht="21" customHeight="1">
      <c r="A1132" s="66" t="s">
        <v>988</v>
      </c>
      <c r="B1132" s="39">
        <f t="shared" si="159"/>
        <v>1128</v>
      </c>
      <c r="C1132" s="40">
        <v>46048</v>
      </c>
      <c r="D1132" s="40" t="s">
        <v>80</v>
      </c>
      <c r="E1132" s="40" t="s">
        <v>33</v>
      </c>
      <c r="F1132" s="41">
        <v>755.4</v>
      </c>
      <c r="G1132" s="42" t="s">
        <v>75</v>
      </c>
      <c r="H1132" s="43" t="str">
        <f>IFERROR(VLOOKUP($J1132,'[9]FROM (3)'!$E$4:$F$230,2,FALSE),"")</f>
        <v>JTCS</v>
      </c>
      <c r="I1132" s="44" t="str">
        <f t="shared" si="158"/>
        <v>RACK, PS</v>
      </c>
      <c r="J1132" s="44" t="str">
        <f t="shared" si="156"/>
        <v>JGD10-001260-40-1</v>
      </c>
      <c r="K1132" s="59" t="str">
        <f t="shared" si="157"/>
        <v>PD26010772</v>
      </c>
      <c r="L1132" s="46" t="str" cm="1">
        <f t="array" ref="L1132">IFERROR(_xlfn.IFS(
    LEN($A1132)-LEN(SUBSTITUTE($A1132,"|",""))=12, RIGHT(A1132, LEN(A1132)-FIND("~", SUBSTITUTE(A1132,"|","~", LEN(A1132)-LEN(SUBSTITUTE(A1132,"|",""))))),
    LEN($A1132)-LEN(SUBSTITUTE($A1132,"|",""))=13, MID($A1132, FIND("~", SUBSTITUTE($A1132,"|","~", 11))+1, FIND("~", SUBSTITUTE($A1132,"|","~", 12))-FIND("~", SUBSTITUTE($A1132,"|","~", 11))-1),
    LEN($A1132)-LEN(SUBSTITUTE($A1132,"|",""))=14, MID($A1132, FIND("~", SUBSTITUTE($A1132,"|","~", 11))+1, FIND("~", SUBSTITUTE($A1132,"|","~", 12))-FIND("~", SUBSTITUTE($A1132,"|","~", 11))-1)
), "")</f>
        <v>E586967</v>
      </c>
      <c r="M1132" s="72" t="str">
        <f t="shared" si="141"/>
        <v>SB010083/1/26</v>
      </c>
      <c r="N1132" s="46" t="str">
        <f t="shared" si="149"/>
        <v/>
      </c>
      <c r="O1132" s="60">
        <v>47</v>
      </c>
      <c r="P1132" s="60">
        <v>976</v>
      </c>
      <c r="Q1132" s="48">
        <v>188</v>
      </c>
      <c r="R1132" s="48">
        <v>910</v>
      </c>
      <c r="S1132" s="48"/>
      <c r="T1132" s="48"/>
      <c r="U1132" s="49"/>
      <c r="V1132" s="49"/>
      <c r="W1132" s="50"/>
      <c r="X1132" s="51" t="str">
        <f>IF(A1132="", "", IF(COUNTIFS(C$3:C1131, C1132, D$3:D1131, D1132, G$3:G1131, G1132) &gt; 0, "", "11:00"-AW1132))</f>
        <v/>
      </c>
      <c r="Y1132" s="52" t="str">
        <f t="shared" si="161"/>
        <v/>
      </c>
      <c r="Z1132" s="53"/>
      <c r="AA1132" s="54"/>
      <c r="AB1132" s="53"/>
      <c r="AC1132" s="54"/>
      <c r="AD1132" s="53"/>
      <c r="AE1132" s="54"/>
      <c r="AF1132" s="53"/>
      <c r="AG1132" s="54"/>
      <c r="AH1132" s="55">
        <v>4.1666666666666699E-2</v>
      </c>
      <c r="AI1132" s="53"/>
      <c r="AJ1132" s="54"/>
      <c r="AK1132" s="53"/>
      <c r="AL1132" s="54"/>
      <c r="AM1132" s="53"/>
      <c r="AN1132" s="54"/>
      <c r="AO1132" s="53"/>
      <c r="AP1132" s="54"/>
      <c r="AQ1132" s="53"/>
      <c r="AR1132" s="54"/>
      <c r="AS1132" s="53"/>
      <c r="AT1132" s="54"/>
      <c r="AU1132" s="53">
        <v>4.1666666666666699E-2</v>
      </c>
      <c r="AV1132" s="54" t="s">
        <v>37</v>
      </c>
      <c r="AW1132" s="57">
        <f t="shared" si="160"/>
        <v>4.1666666666666699E-2</v>
      </c>
      <c r="AX1132" s="58" t="s">
        <v>101</v>
      </c>
    </row>
    <row r="1133" spans="1:50" ht="21" customHeight="1">
      <c r="A1133" s="66" t="s">
        <v>989</v>
      </c>
      <c r="B1133" s="39">
        <f t="shared" si="159"/>
        <v>1129</v>
      </c>
      <c r="C1133" s="40">
        <v>46048</v>
      </c>
      <c r="D1133" s="40" t="s">
        <v>80</v>
      </c>
      <c r="E1133" s="40" t="s">
        <v>33</v>
      </c>
      <c r="F1133" s="41">
        <v>755.4</v>
      </c>
      <c r="G1133" s="42" t="s">
        <v>75</v>
      </c>
      <c r="H1133" s="43" t="str">
        <f>IFERROR(VLOOKUP($J1133,'[9]FROM (3)'!$E$4:$F$230,2,FALSE),"")</f>
        <v>JTCS</v>
      </c>
      <c r="I1133" s="44" t="str">
        <f t="shared" si="158"/>
        <v>RACK, PS</v>
      </c>
      <c r="J1133" s="44" t="str">
        <f t="shared" si="156"/>
        <v>JGD10-001260-40-1</v>
      </c>
      <c r="K1133" s="59" t="str">
        <f t="shared" si="157"/>
        <v>PD26010772</v>
      </c>
      <c r="L1133" s="46" t="str" cm="1">
        <f t="array" ref="L1133">IFERROR(_xlfn.IFS(
    LEN($A1133)-LEN(SUBSTITUTE($A1133,"|",""))=12, RIGHT(A1133, LEN(A1133)-FIND("~", SUBSTITUTE(A1133,"|","~", LEN(A1133)-LEN(SUBSTITUTE(A1133,"|",""))))),
    LEN($A1133)-LEN(SUBSTITUTE($A1133,"|",""))=13, MID($A1133, FIND("~", SUBSTITUTE($A1133,"|","~", 11))+1, FIND("~", SUBSTITUTE($A1133,"|","~", 12))-FIND("~", SUBSTITUTE($A1133,"|","~", 11))-1),
    LEN($A1133)-LEN(SUBSTITUTE($A1133,"|",""))=14, MID($A1133, FIND("~", SUBSTITUTE($A1133,"|","~", 11))+1, FIND("~", SUBSTITUTE($A1133,"|","~", 12))-FIND("~", SUBSTITUTE($A1133,"|","~", 11))-1)
), "")</f>
        <v>E586967</v>
      </c>
      <c r="M1133" s="72" t="str">
        <f t="shared" si="141"/>
        <v>SB010083/2/26</v>
      </c>
      <c r="N1133" s="46" t="str">
        <f t="shared" si="149"/>
        <v/>
      </c>
      <c r="O1133" s="60">
        <v>47</v>
      </c>
      <c r="P1133" s="60">
        <v>976</v>
      </c>
      <c r="Q1133" s="48">
        <v>188</v>
      </c>
      <c r="R1133" s="48">
        <v>910</v>
      </c>
      <c r="S1133" s="48"/>
      <c r="T1133" s="48"/>
      <c r="U1133" s="49">
        <v>156</v>
      </c>
      <c r="V1133" s="49">
        <v>9</v>
      </c>
      <c r="W1133" s="50"/>
      <c r="X1133" s="51" t="str">
        <f>IF(A1133="", "", IF(COUNTIFS(C$3:C1132, C1133, D$3:D1132, D1133, G$3:G1132, G1133) &gt; 0, "", "11:00"-AW1133))</f>
        <v/>
      </c>
      <c r="Y1133" s="52" t="str">
        <f t="shared" si="161"/>
        <v/>
      </c>
      <c r="Z1133" s="53"/>
      <c r="AA1133" s="54"/>
      <c r="AB1133" s="53"/>
      <c r="AC1133" s="54"/>
      <c r="AD1133" s="53"/>
      <c r="AE1133" s="54"/>
      <c r="AF1133" s="53"/>
      <c r="AG1133" s="54"/>
      <c r="AH1133" s="55">
        <v>4.1666666666666699E-2</v>
      </c>
      <c r="AI1133" s="53"/>
      <c r="AJ1133" s="54"/>
      <c r="AK1133" s="53"/>
      <c r="AL1133" s="54"/>
      <c r="AM1133" s="53"/>
      <c r="AN1133" s="54"/>
      <c r="AO1133" s="53"/>
      <c r="AP1133" s="54"/>
      <c r="AQ1133" s="53"/>
      <c r="AR1133" s="54"/>
      <c r="AS1133" s="53"/>
      <c r="AT1133" s="54"/>
      <c r="AU1133" s="53">
        <v>4.1666666666666699E-2</v>
      </c>
      <c r="AV1133" s="54" t="s">
        <v>37</v>
      </c>
      <c r="AW1133" s="57">
        <f t="shared" si="160"/>
        <v>4.1666666666666699E-2</v>
      </c>
      <c r="AX1133" s="58" t="s">
        <v>101</v>
      </c>
    </row>
    <row r="1134" spans="1:50" ht="21" customHeight="1">
      <c r="A1134" s="66" t="s">
        <v>990</v>
      </c>
      <c r="B1134" s="39">
        <f t="shared" si="159"/>
        <v>1130</v>
      </c>
      <c r="C1134" s="40">
        <v>46048</v>
      </c>
      <c r="D1134" s="40" t="s">
        <v>80</v>
      </c>
      <c r="E1134" s="40" t="s">
        <v>33</v>
      </c>
      <c r="F1134" s="41">
        <v>755.4</v>
      </c>
      <c r="G1134" s="42" t="s">
        <v>75</v>
      </c>
      <c r="H1134" s="43" t="str">
        <f>IFERROR(VLOOKUP($J1134,'[9]FROM (3)'!$E$4:$F$230,2,FALSE),"")</f>
        <v>JTCS</v>
      </c>
      <c r="I1134" s="44" t="str">
        <f t="shared" si="158"/>
        <v>RACK, PS</v>
      </c>
      <c r="J1134" s="44" t="str">
        <f t="shared" si="156"/>
        <v>JGD10-001260-40-1</v>
      </c>
      <c r="K1134" s="59" t="str">
        <f t="shared" si="157"/>
        <v>PD26011101</v>
      </c>
      <c r="L1134" s="46" t="str" cm="1">
        <f t="array" ref="L1134">IFERROR(_xlfn.IFS(
    LEN($A1134)-LEN(SUBSTITUTE($A1134,"|",""))=12, RIGHT(A1134, LEN(A1134)-FIND("~", SUBSTITUTE(A1134,"|","~", LEN(A1134)-LEN(SUBSTITUTE(A1134,"|",""))))),
    LEN($A1134)-LEN(SUBSTITUTE($A1134,"|",""))=13, MID($A1134, FIND("~", SUBSTITUTE($A1134,"|","~", 11))+1, FIND("~", SUBSTITUTE($A1134,"|","~", 12))-FIND("~", SUBSTITUTE($A1134,"|","~", 11))-1),
    LEN($A1134)-LEN(SUBSTITUTE($A1134,"|",""))=14, MID($A1134, FIND("~", SUBSTITUTE($A1134,"|","~", 11))+1, FIND("~", SUBSTITUTE($A1134,"|","~", 12))-FIND("~", SUBSTITUTE($A1134,"|","~", 11))-1)
), "")</f>
        <v>E586967</v>
      </c>
      <c r="M1134" s="72" t="str">
        <f t="shared" si="141"/>
        <v>SB010150/3/26</v>
      </c>
      <c r="N1134" s="46" t="str">
        <f t="shared" si="149"/>
        <v/>
      </c>
      <c r="O1134" s="60">
        <v>47</v>
      </c>
      <c r="P1134" s="60">
        <v>970</v>
      </c>
      <c r="Q1134" s="48">
        <v>188</v>
      </c>
      <c r="R1134" s="48">
        <v>910</v>
      </c>
      <c r="S1134" s="48"/>
      <c r="T1134" s="48"/>
      <c r="U1134" s="49"/>
      <c r="V1134" s="49"/>
      <c r="W1134" s="50"/>
      <c r="X1134" s="51" t="str">
        <f>IF(A1134="", "", IF(COUNTIFS(C$3:C1133, C1134, D$3:D1133, D1134, G$3:G1133, G1134) &gt; 0, "", "11:00"-AW1134))</f>
        <v/>
      </c>
      <c r="Y1134" s="52" t="str">
        <f t="shared" si="161"/>
        <v/>
      </c>
      <c r="Z1134" s="53"/>
      <c r="AA1134" s="54"/>
      <c r="AB1134" s="53"/>
      <c r="AC1134" s="54"/>
      <c r="AD1134" s="53"/>
      <c r="AE1134" s="54"/>
      <c r="AF1134" s="53"/>
      <c r="AG1134" s="54"/>
      <c r="AH1134" s="55">
        <v>4.1666666666666699E-2</v>
      </c>
      <c r="AI1134" s="53"/>
      <c r="AJ1134" s="54"/>
      <c r="AK1134" s="53"/>
      <c r="AL1134" s="54"/>
      <c r="AM1134" s="53"/>
      <c r="AN1134" s="54"/>
      <c r="AO1134" s="53"/>
      <c r="AP1134" s="54"/>
      <c r="AQ1134" s="53"/>
      <c r="AR1134" s="54"/>
      <c r="AS1134" s="53"/>
      <c r="AT1134" s="54"/>
      <c r="AU1134" s="53">
        <v>4.1666666666666699E-2</v>
      </c>
      <c r="AV1134" s="54" t="s">
        <v>37</v>
      </c>
      <c r="AW1134" s="57">
        <f t="shared" si="160"/>
        <v>4.1666666666666699E-2</v>
      </c>
      <c r="AX1134" s="58" t="s">
        <v>101</v>
      </c>
    </row>
    <row r="1135" spans="1:50" ht="21" customHeight="1">
      <c r="A1135" s="66" t="s">
        <v>991</v>
      </c>
      <c r="B1135" s="39">
        <f t="shared" si="159"/>
        <v>1131</v>
      </c>
      <c r="C1135" s="40">
        <v>46048</v>
      </c>
      <c r="D1135" s="40" t="s">
        <v>80</v>
      </c>
      <c r="E1135" s="40" t="s">
        <v>33</v>
      </c>
      <c r="F1135" s="41">
        <v>755.4</v>
      </c>
      <c r="G1135" s="42" t="s">
        <v>75</v>
      </c>
      <c r="H1135" s="43" t="str">
        <f>IFERROR(VLOOKUP($J1135,'[9]FROM (3)'!$E$4:$F$230,2,FALSE),"")</f>
        <v>JTCS</v>
      </c>
      <c r="I1135" s="44" t="str">
        <f t="shared" si="158"/>
        <v>RACK, PS</v>
      </c>
      <c r="J1135" s="44" t="str">
        <f t="shared" si="156"/>
        <v>JGD10-001260-40-1</v>
      </c>
      <c r="K1135" s="59" t="str">
        <f t="shared" si="157"/>
        <v>PD26011101</v>
      </c>
      <c r="L1135" s="46" t="str" cm="1">
        <f t="array" ref="L1135">IFERROR(_xlfn.IFS(
    LEN($A1135)-LEN(SUBSTITUTE($A1135,"|",""))=12, RIGHT(A1135, LEN(A1135)-FIND("~", SUBSTITUTE(A1135,"|","~", LEN(A1135)-LEN(SUBSTITUTE(A1135,"|",""))))),
    LEN($A1135)-LEN(SUBSTITUTE($A1135,"|",""))=13, MID($A1135, FIND("~", SUBSTITUTE($A1135,"|","~", 11))+1, FIND("~", SUBSTITUTE($A1135,"|","~", 12))-FIND("~", SUBSTITUTE($A1135,"|","~", 11))-1),
    LEN($A1135)-LEN(SUBSTITUTE($A1135,"|",""))=14, MID($A1135, FIND("~", SUBSTITUTE($A1135,"|","~", 11))+1, FIND("~", SUBSTITUTE($A1135,"|","~", 12))-FIND("~", SUBSTITUTE($A1135,"|","~", 11))-1)
), "")</f>
        <v>E586967</v>
      </c>
      <c r="M1135" s="72" t="str">
        <f t="shared" si="141"/>
        <v>SB010150/1/26</v>
      </c>
      <c r="N1135" s="46" t="str">
        <f t="shared" si="149"/>
        <v/>
      </c>
      <c r="O1135" s="60">
        <v>47</v>
      </c>
      <c r="P1135" s="60">
        <v>970</v>
      </c>
      <c r="Q1135" s="48">
        <v>188</v>
      </c>
      <c r="R1135" s="48">
        <v>910</v>
      </c>
      <c r="S1135" s="48"/>
      <c r="T1135" s="48"/>
      <c r="U1135" s="49"/>
      <c r="V1135" s="49"/>
      <c r="W1135" s="50"/>
      <c r="X1135" s="51" t="str">
        <f>IF(A1135="", "", IF(COUNTIFS(C$3:C1134, C1135, D$3:D1134, D1135, G$3:G1134, G1135) &gt; 0, "", "11:00"-AW1135))</f>
        <v/>
      </c>
      <c r="Y1135" s="52" t="str">
        <f t="shared" si="161"/>
        <v/>
      </c>
      <c r="Z1135" s="53"/>
      <c r="AA1135" s="54"/>
      <c r="AB1135" s="53"/>
      <c r="AC1135" s="54"/>
      <c r="AD1135" s="53"/>
      <c r="AE1135" s="54"/>
      <c r="AF1135" s="53"/>
      <c r="AG1135" s="54"/>
      <c r="AH1135" s="55">
        <v>4.1666666666666699E-2</v>
      </c>
      <c r="AI1135" s="53"/>
      <c r="AJ1135" s="54"/>
      <c r="AK1135" s="53"/>
      <c r="AL1135" s="54"/>
      <c r="AM1135" s="53"/>
      <c r="AN1135" s="54"/>
      <c r="AO1135" s="53"/>
      <c r="AP1135" s="54"/>
      <c r="AQ1135" s="53"/>
      <c r="AR1135" s="54"/>
      <c r="AS1135" s="53"/>
      <c r="AT1135" s="54"/>
      <c r="AU1135" s="53">
        <v>4.1666666666666699E-2</v>
      </c>
      <c r="AV1135" s="54" t="s">
        <v>37</v>
      </c>
      <c r="AW1135" s="57">
        <f t="shared" si="160"/>
        <v>4.1666666666666699E-2</v>
      </c>
      <c r="AX1135" s="58" t="s">
        <v>101</v>
      </c>
    </row>
    <row r="1136" spans="1:50" ht="21" customHeight="1">
      <c r="A1136" s="66" t="s">
        <v>992</v>
      </c>
      <c r="B1136" s="39">
        <f t="shared" si="159"/>
        <v>1132</v>
      </c>
      <c r="C1136" s="40">
        <v>46048</v>
      </c>
      <c r="D1136" s="40" t="s">
        <v>80</v>
      </c>
      <c r="E1136" s="40" t="s">
        <v>33</v>
      </c>
      <c r="F1136" s="41">
        <v>755.4</v>
      </c>
      <c r="G1136" s="42" t="s">
        <v>75</v>
      </c>
      <c r="H1136" s="43" t="str">
        <f>IFERROR(VLOOKUP($J1136,'[9]FROM (3)'!$E$4:$F$230,2,FALSE),"")</f>
        <v>JTCS</v>
      </c>
      <c r="I1136" s="44" t="str">
        <f t="shared" si="158"/>
        <v>RACK, PS</v>
      </c>
      <c r="J1136" s="44" t="str">
        <f t="shared" si="156"/>
        <v>JGD10-001260-40-1</v>
      </c>
      <c r="K1136" s="59" t="str">
        <f t="shared" si="157"/>
        <v>PD26011101</v>
      </c>
      <c r="L1136" s="46" t="str" cm="1">
        <f t="array" ref="L1136">IFERROR(_xlfn.IFS(
    LEN($A1136)-LEN(SUBSTITUTE($A1136,"|",""))=12, RIGHT(A1136, LEN(A1136)-FIND("~", SUBSTITUTE(A1136,"|","~", LEN(A1136)-LEN(SUBSTITUTE(A1136,"|",""))))),
    LEN($A1136)-LEN(SUBSTITUTE($A1136,"|",""))=13, MID($A1136, FIND("~", SUBSTITUTE($A1136,"|","~", 11))+1, FIND("~", SUBSTITUTE($A1136,"|","~", 12))-FIND("~", SUBSTITUTE($A1136,"|","~", 11))-1),
    LEN($A1136)-LEN(SUBSTITUTE($A1136,"|",""))=14, MID($A1136, FIND("~", SUBSTITUTE($A1136,"|","~", 11))+1, FIND("~", SUBSTITUTE($A1136,"|","~", 12))-FIND("~", SUBSTITUTE($A1136,"|","~", 11))-1)
), "")</f>
        <v>E586967</v>
      </c>
      <c r="M1136" s="72" t="str">
        <f t="shared" si="141"/>
        <v>SB010150/2/26</v>
      </c>
      <c r="N1136" s="46" t="str">
        <f t="shared" si="149"/>
        <v/>
      </c>
      <c r="O1136" s="60">
        <v>47</v>
      </c>
      <c r="P1136" s="60">
        <v>970</v>
      </c>
      <c r="Q1136" s="48">
        <v>38</v>
      </c>
      <c r="R1136" s="48">
        <v>184</v>
      </c>
      <c r="S1136" s="48"/>
      <c r="T1136" s="48"/>
      <c r="U1136" s="49"/>
      <c r="V1136" s="49"/>
      <c r="W1136" s="50"/>
      <c r="X1136" s="51" t="str">
        <f>IF(A1136="", "", IF(COUNTIFS(C$3:C1135, C1136, D$3:D1135, D1136, G$3:G1135, G1136) &gt; 0, "", "11:00"-AW1136))</f>
        <v/>
      </c>
      <c r="Y1136" s="52" t="str">
        <f t="shared" si="161"/>
        <v/>
      </c>
      <c r="Z1136" s="53"/>
      <c r="AA1136" s="54"/>
      <c r="AB1136" s="53"/>
      <c r="AC1136" s="54"/>
      <c r="AD1136" s="53"/>
      <c r="AE1136" s="54"/>
      <c r="AF1136" s="53"/>
      <c r="AG1136" s="54"/>
      <c r="AH1136" s="55">
        <v>4.1666666666666699E-2</v>
      </c>
      <c r="AI1136" s="53"/>
      <c r="AJ1136" s="54"/>
      <c r="AK1136" s="53"/>
      <c r="AL1136" s="54"/>
      <c r="AM1136" s="53"/>
      <c r="AN1136" s="54"/>
      <c r="AO1136" s="53"/>
      <c r="AP1136" s="54"/>
      <c r="AQ1136" s="53"/>
      <c r="AR1136" s="54"/>
      <c r="AS1136" s="53"/>
      <c r="AT1136" s="54"/>
      <c r="AU1136" s="53">
        <v>4.1666666666666699E-2</v>
      </c>
      <c r="AV1136" s="54" t="s">
        <v>37</v>
      </c>
      <c r="AW1136" s="57">
        <f t="shared" si="160"/>
        <v>4.1666666666666699E-2</v>
      </c>
      <c r="AX1136" s="58" t="s">
        <v>101</v>
      </c>
    </row>
    <row r="1137" spans="1:50" ht="21" customHeight="1">
      <c r="A1137" s="66" t="s">
        <v>967</v>
      </c>
      <c r="B1137" s="39">
        <f t="shared" si="159"/>
        <v>1133</v>
      </c>
      <c r="C1137" s="40">
        <v>46048</v>
      </c>
      <c r="D1137" s="40" t="s">
        <v>80</v>
      </c>
      <c r="E1137" s="40" t="s">
        <v>33</v>
      </c>
      <c r="F1137" s="41">
        <v>597.4</v>
      </c>
      <c r="G1137" s="42" t="s">
        <v>85</v>
      </c>
      <c r="H1137" s="43" t="str">
        <f>IFERROR(VLOOKUP($J1137,'[9]FROM (3)'!$E$4:$F$230,2,FALSE),"")</f>
        <v>JTCS</v>
      </c>
      <c r="I1137" s="44" t="str">
        <f t="shared" si="158"/>
        <v>Rack, MS</v>
      </c>
      <c r="J1137" s="44" t="str">
        <f t="shared" si="156"/>
        <v>JGC10-003770-40-0</v>
      </c>
      <c r="K1137" s="59" t="str">
        <f t="shared" si="157"/>
        <v>PD26010995</v>
      </c>
      <c r="L1137" s="46" t="str" cm="1">
        <f t="array" ref="L1137">IFERROR(_xlfn.IFS(
    LEN($A1137)-LEN(SUBSTITUTE($A1137,"|",""))=12, RIGHT(A1137, LEN(A1137)-FIND("~", SUBSTITUTE(A1137,"|","~", LEN(A1137)-LEN(SUBSTITUTE(A1137,"|",""))))),
    LEN($A1137)-LEN(SUBSTITUTE($A1137,"|",""))=13, MID($A1137, FIND("~", SUBSTITUTE($A1137,"|","~", 11))+1, FIND("~", SUBSTITUTE($A1137,"|","~", 12))-FIND("~", SUBSTITUTE($A1137,"|","~", 11))-1),
    LEN($A1137)-LEN(SUBSTITUTE($A1137,"|",""))=14, MID($A1137, FIND("~", SUBSTITUTE($A1137,"|","~", 11))+1, FIND("~", SUBSTITUTE($A1137,"|","~", 12))-FIND("~", SUBSTITUTE($A1137,"|","~", 11))-1)
), "")</f>
        <v>E586613</v>
      </c>
      <c r="M1137" s="72" t="str">
        <f t="shared" si="141"/>
        <v>SB010123/3/26</v>
      </c>
      <c r="N1137" s="46" t="str">
        <f t="shared" si="149"/>
        <v/>
      </c>
      <c r="O1137" s="60" t="s">
        <v>35</v>
      </c>
      <c r="P1137" s="60" t="s">
        <v>35</v>
      </c>
      <c r="Q1137" s="48">
        <v>154</v>
      </c>
      <c r="R1137" s="48">
        <v>326</v>
      </c>
      <c r="S1137" s="48" t="s">
        <v>35</v>
      </c>
      <c r="T1137" s="48"/>
      <c r="U1137" s="49"/>
      <c r="V1137" s="49"/>
      <c r="W1137" s="50"/>
      <c r="X1137" s="51">
        <f>IF(A1137="", "", IF(COUNTIFS(C$3:C1136, C1137, D$3:D1136, D1137, G$3:G1136, G1137) &gt; 0, "", "11:00"-AW1137))</f>
        <v>0.33333333333333326</v>
      </c>
      <c r="Y1137" s="52" t="str">
        <f t="shared" si="161"/>
        <v>1:0</v>
      </c>
      <c r="Z1137" s="53"/>
      <c r="AA1137" s="54"/>
      <c r="AB1137" s="53"/>
      <c r="AC1137" s="54"/>
      <c r="AD1137" s="53"/>
      <c r="AE1137" s="54"/>
      <c r="AF1137" s="53"/>
      <c r="AG1137" s="54"/>
      <c r="AH1137" s="55">
        <v>4.1666666666666699E-2</v>
      </c>
      <c r="AI1137" s="53"/>
      <c r="AJ1137" s="54"/>
      <c r="AK1137" s="53"/>
      <c r="AL1137" s="54"/>
      <c r="AM1137" s="53"/>
      <c r="AN1137" s="54"/>
      <c r="AO1137" s="53"/>
      <c r="AP1137" s="54"/>
      <c r="AQ1137" s="53">
        <v>4.1666666666666664E-2</v>
      </c>
      <c r="AR1137" s="54" t="s">
        <v>37</v>
      </c>
      <c r="AS1137" s="53">
        <v>4.1666666666666664E-2</v>
      </c>
      <c r="AT1137" s="54" t="s">
        <v>37</v>
      </c>
      <c r="AU1137" s="53">
        <v>4.1666666666666699E-2</v>
      </c>
      <c r="AV1137" s="54" t="s">
        <v>37</v>
      </c>
      <c r="AW1137" s="57">
        <f t="shared" si="160"/>
        <v>0.12500000000000003</v>
      </c>
      <c r="AX1137" s="58" t="s">
        <v>86</v>
      </c>
    </row>
    <row r="1138" spans="1:50" ht="21" customHeight="1">
      <c r="A1138" s="66" t="s">
        <v>993</v>
      </c>
      <c r="B1138" s="39">
        <f t="shared" si="159"/>
        <v>1134</v>
      </c>
      <c r="C1138" s="40">
        <v>46048</v>
      </c>
      <c r="D1138" s="40" t="s">
        <v>80</v>
      </c>
      <c r="E1138" s="40" t="s">
        <v>33</v>
      </c>
      <c r="F1138" s="41">
        <v>597.4</v>
      </c>
      <c r="G1138" s="42" t="s">
        <v>85</v>
      </c>
      <c r="H1138" s="43" t="str">
        <f>IFERROR(VLOOKUP($J1138,'[9]FROM (3)'!$E$4:$F$230,2,FALSE),"")</f>
        <v>JTCS</v>
      </c>
      <c r="I1138" s="44" t="str">
        <f t="shared" si="158"/>
        <v>Rack, MS</v>
      </c>
      <c r="J1138" s="44" t="str">
        <f t="shared" si="156"/>
        <v>JGC10-003770-40-0</v>
      </c>
      <c r="K1138" s="59" t="str">
        <f t="shared" si="157"/>
        <v>PD26010995</v>
      </c>
      <c r="L1138" s="46" t="str" cm="1">
        <f t="array" ref="L1138">IFERROR(_xlfn.IFS(
    LEN($A1138)-LEN(SUBSTITUTE($A1138,"|",""))=12, RIGHT(A1138, LEN(A1138)-FIND("~", SUBSTITUTE(A1138,"|","~", LEN(A1138)-LEN(SUBSTITUTE(A1138,"|",""))))),
    LEN($A1138)-LEN(SUBSTITUTE($A1138,"|",""))=13, MID($A1138, FIND("~", SUBSTITUTE($A1138,"|","~", 11))+1, FIND("~", SUBSTITUTE($A1138,"|","~", 12))-FIND("~", SUBSTITUTE($A1138,"|","~", 11))-1),
    LEN($A1138)-LEN(SUBSTITUTE($A1138,"|",""))=14, MID($A1138, FIND("~", SUBSTITUTE($A1138,"|","~", 11))+1, FIND("~", SUBSTITUTE($A1138,"|","~", 12))-FIND("~", SUBSTITUTE($A1138,"|","~", 11))-1)
), "")</f>
        <v>E586613</v>
      </c>
      <c r="M1138" s="72" t="str">
        <f t="shared" si="141"/>
        <v>SB010123/1/26</v>
      </c>
      <c r="N1138" s="46" t="str">
        <f t="shared" si="149"/>
        <v/>
      </c>
      <c r="O1138" s="60">
        <v>79</v>
      </c>
      <c r="P1138" s="60">
        <v>890</v>
      </c>
      <c r="Q1138" s="48">
        <v>395</v>
      </c>
      <c r="R1138" s="48">
        <v>837</v>
      </c>
      <c r="S1138" s="48" t="s">
        <v>35</v>
      </c>
      <c r="T1138" s="48"/>
      <c r="U1138" s="49"/>
      <c r="V1138" s="49"/>
      <c r="W1138" s="50"/>
      <c r="X1138" s="51" t="str">
        <f>IF(A1138="", "", IF(COUNTIFS(C$3:C1137, C1138, D$3:D1137, D1138, G$3:G1137, G1138) &gt; 0, "", "11:00"-AW1138))</f>
        <v/>
      </c>
      <c r="Y1138" s="52" t="str">
        <f t="shared" si="161"/>
        <v/>
      </c>
      <c r="Z1138" s="53"/>
      <c r="AA1138" s="54"/>
      <c r="AB1138" s="53"/>
      <c r="AC1138" s="54"/>
      <c r="AD1138" s="53"/>
      <c r="AE1138" s="54"/>
      <c r="AF1138" s="53"/>
      <c r="AG1138" s="54"/>
      <c r="AH1138" s="55">
        <v>4.1666666666666699E-2</v>
      </c>
      <c r="AI1138" s="53"/>
      <c r="AJ1138" s="54"/>
      <c r="AK1138" s="53"/>
      <c r="AL1138" s="54"/>
      <c r="AM1138" s="53"/>
      <c r="AN1138" s="54"/>
      <c r="AO1138" s="53"/>
      <c r="AP1138" s="54"/>
      <c r="AQ1138" s="53"/>
      <c r="AR1138" s="54"/>
      <c r="AS1138" s="53"/>
      <c r="AT1138" s="54"/>
      <c r="AU1138" s="53">
        <v>4.1666666666666699E-2</v>
      </c>
      <c r="AV1138" s="54" t="s">
        <v>37</v>
      </c>
      <c r="AW1138" s="57">
        <f t="shared" si="160"/>
        <v>4.1666666666666699E-2</v>
      </c>
      <c r="AX1138" s="58" t="s">
        <v>86</v>
      </c>
    </row>
    <row r="1139" spans="1:50" ht="21" customHeight="1">
      <c r="A1139" s="66" t="s">
        <v>994</v>
      </c>
      <c r="B1139" s="39">
        <f t="shared" si="159"/>
        <v>1135</v>
      </c>
      <c r="C1139" s="40">
        <v>46048</v>
      </c>
      <c r="D1139" s="40" t="s">
        <v>80</v>
      </c>
      <c r="E1139" s="40" t="s">
        <v>33</v>
      </c>
      <c r="F1139" s="41">
        <v>597.4</v>
      </c>
      <c r="G1139" s="42" t="s">
        <v>85</v>
      </c>
      <c r="H1139" s="43" t="str">
        <f>IFERROR(VLOOKUP($J1139,'[9]FROM (3)'!$E$4:$F$230,2,FALSE),"")</f>
        <v>JTCS</v>
      </c>
      <c r="I1139" s="44" t="str">
        <f t="shared" si="158"/>
        <v>Rack, MS</v>
      </c>
      <c r="J1139" s="44" t="str">
        <f t="shared" si="156"/>
        <v>JGC10-003770-40-0</v>
      </c>
      <c r="K1139" s="59" t="str">
        <f t="shared" si="157"/>
        <v>PD26010995</v>
      </c>
      <c r="L1139" s="46" t="str" cm="1">
        <f t="array" ref="L1139">IFERROR(_xlfn.IFS(
    LEN($A1139)-LEN(SUBSTITUTE($A1139,"|",""))=12, RIGHT(A1139, LEN(A1139)-FIND("~", SUBSTITUTE(A1139,"|","~", LEN(A1139)-LEN(SUBSTITUTE(A1139,"|",""))))),
    LEN($A1139)-LEN(SUBSTITUTE($A1139,"|",""))=13, MID($A1139, FIND("~", SUBSTITUTE($A1139,"|","~", 11))+1, FIND("~", SUBSTITUTE($A1139,"|","~", 12))-FIND("~", SUBSTITUTE($A1139,"|","~", 11))-1),
    LEN($A1139)-LEN(SUBSTITUTE($A1139,"|",""))=14, MID($A1139, FIND("~", SUBSTITUTE($A1139,"|","~", 11))+1, FIND("~", SUBSTITUTE($A1139,"|","~", 12))-FIND("~", SUBSTITUTE($A1139,"|","~", 11))-1)
), "")</f>
        <v>E586613</v>
      </c>
      <c r="M1139" s="72" t="str">
        <f t="shared" si="141"/>
        <v>SB010123/2/26</v>
      </c>
      <c r="N1139" s="46" t="str">
        <f t="shared" si="149"/>
        <v/>
      </c>
      <c r="O1139" s="60">
        <v>80</v>
      </c>
      <c r="P1139" s="60">
        <v>900</v>
      </c>
      <c r="Q1139" s="48">
        <v>400</v>
      </c>
      <c r="R1139" s="48">
        <v>848</v>
      </c>
      <c r="S1139" s="48" t="s">
        <v>35</v>
      </c>
      <c r="T1139" s="48"/>
      <c r="U1139" s="49">
        <v>147</v>
      </c>
      <c r="V1139" s="49">
        <v>10</v>
      </c>
      <c r="W1139" s="50"/>
      <c r="X1139" s="51" t="str">
        <f>IF(A1139="", "", IF(COUNTIFS(C$3:C1138, C1139, D$3:D1138, D1139, G$3:G1138, G1139) &gt; 0, "", "11:00"-AW1139))</f>
        <v/>
      </c>
      <c r="Y1139" s="52" t="str">
        <f t="shared" si="161"/>
        <v/>
      </c>
      <c r="Z1139" s="53"/>
      <c r="AA1139" s="54"/>
      <c r="AB1139" s="53"/>
      <c r="AC1139" s="54"/>
      <c r="AD1139" s="53"/>
      <c r="AE1139" s="54"/>
      <c r="AF1139" s="53"/>
      <c r="AG1139" s="54"/>
      <c r="AH1139" s="55">
        <v>4.1666666666666699E-2</v>
      </c>
      <c r="AI1139" s="53"/>
      <c r="AJ1139" s="54"/>
      <c r="AK1139" s="53"/>
      <c r="AL1139" s="54"/>
      <c r="AM1139" s="53"/>
      <c r="AN1139" s="54"/>
      <c r="AO1139" s="53"/>
      <c r="AP1139" s="54"/>
      <c r="AQ1139" s="53"/>
      <c r="AR1139" s="54"/>
      <c r="AS1139" s="53"/>
      <c r="AT1139" s="54"/>
      <c r="AU1139" s="53">
        <v>4.1666666666666699E-2</v>
      </c>
      <c r="AV1139" s="54" t="s">
        <v>37</v>
      </c>
      <c r="AW1139" s="57">
        <f t="shared" si="160"/>
        <v>4.1666666666666699E-2</v>
      </c>
      <c r="AX1139" s="58" t="s">
        <v>86</v>
      </c>
    </row>
    <row r="1140" spans="1:50" ht="21" customHeight="1">
      <c r="A1140" s="66" t="s">
        <v>963</v>
      </c>
      <c r="B1140" s="39">
        <f t="shared" si="159"/>
        <v>1136</v>
      </c>
      <c r="C1140" s="40">
        <v>46048</v>
      </c>
      <c r="D1140" s="62" t="s">
        <v>80</v>
      </c>
      <c r="E1140" s="40" t="s">
        <v>33</v>
      </c>
      <c r="F1140" s="41">
        <v>747.3</v>
      </c>
      <c r="G1140" s="42" t="s">
        <v>66</v>
      </c>
      <c r="H1140" s="43" t="str">
        <f>IFERROR(VLOOKUP($J1140,'[9]FROM (3)'!$E$4:$F$230,2,FALSE),"")</f>
        <v>JTCS</v>
      </c>
      <c r="I1140" s="44" t="str">
        <f t="shared" si="158"/>
        <v>RACK BAR</v>
      </c>
      <c r="J1140" s="44" t="str">
        <f t="shared" si="156"/>
        <v>JGD10S000800-B</v>
      </c>
      <c r="K1140" s="59" t="str">
        <f t="shared" si="157"/>
        <v>PD26010960</v>
      </c>
      <c r="L1140" s="46" t="str" cm="1">
        <f t="array" ref="L1140">IFERROR(_xlfn.IFS(
    LEN($A1140)-LEN(SUBSTITUTE($A1140,"|",""))=12, RIGHT(A1140, LEN(A1140)-FIND("~", SUBSTITUTE(A1140,"|","~", LEN(A1140)-LEN(SUBSTITUTE(A1140,"|",""))))),
    LEN($A1140)-LEN(SUBSTITUTE($A1140,"|",""))=13, MID($A1140, FIND("~", SUBSTITUTE($A1140,"|","~", 11))+1, FIND("~", SUBSTITUTE($A1140,"|","~", 12))-FIND("~", SUBSTITUTE($A1140,"|","~", 11))-1),
    LEN($A1140)-LEN(SUBSTITUTE($A1140,"|",""))=14, MID($A1140, FIND("~", SUBSTITUTE($A1140,"|","~", 11))+1, FIND("~", SUBSTITUTE($A1140,"|","~", 12))-FIND("~", SUBSTITUTE($A1140,"|","~", 11))-1)
), "")</f>
        <v>E586967</v>
      </c>
      <c r="M1140" s="72" t="str">
        <f t="shared" si="141"/>
        <v>SB010112/3/26</v>
      </c>
      <c r="N1140" s="46" t="str">
        <f t="shared" si="149"/>
        <v/>
      </c>
      <c r="O1140" s="60" t="s">
        <v>35</v>
      </c>
      <c r="P1140" s="60" t="s">
        <v>35</v>
      </c>
      <c r="Q1140" s="48">
        <v>62</v>
      </c>
      <c r="R1140" s="48">
        <v>297</v>
      </c>
      <c r="S1140" s="48"/>
      <c r="T1140" s="48"/>
      <c r="U1140" s="49">
        <v>160</v>
      </c>
      <c r="V1140" s="49">
        <v>9</v>
      </c>
      <c r="W1140" s="50"/>
      <c r="X1140" s="51">
        <f>IF(A1140="", "", IF(COUNTIFS(C$3:C1139, C1140, D$3:D1139, D1140, G$3:G1139, G1140) &gt; 0, "", "11:00"-AW1140))</f>
        <v>0.29166666666666663</v>
      </c>
      <c r="Y1140" s="52" t="str">
        <f t="shared" si="161"/>
        <v>1:0</v>
      </c>
      <c r="Z1140" s="53"/>
      <c r="AA1140" s="54"/>
      <c r="AB1140" s="53"/>
      <c r="AC1140" s="54"/>
      <c r="AD1140" s="53"/>
      <c r="AE1140" s="54"/>
      <c r="AF1140" s="53"/>
      <c r="AG1140" s="54"/>
      <c r="AH1140" s="55">
        <v>4.1666666666666699E-2</v>
      </c>
      <c r="AI1140" s="53">
        <v>4.1666666666666664E-2</v>
      </c>
      <c r="AJ1140" s="54" t="s">
        <v>67</v>
      </c>
      <c r="AK1140" s="53"/>
      <c r="AL1140" s="54"/>
      <c r="AM1140" s="53"/>
      <c r="AN1140" s="54"/>
      <c r="AO1140" s="53"/>
      <c r="AP1140" s="54"/>
      <c r="AQ1140" s="53">
        <v>4.1666666666666664E-2</v>
      </c>
      <c r="AR1140" s="54" t="s">
        <v>37</v>
      </c>
      <c r="AS1140" s="53">
        <v>4.1666666666666664E-2</v>
      </c>
      <c r="AT1140" s="54" t="s">
        <v>37</v>
      </c>
      <c r="AU1140" s="53">
        <v>4.1666666666666699E-2</v>
      </c>
      <c r="AV1140" s="54" t="s">
        <v>37</v>
      </c>
      <c r="AW1140" s="57">
        <f t="shared" si="160"/>
        <v>0.16666666666666669</v>
      </c>
      <c r="AX1140" s="58" t="s">
        <v>96</v>
      </c>
    </row>
    <row r="1141" spans="1:50" ht="21" customHeight="1">
      <c r="A1141" s="66" t="s">
        <v>995</v>
      </c>
      <c r="B1141" s="39">
        <f t="shared" si="159"/>
        <v>1137</v>
      </c>
      <c r="C1141" s="40">
        <v>46048</v>
      </c>
      <c r="D1141" s="40" t="s">
        <v>80</v>
      </c>
      <c r="E1141" s="40" t="s">
        <v>33</v>
      </c>
      <c r="F1141" s="41">
        <v>747.3</v>
      </c>
      <c r="G1141" s="42" t="s">
        <v>66</v>
      </c>
      <c r="H1141" s="43" t="str">
        <f>IFERROR(VLOOKUP($J1141,'[9]FROM (3)'!$E$4:$F$230,2,FALSE),"")</f>
        <v>JTCS</v>
      </c>
      <c r="I1141" s="44" t="str">
        <f t="shared" si="158"/>
        <v>RACK BAR</v>
      </c>
      <c r="J1141" s="44" t="str">
        <f t="shared" si="156"/>
        <v>JGD10S000800-B</v>
      </c>
      <c r="K1141" s="59" t="str">
        <f t="shared" si="157"/>
        <v>PD26010960</v>
      </c>
      <c r="L1141" s="46" t="str" cm="1">
        <f t="array" ref="L1141">IFERROR(_xlfn.IFS(
    LEN($A1141)-LEN(SUBSTITUTE($A1141,"|",""))=12, RIGHT(A1141, LEN(A1141)-FIND("~", SUBSTITUTE(A1141,"|","~", LEN(A1141)-LEN(SUBSTITUTE(A1141,"|",""))))),
    LEN($A1141)-LEN(SUBSTITUTE($A1141,"|",""))=13, MID($A1141, FIND("~", SUBSTITUTE($A1141,"|","~", 11))+1, FIND("~", SUBSTITUTE($A1141,"|","~", 12))-FIND("~", SUBSTITUTE($A1141,"|","~", 11))-1),
    LEN($A1141)-LEN(SUBSTITUTE($A1141,"|",""))=14, MID($A1141, FIND("~", SUBSTITUTE($A1141,"|","~", 11))+1, FIND("~", SUBSTITUTE($A1141,"|","~", 12))-FIND("~", SUBSTITUTE($A1141,"|","~", 11))-1)
), "")</f>
        <v>E586967</v>
      </c>
      <c r="M1141" s="72" t="str">
        <f t="shared" si="141"/>
        <v>SB010112/2/26</v>
      </c>
      <c r="N1141" s="46" t="str">
        <f t="shared" si="149"/>
        <v/>
      </c>
      <c r="O1141" s="60">
        <v>48</v>
      </c>
      <c r="P1141" s="60">
        <v>978</v>
      </c>
      <c r="Q1141" s="48">
        <v>192</v>
      </c>
      <c r="R1141" s="48">
        <v>920</v>
      </c>
      <c r="S1141" s="48"/>
      <c r="T1141" s="48"/>
      <c r="U1141" s="49"/>
      <c r="V1141" s="49"/>
      <c r="W1141" s="50"/>
      <c r="X1141" s="51" t="str">
        <f>IF(A1141="", "", IF(COUNTIFS(C$3:C1140, C1141, D$3:D1140, D1141, G$3:G1140, G1141) &gt; 0, "", "11:00"-AW1141))</f>
        <v/>
      </c>
      <c r="Y1141" s="52" t="str">
        <f t="shared" si="161"/>
        <v/>
      </c>
      <c r="Z1141" s="53"/>
      <c r="AA1141" s="54"/>
      <c r="AB1141" s="53"/>
      <c r="AC1141" s="54"/>
      <c r="AD1141" s="53"/>
      <c r="AE1141" s="54"/>
      <c r="AF1141" s="53"/>
      <c r="AG1141" s="54"/>
      <c r="AH1141" s="55">
        <v>4.1666666666666699E-2</v>
      </c>
      <c r="AI1141" s="53"/>
      <c r="AJ1141" s="54"/>
      <c r="AK1141" s="53"/>
      <c r="AL1141" s="54"/>
      <c r="AM1141" s="53"/>
      <c r="AN1141" s="54"/>
      <c r="AO1141" s="53"/>
      <c r="AP1141" s="54"/>
      <c r="AQ1141" s="53"/>
      <c r="AR1141" s="54"/>
      <c r="AS1141" s="53"/>
      <c r="AT1141" s="54"/>
      <c r="AU1141" s="53">
        <v>4.1666666666666699E-2</v>
      </c>
      <c r="AV1141" s="54" t="s">
        <v>37</v>
      </c>
      <c r="AW1141" s="57">
        <f t="shared" si="160"/>
        <v>4.1666666666666699E-2</v>
      </c>
      <c r="AX1141" s="58" t="s">
        <v>96</v>
      </c>
    </row>
    <row r="1142" spans="1:50" ht="21" customHeight="1">
      <c r="A1142" s="66" t="s">
        <v>996</v>
      </c>
      <c r="B1142" s="39">
        <f t="shared" si="159"/>
        <v>1138</v>
      </c>
      <c r="C1142" s="40">
        <v>46048</v>
      </c>
      <c r="D1142" s="40" t="s">
        <v>80</v>
      </c>
      <c r="E1142" s="40" t="s">
        <v>33</v>
      </c>
      <c r="F1142" s="41">
        <v>747.3</v>
      </c>
      <c r="G1142" s="42" t="s">
        <v>66</v>
      </c>
      <c r="H1142" s="43" t="str">
        <f>IFERROR(VLOOKUP($J1142,'[9]FROM (3)'!$E$4:$F$230,2,FALSE),"")</f>
        <v>JTCS</v>
      </c>
      <c r="I1142" s="44" t="str">
        <f t="shared" si="158"/>
        <v>RACK BAR</v>
      </c>
      <c r="J1142" s="44" t="str">
        <f t="shared" si="156"/>
        <v>JGD10S000800-B</v>
      </c>
      <c r="K1142" s="59" t="str">
        <f t="shared" si="157"/>
        <v>PD26010960</v>
      </c>
      <c r="L1142" s="46" t="str" cm="1">
        <f t="array" ref="L1142">IFERROR(_xlfn.IFS(
    LEN($A1142)-LEN(SUBSTITUTE($A1142,"|",""))=12, RIGHT(A1142, LEN(A1142)-FIND("~", SUBSTITUTE(A1142,"|","~", LEN(A1142)-LEN(SUBSTITUTE(A1142,"|",""))))),
    LEN($A1142)-LEN(SUBSTITUTE($A1142,"|",""))=13, MID($A1142, FIND("~", SUBSTITUTE($A1142,"|","~", 11))+1, FIND("~", SUBSTITUTE($A1142,"|","~", 12))-FIND("~", SUBSTITUTE($A1142,"|","~", 11))-1),
    LEN($A1142)-LEN(SUBSTITUTE($A1142,"|",""))=14, MID($A1142, FIND("~", SUBSTITUTE($A1142,"|","~", 11))+1, FIND("~", SUBSTITUTE($A1142,"|","~", 12))-FIND("~", SUBSTITUTE($A1142,"|","~", 11))-1)
), "")</f>
        <v>E586967</v>
      </c>
      <c r="M1142" s="72" t="str">
        <f t="shared" si="141"/>
        <v>SB010112/1/26</v>
      </c>
      <c r="N1142" s="46" t="str">
        <f t="shared" si="149"/>
        <v/>
      </c>
      <c r="O1142" s="60">
        <v>48</v>
      </c>
      <c r="P1142" s="60">
        <v>978</v>
      </c>
      <c r="Q1142" s="48">
        <v>192</v>
      </c>
      <c r="R1142" s="48">
        <v>920</v>
      </c>
      <c r="S1142" s="48"/>
      <c r="T1142" s="48"/>
      <c r="U1142" s="49"/>
      <c r="V1142" s="49"/>
      <c r="W1142" s="50"/>
      <c r="X1142" s="51" t="str">
        <f>IF(A1142="", "", IF(COUNTIFS(C$3:C1141, C1142, D$3:D1141, D1142, G$3:G1141, G1142) &gt; 0, "", "11:00"-AW1142))</f>
        <v/>
      </c>
      <c r="Y1142" s="52" t="str">
        <f t="shared" si="161"/>
        <v/>
      </c>
      <c r="Z1142" s="53"/>
      <c r="AA1142" s="54"/>
      <c r="AB1142" s="53"/>
      <c r="AC1142" s="54"/>
      <c r="AD1142" s="53"/>
      <c r="AE1142" s="54"/>
      <c r="AF1142" s="53"/>
      <c r="AG1142" s="54"/>
      <c r="AH1142" s="55">
        <v>4.1666666666666699E-2</v>
      </c>
      <c r="AI1142" s="53"/>
      <c r="AJ1142" s="54"/>
      <c r="AK1142" s="53"/>
      <c r="AL1142" s="54"/>
      <c r="AM1142" s="53"/>
      <c r="AN1142" s="54"/>
      <c r="AO1142" s="53"/>
      <c r="AP1142" s="54"/>
      <c r="AQ1142" s="53"/>
      <c r="AR1142" s="54"/>
      <c r="AS1142" s="53"/>
      <c r="AT1142" s="54"/>
      <c r="AU1142" s="53">
        <v>4.1666666666666699E-2</v>
      </c>
      <c r="AV1142" s="54" t="s">
        <v>37</v>
      </c>
      <c r="AW1142" s="57">
        <f t="shared" si="160"/>
        <v>4.1666666666666699E-2</v>
      </c>
      <c r="AX1142" s="58" t="s">
        <v>96</v>
      </c>
    </row>
    <row r="1143" spans="1:50" ht="21" customHeight="1">
      <c r="A1143" s="66" t="s">
        <v>997</v>
      </c>
      <c r="B1143" s="39">
        <f t="shared" si="159"/>
        <v>1139</v>
      </c>
      <c r="C1143" s="40">
        <v>46048</v>
      </c>
      <c r="D1143" s="40" t="s">
        <v>80</v>
      </c>
      <c r="E1143" s="40" t="s">
        <v>33</v>
      </c>
      <c r="F1143" s="41">
        <v>548.4</v>
      </c>
      <c r="G1143" s="42" t="s">
        <v>66</v>
      </c>
      <c r="H1143" s="43" t="str">
        <f>IFERROR(VLOOKUP($J1143,'[9]FROM (3)'!$E$4:$F$230,2,FALSE),"")</f>
        <v>JTCS</v>
      </c>
      <c r="I1143" s="44" t="str">
        <f t="shared" si="158"/>
        <v>RACK BAR</v>
      </c>
      <c r="J1143" s="44" t="str">
        <f t="shared" si="156"/>
        <v>JGC10S002020-B</v>
      </c>
      <c r="K1143" s="59" t="str">
        <f t="shared" si="157"/>
        <v>PD26010756</v>
      </c>
      <c r="L1143" s="46" t="str" cm="1">
        <f t="array" ref="L1143">IFERROR(_xlfn.IFS(
    LEN($A1143)-LEN(SUBSTITUTE($A1143,"|",""))=12, RIGHT(A1143, LEN(A1143)-FIND("~", SUBSTITUTE(A1143,"|","~", LEN(A1143)-LEN(SUBSTITUTE(A1143,"|",""))))),
    LEN($A1143)-LEN(SUBSTITUTE($A1143,"|",""))=13, MID($A1143, FIND("~", SUBSTITUTE($A1143,"|","~", 11))+1, FIND("~", SUBSTITUTE($A1143,"|","~", 12))-FIND("~", SUBSTITUTE($A1143,"|","~", 11))-1),
    LEN($A1143)-LEN(SUBSTITUTE($A1143,"|",""))=14, MID($A1143, FIND("~", SUBSTITUTE($A1143,"|","~", 11))+1, FIND("~", SUBSTITUTE($A1143,"|","~", 12))-FIND("~", SUBSTITUTE($A1143,"|","~", 11))-1)
), "")</f>
        <v>E586664</v>
      </c>
      <c r="M1143" s="72" t="str">
        <f t="shared" si="141"/>
        <v>SB010074/3/26</v>
      </c>
      <c r="N1143" s="46" t="str">
        <f t="shared" si="149"/>
        <v/>
      </c>
      <c r="O1143" s="60">
        <v>60</v>
      </c>
      <c r="P1143" s="60">
        <v>878</v>
      </c>
      <c r="Q1143" s="48">
        <v>346</v>
      </c>
      <c r="R1143" s="48">
        <v>791</v>
      </c>
      <c r="S1143" s="48"/>
      <c r="T1143" s="48"/>
      <c r="U1143" s="49"/>
      <c r="V1143" s="49"/>
      <c r="W1143" s="50"/>
      <c r="X1143" s="51" t="str">
        <f>IF(A1143="", "", IF(COUNTIFS(C$3:C1142, C1143, D$3:D1142, D1143, G$3:G1142, G1143) &gt; 0, "", "11:00"-AW1143))</f>
        <v/>
      </c>
      <c r="Y1143" s="52" t="str">
        <f t="shared" si="161"/>
        <v/>
      </c>
      <c r="Z1143" s="53"/>
      <c r="AA1143" s="54"/>
      <c r="AB1143" s="53"/>
      <c r="AC1143" s="54"/>
      <c r="AD1143" s="53"/>
      <c r="AE1143" s="54"/>
      <c r="AF1143" s="53"/>
      <c r="AG1143" s="54"/>
      <c r="AH1143" s="55">
        <v>4.1666666666666699E-2</v>
      </c>
      <c r="AI1143" s="53"/>
      <c r="AJ1143" s="54"/>
      <c r="AK1143" s="53"/>
      <c r="AL1143" s="54"/>
      <c r="AM1143" s="53"/>
      <c r="AN1143" s="54"/>
      <c r="AO1143" s="53"/>
      <c r="AP1143" s="54"/>
      <c r="AQ1143" s="53"/>
      <c r="AR1143" s="54"/>
      <c r="AS1143" s="53"/>
      <c r="AT1143" s="54"/>
      <c r="AU1143" s="53">
        <v>4.1666666666666699E-2</v>
      </c>
      <c r="AV1143" s="54" t="s">
        <v>37</v>
      </c>
      <c r="AW1143" s="57">
        <f t="shared" si="160"/>
        <v>4.1666666666666699E-2</v>
      </c>
      <c r="AX1143" s="58" t="s">
        <v>96</v>
      </c>
    </row>
    <row r="1144" spans="1:50" ht="21" customHeight="1">
      <c r="A1144" s="66" t="s">
        <v>966</v>
      </c>
      <c r="B1144" s="39">
        <f t="shared" si="159"/>
        <v>1140</v>
      </c>
      <c r="C1144" s="40">
        <v>46048</v>
      </c>
      <c r="D1144" s="40" t="s">
        <v>80</v>
      </c>
      <c r="E1144" s="40" t="s">
        <v>33</v>
      </c>
      <c r="F1144" s="41">
        <v>191</v>
      </c>
      <c r="G1144" s="42" t="s">
        <v>108</v>
      </c>
      <c r="H1144" s="43" t="str">
        <f>IFERROR(VLOOKUP($J1144,'[9]FROM (3)'!$E$4:$F$230,2,FALSE),"")</f>
        <v>SIAM NSK</v>
      </c>
      <c r="I1144" s="44" t="str">
        <f t="shared" si="158"/>
        <v>STG.SHAFT</v>
      </c>
      <c r="J1144" s="44" t="str">
        <f t="shared" si="156"/>
        <v>2528S0250C</v>
      </c>
      <c r="K1144" s="59" t="str">
        <f t="shared" si="157"/>
        <v>PD26010974</v>
      </c>
      <c r="L1144" s="46" t="str" cm="1">
        <f t="array" ref="L1144">IFERROR(_xlfn.IFS(
    LEN($A1144)-LEN(SUBSTITUTE($A1144,"|",""))=12, RIGHT(A1144, LEN(A1144)-FIND("~", SUBSTITUTE(A1144,"|","~", LEN(A1144)-LEN(SUBSTITUTE(A1144,"|",""))))),
    LEN($A1144)-LEN(SUBSTITUTE($A1144,"|",""))=13, MID($A1144, FIND("~", SUBSTITUTE($A1144,"|","~", 11))+1, FIND("~", SUBSTITUTE($A1144,"|","~", 12))-FIND("~", SUBSTITUTE($A1144,"|","~", 11))-1),
    LEN($A1144)-LEN(SUBSTITUTE($A1144,"|",""))=14, MID($A1144, FIND("~", SUBSTITUTE($A1144,"|","~", 11))+1, FIND("~", SUBSTITUTE($A1144,"|","~", 12))-FIND("~", SUBSTITUTE($A1144,"|","~", 11))-1)
), "")</f>
        <v>E484056</v>
      </c>
      <c r="M1144" s="72" t="str">
        <f t="shared" si="141"/>
        <v>SB010126/2/26</v>
      </c>
      <c r="N1144" s="46" t="str">
        <f t="shared" si="149"/>
        <v/>
      </c>
      <c r="O1144" s="60"/>
      <c r="P1144" s="60"/>
      <c r="Q1144" s="48">
        <v>1140</v>
      </c>
      <c r="R1144" s="48">
        <v>484</v>
      </c>
      <c r="S1144" s="48"/>
      <c r="T1144" s="48"/>
      <c r="U1144" s="49">
        <v>148</v>
      </c>
      <c r="V1144" s="49">
        <v>14</v>
      </c>
      <c r="W1144" s="50"/>
      <c r="X1144" s="51">
        <f>IF(A1144="", "", IF(COUNTIFS(C$3:C1143, C1144, D$3:D1143, D1144, G$3:G1143, G1144) &gt; 0, "", "11:00"-AW1144))</f>
        <v>0.33333333333333326</v>
      </c>
      <c r="Y1144" s="52" t="str">
        <f t="shared" si="161"/>
        <v>1:0</v>
      </c>
      <c r="Z1144" s="53"/>
      <c r="AA1144" s="54"/>
      <c r="AB1144" s="53"/>
      <c r="AC1144" s="54"/>
      <c r="AD1144" s="53"/>
      <c r="AE1144" s="54"/>
      <c r="AF1144" s="53"/>
      <c r="AG1144" s="54"/>
      <c r="AH1144" s="55">
        <v>4.1666666666666699E-2</v>
      </c>
      <c r="AI1144" s="53"/>
      <c r="AJ1144" s="54"/>
      <c r="AK1144" s="53"/>
      <c r="AL1144" s="54"/>
      <c r="AM1144" s="53"/>
      <c r="AN1144" s="54"/>
      <c r="AO1144" s="53"/>
      <c r="AP1144" s="54"/>
      <c r="AQ1144" s="53">
        <v>4.1666666666666664E-2</v>
      </c>
      <c r="AR1144" s="54" t="s">
        <v>37</v>
      </c>
      <c r="AS1144" s="53">
        <v>4.1666666666666664E-2</v>
      </c>
      <c r="AT1144" s="54" t="s">
        <v>37</v>
      </c>
      <c r="AU1144" s="53">
        <v>4.1666666666666699E-2</v>
      </c>
      <c r="AV1144" s="54" t="s">
        <v>37</v>
      </c>
      <c r="AW1144" s="57">
        <f t="shared" si="160"/>
        <v>0.12500000000000003</v>
      </c>
      <c r="AX1144" s="58" t="s">
        <v>770</v>
      </c>
    </row>
    <row r="1145" spans="1:50" ht="21" customHeight="1">
      <c r="A1145" s="66" t="s">
        <v>998</v>
      </c>
      <c r="B1145" s="39">
        <f t="shared" si="159"/>
        <v>1141</v>
      </c>
      <c r="C1145" s="40">
        <v>46048</v>
      </c>
      <c r="D1145" s="40" t="s">
        <v>80</v>
      </c>
      <c r="E1145" s="40" t="s">
        <v>33</v>
      </c>
      <c r="F1145" s="41">
        <v>262</v>
      </c>
      <c r="G1145" s="42" t="s">
        <v>108</v>
      </c>
      <c r="H1145" s="43" t="str">
        <f>IFERROR(VLOOKUP($J1145,'[9]FROM (3)'!$E$4:$F$230,2,FALSE),"")</f>
        <v/>
      </c>
      <c r="I1145" s="44" t="str">
        <f t="shared" si="158"/>
        <v>RACK</v>
      </c>
      <c r="J1145" s="44" t="str">
        <f t="shared" ref="J1145:J1208" si="162">IFERROR(MID(A1145,FIND("~",SUBSTITUTE(A1145,"|","~",3))+1,FIND("~",SUBSTITUTE(A1145,"|","~",4))-FIND("~",SUBSTITUTE(A1145,"|","~",3))-1),"")</f>
        <v>510-30149-020</v>
      </c>
      <c r="K1145" s="59" t="str">
        <f t="shared" si="157"/>
        <v>PD26011142</v>
      </c>
      <c r="L1145" s="46" t="str" cm="1">
        <f t="array" ref="L1145">IFERROR(_xlfn.IFS(
    LEN($A1145)-LEN(SUBSTITUTE($A1145,"|",""))=12, RIGHT(A1145, LEN(A1145)-FIND("~", SUBSTITUTE(A1145,"|","~", LEN(A1145)-LEN(SUBSTITUTE(A1145,"|",""))))),
    LEN($A1145)-LEN(SUBSTITUTE($A1145,"|",""))=13, MID($A1145, FIND("~", SUBSTITUTE($A1145,"|","~", 11))+1, FIND("~", SUBSTITUTE($A1145,"|","~", 12))-FIND("~", SUBSTITUTE($A1145,"|","~", 11))-1),
    LEN($A1145)-LEN(SUBSTITUTE($A1145,"|",""))=14, MID($A1145, FIND("~", SUBSTITUTE($A1145,"|","~", 11))+1, FIND("~", SUBSTITUTE($A1145,"|","~", 12))-FIND("~", SUBSTITUTE($A1145,"|","~", 11))-1)
), "")</f>
        <v>5C1361</v>
      </c>
      <c r="M1145" s="72" t="str">
        <f t="shared" si="141"/>
        <v>SB010159/5/26</v>
      </c>
      <c r="N1145" s="46" t="str">
        <f t="shared" si="149"/>
        <v/>
      </c>
      <c r="O1145" s="60">
        <v>40</v>
      </c>
      <c r="P1145" s="60">
        <v>786</v>
      </c>
      <c r="Q1145" s="48">
        <v>440</v>
      </c>
      <c r="R1145" s="48">
        <v>719</v>
      </c>
      <c r="S1145" s="48"/>
      <c r="T1145" s="48"/>
      <c r="U1145" s="49">
        <v>118</v>
      </c>
      <c r="V1145" s="49">
        <v>12</v>
      </c>
      <c r="W1145" s="50"/>
      <c r="X1145" s="51" t="str">
        <f>IF(A1145="", "", IF(COUNTIFS(C$3:C1144, C1145, D$3:D1144, D1145, G$3:G1144, G1145) &gt; 0, "", "11:00"-AW1145))</f>
        <v/>
      </c>
      <c r="Y1145" s="52" t="str">
        <f t="shared" si="161"/>
        <v/>
      </c>
      <c r="Z1145" s="53"/>
      <c r="AA1145" s="54"/>
      <c r="AB1145" s="53"/>
      <c r="AC1145" s="54"/>
      <c r="AD1145" s="53"/>
      <c r="AE1145" s="54"/>
      <c r="AF1145" s="53"/>
      <c r="AG1145" s="54"/>
      <c r="AH1145" s="55">
        <v>4.1666666666666699E-2</v>
      </c>
      <c r="AI1145" s="53"/>
      <c r="AJ1145" s="54"/>
      <c r="AK1145" s="53"/>
      <c r="AL1145" s="54"/>
      <c r="AM1145" s="53"/>
      <c r="AN1145" s="54"/>
      <c r="AO1145" s="53"/>
      <c r="AP1145" s="54"/>
      <c r="AQ1145" s="53">
        <v>4.1666666666666664E-2</v>
      </c>
      <c r="AR1145" s="54" t="s">
        <v>37</v>
      </c>
      <c r="AS1145" s="53">
        <v>4.1666666666666664E-2</v>
      </c>
      <c r="AT1145" s="54" t="s">
        <v>37</v>
      </c>
      <c r="AU1145" s="53">
        <v>4.1666666666666699E-2</v>
      </c>
      <c r="AV1145" s="54" t="s">
        <v>37</v>
      </c>
      <c r="AW1145" s="57">
        <f t="shared" si="160"/>
        <v>0.12500000000000003</v>
      </c>
      <c r="AX1145" s="58" t="s">
        <v>770</v>
      </c>
    </row>
    <row r="1146" spans="1:50" ht="21" customHeight="1">
      <c r="A1146" s="66" t="s">
        <v>999</v>
      </c>
      <c r="B1146" s="39">
        <f t="shared" si="159"/>
        <v>1142</v>
      </c>
      <c r="C1146" s="40">
        <v>46048</v>
      </c>
      <c r="D1146" s="40" t="s">
        <v>80</v>
      </c>
      <c r="E1146" s="40" t="s">
        <v>33</v>
      </c>
      <c r="F1146" s="41">
        <v>262</v>
      </c>
      <c r="G1146" s="42" t="s">
        <v>108</v>
      </c>
      <c r="H1146" s="43" t="str">
        <f>IFERROR(VLOOKUP($J1146,'[9]FROM (3)'!$E$4:$F$230,2,FALSE),"")</f>
        <v/>
      </c>
      <c r="I1146" s="44" t="str">
        <f t="shared" si="158"/>
        <v>RACK</v>
      </c>
      <c r="J1146" s="44" t="str">
        <f t="shared" si="162"/>
        <v>510-30149-020</v>
      </c>
      <c r="K1146" s="59" t="str">
        <f t="shared" si="157"/>
        <v>PD26011142</v>
      </c>
      <c r="L1146" s="46" t="str" cm="1">
        <f t="array" ref="L1146">IFERROR(_xlfn.IFS(
    LEN($A1146)-LEN(SUBSTITUTE($A1146,"|",""))=12, RIGHT(A1146, LEN(A1146)-FIND("~", SUBSTITUTE(A1146,"|","~", LEN(A1146)-LEN(SUBSTITUTE(A1146,"|",""))))),
    LEN($A1146)-LEN(SUBSTITUTE($A1146,"|",""))=13, MID($A1146, FIND("~", SUBSTITUTE($A1146,"|","~", 11))+1, FIND("~", SUBSTITUTE($A1146,"|","~", 12))-FIND("~", SUBSTITUTE($A1146,"|","~", 11))-1),
    LEN($A1146)-LEN(SUBSTITUTE($A1146,"|",""))=14, MID($A1146, FIND("~", SUBSTITUTE($A1146,"|","~", 11))+1, FIND("~", SUBSTITUTE($A1146,"|","~", 12))-FIND("~", SUBSTITUTE($A1146,"|","~", 11))-1)
), "")</f>
        <v>5C1361</v>
      </c>
      <c r="M1146" s="72" t="str">
        <f t="shared" si="141"/>
        <v>SB010159/4/26</v>
      </c>
      <c r="N1146" s="46" t="str">
        <f t="shared" si="149"/>
        <v/>
      </c>
      <c r="O1146" s="60">
        <v>40</v>
      </c>
      <c r="P1146" s="60">
        <v>786</v>
      </c>
      <c r="Q1146" s="48">
        <v>440</v>
      </c>
      <c r="R1146" s="48">
        <v>719</v>
      </c>
      <c r="S1146" s="48"/>
      <c r="T1146" s="48"/>
      <c r="U1146" s="49"/>
      <c r="V1146" s="49"/>
      <c r="W1146" s="50"/>
      <c r="X1146" s="51" t="str">
        <f>IF(A1146="", "", IF(COUNTIFS(C$3:C1145, C1146, D$3:D1145, D1146, G$3:G1145, G1146) &gt; 0, "", "11:00"-AW1146))</f>
        <v/>
      </c>
      <c r="Y1146" s="52" t="str">
        <f t="shared" si="161"/>
        <v/>
      </c>
      <c r="Z1146" s="53"/>
      <c r="AA1146" s="54"/>
      <c r="AB1146" s="53"/>
      <c r="AC1146" s="54"/>
      <c r="AD1146" s="53"/>
      <c r="AE1146" s="54"/>
      <c r="AF1146" s="53"/>
      <c r="AG1146" s="54"/>
      <c r="AH1146" s="55">
        <v>4.1666666666666699E-2</v>
      </c>
      <c r="AI1146" s="53"/>
      <c r="AJ1146" s="54"/>
      <c r="AK1146" s="53"/>
      <c r="AL1146" s="54"/>
      <c r="AM1146" s="53"/>
      <c r="AN1146" s="54"/>
      <c r="AO1146" s="53"/>
      <c r="AP1146" s="54"/>
      <c r="AQ1146" s="53">
        <v>4.1666666666666664E-2</v>
      </c>
      <c r="AR1146" s="54" t="s">
        <v>37</v>
      </c>
      <c r="AS1146" s="53">
        <v>4.1666666666666664E-2</v>
      </c>
      <c r="AT1146" s="54" t="s">
        <v>37</v>
      </c>
      <c r="AU1146" s="53">
        <v>4.1666666666666699E-2</v>
      </c>
      <c r="AV1146" s="54" t="s">
        <v>37</v>
      </c>
      <c r="AW1146" s="57">
        <f t="shared" si="160"/>
        <v>0.12500000000000003</v>
      </c>
      <c r="AX1146" s="58" t="s">
        <v>770</v>
      </c>
    </row>
    <row r="1147" spans="1:50" ht="21" customHeight="1">
      <c r="A1147" s="66" t="s">
        <v>1000</v>
      </c>
      <c r="B1147" s="39">
        <f t="shared" si="159"/>
        <v>1143</v>
      </c>
      <c r="C1147" s="40">
        <v>46048</v>
      </c>
      <c r="D1147" s="40" t="s">
        <v>80</v>
      </c>
      <c r="E1147" s="40" t="s">
        <v>33</v>
      </c>
      <c r="F1147" s="41">
        <v>262</v>
      </c>
      <c r="G1147" s="42" t="s">
        <v>108</v>
      </c>
      <c r="H1147" s="43" t="str">
        <f>IFERROR(VLOOKUP($J1147,'[9]FROM (3)'!$E$4:$F$230,2,FALSE),"")</f>
        <v/>
      </c>
      <c r="I1147" s="44" t="str">
        <f t="shared" si="158"/>
        <v>RACK</v>
      </c>
      <c r="J1147" s="44" t="str">
        <f t="shared" si="162"/>
        <v>510-30149-020</v>
      </c>
      <c r="K1147" s="59" t="str">
        <f t="shared" si="157"/>
        <v>PD26011141</v>
      </c>
      <c r="L1147" s="46" t="str" cm="1">
        <f t="array" ref="L1147">IFERROR(_xlfn.IFS(
    LEN($A1147)-LEN(SUBSTITUTE($A1147,"|",""))=12, RIGHT(A1147, LEN(A1147)-FIND("~", SUBSTITUTE(A1147,"|","~", LEN(A1147)-LEN(SUBSTITUTE(A1147,"|",""))))),
    LEN($A1147)-LEN(SUBSTITUTE($A1147,"|",""))=13, MID($A1147, FIND("~", SUBSTITUTE($A1147,"|","~", 11))+1, FIND("~", SUBSTITUTE($A1147,"|","~", 12))-FIND("~", SUBSTITUTE($A1147,"|","~", 11))-1),
    LEN($A1147)-LEN(SUBSTITUTE($A1147,"|",""))=14, MID($A1147, FIND("~", SUBSTITUTE($A1147,"|","~", 11))+1, FIND("~", SUBSTITUTE($A1147,"|","~", 12))-FIND("~", SUBSTITUTE($A1147,"|","~", 11))-1)
), "")</f>
        <v>5C1361</v>
      </c>
      <c r="M1147" s="72" t="str">
        <f t="shared" si="141"/>
        <v>SB010159/3/26</v>
      </c>
      <c r="N1147" s="46" t="str">
        <f t="shared" si="149"/>
        <v/>
      </c>
      <c r="O1147" s="60">
        <v>44</v>
      </c>
      <c r="P1147" s="60">
        <v>864</v>
      </c>
      <c r="Q1147" s="48">
        <v>127</v>
      </c>
      <c r="R1147" s="48">
        <v>208</v>
      </c>
      <c r="S1147" s="48"/>
      <c r="T1147" s="48"/>
      <c r="U1147" s="49"/>
      <c r="V1147" s="49"/>
      <c r="W1147" s="50"/>
      <c r="X1147" s="51" t="str">
        <f>IF(A1147="", "", IF(COUNTIFS(C$3:C1146, C1147, D$3:D1146, D1147, G$3:G1146, G1147) &gt; 0, "", "11:00"-AW1147))</f>
        <v/>
      </c>
      <c r="Y1147" s="52" t="str">
        <f t="shared" si="161"/>
        <v/>
      </c>
      <c r="Z1147" s="53"/>
      <c r="AA1147" s="54"/>
      <c r="AB1147" s="53"/>
      <c r="AC1147" s="54"/>
      <c r="AD1147" s="53"/>
      <c r="AE1147" s="54"/>
      <c r="AF1147" s="53"/>
      <c r="AG1147" s="54"/>
      <c r="AH1147" s="55">
        <v>4.1666666666666699E-2</v>
      </c>
      <c r="AI1147" s="53"/>
      <c r="AJ1147" s="54"/>
      <c r="AK1147" s="53"/>
      <c r="AL1147" s="54"/>
      <c r="AM1147" s="53"/>
      <c r="AN1147" s="54"/>
      <c r="AO1147" s="53"/>
      <c r="AP1147" s="54"/>
      <c r="AQ1147" s="53">
        <v>4.1666666666666664E-2</v>
      </c>
      <c r="AR1147" s="54" t="s">
        <v>37</v>
      </c>
      <c r="AS1147" s="53">
        <v>4.1666666666666664E-2</v>
      </c>
      <c r="AT1147" s="54" t="s">
        <v>37</v>
      </c>
      <c r="AU1147" s="53">
        <v>4.1666666666666699E-2</v>
      </c>
      <c r="AV1147" s="54" t="s">
        <v>37</v>
      </c>
      <c r="AW1147" s="57">
        <f t="shared" si="160"/>
        <v>0.12500000000000003</v>
      </c>
      <c r="AX1147" s="58" t="s">
        <v>770</v>
      </c>
    </row>
    <row r="1148" spans="1:50" ht="21" customHeight="1">
      <c r="A1148" s="66" t="s">
        <v>1001</v>
      </c>
      <c r="B1148" s="39">
        <f t="shared" si="159"/>
        <v>1144</v>
      </c>
      <c r="C1148" s="40">
        <v>46048</v>
      </c>
      <c r="D1148" s="40" t="s">
        <v>80</v>
      </c>
      <c r="E1148" s="40" t="s">
        <v>33</v>
      </c>
      <c r="F1148" s="41">
        <v>278</v>
      </c>
      <c r="G1148" s="42" t="s">
        <v>46</v>
      </c>
      <c r="H1148" s="43" t="str">
        <f>IFERROR(VLOOKUP($J1148,'[9]FROM (3)'!$E$4:$F$230,2,FALSE),"")</f>
        <v>SIAM NSK</v>
      </c>
      <c r="I1148" s="44" t="str">
        <f t="shared" si="158"/>
        <v>SHAFT SPLINE</v>
      </c>
      <c r="J1148" s="44" t="str">
        <f t="shared" si="162"/>
        <v>2550T0749P</v>
      </c>
      <c r="K1148" s="59" t="str">
        <f t="shared" si="157"/>
        <v>PD26011143</v>
      </c>
      <c r="L1148" s="46" t="str" cm="1">
        <f t="array" ref="L1148">IFERROR(_xlfn.IFS(
    LEN($A1148)-LEN(SUBSTITUTE($A1148,"|",""))=12, RIGHT(A1148, LEN(A1148)-FIND("~", SUBSTITUTE(A1148,"|","~", LEN(A1148)-LEN(SUBSTITUTE(A1148,"|",""))))),
    LEN($A1148)-LEN(SUBSTITUTE($A1148,"|",""))=13, MID($A1148, FIND("~", SUBSTITUTE($A1148,"|","~", 11))+1, FIND("~", SUBSTITUTE($A1148,"|","~", 12))-FIND("~", SUBSTITUTE($A1148,"|","~", 11))-1),
    LEN($A1148)-LEN(SUBSTITUTE($A1148,"|",""))=14, MID($A1148, FIND("~", SUBSTITUTE($A1148,"|","~", 11))+1, FIND("~", SUBSTITUTE($A1148,"|","~", 12))-FIND("~", SUBSTITUTE($A1148,"|","~", 11))-1)
), "")</f>
        <v>SF95636</v>
      </c>
      <c r="M1148" s="72" t="str">
        <f t="shared" si="141"/>
        <v>SB010135/1/26</v>
      </c>
      <c r="N1148" s="46" t="str">
        <f t="shared" si="149"/>
        <v/>
      </c>
      <c r="O1148" s="60">
        <v>101</v>
      </c>
      <c r="P1148" s="60">
        <v>972</v>
      </c>
      <c r="Q1148" s="48">
        <v>1616</v>
      </c>
      <c r="R1148" s="48">
        <v>923</v>
      </c>
      <c r="S1148" s="48"/>
      <c r="T1148" s="48"/>
      <c r="U1148" s="49"/>
      <c r="V1148" s="49"/>
      <c r="W1148" s="50"/>
      <c r="X1148" s="51">
        <f>IF(A1148="", "", IF(COUNTIFS(C$3:C1147, C1148, D$3:D1147, D1148, G$3:G1147, G1148) &gt; 0, "", "11:00"-AW1148))</f>
        <v>0.33333333333333326</v>
      </c>
      <c r="Y1148" s="52" t="str">
        <f t="shared" si="161"/>
        <v>1:0</v>
      </c>
      <c r="Z1148" s="53"/>
      <c r="AA1148" s="54"/>
      <c r="AB1148" s="53"/>
      <c r="AC1148" s="54"/>
      <c r="AD1148" s="53"/>
      <c r="AE1148" s="54"/>
      <c r="AF1148" s="53"/>
      <c r="AG1148" s="54"/>
      <c r="AH1148" s="55">
        <v>4.1666666666666699E-2</v>
      </c>
      <c r="AI1148" s="53"/>
      <c r="AJ1148" s="54"/>
      <c r="AK1148" s="53"/>
      <c r="AL1148" s="54"/>
      <c r="AM1148" s="53"/>
      <c r="AN1148" s="54"/>
      <c r="AO1148" s="53"/>
      <c r="AP1148" s="54"/>
      <c r="AQ1148" s="53">
        <v>4.1666666666666664E-2</v>
      </c>
      <c r="AR1148" s="54" t="s">
        <v>37</v>
      </c>
      <c r="AS1148" s="53">
        <v>4.1666666666666664E-2</v>
      </c>
      <c r="AT1148" s="54" t="s">
        <v>37</v>
      </c>
      <c r="AU1148" s="53">
        <v>4.1666666666666699E-2</v>
      </c>
      <c r="AV1148" s="54" t="s">
        <v>37</v>
      </c>
      <c r="AW1148" s="57">
        <f t="shared" si="160"/>
        <v>0.12500000000000003</v>
      </c>
      <c r="AX1148" s="58" t="s">
        <v>770</v>
      </c>
    </row>
    <row r="1149" spans="1:50" ht="21" customHeight="1">
      <c r="A1149" s="66" t="s">
        <v>1002</v>
      </c>
      <c r="B1149" s="39">
        <f t="shared" si="159"/>
        <v>1145</v>
      </c>
      <c r="C1149" s="40">
        <v>46048</v>
      </c>
      <c r="D1149" s="40" t="s">
        <v>80</v>
      </c>
      <c r="E1149" s="40" t="s">
        <v>33</v>
      </c>
      <c r="F1149" s="41">
        <v>278</v>
      </c>
      <c r="G1149" s="42" t="s">
        <v>46</v>
      </c>
      <c r="H1149" s="43" t="str">
        <f>IFERROR(VLOOKUP($J1149,'[9]FROM (3)'!$E$4:$F$230,2,FALSE),"")</f>
        <v>SIAM NSK</v>
      </c>
      <c r="I1149" s="44" t="str">
        <f t="shared" si="158"/>
        <v>SHAFT SPLINE</v>
      </c>
      <c r="J1149" s="44" t="str">
        <f t="shared" si="162"/>
        <v>2550T0749P</v>
      </c>
      <c r="K1149" s="59" t="str">
        <f t="shared" si="157"/>
        <v>PD26011143</v>
      </c>
      <c r="L1149" s="46" t="str" cm="1">
        <f t="array" ref="L1149">IFERROR(_xlfn.IFS(
    LEN($A1149)-LEN(SUBSTITUTE($A1149,"|",""))=12, RIGHT(A1149, LEN(A1149)-FIND("~", SUBSTITUTE(A1149,"|","~", LEN(A1149)-LEN(SUBSTITUTE(A1149,"|",""))))),
    LEN($A1149)-LEN(SUBSTITUTE($A1149,"|",""))=13, MID($A1149, FIND("~", SUBSTITUTE($A1149,"|","~", 11))+1, FIND("~", SUBSTITUTE($A1149,"|","~", 12))-FIND("~", SUBSTITUTE($A1149,"|","~", 11))-1),
    LEN($A1149)-LEN(SUBSTITUTE($A1149,"|",""))=14, MID($A1149, FIND("~", SUBSTITUTE($A1149,"|","~", 11))+1, FIND("~", SUBSTITUTE($A1149,"|","~", 12))-FIND("~", SUBSTITUTE($A1149,"|","~", 11))-1)
), "")</f>
        <v>SF95636</v>
      </c>
      <c r="M1149" s="72" t="str">
        <f t="shared" si="141"/>
        <v>SB010135/2/26</v>
      </c>
      <c r="N1149" s="46" t="str">
        <f t="shared" si="149"/>
        <v/>
      </c>
      <c r="O1149" s="60">
        <v>100</v>
      </c>
      <c r="P1149" s="60">
        <v>962</v>
      </c>
      <c r="Q1149" s="48">
        <v>1160</v>
      </c>
      <c r="R1149" s="48">
        <v>663</v>
      </c>
      <c r="S1149" s="48"/>
      <c r="T1149" s="48"/>
      <c r="U1149" s="49"/>
      <c r="V1149" s="49"/>
      <c r="W1149" s="50"/>
      <c r="X1149" s="51" t="str">
        <f>IF(A1149="", "", IF(COUNTIFS(C$3:C1148, C1149, D$3:D1148, D1149, G$3:G1148, G1149) &gt; 0, "", "11:00"-AW1149))</f>
        <v/>
      </c>
      <c r="Y1149" s="52" t="str">
        <f t="shared" si="161"/>
        <v/>
      </c>
      <c r="Z1149" s="53"/>
      <c r="AA1149" s="54"/>
      <c r="AB1149" s="53"/>
      <c r="AC1149" s="54"/>
      <c r="AD1149" s="53"/>
      <c r="AE1149" s="54"/>
      <c r="AF1149" s="53"/>
      <c r="AG1149" s="54"/>
      <c r="AH1149" s="55">
        <v>4.1666666666666699E-2</v>
      </c>
      <c r="AI1149" s="53"/>
      <c r="AJ1149" s="54"/>
      <c r="AK1149" s="53"/>
      <c r="AL1149" s="54"/>
      <c r="AM1149" s="53"/>
      <c r="AN1149" s="54"/>
      <c r="AO1149" s="53"/>
      <c r="AP1149" s="54"/>
      <c r="AQ1149" s="53">
        <v>4.1666666666666664E-2</v>
      </c>
      <c r="AR1149" s="54" t="s">
        <v>37</v>
      </c>
      <c r="AS1149" s="53">
        <v>4.1666666666666664E-2</v>
      </c>
      <c r="AT1149" s="54" t="s">
        <v>37</v>
      </c>
      <c r="AU1149" s="53">
        <v>4.1666666666666699E-2</v>
      </c>
      <c r="AV1149" s="54" t="s">
        <v>37</v>
      </c>
      <c r="AW1149" s="57">
        <f t="shared" si="160"/>
        <v>0.12500000000000003</v>
      </c>
      <c r="AX1149" s="58" t="s">
        <v>770</v>
      </c>
    </row>
    <row r="1150" spans="1:50" ht="21" customHeight="1">
      <c r="A1150" s="66" t="s">
        <v>998</v>
      </c>
      <c r="B1150" s="39">
        <f t="shared" si="159"/>
        <v>1146</v>
      </c>
      <c r="C1150" s="40">
        <v>46048</v>
      </c>
      <c r="D1150" s="40" t="s">
        <v>80</v>
      </c>
      <c r="E1150" s="40" t="s">
        <v>33</v>
      </c>
      <c r="F1150" s="41">
        <v>375</v>
      </c>
      <c r="G1150" s="42" t="s">
        <v>172</v>
      </c>
      <c r="H1150" s="43" t="str">
        <f>IFERROR(VLOOKUP($J1150,'[9]FROM (3)'!$E$4:$F$230,2,FALSE),"")</f>
        <v/>
      </c>
      <c r="I1150" s="44" t="str">
        <f t="shared" si="158"/>
        <v>RACK</v>
      </c>
      <c r="J1150" s="44" t="str">
        <f t="shared" si="162"/>
        <v>510-30149-020</v>
      </c>
      <c r="K1150" s="59" t="str">
        <f t="shared" si="157"/>
        <v>PD26011142</v>
      </c>
      <c r="L1150" s="46" t="str" cm="1">
        <f t="array" ref="L1150">IFERROR(_xlfn.IFS(
    LEN($A1150)-LEN(SUBSTITUTE($A1150,"|",""))=12, RIGHT(A1150, LEN(A1150)-FIND("~", SUBSTITUTE(A1150,"|","~", LEN(A1150)-LEN(SUBSTITUTE(A1150,"|",""))))),
    LEN($A1150)-LEN(SUBSTITUTE($A1150,"|",""))=13, MID($A1150, FIND("~", SUBSTITUTE($A1150,"|","~", 11))+1, FIND("~", SUBSTITUTE($A1150,"|","~", 12))-FIND("~", SUBSTITUTE($A1150,"|","~", 11))-1),
    LEN($A1150)-LEN(SUBSTITUTE($A1150,"|",""))=14, MID($A1150, FIND("~", SUBSTITUTE($A1150,"|","~", 11))+1, FIND("~", SUBSTITUTE($A1150,"|","~", 12))-FIND("~", SUBSTITUTE($A1150,"|","~", 11))-1)
), "")</f>
        <v>5C1361</v>
      </c>
      <c r="M1150" s="72" t="str">
        <f t="shared" si="141"/>
        <v>SB010159/5/26</v>
      </c>
      <c r="N1150" s="46" t="str">
        <f t="shared" si="149"/>
        <v/>
      </c>
      <c r="O1150" s="60"/>
      <c r="P1150" s="60"/>
      <c r="Q1150" s="48">
        <v>1817</v>
      </c>
      <c r="R1150" s="48">
        <v>681</v>
      </c>
      <c r="S1150" s="48"/>
      <c r="T1150" s="48"/>
      <c r="U1150" s="49"/>
      <c r="V1150" s="49"/>
      <c r="W1150" s="50"/>
      <c r="X1150" s="51">
        <f>IF(A1150="", "", IF(COUNTIFS(C$3:C1149, C1150, D$3:D1149, D1150, G$3:G1149, G1150) &gt; 0, "", "11:00"-AW1150))</f>
        <v>0.33333333333333326</v>
      </c>
      <c r="Y1150" s="52" t="str">
        <f t="shared" si="161"/>
        <v>1:0</v>
      </c>
      <c r="Z1150" s="53"/>
      <c r="AA1150" s="54"/>
      <c r="AB1150" s="53"/>
      <c r="AC1150" s="54"/>
      <c r="AD1150" s="53"/>
      <c r="AE1150" s="54"/>
      <c r="AF1150" s="53"/>
      <c r="AG1150" s="54"/>
      <c r="AH1150" s="55">
        <v>4.1666666666666699E-2</v>
      </c>
      <c r="AI1150" s="53"/>
      <c r="AJ1150" s="54"/>
      <c r="AK1150" s="53"/>
      <c r="AL1150" s="54"/>
      <c r="AM1150" s="53"/>
      <c r="AN1150" s="54"/>
      <c r="AO1150" s="53"/>
      <c r="AP1150" s="54"/>
      <c r="AQ1150" s="53">
        <v>4.1666666666666664E-2</v>
      </c>
      <c r="AR1150" s="54" t="s">
        <v>37</v>
      </c>
      <c r="AS1150" s="53">
        <v>4.1666666666666664E-2</v>
      </c>
      <c r="AT1150" s="54" t="s">
        <v>37</v>
      </c>
      <c r="AU1150" s="53">
        <v>4.1666666666666699E-2</v>
      </c>
      <c r="AV1150" s="54" t="s">
        <v>37</v>
      </c>
      <c r="AW1150" s="57">
        <f t="shared" si="160"/>
        <v>0.12500000000000003</v>
      </c>
      <c r="AX1150" s="58" t="s">
        <v>770</v>
      </c>
    </row>
    <row r="1151" spans="1:50" ht="21" customHeight="1">
      <c r="A1151" s="66" t="s">
        <v>999</v>
      </c>
      <c r="B1151" s="39">
        <f t="shared" si="159"/>
        <v>1147</v>
      </c>
      <c r="C1151" s="40">
        <v>46048</v>
      </c>
      <c r="D1151" s="40" t="s">
        <v>80</v>
      </c>
      <c r="E1151" s="40" t="s">
        <v>33</v>
      </c>
      <c r="F1151" s="41">
        <v>375</v>
      </c>
      <c r="G1151" s="42" t="s">
        <v>172</v>
      </c>
      <c r="H1151" s="43" t="str">
        <f>IFERROR(VLOOKUP($J1151,'[9]FROM (3)'!$E$4:$F$230,2,FALSE),"")</f>
        <v/>
      </c>
      <c r="I1151" s="44" t="str">
        <f t="shared" si="158"/>
        <v>RACK</v>
      </c>
      <c r="J1151" s="44" t="str">
        <f t="shared" si="162"/>
        <v>510-30149-020</v>
      </c>
      <c r="K1151" s="59" t="str">
        <f t="shared" si="157"/>
        <v>PD26011142</v>
      </c>
      <c r="L1151" s="46" t="str" cm="1">
        <f t="array" ref="L1151">IFERROR(_xlfn.IFS(
    LEN($A1151)-LEN(SUBSTITUTE($A1151,"|",""))=12, RIGHT(A1151, LEN(A1151)-FIND("~", SUBSTITUTE(A1151,"|","~", LEN(A1151)-LEN(SUBSTITUTE(A1151,"|",""))))),
    LEN($A1151)-LEN(SUBSTITUTE($A1151,"|",""))=13, MID($A1151, FIND("~", SUBSTITUTE($A1151,"|","~", 11))+1, FIND("~", SUBSTITUTE($A1151,"|","~", 12))-FIND("~", SUBSTITUTE($A1151,"|","~", 11))-1),
    LEN($A1151)-LEN(SUBSTITUTE($A1151,"|",""))=14, MID($A1151, FIND("~", SUBSTITUTE($A1151,"|","~", 11))+1, FIND("~", SUBSTITUTE($A1151,"|","~", 12))-FIND("~", SUBSTITUTE($A1151,"|","~", 11))-1)
), "")</f>
        <v>5C1361</v>
      </c>
      <c r="M1151" s="72" t="str">
        <f t="shared" si="141"/>
        <v>SB010159/4/26</v>
      </c>
      <c r="N1151" s="46" t="str">
        <f t="shared" si="149"/>
        <v/>
      </c>
      <c r="O1151" s="60">
        <v>40</v>
      </c>
      <c r="P1151" s="60">
        <v>786</v>
      </c>
      <c r="Q1151" s="48">
        <v>418</v>
      </c>
      <c r="R1151" s="48">
        <v>157</v>
      </c>
      <c r="S1151" s="48"/>
      <c r="T1151" s="48"/>
      <c r="U1151" s="49"/>
      <c r="V1151" s="49"/>
      <c r="W1151" s="50"/>
      <c r="X1151" s="51" t="str">
        <f>IF(A1151="", "", IF(COUNTIFS(C$3:C1150, C1151, D$3:D1150, D1151, G$3:G1150, G1151) &gt; 0, "", "11:00"-AW1151))</f>
        <v/>
      </c>
      <c r="Y1151" s="52" t="str">
        <f t="shared" si="161"/>
        <v/>
      </c>
      <c r="Z1151" s="53"/>
      <c r="AA1151" s="54"/>
      <c r="AB1151" s="53"/>
      <c r="AC1151" s="54"/>
      <c r="AD1151" s="53"/>
      <c r="AE1151" s="54"/>
      <c r="AF1151" s="53"/>
      <c r="AG1151" s="54"/>
      <c r="AH1151" s="55">
        <v>4.1666666666666699E-2</v>
      </c>
      <c r="AI1151" s="53"/>
      <c r="AJ1151" s="54"/>
      <c r="AK1151" s="53"/>
      <c r="AL1151" s="54"/>
      <c r="AM1151" s="53"/>
      <c r="AN1151" s="54"/>
      <c r="AO1151" s="53"/>
      <c r="AP1151" s="54"/>
      <c r="AQ1151" s="53">
        <v>4.1666666666666664E-2</v>
      </c>
      <c r="AR1151" s="54" t="s">
        <v>37</v>
      </c>
      <c r="AS1151" s="53">
        <v>4.1666666666666664E-2</v>
      </c>
      <c r="AT1151" s="54" t="s">
        <v>37</v>
      </c>
      <c r="AU1151" s="53">
        <v>4.1666666666666699E-2</v>
      </c>
      <c r="AV1151" s="54" t="s">
        <v>37</v>
      </c>
      <c r="AW1151" s="57">
        <f t="shared" si="160"/>
        <v>0.12500000000000003</v>
      </c>
      <c r="AX1151" s="58" t="s">
        <v>770</v>
      </c>
    </row>
    <row r="1152" spans="1:50" ht="21" customHeight="1">
      <c r="A1152" s="66" t="s">
        <v>1003</v>
      </c>
      <c r="B1152" s="39">
        <f t="shared" si="159"/>
        <v>1148</v>
      </c>
      <c r="C1152" s="40">
        <v>46048</v>
      </c>
      <c r="D1152" s="40" t="s">
        <v>32</v>
      </c>
      <c r="E1152" s="40" t="s">
        <v>81</v>
      </c>
      <c r="F1152" s="41">
        <v>133.80000000000001</v>
      </c>
      <c r="G1152" s="42" t="s">
        <v>41</v>
      </c>
      <c r="H1152" s="43" t="str">
        <f>IFERROR(VLOOKUP($J1152,'[9]FROM (3)'!$E$4:$F$230,2,FALSE),"")</f>
        <v xml:space="preserve">DNTH </v>
      </c>
      <c r="I1152" s="44" t="str">
        <f t="shared" si="158"/>
        <v>Barrel</v>
      </c>
      <c r="J1152" s="44" t="str">
        <f t="shared" si="162"/>
        <v>TG028986-0030</v>
      </c>
      <c r="K1152" s="59" t="str">
        <f t="shared" si="157"/>
        <v>PD25121291</v>
      </c>
      <c r="L1152" s="46" t="str" cm="1">
        <f t="array" ref="L1152">IFERROR(_xlfn.IFS(
    LEN($A1152)-LEN(SUBSTITUTE($A1152,"|",""))=12, RIGHT(A1152, LEN(A1152)-FIND("~", SUBSTITUTE(A1152,"|","~", LEN(A1152)-LEN(SUBSTITUTE(A1152,"|",""))))),
    LEN($A1152)-LEN(SUBSTITUTE($A1152,"|",""))=13, MID($A1152, FIND("~", SUBSTITUTE($A1152,"|","~", 11))+1, FIND("~", SUBSTITUTE($A1152,"|","~", 12))-FIND("~", SUBSTITUTE($A1152,"|","~", 11))-1),
    LEN($A1152)-LEN(SUBSTITUTE($A1152,"|",""))=14, MID($A1152, FIND("~", SUBSTITUTE($A1152,"|","~", 11))+1, FIND("~", SUBSTITUTE($A1152,"|","~", 12))-FIND("~", SUBSTITUTE($A1152,"|","~", 11))-1)
), "")</f>
        <v>E586056</v>
      </c>
      <c r="M1152" s="72" t="str">
        <f t="shared" si="141"/>
        <v>SB120087/4/25</v>
      </c>
      <c r="N1152" s="46" t="str">
        <f t="shared" si="149"/>
        <v/>
      </c>
      <c r="O1152" s="60">
        <v>0</v>
      </c>
      <c r="P1152" s="60">
        <v>0</v>
      </c>
      <c r="Q1152" s="48">
        <v>1084</v>
      </c>
      <c r="R1152" s="48">
        <v>145</v>
      </c>
      <c r="S1152" s="48"/>
      <c r="T1152" s="48"/>
      <c r="U1152" s="49">
        <v>26</v>
      </c>
      <c r="V1152" s="49">
        <v>44</v>
      </c>
      <c r="W1152" s="50"/>
      <c r="X1152" s="51">
        <f>IF(A1152="", "", IF(COUNTIFS(C$3:C1151, C1152, D$3:D1151, D1152, G$3:G1151, G1152) &gt; 0, "", "11:00"-AW1152))</f>
        <v>0.31249999999999994</v>
      </c>
      <c r="Y1152" s="52" t="str">
        <f t="shared" si="161"/>
        <v>1:0</v>
      </c>
      <c r="Z1152" s="53"/>
      <c r="AA1152" s="54"/>
      <c r="AB1152" s="53"/>
      <c r="AC1152" s="54"/>
      <c r="AD1152" s="53"/>
      <c r="AE1152" s="54"/>
      <c r="AF1152" s="53">
        <v>2.0833333333333332E-2</v>
      </c>
      <c r="AG1152" s="54" t="s">
        <v>67</v>
      </c>
      <c r="AH1152" s="55">
        <v>4.1666666666666699E-2</v>
      </c>
      <c r="AI1152" s="53"/>
      <c r="AJ1152" s="54"/>
      <c r="AK1152" s="53"/>
      <c r="AL1152" s="54"/>
      <c r="AM1152" s="53"/>
      <c r="AN1152" s="54"/>
      <c r="AO1152" s="53"/>
      <c r="AP1152" s="54"/>
      <c r="AQ1152" s="53">
        <v>4.1666666666666664E-2</v>
      </c>
      <c r="AR1152" s="54" t="s">
        <v>37</v>
      </c>
      <c r="AS1152" s="53">
        <v>4.1666666666666664E-2</v>
      </c>
      <c r="AT1152" s="54" t="s">
        <v>37</v>
      </c>
      <c r="AU1152" s="53">
        <v>4.1666666666666699E-2</v>
      </c>
      <c r="AV1152" s="54" t="s">
        <v>37</v>
      </c>
      <c r="AW1152" s="57">
        <f t="shared" si="160"/>
        <v>0.14583333333333337</v>
      </c>
      <c r="AX1152" s="58" t="s">
        <v>64</v>
      </c>
    </row>
    <row r="1153" spans="1:50" ht="21" customHeight="1">
      <c r="A1153" s="66" t="s">
        <v>1004</v>
      </c>
      <c r="B1153" s="39">
        <f t="shared" si="159"/>
        <v>1149</v>
      </c>
      <c r="C1153" s="40">
        <v>46048</v>
      </c>
      <c r="D1153" s="40" t="s">
        <v>32</v>
      </c>
      <c r="E1153" s="40" t="s">
        <v>81</v>
      </c>
      <c r="F1153" s="41">
        <v>83.2</v>
      </c>
      <c r="G1153" s="42" t="s">
        <v>41</v>
      </c>
      <c r="H1153" s="43" t="str">
        <f>IFERROR(VLOOKUP($J1153,'[9]FROM (3)'!$E$4:$F$230,2,FALSE),"")</f>
        <v>DNTH</v>
      </c>
      <c r="I1153" s="44" t="str">
        <f t="shared" si="158"/>
        <v>SHAFT, 2W</v>
      </c>
      <c r="J1153" s="44" t="str">
        <f t="shared" si="162"/>
        <v>TG028383-0420</v>
      </c>
      <c r="K1153" s="59" t="str">
        <f t="shared" si="157"/>
        <v>PD26011134</v>
      </c>
      <c r="L1153" s="46" t="str" cm="1">
        <f t="array" ref="L1153">IFERROR(_xlfn.IFS(
    LEN($A1153)-LEN(SUBSTITUTE($A1153,"|",""))=12, RIGHT(A1153, LEN(A1153)-FIND("~", SUBSTITUTE(A1153,"|","~", LEN(A1153)-LEN(SUBSTITUTE(A1153,"|",""))))),
    LEN($A1153)-LEN(SUBSTITUTE($A1153,"|",""))=13, MID($A1153, FIND("~", SUBSTITUTE($A1153,"|","~", 11))+1, FIND("~", SUBSTITUTE($A1153,"|","~", 12))-FIND("~", SUBSTITUTE($A1153,"|","~", 11))-1),
    LEN($A1153)-LEN(SUBSTITUTE($A1153,"|",""))=14, MID($A1153, FIND("~", SUBSTITUTE($A1153,"|","~", 11))+1, FIND("~", SUBSTITUTE($A1153,"|","~", 12))-FIND("~", SUBSTITUTE($A1153,"|","~", 11))-1)
), "")</f>
        <v>5E0424</v>
      </c>
      <c r="M1153" s="72" t="str">
        <f t="shared" si="141"/>
        <v>SB010154/2/26</v>
      </c>
      <c r="N1153" s="46" t="str">
        <f t="shared" si="149"/>
        <v/>
      </c>
      <c r="O1153" s="60">
        <v>111</v>
      </c>
      <c r="P1153" s="60">
        <v>1006</v>
      </c>
      <c r="Q1153" s="48">
        <v>1835</v>
      </c>
      <c r="R1153" s="48">
        <v>269</v>
      </c>
      <c r="S1153" s="48"/>
      <c r="T1153" s="48"/>
      <c r="U1153" s="49"/>
      <c r="V1153" s="49"/>
      <c r="W1153" s="50"/>
      <c r="X1153" s="51" t="str">
        <f>IF(A1153="", "", IF(COUNTIFS(C$3:C1152, C1153, D$3:D1152, D1153, G$3:G1152, G1153) &gt; 0, "", "11:00"-AW1153))</f>
        <v/>
      </c>
      <c r="Y1153" s="52" t="str">
        <f t="shared" si="161"/>
        <v/>
      </c>
      <c r="Z1153" s="53"/>
      <c r="AA1153" s="54"/>
      <c r="AB1153" s="53"/>
      <c r="AC1153" s="54"/>
      <c r="AD1153" s="53"/>
      <c r="AE1153" s="54"/>
      <c r="AF1153" s="53"/>
      <c r="AG1153" s="54"/>
      <c r="AH1153" s="55">
        <v>4.1666666666666699E-2</v>
      </c>
      <c r="AI1153" s="53"/>
      <c r="AJ1153" s="54"/>
      <c r="AK1153" s="53"/>
      <c r="AL1153" s="54"/>
      <c r="AM1153" s="53"/>
      <c r="AN1153" s="54"/>
      <c r="AO1153" s="53"/>
      <c r="AP1153" s="54"/>
      <c r="AQ1153" s="53"/>
      <c r="AR1153" s="54"/>
      <c r="AS1153" s="53"/>
      <c r="AT1153" s="54"/>
      <c r="AU1153" s="53">
        <v>4.1666666666666699E-2</v>
      </c>
      <c r="AV1153" s="54" t="s">
        <v>37</v>
      </c>
      <c r="AW1153" s="57">
        <f t="shared" si="160"/>
        <v>4.1666666666666699E-2</v>
      </c>
      <c r="AX1153" s="58" t="s">
        <v>64</v>
      </c>
    </row>
    <row r="1154" spans="1:50" ht="21" customHeight="1">
      <c r="A1154" s="66" t="s">
        <v>1005</v>
      </c>
      <c r="B1154" s="39">
        <f t="shared" si="159"/>
        <v>1150</v>
      </c>
      <c r="C1154" s="40">
        <v>46048</v>
      </c>
      <c r="D1154" s="40" t="s">
        <v>32</v>
      </c>
      <c r="E1154" s="40" t="s">
        <v>81</v>
      </c>
      <c r="F1154" s="41">
        <v>23.4</v>
      </c>
      <c r="G1154" s="42" t="s">
        <v>34</v>
      </c>
      <c r="H1154" s="43" t="str">
        <f>IFERROR(VLOOKUP($J1154,'[9]FROM (3)'!$E$4:$F$230,2,FALSE),"")</f>
        <v/>
      </c>
      <c r="I1154" s="44" t="str">
        <f t="shared" si="158"/>
        <v>FLANGE-13 SLUG</v>
      </c>
      <c r="J1154" s="44" t="str">
        <f t="shared" si="162"/>
        <v>ZZ2B7401TX1</v>
      </c>
      <c r="K1154" s="59" t="str">
        <f t="shared" si="157"/>
        <v>PD2610928</v>
      </c>
      <c r="L1154" s="46" t="str" cm="1">
        <f t="array" ref="L1154">IFERROR(_xlfn.IFS(
    LEN($A1154)-LEN(SUBSTITUTE($A1154,"|",""))=12, RIGHT(A1154, LEN(A1154)-FIND("~", SUBSTITUTE(A1154,"|","~", LEN(A1154)-LEN(SUBSTITUTE(A1154,"|",""))))),
    LEN($A1154)-LEN(SUBSTITUTE($A1154,"|",""))=13, MID($A1154, FIND("~", SUBSTITUTE($A1154,"|","~", 11))+1, FIND("~", SUBSTITUTE($A1154,"|","~", 12))-FIND("~", SUBSTITUTE($A1154,"|","~", 11))-1),
    LEN($A1154)-LEN(SUBSTITUTE($A1154,"|",""))=14, MID($A1154, FIND("~", SUBSTITUTE($A1154,"|","~", 11))+1, FIND("~", SUBSTITUTE($A1154,"|","~", 12))-FIND("~", SUBSTITUTE($A1154,"|","~", 11))-1)
), "")</f>
        <v>1-79662</v>
      </c>
      <c r="M1154" s="72" t="str">
        <f t="shared" si="141"/>
        <v>2B2600188</v>
      </c>
      <c r="N1154" s="46" t="str">
        <f t="shared" si="149"/>
        <v/>
      </c>
      <c r="O1154" s="60">
        <v>0</v>
      </c>
      <c r="P1154" s="60">
        <v>0</v>
      </c>
      <c r="Q1154" s="48">
        <v>2023</v>
      </c>
      <c r="R1154" s="48">
        <v>467</v>
      </c>
      <c r="S1154" s="48"/>
      <c r="T1154" s="48"/>
      <c r="U1154" s="49"/>
      <c r="V1154" s="49"/>
      <c r="W1154" s="50"/>
      <c r="X1154" s="51">
        <f>IF(A1154="", "", IF(COUNTIFS(C$3:C1153, C1154, D$3:D1153, D1154, G$3:G1153, G1154) &gt; 0, "", "11:00"-AW1154))</f>
        <v>0.33333333333333326</v>
      </c>
      <c r="Y1154" s="52" t="str">
        <f t="shared" si="161"/>
        <v>1:0</v>
      </c>
      <c r="Z1154" s="53"/>
      <c r="AA1154" s="54"/>
      <c r="AB1154" s="53"/>
      <c r="AC1154" s="54"/>
      <c r="AD1154" s="53"/>
      <c r="AE1154" s="54"/>
      <c r="AF1154" s="53"/>
      <c r="AG1154" s="54"/>
      <c r="AH1154" s="55">
        <v>4.1666666666666699E-2</v>
      </c>
      <c r="AI1154" s="53"/>
      <c r="AJ1154" s="54"/>
      <c r="AK1154" s="53"/>
      <c r="AL1154" s="54"/>
      <c r="AM1154" s="53"/>
      <c r="AN1154" s="54"/>
      <c r="AO1154" s="53"/>
      <c r="AP1154" s="54"/>
      <c r="AQ1154" s="53">
        <v>4.1666666666666664E-2</v>
      </c>
      <c r="AR1154" s="54" t="s">
        <v>37</v>
      </c>
      <c r="AS1154" s="53">
        <v>4.1666666666666664E-2</v>
      </c>
      <c r="AT1154" s="54" t="s">
        <v>37</v>
      </c>
      <c r="AU1154" s="53">
        <v>4.1666666666666699E-2</v>
      </c>
      <c r="AV1154" s="54" t="s">
        <v>37</v>
      </c>
      <c r="AW1154" s="57">
        <f t="shared" si="160"/>
        <v>0.12500000000000003</v>
      </c>
      <c r="AX1154" s="58" t="s">
        <v>64</v>
      </c>
    </row>
    <row r="1155" spans="1:50" ht="21" customHeight="1">
      <c r="A1155" s="66" t="s">
        <v>1006</v>
      </c>
      <c r="B1155" s="39">
        <f t="shared" si="159"/>
        <v>1151</v>
      </c>
      <c r="C1155" s="40">
        <v>46048</v>
      </c>
      <c r="D1155" s="40" t="s">
        <v>32</v>
      </c>
      <c r="E1155" s="40" t="s">
        <v>81</v>
      </c>
      <c r="F1155" s="41">
        <v>23.4</v>
      </c>
      <c r="G1155" s="42" t="s">
        <v>34</v>
      </c>
      <c r="H1155" s="43" t="str">
        <f>IFERROR(VLOOKUP($J1155,'[9]FROM (3)'!$E$4:$F$230,2,FALSE),"")</f>
        <v/>
      </c>
      <c r="I1155" s="44" t="str">
        <f t="shared" si="158"/>
        <v>FLANGE-13 SLUG</v>
      </c>
      <c r="J1155" s="44" t="str">
        <f t="shared" si="162"/>
        <v>ZZ2B7401TX1</v>
      </c>
      <c r="K1155" s="59" t="str">
        <f t="shared" si="157"/>
        <v>PD26010928</v>
      </c>
      <c r="L1155" s="46" t="str" cm="1">
        <f t="array" ref="L1155">IFERROR(_xlfn.IFS(
    LEN($A1155)-LEN(SUBSTITUTE($A1155,"|",""))=12, RIGHT(A1155, LEN(A1155)-FIND("~", SUBSTITUTE(A1155,"|","~", LEN(A1155)-LEN(SUBSTITUTE(A1155,"|",""))))),
    LEN($A1155)-LEN(SUBSTITUTE($A1155,"|",""))=13, MID($A1155, FIND("~", SUBSTITUTE($A1155,"|","~", 11))+1, FIND("~", SUBSTITUTE($A1155,"|","~", 12))-FIND("~", SUBSTITUTE($A1155,"|","~", 11))-1),
    LEN($A1155)-LEN(SUBSTITUTE($A1155,"|",""))=14, MID($A1155, FIND("~", SUBSTITUTE($A1155,"|","~", 11))+1, FIND("~", SUBSTITUTE($A1155,"|","~", 12))-FIND("~", SUBSTITUTE($A1155,"|","~", 11))-1)
), "")</f>
        <v>1-79662</v>
      </c>
      <c r="M1155" s="72" t="str">
        <f t="shared" si="141"/>
        <v>2B2600187</v>
      </c>
      <c r="N1155" s="46" t="str">
        <f t="shared" si="149"/>
        <v/>
      </c>
      <c r="O1155" s="60">
        <v>36</v>
      </c>
      <c r="P1155" s="60">
        <v>1955</v>
      </c>
      <c r="Q1155" s="48">
        <v>1044</v>
      </c>
      <c r="R1155" s="48">
        <v>214</v>
      </c>
      <c r="S1155" s="48"/>
      <c r="T1155" s="48"/>
      <c r="U1155" s="49"/>
      <c r="V1155" s="49"/>
      <c r="W1155" s="50"/>
      <c r="X1155" s="51" t="str">
        <f>IF(A1155="", "", IF(COUNTIFS(C$3:C1154, C1155, D$3:D1154, D1155, G$3:G1154, G1155) &gt; 0, "", "11:00"-AW1155))</f>
        <v/>
      </c>
      <c r="Y1155" s="52" t="str">
        <f t="shared" si="161"/>
        <v/>
      </c>
      <c r="Z1155" s="53"/>
      <c r="AA1155" s="54"/>
      <c r="AB1155" s="53"/>
      <c r="AC1155" s="54"/>
      <c r="AD1155" s="53"/>
      <c r="AE1155" s="54"/>
      <c r="AF1155" s="53"/>
      <c r="AG1155" s="54"/>
      <c r="AH1155" s="55">
        <v>4.1666666666666699E-2</v>
      </c>
      <c r="AI1155" s="53"/>
      <c r="AJ1155" s="54"/>
      <c r="AK1155" s="53"/>
      <c r="AL1155" s="54"/>
      <c r="AM1155" s="53"/>
      <c r="AN1155" s="54"/>
      <c r="AO1155" s="53"/>
      <c r="AP1155" s="54"/>
      <c r="AQ1155" s="53"/>
      <c r="AR1155" s="54"/>
      <c r="AS1155" s="53"/>
      <c r="AT1155" s="54"/>
      <c r="AU1155" s="53">
        <v>4.1666666666666699E-2</v>
      </c>
      <c r="AV1155" s="54" t="s">
        <v>37</v>
      </c>
      <c r="AW1155" s="57">
        <f t="shared" si="160"/>
        <v>4.1666666666666699E-2</v>
      </c>
      <c r="AX1155" s="58" t="s">
        <v>64</v>
      </c>
    </row>
    <row r="1156" spans="1:50" ht="21" customHeight="1">
      <c r="A1156" s="66" t="s">
        <v>983</v>
      </c>
      <c r="B1156" s="39">
        <f t="shared" si="159"/>
        <v>1152</v>
      </c>
      <c r="C1156" s="40">
        <v>46048</v>
      </c>
      <c r="D1156" s="40" t="s">
        <v>32</v>
      </c>
      <c r="E1156" s="40" t="s">
        <v>81</v>
      </c>
      <c r="F1156" s="41">
        <v>698.5</v>
      </c>
      <c r="G1156" s="42" t="s">
        <v>54</v>
      </c>
      <c r="H1156" s="43" t="str">
        <f>IFERROR(VLOOKUP($J1156,'[9]FROM (3)'!$E$4:$F$230,2,FALSE),"")</f>
        <v>JCTTH</v>
      </c>
      <c r="I1156" s="44" t="str">
        <f t="shared" si="158"/>
        <v>RACK BAR</v>
      </c>
      <c r="J1156" s="44" t="str">
        <f t="shared" si="162"/>
        <v>JGD10-000751/000761-A</v>
      </c>
      <c r="K1156" s="59" t="str">
        <f t="shared" si="157"/>
        <v>PD26010644</v>
      </c>
      <c r="L1156" s="46" t="str" cm="1">
        <f t="array" ref="L1156">IFERROR(_xlfn.IFS(
    LEN($A1156)-LEN(SUBSTITUTE($A1156,"|",""))=12, RIGHT(A1156, LEN(A1156)-FIND("~", SUBSTITUTE(A1156,"|","~", LEN(A1156)-LEN(SUBSTITUTE(A1156,"|",""))))),
    LEN($A1156)-LEN(SUBSTITUTE($A1156,"|",""))=13, MID($A1156, FIND("~", SUBSTITUTE($A1156,"|","~", 11))+1, FIND("~", SUBSTITUTE($A1156,"|","~", 12))-FIND("~", SUBSTITUTE($A1156,"|","~", 11))-1),
    LEN($A1156)-LEN(SUBSTITUTE($A1156,"|",""))=14, MID($A1156, FIND("~", SUBSTITUTE($A1156,"|","~", 11))+1, FIND("~", SUBSTITUTE($A1156,"|","~", 12))-FIND("~", SUBSTITUTE($A1156,"|","~", 11))-1)
), "")</f>
        <v>665076</v>
      </c>
      <c r="M1156" s="72" t="str">
        <f t="shared" si="141"/>
        <v>SB010069/2/26</v>
      </c>
      <c r="N1156" s="46" t="str">
        <f t="shared" si="149"/>
        <v/>
      </c>
      <c r="O1156" s="60"/>
      <c r="P1156" s="60"/>
      <c r="Q1156" s="48">
        <v>129</v>
      </c>
      <c r="R1156" s="48">
        <v>577</v>
      </c>
      <c r="S1156" s="48"/>
      <c r="T1156" s="48"/>
      <c r="U1156" s="49">
        <v>180</v>
      </c>
      <c r="V1156" s="49">
        <v>9</v>
      </c>
      <c r="W1156" s="50"/>
      <c r="X1156" s="51">
        <f>IF(A1156="", "", IF(COUNTIFS(C$3:C1155, C1156, D$3:D1155, D1156, G$3:G1155, G1156) &gt; 0, "", "11:00"-AW1156))</f>
        <v>0.33333333333333326</v>
      </c>
      <c r="Y1156" s="52" t="str">
        <f t="shared" si="161"/>
        <v>1:0</v>
      </c>
      <c r="Z1156" s="53"/>
      <c r="AA1156" s="54"/>
      <c r="AB1156" s="53"/>
      <c r="AC1156" s="54" t="s">
        <v>122</v>
      </c>
      <c r="AD1156" s="53"/>
      <c r="AE1156" s="54"/>
      <c r="AF1156" s="53"/>
      <c r="AG1156" s="54"/>
      <c r="AH1156" s="55">
        <v>4.1666666666666699E-2</v>
      </c>
      <c r="AI1156" s="53"/>
      <c r="AJ1156" s="54"/>
      <c r="AK1156" s="53"/>
      <c r="AL1156" s="54"/>
      <c r="AM1156" s="53"/>
      <c r="AN1156" s="54" t="s">
        <v>122</v>
      </c>
      <c r="AO1156" s="53"/>
      <c r="AP1156" s="54"/>
      <c r="AQ1156" s="53">
        <v>4.1666666666666664E-2</v>
      </c>
      <c r="AR1156" s="54" t="s">
        <v>37</v>
      </c>
      <c r="AS1156" s="53">
        <v>4.1666666666666664E-2</v>
      </c>
      <c r="AT1156" s="54" t="s">
        <v>37</v>
      </c>
      <c r="AU1156" s="53">
        <v>4.1666666666666699E-2</v>
      </c>
      <c r="AV1156" s="54" t="s">
        <v>37</v>
      </c>
      <c r="AW1156" s="57">
        <f t="shared" si="160"/>
        <v>0.12500000000000003</v>
      </c>
      <c r="AX1156" s="58" t="s">
        <v>56</v>
      </c>
    </row>
    <row r="1157" spans="1:50" ht="21" customHeight="1">
      <c r="A1157" s="66" t="s">
        <v>1007</v>
      </c>
      <c r="B1157" s="39">
        <f t="shared" si="159"/>
        <v>1153</v>
      </c>
      <c r="C1157" s="40">
        <v>46048</v>
      </c>
      <c r="D1157" s="40" t="s">
        <v>32</v>
      </c>
      <c r="E1157" s="40" t="s">
        <v>81</v>
      </c>
      <c r="F1157" s="41">
        <v>698.5</v>
      </c>
      <c r="G1157" s="42" t="s">
        <v>54</v>
      </c>
      <c r="H1157" s="43" t="str">
        <f>IFERROR(VLOOKUP($J1157,'[9]FROM (3)'!$E$4:$F$230,2,FALSE),"")</f>
        <v>JCTTH</v>
      </c>
      <c r="I1157" s="44" t="str">
        <f t="shared" si="158"/>
        <v>RACK BAR</v>
      </c>
      <c r="J1157" s="44" t="str">
        <f t="shared" si="162"/>
        <v>JGD10-000751/000761-A</v>
      </c>
      <c r="K1157" s="59" t="str">
        <f t="shared" si="157"/>
        <v>PD26010976</v>
      </c>
      <c r="L1157" s="46" t="str" cm="1">
        <f t="array" ref="L1157">IFERROR(_xlfn.IFS(
    LEN($A1157)-LEN(SUBSTITUTE($A1157,"|",""))=12, RIGHT(A1157, LEN(A1157)-FIND("~", SUBSTITUTE(A1157,"|","~", LEN(A1157)-LEN(SUBSTITUTE(A1157,"|",""))))),
    LEN($A1157)-LEN(SUBSTITUTE($A1157,"|",""))=13, MID($A1157, FIND("~", SUBSTITUTE($A1157,"|","~", 11))+1, FIND("~", SUBSTITUTE($A1157,"|","~", 12))-FIND("~", SUBSTITUTE($A1157,"|","~", 11))-1),
    LEN($A1157)-LEN(SUBSTITUTE($A1157,"|",""))=14, MID($A1157, FIND("~", SUBSTITUTE($A1157,"|","~", 11))+1, FIND("~", SUBSTITUTE($A1157,"|","~", 12))-FIND("~", SUBSTITUTE($A1157,"|","~", 11))-1)
), "")</f>
        <v>665077</v>
      </c>
      <c r="M1157" s="72" t="str">
        <f t="shared" si="141"/>
        <v>SB010122/3/26</v>
      </c>
      <c r="N1157" s="46" t="str">
        <f t="shared" si="149"/>
        <v/>
      </c>
      <c r="O1157" s="60">
        <v>51</v>
      </c>
      <c r="P1157" s="60">
        <v>984</v>
      </c>
      <c r="Q1157" s="48">
        <v>204</v>
      </c>
      <c r="R1157" s="48">
        <v>913</v>
      </c>
      <c r="S1157" s="48"/>
      <c r="T1157" s="48"/>
      <c r="U1157" s="49"/>
      <c r="V1157" s="49"/>
      <c r="W1157" s="50"/>
      <c r="X1157" s="51" t="str">
        <f>IF(A1157="", "", IF(COUNTIFS(C$3:C1156, C1157, D$3:D1156, D1157, G$3:G1156, G1157) &gt; 0, "", "11:00"-AW1157))</f>
        <v/>
      </c>
      <c r="Y1157" s="52" t="str">
        <f t="shared" si="161"/>
        <v/>
      </c>
      <c r="Z1157" s="53"/>
      <c r="AA1157" s="54"/>
      <c r="AB1157" s="53"/>
      <c r="AC1157" s="54"/>
      <c r="AD1157" s="53"/>
      <c r="AE1157" s="54"/>
      <c r="AF1157" s="53"/>
      <c r="AG1157" s="54"/>
      <c r="AH1157" s="55">
        <v>4.1666666666666699E-2</v>
      </c>
      <c r="AI1157" s="53"/>
      <c r="AJ1157" s="54"/>
      <c r="AK1157" s="53"/>
      <c r="AL1157" s="54"/>
      <c r="AM1157" s="53"/>
      <c r="AN1157" s="54"/>
      <c r="AO1157" s="53"/>
      <c r="AP1157" s="54"/>
      <c r="AQ1157" s="53"/>
      <c r="AR1157" s="54"/>
      <c r="AS1157" s="53"/>
      <c r="AT1157" s="54"/>
      <c r="AU1157" s="53">
        <v>4.1666666666666699E-2</v>
      </c>
      <c r="AV1157" s="54" t="s">
        <v>37</v>
      </c>
      <c r="AW1157" s="57">
        <f t="shared" si="160"/>
        <v>4.1666666666666699E-2</v>
      </c>
      <c r="AX1157" s="58" t="s">
        <v>56</v>
      </c>
    </row>
    <row r="1158" spans="1:50" ht="21" customHeight="1">
      <c r="A1158" s="66" t="s">
        <v>1008</v>
      </c>
      <c r="B1158" s="39">
        <f t="shared" si="159"/>
        <v>1154</v>
      </c>
      <c r="C1158" s="40">
        <v>46048</v>
      </c>
      <c r="D1158" s="40" t="s">
        <v>32</v>
      </c>
      <c r="E1158" s="40" t="s">
        <v>81</v>
      </c>
      <c r="F1158" s="41">
        <v>698.5</v>
      </c>
      <c r="G1158" s="42" t="s">
        <v>54</v>
      </c>
      <c r="H1158" s="43" t="str">
        <f>IFERROR(VLOOKUP($J1158,'[9]FROM (3)'!$E$4:$F$230,2,FALSE),"")</f>
        <v>JCTTH</v>
      </c>
      <c r="I1158" s="44" t="str">
        <f t="shared" si="158"/>
        <v>RACK BAR</v>
      </c>
      <c r="J1158" s="44" t="str">
        <f t="shared" si="162"/>
        <v>JGD10-000751/000761-A</v>
      </c>
      <c r="K1158" s="59" t="str">
        <f t="shared" ref="K1158:K1221" si="163">IFERROR(LEFT(A1158,SEARCH("|",A1158)-1),"")</f>
        <v>PD26010976</v>
      </c>
      <c r="L1158" s="46" t="str" cm="1">
        <f t="array" ref="L1158">IFERROR(_xlfn.IFS(
    LEN($A1158)-LEN(SUBSTITUTE($A1158,"|",""))=12, RIGHT(A1158, LEN(A1158)-FIND("~", SUBSTITUTE(A1158,"|","~", LEN(A1158)-LEN(SUBSTITUTE(A1158,"|",""))))),
    LEN($A1158)-LEN(SUBSTITUTE($A1158,"|",""))=13, MID($A1158, FIND("~", SUBSTITUTE($A1158,"|","~", 11))+1, FIND("~", SUBSTITUTE($A1158,"|","~", 12))-FIND("~", SUBSTITUTE($A1158,"|","~", 11))-1),
    LEN($A1158)-LEN(SUBSTITUTE($A1158,"|",""))=14, MID($A1158, FIND("~", SUBSTITUTE($A1158,"|","~", 11))+1, FIND("~", SUBSTITUTE($A1158,"|","~", 12))-FIND("~", SUBSTITUTE($A1158,"|","~", 11))-1)
), "")</f>
        <v>665077</v>
      </c>
      <c r="M1158" s="72" t="str">
        <f t="shared" si="141"/>
        <v>SB010122/1/26</v>
      </c>
      <c r="N1158" s="46" t="str">
        <f t="shared" si="149"/>
        <v/>
      </c>
      <c r="O1158" s="60">
        <v>51</v>
      </c>
      <c r="P1158" s="60">
        <v>984</v>
      </c>
      <c r="Q1158" s="48">
        <v>203</v>
      </c>
      <c r="R1158" s="48">
        <v>908</v>
      </c>
      <c r="S1158" s="48"/>
      <c r="T1158" s="48"/>
      <c r="U1158" s="49"/>
      <c r="V1158" s="49"/>
      <c r="W1158" s="50"/>
      <c r="X1158" s="51" t="str">
        <f>IF(A1158="", "", IF(COUNTIFS(C$3:C1157, C1158, D$3:D1157, D1158, G$3:G1157, G1158) &gt; 0, "", "11:00"-AW1158))</f>
        <v/>
      </c>
      <c r="Y1158" s="52" t="str">
        <f t="shared" si="161"/>
        <v/>
      </c>
      <c r="Z1158" s="53"/>
      <c r="AA1158" s="54"/>
      <c r="AB1158" s="53"/>
      <c r="AC1158" s="54"/>
      <c r="AD1158" s="53"/>
      <c r="AE1158" s="54"/>
      <c r="AF1158" s="53"/>
      <c r="AG1158" s="54"/>
      <c r="AH1158" s="55">
        <v>4.1666666666666699E-2</v>
      </c>
      <c r="AI1158" s="53"/>
      <c r="AJ1158" s="54"/>
      <c r="AK1158" s="53"/>
      <c r="AL1158" s="54"/>
      <c r="AM1158" s="53"/>
      <c r="AN1158" s="54"/>
      <c r="AO1158" s="53"/>
      <c r="AP1158" s="54"/>
      <c r="AQ1158" s="53"/>
      <c r="AR1158" s="54"/>
      <c r="AS1158" s="53"/>
      <c r="AT1158" s="54"/>
      <c r="AU1158" s="53">
        <v>4.1666666666666699E-2</v>
      </c>
      <c r="AV1158" s="54" t="s">
        <v>37</v>
      </c>
      <c r="AW1158" s="57">
        <f t="shared" si="160"/>
        <v>4.1666666666666699E-2</v>
      </c>
      <c r="AX1158" s="58" t="s">
        <v>56</v>
      </c>
    </row>
    <row r="1159" spans="1:50" ht="21" customHeight="1">
      <c r="A1159" s="66" t="s">
        <v>1009</v>
      </c>
      <c r="B1159" s="39">
        <f t="shared" si="159"/>
        <v>1155</v>
      </c>
      <c r="C1159" s="40">
        <v>46048</v>
      </c>
      <c r="D1159" s="40" t="s">
        <v>32</v>
      </c>
      <c r="E1159" s="40" t="s">
        <v>81</v>
      </c>
      <c r="F1159" s="41">
        <v>698.5</v>
      </c>
      <c r="G1159" s="42" t="s">
        <v>54</v>
      </c>
      <c r="H1159" s="43" t="str">
        <f>IFERROR(VLOOKUP($J1159,'[9]FROM (3)'!$E$4:$F$230,2,FALSE),"")</f>
        <v>JCTTH</v>
      </c>
      <c r="I1159" s="44" t="str">
        <f t="shared" ref="I1159:I1222" si="164">IFERROR(MID(A1159,FIND("~",SUBSTITUTE(A1159,"|","~",4))+1,FIND("~",SUBSTITUTE(A1159,"|","~",5))-FIND("~",SUBSTITUTE(A1159,"|","~",4))-1),"")</f>
        <v>RACK BAR</v>
      </c>
      <c r="J1159" s="44" t="str">
        <f t="shared" si="162"/>
        <v>JGD10-000751/000761-A</v>
      </c>
      <c r="K1159" s="59" t="str">
        <f t="shared" si="163"/>
        <v>PD26010976</v>
      </c>
      <c r="L1159" s="46" t="str" cm="1">
        <f t="array" ref="L1159">IFERROR(_xlfn.IFS(
    LEN($A1159)-LEN(SUBSTITUTE($A1159,"|",""))=12, RIGHT(A1159, LEN(A1159)-FIND("~", SUBSTITUTE(A1159,"|","~", LEN(A1159)-LEN(SUBSTITUTE(A1159,"|",""))))),
    LEN($A1159)-LEN(SUBSTITUTE($A1159,"|",""))=13, MID($A1159, FIND("~", SUBSTITUTE($A1159,"|","~", 11))+1, FIND("~", SUBSTITUTE($A1159,"|","~", 12))-FIND("~", SUBSTITUTE($A1159,"|","~", 11))-1),
    LEN($A1159)-LEN(SUBSTITUTE($A1159,"|",""))=14, MID($A1159, FIND("~", SUBSTITUTE($A1159,"|","~", 11))+1, FIND("~", SUBSTITUTE($A1159,"|","~", 12))-FIND("~", SUBSTITUTE($A1159,"|","~", 11))-1)
), "")</f>
        <v>665077</v>
      </c>
      <c r="M1159" s="72" t="str">
        <f t="shared" si="141"/>
        <v>SB010122/2/26</v>
      </c>
      <c r="N1159" s="46" t="str">
        <f t="shared" si="149"/>
        <v/>
      </c>
      <c r="O1159" s="60">
        <v>51</v>
      </c>
      <c r="P1159" s="60">
        <v>984</v>
      </c>
      <c r="Q1159" s="48">
        <v>204</v>
      </c>
      <c r="R1159" s="48">
        <v>913</v>
      </c>
      <c r="S1159" s="48"/>
      <c r="T1159" s="48"/>
      <c r="U1159" s="49">
        <v>195</v>
      </c>
      <c r="V1159" s="49">
        <v>10</v>
      </c>
      <c r="W1159" s="50"/>
      <c r="X1159" s="51" t="str">
        <f>IF(A1159="", "", IF(COUNTIFS(C$3:C1158, C1159, D$3:D1158, D1159, G$3:G1158, G1159) &gt; 0, "", "11:00"-AW1159))</f>
        <v/>
      </c>
      <c r="Y1159" s="52" t="str">
        <f t="shared" si="161"/>
        <v/>
      </c>
      <c r="Z1159" s="53"/>
      <c r="AA1159" s="54"/>
      <c r="AB1159" s="53"/>
      <c r="AC1159" s="54"/>
      <c r="AD1159" s="53"/>
      <c r="AE1159" s="54"/>
      <c r="AF1159" s="53"/>
      <c r="AG1159" s="54"/>
      <c r="AH1159" s="55">
        <v>4.1666666666666699E-2</v>
      </c>
      <c r="AI1159" s="53"/>
      <c r="AJ1159" s="54"/>
      <c r="AK1159" s="53"/>
      <c r="AL1159" s="54"/>
      <c r="AM1159" s="53"/>
      <c r="AN1159" s="54"/>
      <c r="AO1159" s="53"/>
      <c r="AP1159" s="54"/>
      <c r="AQ1159" s="53"/>
      <c r="AR1159" s="54"/>
      <c r="AS1159" s="53"/>
      <c r="AT1159" s="54"/>
      <c r="AU1159" s="53">
        <v>4.1666666666666699E-2</v>
      </c>
      <c r="AV1159" s="54" t="s">
        <v>37</v>
      </c>
      <c r="AW1159" s="57">
        <f t="shared" si="160"/>
        <v>4.1666666666666699E-2</v>
      </c>
      <c r="AX1159" s="58" t="s">
        <v>56</v>
      </c>
    </row>
    <row r="1160" spans="1:50" ht="21" customHeight="1">
      <c r="A1160" s="66" t="s">
        <v>1010</v>
      </c>
      <c r="B1160" s="39">
        <f t="shared" si="159"/>
        <v>1156</v>
      </c>
      <c r="C1160" s="40">
        <v>46048</v>
      </c>
      <c r="D1160" s="40" t="s">
        <v>32</v>
      </c>
      <c r="E1160" s="40" t="s">
        <v>81</v>
      </c>
      <c r="F1160" s="41">
        <v>698.5</v>
      </c>
      <c r="G1160" s="42" t="s">
        <v>54</v>
      </c>
      <c r="H1160" s="43" t="str">
        <f>IFERROR(VLOOKUP($J1160,'[9]FROM (3)'!$E$4:$F$230,2,FALSE),"")</f>
        <v>JCTTH</v>
      </c>
      <c r="I1160" s="44" t="str">
        <f t="shared" si="164"/>
        <v>RACK BAR</v>
      </c>
      <c r="J1160" s="44" t="str">
        <f t="shared" si="162"/>
        <v>JGD10-000751/000761-A</v>
      </c>
      <c r="K1160" s="59" t="str">
        <f t="shared" si="163"/>
        <v>PD26010977</v>
      </c>
      <c r="L1160" s="46" t="str" cm="1">
        <f t="array" ref="L1160">IFERROR(_xlfn.IFS(
    LEN($A1160)-LEN(SUBSTITUTE($A1160,"|",""))=12, RIGHT(A1160, LEN(A1160)-FIND("~", SUBSTITUTE(A1160,"|","~", LEN(A1160)-LEN(SUBSTITUTE(A1160,"|",""))))),
    LEN($A1160)-LEN(SUBSTITUTE($A1160,"|",""))=13, MID($A1160, FIND("~", SUBSTITUTE($A1160,"|","~", 11))+1, FIND("~", SUBSTITUTE($A1160,"|","~", 12))-FIND("~", SUBSTITUTE($A1160,"|","~", 11))-1),
    LEN($A1160)-LEN(SUBSTITUTE($A1160,"|",""))=14, MID($A1160, FIND("~", SUBSTITUTE($A1160,"|","~", 11))+1, FIND("~", SUBSTITUTE($A1160,"|","~", 12))-FIND("~", SUBSTITUTE($A1160,"|","~", 11))-1)
), "")</f>
        <v>665077</v>
      </c>
      <c r="M1160" s="72" t="str">
        <f t="shared" si="141"/>
        <v>SB010122/4/26</v>
      </c>
      <c r="N1160" s="46" t="str">
        <f t="shared" si="149"/>
        <v/>
      </c>
      <c r="O1160" s="60">
        <v>51</v>
      </c>
      <c r="P1160" s="60">
        <v>984</v>
      </c>
      <c r="Q1160" s="48">
        <v>138</v>
      </c>
      <c r="R1160" s="48">
        <v>618</v>
      </c>
      <c r="S1160" s="48"/>
      <c r="T1160" s="48"/>
      <c r="U1160" s="49"/>
      <c r="V1160" s="49"/>
      <c r="W1160" s="50"/>
      <c r="X1160" s="51" t="str">
        <f>IF(A1160="", "", IF(COUNTIFS(C$3:C1159, C1160, D$3:D1159, D1160, G$3:G1159, G1160) &gt; 0, "", "11:00"-AW1160))</f>
        <v/>
      </c>
      <c r="Y1160" s="52" t="str">
        <f t="shared" si="161"/>
        <v/>
      </c>
      <c r="Z1160" s="53"/>
      <c r="AA1160" s="54"/>
      <c r="AB1160" s="53"/>
      <c r="AC1160" s="54"/>
      <c r="AD1160" s="53"/>
      <c r="AE1160" s="54"/>
      <c r="AF1160" s="53"/>
      <c r="AG1160" s="54"/>
      <c r="AH1160" s="55">
        <v>4.1666666666666699E-2</v>
      </c>
      <c r="AI1160" s="53"/>
      <c r="AJ1160" s="54"/>
      <c r="AK1160" s="53"/>
      <c r="AL1160" s="54"/>
      <c r="AM1160" s="53"/>
      <c r="AN1160" s="54"/>
      <c r="AO1160" s="53"/>
      <c r="AP1160" s="54"/>
      <c r="AQ1160" s="53"/>
      <c r="AR1160" s="54"/>
      <c r="AS1160" s="53"/>
      <c r="AT1160" s="54"/>
      <c r="AU1160" s="53">
        <v>4.1666666666666699E-2</v>
      </c>
      <c r="AV1160" s="54" t="s">
        <v>37</v>
      </c>
      <c r="AW1160" s="57">
        <f t="shared" si="160"/>
        <v>4.1666666666666699E-2</v>
      </c>
      <c r="AX1160" s="58" t="s">
        <v>56</v>
      </c>
    </row>
    <row r="1161" spans="1:50" ht="21" customHeight="1">
      <c r="A1161" s="66" t="s">
        <v>978</v>
      </c>
      <c r="B1161" s="39">
        <f t="shared" si="159"/>
        <v>1157</v>
      </c>
      <c r="C1161" s="40">
        <v>46048</v>
      </c>
      <c r="D1161" s="40" t="s">
        <v>32</v>
      </c>
      <c r="E1161" s="40" t="s">
        <v>81</v>
      </c>
      <c r="F1161" s="41">
        <v>198.2</v>
      </c>
      <c r="G1161" s="42" t="s">
        <v>44</v>
      </c>
      <c r="H1161" s="43" t="str">
        <f>IFERROR(VLOOKUP($J1161,'[9]FROM (3)'!$E$4:$F$230,2,FALSE),"")</f>
        <v>DNTH</v>
      </c>
      <c r="I1161" s="44" t="str">
        <f t="shared" si="164"/>
        <v>SLUG VALVE ROTARY</v>
      </c>
      <c r="J1161" s="44" t="str">
        <f t="shared" si="162"/>
        <v>TGY95613-0020</v>
      </c>
      <c r="K1161" s="59" t="str">
        <f t="shared" si="163"/>
        <v>PD26011085</v>
      </c>
      <c r="L1161" s="46" t="str" cm="1">
        <f t="array" ref="L1161">IFERROR(_xlfn.IFS(
    LEN($A1161)-LEN(SUBSTITUTE($A1161,"|",""))=12, RIGHT(A1161, LEN(A1161)-FIND("~", SUBSTITUTE(A1161,"|","~", LEN(A1161)-LEN(SUBSTITUTE(A1161,"|",""))))),
    LEN($A1161)-LEN(SUBSTITUTE($A1161,"|",""))=13, MID($A1161, FIND("~", SUBSTITUTE($A1161,"|","~", 11))+1, FIND("~", SUBSTITUTE($A1161,"|","~", 12))-FIND("~", SUBSTITUTE($A1161,"|","~", 11))-1),
    LEN($A1161)-LEN(SUBSTITUTE($A1161,"|",""))=14, MID($A1161, FIND("~", SUBSTITUTE($A1161,"|","~", 11))+1, FIND("~", SUBSTITUTE($A1161,"|","~", 12))-FIND("~", SUBSTITUTE($A1161,"|","~", 11))-1)
), "")</f>
        <v>E585734</v>
      </c>
      <c r="M1161" s="72" t="str">
        <f t="shared" si="141"/>
        <v>SB010147/1/26</v>
      </c>
      <c r="N1161" s="46" t="str">
        <f t="shared" si="149"/>
        <v/>
      </c>
      <c r="O1161" s="60">
        <v>0</v>
      </c>
      <c r="P1161" s="60">
        <v>0</v>
      </c>
      <c r="Q1161" s="48">
        <v>2242</v>
      </c>
      <c r="R1161" s="48">
        <v>444</v>
      </c>
      <c r="S1161" s="48"/>
      <c r="T1161" s="48"/>
      <c r="U1161" s="49"/>
      <c r="V1161" s="49"/>
      <c r="W1161" s="50"/>
      <c r="X1161" s="51">
        <f>IF(A1161="", "", IF(COUNTIFS(C$3:C1160, C1161, D$3:D1160, D1161, G$3:G1160, G1161) &gt; 0, "", "11:00"-AW1161))</f>
        <v>0.33333333333333326</v>
      </c>
      <c r="Y1161" s="52" t="str">
        <f t="shared" si="161"/>
        <v>1:0</v>
      </c>
      <c r="Z1161" s="53"/>
      <c r="AA1161" s="54"/>
      <c r="AB1161" s="53"/>
      <c r="AC1161" s="54"/>
      <c r="AD1161" s="53"/>
      <c r="AE1161" s="54"/>
      <c r="AF1161" s="53"/>
      <c r="AG1161" s="54"/>
      <c r="AH1161" s="55">
        <v>4.1666666666666699E-2</v>
      </c>
      <c r="AI1161" s="53"/>
      <c r="AJ1161" s="54"/>
      <c r="AK1161" s="53"/>
      <c r="AL1161" s="54"/>
      <c r="AM1161" s="53"/>
      <c r="AN1161" s="54"/>
      <c r="AO1161" s="53"/>
      <c r="AP1161" s="54"/>
      <c r="AQ1161" s="53">
        <v>4.1666666666666664E-2</v>
      </c>
      <c r="AR1161" s="54" t="s">
        <v>37</v>
      </c>
      <c r="AS1161" s="53">
        <v>4.1666666666666664E-2</v>
      </c>
      <c r="AT1161" s="54" t="s">
        <v>37</v>
      </c>
      <c r="AU1161" s="53">
        <v>4.1666666666666699E-2</v>
      </c>
      <c r="AV1161" s="54" t="s">
        <v>37</v>
      </c>
      <c r="AW1161" s="57">
        <f t="shared" si="160"/>
        <v>0.12500000000000003</v>
      </c>
      <c r="AX1161" s="58" t="s">
        <v>64</v>
      </c>
    </row>
    <row r="1162" spans="1:50" ht="21" customHeight="1">
      <c r="A1162" s="66" t="s">
        <v>1011</v>
      </c>
      <c r="B1162" s="39">
        <f t="shared" ref="B1162:B1225" si="165">IF(A1162="","",B1161+1)</f>
        <v>1158</v>
      </c>
      <c r="C1162" s="40">
        <v>46048</v>
      </c>
      <c r="D1162" s="40" t="s">
        <v>32</v>
      </c>
      <c r="E1162" s="40" t="s">
        <v>81</v>
      </c>
      <c r="F1162" s="41">
        <v>198.2</v>
      </c>
      <c r="G1162" s="42" t="s">
        <v>44</v>
      </c>
      <c r="H1162" s="43" t="str">
        <f>IFERROR(VLOOKUP($J1162,'[9]FROM (3)'!$E$4:$F$230,2,FALSE),"")</f>
        <v>DNTH</v>
      </c>
      <c r="I1162" s="44" t="str">
        <f t="shared" si="164"/>
        <v>SLUG VALVE ROTARY</v>
      </c>
      <c r="J1162" s="44" t="str">
        <f t="shared" si="162"/>
        <v>TGY95613-0020</v>
      </c>
      <c r="K1162" s="59" t="str">
        <f t="shared" si="163"/>
        <v>PD26011085</v>
      </c>
      <c r="L1162" s="46" t="str" cm="1">
        <f t="array" ref="L1162">IFERROR(_xlfn.IFS(
    LEN($A1162)-LEN(SUBSTITUTE($A1162,"|",""))=12, RIGHT(A1162, LEN(A1162)-FIND("~", SUBSTITUTE(A1162,"|","~", LEN(A1162)-LEN(SUBSTITUTE(A1162,"|",""))))),
    LEN($A1162)-LEN(SUBSTITUTE($A1162,"|",""))=13, MID($A1162, FIND("~", SUBSTITUTE($A1162,"|","~", 11))+1, FIND("~", SUBSTITUTE($A1162,"|","~", 12))-FIND("~", SUBSTITUTE($A1162,"|","~", 11))-1),
    LEN($A1162)-LEN(SUBSTITUTE($A1162,"|",""))=14, MID($A1162, FIND("~", SUBSTITUTE($A1162,"|","~", 11))+1, FIND("~", SUBSTITUTE($A1162,"|","~", 12))-FIND("~", SUBSTITUTE($A1162,"|","~", 11))-1)
), "")</f>
        <v>E585734</v>
      </c>
      <c r="M1162" s="72" t="str">
        <f t="shared" si="141"/>
        <v>SB010147/3/26</v>
      </c>
      <c r="N1162" s="46" t="str">
        <f t="shared" si="149"/>
        <v/>
      </c>
      <c r="O1162" s="60">
        <v>35</v>
      </c>
      <c r="P1162" s="60">
        <v>1497</v>
      </c>
      <c r="Q1162" s="48">
        <v>1116</v>
      </c>
      <c r="R1162" s="48">
        <v>221</v>
      </c>
      <c r="S1162" s="48"/>
      <c r="T1162" s="48"/>
      <c r="U1162" s="49"/>
      <c r="V1162" s="49"/>
      <c r="W1162" s="50"/>
      <c r="X1162" s="51" t="str">
        <f>IF(A1162="", "", IF(COUNTIFS(C$3:C1161, C1162, D$3:D1161, D1162, G$3:G1161, G1162) &gt; 0, "", "11:00"-AW1162))</f>
        <v/>
      </c>
      <c r="Y1162" s="52" t="str">
        <f t="shared" si="161"/>
        <v/>
      </c>
      <c r="Z1162" s="53"/>
      <c r="AA1162" s="54"/>
      <c r="AB1162" s="53"/>
      <c r="AC1162" s="54"/>
      <c r="AD1162" s="53"/>
      <c r="AE1162" s="54"/>
      <c r="AF1162" s="53"/>
      <c r="AG1162" s="54"/>
      <c r="AH1162" s="55">
        <v>4.1666666666666699E-2</v>
      </c>
      <c r="AI1162" s="53"/>
      <c r="AJ1162" s="54"/>
      <c r="AK1162" s="53"/>
      <c r="AL1162" s="54"/>
      <c r="AM1162" s="53"/>
      <c r="AN1162" s="54"/>
      <c r="AO1162" s="53"/>
      <c r="AP1162" s="54"/>
      <c r="AQ1162" s="53"/>
      <c r="AR1162" s="54"/>
      <c r="AS1162" s="53"/>
      <c r="AT1162" s="54"/>
      <c r="AU1162" s="53">
        <v>4.1666666666666699E-2</v>
      </c>
      <c r="AV1162" s="54" t="s">
        <v>37</v>
      </c>
      <c r="AW1162" s="57">
        <f t="shared" si="160"/>
        <v>4.1666666666666699E-2</v>
      </c>
      <c r="AX1162" s="58" t="s">
        <v>64</v>
      </c>
    </row>
    <row r="1163" spans="1:50" ht="21" customHeight="1">
      <c r="A1163" s="66" t="s">
        <v>992</v>
      </c>
      <c r="B1163" s="39">
        <f t="shared" si="165"/>
        <v>1159</v>
      </c>
      <c r="C1163" s="40">
        <v>46048</v>
      </c>
      <c r="D1163" s="40" t="s">
        <v>32</v>
      </c>
      <c r="E1163" s="40" t="s">
        <v>81</v>
      </c>
      <c r="F1163" s="41">
        <v>755.4</v>
      </c>
      <c r="G1163" s="42" t="s">
        <v>75</v>
      </c>
      <c r="H1163" s="43" t="str">
        <f>IFERROR(VLOOKUP($J1163,'[9]FROM (3)'!$E$4:$F$230,2,FALSE),"")</f>
        <v>JTCS</v>
      </c>
      <c r="I1163" s="44" t="str">
        <f t="shared" si="164"/>
        <v>RACK, PS</v>
      </c>
      <c r="J1163" s="44" t="str">
        <f t="shared" si="162"/>
        <v>JGD10-001260-40-1</v>
      </c>
      <c r="K1163" s="59" t="str">
        <f t="shared" si="163"/>
        <v>PD26011101</v>
      </c>
      <c r="L1163" s="46" t="str" cm="1">
        <f t="array" ref="L1163">IFERROR(_xlfn.IFS(
    LEN($A1163)-LEN(SUBSTITUTE($A1163,"|",""))=12, RIGHT(A1163, LEN(A1163)-FIND("~", SUBSTITUTE(A1163,"|","~", LEN(A1163)-LEN(SUBSTITUTE(A1163,"|",""))))),
    LEN($A1163)-LEN(SUBSTITUTE($A1163,"|",""))=13, MID($A1163, FIND("~", SUBSTITUTE($A1163,"|","~", 11))+1, FIND("~", SUBSTITUTE($A1163,"|","~", 12))-FIND("~", SUBSTITUTE($A1163,"|","~", 11))-1),
    LEN($A1163)-LEN(SUBSTITUTE($A1163,"|",""))=14, MID($A1163, FIND("~", SUBSTITUTE($A1163,"|","~", 11))+1, FIND("~", SUBSTITUTE($A1163,"|","~", 12))-FIND("~", SUBSTITUTE($A1163,"|","~", 11))-1)
), "")</f>
        <v>E586967</v>
      </c>
      <c r="M1163" s="72" t="str">
        <f t="shared" si="141"/>
        <v>SB010150/2/26</v>
      </c>
      <c r="N1163" s="46" t="str">
        <f t="shared" si="149"/>
        <v/>
      </c>
      <c r="O1163" s="60">
        <v>0</v>
      </c>
      <c r="P1163" s="60">
        <v>0</v>
      </c>
      <c r="Q1163" s="48">
        <v>150</v>
      </c>
      <c r="R1163" s="48">
        <v>726</v>
      </c>
      <c r="S1163" s="48"/>
      <c r="T1163" s="48"/>
      <c r="U1163" s="49">
        <v>155</v>
      </c>
      <c r="V1163" s="49">
        <v>9</v>
      </c>
      <c r="W1163" s="50"/>
      <c r="X1163" s="51">
        <f>IF(A1163="", "", IF(COUNTIFS(C$3:C1162, C1163, D$3:D1162, D1163, G$3:G1162, G1163) &gt; 0, "", "11:00"-AW1163))</f>
        <v>0.29166666666666663</v>
      </c>
      <c r="Y1163" s="52" t="str">
        <f t="shared" si="161"/>
        <v>1:0</v>
      </c>
      <c r="Z1163" s="53"/>
      <c r="AA1163" s="54"/>
      <c r="AB1163" s="53"/>
      <c r="AC1163" s="54" t="s">
        <v>122</v>
      </c>
      <c r="AD1163" s="53"/>
      <c r="AE1163" s="54"/>
      <c r="AF1163" s="53"/>
      <c r="AG1163" s="54"/>
      <c r="AH1163" s="55">
        <v>4.1666666666666699E-2</v>
      </c>
      <c r="AI1163" s="53"/>
      <c r="AJ1163" s="54"/>
      <c r="AK1163" s="53"/>
      <c r="AL1163" s="54"/>
      <c r="AM1163" s="53">
        <v>1.3888888888888888E-2</v>
      </c>
      <c r="AN1163" s="54" t="s">
        <v>67</v>
      </c>
      <c r="AO1163" s="53">
        <v>2.7777777777777776E-2</v>
      </c>
      <c r="AP1163" s="54" t="s">
        <v>67</v>
      </c>
      <c r="AQ1163" s="53">
        <v>4.1666666666666664E-2</v>
      </c>
      <c r="AR1163" s="54" t="s">
        <v>37</v>
      </c>
      <c r="AS1163" s="53">
        <v>4.1666666666666664E-2</v>
      </c>
      <c r="AT1163" s="54" t="s">
        <v>37</v>
      </c>
      <c r="AU1163" s="53">
        <v>4.1666666666666699E-2</v>
      </c>
      <c r="AV1163" s="54" t="s">
        <v>37</v>
      </c>
      <c r="AW1163" s="57">
        <f t="shared" si="160"/>
        <v>0.16666666666666669</v>
      </c>
      <c r="AX1163" s="58" t="s">
        <v>77</v>
      </c>
    </row>
    <row r="1164" spans="1:50" ht="21" customHeight="1">
      <c r="A1164" s="66" t="s">
        <v>1012</v>
      </c>
      <c r="B1164" s="39">
        <f t="shared" si="165"/>
        <v>1160</v>
      </c>
      <c r="C1164" s="40">
        <v>46048</v>
      </c>
      <c r="D1164" s="40" t="s">
        <v>32</v>
      </c>
      <c r="E1164" s="40" t="s">
        <v>81</v>
      </c>
      <c r="F1164" s="41">
        <v>755.4</v>
      </c>
      <c r="G1164" s="42" t="s">
        <v>75</v>
      </c>
      <c r="H1164" s="43" t="str">
        <f>IFERROR(VLOOKUP($J1164,'[9]FROM (3)'!$E$4:$F$230,2,FALSE),"")</f>
        <v>JTCS</v>
      </c>
      <c r="I1164" s="44" t="str">
        <f t="shared" si="164"/>
        <v>RACK, PS</v>
      </c>
      <c r="J1164" s="44" t="str">
        <f t="shared" si="162"/>
        <v>JGD10-001260-40-1</v>
      </c>
      <c r="K1164" s="59" t="str">
        <f t="shared" si="163"/>
        <v>PD26011102</v>
      </c>
      <c r="L1164" s="46" t="str" cm="1">
        <f t="array" ref="L1164">IFERROR(_xlfn.IFS(
    LEN($A1164)-LEN(SUBSTITUTE($A1164,"|",""))=12, RIGHT(A1164, LEN(A1164)-FIND("~", SUBSTITUTE(A1164,"|","~", LEN(A1164)-LEN(SUBSTITUTE(A1164,"|",""))))),
    LEN($A1164)-LEN(SUBSTITUTE($A1164,"|",""))=13, MID($A1164, FIND("~", SUBSTITUTE($A1164,"|","~", 11))+1, FIND("~", SUBSTITUTE($A1164,"|","~", 12))-FIND("~", SUBSTITUTE($A1164,"|","~", 11))-1),
    LEN($A1164)-LEN(SUBSTITUTE($A1164,"|",""))=14, MID($A1164, FIND("~", SUBSTITUTE($A1164,"|","~", 11))+1, FIND("~", SUBSTITUTE($A1164,"|","~", 12))-FIND("~", SUBSTITUTE($A1164,"|","~", 11))-1)
), "")</f>
        <v>E586967</v>
      </c>
      <c r="M1164" s="72" t="str">
        <f t="shared" si="141"/>
        <v>SB010150/6/26</v>
      </c>
      <c r="N1164" s="46" t="str">
        <f t="shared" si="149"/>
        <v/>
      </c>
      <c r="O1164" s="60">
        <v>47</v>
      </c>
      <c r="P1164" s="60">
        <v>970</v>
      </c>
      <c r="Q1164" s="48">
        <v>188</v>
      </c>
      <c r="R1164" s="48">
        <v>910</v>
      </c>
      <c r="S1164" s="48"/>
      <c r="T1164" s="48"/>
      <c r="U1164" s="49"/>
      <c r="V1164" s="49"/>
      <c r="W1164" s="50"/>
      <c r="X1164" s="51" t="str">
        <f>IF(A1164="", "", IF(COUNTIFS(C$3:C1163, C1164, D$3:D1163, D1164, G$3:G1163, G1164) &gt; 0, "", "11:00"-AW1164))</f>
        <v/>
      </c>
      <c r="Y1164" s="52" t="str">
        <f t="shared" si="161"/>
        <v/>
      </c>
      <c r="Z1164" s="53"/>
      <c r="AA1164" s="54"/>
      <c r="AB1164" s="53"/>
      <c r="AC1164" s="54"/>
      <c r="AD1164" s="53"/>
      <c r="AE1164" s="54"/>
      <c r="AF1164" s="53"/>
      <c r="AG1164" s="54"/>
      <c r="AH1164" s="55">
        <v>4.1666666666666699E-2</v>
      </c>
      <c r="AI1164" s="53"/>
      <c r="AJ1164" s="54"/>
      <c r="AK1164" s="53"/>
      <c r="AL1164" s="54"/>
      <c r="AM1164" s="53"/>
      <c r="AN1164" s="54"/>
      <c r="AO1164" s="53"/>
      <c r="AP1164" s="54"/>
      <c r="AQ1164" s="53"/>
      <c r="AR1164" s="54"/>
      <c r="AS1164" s="53"/>
      <c r="AT1164" s="54"/>
      <c r="AU1164" s="53">
        <v>4.1666666666666699E-2</v>
      </c>
      <c r="AV1164" s="54" t="s">
        <v>37</v>
      </c>
      <c r="AW1164" s="57">
        <f t="shared" si="160"/>
        <v>4.1666666666666699E-2</v>
      </c>
      <c r="AX1164" s="58" t="s">
        <v>77</v>
      </c>
    </row>
    <row r="1165" spans="1:50" ht="21" customHeight="1">
      <c r="A1165" s="66" t="s">
        <v>1013</v>
      </c>
      <c r="B1165" s="39">
        <f t="shared" si="165"/>
        <v>1161</v>
      </c>
      <c r="C1165" s="40">
        <v>46048</v>
      </c>
      <c r="D1165" s="40" t="s">
        <v>32</v>
      </c>
      <c r="E1165" s="40" t="s">
        <v>81</v>
      </c>
      <c r="F1165" s="41">
        <v>755.4</v>
      </c>
      <c r="G1165" s="42" t="s">
        <v>75</v>
      </c>
      <c r="H1165" s="43" t="str">
        <f>IFERROR(VLOOKUP($J1165,'[9]FROM (3)'!$E$4:$F$230,2,FALSE),"")</f>
        <v>JTCS</v>
      </c>
      <c r="I1165" s="44" t="str">
        <f t="shared" si="164"/>
        <v>RACK, PS</v>
      </c>
      <c r="J1165" s="44" t="str">
        <f t="shared" si="162"/>
        <v>JGD10-001260-40-1</v>
      </c>
      <c r="K1165" s="59" t="str">
        <f t="shared" si="163"/>
        <v>PD26011102</v>
      </c>
      <c r="L1165" s="46" t="str" cm="1">
        <f t="array" ref="L1165">IFERROR(_xlfn.IFS(
    LEN($A1165)-LEN(SUBSTITUTE($A1165,"|",""))=12, RIGHT(A1165, LEN(A1165)-FIND("~", SUBSTITUTE(A1165,"|","~", LEN(A1165)-LEN(SUBSTITUTE(A1165,"|",""))))),
    LEN($A1165)-LEN(SUBSTITUTE($A1165,"|",""))=13, MID($A1165, FIND("~", SUBSTITUTE($A1165,"|","~", 11))+1, FIND("~", SUBSTITUTE($A1165,"|","~", 12))-FIND("~", SUBSTITUTE($A1165,"|","~", 11))-1),
    LEN($A1165)-LEN(SUBSTITUTE($A1165,"|",""))=14, MID($A1165, FIND("~", SUBSTITUTE($A1165,"|","~", 11))+1, FIND("~", SUBSTITUTE($A1165,"|","~", 12))-FIND("~", SUBSTITUTE($A1165,"|","~", 11))-1)
), "")</f>
        <v>E586967</v>
      </c>
      <c r="M1165" s="72" t="str">
        <f t="shared" si="141"/>
        <v>SB010150/5/26</v>
      </c>
      <c r="N1165" s="46" t="str">
        <f t="shared" si="149"/>
        <v/>
      </c>
      <c r="O1165" s="60">
        <v>47</v>
      </c>
      <c r="P1165" s="60">
        <v>970</v>
      </c>
      <c r="Q1165" s="48">
        <v>188</v>
      </c>
      <c r="R1165" s="48">
        <v>910</v>
      </c>
      <c r="S1165" s="48"/>
      <c r="T1165" s="48"/>
      <c r="U1165" s="49"/>
      <c r="V1165" s="49"/>
      <c r="W1165" s="50"/>
      <c r="X1165" s="51" t="str">
        <f>IF(A1165="", "", IF(COUNTIFS(C$3:C1164, C1165, D$3:D1164, D1165, G$3:G1164, G1165) &gt; 0, "", "11:00"-AW1165))</f>
        <v/>
      </c>
      <c r="Y1165" s="52" t="str">
        <f t="shared" si="161"/>
        <v/>
      </c>
      <c r="Z1165" s="53"/>
      <c r="AA1165" s="54"/>
      <c r="AB1165" s="53"/>
      <c r="AC1165" s="54"/>
      <c r="AD1165" s="53"/>
      <c r="AE1165" s="54"/>
      <c r="AF1165" s="53"/>
      <c r="AG1165" s="54"/>
      <c r="AH1165" s="55">
        <v>4.1666666666666699E-2</v>
      </c>
      <c r="AI1165" s="53"/>
      <c r="AJ1165" s="54"/>
      <c r="AK1165" s="53"/>
      <c r="AL1165" s="54"/>
      <c r="AM1165" s="53"/>
      <c r="AN1165" s="54"/>
      <c r="AO1165" s="53"/>
      <c r="AP1165" s="54"/>
      <c r="AQ1165" s="53"/>
      <c r="AR1165" s="54"/>
      <c r="AS1165" s="53"/>
      <c r="AT1165" s="54"/>
      <c r="AU1165" s="53">
        <v>4.1666666666666699E-2</v>
      </c>
      <c r="AV1165" s="54" t="s">
        <v>37</v>
      </c>
      <c r="AW1165" s="57">
        <f t="shared" si="160"/>
        <v>4.1666666666666699E-2</v>
      </c>
      <c r="AX1165" s="58" t="s">
        <v>77</v>
      </c>
    </row>
    <row r="1166" spans="1:50" ht="21" customHeight="1">
      <c r="A1166" s="66" t="s">
        <v>1014</v>
      </c>
      <c r="B1166" s="39">
        <f t="shared" si="165"/>
        <v>1162</v>
      </c>
      <c r="C1166" s="40">
        <v>46048</v>
      </c>
      <c r="D1166" s="40" t="s">
        <v>32</v>
      </c>
      <c r="E1166" s="40" t="s">
        <v>81</v>
      </c>
      <c r="F1166" s="41">
        <v>755.4</v>
      </c>
      <c r="G1166" s="42" t="s">
        <v>75</v>
      </c>
      <c r="H1166" s="43" t="str">
        <f>IFERROR(VLOOKUP($J1166,'[9]FROM (3)'!$E$4:$F$230,2,FALSE),"")</f>
        <v>JTCS</v>
      </c>
      <c r="I1166" s="44" t="str">
        <f t="shared" si="164"/>
        <v>RACK, PS</v>
      </c>
      <c r="J1166" s="44" t="str">
        <f t="shared" si="162"/>
        <v>JGD10-001260-40-1</v>
      </c>
      <c r="K1166" s="59" t="str">
        <f t="shared" si="163"/>
        <v>PD26011102</v>
      </c>
      <c r="L1166" s="46" t="str" cm="1">
        <f t="array" ref="L1166">IFERROR(_xlfn.IFS(
    LEN($A1166)-LEN(SUBSTITUTE($A1166,"|",""))=12, RIGHT(A1166, LEN(A1166)-FIND("~", SUBSTITUTE(A1166,"|","~", LEN(A1166)-LEN(SUBSTITUTE(A1166,"|",""))))),
    LEN($A1166)-LEN(SUBSTITUTE($A1166,"|",""))=13, MID($A1166, FIND("~", SUBSTITUTE($A1166,"|","~", 11))+1, FIND("~", SUBSTITUTE($A1166,"|","~", 12))-FIND("~", SUBSTITUTE($A1166,"|","~", 11))-1),
    LEN($A1166)-LEN(SUBSTITUTE($A1166,"|",""))=14, MID($A1166, FIND("~", SUBSTITUTE($A1166,"|","~", 11))+1, FIND("~", SUBSTITUTE($A1166,"|","~", 12))-FIND("~", SUBSTITUTE($A1166,"|","~", 11))-1)
), "")</f>
        <v>E586967</v>
      </c>
      <c r="M1166" s="72" t="str">
        <f t="shared" si="141"/>
        <v>SB010150/4/26</v>
      </c>
      <c r="N1166" s="46" t="str">
        <f t="shared" si="149"/>
        <v/>
      </c>
      <c r="O1166" s="60">
        <v>47</v>
      </c>
      <c r="P1166" s="60">
        <v>970</v>
      </c>
      <c r="Q1166" s="48">
        <v>188</v>
      </c>
      <c r="R1166" s="48">
        <v>910</v>
      </c>
      <c r="S1166" s="48"/>
      <c r="T1166" s="48"/>
      <c r="U1166" s="49">
        <v>155</v>
      </c>
      <c r="V1166" s="49">
        <v>9</v>
      </c>
      <c r="W1166" s="50"/>
      <c r="X1166" s="51" t="str">
        <f>IF(A1166="", "", IF(COUNTIFS(C$3:C1165, C1166, D$3:D1165, D1166, G$3:G1165, G1166) &gt; 0, "", "11:00"-AW1166))</f>
        <v/>
      </c>
      <c r="Y1166" s="52" t="str">
        <f t="shared" si="161"/>
        <v/>
      </c>
      <c r="Z1166" s="53"/>
      <c r="AA1166" s="54"/>
      <c r="AB1166" s="53"/>
      <c r="AC1166" s="54"/>
      <c r="AD1166" s="53"/>
      <c r="AE1166" s="54"/>
      <c r="AF1166" s="53"/>
      <c r="AG1166" s="54"/>
      <c r="AH1166" s="55">
        <v>4.1666666666666699E-2</v>
      </c>
      <c r="AI1166" s="53"/>
      <c r="AJ1166" s="54"/>
      <c r="AK1166" s="53"/>
      <c r="AL1166" s="54"/>
      <c r="AM1166" s="53"/>
      <c r="AN1166" s="54"/>
      <c r="AO1166" s="53"/>
      <c r="AP1166" s="54"/>
      <c r="AQ1166" s="53"/>
      <c r="AR1166" s="54"/>
      <c r="AS1166" s="53"/>
      <c r="AT1166" s="54"/>
      <c r="AU1166" s="53">
        <v>4.1666666666666699E-2</v>
      </c>
      <c r="AV1166" s="54" t="s">
        <v>37</v>
      </c>
      <c r="AW1166" s="57">
        <f t="shared" si="160"/>
        <v>4.1666666666666699E-2</v>
      </c>
      <c r="AX1166" s="58" t="s">
        <v>77</v>
      </c>
    </row>
    <row r="1167" spans="1:50" ht="21" customHeight="1">
      <c r="A1167" s="66" t="s">
        <v>1015</v>
      </c>
      <c r="B1167" s="39">
        <f t="shared" si="165"/>
        <v>1163</v>
      </c>
      <c r="C1167" s="62">
        <v>46048</v>
      </c>
      <c r="D1167" s="40" t="s">
        <v>32</v>
      </c>
      <c r="E1167" s="40" t="s">
        <v>81</v>
      </c>
      <c r="F1167" s="41">
        <v>721.5</v>
      </c>
      <c r="G1167" s="42" t="s">
        <v>75</v>
      </c>
      <c r="H1167" s="43" t="str">
        <f>IFERROR(VLOOKUP($J1167,'[9]FROM (3)'!$E$4:$F$230,2,FALSE),"")</f>
        <v>JCTTH</v>
      </c>
      <c r="I1167" s="44" t="str">
        <f t="shared" si="164"/>
        <v>RACK POWER STEERING</v>
      </c>
      <c r="J1167" s="44" t="str">
        <f t="shared" si="162"/>
        <v>2-30JG-0711</v>
      </c>
      <c r="K1167" s="59" t="str">
        <f t="shared" si="163"/>
        <v>PD26010791</v>
      </c>
      <c r="L1167" s="46" t="str" cm="1">
        <f t="array" ref="L1167">IFERROR(_xlfn.IFS(
    LEN($A1167)-LEN(SUBSTITUTE($A1167,"|",""))=12, RIGHT(A1167, LEN(A1167)-FIND("~", SUBSTITUTE(A1167,"|","~", LEN(A1167)-LEN(SUBSTITUTE(A1167,"|",""))))),
    LEN($A1167)-LEN(SUBSTITUTE($A1167,"|",""))=13, MID($A1167, FIND("~", SUBSTITUTE($A1167,"|","~", 11))+1, FIND("~", SUBSTITUTE($A1167,"|","~", 12))-FIND("~", SUBSTITUTE($A1167,"|","~", 11))-1),
    LEN($A1167)-LEN(SUBSTITUTE($A1167,"|",""))=14, MID($A1167, FIND("~", SUBSTITUTE($A1167,"|","~", 11))+1, FIND("~", SUBSTITUTE($A1167,"|","~", 12))-FIND("~", SUBSTITUTE($A1167,"|","~", 11))-1)
), "")</f>
        <v>E586102</v>
      </c>
      <c r="M1167" s="72" t="str">
        <f t="shared" si="141"/>
        <v>SB010089/4/26</v>
      </c>
      <c r="N1167" s="46" t="str">
        <f t="shared" si="149"/>
        <v/>
      </c>
      <c r="O1167" s="60">
        <v>50</v>
      </c>
      <c r="P1167" s="60">
        <v>878</v>
      </c>
      <c r="Q1167" s="48">
        <v>47</v>
      </c>
      <c r="R1167" s="48">
        <v>193</v>
      </c>
      <c r="S1167" s="48"/>
      <c r="T1167" s="48"/>
      <c r="U1167" s="49"/>
      <c r="V1167" s="49"/>
      <c r="W1167" s="50"/>
      <c r="X1167" s="51" t="str">
        <f>IF(A1167="", "", IF(COUNTIFS(C$3:C1166, C1167, D$3:D1166, D1167, G$3:G1166, G1167) &gt; 0, "", "11:00"-AW1167))</f>
        <v/>
      </c>
      <c r="Y1167" s="52" t="str">
        <f t="shared" si="161"/>
        <v/>
      </c>
      <c r="Z1167" s="53"/>
      <c r="AA1167" s="54"/>
      <c r="AB1167" s="53"/>
      <c r="AC1167" s="54"/>
      <c r="AD1167" s="53"/>
      <c r="AE1167" s="54"/>
      <c r="AF1167" s="53"/>
      <c r="AG1167" s="54"/>
      <c r="AH1167" s="55">
        <v>4.1666666666666699E-2</v>
      </c>
      <c r="AI1167" s="53"/>
      <c r="AJ1167" s="54"/>
      <c r="AK1167" s="53"/>
      <c r="AL1167" s="54"/>
      <c r="AM1167" s="53"/>
      <c r="AN1167" s="54"/>
      <c r="AO1167" s="53"/>
      <c r="AP1167" s="54"/>
      <c r="AQ1167" s="53"/>
      <c r="AR1167" s="54"/>
      <c r="AS1167" s="53"/>
      <c r="AT1167" s="54"/>
      <c r="AU1167" s="53">
        <v>4.1666666666666699E-2</v>
      </c>
      <c r="AV1167" s="54" t="s">
        <v>37</v>
      </c>
      <c r="AW1167" s="57">
        <f t="shared" si="160"/>
        <v>4.1666666666666699E-2</v>
      </c>
      <c r="AX1167" s="58" t="s">
        <v>77</v>
      </c>
    </row>
    <row r="1168" spans="1:50" ht="21" customHeight="1">
      <c r="A1168" s="66" t="s">
        <v>1000</v>
      </c>
      <c r="B1168" s="39">
        <f t="shared" si="165"/>
        <v>1164</v>
      </c>
      <c r="C1168" s="40">
        <v>46048</v>
      </c>
      <c r="D1168" s="40" t="s">
        <v>32</v>
      </c>
      <c r="E1168" s="40" t="s">
        <v>81</v>
      </c>
      <c r="F1168" s="41">
        <v>262</v>
      </c>
      <c r="G1168" s="42" t="s">
        <v>108</v>
      </c>
      <c r="H1168" s="43" t="str">
        <f>IFERROR(VLOOKUP($J1168,'[9]FROM (3)'!$E$4:$F$230,2,FALSE),"")</f>
        <v/>
      </c>
      <c r="I1168" s="44" t="str">
        <f t="shared" si="164"/>
        <v>RACK</v>
      </c>
      <c r="J1168" s="44" t="str">
        <f t="shared" si="162"/>
        <v>510-30149-020</v>
      </c>
      <c r="K1168" s="59" t="str">
        <f t="shared" si="163"/>
        <v>PD26011141</v>
      </c>
      <c r="L1168" s="46" t="str" cm="1">
        <f t="array" ref="L1168">IFERROR(_xlfn.IFS(
    LEN($A1168)-LEN(SUBSTITUTE($A1168,"|",""))=12, RIGHT(A1168, LEN(A1168)-FIND("~", SUBSTITUTE(A1168,"|","~", LEN(A1168)-LEN(SUBSTITUTE(A1168,"|",""))))),
    LEN($A1168)-LEN(SUBSTITUTE($A1168,"|",""))=13, MID($A1168, FIND("~", SUBSTITUTE($A1168,"|","~", 11))+1, FIND("~", SUBSTITUTE($A1168,"|","~", 12))-FIND("~", SUBSTITUTE($A1168,"|","~", 11))-1),
    LEN($A1168)-LEN(SUBSTITUTE($A1168,"|",""))=14, MID($A1168, FIND("~", SUBSTITUTE($A1168,"|","~", 11))+1, FIND("~", SUBSTITUTE($A1168,"|","~", 12))-FIND("~", SUBSTITUTE($A1168,"|","~", 11))-1)
), "")</f>
        <v>5C1361</v>
      </c>
      <c r="M1168" s="72" t="str">
        <f t="shared" si="141"/>
        <v>SB010159/3/26</v>
      </c>
      <c r="N1168" s="46" t="str">
        <f t="shared" si="149"/>
        <v/>
      </c>
      <c r="O1168" s="60" t="s">
        <v>35</v>
      </c>
      <c r="P1168" s="60" t="s">
        <v>35</v>
      </c>
      <c r="Q1168" s="48">
        <v>559</v>
      </c>
      <c r="R1168" s="48">
        <v>913</v>
      </c>
      <c r="S1168" s="48"/>
      <c r="T1168" s="48"/>
      <c r="U1168" s="49"/>
      <c r="V1168" s="49"/>
      <c r="W1168" s="50"/>
      <c r="X1168" s="51">
        <f>IF(A1168="", "", IF(COUNTIFS(C$3:C1167, C1168, D$3:D1167, D1168, G$3:G1167, G1168) &gt; 0, "", "11:00"-AW1168))</f>
        <v>0.30555555555555552</v>
      </c>
      <c r="Y1168" s="52" t="str">
        <f t="shared" si="161"/>
        <v>1:0</v>
      </c>
      <c r="Z1168" s="53"/>
      <c r="AA1168" s="54"/>
      <c r="AB1168" s="53"/>
      <c r="AC1168" s="54"/>
      <c r="AD1168" s="53"/>
      <c r="AE1168" s="54"/>
      <c r="AF1168" s="53"/>
      <c r="AG1168" s="54"/>
      <c r="AH1168" s="55">
        <v>4.1666666666666699E-2</v>
      </c>
      <c r="AI1168" s="53"/>
      <c r="AJ1168" s="54"/>
      <c r="AK1168" s="53"/>
      <c r="AL1168" s="54"/>
      <c r="AM1168" s="53"/>
      <c r="AN1168" s="54"/>
      <c r="AO1168" s="53">
        <v>2.7777777777777776E-2</v>
      </c>
      <c r="AP1168" s="54" t="s">
        <v>129</v>
      </c>
      <c r="AQ1168" s="53">
        <v>4.1666666666666664E-2</v>
      </c>
      <c r="AR1168" s="54" t="s">
        <v>37</v>
      </c>
      <c r="AS1168" s="53">
        <v>4.1666666666666664E-2</v>
      </c>
      <c r="AT1168" s="54" t="s">
        <v>37</v>
      </c>
      <c r="AU1168" s="53">
        <v>4.1666666666666699E-2</v>
      </c>
      <c r="AV1168" s="54" t="s">
        <v>37</v>
      </c>
      <c r="AW1168" s="57">
        <f t="shared" si="160"/>
        <v>0.15277777777777779</v>
      </c>
      <c r="AX1168" s="58" t="s">
        <v>380</v>
      </c>
    </row>
    <row r="1169" spans="1:50" ht="21" customHeight="1">
      <c r="A1169" s="66" t="s">
        <v>1016</v>
      </c>
      <c r="B1169" s="39">
        <f t="shared" si="165"/>
        <v>1165</v>
      </c>
      <c r="C1169" s="40">
        <v>46048</v>
      </c>
      <c r="D1169" s="40" t="s">
        <v>32</v>
      </c>
      <c r="E1169" s="40" t="s">
        <v>81</v>
      </c>
      <c r="F1169" s="41">
        <v>262</v>
      </c>
      <c r="G1169" s="42" t="s">
        <v>108</v>
      </c>
      <c r="H1169" s="43" t="str">
        <f>IFERROR(VLOOKUP($J1169,'[9]FROM (3)'!$E$4:$F$230,2,FALSE),"")</f>
        <v/>
      </c>
      <c r="I1169" s="44" t="str">
        <f t="shared" si="164"/>
        <v>RACK</v>
      </c>
      <c r="J1169" s="44" t="str">
        <f t="shared" si="162"/>
        <v>510-30149-020</v>
      </c>
      <c r="K1169" s="59" t="str">
        <f t="shared" si="163"/>
        <v>PD26011141</v>
      </c>
      <c r="L1169" s="46" t="str" cm="1">
        <f t="array" ref="L1169">IFERROR(_xlfn.IFS(
    LEN($A1169)-LEN(SUBSTITUTE($A1169,"|",""))=12, RIGHT(A1169, LEN(A1169)-FIND("~", SUBSTITUTE(A1169,"|","~", LEN(A1169)-LEN(SUBSTITUTE(A1169,"|",""))))),
    LEN($A1169)-LEN(SUBSTITUTE($A1169,"|",""))=13, MID($A1169, FIND("~", SUBSTITUTE($A1169,"|","~", 11))+1, FIND("~", SUBSTITUTE($A1169,"|","~", 12))-FIND("~", SUBSTITUTE($A1169,"|","~", 11))-1),
    LEN($A1169)-LEN(SUBSTITUTE($A1169,"|",""))=14, MID($A1169, FIND("~", SUBSTITUTE($A1169,"|","~", 11))+1, FIND("~", SUBSTITUTE($A1169,"|","~", 12))-FIND("~", SUBSTITUTE($A1169,"|","~", 11))-1)
), "")</f>
        <v>5C1361</v>
      </c>
      <c r="M1169" s="72" t="str">
        <f t="shared" si="141"/>
        <v>SB010159/1/26</v>
      </c>
      <c r="N1169" s="46" t="str">
        <f t="shared" si="149"/>
        <v/>
      </c>
      <c r="O1169" s="60">
        <v>40</v>
      </c>
      <c r="P1169" s="60">
        <v>786</v>
      </c>
      <c r="Q1169" s="48">
        <v>440</v>
      </c>
      <c r="R1169" s="48">
        <v>718</v>
      </c>
      <c r="S1169" s="48"/>
      <c r="T1169" s="48"/>
      <c r="U1169" s="49"/>
      <c r="V1169" s="49"/>
      <c r="W1169" s="50"/>
      <c r="X1169" s="51" t="str">
        <f>IF(A1169="", "", IF(COUNTIFS(C$3:C1168, C1169, D$3:D1168, D1169, G$3:G1168, G1169) &gt; 0, "", "11:00"-AW1169))</f>
        <v/>
      </c>
      <c r="Y1169" s="52" t="str">
        <f t="shared" si="161"/>
        <v/>
      </c>
      <c r="Z1169" s="53"/>
      <c r="AA1169" s="54"/>
      <c r="AB1169" s="53"/>
      <c r="AC1169" s="54"/>
      <c r="AD1169" s="53"/>
      <c r="AE1169" s="54"/>
      <c r="AF1169" s="53"/>
      <c r="AG1169" s="54"/>
      <c r="AH1169" s="55">
        <v>4.1666666666666699E-2</v>
      </c>
      <c r="AI1169" s="53"/>
      <c r="AJ1169" s="54"/>
      <c r="AK1169" s="53"/>
      <c r="AL1169" s="54"/>
      <c r="AM1169" s="53"/>
      <c r="AN1169" s="54"/>
      <c r="AO1169" s="53"/>
      <c r="AP1169" s="54"/>
      <c r="AQ1169" s="53"/>
      <c r="AR1169" s="54"/>
      <c r="AS1169" s="53"/>
      <c r="AT1169" s="54"/>
      <c r="AU1169" s="53">
        <v>4.1666666666666699E-2</v>
      </c>
      <c r="AV1169" s="54" t="s">
        <v>37</v>
      </c>
      <c r="AW1169" s="57">
        <f t="shared" si="160"/>
        <v>4.1666666666666699E-2</v>
      </c>
      <c r="AX1169" s="58" t="s">
        <v>380</v>
      </c>
    </row>
    <row r="1170" spans="1:50" ht="21" customHeight="1">
      <c r="A1170" s="66" t="s">
        <v>1017</v>
      </c>
      <c r="B1170" s="39">
        <f t="shared" si="165"/>
        <v>1166</v>
      </c>
      <c r="C1170" s="40">
        <v>46048</v>
      </c>
      <c r="D1170" s="40" t="s">
        <v>32</v>
      </c>
      <c r="E1170" s="40" t="s">
        <v>81</v>
      </c>
      <c r="F1170" s="41">
        <v>262</v>
      </c>
      <c r="G1170" s="42" t="s">
        <v>108</v>
      </c>
      <c r="H1170" s="43" t="str">
        <f>IFERROR(VLOOKUP($J1170,'[9]FROM (3)'!$E$4:$F$230,2,FALSE),"")</f>
        <v/>
      </c>
      <c r="I1170" s="44" t="str">
        <f t="shared" si="164"/>
        <v>RACK</v>
      </c>
      <c r="J1170" s="44" t="str">
        <f t="shared" si="162"/>
        <v>510-30149-020</v>
      </c>
      <c r="K1170" s="59" t="str">
        <f t="shared" si="163"/>
        <v>PD26011141</v>
      </c>
      <c r="L1170" s="46" t="str" cm="1">
        <f t="array" ref="L1170">IFERROR(_xlfn.IFS(
    LEN($A1170)-LEN(SUBSTITUTE($A1170,"|",""))=12, RIGHT(A1170, LEN(A1170)-FIND("~", SUBSTITUTE(A1170,"|","~", LEN(A1170)-LEN(SUBSTITUTE(A1170,"|",""))))),
    LEN($A1170)-LEN(SUBSTITUTE($A1170,"|",""))=13, MID($A1170, FIND("~", SUBSTITUTE($A1170,"|","~", 11))+1, FIND("~", SUBSTITUTE($A1170,"|","~", 12))-FIND("~", SUBSTITUTE($A1170,"|","~", 11))-1),
    LEN($A1170)-LEN(SUBSTITUTE($A1170,"|",""))=14, MID($A1170, FIND("~", SUBSTITUTE($A1170,"|","~", 11))+1, FIND("~", SUBSTITUTE($A1170,"|","~", 12))-FIND("~", SUBSTITUTE($A1170,"|","~", 11))-1)
), "")</f>
        <v>5C1361</v>
      </c>
      <c r="M1170" s="72" t="str">
        <f t="shared" si="141"/>
        <v>SB010159/2/26</v>
      </c>
      <c r="N1170" s="46" t="str">
        <f t="shared" si="149"/>
        <v/>
      </c>
      <c r="O1170" s="60">
        <v>40</v>
      </c>
      <c r="P1170" s="60">
        <v>786</v>
      </c>
      <c r="Q1170" s="48">
        <v>240</v>
      </c>
      <c r="R1170" s="48">
        <v>392</v>
      </c>
      <c r="S1170" s="48"/>
      <c r="T1170" s="48"/>
      <c r="U1170" s="49">
        <v>183</v>
      </c>
      <c r="V1170" s="49">
        <v>19</v>
      </c>
      <c r="W1170" s="50"/>
      <c r="X1170" s="51" t="str">
        <f>IF(A1170="", "", IF(COUNTIFS(C$3:C1169, C1170, D$3:D1169, D1170, G$3:G1169, G1170) &gt; 0, "", "11:00"-AW1170))</f>
        <v/>
      </c>
      <c r="Y1170" s="52" t="str">
        <f t="shared" si="161"/>
        <v/>
      </c>
      <c r="Z1170" s="53"/>
      <c r="AA1170" s="54"/>
      <c r="AB1170" s="53"/>
      <c r="AC1170" s="54"/>
      <c r="AD1170" s="53"/>
      <c r="AE1170" s="54"/>
      <c r="AF1170" s="53"/>
      <c r="AG1170" s="54"/>
      <c r="AH1170" s="55">
        <v>4.1666666666666699E-2</v>
      </c>
      <c r="AI1170" s="53"/>
      <c r="AJ1170" s="54"/>
      <c r="AK1170" s="53"/>
      <c r="AL1170" s="54"/>
      <c r="AM1170" s="53"/>
      <c r="AN1170" s="54"/>
      <c r="AO1170" s="53"/>
      <c r="AP1170" s="54"/>
      <c r="AQ1170" s="53"/>
      <c r="AR1170" s="54"/>
      <c r="AS1170" s="53"/>
      <c r="AT1170" s="54"/>
      <c r="AU1170" s="53">
        <v>4.1666666666666699E-2</v>
      </c>
      <c r="AV1170" s="54" t="s">
        <v>37</v>
      </c>
      <c r="AW1170" s="57">
        <f t="shared" si="160"/>
        <v>4.1666666666666699E-2</v>
      </c>
      <c r="AX1170" s="58" t="s">
        <v>380</v>
      </c>
    </row>
    <row r="1171" spans="1:50" ht="21" customHeight="1">
      <c r="A1171" s="66" t="s">
        <v>1002</v>
      </c>
      <c r="B1171" s="39">
        <f t="shared" si="165"/>
        <v>1167</v>
      </c>
      <c r="C1171" s="40">
        <v>46048</v>
      </c>
      <c r="D1171" s="40" t="s">
        <v>32</v>
      </c>
      <c r="E1171" s="40" t="s">
        <v>81</v>
      </c>
      <c r="F1171" s="41">
        <v>278</v>
      </c>
      <c r="G1171" s="42" t="s">
        <v>46</v>
      </c>
      <c r="H1171" s="43" t="str">
        <f>IFERROR(VLOOKUP($J1171,'[9]FROM (3)'!$E$4:$F$230,2,FALSE),"")</f>
        <v>SIAM NSK</v>
      </c>
      <c r="I1171" s="44" t="str">
        <f t="shared" si="164"/>
        <v>SHAFT SPLINE</v>
      </c>
      <c r="J1171" s="44" t="str">
        <f t="shared" si="162"/>
        <v>2550T0749P</v>
      </c>
      <c r="K1171" s="59" t="str">
        <f t="shared" si="163"/>
        <v>PD26011143</v>
      </c>
      <c r="L1171" s="46" t="str" cm="1">
        <f t="array" ref="L1171">IFERROR(_xlfn.IFS(
    LEN($A1171)-LEN(SUBSTITUTE($A1171,"|",""))=12, RIGHT(A1171, LEN(A1171)-FIND("~", SUBSTITUTE(A1171,"|","~", LEN(A1171)-LEN(SUBSTITUTE(A1171,"|",""))))),
    LEN($A1171)-LEN(SUBSTITUTE($A1171,"|",""))=13, MID($A1171, FIND("~", SUBSTITUTE($A1171,"|","~", 11))+1, FIND("~", SUBSTITUTE($A1171,"|","~", 12))-FIND("~", SUBSTITUTE($A1171,"|","~", 11))-1),
    LEN($A1171)-LEN(SUBSTITUTE($A1171,"|",""))=14, MID($A1171, FIND("~", SUBSTITUTE($A1171,"|","~", 11))+1, FIND("~", SUBSTITUTE($A1171,"|","~", 12))-FIND("~", SUBSTITUTE($A1171,"|","~", 11))-1)
), "")</f>
        <v>SF95636</v>
      </c>
      <c r="M1171" s="72" t="str">
        <f t="shared" si="141"/>
        <v>SB010135/2/26</v>
      </c>
      <c r="N1171" s="46" t="str">
        <f t="shared" si="149"/>
        <v/>
      </c>
      <c r="O1171" s="60" t="s">
        <v>35</v>
      </c>
      <c r="P1171" s="60" t="s">
        <v>35</v>
      </c>
      <c r="Q1171" s="48">
        <v>456</v>
      </c>
      <c r="R1171" s="48">
        <v>261</v>
      </c>
      <c r="S1171" s="48"/>
      <c r="T1171" s="48"/>
      <c r="U1171" s="49"/>
      <c r="V1171" s="49"/>
      <c r="W1171" s="50"/>
      <c r="X1171" s="51">
        <f>IF(A1171="", "", IF(COUNTIFS(C$3:C1170, C1171, D$3:D1170, D1171, G$3:G1170, G1171) &gt; 0, "", "11:00"-AW1171))</f>
        <v>0.41666666666666663</v>
      </c>
      <c r="Y1171" s="52" t="str">
        <f t="shared" si="161"/>
        <v>1:40</v>
      </c>
      <c r="Z1171" s="53"/>
      <c r="AA1171" s="54"/>
      <c r="AB1171" s="53"/>
      <c r="AC1171" s="54"/>
      <c r="AD1171" s="53"/>
      <c r="AE1171" s="54"/>
      <c r="AF1171" s="53"/>
      <c r="AG1171" s="54"/>
      <c r="AH1171" s="55">
        <v>4.1666666666666699E-2</v>
      </c>
      <c r="AI1171" s="53"/>
      <c r="AJ1171" s="54"/>
      <c r="AK1171" s="53"/>
      <c r="AL1171" s="54"/>
      <c r="AM1171" s="53"/>
      <c r="AN1171" s="54"/>
      <c r="AO1171" s="53"/>
      <c r="AP1171" s="54"/>
      <c r="AQ1171" s="53"/>
      <c r="AR1171" s="54"/>
      <c r="AS1171" s="53"/>
      <c r="AT1171" s="54"/>
      <c r="AU1171" s="53">
        <v>4.1666666666666699E-2</v>
      </c>
      <c r="AV1171" s="54" t="s">
        <v>37</v>
      </c>
      <c r="AW1171" s="57">
        <f t="shared" si="160"/>
        <v>4.1666666666666699E-2</v>
      </c>
      <c r="AX1171" s="58" t="s">
        <v>380</v>
      </c>
    </row>
    <row r="1172" spans="1:50" ht="21" customHeight="1">
      <c r="A1172" s="66" t="s">
        <v>1018</v>
      </c>
      <c r="B1172" s="39">
        <f t="shared" si="165"/>
        <v>1168</v>
      </c>
      <c r="C1172" s="40">
        <v>46048</v>
      </c>
      <c r="D1172" s="40" t="s">
        <v>32</v>
      </c>
      <c r="E1172" s="40" t="s">
        <v>81</v>
      </c>
      <c r="F1172" s="41">
        <v>278</v>
      </c>
      <c r="G1172" s="42" t="s">
        <v>46</v>
      </c>
      <c r="H1172" s="43" t="str">
        <f>IFERROR(VLOOKUP($J1172,'[9]FROM (3)'!$E$4:$F$230,2,FALSE),"")</f>
        <v>SIAM NSK</v>
      </c>
      <c r="I1172" s="44" t="str">
        <f t="shared" si="164"/>
        <v>SHAFT SPLINE</v>
      </c>
      <c r="J1172" s="44" t="str">
        <f t="shared" si="162"/>
        <v>2550T0749P</v>
      </c>
      <c r="K1172" s="59" t="str">
        <f t="shared" si="163"/>
        <v>PD26011143</v>
      </c>
      <c r="L1172" s="46" t="str" cm="1">
        <f t="array" ref="L1172">IFERROR(_xlfn.IFS(
    LEN($A1172)-LEN(SUBSTITUTE($A1172,"|",""))=12, RIGHT(A1172, LEN(A1172)-FIND("~", SUBSTITUTE(A1172,"|","~", LEN(A1172)-LEN(SUBSTITUTE(A1172,"|",""))))),
    LEN($A1172)-LEN(SUBSTITUTE($A1172,"|",""))=13, MID($A1172, FIND("~", SUBSTITUTE($A1172,"|","~", 11))+1, FIND("~", SUBSTITUTE($A1172,"|","~", 12))-FIND("~", SUBSTITUTE($A1172,"|","~", 11))-1),
    LEN($A1172)-LEN(SUBSTITUTE($A1172,"|",""))=14, MID($A1172, FIND("~", SUBSTITUTE($A1172,"|","~", 11))+1, FIND("~", SUBSTITUTE($A1172,"|","~", 12))-FIND("~", SUBSTITUTE($A1172,"|","~", 11))-1)
), "")</f>
        <v>SF95636</v>
      </c>
      <c r="M1172" s="72" t="str">
        <f t="shared" si="141"/>
        <v>SB010135/3/26</v>
      </c>
      <c r="N1172" s="46" t="str">
        <f t="shared" si="149"/>
        <v/>
      </c>
      <c r="O1172" s="60">
        <v>103</v>
      </c>
      <c r="P1172" s="60">
        <v>990</v>
      </c>
      <c r="Q1172" s="48">
        <v>1648</v>
      </c>
      <c r="R1172" s="48">
        <v>642</v>
      </c>
      <c r="S1172" s="48"/>
      <c r="T1172" s="48"/>
      <c r="U1172" s="49">
        <v>113</v>
      </c>
      <c r="V1172" s="49">
        <v>21</v>
      </c>
      <c r="W1172" s="50"/>
      <c r="X1172" s="51" t="str">
        <f>IF(A1172="", "", IF(COUNTIFS(C$3:C1171, C1172, D$3:D1171, D1172, G$3:G1171, G1172) &gt; 0, "", "11:00"-AW1172))</f>
        <v/>
      </c>
      <c r="Y1172" s="52" t="str">
        <f t="shared" si="161"/>
        <v/>
      </c>
      <c r="Z1172" s="53"/>
      <c r="AA1172" s="54"/>
      <c r="AB1172" s="53"/>
      <c r="AC1172" s="54"/>
      <c r="AD1172" s="53"/>
      <c r="AE1172" s="54"/>
      <c r="AF1172" s="53"/>
      <c r="AG1172" s="54"/>
      <c r="AH1172" s="55">
        <v>4.1666666666666699E-2</v>
      </c>
      <c r="AI1172" s="53"/>
      <c r="AJ1172" s="54"/>
      <c r="AK1172" s="53"/>
      <c r="AL1172" s="54" t="s">
        <v>614</v>
      </c>
      <c r="AM1172" s="53"/>
      <c r="AN1172" s="54"/>
      <c r="AO1172" s="53"/>
      <c r="AP1172" s="54"/>
      <c r="AQ1172" s="53"/>
      <c r="AR1172" s="54"/>
      <c r="AS1172" s="53"/>
      <c r="AT1172" s="54"/>
      <c r="AU1172" s="53">
        <v>4.1666666666666699E-2</v>
      </c>
      <c r="AV1172" s="54" t="s">
        <v>37</v>
      </c>
      <c r="AW1172" s="57">
        <f t="shared" si="160"/>
        <v>4.1666666666666699E-2</v>
      </c>
      <c r="AX1172" s="58" t="s">
        <v>380</v>
      </c>
    </row>
    <row r="1173" spans="1:50" ht="21" customHeight="1">
      <c r="A1173" s="66" t="s">
        <v>1019</v>
      </c>
      <c r="B1173" s="39">
        <f t="shared" si="165"/>
        <v>1169</v>
      </c>
      <c r="C1173" s="40">
        <v>46048</v>
      </c>
      <c r="D1173" s="40" t="s">
        <v>32</v>
      </c>
      <c r="E1173" s="40" t="s">
        <v>81</v>
      </c>
      <c r="F1173" s="41">
        <v>278</v>
      </c>
      <c r="G1173" s="42" t="s">
        <v>46</v>
      </c>
      <c r="H1173" s="43" t="str">
        <f>IFERROR(VLOOKUP($J1173,'[9]FROM (3)'!$E$4:$F$230,2,FALSE),"")</f>
        <v>SIAM NSK</v>
      </c>
      <c r="I1173" s="44" t="str">
        <f t="shared" si="164"/>
        <v>SHAFT SPLINE</v>
      </c>
      <c r="J1173" s="44" t="str">
        <f t="shared" si="162"/>
        <v>2550T0749P</v>
      </c>
      <c r="K1173" s="59" t="str">
        <f t="shared" si="163"/>
        <v>PD26011144</v>
      </c>
      <c r="L1173" s="46" t="str" cm="1">
        <f t="array" ref="L1173">IFERROR(_xlfn.IFS(
    LEN($A1173)-LEN(SUBSTITUTE($A1173,"|",""))=12, RIGHT(A1173, LEN(A1173)-FIND("~", SUBSTITUTE(A1173,"|","~", LEN(A1173)-LEN(SUBSTITUTE(A1173,"|",""))))),
    LEN($A1173)-LEN(SUBSTITUTE($A1173,"|",""))=13, MID($A1173, FIND("~", SUBSTITUTE($A1173,"|","~", 11))+1, FIND("~", SUBSTITUTE($A1173,"|","~", 12))-FIND("~", SUBSTITUTE($A1173,"|","~", 11))-1),
    LEN($A1173)-LEN(SUBSTITUTE($A1173,"|",""))=14, MID($A1173, FIND("~", SUBSTITUTE($A1173,"|","~", 11))+1, FIND("~", SUBSTITUTE($A1173,"|","~", 12))-FIND("~", SUBSTITUTE($A1173,"|","~", 11))-1)
), "")</f>
        <v>SF95636</v>
      </c>
      <c r="M1173" s="72" t="str">
        <f t="shared" si="141"/>
        <v>SB010135/4/26</v>
      </c>
      <c r="N1173" s="46" t="str">
        <f t="shared" si="149"/>
        <v/>
      </c>
      <c r="O1173" s="60">
        <v>103</v>
      </c>
      <c r="P1173" s="60">
        <v>990</v>
      </c>
      <c r="Q1173" s="48">
        <v>656</v>
      </c>
      <c r="R1173" s="48">
        <v>375</v>
      </c>
      <c r="S1173" s="48"/>
      <c r="T1173" s="48"/>
      <c r="U1173" s="49"/>
      <c r="V1173" s="49"/>
      <c r="W1173" s="50"/>
      <c r="X1173" s="51" t="str">
        <f>IF(A1173="", "", IF(COUNTIFS(C$3:C1172, C1173, D$3:D1172, D1173, G$3:G1172, G1173) &gt; 0, "", "11:00"-AW1173))</f>
        <v/>
      </c>
      <c r="Y1173" s="52" t="str">
        <f t="shared" si="161"/>
        <v/>
      </c>
      <c r="Z1173" s="53"/>
      <c r="AA1173" s="54"/>
      <c r="AB1173" s="53"/>
      <c r="AC1173" s="54"/>
      <c r="AD1173" s="53"/>
      <c r="AE1173" s="54"/>
      <c r="AF1173" s="53"/>
      <c r="AG1173" s="54"/>
      <c r="AH1173" s="55">
        <v>4.1666666666666699E-2</v>
      </c>
      <c r="AI1173" s="53"/>
      <c r="AJ1173" s="54"/>
      <c r="AK1173" s="53"/>
      <c r="AL1173" s="54"/>
      <c r="AM1173" s="53"/>
      <c r="AN1173" s="54"/>
      <c r="AO1173" s="53"/>
      <c r="AP1173" s="54"/>
      <c r="AQ1173" s="53"/>
      <c r="AR1173" s="54"/>
      <c r="AS1173" s="53"/>
      <c r="AT1173" s="54"/>
      <c r="AU1173" s="53">
        <v>4.1666666666666699E-2</v>
      </c>
      <c r="AV1173" s="54" t="s">
        <v>37</v>
      </c>
      <c r="AW1173" s="57">
        <f t="shared" si="160"/>
        <v>4.1666666666666699E-2</v>
      </c>
      <c r="AX1173" s="58" t="s">
        <v>380</v>
      </c>
    </row>
    <row r="1174" spans="1:50" ht="21" customHeight="1">
      <c r="A1174" s="66" t="s">
        <v>1020</v>
      </c>
      <c r="B1174" s="39">
        <f t="shared" si="165"/>
        <v>1170</v>
      </c>
      <c r="C1174" s="40">
        <v>46048</v>
      </c>
      <c r="D1174" s="40" t="s">
        <v>32</v>
      </c>
      <c r="E1174" s="40" t="s">
        <v>81</v>
      </c>
      <c r="F1174" s="41">
        <v>375</v>
      </c>
      <c r="G1174" s="42" t="s">
        <v>172</v>
      </c>
      <c r="H1174" s="43" t="str">
        <f>IFERROR(VLOOKUP($J1174,'[9]FROM (3)'!$E$4:$F$230,2,FALSE),"")</f>
        <v>ATAC</v>
      </c>
      <c r="I1174" s="44" t="str">
        <f t="shared" si="164"/>
        <v>SEAT,WATER PUMP PULLEY</v>
      </c>
      <c r="J1174" s="44" t="str">
        <f t="shared" si="162"/>
        <v>16171-05030</v>
      </c>
      <c r="K1174" s="59" t="str">
        <f t="shared" si="163"/>
        <v>PD26010817</v>
      </c>
      <c r="L1174" s="46" t="str" cm="1">
        <f t="array" ref="L1174">IFERROR(_xlfn.IFS(
    LEN($A1174)-LEN(SUBSTITUTE($A1174,"|",""))=12, RIGHT(A1174, LEN(A1174)-FIND("~", SUBSTITUTE(A1174,"|","~", LEN(A1174)-LEN(SUBSTITUTE(A1174,"|",""))))),
    LEN($A1174)-LEN(SUBSTITUTE($A1174,"|",""))=13, MID($A1174, FIND("~", SUBSTITUTE($A1174,"|","~", 11))+1, FIND("~", SUBSTITUTE($A1174,"|","~", 12))-FIND("~", SUBSTITUTE($A1174,"|","~", 11))-1),
    LEN($A1174)-LEN(SUBSTITUTE($A1174,"|",""))=14, MID($A1174, FIND("~", SUBSTITUTE($A1174,"|","~", 11))+1, FIND("~", SUBSTITUTE($A1174,"|","~", 12))-FIND("~", SUBSTITUTE($A1174,"|","~", 11))-1)
), "")</f>
        <v>665900</v>
      </c>
      <c r="M1174" s="72" t="str">
        <f t="shared" si="141"/>
        <v>SB010101/5/26</v>
      </c>
      <c r="N1174" s="46" t="str">
        <f t="shared" si="149"/>
        <v/>
      </c>
      <c r="O1174" s="60" t="s">
        <v>35</v>
      </c>
      <c r="P1174" s="60" t="s">
        <v>35</v>
      </c>
      <c r="Q1174" s="48">
        <v>200</v>
      </c>
      <c r="R1174" s="48">
        <v>75</v>
      </c>
      <c r="S1174" s="48"/>
      <c r="T1174" s="48"/>
      <c r="U1174" s="49"/>
      <c r="V1174" s="49"/>
      <c r="W1174" s="50"/>
      <c r="X1174" s="51">
        <f>IF(A1174="", "", IF(COUNTIFS(C$3:C1173, C1174, D$3:D1173, D1174, G$3:G1173, G1174) &gt; 0, "", "11:00"-AW1174))</f>
        <v>0.41666666666666663</v>
      </c>
      <c r="Y1174" s="52" t="str">
        <f t="shared" si="161"/>
        <v>1:40</v>
      </c>
      <c r="Z1174" s="53"/>
      <c r="AA1174" s="54"/>
      <c r="AB1174" s="53"/>
      <c r="AC1174" s="54"/>
      <c r="AD1174" s="53"/>
      <c r="AE1174" s="54"/>
      <c r="AF1174" s="53"/>
      <c r="AG1174" s="54"/>
      <c r="AH1174" s="55">
        <v>4.1666666666666699E-2</v>
      </c>
      <c r="AI1174" s="53"/>
      <c r="AJ1174" s="54"/>
      <c r="AK1174" s="53"/>
      <c r="AL1174" s="54"/>
      <c r="AM1174" s="53"/>
      <c r="AN1174" s="54"/>
      <c r="AO1174" s="53"/>
      <c r="AP1174" s="54"/>
      <c r="AQ1174" s="53"/>
      <c r="AR1174" s="54"/>
      <c r="AS1174" s="53"/>
      <c r="AT1174" s="54"/>
      <c r="AU1174" s="53">
        <v>4.1666666666666699E-2</v>
      </c>
      <c r="AV1174" s="54" t="s">
        <v>37</v>
      </c>
      <c r="AW1174" s="57">
        <f t="shared" si="160"/>
        <v>4.1666666666666699E-2</v>
      </c>
      <c r="AX1174" s="58" t="s">
        <v>380</v>
      </c>
    </row>
    <row r="1175" spans="1:50" ht="21" customHeight="1">
      <c r="A1175" s="66" t="s">
        <v>1021</v>
      </c>
      <c r="B1175" s="39">
        <f t="shared" si="165"/>
        <v>1171</v>
      </c>
      <c r="C1175" s="40">
        <v>46048</v>
      </c>
      <c r="D1175" s="40" t="s">
        <v>32</v>
      </c>
      <c r="E1175" s="40" t="s">
        <v>81</v>
      </c>
      <c r="F1175" s="41">
        <v>375</v>
      </c>
      <c r="G1175" s="42" t="s">
        <v>172</v>
      </c>
      <c r="H1175" s="43" t="str">
        <f>IFERROR(VLOOKUP($J1175,'[9]FROM (3)'!$E$4:$F$230,2,FALSE),"")</f>
        <v>ATAC</v>
      </c>
      <c r="I1175" s="44" t="str">
        <f t="shared" si="164"/>
        <v>SEAT,WATER PUMP PULLEY</v>
      </c>
      <c r="J1175" s="44" t="str">
        <f t="shared" si="162"/>
        <v>16171-05030</v>
      </c>
      <c r="K1175" s="59" t="str">
        <f t="shared" si="163"/>
        <v>PD26010817</v>
      </c>
      <c r="L1175" s="46" t="str" cm="1">
        <f t="array" ref="L1175">IFERROR(_xlfn.IFS(
    LEN($A1175)-LEN(SUBSTITUTE($A1175,"|",""))=12, RIGHT(A1175, LEN(A1175)-FIND("~", SUBSTITUTE(A1175,"|","~", LEN(A1175)-LEN(SUBSTITUTE(A1175,"|",""))))),
    LEN($A1175)-LEN(SUBSTITUTE($A1175,"|",""))=13, MID($A1175, FIND("~", SUBSTITUTE($A1175,"|","~", 11))+1, FIND("~", SUBSTITUTE($A1175,"|","~", 12))-FIND("~", SUBSTITUTE($A1175,"|","~", 11))-1),
    LEN($A1175)-LEN(SUBSTITUTE($A1175,"|",""))=14, MID($A1175, FIND("~", SUBSTITUTE($A1175,"|","~", 11))+1, FIND("~", SUBSTITUTE($A1175,"|","~", 12))-FIND("~", SUBSTITUTE($A1175,"|","~", 11))-1)
), "")</f>
        <v>665900</v>
      </c>
      <c r="M1175" s="72" t="str">
        <f t="shared" si="141"/>
        <v>SB010101/4/26</v>
      </c>
      <c r="N1175" s="46" t="str">
        <f t="shared" si="149"/>
        <v/>
      </c>
      <c r="O1175" s="60">
        <v>14</v>
      </c>
      <c r="P1175" s="60">
        <v>990</v>
      </c>
      <c r="Q1175" s="48">
        <v>2035</v>
      </c>
      <c r="R1175" s="48">
        <v>763</v>
      </c>
      <c r="S1175" s="48"/>
      <c r="T1175" s="48"/>
      <c r="U1175" s="49"/>
      <c r="V1175" s="49"/>
      <c r="W1175" s="50"/>
      <c r="X1175" s="51" t="str">
        <f>IF(A1175="", "", IF(COUNTIFS(C$3:C1174, C1175, D$3:D1174, D1175, G$3:G1174, G1175) &gt; 0, "", "11:00"-AW1175))</f>
        <v/>
      </c>
      <c r="Y1175" s="52" t="str">
        <f t="shared" si="161"/>
        <v/>
      </c>
      <c r="Z1175" s="53"/>
      <c r="AA1175" s="54"/>
      <c r="AB1175" s="53"/>
      <c r="AC1175" s="54"/>
      <c r="AD1175" s="53"/>
      <c r="AE1175" s="54"/>
      <c r="AF1175" s="53"/>
      <c r="AG1175" s="54"/>
      <c r="AH1175" s="55">
        <v>4.1666666666666699E-2</v>
      </c>
      <c r="AI1175" s="53"/>
      <c r="AJ1175" s="54"/>
      <c r="AK1175" s="53"/>
      <c r="AL1175" s="54"/>
      <c r="AM1175" s="53"/>
      <c r="AN1175" s="54"/>
      <c r="AO1175" s="53"/>
      <c r="AP1175" s="54"/>
      <c r="AQ1175" s="53">
        <v>4.1666666666666664E-2</v>
      </c>
      <c r="AR1175" s="54" t="s">
        <v>37</v>
      </c>
      <c r="AS1175" s="53">
        <v>4.1666666666666664E-2</v>
      </c>
      <c r="AT1175" s="54" t="s">
        <v>37</v>
      </c>
      <c r="AU1175" s="53">
        <v>4.1666666666666699E-2</v>
      </c>
      <c r="AV1175" s="54" t="s">
        <v>37</v>
      </c>
      <c r="AW1175" s="57">
        <f t="shared" si="160"/>
        <v>0.12500000000000003</v>
      </c>
      <c r="AX1175" s="58" t="s">
        <v>380</v>
      </c>
    </row>
    <row r="1176" spans="1:50" ht="21" customHeight="1">
      <c r="A1176" s="66" t="s">
        <v>997</v>
      </c>
      <c r="B1176" s="39">
        <f t="shared" si="165"/>
        <v>1172</v>
      </c>
      <c r="C1176" s="40">
        <v>46048</v>
      </c>
      <c r="D1176" s="40" t="s">
        <v>32</v>
      </c>
      <c r="E1176" s="40" t="s">
        <v>81</v>
      </c>
      <c r="F1176" s="41">
        <v>548.4</v>
      </c>
      <c r="G1176" s="42" t="s">
        <v>66</v>
      </c>
      <c r="H1176" s="43" t="str">
        <f>IFERROR(VLOOKUP($J1176,'[9]FROM (3)'!$E$4:$F$230,2,FALSE),"")</f>
        <v>JTCS</v>
      </c>
      <c r="I1176" s="44" t="str">
        <f t="shared" si="164"/>
        <v>RACK BAR</v>
      </c>
      <c r="J1176" s="44" t="str">
        <f t="shared" si="162"/>
        <v>JGC10S002020-B</v>
      </c>
      <c r="K1176" s="59" t="str">
        <f t="shared" si="163"/>
        <v>PD26010756</v>
      </c>
      <c r="L1176" s="46" t="str" cm="1">
        <f t="array" ref="L1176">IFERROR(_xlfn.IFS(
    LEN($A1176)-LEN(SUBSTITUTE($A1176,"|",""))=12, RIGHT(A1176, LEN(A1176)-FIND("~", SUBSTITUTE(A1176,"|","~", LEN(A1176)-LEN(SUBSTITUTE(A1176,"|",""))))),
    LEN($A1176)-LEN(SUBSTITUTE($A1176,"|",""))=13, MID($A1176, FIND("~", SUBSTITUTE($A1176,"|","~", 11))+1, FIND("~", SUBSTITUTE($A1176,"|","~", 12))-FIND("~", SUBSTITUTE($A1176,"|","~", 11))-1),
    LEN($A1176)-LEN(SUBSTITUTE($A1176,"|",""))=14, MID($A1176, FIND("~", SUBSTITUTE($A1176,"|","~", 11))+1, FIND("~", SUBSTITUTE($A1176,"|","~", 12))-FIND("~", SUBSTITUTE($A1176,"|","~", 11))-1)
), "")</f>
        <v>E586664</v>
      </c>
      <c r="M1176" s="72" t="str">
        <f t="shared" si="141"/>
        <v>SB010074/3/26</v>
      </c>
      <c r="N1176" s="46" t="str">
        <f t="shared" si="149"/>
        <v/>
      </c>
      <c r="O1176" s="60">
        <v>3</v>
      </c>
      <c r="P1176" s="60">
        <v>44</v>
      </c>
      <c r="Q1176" s="48">
        <v>14</v>
      </c>
      <c r="R1176" s="48">
        <v>32</v>
      </c>
      <c r="S1176" s="48"/>
      <c r="T1176" s="48"/>
      <c r="U1176" s="49"/>
      <c r="V1176" s="49"/>
      <c r="W1176" s="50"/>
      <c r="X1176" s="51">
        <f>IF(A1176="", "", IF(COUNTIFS(C$3:C1175, C1176, D$3:D1175, D1176, G$3:G1175, G1176) &gt; 0, "", "11:00"-AW1176))</f>
        <v>0.29166666666666663</v>
      </c>
      <c r="Y1176" s="52" t="str">
        <f t="shared" si="161"/>
        <v>1:0</v>
      </c>
      <c r="Z1176" s="53"/>
      <c r="AA1176" s="54"/>
      <c r="AB1176" s="53"/>
      <c r="AC1176" s="54"/>
      <c r="AD1176" s="53"/>
      <c r="AE1176" s="54"/>
      <c r="AF1176" s="53">
        <v>4.1666666666666664E-2</v>
      </c>
      <c r="AG1176" s="54" t="s">
        <v>67</v>
      </c>
      <c r="AH1176" s="55">
        <v>4.1666666666666699E-2</v>
      </c>
      <c r="AI1176" s="53"/>
      <c r="AJ1176" s="54"/>
      <c r="AK1176" s="53"/>
      <c r="AL1176" s="54"/>
      <c r="AM1176" s="53"/>
      <c r="AN1176" s="54"/>
      <c r="AO1176" s="53"/>
      <c r="AP1176" s="54"/>
      <c r="AQ1176" s="53">
        <v>4.1666666666666664E-2</v>
      </c>
      <c r="AR1176" s="54" t="s">
        <v>37</v>
      </c>
      <c r="AS1176" s="53">
        <v>4.1666666666666664E-2</v>
      </c>
      <c r="AT1176" s="54" t="s">
        <v>37</v>
      </c>
      <c r="AU1176" s="53">
        <v>4.1666666666666699E-2</v>
      </c>
      <c r="AV1176" s="54" t="s">
        <v>37</v>
      </c>
      <c r="AW1176" s="57">
        <f t="shared" si="160"/>
        <v>0.16666666666666669</v>
      </c>
      <c r="AX1176" s="58" t="s">
        <v>68</v>
      </c>
    </row>
    <row r="1177" spans="1:50" ht="21" customHeight="1">
      <c r="A1177" s="66" t="s">
        <v>1022</v>
      </c>
      <c r="B1177" s="39">
        <f t="shared" si="165"/>
        <v>1173</v>
      </c>
      <c r="C1177" s="40">
        <v>46048</v>
      </c>
      <c r="D1177" s="40" t="s">
        <v>32</v>
      </c>
      <c r="E1177" s="40" t="s">
        <v>81</v>
      </c>
      <c r="F1177" s="41">
        <v>548.4</v>
      </c>
      <c r="G1177" s="42" t="s">
        <v>66</v>
      </c>
      <c r="H1177" s="43" t="str">
        <f>IFERROR(VLOOKUP($J1177,'[9]FROM (3)'!$E$4:$F$230,2,FALSE),"")</f>
        <v>JTCS</v>
      </c>
      <c r="I1177" s="44" t="str">
        <f t="shared" si="164"/>
        <v>RACK BAR</v>
      </c>
      <c r="J1177" s="44" t="str">
        <f t="shared" si="162"/>
        <v>JGC10S002020-B</v>
      </c>
      <c r="K1177" s="59" t="str">
        <f t="shared" si="163"/>
        <v>PD26010756</v>
      </c>
      <c r="L1177" s="46" t="str" cm="1">
        <f t="array" ref="L1177">IFERROR(_xlfn.IFS(
    LEN($A1177)-LEN(SUBSTITUTE($A1177,"|",""))=12, RIGHT(A1177, LEN(A1177)-FIND("~", SUBSTITUTE(A1177,"|","~", LEN(A1177)-LEN(SUBSTITUTE(A1177,"|",""))))),
    LEN($A1177)-LEN(SUBSTITUTE($A1177,"|",""))=13, MID($A1177, FIND("~", SUBSTITUTE($A1177,"|","~", 11))+1, FIND("~", SUBSTITUTE($A1177,"|","~", 12))-FIND("~", SUBSTITUTE($A1177,"|","~", 11))-1),
    LEN($A1177)-LEN(SUBSTITUTE($A1177,"|",""))=14, MID($A1177, FIND("~", SUBSTITUTE($A1177,"|","~", 11))+1, FIND("~", SUBSTITUTE($A1177,"|","~", 12))-FIND("~", SUBSTITUTE($A1177,"|","~", 11))-1)
), "")</f>
        <v>E586664</v>
      </c>
      <c r="M1177" s="72" t="str">
        <f t="shared" si="141"/>
        <v>SB010074/4/26</v>
      </c>
      <c r="N1177" s="46" t="str">
        <f t="shared" si="149"/>
        <v/>
      </c>
      <c r="O1177" s="60">
        <v>60</v>
      </c>
      <c r="P1177" s="60">
        <v>878</v>
      </c>
      <c r="Q1177" s="48">
        <v>360</v>
      </c>
      <c r="R1177" s="48">
        <v>823</v>
      </c>
      <c r="S1177" s="48"/>
      <c r="T1177" s="48"/>
      <c r="U1177" s="49">
        <v>90</v>
      </c>
      <c r="V1177" s="49">
        <v>7</v>
      </c>
      <c r="W1177" s="50"/>
      <c r="X1177" s="51" t="str">
        <f>IF(A1177="", "", IF(COUNTIFS(C$3:C1176, C1177, D$3:D1176, D1177, G$3:G1176, G1177) &gt; 0, "", "11:00"-AW1177))</f>
        <v/>
      </c>
      <c r="Y1177" s="52" t="str">
        <f t="shared" si="161"/>
        <v/>
      </c>
      <c r="Z1177" s="53"/>
      <c r="AA1177" s="54"/>
      <c r="AB1177" s="53"/>
      <c r="AC1177" s="54"/>
      <c r="AD1177" s="53"/>
      <c r="AE1177" s="54"/>
      <c r="AF1177" s="53"/>
      <c r="AG1177" s="54"/>
      <c r="AH1177" s="55">
        <v>4.1666666666666699E-2</v>
      </c>
      <c r="AI1177" s="53"/>
      <c r="AJ1177" s="54"/>
      <c r="AK1177" s="53"/>
      <c r="AL1177" s="54"/>
      <c r="AM1177" s="53"/>
      <c r="AN1177" s="54"/>
      <c r="AO1177" s="53"/>
      <c r="AP1177" s="54"/>
      <c r="AQ1177" s="53"/>
      <c r="AR1177" s="54" t="s">
        <v>37</v>
      </c>
      <c r="AS1177" s="53"/>
      <c r="AT1177" s="54" t="s">
        <v>37</v>
      </c>
      <c r="AU1177" s="53">
        <v>4.1666666666666699E-2</v>
      </c>
      <c r="AV1177" s="54" t="s">
        <v>37</v>
      </c>
      <c r="AW1177" s="57">
        <f t="shared" si="160"/>
        <v>4.1666666666666699E-2</v>
      </c>
      <c r="AX1177" s="58" t="s">
        <v>68</v>
      </c>
    </row>
    <row r="1178" spans="1:50" ht="21" customHeight="1">
      <c r="A1178" s="66" t="s">
        <v>1023</v>
      </c>
      <c r="B1178" s="39">
        <f t="shared" si="165"/>
        <v>1174</v>
      </c>
      <c r="C1178" s="40">
        <v>46048</v>
      </c>
      <c r="D1178" s="40" t="s">
        <v>32</v>
      </c>
      <c r="E1178" s="40" t="s">
        <v>81</v>
      </c>
      <c r="F1178" s="41">
        <v>732.5</v>
      </c>
      <c r="G1178" s="42" t="s">
        <v>66</v>
      </c>
      <c r="H1178" s="43" t="str">
        <f>IFERROR(VLOOKUP($J1178,'[9]FROM (3)'!$E$4:$F$230,2,FALSE),"")</f>
        <v>JCTTH</v>
      </c>
      <c r="I1178" s="44" t="str">
        <f t="shared" si="164"/>
        <v>RACK POWER STEERING</v>
      </c>
      <c r="J1178" s="44" t="str">
        <f t="shared" si="162"/>
        <v>JGD10-BA0101-C</v>
      </c>
      <c r="K1178" s="59" t="str">
        <f t="shared" si="163"/>
        <v>PD26010651</v>
      </c>
      <c r="L1178" s="46" t="str" cm="1">
        <f t="array" ref="L1178">IFERROR(_xlfn.IFS(
    LEN($A1178)-LEN(SUBSTITUTE($A1178,"|",""))=12, RIGHT(A1178, LEN(A1178)-FIND("~", SUBSTITUTE(A1178,"|","~", LEN(A1178)-LEN(SUBSTITUTE(A1178,"|",""))))),
    LEN($A1178)-LEN(SUBSTITUTE($A1178,"|",""))=13, MID($A1178, FIND("~", SUBSTITUTE($A1178,"|","~", 11))+1, FIND("~", SUBSTITUTE($A1178,"|","~", 12))-FIND("~", SUBSTITUTE($A1178,"|","~", 11))-1),
    LEN($A1178)-LEN(SUBSTITUTE($A1178,"|",""))=14, MID($A1178, FIND("~", SUBSTITUTE($A1178,"|","~", 11))+1, FIND("~", SUBSTITUTE($A1178,"|","~", 12))-FIND("~", SUBSTITUTE($A1178,"|","~", 11))-1)
), "")</f>
        <v>E586100</v>
      </c>
      <c r="M1178" s="72" t="str">
        <f t="shared" si="141"/>
        <v>SB010061/1/26</v>
      </c>
      <c r="N1178" s="46" t="str">
        <f t="shared" si="149"/>
        <v/>
      </c>
      <c r="O1178" s="60">
        <v>50</v>
      </c>
      <c r="P1178" s="60">
        <v>880</v>
      </c>
      <c r="Q1178" s="48">
        <v>200</v>
      </c>
      <c r="R1178" s="48">
        <v>832</v>
      </c>
      <c r="S1178" s="48"/>
      <c r="T1178" s="48"/>
      <c r="U1178" s="49"/>
      <c r="V1178" s="49"/>
      <c r="W1178" s="50"/>
      <c r="X1178" s="51" t="str">
        <f>IF(A1178="", "", IF(COUNTIFS(C$3:C1177, C1178, D$3:D1177, D1178, G$3:G1177, G1178) &gt; 0, "", "11:00"-AW1178))</f>
        <v/>
      </c>
      <c r="Y1178" s="52" t="str">
        <f t="shared" si="161"/>
        <v/>
      </c>
      <c r="Z1178" s="53"/>
      <c r="AA1178" s="54"/>
      <c r="AB1178" s="53"/>
      <c r="AC1178" s="54"/>
      <c r="AD1178" s="53"/>
      <c r="AE1178" s="54"/>
      <c r="AF1178" s="53"/>
      <c r="AG1178" s="54"/>
      <c r="AH1178" s="55">
        <v>4.1666666666666699E-2</v>
      </c>
      <c r="AI1178" s="53"/>
      <c r="AJ1178" s="54"/>
      <c r="AK1178" s="53"/>
      <c r="AL1178" s="54"/>
      <c r="AM1178" s="53"/>
      <c r="AN1178" s="54"/>
      <c r="AO1178" s="53"/>
      <c r="AP1178" s="54"/>
      <c r="AQ1178" s="53"/>
      <c r="AR1178" s="54" t="s">
        <v>37</v>
      </c>
      <c r="AS1178" s="53"/>
      <c r="AT1178" s="54" t="s">
        <v>37</v>
      </c>
      <c r="AU1178" s="53">
        <v>4.1666666666666699E-2</v>
      </c>
      <c r="AV1178" s="54" t="s">
        <v>37</v>
      </c>
      <c r="AW1178" s="57">
        <f t="shared" si="160"/>
        <v>4.1666666666666699E-2</v>
      </c>
      <c r="AX1178" s="58" t="s">
        <v>68</v>
      </c>
    </row>
    <row r="1179" spans="1:50" ht="21" customHeight="1">
      <c r="A1179" s="66" t="s">
        <v>1024</v>
      </c>
      <c r="B1179" s="39">
        <f t="shared" si="165"/>
        <v>1175</v>
      </c>
      <c r="C1179" s="40">
        <v>46048</v>
      </c>
      <c r="D1179" s="40" t="s">
        <v>32</v>
      </c>
      <c r="E1179" s="40" t="s">
        <v>81</v>
      </c>
      <c r="F1179" s="41">
        <v>732.5</v>
      </c>
      <c r="G1179" s="42" t="s">
        <v>66</v>
      </c>
      <c r="H1179" s="43" t="str">
        <f>IFERROR(VLOOKUP($J1179,'[9]FROM (3)'!$E$4:$F$230,2,FALSE),"")</f>
        <v>JCTTH</v>
      </c>
      <c r="I1179" s="44" t="str">
        <f t="shared" si="164"/>
        <v>RACK POWER STEERING</v>
      </c>
      <c r="J1179" s="44" t="str">
        <f t="shared" si="162"/>
        <v>JGD10-BA0101-C</v>
      </c>
      <c r="K1179" s="59" t="str">
        <f t="shared" si="163"/>
        <v>PD26010651</v>
      </c>
      <c r="L1179" s="46" t="str" cm="1">
        <f t="array" ref="L1179">IFERROR(_xlfn.IFS(
    LEN($A1179)-LEN(SUBSTITUTE($A1179,"|",""))=12, RIGHT(A1179, LEN(A1179)-FIND("~", SUBSTITUTE(A1179,"|","~", LEN(A1179)-LEN(SUBSTITUTE(A1179,"|",""))))),
    LEN($A1179)-LEN(SUBSTITUTE($A1179,"|",""))=13, MID($A1179, FIND("~", SUBSTITUTE($A1179,"|","~", 11))+1, FIND("~", SUBSTITUTE($A1179,"|","~", 12))-FIND("~", SUBSTITUTE($A1179,"|","~", 11))-1),
    LEN($A1179)-LEN(SUBSTITUTE($A1179,"|",""))=14, MID($A1179, FIND("~", SUBSTITUTE($A1179,"|","~", 11))+1, FIND("~", SUBSTITUTE($A1179,"|","~", 12))-FIND("~", SUBSTITUTE($A1179,"|","~", 11))-1)
), "")</f>
        <v>E586100</v>
      </c>
      <c r="M1179" s="72" t="str">
        <f t="shared" si="141"/>
        <v>SB010061/3/26</v>
      </c>
      <c r="N1179" s="46" t="str">
        <f t="shared" si="149"/>
        <v/>
      </c>
      <c r="O1179" s="60">
        <v>50</v>
      </c>
      <c r="P1179" s="60">
        <v>880</v>
      </c>
      <c r="Q1179" s="48">
        <v>200</v>
      </c>
      <c r="R1179" s="48">
        <v>832</v>
      </c>
      <c r="S1179" s="48"/>
      <c r="T1179" s="48"/>
      <c r="U1179" s="49"/>
      <c r="V1179" s="49"/>
      <c r="W1179" s="50"/>
      <c r="X1179" s="51" t="str">
        <f>IF(A1179="", "", IF(COUNTIFS(C$3:C1178, C1179, D$3:D1178, D1179, G$3:G1178, G1179) &gt; 0, "", "11:00"-AW1179))</f>
        <v/>
      </c>
      <c r="Y1179" s="52" t="str">
        <f t="shared" si="161"/>
        <v/>
      </c>
      <c r="Z1179" s="53"/>
      <c r="AA1179" s="54"/>
      <c r="AB1179" s="53"/>
      <c r="AC1179" s="54"/>
      <c r="AD1179" s="53"/>
      <c r="AE1179" s="54"/>
      <c r="AF1179" s="53"/>
      <c r="AG1179" s="54"/>
      <c r="AH1179" s="55">
        <v>4.1666666666666699E-2</v>
      </c>
      <c r="AI1179" s="53"/>
      <c r="AJ1179" s="54"/>
      <c r="AK1179" s="53"/>
      <c r="AL1179" s="54"/>
      <c r="AM1179" s="53"/>
      <c r="AN1179" s="54"/>
      <c r="AO1179" s="53"/>
      <c r="AP1179" s="54"/>
      <c r="AQ1179" s="53"/>
      <c r="AR1179" s="54" t="s">
        <v>37</v>
      </c>
      <c r="AS1179" s="53"/>
      <c r="AT1179" s="54" t="s">
        <v>37</v>
      </c>
      <c r="AU1179" s="53">
        <v>4.1666666666666699E-2</v>
      </c>
      <c r="AV1179" s="54" t="s">
        <v>37</v>
      </c>
      <c r="AW1179" s="57">
        <f t="shared" si="160"/>
        <v>4.1666666666666699E-2</v>
      </c>
      <c r="AX1179" s="58" t="s">
        <v>68</v>
      </c>
    </row>
    <row r="1180" spans="1:50" ht="21" customHeight="1">
      <c r="A1180" s="66" t="s">
        <v>1025</v>
      </c>
      <c r="B1180" s="39">
        <f t="shared" si="165"/>
        <v>1176</v>
      </c>
      <c r="C1180" s="40">
        <v>46048</v>
      </c>
      <c r="D1180" s="40" t="s">
        <v>32</v>
      </c>
      <c r="E1180" s="40" t="s">
        <v>81</v>
      </c>
      <c r="F1180" s="41">
        <v>732.5</v>
      </c>
      <c r="G1180" s="42" t="s">
        <v>66</v>
      </c>
      <c r="H1180" s="43" t="str">
        <f>IFERROR(VLOOKUP($J1180,'[9]FROM (3)'!$E$4:$F$230,2,FALSE),"")</f>
        <v>JCTTH</v>
      </c>
      <c r="I1180" s="44" t="str">
        <f t="shared" si="164"/>
        <v>RACK POWER STEERING</v>
      </c>
      <c r="J1180" s="44" t="str">
        <f t="shared" si="162"/>
        <v>JGD10-BA0101-C</v>
      </c>
      <c r="K1180" s="59" t="str">
        <f t="shared" si="163"/>
        <v>PD26010651</v>
      </c>
      <c r="L1180" s="46" t="str" cm="1">
        <f t="array" ref="L1180">IFERROR(_xlfn.IFS(
    LEN($A1180)-LEN(SUBSTITUTE($A1180,"|",""))=12, RIGHT(A1180, LEN(A1180)-FIND("~", SUBSTITUTE(A1180,"|","~", LEN(A1180)-LEN(SUBSTITUTE(A1180,"|",""))))),
    LEN($A1180)-LEN(SUBSTITUTE($A1180,"|",""))=13, MID($A1180, FIND("~", SUBSTITUTE($A1180,"|","~", 11))+1, FIND("~", SUBSTITUTE($A1180,"|","~", 12))-FIND("~", SUBSTITUTE($A1180,"|","~", 11))-1),
    LEN($A1180)-LEN(SUBSTITUTE($A1180,"|",""))=14, MID($A1180, FIND("~", SUBSTITUTE($A1180,"|","~", 11))+1, FIND("~", SUBSTITUTE($A1180,"|","~", 12))-FIND("~", SUBSTITUTE($A1180,"|","~", 11))-1)
), "")</f>
        <v>E586100</v>
      </c>
      <c r="M1180" s="72" t="str">
        <f t="shared" si="141"/>
        <v>SB010061/2/26</v>
      </c>
      <c r="N1180" s="46" t="str">
        <f t="shared" si="149"/>
        <v/>
      </c>
      <c r="O1180" s="60">
        <v>10</v>
      </c>
      <c r="P1180" s="60">
        <v>176</v>
      </c>
      <c r="Q1180" s="48">
        <v>39</v>
      </c>
      <c r="R1180" s="48">
        <v>162</v>
      </c>
      <c r="S1180" s="48"/>
      <c r="T1180" s="48"/>
      <c r="U1180" s="49"/>
      <c r="V1180" s="49"/>
      <c r="W1180" s="50"/>
      <c r="X1180" s="51" t="str">
        <f>IF(A1180="", "", IF(COUNTIFS(C$3:C1179, C1180, D$3:D1179, D1180, G$3:G1179, G1180) &gt; 0, "", "11:00"-AW1180))</f>
        <v/>
      </c>
      <c r="Y1180" s="52" t="str">
        <f t="shared" si="161"/>
        <v/>
      </c>
      <c r="Z1180" s="53"/>
      <c r="AA1180" s="54"/>
      <c r="AB1180" s="53"/>
      <c r="AC1180" s="54"/>
      <c r="AD1180" s="53"/>
      <c r="AE1180" s="54"/>
      <c r="AF1180" s="53"/>
      <c r="AG1180" s="54"/>
      <c r="AH1180" s="55">
        <v>4.1666666666666699E-2</v>
      </c>
      <c r="AI1180" s="53"/>
      <c r="AJ1180" s="54"/>
      <c r="AK1180" s="53"/>
      <c r="AL1180" s="54"/>
      <c r="AM1180" s="53"/>
      <c r="AN1180" s="54"/>
      <c r="AO1180" s="53"/>
      <c r="AP1180" s="54"/>
      <c r="AQ1180" s="53"/>
      <c r="AR1180" s="54" t="s">
        <v>37</v>
      </c>
      <c r="AS1180" s="53"/>
      <c r="AT1180" s="54" t="s">
        <v>37</v>
      </c>
      <c r="AU1180" s="53">
        <v>4.1666666666666699E-2</v>
      </c>
      <c r="AV1180" s="54" t="s">
        <v>37</v>
      </c>
      <c r="AW1180" s="57">
        <f t="shared" si="160"/>
        <v>4.1666666666666699E-2</v>
      </c>
      <c r="AX1180" s="58" t="s">
        <v>68</v>
      </c>
    </row>
    <row r="1181" spans="1:50" ht="21" customHeight="1">
      <c r="A1181" s="66" t="s">
        <v>1026</v>
      </c>
      <c r="B1181" s="39">
        <f t="shared" si="165"/>
        <v>1177</v>
      </c>
      <c r="C1181" s="40">
        <v>46048</v>
      </c>
      <c r="D1181" s="40" t="s">
        <v>32</v>
      </c>
      <c r="E1181" s="40" t="s">
        <v>81</v>
      </c>
      <c r="F1181" s="41">
        <v>765.7</v>
      </c>
      <c r="G1181" s="42" t="s">
        <v>85</v>
      </c>
      <c r="H1181" s="43" t="str">
        <f>IFERROR(VLOOKUP($J1181,'[9]FROM (3)'!$E$4:$F$230,2,FALSE),"")</f>
        <v>JTCS</v>
      </c>
      <c r="I1181" s="44" t="str">
        <f t="shared" si="164"/>
        <v>RACK, PS</v>
      </c>
      <c r="J1181" s="44" t="str">
        <f t="shared" si="162"/>
        <v>JGD10-001230-40-0</v>
      </c>
      <c r="K1181" s="59" t="str">
        <f t="shared" si="163"/>
        <v>PD26011090</v>
      </c>
      <c r="L1181" s="46" t="str" cm="1">
        <f t="array" ref="L1181">IFERROR(_xlfn.IFS(
    LEN($A1181)-LEN(SUBSTITUTE($A1181,"|",""))=12, RIGHT(A1181, LEN(A1181)-FIND("~", SUBSTITUTE(A1181,"|","~", LEN(A1181)-LEN(SUBSTITUTE(A1181,"|",""))))),
    LEN($A1181)-LEN(SUBSTITUTE($A1181,"|",""))=13, MID($A1181, FIND("~", SUBSTITUTE($A1181,"|","~", 11))+1, FIND("~", SUBSTITUTE($A1181,"|","~", 12))-FIND("~", SUBSTITUTE($A1181,"|","~", 11))-1),
    LEN($A1181)-LEN(SUBSTITUTE($A1181,"|",""))=14, MID($A1181, FIND("~", SUBSTITUTE($A1181,"|","~", 11))+1, FIND("~", SUBSTITUTE($A1181,"|","~", 12))-FIND("~", SUBSTITUTE($A1181,"|","~", 11))-1)
), "")</f>
        <v>E586236</v>
      </c>
      <c r="M1181" s="72" t="str">
        <f t="shared" si="141"/>
        <v>SB010146/1/26</v>
      </c>
      <c r="N1181" s="46" t="str">
        <f t="shared" si="149"/>
        <v/>
      </c>
      <c r="O1181" s="60">
        <v>25</v>
      </c>
      <c r="P1181" s="60">
        <v>890</v>
      </c>
      <c r="Q1181" s="48">
        <v>175</v>
      </c>
      <c r="R1181" s="48">
        <v>859</v>
      </c>
      <c r="S1181" s="48"/>
      <c r="T1181" s="48"/>
      <c r="U1181" s="49">
        <v>79</v>
      </c>
      <c r="V1181" s="49">
        <v>8</v>
      </c>
      <c r="W1181" s="50"/>
      <c r="X1181" s="51">
        <f>IF(A1181="", "", IF(COUNTIFS(C$3:C1180, C1181, D$3:D1180, D1181, G$3:G1180, G1181) &gt; 0, "", "11:00"-AW1181))</f>
        <v>0.29166666666666663</v>
      </c>
      <c r="Y1181" s="52" t="str">
        <f t="shared" si="161"/>
        <v>1:0</v>
      </c>
      <c r="Z1181" s="53">
        <v>4.1666666666666664E-2</v>
      </c>
      <c r="AA1181" s="54" t="s">
        <v>67</v>
      </c>
      <c r="AB1181" s="53"/>
      <c r="AC1181" s="54"/>
      <c r="AD1181" s="53"/>
      <c r="AE1181" s="54"/>
      <c r="AF1181" s="53"/>
      <c r="AG1181" s="54"/>
      <c r="AH1181" s="55">
        <v>4.1666666666666699E-2</v>
      </c>
      <c r="AI1181" s="53"/>
      <c r="AJ1181" s="54"/>
      <c r="AK1181" s="53"/>
      <c r="AL1181" s="54"/>
      <c r="AM1181" s="53"/>
      <c r="AN1181" s="54"/>
      <c r="AO1181" s="53"/>
      <c r="AP1181" s="54"/>
      <c r="AQ1181" s="53">
        <v>4.1666666666666664E-2</v>
      </c>
      <c r="AR1181" s="54" t="s">
        <v>37</v>
      </c>
      <c r="AS1181" s="53">
        <v>4.1666666666666664E-2</v>
      </c>
      <c r="AT1181" s="54" t="s">
        <v>37</v>
      </c>
      <c r="AU1181" s="53">
        <v>4.1666666666666699E-2</v>
      </c>
      <c r="AV1181" s="54" t="s">
        <v>37</v>
      </c>
      <c r="AW1181" s="57">
        <f t="shared" si="160"/>
        <v>0.16666666666666669</v>
      </c>
      <c r="AX1181" s="58" t="s">
        <v>48</v>
      </c>
    </row>
    <row r="1182" spans="1:50" ht="21" customHeight="1">
      <c r="A1182" s="66" t="s">
        <v>1027</v>
      </c>
      <c r="B1182" s="39">
        <f t="shared" si="165"/>
        <v>1178</v>
      </c>
      <c r="C1182" s="40">
        <v>46048</v>
      </c>
      <c r="D1182" s="40" t="s">
        <v>32</v>
      </c>
      <c r="E1182" s="40" t="s">
        <v>81</v>
      </c>
      <c r="F1182" s="41">
        <v>765.7</v>
      </c>
      <c r="G1182" s="42" t="s">
        <v>85</v>
      </c>
      <c r="H1182" s="43" t="str">
        <f>IFERROR(VLOOKUP($J1182,'[9]FROM (3)'!$E$4:$F$230,2,FALSE),"")</f>
        <v>JTCS</v>
      </c>
      <c r="I1182" s="44" t="str">
        <f t="shared" si="164"/>
        <v>RACK, PS</v>
      </c>
      <c r="J1182" s="44" t="str">
        <f t="shared" si="162"/>
        <v>JGD10-001230-40-0</v>
      </c>
      <c r="K1182" s="59" t="str">
        <f t="shared" si="163"/>
        <v>PD26011090</v>
      </c>
      <c r="L1182" s="46" t="str" cm="1">
        <f t="array" ref="L1182">IFERROR(_xlfn.IFS(
    LEN($A1182)-LEN(SUBSTITUTE($A1182,"|",""))=12, RIGHT(A1182, LEN(A1182)-FIND("~", SUBSTITUTE(A1182,"|","~", LEN(A1182)-LEN(SUBSTITUTE(A1182,"|",""))))),
    LEN($A1182)-LEN(SUBSTITUTE($A1182,"|",""))=13, MID($A1182, FIND("~", SUBSTITUTE($A1182,"|","~", 11))+1, FIND("~", SUBSTITUTE($A1182,"|","~", 12))-FIND("~", SUBSTITUTE($A1182,"|","~", 11))-1),
    LEN($A1182)-LEN(SUBSTITUTE($A1182,"|",""))=14, MID($A1182, FIND("~", SUBSTITUTE($A1182,"|","~", 11))+1, FIND("~", SUBSTITUTE($A1182,"|","~", 12))-FIND("~", SUBSTITUTE($A1182,"|","~", 11))-1)
), "")</f>
        <v>E586236</v>
      </c>
      <c r="M1182" s="72" t="str">
        <f t="shared" si="141"/>
        <v>SB010146/2/26</v>
      </c>
      <c r="N1182" s="46" t="str">
        <f t="shared" si="149"/>
        <v/>
      </c>
      <c r="O1182" s="60">
        <v>25</v>
      </c>
      <c r="P1182" s="60">
        <v>890</v>
      </c>
      <c r="Q1182" s="48">
        <v>175</v>
      </c>
      <c r="R1182" s="48">
        <v>859</v>
      </c>
      <c r="S1182" s="48"/>
      <c r="T1182" s="48"/>
      <c r="U1182" s="49"/>
      <c r="V1182" s="49"/>
      <c r="W1182" s="50"/>
      <c r="X1182" s="51" t="str">
        <f>IF(A1182="", "", IF(COUNTIFS(C$3:C1181, C1182, D$3:D1181, D1182, G$3:G1181, G1182) &gt; 0, "", "11:00"-AW1182))</f>
        <v/>
      </c>
      <c r="Y1182" s="52" t="str">
        <f t="shared" si="161"/>
        <v/>
      </c>
      <c r="Z1182" s="53"/>
      <c r="AA1182" s="54"/>
      <c r="AB1182" s="53"/>
      <c r="AC1182" s="54"/>
      <c r="AD1182" s="53"/>
      <c r="AE1182" s="54"/>
      <c r="AF1182" s="53"/>
      <c r="AG1182" s="54"/>
      <c r="AH1182" s="55">
        <v>4.1666666666666699E-2</v>
      </c>
      <c r="AI1182" s="53"/>
      <c r="AJ1182" s="54"/>
      <c r="AK1182" s="53"/>
      <c r="AL1182" s="54"/>
      <c r="AM1182" s="53"/>
      <c r="AN1182" s="54"/>
      <c r="AO1182" s="53"/>
      <c r="AP1182" s="54"/>
      <c r="AQ1182" s="53">
        <v>4.1666666666666664E-2</v>
      </c>
      <c r="AR1182" s="54" t="s">
        <v>37</v>
      </c>
      <c r="AS1182" s="53">
        <v>4.1666666666666664E-2</v>
      </c>
      <c r="AT1182" s="54" t="s">
        <v>37</v>
      </c>
      <c r="AU1182" s="53">
        <v>4.1666666666666699E-2</v>
      </c>
      <c r="AV1182" s="54" t="s">
        <v>37</v>
      </c>
      <c r="AW1182" s="57">
        <f t="shared" ref="AW1182:AW1190" si="166">SUM(Z1182,AB1182,AD1182,AF1182,AI1182,AK1182,AM1182,AO1182,AQ1182,AS1182,AU1182)</f>
        <v>0.12500000000000003</v>
      </c>
      <c r="AX1182" s="58" t="s">
        <v>48</v>
      </c>
    </row>
    <row r="1183" spans="1:50" ht="21" customHeight="1">
      <c r="A1183" s="66" t="s">
        <v>1028</v>
      </c>
      <c r="B1183" s="39">
        <f t="shared" si="165"/>
        <v>1179</v>
      </c>
      <c r="C1183" s="40">
        <v>46048</v>
      </c>
      <c r="D1183" s="40" t="s">
        <v>32</v>
      </c>
      <c r="E1183" s="40" t="s">
        <v>81</v>
      </c>
      <c r="F1183" s="41">
        <v>765.7</v>
      </c>
      <c r="G1183" s="42" t="s">
        <v>85</v>
      </c>
      <c r="H1183" s="43" t="str">
        <f>IFERROR(VLOOKUP($J1183,'[9]FROM (3)'!$E$4:$F$230,2,FALSE),"")</f>
        <v>JTCS</v>
      </c>
      <c r="I1183" s="44" t="str">
        <f t="shared" si="164"/>
        <v>RACK, PS</v>
      </c>
      <c r="J1183" s="44" t="str">
        <f t="shared" si="162"/>
        <v>JGD10-001230-40-0</v>
      </c>
      <c r="K1183" s="59" t="str">
        <f t="shared" si="163"/>
        <v>PD26011090</v>
      </c>
      <c r="L1183" s="46" t="str" cm="1">
        <f t="array" ref="L1183">IFERROR(_xlfn.IFS(
    LEN($A1183)-LEN(SUBSTITUTE($A1183,"|",""))=12, RIGHT(A1183, LEN(A1183)-FIND("~", SUBSTITUTE(A1183,"|","~", LEN(A1183)-LEN(SUBSTITUTE(A1183,"|",""))))),
    LEN($A1183)-LEN(SUBSTITUTE($A1183,"|",""))=13, MID($A1183, FIND("~", SUBSTITUTE($A1183,"|","~", 11))+1, FIND("~", SUBSTITUTE($A1183,"|","~", 12))-FIND("~", SUBSTITUTE($A1183,"|","~", 11))-1),
    LEN($A1183)-LEN(SUBSTITUTE($A1183,"|",""))=14, MID($A1183, FIND("~", SUBSTITUTE($A1183,"|","~", 11))+1, FIND("~", SUBSTITUTE($A1183,"|","~", 12))-FIND("~", SUBSTITUTE($A1183,"|","~", 11))-1)
), "")</f>
        <v>E586236</v>
      </c>
      <c r="M1183" s="72" t="str">
        <f t="shared" si="141"/>
        <v>SB010146/3/26</v>
      </c>
      <c r="N1183" s="46" t="str">
        <f t="shared" si="149"/>
        <v/>
      </c>
      <c r="O1183" s="60">
        <v>24</v>
      </c>
      <c r="P1183" s="60">
        <v>854</v>
      </c>
      <c r="Q1183" s="48">
        <v>168</v>
      </c>
      <c r="R1183" s="48">
        <v>825</v>
      </c>
      <c r="S1183" s="48"/>
      <c r="T1183" s="48"/>
      <c r="U1183" s="49"/>
      <c r="V1183" s="49"/>
      <c r="W1183" s="50"/>
      <c r="X1183" s="51" t="str">
        <f>IF(A1183="", "", IF(COUNTIFS(C$3:C1182, C1183, D$3:D1182, D1183, G$3:G1182, G1183) &gt; 0, "", "11:00"-AW1183))</f>
        <v/>
      </c>
      <c r="Y1183" s="52" t="str">
        <f t="shared" si="161"/>
        <v/>
      </c>
      <c r="Z1183" s="53"/>
      <c r="AA1183" s="54"/>
      <c r="AB1183" s="53"/>
      <c r="AC1183" s="54"/>
      <c r="AD1183" s="53"/>
      <c r="AE1183" s="54"/>
      <c r="AF1183" s="53"/>
      <c r="AG1183" s="54"/>
      <c r="AH1183" s="55">
        <v>4.1666666666666699E-2</v>
      </c>
      <c r="AI1183" s="53"/>
      <c r="AJ1183" s="54"/>
      <c r="AK1183" s="53"/>
      <c r="AL1183" s="54"/>
      <c r="AM1183" s="53"/>
      <c r="AN1183" s="54"/>
      <c r="AO1183" s="53"/>
      <c r="AP1183" s="54"/>
      <c r="AQ1183" s="53">
        <v>4.1666666666666664E-2</v>
      </c>
      <c r="AR1183" s="54" t="s">
        <v>37</v>
      </c>
      <c r="AS1183" s="53">
        <v>4.1666666666666664E-2</v>
      </c>
      <c r="AT1183" s="54" t="s">
        <v>37</v>
      </c>
      <c r="AU1183" s="53">
        <v>4.1666666666666699E-2</v>
      </c>
      <c r="AV1183" s="54" t="s">
        <v>37</v>
      </c>
      <c r="AW1183" s="57">
        <f t="shared" si="166"/>
        <v>0.12500000000000003</v>
      </c>
      <c r="AX1183" s="58" t="s">
        <v>48</v>
      </c>
    </row>
    <row r="1184" spans="1:50" ht="21" customHeight="1">
      <c r="A1184" s="66" t="s">
        <v>1029</v>
      </c>
      <c r="B1184" s="39">
        <f t="shared" si="165"/>
        <v>1180</v>
      </c>
      <c r="C1184" s="40">
        <v>46048</v>
      </c>
      <c r="D1184" s="40" t="s">
        <v>32</v>
      </c>
      <c r="E1184" s="40" t="s">
        <v>81</v>
      </c>
      <c r="F1184" s="41">
        <v>765.7</v>
      </c>
      <c r="G1184" s="42" t="s">
        <v>85</v>
      </c>
      <c r="H1184" s="43" t="str">
        <f>IFERROR(VLOOKUP($J1184,'[9]FROM (3)'!$E$4:$F$230,2,FALSE),"")</f>
        <v>JTCS</v>
      </c>
      <c r="I1184" s="44" t="str">
        <f t="shared" si="164"/>
        <v>RACK, PS</v>
      </c>
      <c r="J1184" s="44" t="str">
        <f t="shared" si="162"/>
        <v>JGD10-001230-40-0</v>
      </c>
      <c r="K1184" s="59" t="str">
        <f t="shared" si="163"/>
        <v>PD26011091</v>
      </c>
      <c r="L1184" s="46" t="str" cm="1">
        <f t="array" ref="L1184">IFERROR(_xlfn.IFS(
    LEN($A1184)-LEN(SUBSTITUTE($A1184,"|",""))=12, RIGHT(A1184, LEN(A1184)-FIND("~", SUBSTITUTE(A1184,"|","~", LEN(A1184)-LEN(SUBSTITUTE(A1184,"|",""))))),
    LEN($A1184)-LEN(SUBSTITUTE($A1184,"|",""))=13, MID($A1184, FIND("~", SUBSTITUTE($A1184,"|","~", 11))+1, FIND("~", SUBSTITUTE($A1184,"|","~", 12))-FIND("~", SUBSTITUTE($A1184,"|","~", 11))-1),
    LEN($A1184)-LEN(SUBSTITUTE($A1184,"|",""))=14, MID($A1184, FIND("~", SUBSTITUTE($A1184,"|","~", 11))+1, FIND("~", SUBSTITUTE($A1184,"|","~", 12))-FIND("~", SUBSTITUTE($A1184,"|","~", 11))-1)
), "")</f>
        <v>E586236</v>
      </c>
      <c r="M1184" s="72" t="str">
        <f t="shared" si="141"/>
        <v>SB010146/4/26</v>
      </c>
      <c r="N1184" s="46" t="str">
        <f t="shared" si="149"/>
        <v/>
      </c>
      <c r="O1184" s="60">
        <v>23</v>
      </c>
      <c r="P1184" s="60">
        <v>818</v>
      </c>
      <c r="Q1184" s="48">
        <v>161</v>
      </c>
      <c r="R1184" s="48">
        <v>791</v>
      </c>
      <c r="S1184" s="48"/>
      <c r="T1184" s="48"/>
      <c r="U1184" s="49"/>
      <c r="V1184" s="49"/>
      <c r="W1184" s="50"/>
      <c r="X1184" s="51" t="str">
        <f>IF(A1184="", "", IF(COUNTIFS(C$3:C1183, C1184, D$3:D1183, D1184, G$3:G1183, G1184) &gt; 0, "", "11:00"-AW1184))</f>
        <v/>
      </c>
      <c r="Y1184" s="52" t="str">
        <f t="shared" si="161"/>
        <v/>
      </c>
      <c r="Z1184" s="53"/>
      <c r="AA1184" s="54"/>
      <c r="AB1184" s="53"/>
      <c r="AC1184" s="54"/>
      <c r="AD1184" s="53"/>
      <c r="AE1184" s="54"/>
      <c r="AF1184" s="53"/>
      <c r="AG1184" s="54"/>
      <c r="AH1184" s="55">
        <v>4.1666666666666699E-2</v>
      </c>
      <c r="AI1184" s="53"/>
      <c r="AJ1184" s="54"/>
      <c r="AK1184" s="53"/>
      <c r="AL1184" s="54"/>
      <c r="AM1184" s="53"/>
      <c r="AN1184" s="54"/>
      <c r="AO1184" s="53"/>
      <c r="AP1184" s="54"/>
      <c r="AQ1184" s="53">
        <v>4.1666666666666664E-2</v>
      </c>
      <c r="AR1184" s="54" t="s">
        <v>37</v>
      </c>
      <c r="AS1184" s="53">
        <v>4.1666666666666664E-2</v>
      </c>
      <c r="AT1184" s="54" t="s">
        <v>37</v>
      </c>
      <c r="AU1184" s="53">
        <v>4.1666666666666699E-2</v>
      </c>
      <c r="AV1184" s="54" t="s">
        <v>37</v>
      </c>
      <c r="AW1184" s="57">
        <f t="shared" si="166"/>
        <v>0.12500000000000003</v>
      </c>
      <c r="AX1184" s="58" t="s">
        <v>48</v>
      </c>
    </row>
    <row r="1185" spans="1:50" ht="21" customHeight="1">
      <c r="A1185" s="66" t="s">
        <v>1030</v>
      </c>
      <c r="B1185" s="39">
        <f t="shared" si="165"/>
        <v>1181</v>
      </c>
      <c r="C1185" s="40">
        <v>46048</v>
      </c>
      <c r="D1185" s="40" t="s">
        <v>32</v>
      </c>
      <c r="E1185" s="40" t="s">
        <v>81</v>
      </c>
      <c r="F1185" s="41">
        <v>765.7</v>
      </c>
      <c r="G1185" s="42" t="s">
        <v>85</v>
      </c>
      <c r="H1185" s="43" t="str">
        <f>IFERROR(VLOOKUP($J1185,'[9]FROM (3)'!$E$4:$F$230,2,FALSE),"")</f>
        <v>JTCS</v>
      </c>
      <c r="I1185" s="44" t="str">
        <f t="shared" si="164"/>
        <v>RACK, PS</v>
      </c>
      <c r="J1185" s="44" t="str">
        <f t="shared" si="162"/>
        <v>JGD10-001230-40-0</v>
      </c>
      <c r="K1185" s="59" t="str">
        <f t="shared" si="163"/>
        <v>PD26011091</v>
      </c>
      <c r="L1185" s="46" t="str" cm="1">
        <f t="array" ref="L1185">IFERROR(_xlfn.IFS(
    LEN($A1185)-LEN(SUBSTITUTE($A1185,"|",""))=12, RIGHT(A1185, LEN(A1185)-FIND("~", SUBSTITUTE(A1185,"|","~", LEN(A1185)-LEN(SUBSTITUTE(A1185,"|",""))))),
    LEN($A1185)-LEN(SUBSTITUTE($A1185,"|",""))=13, MID($A1185, FIND("~", SUBSTITUTE($A1185,"|","~", 11))+1, FIND("~", SUBSTITUTE($A1185,"|","~", 12))-FIND("~", SUBSTITUTE($A1185,"|","~", 11))-1),
    LEN($A1185)-LEN(SUBSTITUTE($A1185,"|",""))=14, MID($A1185, FIND("~", SUBSTITUTE($A1185,"|","~", 11))+1, FIND("~", SUBSTITUTE($A1185,"|","~", 12))-FIND("~", SUBSTITUTE($A1185,"|","~", 11))-1)
), "")</f>
        <v>E586236</v>
      </c>
      <c r="M1185" s="72" t="str">
        <f t="shared" si="141"/>
        <v>SB010146/5/26</v>
      </c>
      <c r="N1185" s="46" t="str">
        <f t="shared" si="149"/>
        <v/>
      </c>
      <c r="O1185" s="60">
        <v>25</v>
      </c>
      <c r="P1185" s="60">
        <v>890</v>
      </c>
      <c r="Q1185" s="48">
        <v>81</v>
      </c>
      <c r="R1185" s="48">
        <v>398</v>
      </c>
      <c r="S1185" s="48"/>
      <c r="T1185" s="48"/>
      <c r="U1185" s="49"/>
      <c r="V1185" s="49"/>
      <c r="W1185" s="50"/>
      <c r="X1185" s="51" t="str">
        <f>IF(A1185="", "", IF(COUNTIFS(C$3:C1184, C1185, D$3:D1184, D1185, G$3:G1184, G1185) &gt; 0, "", "11:00"-AW1185))</f>
        <v/>
      </c>
      <c r="Y1185" s="52" t="str">
        <f t="shared" si="161"/>
        <v/>
      </c>
      <c r="Z1185" s="53"/>
      <c r="AA1185" s="54"/>
      <c r="AB1185" s="53"/>
      <c r="AC1185" s="54"/>
      <c r="AD1185" s="53"/>
      <c r="AE1185" s="54"/>
      <c r="AF1185" s="53"/>
      <c r="AG1185" s="54"/>
      <c r="AH1185" s="55">
        <v>4.1666666666666699E-2</v>
      </c>
      <c r="AI1185" s="53"/>
      <c r="AJ1185" s="54"/>
      <c r="AK1185" s="53"/>
      <c r="AL1185" s="54"/>
      <c r="AM1185" s="53"/>
      <c r="AN1185" s="54"/>
      <c r="AO1185" s="53"/>
      <c r="AP1185" s="54"/>
      <c r="AQ1185" s="53">
        <v>4.1666666666666664E-2</v>
      </c>
      <c r="AR1185" s="54" t="s">
        <v>37</v>
      </c>
      <c r="AS1185" s="53">
        <v>4.1666666666666664E-2</v>
      </c>
      <c r="AT1185" s="54" t="s">
        <v>37</v>
      </c>
      <c r="AU1185" s="53">
        <v>4.1666666666666699E-2</v>
      </c>
      <c r="AV1185" s="54" t="s">
        <v>37</v>
      </c>
      <c r="AW1185" s="57">
        <f t="shared" si="166"/>
        <v>0.12500000000000003</v>
      </c>
      <c r="AX1185" s="58" t="s">
        <v>48</v>
      </c>
    </row>
    <row r="1186" spans="1:50" ht="21" customHeight="1">
      <c r="A1186" s="74" t="s">
        <v>1031</v>
      </c>
      <c r="B1186" s="39">
        <f t="shared" si="165"/>
        <v>1182</v>
      </c>
      <c r="C1186" s="40">
        <v>46048</v>
      </c>
      <c r="D1186" s="40" t="s">
        <v>32</v>
      </c>
      <c r="E1186" s="40" t="s">
        <v>81</v>
      </c>
      <c r="F1186" s="41">
        <v>756.8</v>
      </c>
      <c r="G1186" s="42" t="s">
        <v>192</v>
      </c>
      <c r="H1186" s="43" t="str">
        <f>IFERROR(VLOOKUP($J1186,'[9]FROM (3)'!$E$4:$F$230,2,FALSE),"")</f>
        <v>JATH</v>
      </c>
      <c r="I1186" s="44" t="str">
        <f t="shared" si="164"/>
        <v>JGF02-002190-31-2</v>
      </c>
      <c r="J1186" s="44" t="str">
        <f t="shared" si="162"/>
        <v>RACK BAR BLANK (JGF02-002190-31-2) 5K45</v>
      </c>
      <c r="K1186" s="59" t="str">
        <f t="shared" si="163"/>
        <v>PD26010908</v>
      </c>
      <c r="L1186" s="46" t="str" cm="1">
        <f t="array" ref="L1186">IFERROR(_xlfn.IFS(
    LEN($A1186)-LEN(SUBSTITUTE($A1186,"|",""))=12, RIGHT(A1186, LEN(A1186)-FIND("~", SUBSTITUTE(A1186,"|","~", LEN(A1186)-LEN(SUBSTITUTE(A1186,"|",""))))),
    LEN($A1186)-LEN(SUBSTITUTE($A1186,"|",""))=13, MID($A1186, FIND("~", SUBSTITUTE($A1186,"|","~", 11))+1, FIND("~", SUBSTITUTE($A1186,"|","~", 12))-FIND("~", SUBSTITUTE($A1186,"|","~", 11))-1),
    LEN($A1186)-LEN(SUBSTITUTE($A1186,"|",""))=14, MID($A1186, FIND("~", SUBSTITUTE($A1186,"|","~", 11))+1, FIND("~", SUBSTITUTE($A1186,"|","~", 12))-FIND("~", SUBSTITUTE($A1186,"|","~", 11))-1)
), "")</f>
        <v>5B3841</v>
      </c>
      <c r="M1186" s="72" t="str">
        <f t="shared" si="141"/>
        <v>TSK2</v>
      </c>
      <c r="N1186" s="46" t="str">
        <f t="shared" si="149"/>
        <v>FB010244/6/26</v>
      </c>
      <c r="O1186" s="60">
        <v>54</v>
      </c>
      <c r="P1186" s="60">
        <v>261</v>
      </c>
      <c r="Q1186" s="48">
        <v>54</v>
      </c>
      <c r="R1186" s="48">
        <v>261</v>
      </c>
      <c r="S1186" s="48"/>
      <c r="T1186" s="48"/>
      <c r="U1186" s="49"/>
      <c r="V1186" s="49"/>
      <c r="W1186" s="50"/>
      <c r="X1186" s="51">
        <f>IF(A1186="", "", IF(COUNTIFS(C$3:C1185, C1186, D$3:D1185, D1186, G$3:G1185, G1186) &gt; 0, "", "11:00"-AW1186))</f>
        <v>0.33333333333333326</v>
      </c>
      <c r="Y1186" s="52" t="str">
        <f t="shared" si="161"/>
        <v>1:0</v>
      </c>
      <c r="Z1186" s="53"/>
      <c r="AA1186" s="54"/>
      <c r="AB1186" s="53"/>
      <c r="AC1186" s="54"/>
      <c r="AD1186" s="53"/>
      <c r="AE1186" s="54"/>
      <c r="AF1186" s="53"/>
      <c r="AG1186" s="54"/>
      <c r="AH1186" s="55">
        <v>4.1666666666666699E-2</v>
      </c>
      <c r="AI1186" s="53"/>
      <c r="AJ1186" s="54"/>
      <c r="AK1186" s="53"/>
      <c r="AL1186" s="54"/>
      <c r="AM1186" s="53"/>
      <c r="AN1186" s="54"/>
      <c r="AO1186" s="53"/>
      <c r="AP1186" s="54"/>
      <c r="AQ1186" s="53">
        <v>4.1666666666666664E-2</v>
      </c>
      <c r="AR1186" s="54" t="s">
        <v>37</v>
      </c>
      <c r="AS1186" s="53">
        <v>4.1666666666666664E-2</v>
      </c>
      <c r="AT1186" s="54" t="s">
        <v>37</v>
      </c>
      <c r="AU1186" s="53">
        <v>4.1666666666666699E-2</v>
      </c>
      <c r="AV1186" s="54" t="s">
        <v>37</v>
      </c>
      <c r="AW1186" s="57">
        <f t="shared" si="166"/>
        <v>0.12500000000000003</v>
      </c>
      <c r="AX1186" s="58" t="s">
        <v>117</v>
      </c>
    </row>
    <row r="1187" spans="1:50" ht="21" customHeight="1">
      <c r="A1187" s="66" t="s">
        <v>1032</v>
      </c>
      <c r="B1187" s="39">
        <f t="shared" si="165"/>
        <v>1183</v>
      </c>
      <c r="C1187" s="40">
        <v>46048</v>
      </c>
      <c r="D1187" s="40" t="s">
        <v>32</v>
      </c>
      <c r="E1187" s="40" t="s">
        <v>81</v>
      </c>
      <c r="F1187" s="41">
        <v>756.8</v>
      </c>
      <c r="G1187" s="42" t="s">
        <v>192</v>
      </c>
      <c r="H1187" s="43" t="str">
        <f>IFERROR(VLOOKUP($J1187,'[9]FROM (3)'!$E$4:$F$230,2,FALSE),"")</f>
        <v>JATH</v>
      </c>
      <c r="I1187" s="44" t="str">
        <f t="shared" si="164"/>
        <v>JGF02-002190-31-2</v>
      </c>
      <c r="J1187" s="44" t="str">
        <f t="shared" si="162"/>
        <v>RACK BAR BLANK (JGF02-002190-31-2) 5K45</v>
      </c>
      <c r="K1187" s="59" t="str">
        <f t="shared" si="163"/>
        <v>PD26010908</v>
      </c>
      <c r="L1187" s="46" t="str" cm="1">
        <f t="array" ref="L1187">IFERROR(_xlfn.IFS(
    LEN($A1187)-LEN(SUBSTITUTE($A1187,"|",""))=12, RIGHT(A1187, LEN(A1187)-FIND("~", SUBSTITUTE(A1187,"|","~", LEN(A1187)-LEN(SUBSTITUTE(A1187,"|",""))))),
    LEN($A1187)-LEN(SUBSTITUTE($A1187,"|",""))=13, MID($A1187, FIND("~", SUBSTITUTE($A1187,"|","~", 11))+1, FIND("~", SUBSTITUTE($A1187,"|","~", 12))-FIND("~", SUBSTITUTE($A1187,"|","~", 11))-1),
    LEN($A1187)-LEN(SUBSTITUTE($A1187,"|",""))=14, MID($A1187, FIND("~", SUBSTITUTE($A1187,"|","~", 11))+1, FIND("~", SUBSTITUTE($A1187,"|","~", 12))-FIND("~", SUBSTITUTE($A1187,"|","~", 11))-1)
), "")</f>
        <v>5B3841</v>
      </c>
      <c r="M1187" s="72" t="str">
        <f t="shared" si="141"/>
        <v>TSK2</v>
      </c>
      <c r="N1187" s="46" t="str">
        <f t="shared" si="149"/>
        <v>FB010244/7/26</v>
      </c>
      <c r="O1187" s="60">
        <v>54</v>
      </c>
      <c r="P1187" s="60">
        <v>261</v>
      </c>
      <c r="Q1187" s="48">
        <v>54</v>
      </c>
      <c r="R1187" s="48">
        <v>261</v>
      </c>
      <c r="S1187" s="48"/>
      <c r="T1187" s="48"/>
      <c r="U1187" s="49"/>
      <c r="V1187" s="49"/>
      <c r="W1187" s="50"/>
      <c r="X1187" s="51" t="str">
        <f>IF(A1187="", "", IF(COUNTIFS(C$3:C1186, C1187, D$3:D1186, D1187, G$3:G1186, G1187) &gt; 0, "", "11:00"-AW1187))</f>
        <v/>
      </c>
      <c r="Y1187" s="52" t="str">
        <f t="shared" si="161"/>
        <v/>
      </c>
      <c r="Z1187" s="53"/>
      <c r="AA1187" s="54"/>
      <c r="AB1187" s="53"/>
      <c r="AC1187" s="54"/>
      <c r="AD1187" s="53"/>
      <c r="AE1187" s="54"/>
      <c r="AF1187" s="53"/>
      <c r="AG1187" s="54"/>
      <c r="AH1187" s="55">
        <v>4.1666666666666699E-2</v>
      </c>
      <c r="AI1187" s="53"/>
      <c r="AJ1187" s="54"/>
      <c r="AK1187" s="53"/>
      <c r="AL1187" s="54"/>
      <c r="AM1187" s="53"/>
      <c r="AN1187" s="54"/>
      <c r="AO1187" s="53"/>
      <c r="AP1187" s="54"/>
      <c r="AQ1187" s="53">
        <v>4.1666666666666664E-2</v>
      </c>
      <c r="AR1187" s="54" t="s">
        <v>37</v>
      </c>
      <c r="AS1187" s="53">
        <v>4.1666666666666664E-2</v>
      </c>
      <c r="AT1187" s="54" t="s">
        <v>37</v>
      </c>
      <c r="AU1187" s="53">
        <v>4.1666666666666699E-2</v>
      </c>
      <c r="AV1187" s="54" t="s">
        <v>37</v>
      </c>
      <c r="AW1187" s="57">
        <f t="shared" si="166"/>
        <v>0.12500000000000003</v>
      </c>
      <c r="AX1187" s="58" t="s">
        <v>117</v>
      </c>
    </row>
    <row r="1188" spans="1:50" ht="21" customHeight="1">
      <c r="A1188" s="66" t="s">
        <v>1033</v>
      </c>
      <c r="B1188" s="39">
        <f t="shared" si="165"/>
        <v>1184</v>
      </c>
      <c r="C1188" s="40">
        <v>46048</v>
      </c>
      <c r="D1188" s="40" t="s">
        <v>32</v>
      </c>
      <c r="E1188" s="40" t="s">
        <v>81</v>
      </c>
      <c r="F1188" s="41">
        <v>756.8</v>
      </c>
      <c r="G1188" s="42" t="s">
        <v>192</v>
      </c>
      <c r="H1188" s="43" t="str">
        <f>IFERROR(VLOOKUP($J1188,'[9]FROM (3)'!$E$4:$F$230,2,FALSE),"")</f>
        <v>JATH</v>
      </c>
      <c r="I1188" s="44" t="str">
        <f t="shared" si="164"/>
        <v>JGF02-002190-31-2</v>
      </c>
      <c r="J1188" s="44" t="str">
        <f t="shared" si="162"/>
        <v>RACK BAR BLANK (JGF02-002190-31-2) 5K45</v>
      </c>
      <c r="K1188" s="59" t="str">
        <f t="shared" si="163"/>
        <v>PD26010908</v>
      </c>
      <c r="L1188" s="46" t="str" cm="1">
        <f t="array" ref="L1188">IFERROR(_xlfn.IFS(
    LEN($A1188)-LEN(SUBSTITUTE($A1188,"|",""))=12, RIGHT(A1188, LEN(A1188)-FIND("~", SUBSTITUTE(A1188,"|","~", LEN(A1188)-LEN(SUBSTITUTE(A1188,"|",""))))),
    LEN($A1188)-LEN(SUBSTITUTE($A1188,"|",""))=13, MID($A1188, FIND("~", SUBSTITUTE($A1188,"|","~", 11))+1, FIND("~", SUBSTITUTE($A1188,"|","~", 12))-FIND("~", SUBSTITUTE($A1188,"|","~", 11))-1),
    LEN($A1188)-LEN(SUBSTITUTE($A1188,"|",""))=14, MID($A1188, FIND("~", SUBSTITUTE($A1188,"|","~", 11))+1, FIND("~", SUBSTITUTE($A1188,"|","~", 12))-FIND("~", SUBSTITUTE($A1188,"|","~", 11))-1)
), "")</f>
        <v>5B3841</v>
      </c>
      <c r="M1188" s="72" t="str">
        <f t="shared" si="141"/>
        <v>TSK2</v>
      </c>
      <c r="N1188" s="46" t="str">
        <f t="shared" si="149"/>
        <v>FB010244/5/26</v>
      </c>
      <c r="O1188" s="60">
        <v>54</v>
      </c>
      <c r="P1188" s="60">
        <v>261</v>
      </c>
      <c r="Q1188" s="48">
        <v>53</v>
      </c>
      <c r="R1188" s="48">
        <v>256</v>
      </c>
      <c r="S1188" s="48"/>
      <c r="T1188" s="48"/>
      <c r="U1188" s="49"/>
      <c r="V1188" s="49"/>
      <c r="W1188" s="50"/>
      <c r="X1188" s="51" t="str">
        <f>IF(A1188="", "", IF(COUNTIFS(C$3:C1187, C1188, D$3:D1187, D1188, G$3:G1187, G1188) &gt; 0, "", "11:00"-AW1188))</f>
        <v/>
      </c>
      <c r="Y1188" s="52" t="str">
        <f t="shared" si="161"/>
        <v/>
      </c>
      <c r="Z1188" s="53"/>
      <c r="AA1188" s="54"/>
      <c r="AB1188" s="53"/>
      <c r="AC1188" s="54"/>
      <c r="AD1188" s="53"/>
      <c r="AE1188" s="54"/>
      <c r="AF1188" s="53"/>
      <c r="AG1188" s="54"/>
      <c r="AH1188" s="55">
        <v>4.1666666666666699E-2</v>
      </c>
      <c r="AI1188" s="53"/>
      <c r="AJ1188" s="54"/>
      <c r="AK1188" s="53"/>
      <c r="AL1188" s="54"/>
      <c r="AM1188" s="53"/>
      <c r="AN1188" s="54"/>
      <c r="AO1188" s="53"/>
      <c r="AP1188" s="54"/>
      <c r="AQ1188" s="53">
        <v>4.1666666666666664E-2</v>
      </c>
      <c r="AR1188" s="54" t="s">
        <v>37</v>
      </c>
      <c r="AS1188" s="53">
        <v>4.1666666666666664E-2</v>
      </c>
      <c r="AT1188" s="54" t="s">
        <v>37</v>
      </c>
      <c r="AU1188" s="53">
        <v>4.1666666666666699E-2</v>
      </c>
      <c r="AV1188" s="54" t="s">
        <v>37</v>
      </c>
      <c r="AW1188" s="57">
        <f t="shared" si="166"/>
        <v>0.12500000000000003</v>
      </c>
      <c r="AX1188" s="58" t="s">
        <v>117</v>
      </c>
    </row>
    <row r="1189" spans="1:50" ht="21" customHeight="1">
      <c r="A1189" s="66" t="s">
        <v>1034</v>
      </c>
      <c r="B1189" s="39">
        <f t="shared" si="165"/>
        <v>1185</v>
      </c>
      <c r="C1189" s="40">
        <v>46048</v>
      </c>
      <c r="D1189" s="40" t="s">
        <v>32</v>
      </c>
      <c r="E1189" s="40" t="s">
        <v>81</v>
      </c>
      <c r="F1189" s="41">
        <v>756.8</v>
      </c>
      <c r="G1189" s="42" t="s">
        <v>192</v>
      </c>
      <c r="H1189" s="43" t="str">
        <f>IFERROR(VLOOKUP($J1189,'[9]FROM (3)'!$E$4:$F$230,2,FALSE),"")</f>
        <v>JATH</v>
      </c>
      <c r="I1189" s="44" t="str">
        <f t="shared" si="164"/>
        <v>JGF02-002190-31-2</v>
      </c>
      <c r="J1189" s="44" t="str">
        <f t="shared" si="162"/>
        <v>RACK BAR BLANK (JGF02-002190-31-2) 5K45</v>
      </c>
      <c r="K1189" s="59" t="str">
        <f t="shared" si="163"/>
        <v>PD26010908</v>
      </c>
      <c r="L1189" s="46" t="str" cm="1">
        <f t="array" ref="L1189">IFERROR(_xlfn.IFS(
    LEN($A1189)-LEN(SUBSTITUTE($A1189,"|",""))=12, RIGHT(A1189, LEN(A1189)-FIND("~", SUBSTITUTE(A1189,"|","~", LEN(A1189)-LEN(SUBSTITUTE(A1189,"|",""))))),
    LEN($A1189)-LEN(SUBSTITUTE($A1189,"|",""))=13, MID($A1189, FIND("~", SUBSTITUTE($A1189,"|","~", 11))+1, FIND("~", SUBSTITUTE($A1189,"|","~", 12))-FIND("~", SUBSTITUTE($A1189,"|","~", 11))-1),
    LEN($A1189)-LEN(SUBSTITUTE($A1189,"|",""))=14, MID($A1189, FIND("~", SUBSTITUTE($A1189,"|","~", 11))+1, FIND("~", SUBSTITUTE($A1189,"|","~", 12))-FIND("~", SUBSTITUTE($A1189,"|","~", 11))-1)
), "")</f>
        <v>5B3841</v>
      </c>
      <c r="M1189" s="72" t="str">
        <f t="shared" si="141"/>
        <v>TSK2</v>
      </c>
      <c r="N1189" s="46" t="str">
        <f t="shared" si="149"/>
        <v>FB010244/2/26</v>
      </c>
      <c r="O1189" s="60">
        <v>58</v>
      </c>
      <c r="P1189" s="60">
        <v>280</v>
      </c>
      <c r="Q1189" s="48">
        <v>58</v>
      </c>
      <c r="R1189" s="48">
        <v>280</v>
      </c>
      <c r="S1189" s="48"/>
      <c r="T1189" s="48"/>
      <c r="U1189" s="49"/>
      <c r="V1189" s="49"/>
      <c r="W1189" s="50"/>
      <c r="X1189" s="51" t="str">
        <f>IF(A1189="", "", IF(COUNTIFS(C$3:C1188, C1189, D$3:D1188, D1189, G$3:G1188, G1189) &gt; 0, "", "11:00"-AW1189))</f>
        <v/>
      </c>
      <c r="Y1189" s="52" t="str">
        <f t="shared" si="161"/>
        <v/>
      </c>
      <c r="Z1189" s="53"/>
      <c r="AA1189" s="54"/>
      <c r="AB1189" s="53"/>
      <c r="AC1189" s="54"/>
      <c r="AD1189" s="53"/>
      <c r="AE1189" s="54"/>
      <c r="AF1189" s="53"/>
      <c r="AG1189" s="54"/>
      <c r="AH1189" s="55">
        <v>4.1666666666666699E-2</v>
      </c>
      <c r="AI1189" s="53"/>
      <c r="AJ1189" s="54"/>
      <c r="AK1189" s="53"/>
      <c r="AL1189" s="54"/>
      <c r="AM1189" s="53"/>
      <c r="AN1189" s="54"/>
      <c r="AO1189" s="53"/>
      <c r="AP1189" s="54"/>
      <c r="AQ1189" s="53">
        <v>4.1666666666666664E-2</v>
      </c>
      <c r="AR1189" s="54" t="s">
        <v>37</v>
      </c>
      <c r="AS1189" s="53">
        <v>4.1666666666666664E-2</v>
      </c>
      <c r="AT1189" s="54" t="s">
        <v>37</v>
      </c>
      <c r="AU1189" s="53">
        <v>4.1666666666666699E-2</v>
      </c>
      <c r="AV1189" s="54" t="s">
        <v>37</v>
      </c>
      <c r="AW1189" s="57">
        <f t="shared" si="166"/>
        <v>0.12500000000000003</v>
      </c>
      <c r="AX1189" s="58" t="s">
        <v>117</v>
      </c>
    </row>
    <row r="1190" spans="1:50" ht="21" customHeight="1">
      <c r="A1190" s="66" t="s">
        <v>1035</v>
      </c>
      <c r="B1190" s="39">
        <f t="shared" si="165"/>
        <v>1186</v>
      </c>
      <c r="C1190" s="40">
        <v>46048</v>
      </c>
      <c r="D1190" s="40" t="s">
        <v>32</v>
      </c>
      <c r="E1190" s="40" t="s">
        <v>81</v>
      </c>
      <c r="F1190" s="41">
        <v>756.8</v>
      </c>
      <c r="G1190" s="42" t="s">
        <v>192</v>
      </c>
      <c r="H1190" s="43" t="str">
        <f>IFERROR(VLOOKUP($J1190,'[9]FROM (3)'!$E$4:$F$230,2,FALSE),"")</f>
        <v>JATH</v>
      </c>
      <c r="I1190" s="44" t="str">
        <f t="shared" si="164"/>
        <v>JGF02-002190-31-2</v>
      </c>
      <c r="J1190" s="44" t="str">
        <f t="shared" si="162"/>
        <v>RACK BAR BLANK (JGF02-002190-31-2) 5K45</v>
      </c>
      <c r="K1190" s="59" t="str">
        <f t="shared" si="163"/>
        <v>PD26010908</v>
      </c>
      <c r="L1190" s="46" t="str" cm="1">
        <f t="array" ref="L1190">IFERROR(_xlfn.IFS(
    LEN($A1190)-LEN(SUBSTITUTE($A1190,"|",""))=12, RIGHT(A1190, LEN(A1190)-FIND("~", SUBSTITUTE(A1190,"|","~", LEN(A1190)-LEN(SUBSTITUTE(A1190,"|",""))))),
    LEN($A1190)-LEN(SUBSTITUTE($A1190,"|",""))=13, MID($A1190, FIND("~", SUBSTITUTE($A1190,"|","~", 11))+1, FIND("~", SUBSTITUTE($A1190,"|","~", 12))-FIND("~", SUBSTITUTE($A1190,"|","~", 11))-1),
    LEN($A1190)-LEN(SUBSTITUTE($A1190,"|",""))=14, MID($A1190, FIND("~", SUBSTITUTE($A1190,"|","~", 11))+1, FIND("~", SUBSTITUTE($A1190,"|","~", 12))-FIND("~", SUBSTITUTE($A1190,"|","~", 11))-1)
), "")</f>
        <v>5B3841</v>
      </c>
      <c r="M1190" s="72" t="str">
        <f t="shared" si="141"/>
        <v>TSK2</v>
      </c>
      <c r="N1190" s="46" t="str">
        <f t="shared" si="149"/>
        <v>FB010244/1/26</v>
      </c>
      <c r="O1190" s="60">
        <v>58</v>
      </c>
      <c r="P1190" s="60">
        <v>280</v>
      </c>
      <c r="Q1190" s="48">
        <v>58</v>
      </c>
      <c r="R1190" s="48">
        <v>280</v>
      </c>
      <c r="S1190" s="48"/>
      <c r="T1190" s="48"/>
      <c r="U1190" s="49"/>
      <c r="V1190" s="49"/>
      <c r="W1190" s="50"/>
      <c r="X1190" s="51" t="str">
        <f>IF(A1190="", "", IF(COUNTIFS(C$3:C1189, C1190, D$3:D1189, D1190, G$3:G1189, G1190) &gt; 0, "", "11:00"-AW1190))</f>
        <v/>
      </c>
      <c r="Y1190" s="52" t="str">
        <f t="shared" si="161"/>
        <v/>
      </c>
      <c r="Z1190" s="53"/>
      <c r="AA1190" s="54"/>
      <c r="AB1190" s="53"/>
      <c r="AC1190" s="54"/>
      <c r="AD1190" s="53"/>
      <c r="AE1190" s="54"/>
      <c r="AF1190" s="53"/>
      <c r="AG1190" s="54"/>
      <c r="AH1190" s="55">
        <v>4.1666666666666699E-2</v>
      </c>
      <c r="AI1190" s="53"/>
      <c r="AJ1190" s="54"/>
      <c r="AK1190" s="53"/>
      <c r="AL1190" s="54"/>
      <c r="AM1190" s="53"/>
      <c r="AN1190" s="54"/>
      <c r="AO1190" s="53"/>
      <c r="AP1190" s="54"/>
      <c r="AQ1190" s="53">
        <v>4.1666666666666664E-2</v>
      </c>
      <c r="AR1190" s="54" t="s">
        <v>37</v>
      </c>
      <c r="AS1190" s="53">
        <v>4.1666666666666664E-2</v>
      </c>
      <c r="AT1190" s="54" t="s">
        <v>37</v>
      </c>
      <c r="AU1190" s="53">
        <v>4.1666666666666699E-2</v>
      </c>
      <c r="AV1190" s="54" t="s">
        <v>37</v>
      </c>
      <c r="AW1190" s="57">
        <f t="shared" si="166"/>
        <v>0.12500000000000003</v>
      </c>
      <c r="AX1190" s="58" t="s">
        <v>117</v>
      </c>
    </row>
    <row r="1191" spans="1:50" ht="21" customHeight="1">
      <c r="A1191" s="66" t="s">
        <v>1036</v>
      </c>
      <c r="B1191" s="39">
        <f t="shared" si="165"/>
        <v>1187</v>
      </c>
      <c r="C1191" s="40">
        <v>46048</v>
      </c>
      <c r="D1191" s="40" t="s">
        <v>32</v>
      </c>
      <c r="E1191" s="40" t="s">
        <v>81</v>
      </c>
      <c r="F1191" s="41">
        <v>756.8</v>
      </c>
      <c r="G1191" s="42" t="s">
        <v>192</v>
      </c>
      <c r="H1191" s="43" t="str">
        <f>IFERROR(VLOOKUP($J1191,'[9]FROM (3)'!$E$4:$F$230,2,FALSE),"")</f>
        <v>JATH</v>
      </c>
      <c r="I1191" s="44" t="str">
        <f t="shared" si="164"/>
        <v>JGF02-002190-31-2</v>
      </c>
      <c r="J1191" s="44" t="str">
        <f t="shared" si="162"/>
        <v>RACK BAR BLANK (JGF02-002190-31-2) 5K45</v>
      </c>
      <c r="K1191" s="59" t="str">
        <f t="shared" si="163"/>
        <v>PD26010908</v>
      </c>
      <c r="L1191" s="46" t="str" cm="1">
        <f t="array" ref="L1191">IFERROR(_xlfn.IFS(
    LEN($A1191)-LEN(SUBSTITUTE($A1191,"|",""))=12, RIGHT(A1191, LEN(A1191)-FIND("~", SUBSTITUTE(A1191,"|","~", LEN(A1191)-LEN(SUBSTITUTE(A1191,"|",""))))),
    LEN($A1191)-LEN(SUBSTITUTE($A1191,"|",""))=13, MID($A1191, FIND("~", SUBSTITUTE($A1191,"|","~", 11))+1, FIND("~", SUBSTITUTE($A1191,"|","~", 12))-FIND("~", SUBSTITUTE($A1191,"|","~", 11))-1),
    LEN($A1191)-LEN(SUBSTITUTE($A1191,"|",""))=14, MID($A1191, FIND("~", SUBSTITUTE($A1191,"|","~", 11))+1, FIND("~", SUBSTITUTE($A1191,"|","~", 12))-FIND("~", SUBSTITUTE($A1191,"|","~", 11))-1)
), "")</f>
        <v>5B3841</v>
      </c>
      <c r="M1191" s="72" t="str">
        <f t="shared" si="141"/>
        <v>TSK2</v>
      </c>
      <c r="N1191" s="46" t="str">
        <f t="shared" si="149"/>
        <v>FB010244/3/26</v>
      </c>
      <c r="O1191" s="60">
        <v>58</v>
      </c>
      <c r="P1191" s="60">
        <v>280</v>
      </c>
      <c r="Q1191" s="48">
        <v>58</v>
      </c>
      <c r="R1191" s="48">
        <v>280</v>
      </c>
      <c r="S1191" s="48"/>
      <c r="T1191" s="48"/>
      <c r="U1191" s="49"/>
      <c r="V1191" s="49"/>
      <c r="W1191" s="50"/>
      <c r="X1191" s="51" t="str">
        <f>IF(A1191="", "", IF(COUNTIFS(C$3:C1190, C1191, D$3:D1190, D1191, G$3:G1190, G1191) &gt; 0, "", "11:00"-AW1191))</f>
        <v/>
      </c>
      <c r="Y1191" s="52" t="str">
        <f t="shared" si="161"/>
        <v/>
      </c>
      <c r="Z1191" s="53"/>
      <c r="AA1191" s="54"/>
      <c r="AB1191" s="53"/>
      <c r="AC1191" s="54"/>
      <c r="AD1191" s="53"/>
      <c r="AE1191" s="54"/>
      <c r="AF1191" s="53"/>
      <c r="AG1191" s="54"/>
      <c r="AH1191" s="55">
        <v>4.1666666666666699E-2</v>
      </c>
      <c r="AI1191" s="53"/>
      <c r="AJ1191" s="54"/>
      <c r="AK1191" s="53"/>
      <c r="AL1191" s="54"/>
      <c r="AM1191" s="53"/>
      <c r="AN1191" s="54"/>
      <c r="AO1191" s="53"/>
      <c r="AP1191" s="54"/>
      <c r="AQ1191" s="53">
        <v>4.1666666666666664E-2</v>
      </c>
      <c r="AR1191" s="54" t="s">
        <v>37</v>
      </c>
      <c r="AS1191" s="53">
        <v>4.1666666666666664E-2</v>
      </c>
      <c r="AT1191" s="54" t="s">
        <v>37</v>
      </c>
      <c r="AU1191" s="53">
        <v>4.1666666666666699E-2</v>
      </c>
      <c r="AV1191" s="54" t="s">
        <v>37</v>
      </c>
      <c r="AW1191" s="57">
        <f>SUM(Z1191,AB1191,AD1191,AF1191,AI1191,AK1191,AM1191,AO1191,AQ1193,AS1191,AU1191)</f>
        <v>0.12500000000000003</v>
      </c>
      <c r="AX1191" s="58" t="s">
        <v>117</v>
      </c>
    </row>
    <row r="1192" spans="1:50" ht="21" customHeight="1">
      <c r="A1192" s="66" t="s">
        <v>1037</v>
      </c>
      <c r="B1192" s="39">
        <f t="shared" si="165"/>
        <v>1188</v>
      </c>
      <c r="C1192" s="40">
        <v>46048</v>
      </c>
      <c r="D1192" s="40" t="s">
        <v>32</v>
      </c>
      <c r="E1192" s="40" t="s">
        <v>81</v>
      </c>
      <c r="F1192" s="41">
        <v>756.8</v>
      </c>
      <c r="G1192" s="42" t="s">
        <v>192</v>
      </c>
      <c r="H1192" s="43" t="str">
        <f>IFERROR(VLOOKUP($J1192,'[9]FROM (3)'!$E$4:$F$230,2,FALSE),"")</f>
        <v>JATH</v>
      </c>
      <c r="I1192" s="44" t="str">
        <f t="shared" si="164"/>
        <v>JGF02-002190-31-2</v>
      </c>
      <c r="J1192" s="44" t="str">
        <f t="shared" si="162"/>
        <v>RACK BAR BLANK (JGF02-002190-31-2) 5K45</v>
      </c>
      <c r="K1192" s="59" t="str">
        <f t="shared" si="163"/>
        <v>PD26010908</v>
      </c>
      <c r="L1192" s="46" t="str" cm="1">
        <f t="array" ref="L1192">IFERROR(_xlfn.IFS(
    LEN($A1192)-LEN(SUBSTITUTE($A1192,"|",""))=12, RIGHT(A1192, LEN(A1192)-FIND("~", SUBSTITUTE(A1192,"|","~", LEN(A1192)-LEN(SUBSTITUTE(A1192,"|",""))))),
    LEN($A1192)-LEN(SUBSTITUTE($A1192,"|",""))=13, MID($A1192, FIND("~", SUBSTITUTE($A1192,"|","~", 11))+1, FIND("~", SUBSTITUTE($A1192,"|","~", 12))-FIND("~", SUBSTITUTE($A1192,"|","~", 11))-1),
    LEN($A1192)-LEN(SUBSTITUTE($A1192,"|",""))=14, MID($A1192, FIND("~", SUBSTITUTE($A1192,"|","~", 11))+1, FIND("~", SUBSTITUTE($A1192,"|","~", 12))-FIND("~", SUBSTITUTE($A1192,"|","~", 11))-1)
), "")</f>
        <v>5B3841</v>
      </c>
      <c r="M1192" s="72" t="str">
        <f t="shared" si="141"/>
        <v>TSK2</v>
      </c>
      <c r="N1192" s="46" t="str">
        <f t="shared" si="149"/>
        <v>FB010244/4/26</v>
      </c>
      <c r="O1192" s="60">
        <v>42</v>
      </c>
      <c r="P1192" s="60">
        <v>203</v>
      </c>
      <c r="Q1192" s="48">
        <v>42</v>
      </c>
      <c r="R1192" s="48">
        <v>203</v>
      </c>
      <c r="S1192" s="48"/>
      <c r="T1192" s="48"/>
      <c r="U1192" s="49"/>
      <c r="V1192" s="49"/>
      <c r="W1192" s="50"/>
      <c r="X1192" s="51" t="str">
        <f>IF(A1192="", "", IF(COUNTIFS(C$3:C1191, C1192, D$3:D1191, D1192, G$3:G1191, G1192) &gt; 0, "", "11:00"-AW1192))</f>
        <v/>
      </c>
      <c r="Y1192" s="52" t="str">
        <f t="shared" ref="Y1192:Y1200" si="167">IF(X1192="", "", IF(AND(A1192&lt;&gt;"", AR1192&lt;&gt;"NO OT"), "1:40", IF(AND(A1192&lt;&gt;"", AR1192="NO OT"), "1:0", "")))</f>
        <v/>
      </c>
      <c r="Z1192" s="53"/>
      <c r="AA1192" s="54"/>
      <c r="AB1192" s="53"/>
      <c r="AC1192" s="54"/>
      <c r="AD1192" s="53"/>
      <c r="AE1192" s="54"/>
      <c r="AF1192" s="53"/>
      <c r="AG1192" s="54"/>
      <c r="AH1192" s="55">
        <v>4.1666666666666699E-2</v>
      </c>
      <c r="AI1192" s="53"/>
      <c r="AJ1192" s="54"/>
      <c r="AK1192" s="53"/>
      <c r="AL1192" s="54"/>
      <c r="AM1192" s="53"/>
      <c r="AN1192" s="54"/>
      <c r="AO1192" s="53"/>
      <c r="AP1192" s="54"/>
      <c r="AQ1192" s="53">
        <v>4.1666666666666664E-2</v>
      </c>
      <c r="AR1192" s="54" t="s">
        <v>37</v>
      </c>
      <c r="AS1192" s="53">
        <v>4.1666666666666664E-2</v>
      </c>
      <c r="AT1192" s="54" t="s">
        <v>37</v>
      </c>
      <c r="AU1192" s="53">
        <v>4.1666666666666699E-2</v>
      </c>
      <c r="AV1192" s="54" t="s">
        <v>37</v>
      </c>
      <c r="AW1192" s="57">
        <f t="shared" ref="AW1192:AW1255" si="168">SUM(Z1192,AB1192,AD1192,AF1192,AI1192,AK1192,AM1192,AO1192,AQ1192,AS1192,AU1192)</f>
        <v>0.12500000000000003</v>
      </c>
      <c r="AX1192" s="58" t="s">
        <v>117</v>
      </c>
    </row>
    <row r="1193" spans="1:50" ht="21" customHeight="1">
      <c r="A1193" s="66" t="s">
        <v>1006</v>
      </c>
      <c r="B1193" s="39">
        <f t="shared" si="165"/>
        <v>1189</v>
      </c>
      <c r="C1193" s="40">
        <v>46049</v>
      </c>
      <c r="D1193" s="40" t="s">
        <v>80</v>
      </c>
      <c r="E1193" s="40" t="s">
        <v>33</v>
      </c>
      <c r="F1193" s="41">
        <v>23.4</v>
      </c>
      <c r="G1193" s="42" t="s">
        <v>34</v>
      </c>
      <c r="H1193" s="43" t="str">
        <f>IFERROR(VLOOKUP($J1193,'[9]FROM (3)'!$E$4:$F$230,2,FALSE),"")</f>
        <v/>
      </c>
      <c r="I1193" s="44" t="str">
        <f t="shared" si="164"/>
        <v>FLANGE-13 SLUG</v>
      </c>
      <c r="J1193" s="44" t="str">
        <f t="shared" si="162"/>
        <v>ZZ2B7401TX1</v>
      </c>
      <c r="K1193" s="59" t="str">
        <f t="shared" si="163"/>
        <v>PD26010928</v>
      </c>
      <c r="L1193" s="46" t="str" cm="1">
        <f t="array" ref="L1193">IFERROR(_xlfn.IFS(
    LEN($A1193)-LEN(SUBSTITUTE($A1193,"|",""))=12, RIGHT(A1193, LEN(A1193)-FIND("~", SUBSTITUTE(A1193,"|","~", LEN(A1193)-LEN(SUBSTITUTE(A1193,"|",""))))),
    LEN($A1193)-LEN(SUBSTITUTE($A1193,"|",""))=13, MID($A1193, FIND("~", SUBSTITUTE($A1193,"|","~", 11))+1, FIND("~", SUBSTITUTE($A1193,"|","~", 12))-FIND("~", SUBSTITUTE($A1193,"|","~", 11))-1),
    LEN($A1193)-LEN(SUBSTITUTE($A1193,"|",""))=14, MID($A1193, FIND("~", SUBSTITUTE($A1193,"|","~", 11))+1, FIND("~", SUBSTITUTE($A1193,"|","~", 12))-FIND("~", SUBSTITUTE($A1193,"|","~", 11))-1)
), "")</f>
        <v>1-79662</v>
      </c>
      <c r="M1193" s="72" t="str">
        <f t="shared" si="141"/>
        <v>2B2600187</v>
      </c>
      <c r="N1193" s="46" t="str">
        <f t="shared" si="149"/>
        <v/>
      </c>
      <c r="O1193" s="60"/>
      <c r="P1193" s="60"/>
      <c r="Q1193" s="48">
        <v>3067</v>
      </c>
      <c r="R1193" s="48">
        <v>707</v>
      </c>
      <c r="S1193" s="48"/>
      <c r="T1193" s="48"/>
      <c r="U1193" s="49"/>
      <c r="V1193" s="49"/>
      <c r="W1193" s="50"/>
      <c r="X1193" s="51">
        <f>IF(A1193="", "", IF(COUNTIFS(C$3:C1192, C1193, D$3:D1192, D1193, G$3:G1192, G1193) &gt; 0, "", "11:00"-AW1193))</f>
        <v>0.33333333333333326</v>
      </c>
      <c r="Y1193" s="52" t="str">
        <f t="shared" si="167"/>
        <v>1:0</v>
      </c>
      <c r="Z1193" s="53"/>
      <c r="AA1193" s="54"/>
      <c r="AB1193" s="53"/>
      <c r="AC1193" s="54"/>
      <c r="AD1193" s="53"/>
      <c r="AE1193" s="54"/>
      <c r="AF1193" s="53"/>
      <c r="AG1193" s="54"/>
      <c r="AH1193" s="55">
        <v>4.1666666666666699E-2</v>
      </c>
      <c r="AI1193" s="53"/>
      <c r="AJ1193" s="54"/>
      <c r="AK1193" s="53"/>
      <c r="AL1193" s="54"/>
      <c r="AM1193" s="53"/>
      <c r="AN1193" s="54"/>
      <c r="AO1193" s="53"/>
      <c r="AP1193" s="54"/>
      <c r="AQ1193" s="53">
        <v>4.1666666666666664E-2</v>
      </c>
      <c r="AR1193" s="54" t="s">
        <v>37</v>
      </c>
      <c r="AS1193" s="53">
        <v>4.1666666666666664E-2</v>
      </c>
      <c r="AT1193" s="54" t="s">
        <v>37</v>
      </c>
      <c r="AU1193" s="53">
        <v>4.1666666666666699E-2</v>
      </c>
      <c r="AV1193" s="54" t="s">
        <v>37</v>
      </c>
      <c r="AW1193" s="57">
        <f t="shared" si="168"/>
        <v>0.12500000000000003</v>
      </c>
      <c r="AX1193" s="58" t="s">
        <v>203</v>
      </c>
    </row>
    <row r="1194" spans="1:50" ht="21" customHeight="1">
      <c r="A1194" s="66" t="s">
        <v>1004</v>
      </c>
      <c r="B1194" s="39">
        <f t="shared" si="165"/>
        <v>1190</v>
      </c>
      <c r="C1194" s="40">
        <v>46049</v>
      </c>
      <c r="D1194" s="40" t="s">
        <v>80</v>
      </c>
      <c r="E1194" s="40" t="s">
        <v>33</v>
      </c>
      <c r="F1194" s="41">
        <v>83.2</v>
      </c>
      <c r="G1194" s="42" t="s">
        <v>41</v>
      </c>
      <c r="H1194" s="43" t="str">
        <f>IFERROR(VLOOKUP($J1194,'[9]FROM (3)'!$E$4:$F$230,2,FALSE),"")</f>
        <v>DNTH</v>
      </c>
      <c r="I1194" s="44" t="str">
        <f t="shared" si="164"/>
        <v>SHAFT, 2W</v>
      </c>
      <c r="J1194" s="44" t="str">
        <f t="shared" si="162"/>
        <v>TG028383-0420</v>
      </c>
      <c r="K1194" s="59" t="str">
        <f t="shared" si="163"/>
        <v>PD26011134</v>
      </c>
      <c r="L1194" s="46" t="str" cm="1">
        <f t="array" ref="L1194">IFERROR(_xlfn.IFS(
    LEN($A1194)-LEN(SUBSTITUTE($A1194,"|",""))=12, RIGHT(A1194, LEN(A1194)-FIND("~", SUBSTITUTE(A1194,"|","~", LEN(A1194)-LEN(SUBSTITUTE(A1194,"|",""))))),
    LEN($A1194)-LEN(SUBSTITUTE($A1194,"|",""))=13, MID($A1194, FIND("~", SUBSTITUTE($A1194,"|","~", 11))+1, FIND("~", SUBSTITUTE($A1194,"|","~", 12))-FIND("~", SUBSTITUTE($A1194,"|","~", 11))-1),
    LEN($A1194)-LEN(SUBSTITUTE($A1194,"|",""))=14, MID($A1194, FIND("~", SUBSTITUTE($A1194,"|","~", 11))+1, FIND("~", SUBSTITUTE($A1194,"|","~", 12))-FIND("~", SUBSTITUTE($A1194,"|","~", 11))-1)
), "")</f>
        <v>5E0424</v>
      </c>
      <c r="M1194" s="72" t="str">
        <f t="shared" si="141"/>
        <v>SB010154/2/26</v>
      </c>
      <c r="N1194" s="46" t="str">
        <f t="shared" si="149"/>
        <v/>
      </c>
      <c r="O1194" s="60"/>
      <c r="P1194" s="60"/>
      <c r="Q1194" s="48">
        <v>3247</v>
      </c>
      <c r="R1194" s="48">
        <v>476</v>
      </c>
      <c r="S1194" s="48"/>
      <c r="T1194" s="48"/>
      <c r="U1194" s="49"/>
      <c r="V1194" s="49"/>
      <c r="W1194" s="50"/>
      <c r="X1194" s="51">
        <f>IF(A1194="", "", IF(COUNTIFS(C$3:C1193, C1194, D$3:D1193, D1194, G$3:G1193, G1194) &gt; 0, "", "11:00"-AW1194))</f>
        <v>0.33333333333333326</v>
      </c>
      <c r="Y1194" s="52" t="str">
        <f t="shared" si="167"/>
        <v>1:0</v>
      </c>
      <c r="Z1194" s="53"/>
      <c r="AA1194" s="54"/>
      <c r="AB1194" s="53"/>
      <c r="AC1194" s="54"/>
      <c r="AD1194" s="53"/>
      <c r="AE1194" s="54"/>
      <c r="AF1194" s="53"/>
      <c r="AG1194" s="54"/>
      <c r="AH1194" s="55">
        <v>4.1666666666666699E-2</v>
      </c>
      <c r="AI1194" s="53"/>
      <c r="AJ1194" s="54"/>
      <c r="AK1194" s="53"/>
      <c r="AL1194" s="54"/>
      <c r="AM1194" s="53"/>
      <c r="AN1194" s="54"/>
      <c r="AO1194" s="53"/>
      <c r="AP1194" s="54"/>
      <c r="AQ1194" s="53">
        <v>4.1666666666666664E-2</v>
      </c>
      <c r="AR1194" s="54" t="s">
        <v>37</v>
      </c>
      <c r="AS1194" s="53">
        <v>4.1666666666666664E-2</v>
      </c>
      <c r="AT1194" s="54" t="s">
        <v>37</v>
      </c>
      <c r="AU1194" s="53">
        <v>4.1666666666666699E-2</v>
      </c>
      <c r="AV1194" s="54" t="s">
        <v>37</v>
      </c>
      <c r="AW1194" s="57">
        <f t="shared" si="168"/>
        <v>0.12500000000000003</v>
      </c>
      <c r="AX1194" s="58" t="s">
        <v>203</v>
      </c>
    </row>
    <row r="1195" spans="1:50" ht="21" customHeight="1">
      <c r="A1195" s="66" t="s">
        <v>1011</v>
      </c>
      <c r="B1195" s="39">
        <f t="shared" si="165"/>
        <v>1191</v>
      </c>
      <c r="C1195" s="40">
        <v>46049</v>
      </c>
      <c r="D1195" s="40" t="s">
        <v>80</v>
      </c>
      <c r="E1195" s="40" t="s">
        <v>33</v>
      </c>
      <c r="F1195" s="41" t="s">
        <v>1038</v>
      </c>
      <c r="G1195" s="42" t="s">
        <v>44</v>
      </c>
      <c r="H1195" s="43" t="str">
        <f>IFERROR(VLOOKUP($J1195,'[9]FROM (3)'!$E$4:$F$230,2,FALSE),"")</f>
        <v>DNTH</v>
      </c>
      <c r="I1195" s="44" t="str">
        <f t="shared" si="164"/>
        <v>SLUG VALVE ROTARY</v>
      </c>
      <c r="J1195" s="44" t="str">
        <f t="shared" si="162"/>
        <v>TGY95613-0020</v>
      </c>
      <c r="K1195" s="59" t="str">
        <f t="shared" si="163"/>
        <v>PD26011085</v>
      </c>
      <c r="L1195" s="46" t="str" cm="1">
        <f t="array" ref="L1195">IFERROR(_xlfn.IFS(
    LEN($A1195)-LEN(SUBSTITUTE($A1195,"|",""))=12, RIGHT(A1195, LEN(A1195)-FIND("~", SUBSTITUTE(A1195,"|","~", LEN(A1195)-LEN(SUBSTITUTE(A1195,"|",""))))),
    LEN($A1195)-LEN(SUBSTITUTE($A1195,"|",""))=13, MID($A1195, FIND("~", SUBSTITUTE($A1195,"|","~", 11))+1, FIND("~", SUBSTITUTE($A1195,"|","~", 12))-FIND("~", SUBSTITUTE($A1195,"|","~", 11))-1),
    LEN($A1195)-LEN(SUBSTITUTE($A1195,"|",""))=14, MID($A1195, FIND("~", SUBSTITUTE($A1195,"|","~", 11))+1, FIND("~", SUBSTITUTE($A1195,"|","~", 12))-FIND("~", SUBSTITUTE($A1195,"|","~", 11))-1)
), "")</f>
        <v>E585734</v>
      </c>
      <c r="M1195" s="72" t="str">
        <f t="shared" si="141"/>
        <v>SB010147/3/26</v>
      </c>
      <c r="N1195" s="46" t="str">
        <f t="shared" si="149"/>
        <v/>
      </c>
      <c r="O1195" s="60"/>
      <c r="P1195" s="60"/>
      <c r="Q1195" s="48">
        <v>3358</v>
      </c>
      <c r="R1195" s="48">
        <v>666</v>
      </c>
      <c r="S1195" s="48"/>
      <c r="T1195" s="48"/>
      <c r="U1195" s="49"/>
      <c r="V1195" s="49"/>
      <c r="W1195" s="50"/>
      <c r="X1195" s="51">
        <f>IF(A1195="", "", IF(COUNTIFS(C$3:C1194, C1195, D$3:D1194, D1195, G$3:G1194, G1195) &gt; 0, "", "11:00"-AW1195))</f>
        <v>0.33333333333333326</v>
      </c>
      <c r="Y1195" s="52" t="str">
        <f t="shared" si="167"/>
        <v>1:0</v>
      </c>
      <c r="Z1195" s="53"/>
      <c r="AA1195" s="54"/>
      <c r="AB1195" s="53"/>
      <c r="AC1195" s="54"/>
      <c r="AD1195" s="53"/>
      <c r="AE1195" s="54"/>
      <c r="AF1195" s="53"/>
      <c r="AG1195" s="54"/>
      <c r="AH1195" s="55">
        <v>4.1666666666666699E-2</v>
      </c>
      <c r="AI1195" s="53"/>
      <c r="AJ1195" s="54"/>
      <c r="AK1195" s="53"/>
      <c r="AL1195" s="54"/>
      <c r="AM1195" s="53"/>
      <c r="AN1195" s="54"/>
      <c r="AO1195" s="53"/>
      <c r="AP1195" s="54"/>
      <c r="AQ1195" s="53">
        <v>4.1666666666666664E-2</v>
      </c>
      <c r="AR1195" s="54" t="s">
        <v>37</v>
      </c>
      <c r="AS1195" s="53">
        <v>4.1666666666666664E-2</v>
      </c>
      <c r="AT1195" s="54" t="s">
        <v>37</v>
      </c>
      <c r="AU1195" s="53">
        <v>4.1666666666666699E-2</v>
      </c>
      <c r="AV1195" s="54" t="s">
        <v>37</v>
      </c>
      <c r="AW1195" s="57">
        <f t="shared" si="168"/>
        <v>0.12500000000000003</v>
      </c>
      <c r="AX1195" s="58" t="s">
        <v>203</v>
      </c>
    </row>
    <row r="1196" spans="1:50" ht="21" customHeight="1">
      <c r="A1196" s="66" t="s">
        <v>1010</v>
      </c>
      <c r="B1196" s="39">
        <f t="shared" si="165"/>
        <v>1192</v>
      </c>
      <c r="C1196" s="40">
        <v>46049</v>
      </c>
      <c r="D1196" s="40" t="s">
        <v>80</v>
      </c>
      <c r="E1196" s="40" t="s">
        <v>33</v>
      </c>
      <c r="F1196" s="41">
        <v>698.5</v>
      </c>
      <c r="G1196" s="42" t="s">
        <v>54</v>
      </c>
      <c r="H1196" s="43" t="str">
        <f>IFERROR(VLOOKUP($J1196,'[9]FROM (3)'!$E$4:$F$230,2,FALSE),"")</f>
        <v>JCTTH</v>
      </c>
      <c r="I1196" s="44" t="str">
        <f t="shared" si="164"/>
        <v>RACK BAR</v>
      </c>
      <c r="J1196" s="44" t="str">
        <f t="shared" si="162"/>
        <v>JGD10-000751/000761-A</v>
      </c>
      <c r="K1196" s="59" t="str">
        <f t="shared" si="163"/>
        <v>PD26010977</v>
      </c>
      <c r="L1196" s="46" t="str" cm="1">
        <f t="array" ref="L1196">IFERROR(_xlfn.IFS(
    LEN($A1196)-LEN(SUBSTITUTE($A1196,"|",""))=12, RIGHT(A1196, LEN(A1196)-FIND("~", SUBSTITUTE(A1196,"|","~", LEN(A1196)-LEN(SUBSTITUTE(A1196,"|",""))))),
    LEN($A1196)-LEN(SUBSTITUTE($A1196,"|",""))=13, MID($A1196, FIND("~", SUBSTITUTE($A1196,"|","~", 11))+1, FIND("~", SUBSTITUTE($A1196,"|","~", 12))-FIND("~", SUBSTITUTE($A1196,"|","~", 11))-1),
    LEN($A1196)-LEN(SUBSTITUTE($A1196,"|",""))=14, MID($A1196, FIND("~", SUBSTITUTE($A1196,"|","~", 11))+1, FIND("~", SUBSTITUTE($A1196,"|","~", 12))-FIND("~", SUBSTITUTE($A1196,"|","~", 11))-1)
), "")</f>
        <v>665077</v>
      </c>
      <c r="M1196" s="72" t="str">
        <f t="shared" si="141"/>
        <v>SB010122/4/26</v>
      </c>
      <c r="N1196" s="46" t="str">
        <f t="shared" si="149"/>
        <v/>
      </c>
      <c r="O1196" s="60" t="s">
        <v>35</v>
      </c>
      <c r="P1196" s="60" t="s">
        <v>35</v>
      </c>
      <c r="Q1196" s="48">
        <v>64</v>
      </c>
      <c r="R1196" s="48">
        <v>286</v>
      </c>
      <c r="S1196" s="48"/>
      <c r="T1196" s="48"/>
      <c r="U1196" s="49"/>
      <c r="V1196" s="49"/>
      <c r="W1196" s="50"/>
      <c r="X1196" s="51">
        <f>IF(A1196="", "", IF(COUNTIFS(C$3:C1195, C1196, D$3:D1195, D1196, G$3:G1195, G1196) &gt; 0, "", "11:00"-AW1196))</f>
        <v>0.33333333333333326</v>
      </c>
      <c r="Y1196" s="52" t="str">
        <f t="shared" si="167"/>
        <v>1:0</v>
      </c>
      <c r="Z1196" s="53"/>
      <c r="AA1196" s="54"/>
      <c r="AB1196" s="53"/>
      <c r="AC1196" s="54"/>
      <c r="AD1196" s="53"/>
      <c r="AE1196" s="54"/>
      <c r="AF1196" s="53"/>
      <c r="AG1196" s="54"/>
      <c r="AH1196" s="55">
        <v>4.1666666666666699E-2</v>
      </c>
      <c r="AI1196" s="53"/>
      <c r="AJ1196" s="54"/>
      <c r="AK1196" s="53"/>
      <c r="AL1196" s="54"/>
      <c r="AM1196" s="53"/>
      <c r="AN1196" s="54"/>
      <c r="AO1196" s="53"/>
      <c r="AP1196" s="54"/>
      <c r="AQ1196" s="53">
        <v>4.1666666666666664E-2</v>
      </c>
      <c r="AR1196" s="54" t="s">
        <v>37</v>
      </c>
      <c r="AS1196" s="53">
        <v>4.1666666666666664E-2</v>
      </c>
      <c r="AT1196" s="54" t="s">
        <v>37</v>
      </c>
      <c r="AU1196" s="53">
        <v>4.1666666666666699E-2</v>
      </c>
      <c r="AV1196" s="54" t="s">
        <v>37</v>
      </c>
      <c r="AW1196" s="57">
        <f t="shared" si="168"/>
        <v>0.12500000000000003</v>
      </c>
      <c r="AX1196" s="58" t="s">
        <v>91</v>
      </c>
    </row>
    <row r="1197" spans="1:50" ht="21" customHeight="1">
      <c r="A1197" s="66" t="s">
        <v>1039</v>
      </c>
      <c r="B1197" s="39">
        <f t="shared" si="165"/>
        <v>1193</v>
      </c>
      <c r="C1197" s="40">
        <v>46049</v>
      </c>
      <c r="D1197" s="40" t="s">
        <v>80</v>
      </c>
      <c r="E1197" s="40" t="s">
        <v>33</v>
      </c>
      <c r="F1197" s="41">
        <v>698.5</v>
      </c>
      <c r="G1197" s="42" t="s">
        <v>54</v>
      </c>
      <c r="H1197" s="43" t="str">
        <f>IFERROR(VLOOKUP($J1197,'[9]FROM (3)'!$E$4:$F$230,2,FALSE),"")</f>
        <v>JCTTH</v>
      </c>
      <c r="I1197" s="44" t="str">
        <f t="shared" si="164"/>
        <v>RACK BAR</v>
      </c>
      <c r="J1197" s="44" t="str">
        <f t="shared" si="162"/>
        <v>JGD10-000751/000761-A</v>
      </c>
      <c r="K1197" s="59" t="str">
        <f t="shared" si="163"/>
        <v>PD26010977</v>
      </c>
      <c r="L1197" s="46" t="str" cm="1">
        <f t="array" ref="L1197">IFERROR(_xlfn.IFS(
    LEN($A1197)-LEN(SUBSTITUTE($A1197,"|",""))=12, RIGHT(A1197, LEN(A1197)-FIND("~", SUBSTITUTE(A1197,"|","~", LEN(A1197)-LEN(SUBSTITUTE(A1197,"|",""))))),
    LEN($A1197)-LEN(SUBSTITUTE($A1197,"|",""))=13, MID($A1197, FIND("~", SUBSTITUTE($A1197,"|","~", 11))+1, FIND("~", SUBSTITUTE($A1197,"|","~", 12))-FIND("~", SUBSTITUTE($A1197,"|","~", 11))-1),
    LEN($A1197)-LEN(SUBSTITUTE($A1197,"|",""))=14, MID($A1197, FIND("~", SUBSTITUTE($A1197,"|","~", 11))+1, FIND("~", SUBSTITUTE($A1197,"|","~", 12))-FIND("~", SUBSTITUTE($A1197,"|","~", 11))-1)
), "")</f>
        <v>665077</v>
      </c>
      <c r="M1197" s="72" t="str">
        <f t="shared" si="141"/>
        <v>SB010122/6/26</v>
      </c>
      <c r="N1197" s="46" t="str">
        <f t="shared" si="149"/>
        <v/>
      </c>
      <c r="O1197" s="60">
        <v>51</v>
      </c>
      <c r="P1197" s="60">
        <v>984</v>
      </c>
      <c r="Q1197" s="48">
        <v>204</v>
      </c>
      <c r="R1197" s="48">
        <v>913</v>
      </c>
      <c r="S1197" s="48"/>
      <c r="T1197" s="48"/>
      <c r="U1197" s="49"/>
      <c r="V1197" s="49"/>
      <c r="W1197" s="50"/>
      <c r="X1197" s="51" t="str">
        <f>IF(A1197="", "", IF(COUNTIFS(C$3:C1196, C1197, D$3:D1196, D1197, G$3:G1196, G1197) &gt; 0, "", "11:00"-AW1197))</f>
        <v/>
      </c>
      <c r="Y1197" s="52" t="str">
        <f t="shared" si="167"/>
        <v/>
      </c>
      <c r="Z1197" s="53"/>
      <c r="AA1197" s="54"/>
      <c r="AB1197" s="53"/>
      <c r="AC1197" s="54"/>
      <c r="AD1197" s="53"/>
      <c r="AE1197" s="54"/>
      <c r="AF1197" s="53"/>
      <c r="AG1197" s="54"/>
      <c r="AH1197" s="55">
        <v>4.1666666666666699E-2</v>
      </c>
      <c r="AI1197" s="53"/>
      <c r="AJ1197" s="54"/>
      <c r="AK1197" s="53"/>
      <c r="AL1197" s="54"/>
      <c r="AM1197" s="53"/>
      <c r="AN1197" s="54"/>
      <c r="AO1197" s="53"/>
      <c r="AP1197" s="54"/>
      <c r="AQ1197" s="53"/>
      <c r="AR1197" s="54"/>
      <c r="AS1197" s="53"/>
      <c r="AT1197" s="54"/>
      <c r="AU1197" s="53">
        <v>4.1666666666666699E-2</v>
      </c>
      <c r="AV1197" s="54" t="s">
        <v>37</v>
      </c>
      <c r="AW1197" s="57">
        <f t="shared" si="168"/>
        <v>4.1666666666666699E-2</v>
      </c>
      <c r="AX1197" s="58" t="s">
        <v>91</v>
      </c>
    </row>
    <row r="1198" spans="1:50" ht="21" customHeight="1">
      <c r="A1198" s="66" t="s">
        <v>1040</v>
      </c>
      <c r="B1198" s="39">
        <f t="shared" si="165"/>
        <v>1194</v>
      </c>
      <c r="C1198" s="40">
        <v>46049</v>
      </c>
      <c r="D1198" s="40" t="s">
        <v>80</v>
      </c>
      <c r="E1198" s="40" t="s">
        <v>33</v>
      </c>
      <c r="F1198" s="41">
        <v>698.5</v>
      </c>
      <c r="G1198" s="42" t="s">
        <v>54</v>
      </c>
      <c r="H1198" s="43" t="str">
        <f>IFERROR(VLOOKUP($J1198,'[9]FROM (3)'!$E$4:$F$230,2,FALSE),"")</f>
        <v>JCTTH</v>
      </c>
      <c r="I1198" s="44" t="str">
        <f t="shared" si="164"/>
        <v>RACK BAR</v>
      </c>
      <c r="J1198" s="44" t="str">
        <f t="shared" si="162"/>
        <v>JGD10-000751/000761-A</v>
      </c>
      <c r="K1198" s="59" t="str">
        <f t="shared" si="163"/>
        <v>PD26010977</v>
      </c>
      <c r="L1198" s="46" t="str" cm="1">
        <f t="array" ref="L1198">IFERROR(_xlfn.IFS(
    LEN($A1198)-LEN(SUBSTITUTE($A1198,"|",""))=12, RIGHT(A1198, LEN(A1198)-FIND("~", SUBSTITUTE(A1198,"|","~", LEN(A1198)-LEN(SUBSTITUTE(A1198,"|",""))))),
    LEN($A1198)-LEN(SUBSTITUTE($A1198,"|",""))=13, MID($A1198, FIND("~", SUBSTITUTE($A1198,"|","~", 11))+1, FIND("~", SUBSTITUTE($A1198,"|","~", 12))-FIND("~", SUBSTITUTE($A1198,"|","~", 11))-1),
    LEN($A1198)-LEN(SUBSTITUTE($A1198,"|",""))=14, MID($A1198, FIND("~", SUBSTITUTE($A1198,"|","~", 11))+1, FIND("~", SUBSTITUTE($A1198,"|","~", 12))-FIND("~", SUBSTITUTE($A1198,"|","~", 11))-1)
), "")</f>
        <v>665077</v>
      </c>
      <c r="M1198" s="72" t="str">
        <f t="shared" si="141"/>
        <v>SB010122/5/26</v>
      </c>
      <c r="N1198" s="46" t="str">
        <f t="shared" si="149"/>
        <v/>
      </c>
      <c r="O1198" s="60">
        <v>51</v>
      </c>
      <c r="P1198" s="60">
        <v>984</v>
      </c>
      <c r="Q1198" s="48">
        <v>204</v>
      </c>
      <c r="R1198" s="48">
        <v>913</v>
      </c>
      <c r="S1198" s="48"/>
      <c r="T1198" s="48"/>
      <c r="U1198" s="49">
        <v>195</v>
      </c>
      <c r="V1198" s="49">
        <v>10</v>
      </c>
      <c r="W1198" s="50"/>
      <c r="X1198" s="51" t="str">
        <f>IF(A1198="", "", IF(COUNTIFS(C$3:C1197, C1198, D$3:D1197, D1198, G$3:G1197, G1198) &gt; 0, "", "11:00"-AW1198))</f>
        <v/>
      </c>
      <c r="Y1198" s="52" t="str">
        <f t="shared" si="167"/>
        <v/>
      </c>
      <c r="Z1198" s="53"/>
      <c r="AA1198" s="54"/>
      <c r="AB1198" s="53"/>
      <c r="AC1198" s="54"/>
      <c r="AD1198" s="53"/>
      <c r="AE1198" s="54"/>
      <c r="AF1198" s="53"/>
      <c r="AG1198" s="54"/>
      <c r="AH1198" s="55">
        <v>4.1666666666666699E-2</v>
      </c>
      <c r="AI1198" s="53"/>
      <c r="AJ1198" s="54"/>
      <c r="AK1198" s="53"/>
      <c r="AL1198" s="54"/>
      <c r="AM1198" s="53"/>
      <c r="AN1198" s="54"/>
      <c r="AO1198" s="53"/>
      <c r="AP1198" s="54"/>
      <c r="AQ1198" s="53"/>
      <c r="AR1198" s="54"/>
      <c r="AS1198" s="53"/>
      <c r="AT1198" s="54"/>
      <c r="AU1198" s="53">
        <v>4.1666666666666699E-2</v>
      </c>
      <c r="AV1198" s="54" t="s">
        <v>37</v>
      </c>
      <c r="AW1198" s="57">
        <f t="shared" si="168"/>
        <v>4.1666666666666699E-2</v>
      </c>
      <c r="AX1198" s="58" t="s">
        <v>91</v>
      </c>
    </row>
    <row r="1199" spans="1:50" ht="21.75" customHeight="1">
      <c r="A1199" s="66" t="s">
        <v>1041</v>
      </c>
      <c r="B1199" s="39">
        <f t="shared" si="165"/>
        <v>1195</v>
      </c>
      <c r="C1199" s="40">
        <v>46049</v>
      </c>
      <c r="D1199" s="40" t="s">
        <v>80</v>
      </c>
      <c r="E1199" s="40" t="s">
        <v>33</v>
      </c>
      <c r="F1199" s="41">
        <v>698.5</v>
      </c>
      <c r="G1199" s="42" t="s">
        <v>54</v>
      </c>
      <c r="H1199" s="43" t="str">
        <f>IFERROR(VLOOKUP($J1199,'[9]FROM (3)'!$E$4:$F$230,2,FALSE),"")</f>
        <v>JCTTH</v>
      </c>
      <c r="I1199" s="44" t="str">
        <f t="shared" si="164"/>
        <v>RACK BAR</v>
      </c>
      <c r="J1199" s="44" t="str">
        <f t="shared" si="162"/>
        <v>JGD10-000751/000761-A</v>
      </c>
      <c r="K1199" s="59" t="str">
        <f t="shared" si="163"/>
        <v>PD26010979</v>
      </c>
      <c r="L1199" s="46" t="str" cm="1">
        <f t="array" ref="L1199">IFERROR(_xlfn.IFS(
    LEN($A1199)-LEN(SUBSTITUTE($A1199,"|",""))=12, RIGHT(A1199, LEN(A1199)-FIND("~", SUBSTITUTE(A1199,"|","~", LEN(A1199)-LEN(SUBSTITUTE(A1199,"|",""))))),
    LEN($A1199)-LEN(SUBSTITUTE($A1199,"|",""))=13, MID($A1199, FIND("~", SUBSTITUTE($A1199,"|","~", 11))+1, FIND("~", SUBSTITUTE($A1199,"|","~", 12))-FIND("~", SUBSTITUTE($A1199,"|","~", 11))-1),
    LEN($A1199)-LEN(SUBSTITUTE($A1199,"|",""))=14, MID($A1199, FIND("~", SUBSTITUTE($A1199,"|","~", 11))+1, FIND("~", SUBSTITUTE($A1199,"|","~", 12))-FIND("~", SUBSTITUTE($A1199,"|","~", 11))-1)
), "")</f>
        <v>665077</v>
      </c>
      <c r="M1199" s="72" t="str">
        <f t="shared" si="141"/>
        <v>SB010127/4/26</v>
      </c>
      <c r="N1199" s="46" t="str">
        <f t="shared" si="149"/>
        <v/>
      </c>
      <c r="O1199" s="60">
        <v>51</v>
      </c>
      <c r="P1199" s="60">
        <v>984</v>
      </c>
      <c r="Q1199" s="48">
        <v>204</v>
      </c>
      <c r="R1199" s="48">
        <v>913</v>
      </c>
      <c r="S1199" s="48"/>
      <c r="T1199" s="48"/>
      <c r="U1199" s="49"/>
      <c r="V1199" s="49"/>
      <c r="W1199" s="50"/>
      <c r="X1199" s="51" t="str">
        <f>IF(A1199="", "", IF(COUNTIFS(C$3:C1198, C1199, D$3:D1198, D1199, G$3:G1198, G1199) &gt; 0, "", "11:00"-AW1199))</f>
        <v/>
      </c>
      <c r="Y1199" s="52" t="str">
        <f t="shared" si="167"/>
        <v/>
      </c>
      <c r="Z1199" s="53"/>
      <c r="AA1199" s="54"/>
      <c r="AB1199" s="53"/>
      <c r="AC1199" s="54"/>
      <c r="AD1199" s="53"/>
      <c r="AE1199" s="54"/>
      <c r="AF1199" s="53"/>
      <c r="AG1199" s="54"/>
      <c r="AH1199" s="55">
        <v>4.1666666666666699E-2</v>
      </c>
      <c r="AI1199" s="53"/>
      <c r="AJ1199" s="54"/>
      <c r="AK1199" s="53"/>
      <c r="AL1199" s="54"/>
      <c r="AM1199" s="53"/>
      <c r="AN1199" s="54"/>
      <c r="AO1199" s="53"/>
      <c r="AP1199" s="54"/>
      <c r="AQ1199" s="53"/>
      <c r="AR1199" s="54"/>
      <c r="AS1199" s="53"/>
      <c r="AT1199" s="54"/>
      <c r="AU1199" s="53">
        <v>4.1666666666666699E-2</v>
      </c>
      <c r="AV1199" s="54" t="s">
        <v>37</v>
      </c>
      <c r="AW1199" s="57">
        <f t="shared" si="168"/>
        <v>4.1666666666666699E-2</v>
      </c>
      <c r="AX1199" s="58" t="s">
        <v>91</v>
      </c>
    </row>
    <row r="1200" spans="1:50" ht="28.5" customHeight="1">
      <c r="A1200" s="66" t="s">
        <v>1042</v>
      </c>
      <c r="B1200" s="39">
        <f t="shared" si="165"/>
        <v>1196</v>
      </c>
      <c r="C1200" s="40">
        <v>46049</v>
      </c>
      <c r="D1200" s="40" t="s">
        <v>80</v>
      </c>
      <c r="E1200" s="40" t="s">
        <v>33</v>
      </c>
      <c r="F1200" s="41">
        <v>698.5</v>
      </c>
      <c r="G1200" s="42" t="s">
        <v>54</v>
      </c>
      <c r="H1200" s="43" t="str">
        <f>IFERROR(VLOOKUP($J1200,'[9]FROM (3)'!$E$4:$F$230,2,FALSE),"")</f>
        <v>JCTTH</v>
      </c>
      <c r="I1200" s="44" t="str">
        <f t="shared" si="164"/>
        <v>RACK BAR</v>
      </c>
      <c r="J1200" s="44" t="str">
        <f t="shared" si="162"/>
        <v>JGD10-000751/000761-A</v>
      </c>
      <c r="K1200" s="59" t="str">
        <f t="shared" si="163"/>
        <v>PD26010979</v>
      </c>
      <c r="L1200" s="46" t="str" cm="1">
        <f t="array" ref="L1200">IFERROR(_xlfn.IFS(
    LEN($A1200)-LEN(SUBSTITUTE($A1200,"|",""))=12, RIGHT(A1200, LEN(A1200)-FIND("~", SUBSTITUTE(A1200,"|","~", LEN(A1200)-LEN(SUBSTITUTE(A1200,"|",""))))),
    LEN($A1200)-LEN(SUBSTITUTE($A1200,"|",""))=13, MID($A1200, FIND("~", SUBSTITUTE($A1200,"|","~", 11))+1, FIND("~", SUBSTITUTE($A1200,"|","~", 12))-FIND("~", SUBSTITUTE($A1200,"|","~", 11))-1),
    LEN($A1200)-LEN(SUBSTITUTE($A1200,"|",""))=14, MID($A1200, FIND("~", SUBSTITUTE($A1200,"|","~", 11))+1, FIND("~", SUBSTITUTE($A1200,"|","~", 12))-FIND("~", SUBSTITUTE($A1200,"|","~", 11))-1)
), "")</f>
        <v>665077</v>
      </c>
      <c r="M1200" s="72" t="str">
        <f t="shared" si="141"/>
        <v>SB010127/5/26</v>
      </c>
      <c r="N1200" s="46" t="str">
        <f t="shared" si="149"/>
        <v/>
      </c>
      <c r="O1200" s="60">
        <v>51</v>
      </c>
      <c r="P1200" s="60">
        <v>984</v>
      </c>
      <c r="Q1200" s="48">
        <v>202</v>
      </c>
      <c r="R1200" s="48">
        <v>904</v>
      </c>
      <c r="S1200" s="48"/>
      <c r="T1200" s="48"/>
      <c r="U1200" s="49"/>
      <c r="V1200" s="49"/>
      <c r="W1200" s="50"/>
      <c r="X1200" s="51" t="str">
        <f>IF(A1200="", "", IF(COUNTIFS(C$3:C1199, C1200, D$3:D1199, D1200, G$3:G1199, G1200) &gt; 0, "", "11:00"-AW1200))</f>
        <v/>
      </c>
      <c r="Y1200" s="52" t="str">
        <f t="shared" si="167"/>
        <v/>
      </c>
      <c r="Z1200" s="53"/>
      <c r="AA1200" s="54"/>
      <c r="AB1200" s="53"/>
      <c r="AC1200" s="54"/>
      <c r="AD1200" s="53"/>
      <c r="AE1200" s="54"/>
      <c r="AF1200" s="53"/>
      <c r="AG1200" s="54"/>
      <c r="AH1200" s="55">
        <v>4.1666666666666699E-2</v>
      </c>
      <c r="AI1200" s="53"/>
      <c r="AJ1200" s="54"/>
      <c r="AK1200" s="53"/>
      <c r="AL1200" s="54"/>
      <c r="AM1200" s="53"/>
      <c r="AN1200" s="54"/>
      <c r="AO1200" s="53"/>
      <c r="AP1200" s="54"/>
      <c r="AQ1200" s="53"/>
      <c r="AR1200" s="54"/>
      <c r="AS1200" s="53"/>
      <c r="AT1200" s="54"/>
      <c r="AU1200" s="53">
        <v>4.1666666666666699E-2</v>
      </c>
      <c r="AV1200" s="54" t="s">
        <v>37</v>
      </c>
      <c r="AW1200" s="57">
        <f t="shared" si="168"/>
        <v>4.1666666666666699E-2</v>
      </c>
      <c r="AX1200" s="58" t="s">
        <v>91</v>
      </c>
    </row>
    <row r="1201" spans="1:50" ht="28.5" customHeight="1">
      <c r="A1201" s="66" t="s">
        <v>1019</v>
      </c>
      <c r="B1201" s="39">
        <f t="shared" si="165"/>
        <v>1197</v>
      </c>
      <c r="C1201" s="40">
        <v>46049</v>
      </c>
      <c r="D1201" s="40" t="s">
        <v>80</v>
      </c>
      <c r="E1201" s="40" t="s">
        <v>33</v>
      </c>
      <c r="F1201" s="41">
        <v>278</v>
      </c>
      <c r="G1201" s="42" t="s">
        <v>46</v>
      </c>
      <c r="H1201" s="43" t="str">
        <f>IFERROR(VLOOKUP($J1201,'[9]FROM (3)'!$E$4:$F$230,2,FALSE),"")</f>
        <v>SIAM NSK</v>
      </c>
      <c r="I1201" s="44" t="str">
        <f t="shared" si="164"/>
        <v>SHAFT SPLINE</v>
      </c>
      <c r="J1201" s="44" t="str">
        <f t="shared" si="162"/>
        <v>2550T0749P</v>
      </c>
      <c r="K1201" s="59" t="str">
        <f t="shared" si="163"/>
        <v>PD26011144</v>
      </c>
      <c r="L1201" s="46" t="str" cm="1">
        <f t="array" ref="L1201">IFERROR(_xlfn.IFS(
    LEN($A1201)-LEN(SUBSTITUTE($A1201,"|",""))=12, RIGHT(A1201, LEN(A1201)-FIND("~", SUBSTITUTE(A1201,"|","~", LEN(A1201)-LEN(SUBSTITUTE(A1201,"|",""))))),
    LEN($A1201)-LEN(SUBSTITUTE($A1201,"|",""))=13, MID($A1201, FIND("~", SUBSTITUTE($A1201,"|","~", 11))+1, FIND("~", SUBSTITUTE($A1201,"|","~", 12))-FIND("~", SUBSTITUTE($A1201,"|","~", 11))-1),
    LEN($A1201)-LEN(SUBSTITUTE($A1201,"|",""))=14, MID($A1201, FIND("~", SUBSTITUTE($A1201,"|","~", 11))+1, FIND("~", SUBSTITUTE($A1201,"|","~", 12))-FIND("~", SUBSTITUTE($A1201,"|","~", 11))-1)
), "")</f>
        <v>SF95636</v>
      </c>
      <c r="M1201" s="72" t="str">
        <f t="shared" si="141"/>
        <v>SB010135/4/26</v>
      </c>
      <c r="N1201" s="46" t="str">
        <f t="shared" si="149"/>
        <v/>
      </c>
      <c r="O1201" s="76" t="s">
        <v>35</v>
      </c>
      <c r="P1201" s="76" t="s">
        <v>35</v>
      </c>
      <c r="Q1201" s="77">
        <v>720</v>
      </c>
      <c r="R1201" s="77">
        <v>411</v>
      </c>
      <c r="S1201" s="48" t="s">
        <v>35</v>
      </c>
      <c r="T1201" s="48"/>
      <c r="U1201" s="49"/>
      <c r="V1201" s="49"/>
      <c r="W1201" s="78"/>
      <c r="X1201" s="51">
        <f>IF(A1201="", "", IF(COUNTIFS(C$3:C1200, C1201, D$3:D1200, D1201, G$3:G1200, G1201) &gt; 0, "", "11:00"-AW1201))</f>
        <v>0.25694444444444442</v>
      </c>
      <c r="Y1201" s="79"/>
      <c r="Z1201" s="80"/>
      <c r="AA1201" s="81"/>
      <c r="AB1201" s="81"/>
      <c r="AC1201" s="81"/>
      <c r="AD1201" s="81">
        <v>3.4722222222222224E-2</v>
      </c>
      <c r="AE1201" s="81" t="s">
        <v>76</v>
      </c>
      <c r="AF1201" s="81">
        <v>4.1666666666666664E-2</v>
      </c>
      <c r="AG1201" s="81" t="s">
        <v>237</v>
      </c>
      <c r="AH1201" s="82"/>
      <c r="AI1201" s="81"/>
      <c r="AJ1201" s="81"/>
      <c r="AK1201" s="81"/>
      <c r="AL1201" s="81"/>
      <c r="AM1201" s="81"/>
      <c r="AN1201" s="81"/>
      <c r="AO1201" s="81"/>
      <c r="AP1201" s="81"/>
      <c r="AQ1201" s="81">
        <v>4.1666666666666664E-2</v>
      </c>
      <c r="AR1201" s="81" t="s">
        <v>37</v>
      </c>
      <c r="AS1201" s="81">
        <v>4.1666666666666664E-2</v>
      </c>
      <c r="AT1201" s="81" t="s">
        <v>37</v>
      </c>
      <c r="AU1201" s="53">
        <v>4.1666666666666699E-2</v>
      </c>
      <c r="AV1201" s="54" t="s">
        <v>37</v>
      </c>
      <c r="AW1201" s="57">
        <f t="shared" si="168"/>
        <v>0.2013888888888889</v>
      </c>
      <c r="AX1201" s="58" t="s">
        <v>109</v>
      </c>
    </row>
    <row r="1202" spans="1:50" ht="28.5" customHeight="1">
      <c r="A1202" s="66" t="s">
        <v>1019</v>
      </c>
      <c r="B1202" s="39">
        <f t="shared" si="165"/>
        <v>1198</v>
      </c>
      <c r="C1202" s="40">
        <v>46049</v>
      </c>
      <c r="D1202" s="40" t="s">
        <v>80</v>
      </c>
      <c r="E1202" s="40" t="s">
        <v>33</v>
      </c>
      <c r="F1202" s="41">
        <v>278</v>
      </c>
      <c r="G1202" s="42" t="s">
        <v>108</v>
      </c>
      <c r="H1202" s="43" t="str">
        <f>IFERROR(VLOOKUP($J1202,'[9]FROM (3)'!$E$4:$F$230,2,FALSE),"")</f>
        <v>SIAM NSK</v>
      </c>
      <c r="I1202" s="44" t="str">
        <f t="shared" si="164"/>
        <v>SHAFT SPLINE</v>
      </c>
      <c r="J1202" s="44" t="str">
        <f t="shared" si="162"/>
        <v>2550T0749P</v>
      </c>
      <c r="K1202" s="59" t="str">
        <f t="shared" si="163"/>
        <v>PD26011144</v>
      </c>
      <c r="L1202" s="46" t="str" cm="1">
        <f t="array" ref="L1202">IFERROR(_xlfn.IFS(
    LEN($A1202)-LEN(SUBSTITUTE($A1202,"|",""))=12, RIGHT(A1202, LEN(A1202)-FIND("~", SUBSTITUTE(A1202,"|","~", LEN(A1202)-LEN(SUBSTITUTE(A1202,"|",""))))),
    LEN($A1202)-LEN(SUBSTITUTE($A1202,"|",""))=13, MID($A1202, FIND("~", SUBSTITUTE($A1202,"|","~", 11))+1, FIND("~", SUBSTITUTE($A1202,"|","~", 12))-FIND("~", SUBSTITUTE($A1202,"|","~", 11))-1),
    LEN($A1202)-LEN(SUBSTITUTE($A1202,"|",""))=14, MID($A1202, FIND("~", SUBSTITUTE($A1202,"|","~", 11))+1, FIND("~", SUBSTITUTE($A1202,"|","~", 12))-FIND("~", SUBSTITUTE($A1202,"|","~", 11))-1)
), "")</f>
        <v>SF95636</v>
      </c>
      <c r="M1202" s="72" t="str">
        <f t="shared" si="141"/>
        <v>SB010135/4/26</v>
      </c>
      <c r="N1202" s="46" t="str">
        <f t="shared" si="149"/>
        <v/>
      </c>
      <c r="O1202" s="76" t="s">
        <v>35</v>
      </c>
      <c r="P1202" s="76" t="s">
        <v>35</v>
      </c>
      <c r="Q1202" s="77">
        <v>272</v>
      </c>
      <c r="R1202" s="77">
        <v>155</v>
      </c>
      <c r="S1202" s="48" t="s">
        <v>35</v>
      </c>
      <c r="T1202" s="48"/>
      <c r="U1202" s="49"/>
      <c r="V1202" s="49"/>
      <c r="W1202" s="78"/>
      <c r="X1202" s="51">
        <f>IF(A1202="", "", IF(COUNTIFS(C$3:C1201, C1202, D$3:D1201, D1202, G$3:G1201, G1202) &gt; 0, "", "11:00"-AW1202))</f>
        <v>0.21527777777777773</v>
      </c>
      <c r="Y1202" s="79"/>
      <c r="Z1202" s="80">
        <v>4.1666666666666664E-2</v>
      </c>
      <c r="AA1202" s="81" t="s">
        <v>1043</v>
      </c>
      <c r="AB1202" s="81">
        <v>4.1666666666666664E-2</v>
      </c>
      <c r="AC1202" s="81" t="s">
        <v>1043</v>
      </c>
      <c r="AD1202" s="81">
        <v>3.4722222222222224E-2</v>
      </c>
      <c r="AE1202" s="81" t="s">
        <v>67</v>
      </c>
      <c r="AF1202" s="81"/>
      <c r="AG1202" s="81"/>
      <c r="AH1202" s="82"/>
      <c r="AI1202" s="81"/>
      <c r="AJ1202" s="81"/>
      <c r="AK1202" s="81"/>
      <c r="AL1202" s="81"/>
      <c r="AM1202" s="81"/>
      <c r="AN1202" s="81"/>
      <c r="AO1202" s="81"/>
      <c r="AP1202" s="81"/>
      <c r="AQ1202" s="81">
        <v>4.1666666666666664E-2</v>
      </c>
      <c r="AR1202" s="81" t="s">
        <v>37</v>
      </c>
      <c r="AS1202" s="81">
        <v>4.1666666666666664E-2</v>
      </c>
      <c r="AT1202" s="81" t="s">
        <v>37</v>
      </c>
      <c r="AU1202" s="53">
        <v>4.1666666666666699E-2</v>
      </c>
      <c r="AV1202" s="54" t="s">
        <v>37</v>
      </c>
      <c r="AW1202" s="57">
        <f t="shared" si="168"/>
        <v>0.24305555555555558</v>
      </c>
      <c r="AX1202" s="58" t="s">
        <v>109</v>
      </c>
    </row>
    <row r="1203" spans="1:50" ht="28.5" customHeight="1">
      <c r="A1203" s="66" t="s">
        <v>1044</v>
      </c>
      <c r="B1203" s="39">
        <f t="shared" si="165"/>
        <v>1199</v>
      </c>
      <c r="C1203" s="40">
        <v>46049</v>
      </c>
      <c r="D1203" s="40" t="s">
        <v>80</v>
      </c>
      <c r="E1203" s="40" t="s">
        <v>33</v>
      </c>
      <c r="F1203" s="41">
        <v>278</v>
      </c>
      <c r="G1203" s="42" t="s">
        <v>108</v>
      </c>
      <c r="H1203" s="43" t="str">
        <f>IFERROR(VLOOKUP($J1203,'[9]FROM (3)'!$E$4:$F$230,2,FALSE),"")</f>
        <v>SIAM NSK</v>
      </c>
      <c r="I1203" s="44" t="str">
        <f t="shared" si="164"/>
        <v>SHAFT SPLINE</v>
      </c>
      <c r="J1203" s="44" t="str">
        <f t="shared" si="162"/>
        <v>2550T0749P</v>
      </c>
      <c r="K1203" s="59" t="str">
        <f t="shared" si="163"/>
        <v>PD26011144</v>
      </c>
      <c r="L1203" s="46" t="str" cm="1">
        <f t="array" ref="L1203">IFERROR(_xlfn.IFS(
    LEN($A1203)-LEN(SUBSTITUTE($A1203,"|",""))=12, RIGHT(A1203, LEN(A1203)-FIND("~", SUBSTITUTE(A1203,"|","~", LEN(A1203)-LEN(SUBSTITUTE(A1203,"|",""))))),
    LEN($A1203)-LEN(SUBSTITUTE($A1203,"|",""))=13, MID($A1203, FIND("~", SUBSTITUTE($A1203,"|","~", 11))+1, FIND("~", SUBSTITUTE($A1203,"|","~", 12))-FIND("~", SUBSTITUTE($A1203,"|","~", 11))-1),
    LEN($A1203)-LEN(SUBSTITUTE($A1203,"|",""))=14, MID($A1203, FIND("~", SUBSTITUTE($A1203,"|","~", 11))+1, FIND("~", SUBSTITUTE($A1203,"|","~", 12))-FIND("~", SUBSTITUTE($A1203,"|","~", 11))-1)
), "")</f>
        <v>SF95636</v>
      </c>
      <c r="M1203" s="72" t="str">
        <f t="shared" si="141"/>
        <v>SB010135/6/26</v>
      </c>
      <c r="N1203" s="46" t="str">
        <f t="shared" si="149"/>
        <v/>
      </c>
      <c r="O1203" s="76">
        <v>103</v>
      </c>
      <c r="P1203" s="76">
        <v>990</v>
      </c>
      <c r="Q1203" s="77">
        <v>1468</v>
      </c>
      <c r="R1203" s="77">
        <v>839</v>
      </c>
      <c r="S1203" s="48" t="s">
        <v>35</v>
      </c>
      <c r="T1203" s="48"/>
      <c r="U1203" s="49"/>
      <c r="V1203" s="49"/>
      <c r="W1203" s="78"/>
      <c r="X1203" s="51" t="str">
        <f>IF(A1203="", "", IF(COUNTIFS(C$3:C1202, C1203, D$3:D1202, D1203, G$3:G1202, G1203) &gt; 0, "", "11:00"-AW1203))</f>
        <v/>
      </c>
      <c r="Y1203" s="79"/>
      <c r="Z1203" s="80"/>
      <c r="AA1203" s="81"/>
      <c r="AB1203" s="81"/>
      <c r="AC1203" s="81"/>
      <c r="AD1203" s="81"/>
      <c r="AE1203" s="81"/>
      <c r="AF1203" s="81"/>
      <c r="AG1203" s="81"/>
      <c r="AH1203" s="82"/>
      <c r="AI1203" s="81"/>
      <c r="AJ1203" s="81"/>
      <c r="AK1203" s="81"/>
      <c r="AL1203" s="81"/>
      <c r="AM1203" s="81"/>
      <c r="AN1203" s="81"/>
      <c r="AO1203" s="81"/>
      <c r="AP1203" s="81"/>
      <c r="AQ1203" s="81"/>
      <c r="AR1203" s="81"/>
      <c r="AS1203" s="81"/>
      <c r="AT1203" s="81"/>
      <c r="AU1203" s="53">
        <v>4.1666666666666699E-2</v>
      </c>
      <c r="AV1203" s="54" t="s">
        <v>37</v>
      </c>
      <c r="AW1203" s="57">
        <f t="shared" si="168"/>
        <v>4.1666666666666699E-2</v>
      </c>
      <c r="AX1203" s="58" t="s">
        <v>109</v>
      </c>
    </row>
    <row r="1204" spans="1:50" ht="28.5" customHeight="1">
      <c r="A1204" s="66" t="s">
        <v>1021</v>
      </c>
      <c r="B1204" s="39">
        <f t="shared" si="165"/>
        <v>1200</v>
      </c>
      <c r="C1204" s="40">
        <v>46049</v>
      </c>
      <c r="D1204" s="40" t="s">
        <v>80</v>
      </c>
      <c r="E1204" s="40" t="s">
        <v>33</v>
      </c>
      <c r="F1204" s="41">
        <v>375</v>
      </c>
      <c r="G1204" s="42" t="s">
        <v>172</v>
      </c>
      <c r="H1204" s="43" t="str">
        <f>IFERROR(VLOOKUP($J1204,'[9]FROM (3)'!$E$4:$F$230,2,FALSE),"")</f>
        <v>ATAC</v>
      </c>
      <c r="I1204" s="44" t="str">
        <f t="shared" si="164"/>
        <v>SEAT,WATER PUMP PULLEY</v>
      </c>
      <c r="J1204" s="44" t="str">
        <f t="shared" si="162"/>
        <v>16171-05030</v>
      </c>
      <c r="K1204" s="59" t="str">
        <f t="shared" si="163"/>
        <v>PD26010817</v>
      </c>
      <c r="L1204" s="46" t="str" cm="1">
        <f t="array" ref="L1204">IFERROR(_xlfn.IFS(
    LEN($A1204)-LEN(SUBSTITUTE($A1204,"|",""))=12, RIGHT(A1204, LEN(A1204)-FIND("~", SUBSTITUTE(A1204,"|","~", LEN(A1204)-LEN(SUBSTITUTE(A1204,"|",""))))),
    LEN($A1204)-LEN(SUBSTITUTE($A1204,"|",""))=13, MID($A1204, FIND("~", SUBSTITUTE($A1204,"|","~", 11))+1, FIND("~", SUBSTITUTE($A1204,"|","~", 12))-FIND("~", SUBSTITUTE($A1204,"|","~", 11))-1),
    LEN($A1204)-LEN(SUBSTITUTE($A1204,"|",""))=14, MID($A1204, FIND("~", SUBSTITUTE($A1204,"|","~", 11))+1, FIND("~", SUBSTITUTE($A1204,"|","~", 12))-FIND("~", SUBSTITUTE($A1204,"|","~", 11))-1)
), "")</f>
        <v>665900</v>
      </c>
      <c r="M1204" s="72" t="str">
        <f t="shared" si="141"/>
        <v>SB010101/4/26</v>
      </c>
      <c r="N1204" s="46" t="str">
        <f t="shared" si="149"/>
        <v/>
      </c>
      <c r="O1204" s="76" t="s">
        <v>35</v>
      </c>
      <c r="P1204" s="76" t="s">
        <v>35</v>
      </c>
      <c r="Q1204" s="77">
        <v>383</v>
      </c>
      <c r="R1204" s="77">
        <v>144</v>
      </c>
      <c r="S1204" s="48" t="s">
        <v>35</v>
      </c>
      <c r="T1204" s="48"/>
      <c r="U1204" s="49">
        <v>43</v>
      </c>
      <c r="V1204" s="49">
        <v>169</v>
      </c>
      <c r="W1204" s="78"/>
      <c r="X1204" s="51">
        <f>IF(A1204="", "", IF(COUNTIFS(C$3:C1203, C1204, D$3:D1203, D1204, G$3:G1203, G1204) &gt; 0, "", "11:00"-AW1204))</f>
        <v>0.33333333333333326</v>
      </c>
      <c r="Y1204" s="79"/>
      <c r="Z1204" s="80"/>
      <c r="AA1204" s="81"/>
      <c r="AB1204" s="81"/>
      <c r="AC1204" s="81"/>
      <c r="AD1204" s="81"/>
      <c r="AE1204" s="81"/>
      <c r="AF1204" s="81"/>
      <c r="AG1204" s="81"/>
      <c r="AH1204" s="82"/>
      <c r="AI1204" s="81"/>
      <c r="AJ1204" s="81"/>
      <c r="AK1204" s="81"/>
      <c r="AL1204" s="81"/>
      <c r="AM1204" s="81"/>
      <c r="AN1204" s="81"/>
      <c r="AO1204" s="81"/>
      <c r="AP1204" s="81"/>
      <c r="AQ1204" s="81">
        <v>4.1666666666666664E-2</v>
      </c>
      <c r="AR1204" s="81" t="s">
        <v>37</v>
      </c>
      <c r="AS1204" s="81">
        <v>4.1666666666666664E-2</v>
      </c>
      <c r="AT1204" s="81" t="s">
        <v>37</v>
      </c>
      <c r="AU1204" s="53">
        <v>4.1666666666666699E-2</v>
      </c>
      <c r="AV1204" s="54" t="s">
        <v>37</v>
      </c>
      <c r="AW1204" s="57">
        <f t="shared" si="168"/>
        <v>0.12500000000000003</v>
      </c>
      <c r="AX1204" s="58" t="s">
        <v>109</v>
      </c>
    </row>
    <row r="1205" spans="1:50" ht="28.5" customHeight="1">
      <c r="A1205" s="66" t="s">
        <v>1045</v>
      </c>
      <c r="B1205" s="39">
        <f t="shared" si="165"/>
        <v>1201</v>
      </c>
      <c r="C1205" s="40">
        <v>46049</v>
      </c>
      <c r="D1205" s="40" t="s">
        <v>80</v>
      </c>
      <c r="E1205" s="40" t="s">
        <v>33</v>
      </c>
      <c r="F1205" s="41">
        <v>375</v>
      </c>
      <c r="G1205" s="42" t="s">
        <v>172</v>
      </c>
      <c r="H1205" s="43" t="str">
        <f>IFERROR(VLOOKUP($J1205,'[9]FROM (3)'!$E$4:$F$230,2,FALSE),"")</f>
        <v>ATAC</v>
      </c>
      <c r="I1205" s="44" t="str">
        <f t="shared" si="164"/>
        <v>SEAT,WATER PUMP PULLEY</v>
      </c>
      <c r="J1205" s="44" t="str">
        <f t="shared" si="162"/>
        <v>16171-05030</v>
      </c>
      <c r="K1205" s="59" t="str">
        <f t="shared" si="163"/>
        <v>PD26010816</v>
      </c>
      <c r="L1205" s="46" t="str" cm="1">
        <f t="array" ref="L1205">IFERROR(_xlfn.IFS(
    LEN($A1205)-LEN(SUBSTITUTE($A1205,"|",""))=12, RIGHT(A1205, LEN(A1205)-FIND("~", SUBSTITUTE(A1205,"|","~", LEN(A1205)-LEN(SUBSTITUTE(A1205,"|",""))))),
    LEN($A1205)-LEN(SUBSTITUTE($A1205,"|",""))=13, MID($A1205, FIND("~", SUBSTITUTE($A1205,"|","~", 11))+1, FIND("~", SUBSTITUTE($A1205,"|","~", 12))-FIND("~", SUBSTITUTE($A1205,"|","~", 11))-1),
    LEN($A1205)-LEN(SUBSTITUTE($A1205,"|",""))=14, MID($A1205, FIND("~", SUBSTITUTE($A1205,"|","~", 11))+1, FIND("~", SUBSTITUTE($A1205,"|","~", 12))-FIND("~", SUBSTITUTE($A1205,"|","~", 11))-1)
), "")</f>
        <v>665900</v>
      </c>
      <c r="M1205" s="72" t="str">
        <f t="shared" si="141"/>
        <v>SB010101/3/26</v>
      </c>
      <c r="N1205" s="46" t="str">
        <f t="shared" si="149"/>
        <v/>
      </c>
      <c r="O1205" s="76">
        <v>14</v>
      </c>
      <c r="P1205" s="76">
        <v>990</v>
      </c>
      <c r="Q1205" s="77">
        <v>1800</v>
      </c>
      <c r="R1205" s="77">
        <v>675</v>
      </c>
      <c r="S1205" s="48" t="s">
        <v>35</v>
      </c>
      <c r="T1205" s="48"/>
      <c r="U1205" s="49"/>
      <c r="V1205" s="49"/>
      <c r="W1205" s="78"/>
      <c r="X1205" s="51" t="str">
        <f>IF(A1205="", "", IF(COUNTIFS(C$3:C1204, C1205, D$3:D1204, D1205, G$3:G1204, G1205) &gt; 0, "", "11:00"-AW1205))</f>
        <v/>
      </c>
      <c r="Y1205" s="79"/>
      <c r="Z1205" s="80"/>
      <c r="AA1205" s="81"/>
      <c r="AB1205" s="81"/>
      <c r="AC1205" s="81"/>
      <c r="AD1205" s="81"/>
      <c r="AE1205" s="81"/>
      <c r="AF1205" s="81"/>
      <c r="AG1205" s="81"/>
      <c r="AH1205" s="82"/>
      <c r="AI1205" s="81"/>
      <c r="AJ1205" s="81"/>
      <c r="AK1205" s="81"/>
      <c r="AL1205" s="81"/>
      <c r="AM1205" s="81"/>
      <c r="AN1205" s="81"/>
      <c r="AO1205" s="81"/>
      <c r="AP1205" s="81"/>
      <c r="AQ1205" s="81"/>
      <c r="AR1205" s="81"/>
      <c r="AS1205" s="81"/>
      <c r="AT1205" s="81"/>
      <c r="AU1205" s="53">
        <v>4.1666666666666699E-2</v>
      </c>
      <c r="AV1205" s="54" t="s">
        <v>37</v>
      </c>
      <c r="AW1205" s="57">
        <f t="shared" si="168"/>
        <v>4.1666666666666699E-2</v>
      </c>
      <c r="AX1205" s="58" t="s">
        <v>109</v>
      </c>
    </row>
    <row r="1206" spans="1:50" ht="28.5" customHeight="1">
      <c r="A1206" s="66" t="s">
        <v>1025</v>
      </c>
      <c r="B1206" s="39">
        <f t="shared" si="165"/>
        <v>1202</v>
      </c>
      <c r="C1206" s="40">
        <v>46049</v>
      </c>
      <c r="D1206" s="40" t="s">
        <v>80</v>
      </c>
      <c r="E1206" s="40" t="s">
        <v>33</v>
      </c>
      <c r="F1206" s="41">
        <v>732.5</v>
      </c>
      <c r="G1206" s="42" t="s">
        <v>66</v>
      </c>
      <c r="H1206" s="43" t="str">
        <f>IFERROR(VLOOKUP($J1206,'[9]FROM (3)'!$E$4:$F$230,2,FALSE),"")</f>
        <v>JCTTH</v>
      </c>
      <c r="I1206" s="44" t="str">
        <f t="shared" si="164"/>
        <v>RACK POWER STEERING</v>
      </c>
      <c r="J1206" s="44" t="str">
        <f t="shared" si="162"/>
        <v>JGD10-BA0101-C</v>
      </c>
      <c r="K1206" s="59" t="str">
        <f t="shared" si="163"/>
        <v>PD26010651</v>
      </c>
      <c r="L1206" s="46" t="str" cm="1">
        <f t="array" ref="L1206">IFERROR(_xlfn.IFS(
    LEN($A1206)-LEN(SUBSTITUTE($A1206,"|",""))=12, RIGHT(A1206, LEN(A1206)-FIND("~", SUBSTITUTE(A1206,"|","~", LEN(A1206)-LEN(SUBSTITUTE(A1206,"|",""))))),
    LEN($A1206)-LEN(SUBSTITUTE($A1206,"|",""))=13, MID($A1206, FIND("~", SUBSTITUTE($A1206,"|","~", 11))+1, FIND("~", SUBSTITUTE($A1206,"|","~", 12))-FIND("~", SUBSTITUTE($A1206,"|","~", 11))-1),
    LEN($A1206)-LEN(SUBSTITUTE($A1206,"|",""))=14, MID($A1206, FIND("~", SUBSTITUTE($A1206,"|","~", 11))+1, FIND("~", SUBSTITUTE($A1206,"|","~", 12))-FIND("~", SUBSTITUTE($A1206,"|","~", 11))-1)
), "")</f>
        <v>E586100</v>
      </c>
      <c r="M1206" s="72" t="str">
        <f t="shared" si="141"/>
        <v>SB010061/2/26</v>
      </c>
      <c r="N1206" s="46" t="str">
        <f t="shared" si="149"/>
        <v/>
      </c>
      <c r="O1206" s="76" t="s">
        <v>35</v>
      </c>
      <c r="P1206" s="76" t="s">
        <v>35</v>
      </c>
      <c r="Q1206" s="77">
        <v>161</v>
      </c>
      <c r="R1206" s="77">
        <v>670</v>
      </c>
      <c r="S1206" s="48"/>
      <c r="T1206" s="48"/>
      <c r="U1206" s="49">
        <v>105</v>
      </c>
      <c r="V1206" s="49">
        <v>9</v>
      </c>
      <c r="W1206" s="78"/>
      <c r="X1206" s="51">
        <f>IF(A1206="", "", IF(COUNTIFS(C$3:C1205, C1206, D$3:D1205, D1206, G$3:G1205, G1206) &gt; 0, "", "11:00"-AW1206))</f>
        <v>0.33333333333333326</v>
      </c>
      <c r="Y1206" s="79"/>
      <c r="Z1206" s="80"/>
      <c r="AA1206" s="81"/>
      <c r="AB1206" s="81"/>
      <c r="AC1206" s="81"/>
      <c r="AD1206" s="81"/>
      <c r="AE1206" s="81"/>
      <c r="AF1206" s="81"/>
      <c r="AG1206" s="81"/>
      <c r="AH1206" s="82"/>
      <c r="AI1206" s="81"/>
      <c r="AJ1206" s="81"/>
      <c r="AK1206" s="81"/>
      <c r="AL1206" s="81"/>
      <c r="AM1206" s="81"/>
      <c r="AN1206" s="81"/>
      <c r="AO1206" s="81"/>
      <c r="AP1206" s="81"/>
      <c r="AQ1206" s="81">
        <v>4.1666666666666664E-2</v>
      </c>
      <c r="AR1206" s="81" t="s">
        <v>37</v>
      </c>
      <c r="AS1206" s="81">
        <v>4.1666666666666664E-2</v>
      </c>
      <c r="AT1206" s="81" t="s">
        <v>37</v>
      </c>
      <c r="AU1206" s="53">
        <v>4.1666666666666699E-2</v>
      </c>
      <c r="AV1206" s="54" t="s">
        <v>37</v>
      </c>
      <c r="AW1206" s="57">
        <f t="shared" si="168"/>
        <v>0.12500000000000003</v>
      </c>
      <c r="AX1206" s="58" t="s">
        <v>96</v>
      </c>
    </row>
    <row r="1207" spans="1:50" ht="28.5" customHeight="1">
      <c r="A1207" s="66" t="s">
        <v>1046</v>
      </c>
      <c r="B1207" s="39">
        <f t="shared" si="165"/>
        <v>1203</v>
      </c>
      <c r="C1207" s="40">
        <v>46049</v>
      </c>
      <c r="D1207" s="40" t="s">
        <v>80</v>
      </c>
      <c r="E1207" s="40" t="s">
        <v>33</v>
      </c>
      <c r="F1207" s="41">
        <v>732.5</v>
      </c>
      <c r="G1207" s="42" t="s">
        <v>66</v>
      </c>
      <c r="H1207" s="43" t="str">
        <f>IFERROR(VLOOKUP($J1207,'[9]FROM (3)'!$E$4:$F$230,2,FALSE),"")</f>
        <v>JCTTH</v>
      </c>
      <c r="I1207" s="44" t="str">
        <f t="shared" si="164"/>
        <v>RACK POWER STEERING</v>
      </c>
      <c r="J1207" s="44" t="str">
        <f t="shared" si="162"/>
        <v>JGD10-BA0101-C</v>
      </c>
      <c r="K1207" s="59" t="str">
        <f t="shared" si="163"/>
        <v>PD26010652</v>
      </c>
      <c r="L1207" s="46" t="str" cm="1">
        <f t="array" ref="L1207">IFERROR(_xlfn.IFS(
    LEN($A1207)-LEN(SUBSTITUTE($A1207,"|",""))=12, RIGHT(A1207, LEN(A1207)-FIND("~", SUBSTITUTE(A1207,"|","~", LEN(A1207)-LEN(SUBSTITUTE(A1207,"|",""))))),
    LEN($A1207)-LEN(SUBSTITUTE($A1207,"|",""))=13, MID($A1207, FIND("~", SUBSTITUTE($A1207,"|","~", 11))+1, FIND("~", SUBSTITUTE($A1207,"|","~", 12))-FIND("~", SUBSTITUTE($A1207,"|","~", 11))-1),
    LEN($A1207)-LEN(SUBSTITUTE($A1207,"|",""))=14, MID($A1207, FIND("~", SUBSTITUTE($A1207,"|","~", 11))+1, FIND("~", SUBSTITUTE($A1207,"|","~", 12))-FIND("~", SUBSTITUTE($A1207,"|","~", 11))-1)
), "")</f>
        <v>E586100</v>
      </c>
      <c r="M1207" s="72" t="str">
        <f t="shared" si="141"/>
        <v>SB010061/5/26</v>
      </c>
      <c r="N1207" s="46" t="str">
        <f t="shared" si="149"/>
        <v/>
      </c>
      <c r="O1207" s="76">
        <v>50</v>
      </c>
      <c r="P1207" s="76">
        <v>880</v>
      </c>
      <c r="Q1207" s="77">
        <v>200</v>
      </c>
      <c r="R1207" s="77">
        <v>832</v>
      </c>
      <c r="S1207" s="77"/>
      <c r="T1207" s="77"/>
      <c r="U1207" s="83">
        <v>105</v>
      </c>
      <c r="V1207" s="83">
        <v>9</v>
      </c>
      <c r="W1207" s="78"/>
      <c r="X1207" s="51" t="str">
        <f>IF(A1207="", "", IF(COUNTIFS(C$3:C1206, C1207, D$3:D1206, D1207, G$3:G1206, G1207) &gt; 0, "", "11:00"-AW1207))</f>
        <v/>
      </c>
      <c r="Y1207" s="79"/>
      <c r="Z1207" s="80"/>
      <c r="AA1207" s="81"/>
      <c r="AB1207" s="81"/>
      <c r="AC1207" s="81"/>
      <c r="AD1207" s="81"/>
      <c r="AE1207" s="81"/>
      <c r="AF1207" s="81"/>
      <c r="AG1207" s="81"/>
      <c r="AH1207" s="82"/>
      <c r="AI1207" s="81"/>
      <c r="AJ1207" s="81"/>
      <c r="AK1207" s="81"/>
      <c r="AL1207" s="81"/>
      <c r="AM1207" s="81"/>
      <c r="AN1207" s="81"/>
      <c r="AO1207" s="81"/>
      <c r="AP1207" s="81"/>
      <c r="AQ1207" s="81"/>
      <c r="AR1207" s="81"/>
      <c r="AS1207" s="81"/>
      <c r="AT1207" s="81"/>
      <c r="AU1207" s="53">
        <v>4.1666666666666699E-2</v>
      </c>
      <c r="AV1207" s="54" t="s">
        <v>37</v>
      </c>
      <c r="AW1207" s="57">
        <f t="shared" si="168"/>
        <v>4.1666666666666699E-2</v>
      </c>
      <c r="AX1207" s="58" t="s">
        <v>96</v>
      </c>
    </row>
    <row r="1208" spans="1:50" ht="28.5" customHeight="1">
      <c r="A1208" s="66" t="s">
        <v>1047</v>
      </c>
      <c r="B1208" s="39">
        <f t="shared" si="165"/>
        <v>1204</v>
      </c>
      <c r="C1208" s="40">
        <v>46049</v>
      </c>
      <c r="D1208" s="40" t="s">
        <v>80</v>
      </c>
      <c r="E1208" s="40" t="s">
        <v>33</v>
      </c>
      <c r="F1208" s="41">
        <v>732.5</v>
      </c>
      <c r="G1208" s="42" t="s">
        <v>66</v>
      </c>
      <c r="H1208" s="43" t="str">
        <f>IFERROR(VLOOKUP($J1208,'[9]FROM (3)'!$E$4:$F$230,2,FALSE),"")</f>
        <v>JCTTH</v>
      </c>
      <c r="I1208" s="44" t="str">
        <f t="shared" si="164"/>
        <v>RACK POWER STEERING</v>
      </c>
      <c r="J1208" s="44" t="str">
        <f t="shared" si="162"/>
        <v>JGD10-BA0101-C</v>
      </c>
      <c r="K1208" s="59" t="str">
        <f t="shared" si="163"/>
        <v>PD26010652</v>
      </c>
      <c r="L1208" s="46" t="str" cm="1">
        <f t="array" ref="L1208">IFERROR(_xlfn.IFS(
    LEN($A1208)-LEN(SUBSTITUTE($A1208,"|",""))=12, RIGHT(A1208, LEN(A1208)-FIND("~", SUBSTITUTE(A1208,"|","~", LEN(A1208)-LEN(SUBSTITUTE(A1208,"|",""))))),
    LEN($A1208)-LEN(SUBSTITUTE($A1208,"|",""))=13, MID($A1208, FIND("~", SUBSTITUTE($A1208,"|","~", 11))+1, FIND("~", SUBSTITUTE($A1208,"|","~", 12))-FIND("~", SUBSTITUTE($A1208,"|","~", 11))-1),
    LEN($A1208)-LEN(SUBSTITUTE($A1208,"|",""))=14, MID($A1208, FIND("~", SUBSTITUTE($A1208,"|","~", 11))+1, FIND("~", SUBSTITUTE($A1208,"|","~", 12))-FIND("~", SUBSTITUTE($A1208,"|","~", 11))-1)
), "")</f>
        <v>E586100</v>
      </c>
      <c r="M1208" s="72" t="str">
        <f t="shared" si="141"/>
        <v>SB010061/6/26</v>
      </c>
      <c r="N1208" s="46" t="str">
        <f t="shared" si="149"/>
        <v/>
      </c>
      <c r="O1208" s="76">
        <v>50</v>
      </c>
      <c r="P1208" s="76">
        <v>880</v>
      </c>
      <c r="Q1208" s="77">
        <v>200</v>
      </c>
      <c r="R1208" s="77">
        <v>832</v>
      </c>
      <c r="S1208" s="77"/>
      <c r="T1208" s="77"/>
      <c r="U1208" s="83"/>
      <c r="V1208" s="83"/>
      <c r="W1208" s="78"/>
      <c r="X1208" s="51" t="str">
        <f>IF(A1208="", "", IF(COUNTIFS(C$3:C1207, C1208, D$3:D1207, D1208, G$3:G1207, G1208) &gt; 0, "", "11:00"-AW1208))</f>
        <v/>
      </c>
      <c r="Y1208" s="79"/>
      <c r="Z1208" s="80"/>
      <c r="AA1208" s="81"/>
      <c r="AB1208" s="81"/>
      <c r="AC1208" s="81"/>
      <c r="AD1208" s="81"/>
      <c r="AE1208" s="81"/>
      <c r="AF1208" s="81"/>
      <c r="AG1208" s="81"/>
      <c r="AH1208" s="82"/>
      <c r="AI1208" s="81"/>
      <c r="AJ1208" s="81"/>
      <c r="AK1208" s="81"/>
      <c r="AL1208" s="81"/>
      <c r="AM1208" s="81"/>
      <c r="AN1208" s="81"/>
      <c r="AO1208" s="81"/>
      <c r="AP1208" s="81"/>
      <c r="AQ1208" s="81"/>
      <c r="AR1208" s="81"/>
      <c r="AS1208" s="81"/>
      <c r="AT1208" s="81"/>
      <c r="AU1208" s="53">
        <v>4.1666666666666699E-2</v>
      </c>
      <c r="AV1208" s="54" t="s">
        <v>37</v>
      </c>
      <c r="AW1208" s="57">
        <f t="shared" si="168"/>
        <v>4.1666666666666699E-2</v>
      </c>
      <c r="AX1208" s="58" t="s">
        <v>96</v>
      </c>
    </row>
    <row r="1209" spans="1:50" ht="28.5" customHeight="1">
      <c r="A1209" s="66" t="s">
        <v>1048</v>
      </c>
      <c r="B1209" s="39">
        <f t="shared" si="165"/>
        <v>1205</v>
      </c>
      <c r="C1209" s="40">
        <v>46049</v>
      </c>
      <c r="D1209" s="40" t="s">
        <v>80</v>
      </c>
      <c r="E1209" s="40" t="s">
        <v>33</v>
      </c>
      <c r="F1209" s="41">
        <v>732.5</v>
      </c>
      <c r="G1209" s="42" t="s">
        <v>66</v>
      </c>
      <c r="H1209" s="43" t="str">
        <f>IFERROR(VLOOKUP($J1209,'[9]FROM (3)'!$E$4:$F$230,2,FALSE),"")</f>
        <v>JCTTH</v>
      </c>
      <c r="I1209" s="44" t="str">
        <f t="shared" si="164"/>
        <v>RACK POWER STEERING</v>
      </c>
      <c r="J1209" s="44" t="str">
        <f t="shared" ref="J1209:J1272" si="169">IFERROR(MID(A1209,FIND("~",SUBSTITUTE(A1209,"|","~",3))+1,FIND("~",SUBSTITUTE(A1209,"|","~",4))-FIND("~",SUBSTITUTE(A1209,"|","~",3))-1),"")</f>
        <v>JGD10-BA0101-C</v>
      </c>
      <c r="K1209" s="59" t="str">
        <f t="shared" si="163"/>
        <v>PD26010652</v>
      </c>
      <c r="L1209" s="46" t="str" cm="1">
        <f t="array" ref="L1209">IFERROR(_xlfn.IFS(
    LEN($A1209)-LEN(SUBSTITUTE($A1209,"|",""))=12, RIGHT(A1209, LEN(A1209)-FIND("~", SUBSTITUTE(A1209,"|","~", LEN(A1209)-LEN(SUBSTITUTE(A1209,"|",""))))),
    LEN($A1209)-LEN(SUBSTITUTE($A1209,"|",""))=13, MID($A1209, FIND("~", SUBSTITUTE($A1209,"|","~", 11))+1, FIND("~", SUBSTITUTE($A1209,"|","~", 12))-FIND("~", SUBSTITUTE($A1209,"|","~", 11))-1),
    LEN($A1209)-LEN(SUBSTITUTE($A1209,"|",""))=14, MID($A1209, FIND("~", SUBSTITUTE($A1209,"|","~", 11))+1, FIND("~", SUBSTITUTE($A1209,"|","~", 12))-FIND("~", SUBSTITUTE($A1209,"|","~", 11))-1)
), "")</f>
        <v>E586100</v>
      </c>
      <c r="M1209" s="72" t="str">
        <f t="shared" si="141"/>
        <v>SB010061/4/26</v>
      </c>
      <c r="N1209" s="46" t="str">
        <f t="shared" si="149"/>
        <v/>
      </c>
      <c r="O1209" s="76">
        <v>50</v>
      </c>
      <c r="P1209" s="76">
        <v>880</v>
      </c>
      <c r="Q1209" s="77">
        <v>199</v>
      </c>
      <c r="R1209" s="77">
        <v>828</v>
      </c>
      <c r="S1209" s="77"/>
      <c r="T1209" s="77"/>
      <c r="U1209" s="83"/>
      <c r="V1209" s="83"/>
      <c r="W1209" s="78"/>
      <c r="X1209" s="51" t="str">
        <f>IF(A1209="", "", IF(COUNTIFS(C$3:C1208, C1209, D$3:D1208, D1209, G$3:G1208, G1209) &gt; 0, "", "11:00"-AW1209))</f>
        <v/>
      </c>
      <c r="Y1209" s="79"/>
      <c r="Z1209" s="80"/>
      <c r="AA1209" s="81"/>
      <c r="AB1209" s="81"/>
      <c r="AC1209" s="81"/>
      <c r="AD1209" s="81"/>
      <c r="AE1209" s="81"/>
      <c r="AF1209" s="81"/>
      <c r="AG1209" s="81"/>
      <c r="AH1209" s="82"/>
      <c r="AI1209" s="81"/>
      <c r="AJ1209" s="81"/>
      <c r="AK1209" s="81"/>
      <c r="AL1209" s="81"/>
      <c r="AM1209" s="81"/>
      <c r="AN1209" s="81"/>
      <c r="AO1209" s="81"/>
      <c r="AP1209" s="81"/>
      <c r="AQ1209" s="81"/>
      <c r="AR1209" s="81"/>
      <c r="AS1209" s="81"/>
      <c r="AT1209" s="81"/>
      <c r="AU1209" s="53">
        <v>4.1666666666666699E-2</v>
      </c>
      <c r="AV1209" s="54" t="s">
        <v>37</v>
      </c>
      <c r="AW1209" s="57">
        <f t="shared" si="168"/>
        <v>4.1666666666666699E-2</v>
      </c>
      <c r="AX1209" s="58" t="s">
        <v>96</v>
      </c>
    </row>
    <row r="1210" spans="1:50" ht="28.5" customHeight="1">
      <c r="A1210" s="66" t="s">
        <v>1049</v>
      </c>
      <c r="B1210" s="39">
        <f t="shared" si="165"/>
        <v>1206</v>
      </c>
      <c r="C1210" s="40">
        <v>46049</v>
      </c>
      <c r="D1210" s="40" t="s">
        <v>80</v>
      </c>
      <c r="E1210" s="40" t="s">
        <v>33</v>
      </c>
      <c r="F1210" s="41">
        <v>732.5</v>
      </c>
      <c r="G1210" s="42" t="s">
        <v>66</v>
      </c>
      <c r="H1210" s="43" t="str">
        <f>IFERROR(VLOOKUP($J1210,'[9]FROM (3)'!$E$4:$F$230,2,FALSE),"")</f>
        <v>JCTTH</v>
      </c>
      <c r="I1210" s="44" t="str">
        <f t="shared" si="164"/>
        <v>RACK POWER STEERING</v>
      </c>
      <c r="J1210" s="44" t="str">
        <f t="shared" si="169"/>
        <v>JGD10-BA0101-C</v>
      </c>
      <c r="K1210" s="59" t="str">
        <f t="shared" si="163"/>
        <v>PD26010650</v>
      </c>
      <c r="L1210" s="46" t="str" cm="1">
        <f t="array" ref="L1210">IFERROR(_xlfn.IFS(
    LEN($A1210)-LEN(SUBSTITUTE($A1210,"|",""))=12, RIGHT(A1210, LEN(A1210)-FIND("~", SUBSTITUTE(A1210,"|","~", LEN(A1210)-LEN(SUBSTITUTE(A1210,"|",""))))),
    LEN($A1210)-LEN(SUBSTITUTE($A1210,"|",""))=13, MID($A1210, FIND("~", SUBSTITUTE($A1210,"|","~", 11))+1, FIND("~", SUBSTITUTE($A1210,"|","~", 12))-FIND("~", SUBSTITUTE($A1210,"|","~", 11))-1),
    LEN($A1210)-LEN(SUBSTITUTE($A1210,"|",""))=14, MID($A1210, FIND("~", SUBSTITUTE($A1210,"|","~", 11))+1, FIND("~", SUBSTITUTE($A1210,"|","~", 12))-FIND("~", SUBSTITUTE($A1210,"|","~", 11))-1)
), "")</f>
        <v>E586100</v>
      </c>
      <c r="M1210" s="72" t="str">
        <f t="shared" si="141"/>
        <v>SB010060/4/26</v>
      </c>
      <c r="N1210" s="46" t="str">
        <f t="shared" si="149"/>
        <v/>
      </c>
      <c r="O1210" s="76">
        <v>50</v>
      </c>
      <c r="P1210" s="76">
        <v>880</v>
      </c>
      <c r="Q1210" s="77">
        <v>118</v>
      </c>
      <c r="R1210" s="77">
        <v>491</v>
      </c>
      <c r="S1210" s="77"/>
      <c r="T1210" s="77"/>
      <c r="U1210" s="83"/>
      <c r="V1210" s="83"/>
      <c r="W1210" s="78"/>
      <c r="X1210" s="51" t="str">
        <f>IF(A1210="", "", IF(COUNTIFS(C$3:C1209, C1210, D$3:D1209, D1210, G$3:G1209, G1210) &gt; 0, "", "11:00"-AW1210))</f>
        <v/>
      </c>
      <c r="Y1210" s="79"/>
      <c r="Z1210" s="80"/>
      <c r="AA1210" s="81"/>
      <c r="AB1210" s="81"/>
      <c r="AC1210" s="81"/>
      <c r="AD1210" s="81"/>
      <c r="AE1210" s="81"/>
      <c r="AF1210" s="81"/>
      <c r="AG1210" s="81"/>
      <c r="AH1210" s="82"/>
      <c r="AI1210" s="81"/>
      <c r="AJ1210" s="81"/>
      <c r="AK1210" s="81"/>
      <c r="AL1210" s="81"/>
      <c r="AM1210" s="81"/>
      <c r="AN1210" s="81"/>
      <c r="AO1210" s="81"/>
      <c r="AP1210" s="81"/>
      <c r="AQ1210" s="81"/>
      <c r="AR1210" s="81"/>
      <c r="AS1210" s="81"/>
      <c r="AT1210" s="81"/>
      <c r="AU1210" s="53">
        <v>4.1666666666666699E-2</v>
      </c>
      <c r="AV1210" s="54" t="s">
        <v>37</v>
      </c>
      <c r="AW1210" s="57">
        <f t="shared" si="168"/>
        <v>4.1666666666666699E-2</v>
      </c>
      <c r="AX1210" s="58" t="s">
        <v>96</v>
      </c>
    </row>
    <row r="1211" spans="1:50" ht="28.5" customHeight="1">
      <c r="A1211" s="66" t="s">
        <v>1015</v>
      </c>
      <c r="B1211" s="39">
        <f t="shared" si="165"/>
        <v>1207</v>
      </c>
      <c r="C1211" s="40">
        <v>46049</v>
      </c>
      <c r="D1211" s="40" t="s">
        <v>80</v>
      </c>
      <c r="E1211" s="40" t="s">
        <v>33</v>
      </c>
      <c r="F1211" s="41">
        <v>721.5</v>
      </c>
      <c r="G1211" s="42" t="s">
        <v>75</v>
      </c>
      <c r="H1211" s="43" t="str">
        <f>IFERROR(VLOOKUP($J1211,'[9]FROM (3)'!$E$4:$F$230,2,FALSE),"")</f>
        <v>JCTTH</v>
      </c>
      <c r="I1211" s="44" t="str">
        <f t="shared" si="164"/>
        <v>RACK POWER STEERING</v>
      </c>
      <c r="J1211" s="44" t="str">
        <f t="shared" si="169"/>
        <v>2-30JG-0711</v>
      </c>
      <c r="K1211" s="59" t="str">
        <f t="shared" si="163"/>
        <v>PD26010791</v>
      </c>
      <c r="L1211" s="46" t="str" cm="1">
        <f t="array" ref="L1211">IFERROR(_xlfn.IFS(
    LEN($A1211)-LEN(SUBSTITUTE($A1211,"|",""))=12, RIGHT(A1211, LEN(A1211)-FIND("~", SUBSTITUTE(A1211,"|","~", LEN(A1211)-LEN(SUBSTITUTE(A1211,"|",""))))),
    LEN($A1211)-LEN(SUBSTITUTE($A1211,"|",""))=13, MID($A1211, FIND("~", SUBSTITUTE($A1211,"|","~", 11))+1, FIND("~", SUBSTITUTE($A1211,"|","~", 12))-FIND("~", SUBSTITUTE($A1211,"|","~", 11))-1),
    LEN($A1211)-LEN(SUBSTITUTE($A1211,"|",""))=14, MID($A1211, FIND("~", SUBSTITUTE($A1211,"|","~", 11))+1, FIND("~", SUBSTITUTE($A1211,"|","~", 12))-FIND("~", SUBSTITUTE($A1211,"|","~", 11))-1)
), "")</f>
        <v>E586102</v>
      </c>
      <c r="M1211" s="72" t="str">
        <f t="shared" si="141"/>
        <v>SB010089/4/26</v>
      </c>
      <c r="N1211" s="46" t="str">
        <f t="shared" si="149"/>
        <v/>
      </c>
      <c r="O1211" s="76"/>
      <c r="P1211" s="76"/>
      <c r="Q1211" s="77">
        <v>453</v>
      </c>
      <c r="R1211" s="77">
        <v>627</v>
      </c>
      <c r="S1211" s="77"/>
      <c r="T1211" s="77"/>
      <c r="U1211" s="83"/>
      <c r="V1211" s="83"/>
      <c r="W1211" s="78"/>
      <c r="X1211" s="51">
        <f>IF(A1211="", "", IF(COUNTIFS(C$3:C1210, C1211, D$3:D1210, D1211, G$3:G1210, G1211) &gt; 0, "", "11:00"-AW1211))</f>
        <v>8.3333333333333315E-2</v>
      </c>
      <c r="Y1211" s="79"/>
      <c r="Z1211" s="80"/>
      <c r="AA1211" s="81"/>
      <c r="AB1211" s="81"/>
      <c r="AC1211" s="81"/>
      <c r="AD1211" s="81">
        <v>4.1666666666666664E-2</v>
      </c>
      <c r="AE1211" s="81" t="s">
        <v>90</v>
      </c>
      <c r="AF1211" s="81">
        <v>4.1666666666666664E-2</v>
      </c>
      <c r="AG1211" s="81" t="s">
        <v>90</v>
      </c>
      <c r="AH1211" s="82"/>
      <c r="AI1211" s="81">
        <v>4.1666666666666664E-2</v>
      </c>
      <c r="AJ1211" s="81" t="s">
        <v>90</v>
      </c>
      <c r="AK1211" s="81">
        <v>4.1666666666666664E-2</v>
      </c>
      <c r="AL1211" s="81" t="s">
        <v>90</v>
      </c>
      <c r="AM1211" s="81">
        <v>4.1666666666666664E-2</v>
      </c>
      <c r="AN1211" s="81" t="s">
        <v>90</v>
      </c>
      <c r="AO1211" s="81">
        <v>4.1666666666666664E-2</v>
      </c>
      <c r="AP1211" s="81" t="s">
        <v>90</v>
      </c>
      <c r="AQ1211" s="81">
        <v>4.1666666666666664E-2</v>
      </c>
      <c r="AR1211" s="81" t="s">
        <v>37</v>
      </c>
      <c r="AS1211" s="81">
        <v>4.1666666666666664E-2</v>
      </c>
      <c r="AT1211" s="81" t="s">
        <v>37</v>
      </c>
      <c r="AU1211" s="53">
        <v>4.1666666666666699E-2</v>
      </c>
      <c r="AV1211" s="54" t="s">
        <v>37</v>
      </c>
      <c r="AW1211" s="57">
        <f t="shared" si="168"/>
        <v>0.375</v>
      </c>
      <c r="AX1211" s="58" t="s">
        <v>101</v>
      </c>
    </row>
    <row r="1212" spans="1:50" ht="28.5" customHeight="1">
      <c r="A1212" s="66" t="s">
        <v>1050</v>
      </c>
      <c r="B1212" s="39">
        <f t="shared" si="165"/>
        <v>1208</v>
      </c>
      <c r="C1212" s="40">
        <v>46049</v>
      </c>
      <c r="D1212" s="40" t="s">
        <v>80</v>
      </c>
      <c r="E1212" s="40" t="s">
        <v>33</v>
      </c>
      <c r="F1212" s="41">
        <v>721.5</v>
      </c>
      <c r="G1212" s="42" t="s">
        <v>75</v>
      </c>
      <c r="H1212" s="43" t="str">
        <f>IFERROR(VLOOKUP($J1212,'[9]FROM (3)'!$E$4:$F$230,2,FALSE),"")</f>
        <v>JCTTH</v>
      </c>
      <c r="I1212" s="44" t="str">
        <f t="shared" si="164"/>
        <v>RACK POWER STEERING</v>
      </c>
      <c r="J1212" s="44" t="str">
        <f t="shared" si="169"/>
        <v>2-30JG-0711</v>
      </c>
      <c r="K1212" s="59" t="str">
        <f t="shared" si="163"/>
        <v>PD26010791</v>
      </c>
      <c r="L1212" s="46" t="str" cm="1">
        <f t="array" ref="L1212">IFERROR(_xlfn.IFS(
    LEN($A1212)-LEN(SUBSTITUTE($A1212,"|",""))=12, RIGHT(A1212, LEN(A1212)-FIND("~", SUBSTITUTE(A1212,"|","~", LEN(A1212)-LEN(SUBSTITUTE(A1212,"|",""))))),
    LEN($A1212)-LEN(SUBSTITUTE($A1212,"|",""))=13, MID($A1212, FIND("~", SUBSTITUTE($A1212,"|","~", 11))+1, FIND("~", SUBSTITUTE($A1212,"|","~", 12))-FIND("~", SUBSTITUTE($A1212,"|","~", 11))-1),
    LEN($A1212)-LEN(SUBSTITUTE($A1212,"|",""))=14, MID($A1212, FIND("~", SUBSTITUTE($A1212,"|","~", 11))+1, FIND("~", SUBSTITUTE($A1212,"|","~", 12))-FIND("~", SUBSTITUTE($A1212,"|","~", 11))-1)
), "")</f>
        <v>E586102</v>
      </c>
      <c r="M1212" s="72" t="str">
        <f t="shared" si="141"/>
        <v>SB010089/6/26</v>
      </c>
      <c r="N1212" s="46" t="str">
        <f t="shared" si="149"/>
        <v/>
      </c>
      <c r="O1212" s="76">
        <v>50</v>
      </c>
      <c r="P1212" s="76">
        <v>878</v>
      </c>
      <c r="Q1212" s="77">
        <v>75</v>
      </c>
      <c r="R1212" s="77">
        <v>308</v>
      </c>
      <c r="S1212" s="77"/>
      <c r="T1212" s="77"/>
      <c r="U1212" s="83"/>
      <c r="V1212" s="83"/>
      <c r="W1212" s="78"/>
      <c r="X1212" s="51" t="str">
        <f>IF(A1212="", "", IF(COUNTIFS(C$3:C1211, C1212, D$3:D1211, D1212, G$3:G1211, G1212) &gt; 0, "", "11:00"-AW1212))</f>
        <v/>
      </c>
      <c r="Y1212" s="79"/>
      <c r="Z1212" s="80"/>
      <c r="AA1212" s="81"/>
      <c r="AB1212" s="81"/>
      <c r="AC1212" s="81"/>
      <c r="AD1212" s="81"/>
      <c r="AE1212" s="81"/>
      <c r="AF1212" s="81"/>
      <c r="AG1212" s="81"/>
      <c r="AH1212" s="82"/>
      <c r="AI1212" s="81"/>
      <c r="AJ1212" s="81"/>
      <c r="AK1212" s="81"/>
      <c r="AL1212" s="81"/>
      <c r="AM1212" s="81"/>
      <c r="AN1212" s="81"/>
      <c r="AO1212" s="81"/>
      <c r="AP1212" s="81"/>
      <c r="AQ1212" s="81"/>
      <c r="AR1212" s="81"/>
      <c r="AS1212" s="81"/>
      <c r="AT1212" s="81"/>
      <c r="AU1212" s="53">
        <v>4.1666666666666699E-2</v>
      </c>
      <c r="AV1212" s="54" t="s">
        <v>37</v>
      </c>
      <c r="AW1212" s="57">
        <f t="shared" si="168"/>
        <v>4.1666666666666699E-2</v>
      </c>
      <c r="AX1212" s="58" t="s">
        <v>101</v>
      </c>
    </row>
    <row r="1213" spans="1:50" ht="28.5" customHeight="1">
      <c r="A1213" s="66" t="s">
        <v>1051</v>
      </c>
      <c r="B1213" s="39">
        <f t="shared" si="165"/>
        <v>1209</v>
      </c>
      <c r="C1213" s="40">
        <v>46049</v>
      </c>
      <c r="D1213" s="40" t="s">
        <v>80</v>
      </c>
      <c r="E1213" s="40" t="s">
        <v>33</v>
      </c>
      <c r="F1213" s="41">
        <v>732.4</v>
      </c>
      <c r="G1213" s="42" t="s">
        <v>46</v>
      </c>
      <c r="H1213" s="43" t="str">
        <f>IFERROR(VLOOKUP($J1213,'[9]FROM (3)'!$E$4:$F$230,2,FALSE),"")</f>
        <v>JATH</v>
      </c>
      <c r="I1213" s="44" t="str">
        <f t="shared" si="164"/>
        <v>RACK BAR BLANK</v>
      </c>
      <c r="J1213" s="44" t="str">
        <f t="shared" si="169"/>
        <v>JGF02-002060-31-3</v>
      </c>
      <c r="K1213" s="59" t="str">
        <f t="shared" si="163"/>
        <v>PD25121306</v>
      </c>
      <c r="L1213" s="46" t="str" cm="1">
        <f t="array" ref="L1213">IFERROR(_xlfn.IFS(
    LEN($A1213)-LEN(SUBSTITUTE($A1213,"|",""))=12, RIGHT(A1213, LEN(A1213)-FIND("~", SUBSTITUTE(A1213,"|","~", LEN(A1213)-LEN(SUBSTITUTE(A1213,"|",""))))),
    LEN($A1213)-LEN(SUBSTITUTE($A1213,"|",""))=13, MID($A1213, FIND("~", SUBSTITUTE($A1213,"|","~", 11))+1, FIND("~", SUBSTITUTE($A1213,"|","~", 12))-FIND("~", SUBSTITUTE($A1213,"|","~", 11))-1),
    LEN($A1213)-LEN(SUBSTITUTE($A1213,"|",""))=14, MID($A1213, FIND("~", SUBSTITUTE($A1213,"|","~", 11))+1, FIND("~", SUBSTITUTE($A1213,"|","~", 12))-FIND("~", SUBSTITUTE($A1213,"|","~", 11))-1)
), "")</f>
        <v>5B0230</v>
      </c>
      <c r="M1213" s="72" t="str">
        <f t="shared" si="141"/>
        <v>SB120188/3/25</v>
      </c>
      <c r="N1213" s="46" t="str">
        <f t="shared" si="149"/>
        <v/>
      </c>
      <c r="O1213" s="76">
        <v>36</v>
      </c>
      <c r="P1213" s="76">
        <v>1248</v>
      </c>
      <c r="Q1213" s="77">
        <v>252</v>
      </c>
      <c r="R1213" s="77">
        <v>1177</v>
      </c>
      <c r="S1213" s="77" t="s">
        <v>35</v>
      </c>
      <c r="T1213" s="77"/>
      <c r="U1213" s="83"/>
      <c r="V1213" s="83"/>
      <c r="W1213" s="78"/>
      <c r="X1213" s="51" t="str">
        <f>IF(A1213="", "", IF(COUNTIFS(C$3:C1212, C1213, D$3:D1212, D1213, G$3:G1212, G1213) &gt; 0, "", "11:00"-AW1213))</f>
        <v/>
      </c>
      <c r="Y1213" s="79"/>
      <c r="Z1213" s="80"/>
      <c r="AA1213" s="81"/>
      <c r="AB1213" s="81"/>
      <c r="AC1213" s="81"/>
      <c r="AD1213" s="81"/>
      <c r="AE1213" s="81"/>
      <c r="AF1213" s="81">
        <v>4.1666666666666664E-2</v>
      </c>
      <c r="AG1213" s="81" t="s">
        <v>67</v>
      </c>
      <c r="AH1213" s="82"/>
      <c r="AI1213" s="81"/>
      <c r="AJ1213" s="81"/>
      <c r="AK1213" s="81"/>
      <c r="AL1213" s="81"/>
      <c r="AM1213" s="81"/>
      <c r="AN1213" s="81"/>
      <c r="AO1213" s="81"/>
      <c r="AP1213" s="81"/>
      <c r="AQ1213" s="81">
        <v>4.1666666666666664E-2</v>
      </c>
      <c r="AR1213" s="81" t="s">
        <v>37</v>
      </c>
      <c r="AS1213" s="81">
        <v>4.1666666666666664E-2</v>
      </c>
      <c r="AT1213" s="81" t="s">
        <v>37</v>
      </c>
      <c r="AU1213" s="53">
        <v>4.1666666666666699E-2</v>
      </c>
      <c r="AV1213" s="54" t="s">
        <v>37</v>
      </c>
      <c r="AW1213" s="57">
        <f t="shared" si="168"/>
        <v>0.16666666666666669</v>
      </c>
      <c r="AX1213" s="58" t="s">
        <v>86</v>
      </c>
    </row>
    <row r="1214" spans="1:50" ht="28.5" customHeight="1">
      <c r="A1214" s="66" t="s">
        <v>1052</v>
      </c>
      <c r="B1214" s="39">
        <f t="shared" si="165"/>
        <v>1210</v>
      </c>
      <c r="C1214" s="40">
        <v>46049</v>
      </c>
      <c r="D1214" s="40" t="s">
        <v>80</v>
      </c>
      <c r="E1214" s="40" t="s">
        <v>33</v>
      </c>
      <c r="F1214" s="41">
        <v>732.4</v>
      </c>
      <c r="G1214" s="42" t="s">
        <v>46</v>
      </c>
      <c r="H1214" s="43" t="str">
        <f>IFERROR(VLOOKUP($J1214,'[9]FROM (3)'!$E$4:$F$230,2,FALSE),"")</f>
        <v>JATH</v>
      </c>
      <c r="I1214" s="44" t="str">
        <f t="shared" si="164"/>
        <v>RACK BAR BLANK</v>
      </c>
      <c r="J1214" s="44" t="str">
        <f t="shared" si="169"/>
        <v>JGF02-002060-31-3</v>
      </c>
      <c r="K1214" s="59" t="str">
        <f t="shared" si="163"/>
        <v>PD25121306</v>
      </c>
      <c r="L1214" s="46" t="str" cm="1">
        <f t="array" ref="L1214">IFERROR(_xlfn.IFS(
    LEN($A1214)-LEN(SUBSTITUTE($A1214,"|",""))=12, RIGHT(A1214, LEN(A1214)-FIND("~", SUBSTITUTE(A1214,"|","~", LEN(A1214)-LEN(SUBSTITUTE(A1214,"|",""))))),
    LEN($A1214)-LEN(SUBSTITUTE($A1214,"|",""))=13, MID($A1214, FIND("~", SUBSTITUTE($A1214,"|","~", 11))+1, FIND("~", SUBSTITUTE($A1214,"|","~", 12))-FIND("~", SUBSTITUTE($A1214,"|","~", 11))-1),
    LEN($A1214)-LEN(SUBSTITUTE($A1214,"|",""))=14, MID($A1214, FIND("~", SUBSTITUTE($A1214,"|","~", 11))+1, FIND("~", SUBSTITUTE($A1214,"|","~", 12))-FIND("~", SUBSTITUTE($A1214,"|","~", 11))-1)
), "")</f>
        <v>5B0230</v>
      </c>
      <c r="M1214" s="72" t="str">
        <f t="shared" si="141"/>
        <v>SB120188/5/25</v>
      </c>
      <c r="N1214" s="46" t="str">
        <f t="shared" si="149"/>
        <v/>
      </c>
      <c r="O1214" s="76">
        <v>28</v>
      </c>
      <c r="P1214" s="76">
        <v>972</v>
      </c>
      <c r="Q1214" s="77">
        <v>97</v>
      </c>
      <c r="R1214" s="77">
        <v>453</v>
      </c>
      <c r="S1214" s="77" t="s">
        <v>35</v>
      </c>
      <c r="T1214" s="77"/>
      <c r="U1214" s="83"/>
      <c r="V1214" s="83"/>
      <c r="W1214" s="78"/>
      <c r="X1214" s="51" t="str">
        <f>IF(A1214="", "", IF(COUNTIFS(C$3:C1213, C1214, D$3:D1213, D1214, G$3:G1213, G1214) &gt; 0, "", "11:00"-AW1214))</f>
        <v/>
      </c>
      <c r="Y1214" s="79"/>
      <c r="Z1214" s="80"/>
      <c r="AA1214" s="81"/>
      <c r="AB1214" s="81"/>
      <c r="AC1214" s="81"/>
      <c r="AD1214" s="81"/>
      <c r="AE1214" s="81"/>
      <c r="AF1214" s="81"/>
      <c r="AG1214" s="81"/>
      <c r="AH1214" s="82"/>
      <c r="AI1214" s="81"/>
      <c r="AJ1214" s="81"/>
      <c r="AK1214" s="81"/>
      <c r="AL1214" s="81"/>
      <c r="AM1214" s="81"/>
      <c r="AN1214" s="81"/>
      <c r="AO1214" s="81"/>
      <c r="AP1214" s="81"/>
      <c r="AQ1214" s="81"/>
      <c r="AR1214" s="81"/>
      <c r="AS1214" s="81"/>
      <c r="AT1214" s="81"/>
      <c r="AU1214" s="53">
        <v>4.1666666666666699E-2</v>
      </c>
      <c r="AV1214" s="54" t="s">
        <v>37</v>
      </c>
      <c r="AW1214" s="57">
        <f t="shared" si="168"/>
        <v>4.1666666666666699E-2</v>
      </c>
      <c r="AX1214" s="58" t="s">
        <v>86</v>
      </c>
    </row>
    <row r="1215" spans="1:50" ht="28.5" customHeight="1">
      <c r="A1215" s="66" t="s">
        <v>1006</v>
      </c>
      <c r="B1215" s="39">
        <f t="shared" si="165"/>
        <v>1211</v>
      </c>
      <c r="C1215" s="40">
        <v>46049</v>
      </c>
      <c r="D1215" s="40" t="s">
        <v>32</v>
      </c>
      <c r="E1215" s="40" t="s">
        <v>81</v>
      </c>
      <c r="F1215" s="41">
        <v>23.4</v>
      </c>
      <c r="G1215" s="42" t="s">
        <v>34</v>
      </c>
      <c r="H1215" s="43" t="str">
        <f>IFERROR(VLOOKUP($J1215,'[9]FROM (3)'!$E$4:$F$230,2,FALSE),"")</f>
        <v/>
      </c>
      <c r="I1215" s="44" t="str">
        <f t="shared" si="164"/>
        <v>FLANGE-13 SLUG</v>
      </c>
      <c r="J1215" s="44" t="str">
        <f t="shared" si="169"/>
        <v>ZZ2B7401TX1</v>
      </c>
      <c r="K1215" s="59" t="str">
        <f t="shared" si="163"/>
        <v>PD26010928</v>
      </c>
      <c r="L1215" s="46" t="str" cm="1">
        <f t="array" ref="L1215">IFERROR(_xlfn.IFS(
    LEN($A1215)-LEN(SUBSTITUTE($A1215,"|",""))=12, RIGHT(A1215, LEN(A1215)-FIND("~", SUBSTITUTE(A1215,"|","~", LEN(A1215)-LEN(SUBSTITUTE(A1215,"|",""))))),
    LEN($A1215)-LEN(SUBSTITUTE($A1215,"|",""))=13, MID($A1215, FIND("~", SUBSTITUTE($A1215,"|","~", 11))+1, FIND("~", SUBSTITUTE($A1215,"|","~", 12))-FIND("~", SUBSTITUTE($A1215,"|","~", 11))-1),
    LEN($A1215)-LEN(SUBSTITUTE($A1215,"|",""))=14, MID($A1215, FIND("~", SUBSTITUTE($A1215,"|","~", 11))+1, FIND("~", SUBSTITUTE($A1215,"|","~", 12))-FIND("~", SUBSTITUTE($A1215,"|","~", 11))-1)
), "")</f>
        <v>1-79662</v>
      </c>
      <c r="M1215" s="72" t="str">
        <f t="shared" si="141"/>
        <v>2B2600187</v>
      </c>
      <c r="N1215" s="46" t="str">
        <f t="shared" si="149"/>
        <v/>
      </c>
      <c r="O1215" s="76">
        <v>0</v>
      </c>
      <c r="P1215" s="76">
        <v>0</v>
      </c>
      <c r="Q1215" s="77">
        <v>2733</v>
      </c>
      <c r="R1215" s="77">
        <v>630</v>
      </c>
      <c r="S1215" s="77"/>
      <c r="T1215" s="77"/>
      <c r="U1215" s="83"/>
      <c r="V1215" s="83"/>
      <c r="W1215" s="78"/>
      <c r="X1215" s="51">
        <f>IF(A1215="", "", IF(COUNTIFS(C$3:C1214, C1215, D$3:D1214, D1215, G$3:G1214, G1215) &gt; 0, "", "11:00"-AW1215))</f>
        <v>0.29166666666666663</v>
      </c>
      <c r="Y1215" s="79"/>
      <c r="Z1215" s="80"/>
      <c r="AA1215" s="81"/>
      <c r="AB1215" s="81"/>
      <c r="AC1215" s="81"/>
      <c r="AD1215" s="81"/>
      <c r="AE1215" s="81"/>
      <c r="AF1215" s="81"/>
      <c r="AG1215" s="81"/>
      <c r="AH1215" s="82"/>
      <c r="AI1215" s="81"/>
      <c r="AJ1215" s="81"/>
      <c r="AK1215" s="81"/>
      <c r="AL1215" s="81"/>
      <c r="AM1215" s="81"/>
      <c r="AN1215" s="81"/>
      <c r="AO1215" s="81">
        <v>4.1666666666666664E-2</v>
      </c>
      <c r="AP1215" s="81" t="s">
        <v>147</v>
      </c>
      <c r="AQ1215" s="81">
        <v>4.1666666666666664E-2</v>
      </c>
      <c r="AR1215" s="81" t="s">
        <v>37</v>
      </c>
      <c r="AS1215" s="81">
        <v>4.1666666666666664E-2</v>
      </c>
      <c r="AT1215" s="81" t="s">
        <v>37</v>
      </c>
      <c r="AU1215" s="53">
        <v>4.1666666666666699E-2</v>
      </c>
      <c r="AV1215" s="54" t="s">
        <v>37</v>
      </c>
      <c r="AW1215" s="57">
        <f t="shared" si="168"/>
        <v>0.16666666666666669</v>
      </c>
      <c r="AX1215" s="58" t="s">
        <v>64</v>
      </c>
    </row>
    <row r="1216" spans="1:50" ht="28.5" customHeight="1">
      <c r="A1216" s="66" t="s">
        <v>1004</v>
      </c>
      <c r="B1216" s="39">
        <f t="shared" si="165"/>
        <v>1212</v>
      </c>
      <c r="C1216" s="40">
        <v>46049</v>
      </c>
      <c r="D1216" s="40" t="s">
        <v>32</v>
      </c>
      <c r="E1216" s="40" t="s">
        <v>81</v>
      </c>
      <c r="F1216" s="41">
        <v>83.2</v>
      </c>
      <c r="G1216" s="42" t="s">
        <v>41</v>
      </c>
      <c r="H1216" s="43" t="str">
        <f>IFERROR(VLOOKUP($J1216,'[9]FROM (3)'!$E$4:$F$230,2,FALSE),"")</f>
        <v>DNTH</v>
      </c>
      <c r="I1216" s="44" t="str">
        <f t="shared" si="164"/>
        <v>SHAFT, 2W</v>
      </c>
      <c r="J1216" s="44" t="str">
        <f t="shared" si="169"/>
        <v>TG028383-0420</v>
      </c>
      <c r="K1216" s="59" t="str">
        <f t="shared" si="163"/>
        <v>PD26011134</v>
      </c>
      <c r="L1216" s="46" t="str" cm="1">
        <f t="array" ref="L1216">IFERROR(_xlfn.IFS(
    LEN($A1216)-LEN(SUBSTITUTE($A1216,"|",""))=12, RIGHT(A1216, LEN(A1216)-FIND("~", SUBSTITUTE(A1216,"|","~", LEN(A1216)-LEN(SUBSTITUTE(A1216,"|",""))))),
    LEN($A1216)-LEN(SUBSTITUTE($A1216,"|",""))=13, MID($A1216, FIND("~", SUBSTITUTE($A1216,"|","~", 11))+1, FIND("~", SUBSTITUTE($A1216,"|","~", 12))-FIND("~", SUBSTITUTE($A1216,"|","~", 11))-1),
    LEN($A1216)-LEN(SUBSTITUTE($A1216,"|",""))=14, MID($A1216, FIND("~", SUBSTITUTE($A1216,"|","~", 11))+1, FIND("~", SUBSTITUTE($A1216,"|","~", 12))-FIND("~", SUBSTITUTE($A1216,"|","~", 11))-1)
), "")</f>
        <v>5E0424</v>
      </c>
      <c r="M1216" s="72" t="str">
        <f t="shared" si="141"/>
        <v>SB010154/2/26</v>
      </c>
      <c r="N1216" s="46" t="str">
        <f t="shared" si="149"/>
        <v/>
      </c>
      <c r="O1216" s="76">
        <v>0</v>
      </c>
      <c r="P1216" s="76">
        <v>0</v>
      </c>
      <c r="Q1216" s="77">
        <v>1398</v>
      </c>
      <c r="R1216" s="77">
        <v>205</v>
      </c>
      <c r="S1216" s="77"/>
      <c r="T1216" s="77"/>
      <c r="U1216" s="83"/>
      <c r="V1216" s="83"/>
      <c r="W1216" s="78"/>
      <c r="X1216" s="51">
        <f>IF(A1216="", "", IF(COUNTIFS(C$3:C1215, C1216, D$3:D1215, D1216, G$3:G1215, G1216) &gt; 0, "", "11:00"-AW1216))</f>
        <v>0.29166666666666663</v>
      </c>
      <c r="Y1216" s="79"/>
      <c r="Z1216" s="80"/>
      <c r="AA1216" s="81"/>
      <c r="AB1216" s="81"/>
      <c r="AC1216" s="81"/>
      <c r="AD1216" s="81"/>
      <c r="AE1216" s="81"/>
      <c r="AF1216" s="81"/>
      <c r="AG1216" s="81"/>
      <c r="AH1216" s="82"/>
      <c r="AI1216" s="81"/>
      <c r="AJ1216" s="81"/>
      <c r="AK1216" s="81"/>
      <c r="AL1216" s="81"/>
      <c r="AM1216" s="81"/>
      <c r="AN1216" s="81"/>
      <c r="AO1216" s="81">
        <v>4.1666666666666664E-2</v>
      </c>
      <c r="AP1216" s="81" t="s">
        <v>147</v>
      </c>
      <c r="AQ1216" s="81">
        <v>4.1666666666666664E-2</v>
      </c>
      <c r="AR1216" s="81" t="s">
        <v>37</v>
      </c>
      <c r="AS1216" s="81">
        <v>4.1666666666666664E-2</v>
      </c>
      <c r="AT1216" s="81" t="s">
        <v>37</v>
      </c>
      <c r="AU1216" s="53">
        <v>4.1666666666666699E-2</v>
      </c>
      <c r="AV1216" s="54" t="s">
        <v>37</v>
      </c>
      <c r="AW1216" s="57">
        <f t="shared" si="168"/>
        <v>0.16666666666666669</v>
      </c>
      <c r="AX1216" s="58" t="s">
        <v>64</v>
      </c>
    </row>
    <row r="1217" spans="1:50" ht="28.5" customHeight="1">
      <c r="A1217" s="66" t="s">
        <v>1053</v>
      </c>
      <c r="B1217" s="39">
        <f t="shared" si="165"/>
        <v>1213</v>
      </c>
      <c r="C1217" s="40">
        <v>46049</v>
      </c>
      <c r="D1217" s="40" t="s">
        <v>32</v>
      </c>
      <c r="E1217" s="40" t="s">
        <v>81</v>
      </c>
      <c r="F1217" s="41">
        <v>83.2</v>
      </c>
      <c r="G1217" s="42" t="s">
        <v>41</v>
      </c>
      <c r="H1217" s="43" t="str">
        <f>IFERROR(VLOOKUP($J1217,'[9]FROM (3)'!$E$4:$F$230,2,FALSE),"")</f>
        <v>DNTH</v>
      </c>
      <c r="I1217" s="44" t="str">
        <f t="shared" si="164"/>
        <v>SHAFT, 2W</v>
      </c>
      <c r="J1217" s="44" t="str">
        <f t="shared" si="169"/>
        <v>TG028383-0420</v>
      </c>
      <c r="K1217" s="59" t="str">
        <f t="shared" si="163"/>
        <v>PD26011134</v>
      </c>
      <c r="L1217" s="46" t="str" cm="1">
        <f t="array" ref="L1217">IFERROR(_xlfn.IFS(
    LEN($A1217)-LEN(SUBSTITUTE($A1217,"|",""))=12, RIGHT(A1217, LEN(A1217)-FIND("~", SUBSTITUTE(A1217,"|","~", LEN(A1217)-LEN(SUBSTITUTE(A1217,"|",""))))),
    LEN($A1217)-LEN(SUBSTITUTE($A1217,"|",""))=13, MID($A1217, FIND("~", SUBSTITUTE($A1217,"|","~", 11))+1, FIND("~", SUBSTITUTE($A1217,"|","~", 12))-FIND("~", SUBSTITUTE($A1217,"|","~", 11))-1),
    LEN($A1217)-LEN(SUBSTITUTE($A1217,"|",""))=14, MID($A1217, FIND("~", SUBSTITUTE($A1217,"|","~", 11))+1, FIND("~", SUBSTITUTE($A1217,"|","~", 12))-FIND("~", SUBSTITUTE($A1217,"|","~", 11))-1)
), "")</f>
        <v>5E0424</v>
      </c>
      <c r="M1217" s="72" t="str">
        <f t="shared" si="141"/>
        <v>SB010154/1/26</v>
      </c>
      <c r="N1217" s="46" t="str">
        <f t="shared" si="149"/>
        <v/>
      </c>
      <c r="O1217" s="76">
        <v>111</v>
      </c>
      <c r="P1217" s="76">
        <v>1006</v>
      </c>
      <c r="Q1217" s="77">
        <v>1497</v>
      </c>
      <c r="R1217" s="77">
        <v>220</v>
      </c>
      <c r="S1217" s="77"/>
      <c r="T1217" s="77"/>
      <c r="U1217" s="83"/>
      <c r="V1217" s="83"/>
      <c r="W1217" s="78"/>
      <c r="X1217" s="51" t="str">
        <f>IF(A1217="", "", IF(COUNTIFS(C$3:C1216, C1217, D$3:D1216, D1217, G$3:G1216, G1217) &gt; 0, "", "11:00"-AW1217))</f>
        <v/>
      </c>
      <c r="Y1217" s="79"/>
      <c r="Z1217" s="80"/>
      <c r="AA1217" s="81"/>
      <c r="AB1217" s="81"/>
      <c r="AC1217" s="81"/>
      <c r="AD1217" s="81"/>
      <c r="AE1217" s="81"/>
      <c r="AF1217" s="81"/>
      <c r="AG1217" s="81"/>
      <c r="AH1217" s="82"/>
      <c r="AI1217" s="81"/>
      <c r="AJ1217" s="81"/>
      <c r="AK1217" s="81"/>
      <c r="AL1217" s="81"/>
      <c r="AM1217" s="81"/>
      <c r="AN1217" s="81"/>
      <c r="AO1217" s="81"/>
      <c r="AP1217" s="81"/>
      <c r="AQ1217" s="81"/>
      <c r="AR1217" s="81"/>
      <c r="AS1217" s="81"/>
      <c r="AT1217" s="81"/>
      <c r="AU1217" s="53">
        <v>4.1666666666666699E-2</v>
      </c>
      <c r="AV1217" s="54" t="s">
        <v>37</v>
      </c>
      <c r="AW1217" s="57">
        <f t="shared" si="168"/>
        <v>4.1666666666666699E-2</v>
      </c>
      <c r="AX1217" s="58" t="s">
        <v>64</v>
      </c>
    </row>
    <row r="1218" spans="1:50" ht="28.5" customHeight="1">
      <c r="A1218" s="66" t="s">
        <v>1011</v>
      </c>
      <c r="B1218" s="39">
        <f t="shared" si="165"/>
        <v>1214</v>
      </c>
      <c r="C1218" s="40">
        <v>46049</v>
      </c>
      <c r="D1218" s="40" t="s">
        <v>32</v>
      </c>
      <c r="E1218" s="40" t="s">
        <v>81</v>
      </c>
      <c r="F1218" s="41">
        <v>198.2</v>
      </c>
      <c r="G1218" s="42" t="s">
        <v>44</v>
      </c>
      <c r="H1218" s="43" t="str">
        <f>IFERROR(VLOOKUP($J1218,'[9]FROM (3)'!$E$4:$F$230,2,FALSE),"")</f>
        <v>DNTH</v>
      </c>
      <c r="I1218" s="44" t="str">
        <f t="shared" si="164"/>
        <v>SLUG VALVE ROTARY</v>
      </c>
      <c r="J1218" s="44" t="str">
        <f t="shared" si="169"/>
        <v>TGY95613-0020</v>
      </c>
      <c r="K1218" s="59" t="str">
        <f t="shared" si="163"/>
        <v>PD26011085</v>
      </c>
      <c r="L1218" s="46" t="str" cm="1">
        <f t="array" ref="L1218">IFERROR(_xlfn.IFS(
    LEN($A1218)-LEN(SUBSTITUTE($A1218,"|",""))=12, RIGHT(A1218, LEN(A1218)-FIND("~", SUBSTITUTE(A1218,"|","~", LEN(A1218)-LEN(SUBSTITUTE(A1218,"|",""))))),
    LEN($A1218)-LEN(SUBSTITUTE($A1218,"|",""))=13, MID($A1218, FIND("~", SUBSTITUTE($A1218,"|","~", 11))+1, FIND("~", SUBSTITUTE($A1218,"|","~", 12))-FIND("~", SUBSTITUTE($A1218,"|","~", 11))-1),
    LEN($A1218)-LEN(SUBSTITUTE($A1218,"|",""))=14, MID($A1218, FIND("~", SUBSTITUTE($A1218,"|","~", 11))+1, FIND("~", SUBSTITUTE($A1218,"|","~", 12))-FIND("~", SUBSTITUTE($A1218,"|","~", 11))-1)
), "")</f>
        <v>E585734</v>
      </c>
      <c r="M1218" s="72" t="str">
        <f t="shared" si="141"/>
        <v>SB010147/3/26</v>
      </c>
      <c r="N1218" s="46" t="str">
        <f t="shared" si="149"/>
        <v/>
      </c>
      <c r="O1218" s="76">
        <v>0</v>
      </c>
      <c r="P1218" s="76">
        <v>0</v>
      </c>
      <c r="Q1218" s="77">
        <v>2993</v>
      </c>
      <c r="R1218" s="77">
        <v>593</v>
      </c>
      <c r="S1218" s="77"/>
      <c r="T1218" s="77"/>
      <c r="U1218" s="83"/>
      <c r="V1218" s="83"/>
      <c r="W1218" s="78"/>
      <c r="X1218" s="51">
        <f>IF(A1218="", "", IF(COUNTIFS(C$3:C1217, C1218, D$3:D1217, D1218, G$3:G1217, G1218) &gt; 0, "", "11:00"-AW1218))</f>
        <v>0.29166666666666663</v>
      </c>
      <c r="Y1218" s="79"/>
      <c r="Z1218" s="80"/>
      <c r="AA1218" s="81"/>
      <c r="AB1218" s="81"/>
      <c r="AC1218" s="81"/>
      <c r="AD1218" s="81"/>
      <c r="AE1218" s="81"/>
      <c r="AF1218" s="81"/>
      <c r="AG1218" s="81"/>
      <c r="AH1218" s="82"/>
      <c r="AI1218" s="81"/>
      <c r="AJ1218" s="81"/>
      <c r="AK1218" s="81"/>
      <c r="AL1218" s="81"/>
      <c r="AM1218" s="81"/>
      <c r="AN1218" s="81"/>
      <c r="AO1218" s="81">
        <v>4.1666666666666664E-2</v>
      </c>
      <c r="AP1218" s="81" t="s">
        <v>147</v>
      </c>
      <c r="AQ1218" s="81">
        <v>4.1666666666666664E-2</v>
      </c>
      <c r="AR1218" s="81" t="s">
        <v>37</v>
      </c>
      <c r="AS1218" s="81">
        <v>4.1666666666666664E-2</v>
      </c>
      <c r="AT1218" s="81" t="s">
        <v>37</v>
      </c>
      <c r="AU1218" s="53">
        <v>4.1666666666666699E-2</v>
      </c>
      <c r="AV1218" s="54" t="s">
        <v>37</v>
      </c>
      <c r="AW1218" s="57">
        <f t="shared" si="168"/>
        <v>0.16666666666666669</v>
      </c>
      <c r="AX1218" s="58" t="s">
        <v>64</v>
      </c>
    </row>
    <row r="1219" spans="1:50" ht="28.5" customHeight="1">
      <c r="A1219" s="66" t="s">
        <v>1054</v>
      </c>
      <c r="B1219" s="39">
        <f t="shared" si="165"/>
        <v>1215</v>
      </c>
      <c r="C1219" s="40">
        <v>46049</v>
      </c>
      <c r="D1219" s="40" t="s">
        <v>32</v>
      </c>
      <c r="E1219" s="40" t="s">
        <v>81</v>
      </c>
      <c r="F1219" s="41">
        <v>732.8</v>
      </c>
      <c r="G1219" s="42" t="s">
        <v>192</v>
      </c>
      <c r="H1219" s="43" t="str">
        <f>IFERROR(VLOOKUP($J1219,'[9]FROM (3)'!$E$4:$F$230,2,FALSE),"")</f>
        <v>JATH</v>
      </c>
      <c r="I1219" s="44" t="str">
        <f t="shared" si="164"/>
        <v>JGF02-002060-31-3</v>
      </c>
      <c r="J1219" s="44" t="str">
        <f t="shared" si="169"/>
        <v>RACK BAR BLANK (JGF02-002060-31-3) 58*D</v>
      </c>
      <c r="K1219" s="59" t="str">
        <f t="shared" si="163"/>
        <v>PD26010787</v>
      </c>
      <c r="L1219" s="46" t="str" cm="1">
        <f t="array" ref="L1219">IFERROR(_xlfn.IFS(
    LEN($A1219)-LEN(SUBSTITUTE($A1219,"|",""))=12, RIGHT(A1219, LEN(A1219)-FIND("~", SUBSTITUTE(A1219,"|","~", LEN(A1219)-LEN(SUBSTITUTE(A1219,"|",""))))),
    LEN($A1219)-LEN(SUBSTITUTE($A1219,"|",""))=13, MID($A1219, FIND("~", SUBSTITUTE($A1219,"|","~", 11))+1, FIND("~", SUBSTITUTE($A1219,"|","~", 12))-FIND("~", SUBSTITUTE($A1219,"|","~", 11))-1),
    LEN($A1219)-LEN(SUBSTITUTE($A1219,"|",""))=14, MID($A1219, FIND("~", SUBSTITUTE($A1219,"|","~", 11))+1, FIND("~", SUBSTITUTE($A1219,"|","~", 12))-FIND("~", SUBSTITUTE($A1219,"|","~", 11))-1)
), "")</f>
        <v>5B3838</v>
      </c>
      <c r="M1219" s="72" t="str">
        <f t="shared" si="141"/>
        <v>TSK2</v>
      </c>
      <c r="N1219" s="46" t="str">
        <f t="shared" si="149"/>
        <v>FB010225/6/26</v>
      </c>
      <c r="O1219" s="76">
        <v>58</v>
      </c>
      <c r="P1219" s="76">
        <v>271</v>
      </c>
      <c r="Q1219" s="77">
        <v>58</v>
      </c>
      <c r="R1219" s="77">
        <v>271</v>
      </c>
      <c r="S1219" s="77"/>
      <c r="T1219" s="77"/>
      <c r="U1219" s="83"/>
      <c r="V1219" s="83"/>
      <c r="W1219" s="78"/>
      <c r="X1219" s="51">
        <f>IF(A1219="", "", IF(COUNTIFS(C$3:C1218, C1219, D$3:D1218, D1219, G$3:G1218, G1219) &gt; 0, "", "11:00"-AW1219))</f>
        <v>0.125</v>
      </c>
      <c r="Y1219" s="79"/>
      <c r="Z1219" s="80"/>
      <c r="AA1219" s="81"/>
      <c r="AB1219" s="81"/>
      <c r="AC1219" s="81"/>
      <c r="AD1219" s="81"/>
      <c r="AE1219" s="81"/>
      <c r="AF1219" s="81">
        <v>4.1666666666666664E-2</v>
      </c>
      <c r="AG1219" s="81" t="s">
        <v>129</v>
      </c>
      <c r="AH1219" s="82"/>
      <c r="AI1219" s="81">
        <v>4.1666666666666664E-2</v>
      </c>
      <c r="AJ1219" s="81" t="s">
        <v>129</v>
      </c>
      <c r="AK1219" s="81">
        <v>4.1666666666666664E-2</v>
      </c>
      <c r="AL1219" s="81" t="s">
        <v>129</v>
      </c>
      <c r="AM1219" s="81">
        <v>4.1666666666666664E-2</v>
      </c>
      <c r="AN1219" s="81" t="s">
        <v>129</v>
      </c>
      <c r="AO1219" s="81">
        <v>4.1666666666666664E-2</v>
      </c>
      <c r="AP1219" s="81" t="s">
        <v>147</v>
      </c>
      <c r="AQ1219" s="81">
        <v>4.1666666666666664E-2</v>
      </c>
      <c r="AR1219" s="81" t="s">
        <v>37</v>
      </c>
      <c r="AS1219" s="81">
        <v>4.1666666666666664E-2</v>
      </c>
      <c r="AT1219" s="81" t="s">
        <v>37</v>
      </c>
      <c r="AU1219" s="53">
        <v>4.1666666666666699E-2</v>
      </c>
      <c r="AV1219" s="54" t="s">
        <v>37</v>
      </c>
      <c r="AW1219" s="57">
        <f t="shared" si="168"/>
        <v>0.33333333333333331</v>
      </c>
      <c r="AX1219" s="58" t="s">
        <v>260</v>
      </c>
    </row>
    <row r="1220" spans="1:50" ht="28.5" customHeight="1">
      <c r="A1220" s="66" t="s">
        <v>1055</v>
      </c>
      <c r="B1220" s="39">
        <f t="shared" si="165"/>
        <v>1216</v>
      </c>
      <c r="C1220" s="40">
        <v>46049</v>
      </c>
      <c r="D1220" s="40" t="s">
        <v>32</v>
      </c>
      <c r="E1220" s="40" t="s">
        <v>81</v>
      </c>
      <c r="F1220" s="41">
        <v>732.8</v>
      </c>
      <c r="G1220" s="42" t="s">
        <v>192</v>
      </c>
      <c r="H1220" s="43" t="str">
        <f>IFERROR(VLOOKUP($J1220,'[9]FROM (3)'!$E$4:$F$230,2,FALSE),"")</f>
        <v>JATH</v>
      </c>
      <c r="I1220" s="44" t="str">
        <f t="shared" si="164"/>
        <v>JGF02-002060-31-3</v>
      </c>
      <c r="J1220" s="44" t="str">
        <f t="shared" si="169"/>
        <v>RACK BAR BLANK (JGF02-002060-31-3) 58*D</v>
      </c>
      <c r="K1220" s="59" t="str">
        <f t="shared" si="163"/>
        <v>PD26010787</v>
      </c>
      <c r="L1220" s="46" t="str" cm="1">
        <f t="array" ref="L1220">IFERROR(_xlfn.IFS(
    LEN($A1220)-LEN(SUBSTITUTE($A1220,"|",""))=12, RIGHT(A1220, LEN(A1220)-FIND("~", SUBSTITUTE(A1220,"|","~", LEN(A1220)-LEN(SUBSTITUTE(A1220,"|",""))))),
    LEN($A1220)-LEN(SUBSTITUTE($A1220,"|",""))=13, MID($A1220, FIND("~", SUBSTITUTE($A1220,"|","~", 11))+1, FIND("~", SUBSTITUTE($A1220,"|","~", 12))-FIND("~", SUBSTITUTE($A1220,"|","~", 11))-1),
    LEN($A1220)-LEN(SUBSTITUTE($A1220,"|",""))=14, MID($A1220, FIND("~", SUBSTITUTE($A1220,"|","~", 11))+1, FIND("~", SUBSTITUTE($A1220,"|","~", 12))-FIND("~", SUBSTITUTE($A1220,"|","~", 11))-1)
), "")</f>
        <v>5B3838</v>
      </c>
      <c r="M1220" s="72" t="str">
        <f t="shared" ref="M1220:M1283" si="170">IFERROR(MID(A1220,FIND("~",SUBSTITUTE(A1220,"|","~",10))+1,FIND("~",SUBSTITUTE(A1220,"|","~",11))-FIND("~",SUBSTITUTE(A1220,"|","~",10))-1),"")</f>
        <v>TSK2</v>
      </c>
      <c r="N1220" s="46" t="str">
        <f t="shared" si="149"/>
        <v>FB010225/7/26</v>
      </c>
      <c r="O1220" s="76">
        <v>54</v>
      </c>
      <c r="P1220" s="76">
        <v>252</v>
      </c>
      <c r="Q1220" s="77">
        <v>54</v>
      </c>
      <c r="R1220" s="77">
        <v>252</v>
      </c>
      <c r="S1220" s="77"/>
      <c r="T1220" s="77"/>
      <c r="U1220" s="83"/>
      <c r="V1220" s="83"/>
      <c r="W1220" s="78"/>
      <c r="X1220" s="51" t="str">
        <f>IF(A1220="", "", IF(COUNTIFS(C$3:C1219, C1220, D$3:D1219, D1220, G$3:G1219, G1220) &gt; 0, "", "11:00"-AW1220))</f>
        <v/>
      </c>
      <c r="Y1220" s="79"/>
      <c r="Z1220" s="80"/>
      <c r="AA1220" s="81"/>
      <c r="AB1220" s="81"/>
      <c r="AC1220" s="81"/>
      <c r="AD1220" s="81"/>
      <c r="AE1220" s="81"/>
      <c r="AF1220" s="81"/>
      <c r="AG1220" s="81"/>
      <c r="AH1220" s="82"/>
      <c r="AI1220" s="81"/>
      <c r="AJ1220" s="81"/>
      <c r="AK1220" s="81"/>
      <c r="AL1220" s="81"/>
      <c r="AM1220" s="81"/>
      <c r="AN1220" s="81"/>
      <c r="AO1220" s="81"/>
      <c r="AP1220" s="81"/>
      <c r="AQ1220" s="81"/>
      <c r="AR1220" s="81"/>
      <c r="AS1220" s="81"/>
      <c r="AT1220" s="81"/>
      <c r="AU1220" s="53">
        <v>4.1666666666666699E-2</v>
      </c>
      <c r="AV1220" s="54" t="s">
        <v>37</v>
      </c>
      <c r="AW1220" s="57">
        <f t="shared" si="168"/>
        <v>4.1666666666666699E-2</v>
      </c>
      <c r="AX1220" s="58" t="s">
        <v>260</v>
      </c>
    </row>
    <row r="1221" spans="1:50" ht="28.5" customHeight="1">
      <c r="A1221" s="66" t="s">
        <v>1056</v>
      </c>
      <c r="B1221" s="39">
        <f t="shared" si="165"/>
        <v>1217</v>
      </c>
      <c r="C1221" s="40">
        <v>46049</v>
      </c>
      <c r="D1221" s="40" t="s">
        <v>32</v>
      </c>
      <c r="E1221" s="40" t="s">
        <v>81</v>
      </c>
      <c r="F1221" s="41">
        <v>732.8</v>
      </c>
      <c r="G1221" s="42" t="s">
        <v>192</v>
      </c>
      <c r="H1221" s="43" t="str">
        <f>IFERROR(VLOOKUP($J1221,'[9]FROM (3)'!$E$4:$F$230,2,FALSE),"")</f>
        <v>JATH</v>
      </c>
      <c r="I1221" s="44" t="str">
        <f t="shared" si="164"/>
        <v>JGF02-002060-31-3</v>
      </c>
      <c r="J1221" s="44" t="str">
        <f t="shared" si="169"/>
        <v>RACK BAR BLANK (JGF02-002060-31-3) 58*D</v>
      </c>
      <c r="K1221" s="59" t="str">
        <f t="shared" si="163"/>
        <v>PD26010787</v>
      </c>
      <c r="L1221" s="46" t="str" cm="1">
        <f t="array" ref="L1221">IFERROR(_xlfn.IFS(
    LEN($A1221)-LEN(SUBSTITUTE($A1221,"|",""))=12, RIGHT(A1221, LEN(A1221)-FIND("~", SUBSTITUTE(A1221,"|","~", LEN(A1221)-LEN(SUBSTITUTE(A1221,"|",""))))),
    LEN($A1221)-LEN(SUBSTITUTE($A1221,"|",""))=13, MID($A1221, FIND("~", SUBSTITUTE($A1221,"|","~", 11))+1, FIND("~", SUBSTITUTE($A1221,"|","~", 12))-FIND("~", SUBSTITUTE($A1221,"|","~", 11))-1),
    LEN($A1221)-LEN(SUBSTITUTE($A1221,"|",""))=14, MID($A1221, FIND("~", SUBSTITUTE($A1221,"|","~", 11))+1, FIND("~", SUBSTITUTE($A1221,"|","~", 12))-FIND("~", SUBSTITUTE($A1221,"|","~", 11))-1)
), "")</f>
        <v>5B3838</v>
      </c>
      <c r="M1221" s="72" t="str">
        <f t="shared" si="170"/>
        <v>TSK2</v>
      </c>
      <c r="N1221" s="46" t="str">
        <f t="shared" si="149"/>
        <v>FB010225/5/26</v>
      </c>
      <c r="O1221" s="76">
        <v>55</v>
      </c>
      <c r="P1221" s="76">
        <v>257</v>
      </c>
      <c r="Q1221" s="77">
        <v>55</v>
      </c>
      <c r="R1221" s="77">
        <v>257</v>
      </c>
      <c r="S1221" s="77"/>
      <c r="T1221" s="77"/>
      <c r="U1221" s="83"/>
      <c r="V1221" s="83"/>
      <c r="W1221" s="78"/>
      <c r="X1221" s="51" t="str">
        <f>IF(A1221="", "", IF(COUNTIFS(C$3:C1220, C1221, D$3:D1220, D1221, G$3:G1220, G1221) &gt; 0, "", "11:00"-AW1221))</f>
        <v/>
      </c>
      <c r="Y1221" s="79"/>
      <c r="Z1221" s="80"/>
      <c r="AA1221" s="81"/>
      <c r="AB1221" s="81"/>
      <c r="AC1221" s="81"/>
      <c r="AD1221" s="81"/>
      <c r="AE1221" s="81"/>
      <c r="AF1221" s="81"/>
      <c r="AG1221" s="81"/>
      <c r="AH1221" s="82"/>
      <c r="AI1221" s="81"/>
      <c r="AJ1221" s="81"/>
      <c r="AK1221" s="81"/>
      <c r="AL1221" s="81"/>
      <c r="AM1221" s="81"/>
      <c r="AN1221" s="81"/>
      <c r="AO1221" s="81"/>
      <c r="AP1221" s="81"/>
      <c r="AQ1221" s="81"/>
      <c r="AR1221" s="81"/>
      <c r="AS1221" s="81"/>
      <c r="AT1221" s="81"/>
      <c r="AU1221" s="53">
        <v>4.1666666666666699E-2</v>
      </c>
      <c r="AV1221" s="54" t="s">
        <v>37</v>
      </c>
      <c r="AW1221" s="57">
        <f t="shared" si="168"/>
        <v>4.1666666666666699E-2</v>
      </c>
      <c r="AX1221" s="58" t="s">
        <v>260</v>
      </c>
    </row>
    <row r="1222" spans="1:50" ht="28.5" customHeight="1">
      <c r="A1222" s="66" t="s">
        <v>1042</v>
      </c>
      <c r="B1222" s="39">
        <f t="shared" si="165"/>
        <v>1218</v>
      </c>
      <c r="C1222" s="40">
        <v>46049</v>
      </c>
      <c r="D1222" s="40" t="s">
        <v>32</v>
      </c>
      <c r="E1222" s="40" t="s">
        <v>81</v>
      </c>
      <c r="F1222" s="41">
        <v>698.5</v>
      </c>
      <c r="G1222" s="42" t="s">
        <v>54</v>
      </c>
      <c r="H1222" s="43" t="str">
        <f>IFERROR(VLOOKUP($J1222,'[9]FROM (3)'!$E$4:$F$230,2,FALSE),"")</f>
        <v>JCTTH</v>
      </c>
      <c r="I1222" s="44" t="str">
        <f t="shared" si="164"/>
        <v>RACK BAR</v>
      </c>
      <c r="J1222" s="44" t="str">
        <f t="shared" si="169"/>
        <v>JGD10-000751/000761-A</v>
      </c>
      <c r="K1222" s="59" t="str">
        <f t="shared" ref="K1222:K1285" si="171">IFERROR(LEFT(A1222,SEARCH("|",A1222)-1),"")</f>
        <v>PD26010979</v>
      </c>
      <c r="L1222" s="46" t="str" cm="1">
        <f t="array" ref="L1222">IFERROR(_xlfn.IFS(
    LEN($A1222)-LEN(SUBSTITUTE($A1222,"|",""))=12, RIGHT(A1222, LEN(A1222)-FIND("~", SUBSTITUTE(A1222,"|","~", LEN(A1222)-LEN(SUBSTITUTE(A1222,"|",""))))),
    LEN($A1222)-LEN(SUBSTITUTE($A1222,"|",""))=13, MID($A1222, FIND("~", SUBSTITUTE($A1222,"|","~", 11))+1, FIND("~", SUBSTITUTE($A1222,"|","~", 12))-FIND("~", SUBSTITUTE($A1222,"|","~", 11))-1),
    LEN($A1222)-LEN(SUBSTITUTE($A1222,"|",""))=14, MID($A1222, FIND("~", SUBSTITUTE($A1222,"|","~", 11))+1, FIND("~", SUBSTITUTE($A1222,"|","~", 12))-FIND("~", SUBSTITUTE($A1222,"|","~", 11))-1)
), "")</f>
        <v>665077</v>
      </c>
      <c r="M1222" s="72" t="str">
        <f t="shared" si="170"/>
        <v>SB010127/5/26</v>
      </c>
      <c r="N1222" s="46" t="str">
        <f t="shared" si="149"/>
        <v/>
      </c>
      <c r="O1222" s="76"/>
      <c r="P1222" s="76"/>
      <c r="Q1222" s="77">
        <v>2</v>
      </c>
      <c r="R1222" s="77">
        <v>9</v>
      </c>
      <c r="S1222" s="77"/>
      <c r="T1222" s="77"/>
      <c r="U1222" s="83"/>
      <c r="V1222" s="83"/>
      <c r="W1222" s="78"/>
      <c r="X1222" s="51">
        <f>IF(A1222="", "", IF(COUNTIFS(C$3:C1221, C1222, D$3:D1221, D1222, G$3:G1221, G1222) &gt; 0, "", "11:00"-AW1222))</f>
        <v>0.29166666666666663</v>
      </c>
      <c r="Y1222" s="79"/>
      <c r="Z1222" s="80"/>
      <c r="AA1222" s="81"/>
      <c r="AB1222" s="81"/>
      <c r="AC1222" s="81" t="s">
        <v>122</v>
      </c>
      <c r="AD1222" s="81"/>
      <c r="AE1222" s="81"/>
      <c r="AF1222" s="81"/>
      <c r="AG1222" s="81"/>
      <c r="AH1222" s="82"/>
      <c r="AI1222" s="81"/>
      <c r="AJ1222" s="81"/>
      <c r="AK1222" s="81"/>
      <c r="AL1222" s="81"/>
      <c r="AM1222" s="81"/>
      <c r="AN1222" s="81"/>
      <c r="AO1222" s="81">
        <v>4.1666666666666664E-2</v>
      </c>
      <c r="AP1222" s="81" t="s">
        <v>147</v>
      </c>
      <c r="AQ1222" s="81">
        <v>4.1666666666666664E-2</v>
      </c>
      <c r="AR1222" s="81" t="s">
        <v>37</v>
      </c>
      <c r="AS1222" s="81">
        <v>4.1666666666666664E-2</v>
      </c>
      <c r="AT1222" s="81" t="s">
        <v>37</v>
      </c>
      <c r="AU1222" s="53">
        <v>4.1666666666666699E-2</v>
      </c>
      <c r="AV1222" s="54" t="s">
        <v>37</v>
      </c>
      <c r="AW1222" s="57">
        <f t="shared" si="168"/>
        <v>0.16666666666666669</v>
      </c>
      <c r="AX1222" s="58" t="s">
        <v>56</v>
      </c>
    </row>
    <row r="1223" spans="1:50" ht="28.5" customHeight="1">
      <c r="A1223" s="66" t="s">
        <v>1057</v>
      </c>
      <c r="B1223" s="39">
        <f t="shared" si="165"/>
        <v>1219</v>
      </c>
      <c r="C1223" s="40">
        <v>46049</v>
      </c>
      <c r="D1223" s="40" t="s">
        <v>32</v>
      </c>
      <c r="E1223" s="40" t="s">
        <v>81</v>
      </c>
      <c r="F1223" s="41">
        <v>68.5</v>
      </c>
      <c r="G1223" s="42" t="s">
        <v>54</v>
      </c>
      <c r="H1223" s="43" t="str">
        <f>IFERROR(VLOOKUP($J1223,'[9]FROM (3)'!$E$4:$F$230,2,FALSE),"")</f>
        <v>JCTTH</v>
      </c>
      <c r="I1223" s="44" t="str">
        <f t="shared" ref="I1223:I1286" si="172">IFERROR(MID(A1223,FIND("~",SUBSTITUTE(A1223,"|","~",4))+1,FIND("~",SUBSTITUTE(A1223,"|","~",5))-FIND("~",SUBSTITUTE(A1223,"|","~",4))-1),"")</f>
        <v>RACK BAR</v>
      </c>
      <c r="J1223" s="44" t="str">
        <f t="shared" si="169"/>
        <v>JGD10-000751/000761-A</v>
      </c>
      <c r="K1223" s="59" t="str">
        <f t="shared" si="171"/>
        <v>PD26010979</v>
      </c>
      <c r="L1223" s="46" t="str" cm="1">
        <f t="array" ref="L1223">IFERROR(_xlfn.IFS(
    LEN($A1223)-LEN(SUBSTITUTE($A1223,"|",""))=12, RIGHT(A1223, LEN(A1223)-FIND("~", SUBSTITUTE(A1223,"|","~", LEN(A1223)-LEN(SUBSTITUTE(A1223,"|",""))))),
    LEN($A1223)-LEN(SUBSTITUTE($A1223,"|",""))=13, MID($A1223, FIND("~", SUBSTITUTE($A1223,"|","~", 11))+1, FIND("~", SUBSTITUTE($A1223,"|","~", 12))-FIND("~", SUBSTITUTE($A1223,"|","~", 11))-1),
    LEN($A1223)-LEN(SUBSTITUTE($A1223,"|",""))=14, MID($A1223, FIND("~", SUBSTITUTE($A1223,"|","~", 11))+1, FIND("~", SUBSTITUTE($A1223,"|","~", 12))-FIND("~", SUBSTITUTE($A1223,"|","~", 11))-1)
), "")</f>
        <v>665077</v>
      </c>
      <c r="M1223" s="72" t="str">
        <f t="shared" si="170"/>
        <v>SB010127/6/26</v>
      </c>
      <c r="N1223" s="46" t="str">
        <f t="shared" si="149"/>
        <v/>
      </c>
      <c r="O1223" s="76">
        <v>51</v>
      </c>
      <c r="P1223" s="76">
        <v>984</v>
      </c>
      <c r="Q1223" s="77">
        <v>204</v>
      </c>
      <c r="R1223" s="77">
        <v>913</v>
      </c>
      <c r="S1223" s="77"/>
      <c r="T1223" s="77"/>
      <c r="U1223" s="83">
        <v>195</v>
      </c>
      <c r="V1223" s="83">
        <v>10</v>
      </c>
      <c r="W1223" s="78"/>
      <c r="X1223" s="51" t="str">
        <f>IF(A1223="", "", IF(COUNTIFS(C$3:C1222, C1223, D$3:D1222, D1223, G$3:G1222, G1223) &gt; 0, "", "11:00"-AW1223))</f>
        <v/>
      </c>
      <c r="Y1223" s="79"/>
      <c r="Z1223" s="80"/>
      <c r="AA1223" s="81"/>
      <c r="AB1223" s="81"/>
      <c r="AC1223" s="81"/>
      <c r="AD1223" s="81"/>
      <c r="AE1223" s="81"/>
      <c r="AF1223" s="81"/>
      <c r="AG1223" s="81"/>
      <c r="AH1223" s="82"/>
      <c r="AI1223" s="81"/>
      <c r="AJ1223" s="81"/>
      <c r="AK1223" s="81"/>
      <c r="AL1223" s="81"/>
      <c r="AM1223" s="81"/>
      <c r="AN1223" s="81"/>
      <c r="AO1223" s="81"/>
      <c r="AP1223" s="81"/>
      <c r="AQ1223" s="81"/>
      <c r="AR1223" s="81"/>
      <c r="AS1223" s="81"/>
      <c r="AT1223" s="81"/>
      <c r="AU1223" s="53">
        <v>4.1666666666666699E-2</v>
      </c>
      <c r="AV1223" s="54" t="s">
        <v>37</v>
      </c>
      <c r="AW1223" s="57">
        <f t="shared" si="168"/>
        <v>4.1666666666666699E-2</v>
      </c>
      <c r="AX1223" s="58" t="s">
        <v>56</v>
      </c>
    </row>
    <row r="1224" spans="1:50" ht="28.5" customHeight="1">
      <c r="A1224" s="66" t="s">
        <v>1058</v>
      </c>
      <c r="B1224" s="39">
        <f t="shared" si="165"/>
        <v>1220</v>
      </c>
      <c r="C1224" s="40">
        <v>46049</v>
      </c>
      <c r="D1224" s="40" t="s">
        <v>32</v>
      </c>
      <c r="E1224" s="40" t="s">
        <v>81</v>
      </c>
      <c r="F1224" s="41">
        <v>698.5</v>
      </c>
      <c r="G1224" s="42" t="s">
        <v>54</v>
      </c>
      <c r="H1224" s="43" t="str">
        <f>IFERROR(VLOOKUP($J1224,'[9]FROM (3)'!$E$4:$F$230,2,FALSE),"")</f>
        <v>JCTTH</v>
      </c>
      <c r="I1224" s="44" t="str">
        <f t="shared" si="172"/>
        <v>RACK BAR</v>
      </c>
      <c r="J1224" s="44" t="str">
        <f t="shared" si="169"/>
        <v>JGD10-000751/000761-A</v>
      </c>
      <c r="K1224" s="59" t="str">
        <f t="shared" si="171"/>
        <v>PD26010978</v>
      </c>
      <c r="L1224" s="46" t="str" cm="1">
        <f t="array" ref="L1224">IFERROR(_xlfn.IFS(
    LEN($A1224)-LEN(SUBSTITUTE($A1224,"|",""))=12, RIGHT(A1224, LEN(A1224)-FIND("~", SUBSTITUTE(A1224,"|","~", LEN(A1224)-LEN(SUBSTITUTE(A1224,"|",""))))),
    LEN($A1224)-LEN(SUBSTITUTE($A1224,"|",""))=13, MID($A1224, FIND("~", SUBSTITUTE($A1224,"|","~", 11))+1, FIND("~", SUBSTITUTE($A1224,"|","~", 12))-FIND("~", SUBSTITUTE($A1224,"|","~", 11))-1),
    LEN($A1224)-LEN(SUBSTITUTE($A1224,"|",""))=14, MID($A1224, FIND("~", SUBSTITUTE($A1224,"|","~", 11))+1, FIND("~", SUBSTITUTE($A1224,"|","~", 12))-FIND("~", SUBSTITUTE($A1224,"|","~", 11))-1)
), "")</f>
        <v>665077</v>
      </c>
      <c r="M1224" s="72" t="str">
        <f t="shared" si="170"/>
        <v>SB010127/3/26</v>
      </c>
      <c r="N1224" s="46" t="str">
        <f t="shared" si="149"/>
        <v/>
      </c>
      <c r="O1224" s="76">
        <v>51</v>
      </c>
      <c r="P1224" s="76">
        <v>984</v>
      </c>
      <c r="Q1224" s="77">
        <v>204</v>
      </c>
      <c r="R1224" s="77">
        <v>913</v>
      </c>
      <c r="S1224" s="77"/>
      <c r="T1224" s="77"/>
      <c r="U1224" s="83"/>
      <c r="V1224" s="83"/>
      <c r="W1224" s="78"/>
      <c r="X1224" s="51" t="str">
        <f>IF(A1224="", "", IF(COUNTIFS(C$3:C1223, C1224, D$3:D1223, D1224, G$3:G1223, G1224) &gt; 0, "", "11:00"-AW1224))</f>
        <v/>
      </c>
      <c r="Y1224" s="79"/>
      <c r="Z1224" s="80"/>
      <c r="AA1224" s="81"/>
      <c r="AB1224" s="81"/>
      <c r="AC1224" s="81"/>
      <c r="AD1224" s="81"/>
      <c r="AE1224" s="81"/>
      <c r="AF1224" s="81"/>
      <c r="AG1224" s="81"/>
      <c r="AH1224" s="82"/>
      <c r="AI1224" s="81"/>
      <c r="AJ1224" s="81"/>
      <c r="AK1224" s="81"/>
      <c r="AL1224" s="81"/>
      <c r="AM1224" s="81"/>
      <c r="AN1224" s="81"/>
      <c r="AO1224" s="81"/>
      <c r="AP1224" s="81"/>
      <c r="AQ1224" s="81"/>
      <c r="AR1224" s="81"/>
      <c r="AS1224" s="81"/>
      <c r="AT1224" s="81"/>
      <c r="AU1224" s="53">
        <v>4.1666666666666699E-2</v>
      </c>
      <c r="AV1224" s="54" t="s">
        <v>37</v>
      </c>
      <c r="AW1224" s="57">
        <f t="shared" si="168"/>
        <v>4.1666666666666699E-2</v>
      </c>
      <c r="AX1224" s="58" t="s">
        <v>56</v>
      </c>
    </row>
    <row r="1225" spans="1:50" ht="28.5" customHeight="1">
      <c r="A1225" s="66" t="s">
        <v>1059</v>
      </c>
      <c r="B1225" s="39">
        <f t="shared" si="165"/>
        <v>1221</v>
      </c>
      <c r="C1225" s="40">
        <v>46049</v>
      </c>
      <c r="D1225" s="40" t="s">
        <v>32</v>
      </c>
      <c r="E1225" s="40" t="s">
        <v>81</v>
      </c>
      <c r="F1225" s="41">
        <v>698.5</v>
      </c>
      <c r="G1225" s="42" t="s">
        <v>54</v>
      </c>
      <c r="H1225" s="43" t="str">
        <f>IFERROR(VLOOKUP($J1225,'[9]FROM (3)'!$E$4:$F$230,2,FALSE),"")</f>
        <v>JCTTH</v>
      </c>
      <c r="I1225" s="44" t="str">
        <f t="shared" si="172"/>
        <v>RACK BAR</v>
      </c>
      <c r="J1225" s="44" t="str">
        <f t="shared" si="169"/>
        <v>JGD10-000751/000761-A</v>
      </c>
      <c r="K1225" s="59" t="str">
        <f t="shared" si="171"/>
        <v>PD26010978</v>
      </c>
      <c r="L1225" s="46" t="str" cm="1">
        <f t="array" ref="L1225">IFERROR(_xlfn.IFS(
    LEN($A1225)-LEN(SUBSTITUTE($A1225,"|",""))=12, RIGHT(A1225, LEN(A1225)-FIND("~", SUBSTITUTE(A1225,"|","~", LEN(A1225)-LEN(SUBSTITUTE(A1225,"|",""))))),
    LEN($A1225)-LEN(SUBSTITUTE($A1225,"|",""))=13, MID($A1225, FIND("~", SUBSTITUTE($A1225,"|","~", 11))+1, FIND("~", SUBSTITUTE($A1225,"|","~", 12))-FIND("~", SUBSTITUTE($A1225,"|","~", 11))-1),
    LEN($A1225)-LEN(SUBSTITUTE($A1225,"|",""))=14, MID($A1225, FIND("~", SUBSTITUTE($A1225,"|","~", 11))+1, FIND("~", SUBSTITUTE($A1225,"|","~", 12))-FIND("~", SUBSTITUTE($A1225,"|","~", 11))-1)
), "")</f>
        <v>665077</v>
      </c>
      <c r="M1225" s="72" t="str">
        <f t="shared" si="170"/>
        <v>SB010127/1/26</v>
      </c>
      <c r="N1225" s="46" t="str">
        <f t="shared" si="149"/>
        <v/>
      </c>
      <c r="O1225" s="76">
        <v>52</v>
      </c>
      <c r="P1225" s="76">
        <v>1006</v>
      </c>
      <c r="Q1225" s="77">
        <v>208</v>
      </c>
      <c r="R1225" s="77">
        <v>931</v>
      </c>
      <c r="S1225" s="77"/>
      <c r="T1225" s="77"/>
      <c r="U1225" s="83"/>
      <c r="V1225" s="83"/>
      <c r="W1225" s="78"/>
      <c r="X1225" s="51" t="str">
        <f>IF(A1225="", "", IF(COUNTIFS(C$3:C1224, C1225, D$3:D1224, D1225, G$3:G1224, G1225) &gt; 0, "", "11:00"-AW1225))</f>
        <v/>
      </c>
      <c r="Y1225" s="79"/>
      <c r="Z1225" s="80"/>
      <c r="AA1225" s="81"/>
      <c r="AB1225" s="81"/>
      <c r="AC1225" s="81"/>
      <c r="AD1225" s="81"/>
      <c r="AE1225" s="81"/>
      <c r="AF1225" s="81"/>
      <c r="AG1225" s="81"/>
      <c r="AH1225" s="82"/>
      <c r="AI1225" s="81"/>
      <c r="AJ1225" s="81"/>
      <c r="AK1225" s="81"/>
      <c r="AL1225" s="81"/>
      <c r="AM1225" s="81"/>
      <c r="AN1225" s="81"/>
      <c r="AO1225" s="81"/>
      <c r="AP1225" s="81"/>
      <c r="AQ1225" s="81"/>
      <c r="AR1225" s="81"/>
      <c r="AS1225" s="81"/>
      <c r="AT1225" s="81"/>
      <c r="AU1225" s="53">
        <v>4.1666666666666699E-2</v>
      </c>
      <c r="AV1225" s="54" t="s">
        <v>37</v>
      </c>
      <c r="AW1225" s="57">
        <f t="shared" si="168"/>
        <v>4.1666666666666699E-2</v>
      </c>
      <c r="AX1225" s="58" t="s">
        <v>56</v>
      </c>
    </row>
    <row r="1226" spans="1:50" ht="28.5" customHeight="1">
      <c r="A1226" s="66" t="s">
        <v>1060</v>
      </c>
      <c r="B1226" s="39">
        <f t="shared" ref="B1226:B1289" si="173">IF(A1226="","",B1225+1)</f>
        <v>1222</v>
      </c>
      <c r="C1226" s="40">
        <v>46049</v>
      </c>
      <c r="D1226" s="40" t="s">
        <v>32</v>
      </c>
      <c r="E1226" s="40" t="s">
        <v>81</v>
      </c>
      <c r="F1226" s="41">
        <v>698.5</v>
      </c>
      <c r="G1226" s="42" t="s">
        <v>54</v>
      </c>
      <c r="H1226" s="43" t="str">
        <f>IFERROR(VLOOKUP($J1226,'[9]FROM (3)'!$E$4:$F$230,2,FALSE),"")</f>
        <v>JCTTH</v>
      </c>
      <c r="I1226" s="44" t="str">
        <f t="shared" si="172"/>
        <v>RACK BAR</v>
      </c>
      <c r="J1226" s="44" t="str">
        <f t="shared" si="169"/>
        <v>JGD10-000751/000761-A</v>
      </c>
      <c r="K1226" s="59" t="str">
        <f t="shared" si="171"/>
        <v>PD26010978</v>
      </c>
      <c r="L1226" s="46" t="str" cm="1">
        <f t="array" ref="L1226">IFERROR(_xlfn.IFS(
    LEN($A1226)-LEN(SUBSTITUTE($A1226,"|",""))=12, RIGHT(A1226, LEN(A1226)-FIND("~", SUBSTITUTE(A1226,"|","~", LEN(A1226)-LEN(SUBSTITUTE(A1226,"|",""))))),
    LEN($A1226)-LEN(SUBSTITUTE($A1226,"|",""))=13, MID($A1226, FIND("~", SUBSTITUTE($A1226,"|","~", 11))+1, FIND("~", SUBSTITUTE($A1226,"|","~", 12))-FIND("~", SUBSTITUTE($A1226,"|","~", 11))-1),
    LEN($A1226)-LEN(SUBSTITUTE($A1226,"|",""))=14, MID($A1226, FIND("~", SUBSTITUTE($A1226,"|","~", 11))+1, FIND("~", SUBSTITUTE($A1226,"|","~", 12))-FIND("~", SUBSTITUTE($A1226,"|","~", 11))-1)
), "")</f>
        <v>665077</v>
      </c>
      <c r="M1226" s="72" t="str">
        <f t="shared" si="170"/>
        <v>SB010127/2/26</v>
      </c>
      <c r="N1226" s="46" t="str">
        <f t="shared" si="149"/>
        <v/>
      </c>
      <c r="O1226" s="76">
        <v>51</v>
      </c>
      <c r="P1226" s="76">
        <v>964</v>
      </c>
      <c r="Q1226" s="77">
        <v>145</v>
      </c>
      <c r="R1226" s="77">
        <v>649</v>
      </c>
      <c r="S1226" s="77"/>
      <c r="T1226" s="77"/>
      <c r="U1226" s="83"/>
      <c r="V1226" s="83"/>
      <c r="W1226" s="78"/>
      <c r="X1226" s="51" t="str">
        <f>IF(A1226="", "", IF(COUNTIFS(C$3:C1225, C1226, D$3:D1225, D1226, G$3:G1225, G1226) &gt; 0, "", "11:00"-AW1226))</f>
        <v/>
      </c>
      <c r="Y1226" s="79"/>
      <c r="Z1226" s="80"/>
      <c r="AA1226" s="81"/>
      <c r="AB1226" s="81"/>
      <c r="AC1226" s="81"/>
      <c r="AD1226" s="81"/>
      <c r="AE1226" s="81"/>
      <c r="AF1226" s="81"/>
      <c r="AG1226" s="81"/>
      <c r="AH1226" s="82"/>
      <c r="AI1226" s="81"/>
      <c r="AJ1226" s="81"/>
      <c r="AK1226" s="81"/>
      <c r="AL1226" s="81"/>
      <c r="AM1226" s="81"/>
      <c r="AN1226" s="81"/>
      <c r="AO1226" s="81"/>
      <c r="AP1226" s="81"/>
      <c r="AQ1226" s="81"/>
      <c r="AR1226" s="81"/>
      <c r="AS1226" s="81"/>
      <c r="AT1226" s="81"/>
      <c r="AU1226" s="53">
        <v>4.1666666666666699E-2</v>
      </c>
      <c r="AV1226" s="54" t="s">
        <v>37</v>
      </c>
      <c r="AW1226" s="57">
        <f t="shared" si="168"/>
        <v>4.1666666666666699E-2</v>
      </c>
      <c r="AX1226" s="58" t="s">
        <v>56</v>
      </c>
    </row>
    <row r="1227" spans="1:50" ht="28.5" customHeight="1">
      <c r="A1227" s="66" t="s">
        <v>1052</v>
      </c>
      <c r="B1227" s="39">
        <f t="shared" si="173"/>
        <v>1223</v>
      </c>
      <c r="C1227" s="40">
        <v>46049</v>
      </c>
      <c r="D1227" s="40" t="s">
        <v>32</v>
      </c>
      <c r="E1227" s="40" t="s">
        <v>81</v>
      </c>
      <c r="F1227" s="41">
        <v>732.4</v>
      </c>
      <c r="G1227" s="42" t="s">
        <v>46</v>
      </c>
      <c r="H1227" s="43" t="str">
        <f>IFERROR(VLOOKUP($J1227,'[9]FROM (3)'!$E$4:$F$230,2,FALSE),"")</f>
        <v>JATH</v>
      </c>
      <c r="I1227" s="44" t="str">
        <f t="shared" si="172"/>
        <v>RACK BAR BLANK</v>
      </c>
      <c r="J1227" s="44" t="str">
        <f t="shared" si="169"/>
        <v>JGF02-002060-31-3</v>
      </c>
      <c r="K1227" s="59" t="str">
        <f t="shared" si="171"/>
        <v>PD25121306</v>
      </c>
      <c r="L1227" s="46" t="str" cm="1">
        <f t="array" ref="L1227">IFERROR(_xlfn.IFS(
    LEN($A1227)-LEN(SUBSTITUTE($A1227,"|",""))=12, RIGHT(A1227, LEN(A1227)-FIND("~", SUBSTITUTE(A1227,"|","~", LEN(A1227)-LEN(SUBSTITUTE(A1227,"|",""))))),
    LEN($A1227)-LEN(SUBSTITUTE($A1227,"|",""))=13, MID($A1227, FIND("~", SUBSTITUTE($A1227,"|","~", 11))+1, FIND("~", SUBSTITUTE($A1227,"|","~", 12))-FIND("~", SUBSTITUTE($A1227,"|","~", 11))-1),
    LEN($A1227)-LEN(SUBSTITUTE($A1227,"|",""))=14, MID($A1227, FIND("~", SUBSTITUTE($A1227,"|","~", 11))+1, FIND("~", SUBSTITUTE($A1227,"|","~", 12))-FIND("~", SUBSTITUTE($A1227,"|","~", 11))-1)
), "")</f>
        <v>5B0230</v>
      </c>
      <c r="M1227" s="72" t="str">
        <f t="shared" si="170"/>
        <v>SB120188/5/25</v>
      </c>
      <c r="N1227" s="46" t="str">
        <f t="shared" si="149"/>
        <v/>
      </c>
      <c r="O1227" s="76" t="s">
        <v>35</v>
      </c>
      <c r="P1227" s="76" t="s">
        <v>35</v>
      </c>
      <c r="Q1227" s="77">
        <v>100</v>
      </c>
      <c r="R1227" s="77">
        <v>467</v>
      </c>
      <c r="S1227" s="77"/>
      <c r="T1227" s="77"/>
      <c r="U1227" s="83">
        <v>201</v>
      </c>
      <c r="V1227" s="83">
        <v>15</v>
      </c>
      <c r="W1227" s="78"/>
      <c r="X1227" s="51">
        <f>IF(A1227="", "", IF(COUNTIFS(C$3:C1226, C1227, D$3:D1226, D1227, G$3:G1226, G1227) &gt; 0, "", "11:00"-AW1227))</f>
        <v>0.29166666666666663</v>
      </c>
      <c r="Y1227" s="79"/>
      <c r="Z1227" s="80"/>
      <c r="AA1227" s="81"/>
      <c r="AB1227" s="81"/>
      <c r="AC1227" s="81"/>
      <c r="AD1227" s="81"/>
      <c r="AE1227" s="81"/>
      <c r="AF1227" s="81"/>
      <c r="AG1227" s="81"/>
      <c r="AH1227" s="82"/>
      <c r="AI1227" s="81"/>
      <c r="AJ1227" s="81"/>
      <c r="AK1227" s="81"/>
      <c r="AL1227" s="81"/>
      <c r="AM1227" s="81"/>
      <c r="AN1227" s="81"/>
      <c r="AO1227" s="81">
        <v>4.1666666666666664E-2</v>
      </c>
      <c r="AP1227" s="81" t="s">
        <v>147</v>
      </c>
      <c r="AQ1227" s="81">
        <v>4.1666666666666664E-2</v>
      </c>
      <c r="AR1227" s="81" t="s">
        <v>37</v>
      </c>
      <c r="AS1227" s="81">
        <v>4.1666666666666664E-2</v>
      </c>
      <c r="AT1227" s="81" t="s">
        <v>37</v>
      </c>
      <c r="AU1227" s="53">
        <v>4.1666666666666699E-2</v>
      </c>
      <c r="AV1227" s="54" t="s">
        <v>37</v>
      </c>
      <c r="AW1227" s="57">
        <f t="shared" si="168"/>
        <v>0.16666666666666669</v>
      </c>
      <c r="AX1227" s="58" t="s">
        <v>1061</v>
      </c>
    </row>
    <row r="1228" spans="1:50" ht="28.5" customHeight="1">
      <c r="A1228" s="66" t="s">
        <v>1062</v>
      </c>
      <c r="B1228" s="39">
        <f t="shared" si="173"/>
        <v>1224</v>
      </c>
      <c r="C1228" s="40">
        <v>46049</v>
      </c>
      <c r="D1228" s="40" t="s">
        <v>32</v>
      </c>
      <c r="E1228" s="40" t="s">
        <v>81</v>
      </c>
      <c r="F1228" s="41">
        <v>732.4</v>
      </c>
      <c r="G1228" s="42" t="s">
        <v>46</v>
      </c>
      <c r="H1228" s="43" t="str">
        <f>IFERROR(VLOOKUP($J1228,'[9]FROM (3)'!$E$4:$F$230,2,FALSE),"")</f>
        <v>JATH</v>
      </c>
      <c r="I1228" s="44" t="str">
        <f t="shared" si="172"/>
        <v>RACK BAR BLANK</v>
      </c>
      <c r="J1228" s="44" t="str">
        <f t="shared" si="169"/>
        <v>JGF02-002060-31-3</v>
      </c>
      <c r="K1228" s="59" t="str">
        <f t="shared" si="171"/>
        <v>PD25121306</v>
      </c>
      <c r="L1228" s="46" t="str" cm="1">
        <f t="array" ref="L1228">IFERROR(_xlfn.IFS(
    LEN($A1228)-LEN(SUBSTITUTE($A1228,"|",""))=12, RIGHT(A1228, LEN(A1228)-FIND("~", SUBSTITUTE(A1228,"|","~", LEN(A1228)-LEN(SUBSTITUTE(A1228,"|",""))))),
    LEN($A1228)-LEN(SUBSTITUTE($A1228,"|",""))=13, MID($A1228, FIND("~", SUBSTITUTE($A1228,"|","~", 11))+1, FIND("~", SUBSTITUTE($A1228,"|","~", 12))-FIND("~", SUBSTITUTE($A1228,"|","~", 11))-1),
    LEN($A1228)-LEN(SUBSTITUTE($A1228,"|",""))=14, MID($A1228, FIND("~", SUBSTITUTE($A1228,"|","~", 11))+1, FIND("~", SUBSTITUTE($A1228,"|","~", 12))-FIND("~", SUBSTITUTE($A1228,"|","~", 11))-1)
), "")</f>
        <v>5B0230</v>
      </c>
      <c r="M1228" s="72" t="str">
        <f t="shared" si="170"/>
        <v>SB120188/4/25</v>
      </c>
      <c r="N1228" s="46" t="str">
        <f t="shared" si="149"/>
        <v/>
      </c>
      <c r="O1228" s="76">
        <v>28</v>
      </c>
      <c r="P1228" s="76">
        <v>972</v>
      </c>
      <c r="Q1228" s="77">
        <v>196</v>
      </c>
      <c r="R1228" s="77">
        <v>916</v>
      </c>
      <c r="S1228" s="77"/>
      <c r="T1228" s="77"/>
      <c r="U1228" s="83"/>
      <c r="V1228" s="83"/>
      <c r="W1228" s="78"/>
      <c r="X1228" s="51" t="str">
        <f>IF(A1228="", "", IF(COUNTIFS(C$3:C1227, C1228, D$3:D1227, D1228, G$3:G1227, G1228) &gt; 0, "", "11:00"-AW1228))</f>
        <v/>
      </c>
      <c r="Y1228" s="79"/>
      <c r="Z1228" s="80"/>
      <c r="AA1228" s="81"/>
      <c r="AB1228" s="81"/>
      <c r="AC1228" s="81"/>
      <c r="AD1228" s="81"/>
      <c r="AE1228" s="81"/>
      <c r="AF1228" s="81"/>
      <c r="AG1228" s="81"/>
      <c r="AH1228" s="82"/>
      <c r="AI1228" s="81"/>
      <c r="AJ1228" s="81"/>
      <c r="AK1228" s="81"/>
      <c r="AL1228" s="81"/>
      <c r="AM1228" s="81"/>
      <c r="AN1228" s="81"/>
      <c r="AO1228" s="81">
        <v>4.1666666666666664E-2</v>
      </c>
      <c r="AP1228" s="81" t="s">
        <v>147</v>
      </c>
      <c r="AQ1228" s="81">
        <v>4.1666666666666664E-2</v>
      </c>
      <c r="AR1228" s="81" t="s">
        <v>37</v>
      </c>
      <c r="AS1228" s="81">
        <v>4.1666666666666664E-2</v>
      </c>
      <c r="AT1228" s="81" t="s">
        <v>37</v>
      </c>
      <c r="AU1228" s="53">
        <v>4.1666666666666699E-2</v>
      </c>
      <c r="AV1228" s="54" t="s">
        <v>37</v>
      </c>
      <c r="AW1228" s="57">
        <f t="shared" si="168"/>
        <v>0.16666666666666669</v>
      </c>
      <c r="AX1228" s="58" t="s">
        <v>1061</v>
      </c>
    </row>
    <row r="1229" spans="1:50" ht="28.5" customHeight="1">
      <c r="A1229" s="66" t="s">
        <v>1063</v>
      </c>
      <c r="B1229" s="39">
        <f t="shared" si="173"/>
        <v>1225</v>
      </c>
      <c r="C1229" s="40">
        <v>46049</v>
      </c>
      <c r="D1229" s="40" t="s">
        <v>32</v>
      </c>
      <c r="E1229" s="40" t="s">
        <v>81</v>
      </c>
      <c r="F1229" s="41">
        <v>732.4</v>
      </c>
      <c r="G1229" s="42" t="s">
        <v>46</v>
      </c>
      <c r="H1229" s="43" t="str">
        <f>IFERROR(VLOOKUP($J1229,'[9]FROM (3)'!$E$4:$F$230,2,FALSE),"")</f>
        <v>JATH</v>
      </c>
      <c r="I1229" s="44" t="str">
        <f t="shared" si="172"/>
        <v>RACK BAR BLANK</v>
      </c>
      <c r="J1229" s="44" t="str">
        <f t="shared" si="169"/>
        <v>JGF02-002060-31-3</v>
      </c>
      <c r="K1229" s="59" t="str">
        <f t="shared" si="171"/>
        <v>PD25121306</v>
      </c>
      <c r="L1229" s="46" t="str" cm="1">
        <f t="array" ref="L1229">IFERROR(_xlfn.IFS(
    LEN($A1229)-LEN(SUBSTITUTE($A1229,"|",""))=12, RIGHT(A1229, LEN(A1229)-FIND("~", SUBSTITUTE(A1229,"|","~", LEN(A1229)-LEN(SUBSTITUTE(A1229,"|",""))))),
    LEN($A1229)-LEN(SUBSTITUTE($A1229,"|",""))=13, MID($A1229, FIND("~", SUBSTITUTE($A1229,"|","~", 11))+1, FIND("~", SUBSTITUTE($A1229,"|","~", 12))-FIND("~", SUBSTITUTE($A1229,"|","~", 11))-1),
    LEN($A1229)-LEN(SUBSTITUTE($A1229,"|",""))=14, MID($A1229, FIND("~", SUBSTITUTE($A1229,"|","~", 11))+1, FIND("~", SUBSTITUTE($A1229,"|","~", 12))-FIND("~", SUBSTITUTE($A1229,"|","~", 11))-1)
), "")</f>
        <v>5B0230</v>
      </c>
      <c r="M1229" s="72" t="str">
        <f t="shared" si="170"/>
        <v>SB120188/2/25</v>
      </c>
      <c r="N1229" s="46" t="str">
        <f t="shared" si="149"/>
        <v/>
      </c>
      <c r="O1229" s="76">
        <v>28</v>
      </c>
      <c r="P1229" s="76">
        <v>972</v>
      </c>
      <c r="Q1229" s="77">
        <v>196</v>
      </c>
      <c r="R1229" s="77">
        <v>916</v>
      </c>
      <c r="S1229" s="77"/>
      <c r="T1229" s="77"/>
      <c r="U1229" s="83"/>
      <c r="V1229" s="83"/>
      <c r="W1229" s="78"/>
      <c r="X1229" s="51" t="str">
        <f>IF(A1229="", "", IF(COUNTIFS(C$3:C1228, C1229, D$3:D1228, D1229, G$3:G1228, G1229) &gt; 0, "", "11:00"-AW1229))</f>
        <v/>
      </c>
      <c r="Y1229" s="79"/>
      <c r="Z1229" s="80"/>
      <c r="AA1229" s="81"/>
      <c r="AB1229" s="81"/>
      <c r="AC1229" s="81"/>
      <c r="AD1229" s="81"/>
      <c r="AE1229" s="81"/>
      <c r="AF1229" s="81"/>
      <c r="AG1229" s="81"/>
      <c r="AH1229" s="82"/>
      <c r="AI1229" s="81"/>
      <c r="AJ1229" s="81"/>
      <c r="AK1229" s="81"/>
      <c r="AL1229" s="81"/>
      <c r="AM1229" s="81"/>
      <c r="AN1229" s="81"/>
      <c r="AO1229" s="81">
        <v>4.1666666666666664E-2</v>
      </c>
      <c r="AP1229" s="81" t="s">
        <v>147</v>
      </c>
      <c r="AQ1229" s="81">
        <v>4.1666666666666664E-2</v>
      </c>
      <c r="AR1229" s="81" t="s">
        <v>37</v>
      </c>
      <c r="AS1229" s="81">
        <v>4.1666666666666664E-2</v>
      </c>
      <c r="AT1229" s="81" t="s">
        <v>37</v>
      </c>
      <c r="AU1229" s="53">
        <v>4.1666666666666699E-2</v>
      </c>
      <c r="AV1229" s="54" t="s">
        <v>37</v>
      </c>
      <c r="AW1229" s="57">
        <f t="shared" si="168"/>
        <v>0.16666666666666669</v>
      </c>
      <c r="AX1229" s="58" t="s">
        <v>1061</v>
      </c>
    </row>
    <row r="1230" spans="1:50" ht="28.5" customHeight="1">
      <c r="A1230" s="66" t="s">
        <v>1064</v>
      </c>
      <c r="B1230" s="39">
        <f t="shared" si="173"/>
        <v>1226</v>
      </c>
      <c r="C1230" s="40">
        <v>46049</v>
      </c>
      <c r="D1230" s="40" t="s">
        <v>32</v>
      </c>
      <c r="E1230" s="40" t="s">
        <v>81</v>
      </c>
      <c r="F1230" s="41">
        <v>732.4</v>
      </c>
      <c r="G1230" s="42" t="s">
        <v>46</v>
      </c>
      <c r="H1230" s="43" t="str">
        <f>IFERROR(VLOOKUP($J1230,'[9]FROM (3)'!$E$4:$F$230,2,FALSE),"")</f>
        <v>JATH</v>
      </c>
      <c r="I1230" s="44" t="str">
        <f t="shared" si="172"/>
        <v>RACK BAR BLANK</v>
      </c>
      <c r="J1230" s="44" t="str">
        <f t="shared" si="169"/>
        <v>JGF02-002060-31-3</v>
      </c>
      <c r="K1230" s="59" t="str">
        <f t="shared" si="171"/>
        <v>PD25121306</v>
      </c>
      <c r="L1230" s="46" t="str" cm="1">
        <f t="array" ref="L1230">IFERROR(_xlfn.IFS(
    LEN($A1230)-LEN(SUBSTITUTE($A1230,"|",""))=12, RIGHT(A1230, LEN(A1230)-FIND("~", SUBSTITUTE(A1230,"|","~", LEN(A1230)-LEN(SUBSTITUTE(A1230,"|",""))))),
    LEN($A1230)-LEN(SUBSTITUTE($A1230,"|",""))=13, MID($A1230, FIND("~", SUBSTITUTE($A1230,"|","~", 11))+1, FIND("~", SUBSTITUTE($A1230,"|","~", 12))-FIND("~", SUBSTITUTE($A1230,"|","~", 11))-1),
    LEN($A1230)-LEN(SUBSTITUTE($A1230,"|",""))=14, MID($A1230, FIND("~", SUBSTITUTE($A1230,"|","~", 11))+1, FIND("~", SUBSTITUTE($A1230,"|","~", 12))-FIND("~", SUBSTITUTE($A1230,"|","~", 11))-1)
), "")</f>
        <v>5B0230</v>
      </c>
      <c r="M1230" s="72" t="str">
        <f t="shared" si="170"/>
        <v>SB120188/1/25</v>
      </c>
      <c r="N1230" s="46" t="str">
        <f t="shared" si="149"/>
        <v/>
      </c>
      <c r="O1230" s="76">
        <v>28</v>
      </c>
      <c r="P1230" s="76">
        <v>972</v>
      </c>
      <c r="Q1230" s="77">
        <v>196</v>
      </c>
      <c r="R1230" s="77">
        <v>916</v>
      </c>
      <c r="S1230" s="77"/>
      <c r="T1230" s="77"/>
      <c r="U1230" s="83"/>
      <c r="V1230" s="83"/>
      <c r="W1230" s="78"/>
      <c r="X1230" s="51" t="str">
        <f>IF(A1230="", "", IF(COUNTIFS(C$3:C1229, C1230, D$3:D1229, D1230, G$3:G1229, G1230) &gt; 0, "", "11:00"-AW1230))</f>
        <v/>
      </c>
      <c r="Y1230" s="79"/>
      <c r="Z1230" s="80"/>
      <c r="AA1230" s="81"/>
      <c r="AB1230" s="81"/>
      <c r="AC1230" s="81"/>
      <c r="AD1230" s="81"/>
      <c r="AE1230" s="81"/>
      <c r="AF1230" s="81"/>
      <c r="AG1230" s="81"/>
      <c r="AH1230" s="82"/>
      <c r="AI1230" s="81"/>
      <c r="AJ1230" s="81"/>
      <c r="AK1230" s="81"/>
      <c r="AL1230" s="81"/>
      <c r="AM1230" s="81"/>
      <c r="AN1230" s="81"/>
      <c r="AO1230" s="81">
        <v>4.1666666666666664E-2</v>
      </c>
      <c r="AP1230" s="81" t="s">
        <v>147</v>
      </c>
      <c r="AQ1230" s="81">
        <v>4.1666666666666664E-2</v>
      </c>
      <c r="AR1230" s="81" t="s">
        <v>37</v>
      </c>
      <c r="AS1230" s="81">
        <v>4.1666666666666664E-2</v>
      </c>
      <c r="AT1230" s="81" t="s">
        <v>37</v>
      </c>
      <c r="AU1230" s="53">
        <v>4.1666666666666699E-2</v>
      </c>
      <c r="AV1230" s="54" t="s">
        <v>37</v>
      </c>
      <c r="AW1230" s="57">
        <f t="shared" si="168"/>
        <v>0.16666666666666669</v>
      </c>
      <c r="AX1230" s="58" t="s">
        <v>1061</v>
      </c>
    </row>
    <row r="1231" spans="1:50" ht="28.5" customHeight="1">
      <c r="A1231" s="66" t="s">
        <v>1049</v>
      </c>
      <c r="B1231" s="39">
        <f t="shared" si="173"/>
        <v>1227</v>
      </c>
      <c r="C1231" s="40">
        <v>46049</v>
      </c>
      <c r="D1231" s="40" t="s">
        <v>32</v>
      </c>
      <c r="E1231" s="40" t="s">
        <v>81</v>
      </c>
      <c r="F1231" s="41">
        <v>732.5</v>
      </c>
      <c r="G1231" s="42" t="s">
        <v>66</v>
      </c>
      <c r="H1231" s="43" t="str">
        <f>IFERROR(VLOOKUP($J1231,'[9]FROM (3)'!$E$4:$F$230,2,FALSE),"")</f>
        <v>JCTTH</v>
      </c>
      <c r="I1231" s="44" t="str">
        <f t="shared" si="172"/>
        <v>RACK POWER STEERING</v>
      </c>
      <c r="J1231" s="44" t="str">
        <f t="shared" si="169"/>
        <v>JGD10-BA0101-C</v>
      </c>
      <c r="K1231" s="59" t="str">
        <f t="shared" si="171"/>
        <v>PD26010650</v>
      </c>
      <c r="L1231" s="46" t="str" cm="1">
        <f t="array" ref="L1231">IFERROR(_xlfn.IFS(
    LEN($A1231)-LEN(SUBSTITUTE($A1231,"|",""))=12, RIGHT(A1231, LEN(A1231)-FIND("~", SUBSTITUTE(A1231,"|","~", LEN(A1231)-LEN(SUBSTITUTE(A1231,"|",""))))),
    LEN($A1231)-LEN(SUBSTITUTE($A1231,"|",""))=13, MID($A1231, FIND("~", SUBSTITUTE($A1231,"|","~", 11))+1, FIND("~", SUBSTITUTE($A1231,"|","~", 12))-FIND("~", SUBSTITUTE($A1231,"|","~", 11))-1),
    LEN($A1231)-LEN(SUBSTITUTE($A1231,"|",""))=14, MID($A1231, FIND("~", SUBSTITUTE($A1231,"|","~", 11))+1, FIND("~", SUBSTITUTE($A1231,"|","~", 12))-FIND("~", SUBSTITUTE($A1231,"|","~", 11))-1)
), "")</f>
        <v>E586100</v>
      </c>
      <c r="M1231" s="72" t="str">
        <f t="shared" si="170"/>
        <v>SB010060/4/26</v>
      </c>
      <c r="N1231" s="46" t="str">
        <f t="shared" si="149"/>
        <v/>
      </c>
      <c r="O1231" s="76">
        <v>50</v>
      </c>
      <c r="P1231" s="76">
        <v>880</v>
      </c>
      <c r="Q1231" s="77">
        <v>200</v>
      </c>
      <c r="R1231" s="77">
        <v>832</v>
      </c>
      <c r="S1231" s="77"/>
      <c r="T1231" s="77"/>
      <c r="U1231" s="83"/>
      <c r="V1231" s="83"/>
      <c r="W1231" s="78"/>
      <c r="X1231" s="51">
        <f>IF(A1231="", "", IF(COUNTIFS(C$3:C1230, C1231, D$3:D1230, D1231, G$3:G1230, G1231) &gt; 0, "", "11:00"-AW1231))</f>
        <v>0.29166666666666663</v>
      </c>
      <c r="Y1231" s="79"/>
      <c r="Z1231" s="80"/>
      <c r="AA1231" s="81"/>
      <c r="AB1231" s="81"/>
      <c r="AC1231" s="81"/>
      <c r="AD1231" s="81"/>
      <c r="AE1231" s="81"/>
      <c r="AF1231" s="81"/>
      <c r="AG1231" s="81"/>
      <c r="AH1231" s="82"/>
      <c r="AI1231" s="81"/>
      <c r="AJ1231" s="81"/>
      <c r="AK1231" s="81"/>
      <c r="AL1231" s="81"/>
      <c r="AM1231" s="81"/>
      <c r="AN1231" s="81"/>
      <c r="AO1231" s="81">
        <v>4.1666666666666664E-2</v>
      </c>
      <c r="AP1231" s="81" t="s">
        <v>147</v>
      </c>
      <c r="AQ1231" s="81">
        <v>4.1666666666666664E-2</v>
      </c>
      <c r="AR1231" s="81" t="s">
        <v>37</v>
      </c>
      <c r="AS1231" s="81">
        <v>4.1666666666666664E-2</v>
      </c>
      <c r="AT1231" s="81" t="s">
        <v>37</v>
      </c>
      <c r="AU1231" s="53">
        <v>4.1666666666666699E-2</v>
      </c>
      <c r="AV1231" s="54" t="s">
        <v>37</v>
      </c>
      <c r="AW1231" s="57">
        <f t="shared" si="168"/>
        <v>0.16666666666666669</v>
      </c>
      <c r="AX1231" s="58" t="s">
        <v>68</v>
      </c>
    </row>
    <row r="1232" spans="1:50" ht="28.5" customHeight="1">
      <c r="A1232" s="66" t="s">
        <v>1065</v>
      </c>
      <c r="B1232" s="39">
        <f t="shared" si="173"/>
        <v>1228</v>
      </c>
      <c r="C1232" s="40">
        <v>46049</v>
      </c>
      <c r="D1232" s="40" t="s">
        <v>32</v>
      </c>
      <c r="E1232" s="40" t="s">
        <v>81</v>
      </c>
      <c r="F1232" s="41">
        <v>732.5</v>
      </c>
      <c r="G1232" s="42" t="s">
        <v>66</v>
      </c>
      <c r="H1232" s="43" t="str">
        <f>IFERROR(VLOOKUP($J1232,'[9]FROM (3)'!$E$4:$F$230,2,FALSE),"")</f>
        <v>JCTTH</v>
      </c>
      <c r="I1232" s="44" t="str">
        <f t="shared" si="172"/>
        <v>RACK POWER STEERING</v>
      </c>
      <c r="J1232" s="44" t="str">
        <f t="shared" si="169"/>
        <v>JGD10-BA0101-C</v>
      </c>
      <c r="K1232" s="59" t="str">
        <f t="shared" si="171"/>
        <v>PD26010650</v>
      </c>
      <c r="L1232" s="46" t="str" cm="1">
        <f t="array" ref="L1232">IFERROR(_xlfn.IFS(
    LEN($A1232)-LEN(SUBSTITUTE($A1232,"|",""))=12, RIGHT(A1232, LEN(A1232)-FIND("~", SUBSTITUTE(A1232,"|","~", LEN(A1232)-LEN(SUBSTITUTE(A1232,"|",""))))),
    LEN($A1232)-LEN(SUBSTITUTE($A1232,"|",""))=13, MID($A1232, FIND("~", SUBSTITUTE($A1232,"|","~", 11))+1, FIND("~", SUBSTITUTE($A1232,"|","~", 12))-FIND("~", SUBSTITUTE($A1232,"|","~", 11))-1),
    LEN($A1232)-LEN(SUBSTITUTE($A1232,"|",""))=14, MID($A1232, FIND("~", SUBSTITUTE($A1232,"|","~", 11))+1, FIND("~", SUBSTITUTE($A1232,"|","~", 12))-FIND("~", SUBSTITUTE($A1232,"|","~", 11))-1)
), "")</f>
        <v>E586100</v>
      </c>
      <c r="M1232" s="72" t="str">
        <f t="shared" si="170"/>
        <v>SB010060/5/26</v>
      </c>
      <c r="N1232" s="46" t="str">
        <f t="shared" si="149"/>
        <v/>
      </c>
      <c r="O1232" s="76">
        <v>40</v>
      </c>
      <c r="P1232" s="76">
        <v>704</v>
      </c>
      <c r="Q1232" s="77">
        <v>158</v>
      </c>
      <c r="R1232" s="77">
        <v>657</v>
      </c>
      <c r="S1232" s="77"/>
      <c r="T1232" s="77"/>
      <c r="U1232" s="83">
        <v>84</v>
      </c>
      <c r="V1232" s="83">
        <v>7</v>
      </c>
      <c r="W1232" s="78"/>
      <c r="X1232" s="51" t="str">
        <f>IF(A1232="", "", IF(COUNTIFS(C$3:C1231, C1232, D$3:D1231, D1232, G$3:G1231, G1232) &gt; 0, "", "11:00"-AW1232))</f>
        <v/>
      </c>
      <c r="Y1232" s="79"/>
      <c r="Z1232" s="80"/>
      <c r="AA1232" s="81"/>
      <c r="AB1232" s="81"/>
      <c r="AC1232" s="81"/>
      <c r="AD1232" s="81"/>
      <c r="AE1232" s="81"/>
      <c r="AF1232" s="81"/>
      <c r="AG1232" s="81"/>
      <c r="AH1232" s="82"/>
      <c r="AI1232" s="81"/>
      <c r="AJ1232" s="81"/>
      <c r="AK1232" s="81"/>
      <c r="AL1232" s="81"/>
      <c r="AM1232" s="81"/>
      <c r="AN1232" s="81"/>
      <c r="AO1232" s="81"/>
      <c r="AP1232" s="81" t="s">
        <v>147</v>
      </c>
      <c r="AQ1232" s="81"/>
      <c r="AR1232" s="81" t="s">
        <v>37</v>
      </c>
      <c r="AS1232" s="81"/>
      <c r="AT1232" s="81" t="s">
        <v>37</v>
      </c>
      <c r="AU1232" s="53">
        <v>4.1666666666666699E-2</v>
      </c>
      <c r="AV1232" s="54" t="s">
        <v>37</v>
      </c>
      <c r="AW1232" s="57">
        <f t="shared" si="168"/>
        <v>4.1666666666666699E-2</v>
      </c>
      <c r="AX1232" s="58" t="s">
        <v>68</v>
      </c>
    </row>
    <row r="1233" spans="1:50" ht="28.5" customHeight="1">
      <c r="A1233" s="66" t="s">
        <v>1066</v>
      </c>
      <c r="B1233" s="39">
        <f t="shared" si="173"/>
        <v>1229</v>
      </c>
      <c r="C1233" s="40">
        <v>46049</v>
      </c>
      <c r="D1233" s="40" t="s">
        <v>32</v>
      </c>
      <c r="E1233" s="40" t="s">
        <v>81</v>
      </c>
      <c r="F1233" s="41">
        <v>732.5</v>
      </c>
      <c r="G1233" s="42" t="s">
        <v>66</v>
      </c>
      <c r="H1233" s="43" t="str">
        <f>IFERROR(VLOOKUP($J1233,'[9]FROM (3)'!$E$4:$F$230,2,FALSE),"")</f>
        <v>JCTTH</v>
      </c>
      <c r="I1233" s="44" t="str">
        <f t="shared" si="172"/>
        <v>RACK POWER STEERING</v>
      </c>
      <c r="J1233" s="44" t="str">
        <f t="shared" si="169"/>
        <v>JGD10-BA0101-C</v>
      </c>
      <c r="K1233" s="59" t="str">
        <f t="shared" si="171"/>
        <v>PD26010653</v>
      </c>
      <c r="L1233" s="46" t="str" cm="1">
        <f t="array" ref="L1233">IFERROR(_xlfn.IFS(
    LEN($A1233)-LEN(SUBSTITUTE($A1233,"|",""))=12, RIGHT(A1233, LEN(A1233)-FIND("~", SUBSTITUTE(A1233,"|","~", LEN(A1233)-LEN(SUBSTITUTE(A1233,"|",""))))),
    LEN($A1233)-LEN(SUBSTITUTE($A1233,"|",""))=13, MID($A1233, FIND("~", SUBSTITUTE($A1233,"|","~", 11))+1, FIND("~", SUBSTITUTE($A1233,"|","~", 12))-FIND("~", SUBSTITUTE($A1233,"|","~", 11))-1),
    LEN($A1233)-LEN(SUBSTITUTE($A1233,"|",""))=14, MID($A1233, FIND("~", SUBSTITUTE($A1233,"|","~", 11))+1, FIND("~", SUBSTITUTE($A1233,"|","~", 12))-FIND("~", SUBSTITUTE($A1233,"|","~", 11))-1)
), "")</f>
        <v>E586102</v>
      </c>
      <c r="M1233" s="72" t="str">
        <f t="shared" si="170"/>
        <v>SB010065/2/26</v>
      </c>
      <c r="N1233" s="46" t="str">
        <f t="shared" si="149"/>
        <v/>
      </c>
      <c r="O1233" s="76">
        <v>50</v>
      </c>
      <c r="P1233" s="76">
        <v>880</v>
      </c>
      <c r="Q1233" s="77">
        <v>200</v>
      </c>
      <c r="R1233" s="77">
        <v>832</v>
      </c>
      <c r="S1233" s="77"/>
      <c r="T1233" s="77"/>
      <c r="U1233" s="83"/>
      <c r="V1233" s="83"/>
      <c r="W1233" s="78"/>
      <c r="X1233" s="51" t="str">
        <f>IF(A1233="", "", IF(COUNTIFS(C$3:C1232, C1233, D$3:D1232, D1233, G$3:G1232, G1233) &gt; 0, "", "11:00"-AW1233))</f>
        <v/>
      </c>
      <c r="Y1233" s="79"/>
      <c r="Z1233" s="80"/>
      <c r="AA1233" s="81"/>
      <c r="AB1233" s="81"/>
      <c r="AC1233" s="81"/>
      <c r="AD1233" s="81"/>
      <c r="AE1233" s="81"/>
      <c r="AF1233" s="81"/>
      <c r="AG1233" s="81"/>
      <c r="AH1233" s="82"/>
      <c r="AI1233" s="81"/>
      <c r="AJ1233" s="81"/>
      <c r="AK1233" s="81"/>
      <c r="AL1233" s="81"/>
      <c r="AM1233" s="81"/>
      <c r="AN1233" s="81"/>
      <c r="AO1233" s="81"/>
      <c r="AP1233" s="81" t="s">
        <v>147</v>
      </c>
      <c r="AQ1233" s="81"/>
      <c r="AR1233" s="81" t="s">
        <v>37</v>
      </c>
      <c r="AS1233" s="81"/>
      <c r="AT1233" s="81" t="s">
        <v>37</v>
      </c>
      <c r="AU1233" s="53">
        <v>4.1666666666666699E-2</v>
      </c>
      <c r="AV1233" s="54" t="s">
        <v>37</v>
      </c>
      <c r="AW1233" s="57">
        <f t="shared" si="168"/>
        <v>4.1666666666666699E-2</v>
      </c>
      <c r="AX1233" s="58" t="s">
        <v>68</v>
      </c>
    </row>
    <row r="1234" spans="1:50" ht="28.5" customHeight="1">
      <c r="A1234" s="66" t="s">
        <v>1067</v>
      </c>
      <c r="B1234" s="39">
        <f t="shared" si="173"/>
        <v>1230</v>
      </c>
      <c r="C1234" s="40">
        <v>46049</v>
      </c>
      <c r="D1234" s="40" t="s">
        <v>32</v>
      </c>
      <c r="E1234" s="40" t="s">
        <v>81</v>
      </c>
      <c r="F1234" s="41">
        <v>732.5</v>
      </c>
      <c r="G1234" s="42" t="s">
        <v>66</v>
      </c>
      <c r="H1234" s="43" t="str">
        <f>IFERROR(VLOOKUP($J1234,'[9]FROM (3)'!$E$4:$F$230,2,FALSE),"")</f>
        <v>JCTTH</v>
      </c>
      <c r="I1234" s="44" t="str">
        <f t="shared" si="172"/>
        <v>RACK POWER STEERING</v>
      </c>
      <c r="J1234" s="44" t="str">
        <f t="shared" si="169"/>
        <v>JGD10-BA0101-C</v>
      </c>
      <c r="K1234" s="59" t="str">
        <f t="shared" si="171"/>
        <v>PD26010653</v>
      </c>
      <c r="L1234" s="46" t="str" cm="1">
        <f t="array" ref="L1234">IFERROR(_xlfn.IFS(
    LEN($A1234)-LEN(SUBSTITUTE($A1234,"|",""))=12, RIGHT(A1234, LEN(A1234)-FIND("~", SUBSTITUTE(A1234,"|","~", LEN(A1234)-LEN(SUBSTITUTE(A1234,"|",""))))),
    LEN($A1234)-LEN(SUBSTITUTE($A1234,"|",""))=13, MID($A1234, FIND("~", SUBSTITUTE($A1234,"|","~", 11))+1, FIND("~", SUBSTITUTE($A1234,"|","~", 12))-FIND("~", SUBSTITUTE($A1234,"|","~", 11))-1),
    LEN($A1234)-LEN(SUBSTITUTE($A1234,"|",""))=14, MID($A1234, FIND("~", SUBSTITUTE($A1234,"|","~", 11))+1, FIND("~", SUBSTITUTE($A1234,"|","~", 12))-FIND("~", SUBSTITUTE($A1234,"|","~", 11))-1)
), "")</f>
        <v>E586102</v>
      </c>
      <c r="M1234" s="72" t="str">
        <f t="shared" si="170"/>
        <v>SB010065/1/26</v>
      </c>
      <c r="N1234" s="46" t="str">
        <f t="shared" si="149"/>
        <v/>
      </c>
      <c r="O1234" s="76">
        <v>50</v>
      </c>
      <c r="P1234" s="76">
        <v>880</v>
      </c>
      <c r="Q1234" s="77">
        <v>200</v>
      </c>
      <c r="R1234" s="77">
        <v>832</v>
      </c>
      <c r="S1234" s="77"/>
      <c r="T1234" s="77"/>
      <c r="U1234" s="83">
        <v>70</v>
      </c>
      <c r="V1234" s="83">
        <v>6</v>
      </c>
      <c r="W1234" s="78"/>
      <c r="X1234" s="51" t="str">
        <f>IF(A1234="", "", IF(COUNTIFS(C$3:C1233, C1234, D$3:D1233, D1234, G$3:G1233, G1234) &gt; 0, "", "11:00"-AW1234))</f>
        <v/>
      </c>
      <c r="Y1234" s="79"/>
      <c r="Z1234" s="80"/>
      <c r="AA1234" s="81"/>
      <c r="AB1234" s="81"/>
      <c r="AC1234" s="81"/>
      <c r="AD1234" s="81"/>
      <c r="AE1234" s="81"/>
      <c r="AF1234" s="81"/>
      <c r="AG1234" s="81"/>
      <c r="AH1234" s="82"/>
      <c r="AI1234" s="81"/>
      <c r="AJ1234" s="81"/>
      <c r="AK1234" s="81"/>
      <c r="AL1234" s="81"/>
      <c r="AM1234" s="81"/>
      <c r="AN1234" s="81"/>
      <c r="AO1234" s="81"/>
      <c r="AP1234" s="81" t="s">
        <v>147</v>
      </c>
      <c r="AQ1234" s="81"/>
      <c r="AR1234" s="81" t="s">
        <v>37</v>
      </c>
      <c r="AS1234" s="81"/>
      <c r="AT1234" s="81" t="s">
        <v>37</v>
      </c>
      <c r="AU1234" s="53">
        <v>4.1666666666666699E-2</v>
      </c>
      <c r="AV1234" s="54" t="s">
        <v>37</v>
      </c>
      <c r="AW1234" s="57">
        <f t="shared" si="168"/>
        <v>4.1666666666666699E-2</v>
      </c>
      <c r="AX1234" s="58" t="s">
        <v>68</v>
      </c>
    </row>
    <row r="1235" spans="1:50" ht="28.5" customHeight="1">
      <c r="A1235" s="66" t="s">
        <v>1068</v>
      </c>
      <c r="B1235" s="39">
        <f t="shared" si="173"/>
        <v>1231</v>
      </c>
      <c r="C1235" s="40">
        <v>46049</v>
      </c>
      <c r="D1235" s="40" t="s">
        <v>32</v>
      </c>
      <c r="E1235" s="40" t="s">
        <v>81</v>
      </c>
      <c r="F1235" s="41">
        <v>92.5</v>
      </c>
      <c r="G1235" s="42" t="s">
        <v>135</v>
      </c>
      <c r="H1235" s="43" t="str">
        <f>IFERROR(VLOOKUP($J1235,'[9]FROM (3)'!$E$4:$F$230,2,FALSE),"")</f>
        <v>DNTH</v>
      </c>
      <c r="I1235" s="44" t="str">
        <f t="shared" si="172"/>
        <v>Pole Core</v>
      </c>
      <c r="J1235" s="44" t="str">
        <f t="shared" si="169"/>
        <v>TG028152-5190</v>
      </c>
      <c r="K1235" s="59" t="str">
        <f t="shared" si="171"/>
        <v>PD26011212</v>
      </c>
      <c r="L1235" s="46" t="str" cm="1">
        <f t="array" ref="L1235">IFERROR(_xlfn.IFS(
    LEN($A1235)-LEN(SUBSTITUTE($A1235,"|",""))=12, RIGHT(A1235, LEN(A1235)-FIND("~", SUBSTITUTE(A1235,"|","~", LEN(A1235)-LEN(SUBSTITUTE(A1235,"|",""))))),
    LEN($A1235)-LEN(SUBSTITUTE($A1235,"|",""))=13, MID($A1235, FIND("~", SUBSTITUTE($A1235,"|","~", 11))+1, FIND("~", SUBSTITUTE($A1235,"|","~", 12))-FIND("~", SUBSTITUTE($A1235,"|","~", 11))-1),
    LEN($A1235)-LEN(SUBSTITUTE($A1235,"|",""))=14, MID($A1235, FIND("~", SUBSTITUTE($A1235,"|","~", 11))+1, FIND("~", SUBSTITUTE($A1235,"|","~", 12))-FIND("~", SUBSTITUTE($A1235,"|","~", 11))-1)
), "")</f>
        <v>KS005C9016</v>
      </c>
      <c r="M1235" s="72" t="str">
        <f t="shared" si="170"/>
        <v>SB010173/1/26</v>
      </c>
      <c r="N1235" s="46" t="str">
        <f t="shared" si="149"/>
        <v/>
      </c>
      <c r="O1235" s="76">
        <v>113</v>
      </c>
      <c r="P1235" s="76">
        <v>1015</v>
      </c>
      <c r="Q1235" s="77">
        <v>10714</v>
      </c>
      <c r="R1235" s="77">
        <v>991</v>
      </c>
      <c r="S1235" s="77"/>
      <c r="T1235" s="77"/>
      <c r="U1235" s="83"/>
      <c r="V1235" s="83"/>
      <c r="W1235" s="78"/>
      <c r="X1235" s="51">
        <f>IF(A1235="", "", IF(COUNTIFS(C$3:C1234, C1235, D$3:D1234, D1235, G$3:G1234, G1235) &gt; 0, "", "11:00"-AW1235))</f>
        <v>0.29166666666666663</v>
      </c>
      <c r="Y1235" s="79"/>
      <c r="Z1235" s="80"/>
      <c r="AA1235" s="81"/>
      <c r="AB1235" s="81"/>
      <c r="AC1235" s="81"/>
      <c r="AD1235" s="81"/>
      <c r="AE1235" s="81"/>
      <c r="AF1235" s="81"/>
      <c r="AG1235" s="81"/>
      <c r="AH1235" s="82"/>
      <c r="AI1235" s="81"/>
      <c r="AJ1235" s="81"/>
      <c r="AK1235" s="81"/>
      <c r="AL1235" s="81"/>
      <c r="AM1235" s="81"/>
      <c r="AN1235" s="81"/>
      <c r="AO1235" s="81">
        <v>4.1666666666666664E-2</v>
      </c>
      <c r="AP1235" s="81" t="s">
        <v>147</v>
      </c>
      <c r="AQ1235" s="81">
        <v>4.1666666666666664E-2</v>
      </c>
      <c r="AR1235" s="81" t="s">
        <v>37</v>
      </c>
      <c r="AS1235" s="81">
        <v>4.1666666666666664E-2</v>
      </c>
      <c r="AT1235" s="81" t="s">
        <v>37</v>
      </c>
      <c r="AU1235" s="53">
        <v>4.1666666666666699E-2</v>
      </c>
      <c r="AV1235" s="54" t="s">
        <v>37</v>
      </c>
      <c r="AW1235" s="57">
        <f t="shared" si="168"/>
        <v>0.16666666666666669</v>
      </c>
      <c r="AX1235" s="58" t="s">
        <v>380</v>
      </c>
    </row>
    <row r="1236" spans="1:50" ht="28.5" customHeight="1">
      <c r="A1236" s="66" t="s">
        <v>1069</v>
      </c>
      <c r="B1236" s="39">
        <f t="shared" si="173"/>
        <v>1232</v>
      </c>
      <c r="C1236" s="40">
        <v>46049</v>
      </c>
      <c r="D1236" s="40" t="s">
        <v>32</v>
      </c>
      <c r="E1236" s="40" t="s">
        <v>81</v>
      </c>
      <c r="F1236" s="41">
        <v>92.5</v>
      </c>
      <c r="G1236" s="42" t="s">
        <v>135</v>
      </c>
      <c r="H1236" s="43" t="str">
        <f>IFERROR(VLOOKUP($J1236,'[9]FROM (3)'!$E$4:$F$230,2,FALSE),"")</f>
        <v>DNTH</v>
      </c>
      <c r="I1236" s="44" t="str">
        <f t="shared" si="172"/>
        <v>Pole Core</v>
      </c>
      <c r="J1236" s="44" t="str">
        <f t="shared" si="169"/>
        <v>TG028152-5190</v>
      </c>
      <c r="K1236" s="59" t="str">
        <f t="shared" si="171"/>
        <v>PD26011212</v>
      </c>
      <c r="L1236" s="46" t="str" cm="1">
        <f t="array" ref="L1236">IFERROR(_xlfn.IFS(
    LEN($A1236)-LEN(SUBSTITUTE($A1236,"|",""))=12, RIGHT(A1236, LEN(A1236)-FIND("~", SUBSTITUTE(A1236,"|","~", LEN(A1236)-LEN(SUBSTITUTE(A1236,"|",""))))),
    LEN($A1236)-LEN(SUBSTITUTE($A1236,"|",""))=13, MID($A1236, FIND("~", SUBSTITUTE($A1236,"|","~", 11))+1, FIND("~", SUBSTITUTE($A1236,"|","~", 12))-FIND("~", SUBSTITUTE($A1236,"|","~", 11))-1),
    LEN($A1236)-LEN(SUBSTITUTE($A1236,"|",""))=14, MID($A1236, FIND("~", SUBSTITUTE($A1236,"|","~", 11))+1, FIND("~", SUBSTITUTE($A1236,"|","~", 12))-FIND("~", SUBSTITUTE($A1236,"|","~", 11))-1)
), "")</f>
        <v>KS005C9016</v>
      </c>
      <c r="M1236" s="72" t="str">
        <f t="shared" si="170"/>
        <v>SB010173/2/26</v>
      </c>
      <c r="N1236" s="46" t="str">
        <f t="shared" si="149"/>
        <v/>
      </c>
      <c r="O1236" s="76">
        <v>113</v>
      </c>
      <c r="P1236" s="76">
        <v>1015</v>
      </c>
      <c r="Q1236" s="77">
        <v>1286</v>
      </c>
      <c r="R1236" s="77">
        <v>119</v>
      </c>
      <c r="S1236" s="77"/>
      <c r="T1236" s="77"/>
      <c r="U1236" s="83"/>
      <c r="V1236" s="83"/>
      <c r="W1236" s="78"/>
      <c r="X1236" s="51" t="str">
        <f>IF(A1236="", "", IF(COUNTIFS(C$3:C1235, C1236, D$3:D1235, D1236, G$3:G1235, G1236) &gt; 0, "", "11:00"-AW1236))</f>
        <v/>
      </c>
      <c r="Y1236" s="79"/>
      <c r="Z1236" s="80"/>
      <c r="AA1236" s="81"/>
      <c r="AB1236" s="81"/>
      <c r="AC1236" s="81"/>
      <c r="AD1236" s="81"/>
      <c r="AE1236" s="81"/>
      <c r="AF1236" s="81"/>
      <c r="AG1236" s="81"/>
      <c r="AH1236" s="82"/>
      <c r="AI1236" s="81"/>
      <c r="AJ1236" s="81"/>
      <c r="AK1236" s="81"/>
      <c r="AL1236" s="81"/>
      <c r="AM1236" s="81"/>
      <c r="AN1236" s="81"/>
      <c r="AO1236" s="81">
        <v>4.1666666666666664E-2</v>
      </c>
      <c r="AP1236" s="81" t="s">
        <v>147</v>
      </c>
      <c r="AQ1236" s="81">
        <v>4.1666666666666664E-2</v>
      </c>
      <c r="AR1236" s="81" t="s">
        <v>37</v>
      </c>
      <c r="AS1236" s="81">
        <v>4.1666666666666664E-2</v>
      </c>
      <c r="AT1236" s="81" t="s">
        <v>37</v>
      </c>
      <c r="AU1236" s="53">
        <v>4.1666666666666699E-2</v>
      </c>
      <c r="AV1236" s="54" t="s">
        <v>37</v>
      </c>
      <c r="AW1236" s="57">
        <f t="shared" si="168"/>
        <v>0.16666666666666669</v>
      </c>
      <c r="AX1236" s="58" t="s">
        <v>380</v>
      </c>
    </row>
    <row r="1237" spans="1:50" ht="28.5" customHeight="1">
      <c r="A1237" s="66" t="s">
        <v>1070</v>
      </c>
      <c r="B1237" s="39">
        <f t="shared" si="173"/>
        <v>1233</v>
      </c>
      <c r="C1237" s="40">
        <v>46050</v>
      </c>
      <c r="D1237" s="40" t="s">
        <v>80</v>
      </c>
      <c r="E1237" s="40" t="s">
        <v>33</v>
      </c>
      <c r="F1237" s="41">
        <v>23.4</v>
      </c>
      <c r="G1237" s="42" t="s">
        <v>34</v>
      </c>
      <c r="H1237" s="43" t="str">
        <f>IFERROR(VLOOKUP($J1237,'[9]FROM (3)'!$E$4:$F$230,2,FALSE),"")</f>
        <v/>
      </c>
      <c r="I1237" s="44" t="str">
        <f t="shared" si="172"/>
        <v>FLANGE-13 SLUG</v>
      </c>
      <c r="J1237" s="44" t="str">
        <f t="shared" si="169"/>
        <v>ZZ2B7401TX1</v>
      </c>
      <c r="K1237" s="59" t="str">
        <f t="shared" si="171"/>
        <v>PD26010928</v>
      </c>
      <c r="L1237" s="46" t="str" cm="1">
        <f t="array" ref="L1237">IFERROR(_xlfn.IFS(
    LEN($A1237)-LEN(SUBSTITUTE($A1237,"|",""))=12, RIGHT(A1237, LEN(A1237)-FIND("~", SUBSTITUTE(A1237,"|","~", LEN(A1237)-LEN(SUBSTITUTE(A1237,"|",""))))),
    LEN($A1237)-LEN(SUBSTITUTE($A1237,"|",""))=13, MID($A1237, FIND("~", SUBSTITUTE($A1237,"|","~", 11))+1, FIND("~", SUBSTITUTE($A1237,"|","~", 12))-FIND("~", SUBSTITUTE($A1237,"|","~", 11))-1),
    LEN($A1237)-LEN(SUBSTITUTE($A1237,"|",""))=14, MID($A1237, FIND("~", SUBSTITUTE($A1237,"|","~", 11))+1, FIND("~", SUBSTITUTE($A1237,"|","~", 12))-FIND("~", SUBSTITUTE($A1237,"|","~", 11))-1)
), "")</f>
        <v>1-79662</v>
      </c>
      <c r="M1237" s="72" t="str">
        <f t="shared" si="170"/>
        <v>2B2600186</v>
      </c>
      <c r="N1237" s="46" t="str">
        <f t="shared" si="149"/>
        <v/>
      </c>
      <c r="O1237" s="76"/>
      <c r="P1237" s="76"/>
      <c r="Q1237" s="77">
        <v>3067</v>
      </c>
      <c r="R1237" s="77">
        <v>707</v>
      </c>
      <c r="S1237" s="77"/>
      <c r="T1237" s="77"/>
      <c r="U1237" s="83"/>
      <c r="V1237" s="83"/>
      <c r="W1237" s="78"/>
      <c r="X1237" s="51">
        <f>IF(A1237="", "", IF(COUNTIFS(C$3:C1236, C1237, D$3:D1236, D1237, G$3:G1236, G1237) &gt; 0, "", "11:00"-AW1237))</f>
        <v>0.33333333333333326</v>
      </c>
      <c r="Y1237" s="79"/>
      <c r="Z1237" s="80"/>
      <c r="AA1237" s="81"/>
      <c r="AB1237" s="81"/>
      <c r="AC1237" s="81"/>
      <c r="AD1237" s="81"/>
      <c r="AE1237" s="81"/>
      <c r="AF1237" s="81"/>
      <c r="AG1237" s="81"/>
      <c r="AH1237" s="82"/>
      <c r="AI1237" s="81"/>
      <c r="AJ1237" s="81"/>
      <c r="AK1237" s="81"/>
      <c r="AL1237" s="81"/>
      <c r="AM1237" s="81"/>
      <c r="AN1237" s="81"/>
      <c r="AO1237" s="81"/>
      <c r="AP1237" s="81"/>
      <c r="AQ1237" s="81">
        <v>4.1666666666666664E-2</v>
      </c>
      <c r="AR1237" s="81" t="s">
        <v>37</v>
      </c>
      <c r="AS1237" s="81">
        <v>4.1666666666666664E-2</v>
      </c>
      <c r="AT1237" s="81" t="s">
        <v>37</v>
      </c>
      <c r="AU1237" s="53">
        <v>4.1666666666666699E-2</v>
      </c>
      <c r="AV1237" s="54" t="s">
        <v>37</v>
      </c>
      <c r="AW1237" s="57">
        <f t="shared" si="168"/>
        <v>0.12500000000000003</v>
      </c>
      <c r="AX1237" s="58" t="s">
        <v>203</v>
      </c>
    </row>
    <row r="1238" spans="1:50" ht="28.5" customHeight="1">
      <c r="A1238" s="66" t="s">
        <v>1071</v>
      </c>
      <c r="B1238" s="39">
        <f t="shared" si="173"/>
        <v>1234</v>
      </c>
      <c r="C1238" s="40">
        <v>46050</v>
      </c>
      <c r="D1238" s="40" t="s">
        <v>80</v>
      </c>
      <c r="E1238" s="40" t="s">
        <v>33</v>
      </c>
      <c r="F1238" s="41" t="s">
        <v>404</v>
      </c>
      <c r="G1238" s="42" t="s">
        <v>44</v>
      </c>
      <c r="H1238" s="43" t="str">
        <f>IFERROR(VLOOKUP($J1238,'[9]FROM (3)'!$E$4:$F$230,2,FALSE),"")</f>
        <v>DNTH</v>
      </c>
      <c r="I1238" s="44" t="str">
        <f t="shared" si="172"/>
        <v>SLUG VALVE ROTARY</v>
      </c>
      <c r="J1238" s="44" t="str">
        <f t="shared" si="169"/>
        <v>TGY95613-0020</v>
      </c>
      <c r="K1238" s="59" t="str">
        <f t="shared" si="171"/>
        <v>PD26011085</v>
      </c>
      <c r="L1238" s="46" t="str" cm="1">
        <f t="array" ref="L1238">IFERROR(_xlfn.IFS(
    LEN($A1238)-LEN(SUBSTITUTE($A1238,"|",""))=12, RIGHT(A1238, LEN(A1238)-FIND("~", SUBSTITUTE(A1238,"|","~", LEN(A1238)-LEN(SUBSTITUTE(A1238,"|",""))))),
    LEN($A1238)-LEN(SUBSTITUTE($A1238,"|",""))=13, MID($A1238, FIND("~", SUBSTITUTE($A1238,"|","~", 11))+1, FIND("~", SUBSTITUTE($A1238,"|","~", 12))-FIND("~", SUBSTITUTE($A1238,"|","~", 11))-1),
    LEN($A1238)-LEN(SUBSTITUTE($A1238,"|",""))=14, MID($A1238, FIND("~", SUBSTITUTE($A1238,"|","~", 11))+1, FIND("~", SUBSTITUTE($A1238,"|","~", 12))-FIND("~", SUBSTITUTE($A1238,"|","~", 11))-1)
), "")</f>
        <v>E585734</v>
      </c>
      <c r="M1238" s="72" t="str">
        <f t="shared" si="170"/>
        <v>SB010147/3/26</v>
      </c>
      <c r="N1238" s="46" t="str">
        <f t="shared" si="149"/>
        <v/>
      </c>
      <c r="O1238" s="76"/>
      <c r="P1238" s="76"/>
      <c r="Q1238" s="77">
        <v>426</v>
      </c>
      <c r="R1238" s="77">
        <v>84</v>
      </c>
      <c r="S1238" s="77"/>
      <c r="T1238" s="77"/>
      <c r="U1238" s="83">
        <v>28</v>
      </c>
      <c r="V1238" s="83">
        <v>327</v>
      </c>
      <c r="W1238" s="78"/>
      <c r="X1238" s="51">
        <f>IF(A1238="", "", IF(COUNTIFS(C$3:C1237, C1238, D$3:D1237, D1238, G$3:G1237, G1238) &gt; 0, "", "11:00"-AW1238))</f>
        <v>0.33333333333333326</v>
      </c>
      <c r="Y1238" s="79"/>
      <c r="Z1238" s="80"/>
      <c r="AA1238" s="81"/>
      <c r="AB1238" s="81"/>
      <c r="AC1238" s="81"/>
      <c r="AD1238" s="81"/>
      <c r="AE1238" s="81"/>
      <c r="AF1238" s="81"/>
      <c r="AG1238" s="81"/>
      <c r="AH1238" s="82"/>
      <c r="AI1238" s="81"/>
      <c r="AJ1238" s="81"/>
      <c r="AK1238" s="81"/>
      <c r="AL1238" s="81"/>
      <c r="AM1238" s="81"/>
      <c r="AN1238" s="81"/>
      <c r="AO1238" s="81"/>
      <c r="AP1238" s="81"/>
      <c r="AQ1238" s="81">
        <v>4.1666666666666664E-2</v>
      </c>
      <c r="AR1238" s="81" t="s">
        <v>37</v>
      </c>
      <c r="AS1238" s="81">
        <v>4.1666666666666664E-2</v>
      </c>
      <c r="AT1238" s="81" t="s">
        <v>37</v>
      </c>
      <c r="AU1238" s="53">
        <v>4.1666666666666699E-2</v>
      </c>
      <c r="AV1238" s="54" t="s">
        <v>37</v>
      </c>
      <c r="AW1238" s="57">
        <f t="shared" si="168"/>
        <v>0.12500000000000003</v>
      </c>
      <c r="AX1238" s="58" t="s">
        <v>203</v>
      </c>
    </row>
    <row r="1239" spans="1:50" ht="28.5" customHeight="1">
      <c r="A1239" s="66" t="s">
        <v>1072</v>
      </c>
      <c r="B1239" s="39">
        <f t="shared" si="173"/>
        <v>1235</v>
      </c>
      <c r="C1239" s="40">
        <v>46050</v>
      </c>
      <c r="D1239" s="40" t="s">
        <v>80</v>
      </c>
      <c r="E1239" s="40" t="s">
        <v>33</v>
      </c>
      <c r="F1239" s="41" t="s">
        <v>404</v>
      </c>
      <c r="G1239" s="42" t="s">
        <v>44</v>
      </c>
      <c r="H1239" s="43" t="str">
        <f>IFERROR(VLOOKUP($J1239,'[9]FROM (3)'!$E$4:$F$230,2,FALSE),"")</f>
        <v>DNTH</v>
      </c>
      <c r="I1239" s="44" t="str">
        <f t="shared" si="172"/>
        <v>SLUG VALVE ROTARY</v>
      </c>
      <c r="J1239" s="44" t="str">
        <f t="shared" si="169"/>
        <v>TGY95613-0020</v>
      </c>
      <c r="K1239" s="59" t="str">
        <f t="shared" si="171"/>
        <v>PD26011086</v>
      </c>
      <c r="L1239" s="46" t="str" cm="1">
        <f t="array" ref="L1239">IFERROR(_xlfn.IFS(
    LEN($A1239)-LEN(SUBSTITUTE($A1239,"|",""))=12, RIGHT(A1239, LEN(A1239)-FIND("~", SUBSTITUTE(A1239,"|","~", LEN(A1239)-LEN(SUBSTITUTE(A1239,"|",""))))),
    LEN($A1239)-LEN(SUBSTITUTE($A1239,"|",""))=13, MID($A1239, FIND("~", SUBSTITUTE($A1239,"|","~", 11))+1, FIND("~", SUBSTITUTE($A1239,"|","~", 12))-FIND("~", SUBSTITUTE($A1239,"|","~", 11))-1),
    LEN($A1239)-LEN(SUBSTITUTE($A1239,"|",""))=14, MID($A1239, FIND("~", SUBSTITUTE($A1239,"|","~", 11))+1, FIND("~", SUBSTITUTE($A1239,"|","~", 12))-FIND("~", SUBSTITUTE($A1239,"|","~", 11))-1)
), "")</f>
        <v>E585734</v>
      </c>
      <c r="M1239" s="72" t="str">
        <f t="shared" si="170"/>
        <v>SB010149/1/26</v>
      </c>
      <c r="N1239" s="46" t="str">
        <f t="shared" si="149"/>
        <v/>
      </c>
      <c r="O1239" s="76"/>
      <c r="P1239" s="76"/>
      <c r="Q1239" s="77">
        <v>2932</v>
      </c>
      <c r="R1239" s="77">
        <v>581</v>
      </c>
      <c r="S1239" s="77"/>
      <c r="T1239" s="77"/>
      <c r="U1239" s="83"/>
      <c r="V1239" s="83"/>
      <c r="W1239" s="78"/>
      <c r="X1239" s="51" t="str">
        <f>IF(A1239="", "", IF(COUNTIFS(C$3:C1238, C1239, D$3:D1238, D1239, G$3:G1238, G1239) &gt; 0, "", "11:00"-AW1239))</f>
        <v/>
      </c>
      <c r="Y1239" s="79"/>
      <c r="Z1239" s="80"/>
      <c r="AA1239" s="81"/>
      <c r="AB1239" s="81"/>
      <c r="AC1239" s="81"/>
      <c r="AD1239" s="81"/>
      <c r="AE1239" s="81"/>
      <c r="AF1239" s="81"/>
      <c r="AG1239" s="81"/>
      <c r="AH1239" s="82"/>
      <c r="AI1239" s="81"/>
      <c r="AJ1239" s="81"/>
      <c r="AK1239" s="81"/>
      <c r="AL1239" s="81"/>
      <c r="AM1239" s="81"/>
      <c r="AN1239" s="81"/>
      <c r="AO1239" s="81"/>
      <c r="AP1239" s="81"/>
      <c r="AQ1239" s="81">
        <v>4.1666666666666664E-2</v>
      </c>
      <c r="AR1239" s="81" t="s">
        <v>37</v>
      </c>
      <c r="AS1239" s="81">
        <v>4.1666666666666664E-2</v>
      </c>
      <c r="AT1239" s="81" t="s">
        <v>37</v>
      </c>
      <c r="AU1239" s="53">
        <v>4.1666666666666699E-2</v>
      </c>
      <c r="AV1239" s="54" t="s">
        <v>37</v>
      </c>
      <c r="AW1239" s="57">
        <f t="shared" si="168"/>
        <v>0.12500000000000003</v>
      </c>
      <c r="AX1239" s="58" t="s">
        <v>203</v>
      </c>
    </row>
    <row r="1240" spans="1:50" ht="28.5" customHeight="1">
      <c r="A1240" s="66" t="s">
        <v>1073</v>
      </c>
      <c r="B1240" s="39">
        <f t="shared" si="173"/>
        <v>1236</v>
      </c>
      <c r="C1240" s="40">
        <v>46050</v>
      </c>
      <c r="D1240" s="40" t="s">
        <v>80</v>
      </c>
      <c r="E1240" s="40" t="s">
        <v>33</v>
      </c>
      <c r="F1240" s="41">
        <v>586</v>
      </c>
      <c r="G1240" s="42" t="s">
        <v>85</v>
      </c>
      <c r="H1240" s="43" t="str">
        <f>IFERROR(VLOOKUP($J1240,'[9]FROM (3)'!$E$4:$F$230,2,FALSE),"")</f>
        <v/>
      </c>
      <c r="I1240" s="44" t="str">
        <f t="shared" si="172"/>
        <v>PISTON</v>
      </c>
      <c r="J1240" s="44" t="str">
        <f t="shared" si="169"/>
        <v>S90-6500-4345-01</v>
      </c>
      <c r="K1240" s="59" t="str">
        <f t="shared" si="171"/>
        <v>PD26011296</v>
      </c>
      <c r="L1240" s="46" t="str" cm="1">
        <f t="array" ref="L1240">IFERROR(_xlfn.IFS(
    LEN($A1240)-LEN(SUBSTITUTE($A1240,"|",""))=12, RIGHT(A1240, LEN(A1240)-FIND("~", SUBSTITUTE(A1240,"|","~", LEN(A1240)-LEN(SUBSTITUTE(A1240,"|",""))))),
    LEN($A1240)-LEN(SUBSTITUTE($A1240,"|",""))=13, MID($A1240, FIND("~", SUBSTITUTE($A1240,"|","~", 11))+1, FIND("~", SUBSTITUTE($A1240,"|","~", 12))-FIND("~", SUBSTITUTE($A1240,"|","~", 11))-1),
    LEN($A1240)-LEN(SUBSTITUTE($A1240,"|",""))=14, MID($A1240, FIND("~", SUBSTITUTE($A1240,"|","~", 11))+1, FIND("~", SUBSTITUTE($A1240,"|","~", 12))-FIND("~", SUBSTITUTE($A1240,"|","~", 11))-1)
), "")</f>
        <v>E586506</v>
      </c>
      <c r="M1240" s="72" t="str">
        <f t="shared" si="170"/>
        <v>SB010183/1/26</v>
      </c>
      <c r="N1240" s="46" t="str">
        <f t="shared" si="149"/>
        <v/>
      </c>
      <c r="O1240" s="76">
        <v>16</v>
      </c>
      <c r="P1240" s="76">
        <v>1030</v>
      </c>
      <c r="Q1240" s="77">
        <v>1376</v>
      </c>
      <c r="R1240" s="77">
        <v>393</v>
      </c>
      <c r="S1240" s="77"/>
      <c r="T1240" s="77"/>
      <c r="U1240" s="83"/>
      <c r="V1240" s="83"/>
      <c r="W1240" s="78"/>
      <c r="X1240" s="51">
        <f>IF(A1240="", "", IF(COUNTIFS(C$3:C1239, C1240, D$3:D1239, D1240, G$3:G1239, G1240) &gt; 0, "", "11:00"-AW1240))</f>
        <v>0.29166666666666663</v>
      </c>
      <c r="Y1240" s="79"/>
      <c r="Z1240" s="80"/>
      <c r="AA1240" s="81"/>
      <c r="AB1240" s="81"/>
      <c r="AC1240" s="81"/>
      <c r="AD1240" s="81"/>
      <c r="AE1240" s="81"/>
      <c r="AF1240" s="81">
        <v>4.1666666666666664E-2</v>
      </c>
      <c r="AG1240" s="81" t="s">
        <v>311</v>
      </c>
      <c r="AH1240" s="82"/>
      <c r="AI1240" s="81"/>
      <c r="AJ1240" s="81"/>
      <c r="AK1240" s="81"/>
      <c r="AL1240" s="81"/>
      <c r="AM1240" s="81"/>
      <c r="AN1240" s="81"/>
      <c r="AO1240" s="81"/>
      <c r="AP1240" s="81"/>
      <c r="AQ1240" s="81">
        <v>4.1666666666666664E-2</v>
      </c>
      <c r="AR1240" s="81" t="s">
        <v>37</v>
      </c>
      <c r="AS1240" s="81">
        <v>4.1666666666666664E-2</v>
      </c>
      <c r="AT1240" s="81" t="s">
        <v>37</v>
      </c>
      <c r="AU1240" s="53">
        <v>4.1666666666666699E-2</v>
      </c>
      <c r="AV1240" s="54" t="s">
        <v>37</v>
      </c>
      <c r="AW1240" s="57">
        <f t="shared" si="168"/>
        <v>0.16666666666666669</v>
      </c>
      <c r="AX1240" s="58" t="s">
        <v>203</v>
      </c>
    </row>
    <row r="1241" spans="1:50" ht="28.5" customHeight="1">
      <c r="A1241" s="66" t="s">
        <v>1053</v>
      </c>
      <c r="B1241" s="39">
        <f t="shared" si="173"/>
        <v>1237</v>
      </c>
      <c r="C1241" s="40">
        <v>46050</v>
      </c>
      <c r="D1241" s="40" t="s">
        <v>80</v>
      </c>
      <c r="E1241" s="40" t="s">
        <v>33</v>
      </c>
      <c r="F1241" s="41">
        <v>83.2</v>
      </c>
      <c r="G1241" s="42" t="s">
        <v>41</v>
      </c>
      <c r="H1241" s="43" t="str">
        <f>IFERROR(VLOOKUP($J1241,'[9]FROM (3)'!$E$4:$F$230,2,FALSE),"")</f>
        <v>DNTH</v>
      </c>
      <c r="I1241" s="44" t="str">
        <f t="shared" si="172"/>
        <v>SHAFT, 2W</v>
      </c>
      <c r="J1241" s="44" t="str">
        <f t="shared" si="169"/>
        <v>TG028383-0420</v>
      </c>
      <c r="K1241" s="59" t="str">
        <f t="shared" si="171"/>
        <v>PD26011134</v>
      </c>
      <c r="L1241" s="46" t="str" cm="1">
        <f t="array" ref="L1241">IFERROR(_xlfn.IFS(
    LEN($A1241)-LEN(SUBSTITUTE($A1241,"|",""))=12, RIGHT(A1241, LEN(A1241)-FIND("~", SUBSTITUTE(A1241,"|","~", LEN(A1241)-LEN(SUBSTITUTE(A1241,"|",""))))),
    LEN($A1241)-LEN(SUBSTITUTE($A1241,"|",""))=13, MID($A1241, FIND("~", SUBSTITUTE($A1241,"|","~", 11))+1, FIND("~", SUBSTITUTE($A1241,"|","~", 12))-FIND("~", SUBSTITUTE($A1241,"|","~", 11))-1),
    LEN($A1241)-LEN(SUBSTITUTE($A1241,"|",""))=14, MID($A1241, FIND("~", SUBSTITUTE($A1241,"|","~", 11))+1, FIND("~", SUBSTITUTE($A1241,"|","~", 12))-FIND("~", SUBSTITUTE($A1241,"|","~", 11))-1)
), "")</f>
        <v>5E0424</v>
      </c>
      <c r="M1241" s="72" t="str">
        <f t="shared" si="170"/>
        <v>SB010154/1/26</v>
      </c>
      <c r="N1241" s="46" t="str">
        <f t="shared" si="149"/>
        <v/>
      </c>
      <c r="O1241" s="76"/>
      <c r="P1241" s="76"/>
      <c r="Q1241" s="77">
        <v>3247</v>
      </c>
      <c r="R1241" s="77">
        <v>476</v>
      </c>
      <c r="S1241" s="77"/>
      <c r="T1241" s="77"/>
      <c r="U1241" s="83"/>
      <c r="V1241" s="83"/>
      <c r="W1241" s="78"/>
      <c r="X1241" s="51">
        <f>IF(A1241="", "", IF(COUNTIFS(C$3:C1240, C1241, D$3:D1240, D1241, G$3:G1240, G1241) &gt; 0, "", "11:00"-AW1241))</f>
        <v>0.33333333333333326</v>
      </c>
      <c r="Y1241" s="79"/>
      <c r="Z1241" s="80"/>
      <c r="AA1241" s="81"/>
      <c r="AB1241" s="81"/>
      <c r="AC1241" s="81"/>
      <c r="AD1241" s="81"/>
      <c r="AE1241" s="81"/>
      <c r="AF1241" s="81"/>
      <c r="AG1241" s="81"/>
      <c r="AH1241" s="82"/>
      <c r="AI1241" s="81"/>
      <c r="AJ1241" s="81"/>
      <c r="AK1241" s="81"/>
      <c r="AL1241" s="81"/>
      <c r="AM1241" s="81"/>
      <c r="AN1241" s="81"/>
      <c r="AO1241" s="81"/>
      <c r="AP1241" s="81"/>
      <c r="AQ1241" s="81">
        <v>4.1666666666666664E-2</v>
      </c>
      <c r="AR1241" s="81" t="s">
        <v>37</v>
      </c>
      <c r="AS1241" s="81">
        <v>4.1666666666666664E-2</v>
      </c>
      <c r="AT1241" s="81" t="s">
        <v>37</v>
      </c>
      <c r="AU1241" s="53">
        <v>4.1666666666666699E-2</v>
      </c>
      <c r="AV1241" s="54" t="s">
        <v>37</v>
      </c>
      <c r="AW1241" s="57">
        <f t="shared" si="168"/>
        <v>0.12500000000000003</v>
      </c>
      <c r="AX1241" s="58" t="s">
        <v>203</v>
      </c>
    </row>
    <row r="1242" spans="1:50" ht="28.5" customHeight="1">
      <c r="A1242" s="66" t="s">
        <v>1060</v>
      </c>
      <c r="B1242" s="39">
        <f t="shared" si="173"/>
        <v>1238</v>
      </c>
      <c r="C1242" s="40">
        <v>46050</v>
      </c>
      <c r="D1242" s="40" t="s">
        <v>80</v>
      </c>
      <c r="E1242" s="40" t="s">
        <v>33</v>
      </c>
      <c r="F1242" s="41">
        <v>698.5</v>
      </c>
      <c r="G1242" s="42" t="s">
        <v>54</v>
      </c>
      <c r="H1242" s="43" t="str">
        <f>IFERROR(VLOOKUP($J1242,'[9]FROM (3)'!$E$4:$F$230,2,FALSE),"")</f>
        <v>JCTTH</v>
      </c>
      <c r="I1242" s="44" t="str">
        <f t="shared" si="172"/>
        <v>RACK BAR</v>
      </c>
      <c r="J1242" s="44" t="str">
        <f t="shared" si="169"/>
        <v>JGD10-000751/000761-A</v>
      </c>
      <c r="K1242" s="59" t="str">
        <f t="shared" si="171"/>
        <v>PD26010978</v>
      </c>
      <c r="L1242" s="46" t="str" cm="1">
        <f t="array" ref="L1242">IFERROR(_xlfn.IFS(
    LEN($A1242)-LEN(SUBSTITUTE($A1242,"|",""))=12, RIGHT(A1242, LEN(A1242)-FIND("~", SUBSTITUTE(A1242,"|","~", LEN(A1242)-LEN(SUBSTITUTE(A1242,"|",""))))),
    LEN($A1242)-LEN(SUBSTITUTE($A1242,"|",""))=13, MID($A1242, FIND("~", SUBSTITUTE($A1242,"|","~", 11))+1, FIND("~", SUBSTITUTE($A1242,"|","~", 12))-FIND("~", SUBSTITUTE($A1242,"|","~", 11))-1),
    LEN($A1242)-LEN(SUBSTITUTE($A1242,"|",""))=14, MID($A1242, FIND("~", SUBSTITUTE($A1242,"|","~", 11))+1, FIND("~", SUBSTITUTE($A1242,"|","~", 12))-FIND("~", SUBSTITUTE($A1242,"|","~", 11))-1)
), "")</f>
        <v>665077</v>
      </c>
      <c r="M1242" s="72" t="str">
        <f t="shared" si="170"/>
        <v>SB010127/2/26</v>
      </c>
      <c r="N1242" s="46" t="str">
        <f t="shared" si="149"/>
        <v/>
      </c>
      <c r="O1242" s="76" t="s">
        <v>35</v>
      </c>
      <c r="P1242" s="76" t="s">
        <v>35</v>
      </c>
      <c r="Q1242" s="77">
        <v>55</v>
      </c>
      <c r="R1242" s="77">
        <v>246</v>
      </c>
      <c r="S1242" s="77"/>
      <c r="T1242" s="77"/>
      <c r="U1242" s="83">
        <v>195</v>
      </c>
      <c r="V1242" s="83">
        <v>10</v>
      </c>
      <c r="W1242" s="78"/>
      <c r="X1242" s="51">
        <f>IF(A1242="", "", IF(COUNTIFS(C$3:C1241, C1242, D$3:D1241, D1242, G$3:G1241, G1242) &gt; 0, "", "11:00"-AW1242))</f>
        <v>0.33333333333333326</v>
      </c>
      <c r="Y1242" s="79"/>
      <c r="Z1242" s="80"/>
      <c r="AA1242" s="81"/>
      <c r="AB1242" s="81"/>
      <c r="AC1242" s="81"/>
      <c r="AD1242" s="81"/>
      <c r="AE1242" s="81"/>
      <c r="AF1242" s="81"/>
      <c r="AG1242" s="81"/>
      <c r="AH1242" s="82"/>
      <c r="AI1242" s="81"/>
      <c r="AJ1242" s="81"/>
      <c r="AK1242" s="81"/>
      <c r="AL1242" s="81"/>
      <c r="AM1242" s="81"/>
      <c r="AN1242" s="81"/>
      <c r="AO1242" s="81"/>
      <c r="AP1242" s="81"/>
      <c r="AQ1242" s="81">
        <v>4.1666666666666664E-2</v>
      </c>
      <c r="AR1242" s="81" t="s">
        <v>37</v>
      </c>
      <c r="AS1242" s="81">
        <v>4.1666666666666664E-2</v>
      </c>
      <c r="AT1242" s="81" t="s">
        <v>37</v>
      </c>
      <c r="AU1242" s="53">
        <v>4.1666666666666699E-2</v>
      </c>
      <c r="AV1242" s="54" t="s">
        <v>37</v>
      </c>
      <c r="AW1242" s="57">
        <f t="shared" si="168"/>
        <v>0.12500000000000003</v>
      </c>
      <c r="AX1242" s="58" t="s">
        <v>91</v>
      </c>
    </row>
    <row r="1243" spans="1:50" ht="28.5" customHeight="1">
      <c r="A1243" s="66" t="s">
        <v>1074</v>
      </c>
      <c r="B1243" s="39">
        <f t="shared" si="173"/>
        <v>1239</v>
      </c>
      <c r="C1243" s="40">
        <v>46050</v>
      </c>
      <c r="D1243" s="40" t="s">
        <v>80</v>
      </c>
      <c r="E1243" s="40" t="s">
        <v>33</v>
      </c>
      <c r="F1243" s="41">
        <v>698.5</v>
      </c>
      <c r="G1243" s="42" t="s">
        <v>54</v>
      </c>
      <c r="H1243" s="43" t="str">
        <f>IFERROR(VLOOKUP($J1243,'[9]FROM (3)'!$E$4:$F$230,2,FALSE),"")</f>
        <v>JCTTH</v>
      </c>
      <c r="I1243" s="44" t="str">
        <f t="shared" si="172"/>
        <v>RACK BAR</v>
      </c>
      <c r="J1243" s="44" t="str">
        <f t="shared" si="169"/>
        <v>JGD10-000751/000761-A</v>
      </c>
      <c r="K1243" s="59" t="str">
        <f t="shared" si="171"/>
        <v>PD26011003</v>
      </c>
      <c r="L1243" s="46" t="str" cm="1">
        <f t="array" ref="L1243">IFERROR(_xlfn.IFS(
    LEN($A1243)-LEN(SUBSTITUTE($A1243,"|",""))=12, RIGHT(A1243, LEN(A1243)-FIND("~", SUBSTITUTE(A1243,"|","~", LEN(A1243)-LEN(SUBSTITUTE(A1243,"|",""))))),
    LEN($A1243)-LEN(SUBSTITUTE($A1243,"|",""))=13, MID($A1243, FIND("~", SUBSTITUTE($A1243,"|","~", 11))+1, FIND("~", SUBSTITUTE($A1243,"|","~", 12))-FIND("~", SUBSTITUTE($A1243,"|","~", 11))-1),
    LEN($A1243)-LEN(SUBSTITUTE($A1243,"|",""))=14, MID($A1243, FIND("~", SUBSTITUTE($A1243,"|","~", 11))+1, FIND("~", SUBSTITUTE($A1243,"|","~", 12))-FIND("~", SUBSTITUTE($A1243,"|","~", 11))-1)
), "")</f>
        <v>665077</v>
      </c>
      <c r="M1243" s="72" t="str">
        <f t="shared" si="170"/>
        <v>SB010129/2/26</v>
      </c>
      <c r="N1243" s="46" t="str">
        <f t="shared" si="149"/>
        <v/>
      </c>
      <c r="O1243" s="76">
        <v>51</v>
      </c>
      <c r="P1243" s="76">
        <v>984</v>
      </c>
      <c r="Q1243" s="77">
        <v>204</v>
      </c>
      <c r="R1243" s="77">
        <v>913</v>
      </c>
      <c r="S1243" s="77"/>
      <c r="T1243" s="77"/>
      <c r="U1243" s="83"/>
      <c r="V1243" s="83"/>
      <c r="W1243" s="78"/>
      <c r="X1243" s="51" t="str">
        <f>IF(A1243="", "", IF(COUNTIFS(C$3:C1242, C1243, D$3:D1242, D1243, G$3:G1242, G1243) &gt; 0, "", "11:00"-AW1243))</f>
        <v/>
      </c>
      <c r="Y1243" s="79"/>
      <c r="Z1243" s="80"/>
      <c r="AA1243" s="81"/>
      <c r="AB1243" s="81"/>
      <c r="AC1243" s="81"/>
      <c r="AD1243" s="81"/>
      <c r="AE1243" s="81"/>
      <c r="AF1243" s="81"/>
      <c r="AG1243" s="81"/>
      <c r="AH1243" s="82"/>
      <c r="AI1243" s="81"/>
      <c r="AJ1243" s="81"/>
      <c r="AK1243" s="81"/>
      <c r="AL1243" s="81"/>
      <c r="AM1243" s="81"/>
      <c r="AN1243" s="81"/>
      <c r="AO1243" s="81"/>
      <c r="AP1243" s="81"/>
      <c r="AQ1243" s="81"/>
      <c r="AR1243" s="81"/>
      <c r="AS1243" s="81"/>
      <c r="AT1243" s="81"/>
      <c r="AU1243" s="53">
        <v>4.1666666666666699E-2</v>
      </c>
      <c r="AV1243" s="54" t="s">
        <v>37</v>
      </c>
      <c r="AW1243" s="57">
        <f t="shared" si="168"/>
        <v>4.1666666666666699E-2</v>
      </c>
      <c r="AX1243" s="58" t="s">
        <v>91</v>
      </c>
    </row>
    <row r="1244" spans="1:50" ht="28.5" customHeight="1">
      <c r="A1244" s="66" t="s">
        <v>1075</v>
      </c>
      <c r="B1244" s="39">
        <f t="shared" si="173"/>
        <v>1240</v>
      </c>
      <c r="C1244" s="40">
        <v>46050</v>
      </c>
      <c r="D1244" s="40" t="s">
        <v>80</v>
      </c>
      <c r="E1244" s="40" t="s">
        <v>33</v>
      </c>
      <c r="F1244" s="41">
        <v>698.5</v>
      </c>
      <c r="G1244" s="42" t="s">
        <v>54</v>
      </c>
      <c r="H1244" s="43" t="str">
        <f>IFERROR(VLOOKUP($J1244,'[9]FROM (3)'!$E$4:$F$230,2,FALSE),"")</f>
        <v>JCTTH</v>
      </c>
      <c r="I1244" s="44" t="str">
        <f t="shared" si="172"/>
        <v>RACK BAR</v>
      </c>
      <c r="J1244" s="44" t="str">
        <f t="shared" si="169"/>
        <v>JGD10-000751/000761-A</v>
      </c>
      <c r="K1244" s="59" t="str">
        <f t="shared" si="171"/>
        <v>PD26011003</v>
      </c>
      <c r="L1244" s="46" t="str" cm="1">
        <f t="array" ref="L1244">IFERROR(_xlfn.IFS(
    LEN($A1244)-LEN(SUBSTITUTE($A1244,"|",""))=12, RIGHT(A1244, LEN(A1244)-FIND("~", SUBSTITUTE(A1244,"|","~", LEN(A1244)-LEN(SUBSTITUTE(A1244,"|",""))))),
    LEN($A1244)-LEN(SUBSTITUTE($A1244,"|",""))=13, MID($A1244, FIND("~", SUBSTITUTE($A1244,"|","~", 11))+1, FIND("~", SUBSTITUTE($A1244,"|","~", 12))-FIND("~", SUBSTITUTE($A1244,"|","~", 11))-1),
    LEN($A1244)-LEN(SUBSTITUTE($A1244,"|",""))=14, MID($A1244, FIND("~", SUBSTITUTE($A1244,"|","~", 11))+1, FIND("~", SUBSTITUTE($A1244,"|","~", 12))-FIND("~", SUBSTITUTE($A1244,"|","~", 11))-1)
), "")</f>
        <v>665077</v>
      </c>
      <c r="M1244" s="72" t="str">
        <f t="shared" si="170"/>
        <v>SB010129/1/26</v>
      </c>
      <c r="N1244" s="46" t="str">
        <f t="shared" si="149"/>
        <v/>
      </c>
      <c r="O1244" s="76">
        <v>51</v>
      </c>
      <c r="P1244" s="76">
        <v>984</v>
      </c>
      <c r="Q1244" s="77">
        <v>204</v>
      </c>
      <c r="R1244" s="77">
        <v>913</v>
      </c>
      <c r="S1244" s="77"/>
      <c r="T1244" s="77"/>
      <c r="U1244" s="83"/>
      <c r="V1244" s="83"/>
      <c r="W1244" s="78"/>
      <c r="X1244" s="51" t="str">
        <f>IF(A1244="", "", IF(COUNTIFS(C$3:C1243, C1244, D$3:D1243, D1244, G$3:G1243, G1244) &gt; 0, "", "11:00"-AW1244))</f>
        <v/>
      </c>
      <c r="Y1244" s="79"/>
      <c r="Z1244" s="80"/>
      <c r="AA1244" s="81"/>
      <c r="AB1244" s="81"/>
      <c r="AC1244" s="81"/>
      <c r="AD1244" s="81"/>
      <c r="AE1244" s="81"/>
      <c r="AF1244" s="81"/>
      <c r="AG1244" s="81"/>
      <c r="AH1244" s="82"/>
      <c r="AI1244" s="81"/>
      <c r="AJ1244" s="81"/>
      <c r="AK1244" s="81"/>
      <c r="AL1244" s="81"/>
      <c r="AM1244" s="81"/>
      <c r="AN1244" s="81"/>
      <c r="AO1244" s="81"/>
      <c r="AP1244" s="81"/>
      <c r="AQ1244" s="81"/>
      <c r="AR1244" s="81"/>
      <c r="AS1244" s="81"/>
      <c r="AT1244" s="81"/>
      <c r="AU1244" s="53">
        <v>4.1666666666666699E-2</v>
      </c>
      <c r="AV1244" s="54" t="s">
        <v>37</v>
      </c>
      <c r="AW1244" s="57">
        <f t="shared" si="168"/>
        <v>4.1666666666666699E-2</v>
      </c>
      <c r="AX1244" s="58" t="s">
        <v>91</v>
      </c>
    </row>
    <row r="1245" spans="1:50" ht="28.5" customHeight="1">
      <c r="A1245" s="66" t="s">
        <v>1076</v>
      </c>
      <c r="B1245" s="39">
        <f t="shared" si="173"/>
        <v>1241</v>
      </c>
      <c r="C1245" s="40">
        <v>46050</v>
      </c>
      <c r="D1245" s="40" t="s">
        <v>80</v>
      </c>
      <c r="E1245" s="40" t="s">
        <v>33</v>
      </c>
      <c r="F1245" s="41">
        <v>698.5</v>
      </c>
      <c r="G1245" s="42" t="s">
        <v>54</v>
      </c>
      <c r="H1245" s="43" t="str">
        <f>IFERROR(VLOOKUP($J1245,'[9]FROM (3)'!$E$4:$F$230,2,FALSE),"")</f>
        <v>JCTTH</v>
      </c>
      <c r="I1245" s="44" t="str">
        <f t="shared" si="172"/>
        <v>RACK BAR</v>
      </c>
      <c r="J1245" s="44" t="str">
        <f t="shared" si="169"/>
        <v>JGD10-000751/000761-A</v>
      </c>
      <c r="K1245" s="59" t="str">
        <f t="shared" si="171"/>
        <v>PD26011003</v>
      </c>
      <c r="L1245" s="46" t="str" cm="1">
        <f t="array" ref="L1245">IFERROR(_xlfn.IFS(
    LEN($A1245)-LEN(SUBSTITUTE($A1245,"|",""))=12, RIGHT(A1245, LEN(A1245)-FIND("~", SUBSTITUTE(A1245,"|","~", LEN(A1245)-LEN(SUBSTITUTE(A1245,"|",""))))),
    LEN($A1245)-LEN(SUBSTITUTE($A1245,"|",""))=13, MID($A1245, FIND("~", SUBSTITUTE($A1245,"|","~", 11))+1, FIND("~", SUBSTITUTE($A1245,"|","~", 12))-FIND("~", SUBSTITUTE($A1245,"|","~", 11))-1),
    LEN($A1245)-LEN(SUBSTITUTE($A1245,"|",""))=14, MID($A1245, FIND("~", SUBSTITUTE($A1245,"|","~", 11))+1, FIND("~", SUBSTITUTE($A1245,"|","~", 12))-FIND("~", SUBSTITUTE($A1245,"|","~", 11))-1)
), "")</f>
        <v>665077</v>
      </c>
      <c r="M1245" s="72" t="str">
        <f t="shared" si="170"/>
        <v>SB010129/3/26</v>
      </c>
      <c r="N1245" s="46" t="str">
        <f t="shared" si="149"/>
        <v/>
      </c>
      <c r="O1245" s="76">
        <v>51</v>
      </c>
      <c r="P1245" s="76">
        <v>984</v>
      </c>
      <c r="Q1245" s="77">
        <v>203</v>
      </c>
      <c r="R1245" s="77">
        <v>907</v>
      </c>
      <c r="S1245" s="77"/>
      <c r="T1245" s="77"/>
      <c r="U1245" s="83">
        <v>195</v>
      </c>
      <c r="V1245" s="83">
        <v>10</v>
      </c>
      <c r="W1245" s="78"/>
      <c r="X1245" s="51" t="str">
        <f>IF(A1245="", "", IF(COUNTIFS(C$3:C1244, C1245, D$3:D1244, D1245, G$3:G1244, G1245) &gt; 0, "", "11:00"-AW1245))</f>
        <v/>
      </c>
      <c r="Y1245" s="79"/>
      <c r="Z1245" s="80"/>
      <c r="AA1245" s="81"/>
      <c r="AB1245" s="81"/>
      <c r="AC1245" s="81"/>
      <c r="AD1245" s="81"/>
      <c r="AE1245" s="81"/>
      <c r="AF1245" s="81"/>
      <c r="AG1245" s="81"/>
      <c r="AH1245" s="82"/>
      <c r="AI1245" s="81"/>
      <c r="AJ1245" s="81"/>
      <c r="AK1245" s="81"/>
      <c r="AL1245" s="81"/>
      <c r="AM1245" s="81"/>
      <c r="AN1245" s="81"/>
      <c r="AO1245" s="81"/>
      <c r="AP1245" s="81"/>
      <c r="AQ1245" s="81"/>
      <c r="AR1245" s="81"/>
      <c r="AS1245" s="81"/>
      <c r="AT1245" s="81"/>
      <c r="AU1245" s="53">
        <v>4.1666666666666699E-2</v>
      </c>
      <c r="AV1245" s="54" t="s">
        <v>37</v>
      </c>
      <c r="AW1245" s="57">
        <f t="shared" si="168"/>
        <v>4.1666666666666699E-2</v>
      </c>
      <c r="AX1245" s="58" t="s">
        <v>91</v>
      </c>
    </row>
    <row r="1246" spans="1:50" ht="28.5" customHeight="1">
      <c r="A1246" s="66" t="s">
        <v>1077</v>
      </c>
      <c r="B1246" s="39">
        <f t="shared" si="173"/>
        <v>1242</v>
      </c>
      <c r="C1246" s="40">
        <v>46050</v>
      </c>
      <c r="D1246" s="40" t="s">
        <v>80</v>
      </c>
      <c r="E1246" s="40" t="s">
        <v>33</v>
      </c>
      <c r="F1246" s="41">
        <v>698.5</v>
      </c>
      <c r="G1246" s="42" t="s">
        <v>54</v>
      </c>
      <c r="H1246" s="43" t="str">
        <f>IFERROR(VLOOKUP($J1246,'[9]FROM (3)'!$E$4:$F$230,2,FALSE),"")</f>
        <v>JCTTH</v>
      </c>
      <c r="I1246" s="44" t="str">
        <f t="shared" si="172"/>
        <v>RACK BAR</v>
      </c>
      <c r="J1246" s="44" t="str">
        <f t="shared" si="169"/>
        <v>JGD10-000751/000761-A</v>
      </c>
      <c r="K1246" s="59" t="str">
        <f t="shared" si="171"/>
        <v>PD26011006</v>
      </c>
      <c r="L1246" s="46" t="str" cm="1">
        <f t="array" ref="L1246">IFERROR(_xlfn.IFS(
    LEN($A1246)-LEN(SUBSTITUTE($A1246,"|",""))=12, RIGHT(A1246, LEN(A1246)-FIND("~", SUBSTITUTE(A1246,"|","~", LEN(A1246)-LEN(SUBSTITUTE(A1246,"|",""))))),
    LEN($A1246)-LEN(SUBSTITUTE($A1246,"|",""))=13, MID($A1246, FIND("~", SUBSTITUTE($A1246,"|","~", 11))+1, FIND("~", SUBSTITUTE($A1246,"|","~", 12))-FIND("~", SUBSTITUTE($A1246,"|","~", 11))-1),
    LEN($A1246)-LEN(SUBSTITUTE($A1246,"|",""))=14, MID($A1246, FIND("~", SUBSTITUTE($A1246,"|","~", 11))+1, FIND("~", SUBSTITUTE($A1246,"|","~", 12))-FIND("~", SUBSTITUTE($A1246,"|","~", 11))-1)
), "")</f>
        <v>665077</v>
      </c>
      <c r="M1246" s="72" t="str">
        <f t="shared" si="170"/>
        <v>SB010131/4/26</v>
      </c>
      <c r="N1246" s="46" t="str">
        <f t="shared" si="149"/>
        <v/>
      </c>
      <c r="O1246" s="76">
        <v>51</v>
      </c>
      <c r="P1246" s="76">
        <v>984</v>
      </c>
      <c r="Q1246" s="77">
        <v>204</v>
      </c>
      <c r="R1246" s="77">
        <v>913</v>
      </c>
      <c r="S1246" s="77"/>
      <c r="T1246" s="77"/>
      <c r="U1246" s="83"/>
      <c r="V1246" s="83"/>
      <c r="W1246" s="78"/>
      <c r="X1246" s="51" t="str">
        <f>IF(A1246="", "", IF(COUNTIFS(C$3:C1245, C1246, D$3:D1245, D1246, G$3:G1245, G1246) &gt; 0, "", "11:00"-AW1246))</f>
        <v/>
      </c>
      <c r="Y1246" s="79"/>
      <c r="Z1246" s="80"/>
      <c r="AA1246" s="81"/>
      <c r="AB1246" s="81"/>
      <c r="AC1246" s="81"/>
      <c r="AD1246" s="81"/>
      <c r="AE1246" s="81"/>
      <c r="AF1246" s="81"/>
      <c r="AG1246" s="81"/>
      <c r="AH1246" s="82"/>
      <c r="AI1246" s="81"/>
      <c r="AJ1246" s="81"/>
      <c r="AK1246" s="81"/>
      <c r="AL1246" s="81"/>
      <c r="AM1246" s="81"/>
      <c r="AN1246" s="81"/>
      <c r="AO1246" s="81"/>
      <c r="AP1246" s="81"/>
      <c r="AQ1246" s="81"/>
      <c r="AR1246" s="81"/>
      <c r="AS1246" s="81"/>
      <c r="AT1246" s="81"/>
      <c r="AU1246" s="53">
        <v>4.1666666666666699E-2</v>
      </c>
      <c r="AV1246" s="54" t="s">
        <v>37</v>
      </c>
      <c r="AW1246" s="57">
        <f t="shared" si="168"/>
        <v>4.1666666666666699E-2</v>
      </c>
      <c r="AX1246" s="58" t="s">
        <v>91</v>
      </c>
    </row>
    <row r="1247" spans="1:50" ht="28.5" customHeight="1">
      <c r="A1247" s="66" t="s">
        <v>1078</v>
      </c>
      <c r="B1247" s="39">
        <f t="shared" si="173"/>
        <v>1243</v>
      </c>
      <c r="C1247" s="40">
        <v>46050</v>
      </c>
      <c r="D1247" s="40" t="s">
        <v>80</v>
      </c>
      <c r="E1247" s="40" t="s">
        <v>33</v>
      </c>
      <c r="F1247" s="41">
        <v>698.5</v>
      </c>
      <c r="G1247" s="42" t="s">
        <v>54</v>
      </c>
      <c r="H1247" s="43" t="str">
        <f>IFERROR(VLOOKUP($J1247,'[9]FROM (3)'!$E$4:$F$230,2,FALSE),"")</f>
        <v>JCTTH</v>
      </c>
      <c r="I1247" s="44" t="str">
        <f t="shared" si="172"/>
        <v>RACK BAR</v>
      </c>
      <c r="J1247" s="44" t="str">
        <f t="shared" si="169"/>
        <v>JGD10-000751/000761-A</v>
      </c>
      <c r="K1247" s="59" t="str">
        <f t="shared" si="171"/>
        <v>PD26011006</v>
      </c>
      <c r="L1247" s="46" t="str" cm="1">
        <f t="array" ref="L1247">IFERROR(_xlfn.IFS(
    LEN($A1247)-LEN(SUBSTITUTE($A1247,"|",""))=12, RIGHT(A1247, LEN(A1247)-FIND("~", SUBSTITUTE(A1247,"|","~", LEN(A1247)-LEN(SUBSTITUTE(A1247,"|",""))))),
    LEN($A1247)-LEN(SUBSTITUTE($A1247,"|",""))=13, MID($A1247, FIND("~", SUBSTITUTE($A1247,"|","~", 11))+1, FIND("~", SUBSTITUTE($A1247,"|","~", 12))-FIND("~", SUBSTITUTE($A1247,"|","~", 11))-1),
    LEN($A1247)-LEN(SUBSTITUTE($A1247,"|",""))=14, MID($A1247, FIND("~", SUBSTITUTE($A1247,"|","~", 11))+1, FIND("~", SUBSTITUTE($A1247,"|","~", 12))-FIND("~", SUBSTITUTE($A1247,"|","~", 11))-1)
), "")</f>
        <v>665077</v>
      </c>
      <c r="M1247" s="72" t="str">
        <f t="shared" si="170"/>
        <v>SB010131/3/26</v>
      </c>
      <c r="N1247" s="46" t="str">
        <f t="shared" si="149"/>
        <v/>
      </c>
      <c r="O1247" s="76">
        <v>51</v>
      </c>
      <c r="P1247" s="76">
        <v>984</v>
      </c>
      <c r="Q1247" s="77">
        <v>9</v>
      </c>
      <c r="R1247" s="77">
        <v>40</v>
      </c>
      <c r="S1247" s="77"/>
      <c r="T1247" s="77"/>
      <c r="U1247" s="83"/>
      <c r="V1247" s="83"/>
      <c r="W1247" s="78"/>
      <c r="X1247" s="51" t="str">
        <f>IF(A1247="", "", IF(COUNTIFS(C$3:C1246, C1247, D$3:D1246, D1247, G$3:G1246, G1247) &gt; 0, "", "11:00"-AW1247))</f>
        <v/>
      </c>
      <c r="Y1247" s="79"/>
      <c r="Z1247" s="80"/>
      <c r="AA1247" s="81"/>
      <c r="AB1247" s="81"/>
      <c r="AC1247" s="81"/>
      <c r="AD1247" s="81"/>
      <c r="AE1247" s="81"/>
      <c r="AF1247" s="81"/>
      <c r="AG1247" s="81"/>
      <c r="AH1247" s="82"/>
      <c r="AI1247" s="81"/>
      <c r="AJ1247" s="81"/>
      <c r="AK1247" s="81"/>
      <c r="AL1247" s="81"/>
      <c r="AM1247" s="81"/>
      <c r="AN1247" s="81"/>
      <c r="AO1247" s="81"/>
      <c r="AP1247" s="81"/>
      <c r="AQ1247" s="81"/>
      <c r="AR1247" s="81"/>
      <c r="AS1247" s="81"/>
      <c r="AT1247" s="81"/>
      <c r="AU1247" s="53">
        <v>4.1666666666666699E-2</v>
      </c>
      <c r="AV1247" s="54" t="s">
        <v>37</v>
      </c>
      <c r="AW1247" s="57">
        <f t="shared" si="168"/>
        <v>4.1666666666666699E-2</v>
      </c>
      <c r="AX1247" s="58" t="s">
        <v>91</v>
      </c>
    </row>
    <row r="1248" spans="1:50" ht="28.5" customHeight="1">
      <c r="A1248" s="66" t="s">
        <v>1050</v>
      </c>
      <c r="B1248" s="39">
        <f t="shared" si="173"/>
        <v>1244</v>
      </c>
      <c r="C1248" s="40">
        <v>46050</v>
      </c>
      <c r="D1248" s="40" t="s">
        <v>80</v>
      </c>
      <c r="E1248" s="40" t="s">
        <v>33</v>
      </c>
      <c r="F1248" s="41">
        <v>721.5</v>
      </c>
      <c r="G1248" s="42" t="s">
        <v>75</v>
      </c>
      <c r="H1248" s="43" t="str">
        <f>IFERROR(VLOOKUP($J1248,'[9]FROM (3)'!$E$4:$F$230,2,FALSE),"")</f>
        <v>JCTTH</v>
      </c>
      <c r="I1248" s="44" t="str">
        <f t="shared" si="172"/>
        <v>RACK POWER STEERING</v>
      </c>
      <c r="J1248" s="44" t="str">
        <f t="shared" si="169"/>
        <v>2-30JG-0711</v>
      </c>
      <c r="K1248" s="59" t="str">
        <f t="shared" si="171"/>
        <v>PD26010791</v>
      </c>
      <c r="L1248" s="46" t="str" cm="1">
        <f t="array" ref="L1248">IFERROR(_xlfn.IFS(
    LEN($A1248)-LEN(SUBSTITUTE($A1248,"|",""))=12, RIGHT(A1248, LEN(A1248)-FIND("~", SUBSTITUTE(A1248,"|","~", LEN(A1248)-LEN(SUBSTITUTE(A1248,"|",""))))),
    LEN($A1248)-LEN(SUBSTITUTE($A1248,"|",""))=13, MID($A1248, FIND("~", SUBSTITUTE($A1248,"|","~", 11))+1, FIND("~", SUBSTITUTE($A1248,"|","~", 12))-FIND("~", SUBSTITUTE($A1248,"|","~", 11))-1),
    LEN($A1248)-LEN(SUBSTITUTE($A1248,"|",""))=14, MID($A1248, FIND("~", SUBSTITUTE($A1248,"|","~", 11))+1, FIND("~", SUBSTITUTE($A1248,"|","~", 12))-FIND("~", SUBSTITUTE($A1248,"|","~", 11))-1)
), "")</f>
        <v>E586102</v>
      </c>
      <c r="M1248" s="72" t="str">
        <f t="shared" si="170"/>
        <v>SB010089/6/26</v>
      </c>
      <c r="N1248" s="46" t="str">
        <f t="shared" si="149"/>
        <v/>
      </c>
      <c r="O1248" s="76"/>
      <c r="P1248" s="76"/>
      <c r="Q1248" s="77">
        <v>125</v>
      </c>
      <c r="R1248" s="77">
        <v>513</v>
      </c>
      <c r="S1248" s="77"/>
      <c r="T1248" s="77"/>
      <c r="U1248" s="83"/>
      <c r="V1248" s="83"/>
      <c r="W1248" s="78"/>
      <c r="X1248" s="51">
        <f>IF(A1248="", "", IF(COUNTIFS(C$3:C1247, C1248, D$3:D1247, D1248, G$3:G1247, G1248) &gt; 0, "", "11:00"-AW1248))</f>
        <v>0.33333333333333326</v>
      </c>
      <c r="Y1248" s="79"/>
      <c r="Z1248" s="80"/>
      <c r="AA1248" s="81"/>
      <c r="AB1248" s="81"/>
      <c r="AC1248" s="81"/>
      <c r="AD1248" s="81"/>
      <c r="AE1248" s="81"/>
      <c r="AF1248" s="81"/>
      <c r="AG1248" s="81"/>
      <c r="AH1248" s="82"/>
      <c r="AI1248" s="81"/>
      <c r="AJ1248" s="81"/>
      <c r="AK1248" s="81"/>
      <c r="AL1248" s="81"/>
      <c r="AM1248" s="81"/>
      <c r="AN1248" s="81"/>
      <c r="AO1248" s="81"/>
      <c r="AP1248" s="81"/>
      <c r="AQ1248" s="81">
        <v>4.1666666666666664E-2</v>
      </c>
      <c r="AR1248" s="81" t="s">
        <v>37</v>
      </c>
      <c r="AS1248" s="81">
        <v>4.1666666666666664E-2</v>
      </c>
      <c r="AT1248" s="81" t="s">
        <v>37</v>
      </c>
      <c r="AU1248" s="53">
        <v>4.1666666666666699E-2</v>
      </c>
      <c r="AV1248" s="54" t="s">
        <v>37</v>
      </c>
      <c r="AW1248" s="57">
        <f t="shared" si="168"/>
        <v>0.12500000000000003</v>
      </c>
      <c r="AX1248" s="58" t="s">
        <v>101</v>
      </c>
    </row>
    <row r="1249" spans="1:50" ht="28.5" customHeight="1">
      <c r="A1249" s="66" t="s">
        <v>1079</v>
      </c>
      <c r="B1249" s="39">
        <f t="shared" si="173"/>
        <v>1245</v>
      </c>
      <c r="C1249" s="40">
        <v>46050</v>
      </c>
      <c r="D1249" s="40" t="s">
        <v>80</v>
      </c>
      <c r="E1249" s="40" t="s">
        <v>33</v>
      </c>
      <c r="F1249" s="41">
        <v>721.5</v>
      </c>
      <c r="G1249" s="42" t="s">
        <v>75</v>
      </c>
      <c r="H1249" s="43" t="str">
        <f>IFERROR(VLOOKUP($J1249,'[9]FROM (3)'!$E$4:$F$230,2,FALSE),"")</f>
        <v>JCTTH</v>
      </c>
      <c r="I1249" s="44" t="str">
        <f t="shared" si="172"/>
        <v>RACK POWER STEERING</v>
      </c>
      <c r="J1249" s="44" t="str">
        <f t="shared" si="169"/>
        <v>2-30JG-0711</v>
      </c>
      <c r="K1249" s="59" t="str">
        <f t="shared" si="171"/>
        <v>PD26010791</v>
      </c>
      <c r="L1249" s="46" t="str" cm="1">
        <f t="array" ref="L1249">IFERROR(_xlfn.IFS(
    LEN($A1249)-LEN(SUBSTITUTE($A1249,"|",""))=12, RIGHT(A1249, LEN(A1249)-FIND("~", SUBSTITUTE(A1249,"|","~", LEN(A1249)-LEN(SUBSTITUTE(A1249,"|",""))))),
    LEN($A1249)-LEN(SUBSTITUTE($A1249,"|",""))=13, MID($A1249, FIND("~", SUBSTITUTE($A1249,"|","~", 11))+1, FIND("~", SUBSTITUTE($A1249,"|","~", 12))-FIND("~", SUBSTITUTE($A1249,"|","~", 11))-1),
    LEN($A1249)-LEN(SUBSTITUTE($A1249,"|",""))=14, MID($A1249, FIND("~", SUBSTITUTE($A1249,"|","~", 11))+1, FIND("~", SUBSTITUTE($A1249,"|","~", 12))-FIND("~", SUBSTITUTE($A1249,"|","~", 11))-1)
), "")</f>
        <v>E586102</v>
      </c>
      <c r="M1249" s="72" t="str">
        <f t="shared" si="170"/>
        <v>SB010089/5/26</v>
      </c>
      <c r="N1249" s="46" t="str">
        <f t="shared" si="149"/>
        <v/>
      </c>
      <c r="O1249" s="76">
        <v>50</v>
      </c>
      <c r="P1249" s="76">
        <v>878</v>
      </c>
      <c r="Q1249" s="77">
        <v>200</v>
      </c>
      <c r="R1249" s="77">
        <v>820</v>
      </c>
      <c r="S1249" s="77"/>
      <c r="T1249" s="77"/>
      <c r="U1249" s="83">
        <v>143</v>
      </c>
      <c r="V1249" s="83">
        <v>9</v>
      </c>
      <c r="W1249" s="78"/>
      <c r="X1249" s="51" t="str">
        <f>IF(A1249="", "", IF(COUNTIFS(C$3:C1248, C1249, D$3:D1248, D1249, G$3:G1248, G1249) &gt; 0, "", "11:00"-AW1249))</f>
        <v/>
      </c>
      <c r="Y1249" s="79"/>
      <c r="Z1249" s="80"/>
      <c r="AA1249" s="81"/>
      <c r="AB1249" s="81"/>
      <c r="AC1249" s="81"/>
      <c r="AD1249" s="81"/>
      <c r="AE1249" s="81"/>
      <c r="AF1249" s="81"/>
      <c r="AG1249" s="81"/>
      <c r="AH1249" s="82"/>
      <c r="AI1249" s="81"/>
      <c r="AJ1249" s="81"/>
      <c r="AK1249" s="81"/>
      <c r="AL1249" s="81"/>
      <c r="AM1249" s="81"/>
      <c r="AN1249" s="81"/>
      <c r="AO1249" s="81"/>
      <c r="AP1249" s="81"/>
      <c r="AQ1249" s="81"/>
      <c r="AR1249" s="81"/>
      <c r="AS1249" s="81"/>
      <c r="AT1249" s="81"/>
      <c r="AU1249" s="53">
        <v>4.1666666666666699E-2</v>
      </c>
      <c r="AV1249" s="54" t="s">
        <v>37</v>
      </c>
      <c r="AW1249" s="57">
        <f t="shared" si="168"/>
        <v>4.1666666666666699E-2</v>
      </c>
      <c r="AX1249" s="58" t="s">
        <v>101</v>
      </c>
    </row>
    <row r="1250" spans="1:50" ht="28.5" customHeight="1">
      <c r="A1250" s="66" t="s">
        <v>1080</v>
      </c>
      <c r="B1250" s="39">
        <f t="shared" si="173"/>
        <v>1246</v>
      </c>
      <c r="C1250" s="40">
        <v>46050</v>
      </c>
      <c r="D1250" s="40" t="s">
        <v>80</v>
      </c>
      <c r="E1250" s="40" t="s">
        <v>33</v>
      </c>
      <c r="F1250" s="41">
        <v>721.5</v>
      </c>
      <c r="G1250" s="42" t="s">
        <v>75</v>
      </c>
      <c r="H1250" s="43" t="str">
        <f>IFERROR(VLOOKUP($J1250,'[9]FROM (3)'!$E$4:$F$230,2,FALSE),"")</f>
        <v>JCTTH</v>
      </c>
      <c r="I1250" s="44" t="str">
        <f t="shared" si="172"/>
        <v>RACK POWER STEERING</v>
      </c>
      <c r="J1250" s="44" t="str">
        <f t="shared" si="169"/>
        <v>2-30JG-0711</v>
      </c>
      <c r="K1250" s="59" t="str">
        <f t="shared" si="171"/>
        <v>PD26010792</v>
      </c>
      <c r="L1250" s="46" t="str" cm="1">
        <f t="array" ref="L1250">IFERROR(_xlfn.IFS(
    LEN($A1250)-LEN(SUBSTITUTE($A1250,"|",""))=12, RIGHT(A1250, LEN(A1250)-FIND("~", SUBSTITUTE(A1250,"|","~", LEN(A1250)-LEN(SUBSTITUTE(A1250,"|",""))))),
    LEN($A1250)-LEN(SUBSTITUTE($A1250,"|",""))=13, MID($A1250, FIND("~", SUBSTITUTE($A1250,"|","~", 11))+1, FIND("~", SUBSTITUTE($A1250,"|","~", 12))-FIND("~", SUBSTITUTE($A1250,"|","~", 11))-1),
    LEN($A1250)-LEN(SUBSTITUTE($A1250,"|",""))=14, MID($A1250, FIND("~", SUBSTITUTE($A1250,"|","~", 11))+1, FIND("~", SUBSTITUTE($A1250,"|","~", 12))-FIND("~", SUBSTITUTE($A1250,"|","~", 11))-1)
), "")</f>
        <v>E586102</v>
      </c>
      <c r="M1250" s="72" t="str">
        <f t="shared" si="170"/>
        <v>SB010090/3/26</v>
      </c>
      <c r="N1250" s="46" t="str">
        <f t="shared" si="149"/>
        <v/>
      </c>
      <c r="O1250" s="76">
        <v>50</v>
      </c>
      <c r="P1250" s="76">
        <v>878</v>
      </c>
      <c r="Q1250" s="77">
        <v>200</v>
      </c>
      <c r="R1250" s="77">
        <v>820</v>
      </c>
      <c r="S1250" s="77"/>
      <c r="T1250" s="77"/>
      <c r="U1250" s="83"/>
      <c r="V1250" s="83"/>
      <c r="W1250" s="78"/>
      <c r="X1250" s="51" t="str">
        <f>IF(A1250="", "", IF(COUNTIFS(C$3:C1249, C1250, D$3:D1249, D1250, G$3:G1249, G1250) &gt; 0, "", "11:00"-AW1250))</f>
        <v/>
      </c>
      <c r="Y1250" s="79"/>
      <c r="Z1250" s="80"/>
      <c r="AA1250" s="81"/>
      <c r="AB1250" s="81"/>
      <c r="AC1250" s="81"/>
      <c r="AD1250" s="81"/>
      <c r="AE1250" s="81"/>
      <c r="AF1250" s="81"/>
      <c r="AG1250" s="81"/>
      <c r="AH1250" s="82"/>
      <c r="AI1250" s="81"/>
      <c r="AJ1250" s="81"/>
      <c r="AK1250" s="81"/>
      <c r="AL1250" s="81"/>
      <c r="AM1250" s="81"/>
      <c r="AN1250" s="81"/>
      <c r="AO1250" s="81"/>
      <c r="AP1250" s="81"/>
      <c r="AQ1250" s="81"/>
      <c r="AR1250" s="81"/>
      <c r="AS1250" s="81"/>
      <c r="AT1250" s="81"/>
      <c r="AU1250" s="53">
        <v>4.1666666666666699E-2</v>
      </c>
      <c r="AV1250" s="54" t="s">
        <v>37</v>
      </c>
      <c r="AW1250" s="57">
        <f t="shared" si="168"/>
        <v>4.1666666666666699E-2</v>
      </c>
      <c r="AX1250" s="58" t="s">
        <v>101</v>
      </c>
    </row>
    <row r="1251" spans="1:50" ht="28.5" customHeight="1">
      <c r="A1251" s="66" t="s">
        <v>1081</v>
      </c>
      <c r="B1251" s="39">
        <f t="shared" si="173"/>
        <v>1247</v>
      </c>
      <c r="C1251" s="40">
        <v>46050</v>
      </c>
      <c r="D1251" s="40" t="s">
        <v>80</v>
      </c>
      <c r="E1251" s="40" t="s">
        <v>33</v>
      </c>
      <c r="F1251" s="41">
        <v>721.5</v>
      </c>
      <c r="G1251" s="42" t="s">
        <v>75</v>
      </c>
      <c r="H1251" s="43" t="str">
        <f>IFERROR(VLOOKUP($J1251,'[9]FROM (3)'!$E$4:$F$230,2,FALSE),"")</f>
        <v>JCTTH</v>
      </c>
      <c r="I1251" s="44" t="str">
        <f t="shared" si="172"/>
        <v>RACK POWER STEERING</v>
      </c>
      <c r="J1251" s="44" t="str">
        <f t="shared" si="169"/>
        <v>2-30JG-0711</v>
      </c>
      <c r="K1251" s="59" t="str">
        <f t="shared" si="171"/>
        <v>PD26010792</v>
      </c>
      <c r="L1251" s="46" t="str" cm="1">
        <f t="array" ref="L1251">IFERROR(_xlfn.IFS(
    LEN($A1251)-LEN(SUBSTITUTE($A1251,"|",""))=12, RIGHT(A1251, LEN(A1251)-FIND("~", SUBSTITUTE(A1251,"|","~", LEN(A1251)-LEN(SUBSTITUTE(A1251,"|",""))))),
    LEN($A1251)-LEN(SUBSTITUTE($A1251,"|",""))=13, MID($A1251, FIND("~", SUBSTITUTE($A1251,"|","~", 11))+1, FIND("~", SUBSTITUTE($A1251,"|","~", 12))-FIND("~", SUBSTITUTE($A1251,"|","~", 11))-1),
    LEN($A1251)-LEN(SUBSTITUTE($A1251,"|",""))=14, MID($A1251, FIND("~", SUBSTITUTE($A1251,"|","~", 11))+1, FIND("~", SUBSTITUTE($A1251,"|","~", 12))-FIND("~", SUBSTITUTE($A1251,"|","~", 11))-1)
), "")</f>
        <v>E586102</v>
      </c>
      <c r="M1251" s="72" t="str">
        <f t="shared" si="170"/>
        <v>SB010090/2/26</v>
      </c>
      <c r="N1251" s="46" t="str">
        <f t="shared" si="149"/>
        <v/>
      </c>
      <c r="O1251" s="76">
        <v>50</v>
      </c>
      <c r="P1251" s="76">
        <v>878</v>
      </c>
      <c r="Q1251" s="77">
        <v>200</v>
      </c>
      <c r="R1251" s="77">
        <v>820</v>
      </c>
      <c r="S1251" s="77"/>
      <c r="T1251" s="77"/>
      <c r="U1251" s="83"/>
      <c r="V1251" s="83"/>
      <c r="W1251" s="78"/>
      <c r="X1251" s="51" t="str">
        <f>IF(A1251="", "", IF(COUNTIFS(C$3:C1250, C1251, D$3:D1250, D1251, G$3:G1250, G1251) &gt; 0, "", "11:00"-AW1251))</f>
        <v/>
      </c>
      <c r="Y1251" s="79"/>
      <c r="Z1251" s="80"/>
      <c r="AA1251" s="81"/>
      <c r="AB1251" s="81"/>
      <c r="AC1251" s="81"/>
      <c r="AD1251" s="81"/>
      <c r="AE1251" s="81"/>
      <c r="AF1251" s="81"/>
      <c r="AG1251" s="81"/>
      <c r="AH1251" s="82"/>
      <c r="AI1251" s="81"/>
      <c r="AJ1251" s="81"/>
      <c r="AK1251" s="81"/>
      <c r="AL1251" s="81"/>
      <c r="AM1251" s="81"/>
      <c r="AN1251" s="81"/>
      <c r="AO1251" s="81"/>
      <c r="AP1251" s="81"/>
      <c r="AQ1251" s="81"/>
      <c r="AR1251" s="81"/>
      <c r="AS1251" s="81"/>
      <c r="AT1251" s="81"/>
      <c r="AU1251" s="53">
        <v>4.1666666666666699E-2</v>
      </c>
      <c r="AV1251" s="54" t="s">
        <v>37</v>
      </c>
      <c r="AW1251" s="57">
        <f t="shared" si="168"/>
        <v>4.1666666666666699E-2</v>
      </c>
      <c r="AX1251" s="58" t="s">
        <v>101</v>
      </c>
    </row>
    <row r="1252" spans="1:50" ht="28.5" customHeight="1">
      <c r="A1252" s="66" t="s">
        <v>1082</v>
      </c>
      <c r="B1252" s="39">
        <f t="shared" si="173"/>
        <v>1248</v>
      </c>
      <c r="C1252" s="40">
        <v>46050</v>
      </c>
      <c r="D1252" s="40" t="s">
        <v>80</v>
      </c>
      <c r="E1252" s="40" t="s">
        <v>33</v>
      </c>
      <c r="F1252" s="41">
        <v>721.5</v>
      </c>
      <c r="G1252" s="42" t="s">
        <v>75</v>
      </c>
      <c r="H1252" s="43" t="str">
        <f>IFERROR(VLOOKUP($J1252,'[9]FROM (3)'!$E$4:$F$230,2,FALSE),"")</f>
        <v>JCTTH</v>
      </c>
      <c r="I1252" s="44" t="str">
        <f t="shared" si="172"/>
        <v>RACK POWER STEERING</v>
      </c>
      <c r="J1252" s="44" t="str">
        <f t="shared" si="169"/>
        <v>2-30JG-0711</v>
      </c>
      <c r="K1252" s="59" t="str">
        <f t="shared" si="171"/>
        <v>PD26010792</v>
      </c>
      <c r="L1252" s="46" t="str" cm="1">
        <f t="array" ref="L1252">IFERROR(_xlfn.IFS(
    LEN($A1252)-LEN(SUBSTITUTE($A1252,"|",""))=12, RIGHT(A1252, LEN(A1252)-FIND("~", SUBSTITUTE(A1252,"|","~", LEN(A1252)-LEN(SUBSTITUTE(A1252,"|",""))))),
    LEN($A1252)-LEN(SUBSTITUTE($A1252,"|",""))=13, MID($A1252, FIND("~", SUBSTITUTE($A1252,"|","~", 11))+1, FIND("~", SUBSTITUTE($A1252,"|","~", 12))-FIND("~", SUBSTITUTE($A1252,"|","~", 11))-1),
    LEN($A1252)-LEN(SUBSTITUTE($A1252,"|",""))=14, MID($A1252, FIND("~", SUBSTITUTE($A1252,"|","~", 11))+1, FIND("~", SUBSTITUTE($A1252,"|","~", 12))-FIND("~", SUBSTITUTE($A1252,"|","~", 11))-1)
), "")</f>
        <v>E586102</v>
      </c>
      <c r="M1252" s="72" t="str">
        <f t="shared" si="170"/>
        <v>SB010090/1/26</v>
      </c>
      <c r="N1252" s="46" t="str">
        <f t="shared" si="149"/>
        <v/>
      </c>
      <c r="O1252" s="76">
        <v>50</v>
      </c>
      <c r="P1252" s="76">
        <v>878</v>
      </c>
      <c r="Q1252" s="77">
        <v>149</v>
      </c>
      <c r="R1252" s="77">
        <v>611</v>
      </c>
      <c r="S1252" s="77"/>
      <c r="T1252" s="77"/>
      <c r="U1252" s="83"/>
      <c r="V1252" s="83"/>
      <c r="W1252" s="78"/>
      <c r="X1252" s="51" t="str">
        <f>IF(A1252="", "", IF(COUNTIFS(C$3:C1251, C1252, D$3:D1251, D1252, G$3:G1251, G1252) &gt; 0, "", "11:00"-AW1252))</f>
        <v/>
      </c>
      <c r="Y1252" s="79"/>
      <c r="Z1252" s="80"/>
      <c r="AA1252" s="81"/>
      <c r="AB1252" s="81"/>
      <c r="AC1252" s="81"/>
      <c r="AD1252" s="81"/>
      <c r="AE1252" s="81"/>
      <c r="AF1252" s="81"/>
      <c r="AG1252" s="81"/>
      <c r="AH1252" s="82"/>
      <c r="AI1252" s="81"/>
      <c r="AJ1252" s="81"/>
      <c r="AK1252" s="81"/>
      <c r="AL1252" s="81"/>
      <c r="AM1252" s="81"/>
      <c r="AN1252" s="81"/>
      <c r="AO1252" s="81"/>
      <c r="AP1252" s="81"/>
      <c r="AQ1252" s="81"/>
      <c r="AR1252" s="81"/>
      <c r="AS1252" s="81"/>
      <c r="AT1252" s="81"/>
      <c r="AU1252" s="53">
        <v>4.1666666666666699E-2</v>
      </c>
      <c r="AV1252" s="54" t="s">
        <v>37</v>
      </c>
      <c r="AW1252" s="57">
        <f t="shared" si="168"/>
        <v>4.1666666666666699E-2</v>
      </c>
      <c r="AX1252" s="58" t="s">
        <v>101</v>
      </c>
    </row>
    <row r="1253" spans="1:50" ht="28.5" customHeight="1">
      <c r="A1253" s="66" t="s">
        <v>1044</v>
      </c>
      <c r="B1253" s="39">
        <f t="shared" si="173"/>
        <v>1249</v>
      </c>
      <c r="C1253" s="40">
        <v>46050</v>
      </c>
      <c r="D1253" s="40" t="s">
        <v>80</v>
      </c>
      <c r="E1253" s="40" t="s">
        <v>33</v>
      </c>
      <c r="F1253" s="41">
        <v>278</v>
      </c>
      <c r="G1253" s="42" t="s">
        <v>108</v>
      </c>
      <c r="H1253" s="43" t="str">
        <f>IFERROR(VLOOKUP($J1253,'[9]FROM (3)'!$E$4:$F$230,2,FALSE),"")</f>
        <v>SIAM NSK</v>
      </c>
      <c r="I1253" s="44" t="str">
        <f t="shared" si="172"/>
        <v>SHAFT SPLINE</v>
      </c>
      <c r="J1253" s="44" t="str">
        <f t="shared" si="169"/>
        <v>2550T0749P</v>
      </c>
      <c r="K1253" s="59" t="str">
        <f t="shared" si="171"/>
        <v>PD26011144</v>
      </c>
      <c r="L1253" s="46" t="str" cm="1">
        <f t="array" ref="L1253">IFERROR(_xlfn.IFS(
    LEN($A1253)-LEN(SUBSTITUTE($A1253,"|",""))=12, RIGHT(A1253, LEN(A1253)-FIND("~", SUBSTITUTE(A1253,"|","~", LEN(A1253)-LEN(SUBSTITUTE(A1253,"|",""))))),
    LEN($A1253)-LEN(SUBSTITUTE($A1253,"|",""))=13, MID($A1253, FIND("~", SUBSTITUTE($A1253,"|","~", 11))+1, FIND("~", SUBSTITUTE($A1253,"|","~", 12))-FIND("~", SUBSTITUTE($A1253,"|","~", 11))-1),
    LEN($A1253)-LEN(SUBSTITUTE($A1253,"|",""))=14, MID($A1253, FIND("~", SUBSTITUTE($A1253,"|","~", 11))+1, FIND("~", SUBSTITUTE($A1253,"|","~", 12))-FIND("~", SUBSTITUTE($A1253,"|","~", 11))-1)
), "")</f>
        <v>SF95636</v>
      </c>
      <c r="M1253" s="72" t="str">
        <f t="shared" si="170"/>
        <v>SB010135/6/26</v>
      </c>
      <c r="N1253" s="46" t="str">
        <f t="shared" si="149"/>
        <v/>
      </c>
      <c r="O1253" s="76" t="s">
        <v>35</v>
      </c>
      <c r="P1253" s="76" t="s">
        <v>35</v>
      </c>
      <c r="Q1253" s="77">
        <v>180</v>
      </c>
      <c r="R1253" s="77">
        <v>103</v>
      </c>
      <c r="S1253" s="77" t="s">
        <v>35</v>
      </c>
      <c r="T1253" s="77"/>
      <c r="U1253" s="83"/>
      <c r="V1253" s="83"/>
      <c r="W1253" s="78"/>
      <c r="X1253" s="51">
        <f>IF(A1253="", "", IF(COUNTIFS(C$3:C1252, C1253, D$3:D1252, D1253, G$3:G1252, G1253) &gt; 0, "", "11:00"-AW1253))</f>
        <v>0.33333333333333326</v>
      </c>
      <c r="Y1253" s="79"/>
      <c r="Z1253" s="80"/>
      <c r="AA1253" s="81"/>
      <c r="AB1253" s="81"/>
      <c r="AC1253" s="81"/>
      <c r="AD1253" s="81"/>
      <c r="AE1253" s="81"/>
      <c r="AF1253" s="81"/>
      <c r="AG1253" s="81"/>
      <c r="AH1253" s="82"/>
      <c r="AI1253" s="81"/>
      <c r="AJ1253" s="81"/>
      <c r="AK1253" s="81"/>
      <c r="AL1253" s="81"/>
      <c r="AM1253" s="81"/>
      <c r="AN1253" s="81"/>
      <c r="AO1253" s="81"/>
      <c r="AP1253" s="81"/>
      <c r="AQ1253" s="81">
        <v>4.1666666666666664E-2</v>
      </c>
      <c r="AR1253" s="81" t="s">
        <v>37</v>
      </c>
      <c r="AS1253" s="81">
        <v>4.1666666666666664E-2</v>
      </c>
      <c r="AT1253" s="81" t="s">
        <v>37</v>
      </c>
      <c r="AU1253" s="53">
        <v>4.1666666666666699E-2</v>
      </c>
      <c r="AV1253" s="54" t="s">
        <v>37</v>
      </c>
      <c r="AW1253" s="57">
        <f t="shared" si="168"/>
        <v>0.12500000000000003</v>
      </c>
      <c r="AX1253" s="58" t="s">
        <v>109</v>
      </c>
    </row>
    <row r="1254" spans="1:50" ht="28.5" customHeight="1">
      <c r="A1254" s="66" t="s">
        <v>1083</v>
      </c>
      <c r="B1254" s="39">
        <f t="shared" si="173"/>
        <v>1250</v>
      </c>
      <c r="C1254" s="40">
        <v>46050</v>
      </c>
      <c r="D1254" s="40" t="s">
        <v>80</v>
      </c>
      <c r="E1254" s="40" t="s">
        <v>33</v>
      </c>
      <c r="F1254" s="41">
        <v>278</v>
      </c>
      <c r="G1254" s="42" t="s">
        <v>108</v>
      </c>
      <c r="H1254" s="43" t="str">
        <f>IFERROR(VLOOKUP($J1254,'[9]FROM (3)'!$E$4:$F$230,2,FALSE),"")</f>
        <v>SIAM NSK</v>
      </c>
      <c r="I1254" s="44" t="str">
        <f t="shared" si="172"/>
        <v>SHAFT SPLINE</v>
      </c>
      <c r="J1254" s="44" t="str">
        <f t="shared" si="169"/>
        <v>2550T0749P</v>
      </c>
      <c r="K1254" s="59" t="str">
        <f t="shared" si="171"/>
        <v>PD26011144</v>
      </c>
      <c r="L1254" s="46" t="str" cm="1">
        <f t="array" ref="L1254">IFERROR(_xlfn.IFS(
    LEN($A1254)-LEN(SUBSTITUTE($A1254,"|",""))=12, RIGHT(A1254, LEN(A1254)-FIND("~", SUBSTITUTE(A1254,"|","~", LEN(A1254)-LEN(SUBSTITUTE(A1254,"|",""))))),
    LEN($A1254)-LEN(SUBSTITUTE($A1254,"|",""))=13, MID($A1254, FIND("~", SUBSTITUTE($A1254,"|","~", 11))+1, FIND("~", SUBSTITUTE($A1254,"|","~", 12))-FIND("~", SUBSTITUTE($A1254,"|","~", 11))-1),
    LEN($A1254)-LEN(SUBSTITUTE($A1254,"|",""))=14, MID($A1254, FIND("~", SUBSTITUTE($A1254,"|","~", 11))+1, FIND("~", SUBSTITUTE($A1254,"|","~", 12))-FIND("~", SUBSTITUTE($A1254,"|","~", 11))-1)
), "")</f>
        <v>SF95636</v>
      </c>
      <c r="M1254" s="72" t="str">
        <f t="shared" si="170"/>
        <v>SB010135/5/26</v>
      </c>
      <c r="N1254" s="46" t="str">
        <f t="shared" si="149"/>
        <v/>
      </c>
      <c r="O1254" s="76">
        <v>103</v>
      </c>
      <c r="P1254" s="76">
        <v>990</v>
      </c>
      <c r="Q1254" s="77">
        <v>1648</v>
      </c>
      <c r="R1254" s="77">
        <v>942</v>
      </c>
      <c r="S1254" s="77" t="s">
        <v>35</v>
      </c>
      <c r="T1254" s="77"/>
      <c r="U1254" s="83">
        <v>115</v>
      </c>
      <c r="V1254" s="83">
        <v>22</v>
      </c>
      <c r="W1254" s="78"/>
      <c r="X1254" s="51" t="str">
        <f>IF(A1254="", "", IF(COUNTIFS(C$3:C1253, C1254, D$3:D1253, D1254, G$3:G1253, G1254) &gt; 0, "", "11:00"-AW1254))</f>
        <v/>
      </c>
      <c r="Y1254" s="79"/>
      <c r="Z1254" s="80"/>
      <c r="AA1254" s="81"/>
      <c r="AB1254" s="81"/>
      <c r="AC1254" s="81"/>
      <c r="AD1254" s="81"/>
      <c r="AE1254" s="81"/>
      <c r="AF1254" s="81"/>
      <c r="AG1254" s="81"/>
      <c r="AH1254" s="82"/>
      <c r="AI1254" s="81"/>
      <c r="AJ1254" s="81"/>
      <c r="AK1254" s="81"/>
      <c r="AL1254" s="81"/>
      <c r="AM1254" s="81"/>
      <c r="AN1254" s="81"/>
      <c r="AO1254" s="81"/>
      <c r="AP1254" s="81"/>
      <c r="AQ1254" s="81"/>
      <c r="AR1254" s="81"/>
      <c r="AS1254" s="81"/>
      <c r="AT1254" s="81"/>
      <c r="AU1254" s="53">
        <v>4.1666666666666699E-2</v>
      </c>
      <c r="AV1254" s="54" t="s">
        <v>37</v>
      </c>
      <c r="AW1254" s="57">
        <f t="shared" si="168"/>
        <v>4.1666666666666699E-2</v>
      </c>
      <c r="AX1254" s="58" t="s">
        <v>109</v>
      </c>
    </row>
    <row r="1255" spans="1:50" ht="28.5" customHeight="1">
      <c r="A1255" s="66" t="s">
        <v>1084</v>
      </c>
      <c r="B1255" s="39">
        <f t="shared" si="173"/>
        <v>1251</v>
      </c>
      <c r="C1255" s="40">
        <v>46050</v>
      </c>
      <c r="D1255" s="40" t="s">
        <v>80</v>
      </c>
      <c r="E1255" s="40" t="s">
        <v>33</v>
      </c>
      <c r="F1255" s="41">
        <v>278</v>
      </c>
      <c r="G1255" s="42" t="s">
        <v>108</v>
      </c>
      <c r="H1255" s="43" t="str">
        <f>IFERROR(VLOOKUP($J1255,'[9]FROM (3)'!$E$4:$F$230,2,FALSE),"")</f>
        <v>SIAM NSK</v>
      </c>
      <c r="I1255" s="44" t="str">
        <f t="shared" si="172"/>
        <v>SHAFT SPLINE</v>
      </c>
      <c r="J1255" s="44" t="str">
        <f t="shared" si="169"/>
        <v>2550T0749P</v>
      </c>
      <c r="K1255" s="59" t="str">
        <f t="shared" si="171"/>
        <v>PD26011295</v>
      </c>
      <c r="L1255" s="46" t="str" cm="1">
        <f t="array" ref="L1255">IFERROR(_xlfn.IFS(
    LEN($A1255)-LEN(SUBSTITUTE($A1255,"|",""))=12, RIGHT(A1255, LEN(A1255)-FIND("~", SUBSTITUTE(A1255,"|","~", LEN(A1255)-LEN(SUBSTITUTE(A1255,"|",""))))),
    LEN($A1255)-LEN(SUBSTITUTE($A1255,"|",""))=13, MID($A1255, FIND("~", SUBSTITUTE($A1255,"|","~", 11))+1, FIND("~", SUBSTITUTE($A1255,"|","~", 12))-FIND("~", SUBSTITUTE($A1255,"|","~", 11))-1),
    LEN($A1255)-LEN(SUBSTITUTE($A1255,"|",""))=14, MID($A1255, FIND("~", SUBSTITUTE($A1255,"|","~", 11))+1, FIND("~", SUBSTITUTE($A1255,"|","~", 12))-FIND("~", SUBSTITUTE($A1255,"|","~", 11))-1)
), "")</f>
        <v>SF95636</v>
      </c>
      <c r="M1255" s="72" t="str">
        <f t="shared" si="170"/>
        <v>SB010180/4/26</v>
      </c>
      <c r="N1255" s="46" t="str">
        <f t="shared" si="149"/>
        <v/>
      </c>
      <c r="O1255" s="76">
        <v>104</v>
      </c>
      <c r="P1255" s="76">
        <v>1000</v>
      </c>
      <c r="Q1255" s="77">
        <v>932</v>
      </c>
      <c r="R1255" s="77">
        <v>533</v>
      </c>
      <c r="S1255" s="77" t="s">
        <v>35</v>
      </c>
      <c r="T1255" s="77"/>
      <c r="U1255" s="83"/>
      <c r="V1255" s="83"/>
      <c r="W1255" s="78"/>
      <c r="X1255" s="51" t="str">
        <f>IF(A1255="", "", IF(COUNTIFS(C$3:C1254, C1255, D$3:D1254, D1255, G$3:G1254, G1255) &gt; 0, "", "11:00"-AW1255))</f>
        <v/>
      </c>
      <c r="Y1255" s="79"/>
      <c r="Z1255" s="80"/>
      <c r="AA1255" s="81"/>
      <c r="AB1255" s="81"/>
      <c r="AC1255" s="81"/>
      <c r="AD1255" s="81"/>
      <c r="AE1255" s="81"/>
      <c r="AF1255" s="81"/>
      <c r="AG1255" s="81"/>
      <c r="AH1255" s="82"/>
      <c r="AI1255" s="81"/>
      <c r="AJ1255" s="81"/>
      <c r="AK1255" s="81"/>
      <c r="AL1255" s="81"/>
      <c r="AM1255" s="81"/>
      <c r="AN1255" s="81"/>
      <c r="AO1255" s="81"/>
      <c r="AP1255" s="81"/>
      <c r="AQ1255" s="81"/>
      <c r="AR1255" s="81"/>
      <c r="AS1255" s="81"/>
      <c r="AT1255" s="81"/>
      <c r="AU1255" s="53">
        <v>4.1666666666666699E-2</v>
      </c>
      <c r="AV1255" s="54" t="s">
        <v>37</v>
      </c>
      <c r="AW1255" s="57">
        <f t="shared" si="168"/>
        <v>4.1666666666666699E-2</v>
      </c>
      <c r="AX1255" s="58" t="s">
        <v>109</v>
      </c>
    </row>
    <row r="1256" spans="1:50" ht="28.5" customHeight="1">
      <c r="A1256" s="66" t="s">
        <v>1045</v>
      </c>
      <c r="B1256" s="39">
        <f t="shared" si="173"/>
        <v>1252</v>
      </c>
      <c r="C1256" s="40">
        <v>46050</v>
      </c>
      <c r="D1256" s="40" t="s">
        <v>80</v>
      </c>
      <c r="E1256" s="40" t="s">
        <v>33</v>
      </c>
      <c r="F1256" s="41">
        <v>375</v>
      </c>
      <c r="G1256" s="42" t="s">
        <v>172</v>
      </c>
      <c r="H1256" s="43" t="str">
        <f>IFERROR(VLOOKUP($J1256,'[9]FROM (3)'!$E$4:$F$230,2,FALSE),"")</f>
        <v>ATAC</v>
      </c>
      <c r="I1256" s="44" t="str">
        <f t="shared" si="172"/>
        <v>SEAT,WATER PUMP PULLEY</v>
      </c>
      <c r="J1256" s="44" t="str">
        <f t="shared" si="169"/>
        <v>16171-05030</v>
      </c>
      <c r="K1256" s="59" t="str">
        <f t="shared" si="171"/>
        <v>PD26010816</v>
      </c>
      <c r="L1256" s="46" t="str" cm="1">
        <f t="array" ref="L1256">IFERROR(_xlfn.IFS(
    LEN($A1256)-LEN(SUBSTITUTE($A1256,"|",""))=12, RIGHT(A1256, LEN(A1256)-FIND("~", SUBSTITUTE(A1256,"|","~", LEN(A1256)-LEN(SUBSTITUTE(A1256,"|",""))))),
    LEN($A1256)-LEN(SUBSTITUTE($A1256,"|",""))=13, MID($A1256, FIND("~", SUBSTITUTE($A1256,"|","~", 11))+1, FIND("~", SUBSTITUTE($A1256,"|","~", 12))-FIND("~", SUBSTITUTE($A1256,"|","~", 11))-1),
    LEN($A1256)-LEN(SUBSTITUTE($A1256,"|",""))=14, MID($A1256, FIND("~", SUBSTITUTE($A1256,"|","~", 11))+1, FIND("~", SUBSTITUTE($A1256,"|","~", 12))-FIND("~", SUBSTITUTE($A1256,"|","~", 11))-1)
), "")</f>
        <v>665900</v>
      </c>
      <c r="M1256" s="72" t="str">
        <f t="shared" si="170"/>
        <v>SB010101/3/26</v>
      </c>
      <c r="N1256" s="46" t="str">
        <f t="shared" si="149"/>
        <v/>
      </c>
      <c r="O1256" s="76" t="s">
        <v>35</v>
      </c>
      <c r="P1256" s="76" t="s">
        <v>35</v>
      </c>
      <c r="Q1256" s="77">
        <v>621</v>
      </c>
      <c r="R1256" s="77">
        <v>233</v>
      </c>
      <c r="S1256" s="77" t="s">
        <v>35</v>
      </c>
      <c r="T1256" s="77"/>
      <c r="U1256" s="83"/>
      <c r="V1256" s="83"/>
      <c r="W1256" s="78"/>
      <c r="X1256" s="51">
        <f>IF(A1256="", "", IF(COUNTIFS(C$3:C1255, C1256, D$3:D1255, D1256, G$3:G1255, G1256) &gt; 0, "", "11:00"-AW1256))</f>
        <v>0.33333333333333326</v>
      </c>
      <c r="Y1256" s="79"/>
      <c r="Z1256" s="80"/>
      <c r="AA1256" s="81"/>
      <c r="AB1256" s="81"/>
      <c r="AC1256" s="81"/>
      <c r="AD1256" s="81"/>
      <c r="AE1256" s="81"/>
      <c r="AF1256" s="81"/>
      <c r="AG1256" s="81"/>
      <c r="AH1256" s="82"/>
      <c r="AI1256" s="81"/>
      <c r="AJ1256" s="81"/>
      <c r="AK1256" s="81"/>
      <c r="AL1256" s="81"/>
      <c r="AM1256" s="81"/>
      <c r="AN1256" s="81"/>
      <c r="AO1256" s="81"/>
      <c r="AP1256" s="81"/>
      <c r="AQ1256" s="81">
        <v>4.1666666666666664E-2</v>
      </c>
      <c r="AR1256" s="81" t="s">
        <v>37</v>
      </c>
      <c r="AS1256" s="81">
        <v>4.1666666666666664E-2</v>
      </c>
      <c r="AT1256" s="81" t="s">
        <v>37</v>
      </c>
      <c r="AU1256" s="53">
        <v>4.1666666666666699E-2</v>
      </c>
      <c r="AV1256" s="54" t="s">
        <v>37</v>
      </c>
      <c r="AW1256" s="57">
        <f t="shared" ref="AW1256:AW1319" si="174">SUM(Z1256,AB1256,AD1256,AF1256,AI1256,AK1256,AM1256,AO1256,AQ1256,AS1256,AU1256)</f>
        <v>0.12500000000000003</v>
      </c>
      <c r="AX1256" s="58" t="s">
        <v>109</v>
      </c>
    </row>
    <row r="1257" spans="1:50" ht="28.5" customHeight="1">
      <c r="A1257" s="66" t="s">
        <v>1085</v>
      </c>
      <c r="B1257" s="39">
        <f t="shared" si="173"/>
        <v>1253</v>
      </c>
      <c r="C1257" s="40">
        <v>46050</v>
      </c>
      <c r="D1257" s="40" t="s">
        <v>80</v>
      </c>
      <c r="E1257" s="40" t="s">
        <v>33</v>
      </c>
      <c r="F1257" s="41">
        <v>375</v>
      </c>
      <c r="G1257" s="42" t="s">
        <v>172</v>
      </c>
      <c r="H1257" s="43" t="str">
        <f>IFERROR(VLOOKUP($J1257,'[9]FROM (3)'!$E$4:$F$230,2,FALSE),"")</f>
        <v>ATAC</v>
      </c>
      <c r="I1257" s="44" t="str">
        <f t="shared" si="172"/>
        <v>SEAT,WATER PUMP PULLEY</v>
      </c>
      <c r="J1257" s="44" t="str">
        <f t="shared" si="169"/>
        <v>16171-05030</v>
      </c>
      <c r="K1257" s="59" t="str">
        <f t="shared" si="171"/>
        <v>PD26010816</v>
      </c>
      <c r="L1257" s="46" t="str" cm="1">
        <f t="array" ref="L1257">IFERROR(_xlfn.IFS(
    LEN($A1257)-LEN(SUBSTITUTE($A1257,"|",""))=12, RIGHT(A1257, LEN(A1257)-FIND("~", SUBSTITUTE(A1257,"|","~", LEN(A1257)-LEN(SUBSTITUTE(A1257,"|",""))))),
    LEN($A1257)-LEN(SUBSTITUTE($A1257,"|",""))=13, MID($A1257, FIND("~", SUBSTITUTE($A1257,"|","~", 11))+1, FIND("~", SUBSTITUTE($A1257,"|","~", 12))-FIND("~", SUBSTITUTE($A1257,"|","~", 11))-1),
    LEN($A1257)-LEN(SUBSTITUTE($A1257,"|",""))=14, MID($A1257, FIND("~", SUBSTITUTE($A1257,"|","~", 11))+1, FIND("~", SUBSTITUTE($A1257,"|","~", 12))-FIND("~", SUBSTITUTE($A1257,"|","~", 11))-1)
), "")</f>
        <v>665900</v>
      </c>
      <c r="M1257" s="72" t="str">
        <f t="shared" si="170"/>
        <v>SB010101/1/26</v>
      </c>
      <c r="N1257" s="46" t="str">
        <f t="shared" si="149"/>
        <v/>
      </c>
      <c r="O1257" s="76">
        <v>14</v>
      </c>
      <c r="P1257" s="76">
        <v>990</v>
      </c>
      <c r="Q1257" s="77">
        <v>1614</v>
      </c>
      <c r="R1257" s="77">
        <v>605</v>
      </c>
      <c r="S1257" s="77" t="s">
        <v>35</v>
      </c>
      <c r="T1257" s="77"/>
      <c r="U1257" s="83"/>
      <c r="V1257" s="83"/>
      <c r="W1257" s="78"/>
      <c r="X1257" s="51" t="str">
        <f>IF(A1257="", "", IF(COUNTIFS(C$3:C1256, C1257, D$3:D1256, D1257, G$3:G1256, G1257) &gt; 0, "", "11:00"-AW1257))</f>
        <v/>
      </c>
      <c r="Y1257" s="79"/>
      <c r="Z1257" s="80"/>
      <c r="AA1257" s="81"/>
      <c r="AB1257" s="81"/>
      <c r="AC1257" s="81"/>
      <c r="AD1257" s="81"/>
      <c r="AE1257" s="81"/>
      <c r="AF1257" s="81"/>
      <c r="AG1257" s="81"/>
      <c r="AH1257" s="82"/>
      <c r="AI1257" s="81"/>
      <c r="AJ1257" s="81"/>
      <c r="AK1257" s="81"/>
      <c r="AL1257" s="81"/>
      <c r="AM1257" s="81"/>
      <c r="AN1257" s="81"/>
      <c r="AO1257" s="81"/>
      <c r="AP1257" s="81"/>
      <c r="AQ1257" s="81"/>
      <c r="AR1257" s="81"/>
      <c r="AS1257" s="81"/>
      <c r="AT1257" s="81"/>
      <c r="AU1257" s="53">
        <v>4.1666666666666699E-2</v>
      </c>
      <c r="AV1257" s="54" t="s">
        <v>37</v>
      </c>
      <c r="AW1257" s="57">
        <f t="shared" si="174"/>
        <v>4.1666666666666699E-2</v>
      </c>
      <c r="AX1257" s="58" t="s">
        <v>109</v>
      </c>
    </row>
    <row r="1258" spans="1:50" ht="28.5" customHeight="1">
      <c r="A1258" s="66" t="s">
        <v>1086</v>
      </c>
      <c r="B1258" s="39">
        <f t="shared" si="173"/>
        <v>1254</v>
      </c>
      <c r="C1258" s="40">
        <v>46050</v>
      </c>
      <c r="D1258" s="40" t="s">
        <v>80</v>
      </c>
      <c r="E1258" s="40" t="s">
        <v>33</v>
      </c>
      <c r="F1258" s="41">
        <v>262</v>
      </c>
      <c r="G1258" s="42" t="s">
        <v>176</v>
      </c>
      <c r="H1258" s="43" t="str">
        <f>IFERROR(VLOOKUP($J1258,'[9]FROM (3)'!$E$4:$F$230,2,FALSE),"")</f>
        <v/>
      </c>
      <c r="I1258" s="44" t="str">
        <f t="shared" si="172"/>
        <v>RACK</v>
      </c>
      <c r="J1258" s="44" t="str">
        <f t="shared" si="169"/>
        <v>510-30149-020</v>
      </c>
      <c r="K1258" s="59" t="str">
        <f t="shared" si="171"/>
        <v>PD26011141</v>
      </c>
      <c r="L1258" s="46" t="str" cm="1">
        <f t="array" ref="L1258">IFERROR(_xlfn.IFS(
    LEN($A1258)-LEN(SUBSTITUTE($A1258,"|",""))=12, RIGHT(A1258, LEN(A1258)-FIND("~", SUBSTITUTE(A1258,"|","~", LEN(A1258)-LEN(SUBSTITUTE(A1258,"|",""))))),
    LEN($A1258)-LEN(SUBSTITUTE($A1258,"|",""))=13, MID($A1258, FIND("~", SUBSTITUTE($A1258,"|","~", 11))+1, FIND("~", SUBSTITUTE($A1258,"|","~", 12))-FIND("~", SUBSTITUTE($A1258,"|","~", 11))-1),
    LEN($A1258)-LEN(SUBSTITUTE($A1258,"|",""))=14, MID($A1258, FIND("~", SUBSTITUTE($A1258,"|","~", 11))+1, FIND("~", SUBSTITUTE($A1258,"|","~", 12))-FIND("~", SUBSTITUTE($A1258,"|","~", 11))-1)
), "")</f>
        <v>5C1361</v>
      </c>
      <c r="M1258" s="72" t="str">
        <f t="shared" si="170"/>
        <v>FB010342/7/26</v>
      </c>
      <c r="N1258" s="46" t="str">
        <f t="shared" si="149"/>
        <v>FB010342/7/26</v>
      </c>
      <c r="O1258" s="76" t="s">
        <v>35</v>
      </c>
      <c r="P1258" s="76" t="s">
        <v>35</v>
      </c>
      <c r="Q1258" s="77">
        <v>200</v>
      </c>
      <c r="R1258" s="77">
        <v>327</v>
      </c>
      <c r="S1258" s="77" t="s">
        <v>35</v>
      </c>
      <c r="T1258" s="77"/>
      <c r="U1258" s="83"/>
      <c r="V1258" s="83"/>
      <c r="W1258" s="78"/>
      <c r="X1258" s="51">
        <f>IF(A1258="", "", IF(COUNTIFS(C$3:C1257, C1258, D$3:D1257, D1258, G$3:G1257, G1258) &gt; 0, "", "11:00"-AW1258))</f>
        <v>0.33333333333333326</v>
      </c>
      <c r="Y1258" s="79"/>
      <c r="Z1258" s="80"/>
      <c r="AA1258" s="81"/>
      <c r="AB1258" s="81"/>
      <c r="AC1258" s="81"/>
      <c r="AD1258" s="81"/>
      <c r="AE1258" s="81"/>
      <c r="AF1258" s="81"/>
      <c r="AG1258" s="81"/>
      <c r="AH1258" s="82"/>
      <c r="AI1258" s="81"/>
      <c r="AJ1258" s="81"/>
      <c r="AK1258" s="81"/>
      <c r="AL1258" s="81"/>
      <c r="AM1258" s="81"/>
      <c r="AN1258" s="81"/>
      <c r="AO1258" s="81"/>
      <c r="AP1258" s="81"/>
      <c r="AQ1258" s="81">
        <v>4.1666666666666664E-2</v>
      </c>
      <c r="AR1258" s="81" t="s">
        <v>37</v>
      </c>
      <c r="AS1258" s="81">
        <v>4.1666666666666664E-2</v>
      </c>
      <c r="AT1258" s="81" t="s">
        <v>37</v>
      </c>
      <c r="AU1258" s="53">
        <v>4.1666666666666699E-2</v>
      </c>
      <c r="AV1258" s="54" t="s">
        <v>37</v>
      </c>
      <c r="AW1258" s="57">
        <f t="shared" si="174"/>
        <v>0.12500000000000003</v>
      </c>
      <c r="AX1258" s="58" t="s">
        <v>86</v>
      </c>
    </row>
    <row r="1259" spans="1:50" ht="28.5" customHeight="1">
      <c r="A1259" s="66" t="s">
        <v>1087</v>
      </c>
      <c r="B1259" s="39">
        <f t="shared" si="173"/>
        <v>1255</v>
      </c>
      <c r="C1259" s="40">
        <v>46050</v>
      </c>
      <c r="D1259" s="40" t="s">
        <v>80</v>
      </c>
      <c r="E1259" s="40" t="s">
        <v>33</v>
      </c>
      <c r="F1259" s="41">
        <v>262</v>
      </c>
      <c r="G1259" s="42" t="s">
        <v>176</v>
      </c>
      <c r="H1259" s="43" t="str">
        <f>IFERROR(VLOOKUP($J1259,'[9]FROM (3)'!$E$4:$F$230,2,FALSE),"")</f>
        <v/>
      </c>
      <c r="I1259" s="44" t="str">
        <f t="shared" si="172"/>
        <v>RACK</v>
      </c>
      <c r="J1259" s="44" t="str">
        <f t="shared" si="169"/>
        <v>510-30149-020</v>
      </c>
      <c r="K1259" s="59" t="str">
        <f t="shared" si="171"/>
        <v>PD26011141</v>
      </c>
      <c r="L1259" s="46" t="str" cm="1">
        <f t="array" ref="L1259">IFERROR(_xlfn.IFS(
    LEN($A1259)-LEN(SUBSTITUTE($A1259,"|",""))=12, RIGHT(A1259, LEN(A1259)-FIND("~", SUBSTITUTE(A1259,"|","~", LEN(A1259)-LEN(SUBSTITUTE(A1259,"|",""))))),
    LEN($A1259)-LEN(SUBSTITUTE($A1259,"|",""))=13, MID($A1259, FIND("~", SUBSTITUTE($A1259,"|","~", 11))+1, FIND("~", SUBSTITUTE($A1259,"|","~", 12))-FIND("~", SUBSTITUTE($A1259,"|","~", 11))-1),
    LEN($A1259)-LEN(SUBSTITUTE($A1259,"|",""))=14, MID($A1259, FIND("~", SUBSTITUTE($A1259,"|","~", 11))+1, FIND("~", SUBSTITUTE($A1259,"|","~", 12))-FIND("~", SUBSTITUTE($A1259,"|","~", 11))-1)
), "")</f>
        <v>5C1361</v>
      </c>
      <c r="M1259" s="72" t="str">
        <f t="shared" si="170"/>
        <v>FB010342/6/26</v>
      </c>
      <c r="N1259" s="46" t="str">
        <f t="shared" si="149"/>
        <v>FB010342/6/26</v>
      </c>
      <c r="O1259" s="76" t="s">
        <v>35</v>
      </c>
      <c r="P1259" s="76" t="s">
        <v>35</v>
      </c>
      <c r="Q1259" s="77">
        <v>200</v>
      </c>
      <c r="R1259" s="77">
        <v>327</v>
      </c>
      <c r="S1259" s="77" t="s">
        <v>35</v>
      </c>
      <c r="T1259" s="77"/>
      <c r="U1259" s="83"/>
      <c r="V1259" s="83"/>
      <c r="W1259" s="78"/>
      <c r="X1259" s="51" t="str">
        <f>IF(A1259="", "", IF(COUNTIFS(C$3:C1258, C1259, D$3:D1258, D1259, G$3:G1258, G1259) &gt; 0, "", "11:00"-AW1259))</f>
        <v/>
      </c>
      <c r="Y1259" s="79"/>
      <c r="Z1259" s="80"/>
      <c r="AA1259" s="81"/>
      <c r="AB1259" s="81"/>
      <c r="AC1259" s="81"/>
      <c r="AD1259" s="81"/>
      <c r="AE1259" s="81"/>
      <c r="AF1259" s="81"/>
      <c r="AG1259" s="81"/>
      <c r="AH1259" s="82"/>
      <c r="AI1259" s="81"/>
      <c r="AJ1259" s="81"/>
      <c r="AK1259" s="81"/>
      <c r="AL1259" s="81"/>
      <c r="AM1259" s="81"/>
      <c r="AN1259" s="81"/>
      <c r="AO1259" s="81"/>
      <c r="AP1259" s="81"/>
      <c r="AQ1259" s="81"/>
      <c r="AR1259" s="81"/>
      <c r="AS1259" s="81"/>
      <c r="AT1259" s="81"/>
      <c r="AU1259" s="53">
        <v>4.1666666666666699E-2</v>
      </c>
      <c r="AV1259" s="54" t="s">
        <v>37</v>
      </c>
      <c r="AW1259" s="57">
        <f t="shared" si="174"/>
        <v>4.1666666666666699E-2</v>
      </c>
      <c r="AX1259" s="58" t="s">
        <v>86</v>
      </c>
    </row>
    <row r="1260" spans="1:50" ht="28.5" customHeight="1">
      <c r="A1260" s="66" t="s">
        <v>1088</v>
      </c>
      <c r="B1260" s="39">
        <f t="shared" si="173"/>
        <v>1256</v>
      </c>
      <c r="C1260" s="40">
        <v>46050</v>
      </c>
      <c r="D1260" s="40" t="s">
        <v>80</v>
      </c>
      <c r="E1260" s="40" t="s">
        <v>33</v>
      </c>
      <c r="F1260" s="41">
        <v>262</v>
      </c>
      <c r="G1260" s="42" t="s">
        <v>176</v>
      </c>
      <c r="H1260" s="43" t="str">
        <f>IFERROR(VLOOKUP($J1260,'[9]FROM (3)'!$E$4:$F$230,2,FALSE),"")</f>
        <v/>
      </c>
      <c r="I1260" s="44" t="str">
        <f t="shared" si="172"/>
        <v>RACK</v>
      </c>
      <c r="J1260" s="44" t="str">
        <f t="shared" si="169"/>
        <v>510-30149-020</v>
      </c>
      <c r="K1260" s="59" t="str">
        <f t="shared" si="171"/>
        <v>PD26011141</v>
      </c>
      <c r="L1260" s="46" t="str" cm="1">
        <f t="array" ref="L1260">IFERROR(_xlfn.IFS(
    LEN($A1260)-LEN(SUBSTITUTE($A1260,"|",""))=12, RIGHT(A1260, LEN(A1260)-FIND("~", SUBSTITUTE(A1260,"|","~", LEN(A1260)-LEN(SUBSTITUTE(A1260,"|",""))))),
    LEN($A1260)-LEN(SUBSTITUTE($A1260,"|",""))=13, MID($A1260, FIND("~", SUBSTITUTE($A1260,"|","~", 11))+1, FIND("~", SUBSTITUTE($A1260,"|","~", 12))-FIND("~", SUBSTITUTE($A1260,"|","~", 11))-1),
    LEN($A1260)-LEN(SUBSTITUTE($A1260,"|",""))=14, MID($A1260, FIND("~", SUBSTITUTE($A1260,"|","~", 11))+1, FIND("~", SUBSTITUTE($A1260,"|","~", 12))-FIND("~", SUBSTITUTE($A1260,"|","~", 11))-1)
), "")</f>
        <v>5C1361</v>
      </c>
      <c r="M1260" s="72" t="str">
        <f t="shared" si="170"/>
        <v>FB010342/5/26</v>
      </c>
      <c r="N1260" s="46" t="str">
        <f t="shared" ref="N1260:N1514" si="175">IFERROR(IF(LEN($A1260)-LEN(SUBSTITUTE($A1260,"|",""))=12,MID($A1260,FIND("~",SUBSTITUTE($A1260,"|","~",11))+1,FIND("~",SUBSTITUTE($A1260,"|","~",12))-FIND("~",SUBSTITUTE($A1260,"|","~",11))-1),IF(LEN($A1260)-LEN(SUBSTITUTE($A1260,"|",""))=13,MID($A1260,FIND("~",SUBSTITUTE($A1260,"|","~",10))+1,FIND("~",SUBSTITUTE($A1260,"|","~",11))-FIND("~",SUBSTITUTE($A1260,"|","~",10))-1), "")),"")</f>
        <v>FB010342/5/26</v>
      </c>
      <c r="O1260" s="76" t="s">
        <v>35</v>
      </c>
      <c r="P1260" s="76" t="s">
        <v>35</v>
      </c>
      <c r="Q1260" s="77">
        <v>200</v>
      </c>
      <c r="R1260" s="77">
        <v>327</v>
      </c>
      <c r="S1260" s="77" t="s">
        <v>35</v>
      </c>
      <c r="T1260" s="77"/>
      <c r="U1260" s="83"/>
      <c r="V1260" s="83"/>
      <c r="W1260" s="78"/>
      <c r="X1260" s="51" t="str">
        <f>IF(A1260="", "", IF(COUNTIFS(C$3:C1259, C1260, D$3:D1259, D1260, G$3:G1259, G1260) &gt; 0, "", "11:00"-AW1260))</f>
        <v/>
      </c>
      <c r="Y1260" s="79"/>
      <c r="Z1260" s="80"/>
      <c r="AA1260" s="81"/>
      <c r="AB1260" s="81"/>
      <c r="AC1260" s="81"/>
      <c r="AD1260" s="81"/>
      <c r="AE1260" s="81"/>
      <c r="AF1260" s="81"/>
      <c r="AG1260" s="81"/>
      <c r="AH1260" s="82"/>
      <c r="AI1260" s="81"/>
      <c r="AJ1260" s="81"/>
      <c r="AK1260" s="81"/>
      <c r="AL1260" s="81"/>
      <c r="AM1260" s="81"/>
      <c r="AN1260" s="81"/>
      <c r="AO1260" s="81"/>
      <c r="AP1260" s="81"/>
      <c r="AQ1260" s="81"/>
      <c r="AR1260" s="81"/>
      <c r="AS1260" s="81"/>
      <c r="AT1260" s="81"/>
      <c r="AU1260" s="53">
        <v>4.1666666666666699E-2</v>
      </c>
      <c r="AV1260" s="54" t="s">
        <v>37</v>
      </c>
      <c r="AW1260" s="57">
        <f t="shared" si="174"/>
        <v>4.1666666666666699E-2</v>
      </c>
      <c r="AX1260" s="58" t="s">
        <v>86</v>
      </c>
    </row>
    <row r="1261" spans="1:50" ht="28.5" customHeight="1">
      <c r="A1261" s="66" t="s">
        <v>1089</v>
      </c>
      <c r="B1261" s="39">
        <f t="shared" si="173"/>
        <v>1257</v>
      </c>
      <c r="C1261" s="40">
        <v>46050</v>
      </c>
      <c r="D1261" s="40" t="s">
        <v>80</v>
      </c>
      <c r="E1261" s="40" t="s">
        <v>33</v>
      </c>
      <c r="F1261" s="41">
        <v>262</v>
      </c>
      <c r="G1261" s="42" t="s">
        <v>176</v>
      </c>
      <c r="H1261" s="43" t="str">
        <f>IFERROR(VLOOKUP($J1261,'[9]FROM (3)'!$E$4:$F$230,2,FALSE),"")</f>
        <v/>
      </c>
      <c r="I1261" s="44" t="str">
        <f t="shared" si="172"/>
        <v>RACK</v>
      </c>
      <c r="J1261" s="44" t="str">
        <f t="shared" si="169"/>
        <v>510-30149-020</v>
      </c>
      <c r="K1261" s="59" t="str">
        <f t="shared" si="171"/>
        <v>PD26011141</v>
      </c>
      <c r="L1261" s="46" t="str" cm="1">
        <f t="array" ref="L1261">IFERROR(_xlfn.IFS(
    LEN($A1261)-LEN(SUBSTITUTE($A1261,"|",""))=12, RIGHT(A1261, LEN(A1261)-FIND("~", SUBSTITUTE(A1261,"|","~", LEN(A1261)-LEN(SUBSTITUTE(A1261,"|",""))))),
    LEN($A1261)-LEN(SUBSTITUTE($A1261,"|",""))=13, MID($A1261, FIND("~", SUBSTITUTE($A1261,"|","~", 11))+1, FIND("~", SUBSTITUTE($A1261,"|","~", 12))-FIND("~", SUBSTITUTE($A1261,"|","~", 11))-1),
    LEN($A1261)-LEN(SUBSTITUTE($A1261,"|",""))=14, MID($A1261, FIND("~", SUBSTITUTE($A1261,"|","~", 11))+1, FIND("~", SUBSTITUTE($A1261,"|","~", 12))-FIND("~", SUBSTITUTE($A1261,"|","~", 11))-1)
), "")</f>
        <v>5C1361</v>
      </c>
      <c r="M1261" s="72" t="str">
        <f t="shared" si="170"/>
        <v>FB010342/1/26</v>
      </c>
      <c r="N1261" s="46" t="str">
        <f t="shared" si="175"/>
        <v>FB010342/1/26</v>
      </c>
      <c r="O1261" s="76" t="s">
        <v>35</v>
      </c>
      <c r="P1261" s="76" t="s">
        <v>35</v>
      </c>
      <c r="Q1261" s="77">
        <v>132</v>
      </c>
      <c r="R1261" s="77">
        <v>216</v>
      </c>
      <c r="S1261" s="77" t="s">
        <v>35</v>
      </c>
      <c r="T1261" s="77"/>
      <c r="U1261" s="83"/>
      <c r="V1261" s="83"/>
      <c r="W1261" s="78"/>
      <c r="X1261" s="51" t="str">
        <f>IF(A1261="", "", IF(COUNTIFS(C$3:C1260, C1261, D$3:D1260, D1261, G$3:G1260, G1261) &gt; 0, "", "11:00"-AW1261))</f>
        <v/>
      </c>
      <c r="Y1261" s="79"/>
      <c r="Z1261" s="80"/>
      <c r="AA1261" s="81"/>
      <c r="AB1261" s="81"/>
      <c r="AC1261" s="81"/>
      <c r="AD1261" s="81"/>
      <c r="AE1261" s="81"/>
      <c r="AF1261" s="81"/>
      <c r="AG1261" s="81"/>
      <c r="AH1261" s="82"/>
      <c r="AI1261" s="81"/>
      <c r="AJ1261" s="81"/>
      <c r="AK1261" s="81"/>
      <c r="AL1261" s="81"/>
      <c r="AM1261" s="81"/>
      <c r="AN1261" s="81"/>
      <c r="AO1261" s="81"/>
      <c r="AP1261" s="81"/>
      <c r="AQ1261" s="81"/>
      <c r="AR1261" s="81"/>
      <c r="AS1261" s="81"/>
      <c r="AT1261" s="81"/>
      <c r="AU1261" s="53">
        <v>4.1666666666666699E-2</v>
      </c>
      <c r="AV1261" s="54" t="s">
        <v>37</v>
      </c>
      <c r="AW1261" s="57">
        <f t="shared" si="174"/>
        <v>4.1666666666666699E-2</v>
      </c>
      <c r="AX1261" s="58" t="s">
        <v>86</v>
      </c>
    </row>
    <row r="1262" spans="1:50" ht="28.5" customHeight="1">
      <c r="A1262" s="66" t="s">
        <v>1090</v>
      </c>
      <c r="B1262" s="39">
        <f t="shared" si="173"/>
        <v>1258</v>
      </c>
      <c r="C1262" s="40">
        <v>46050</v>
      </c>
      <c r="D1262" s="40" t="s">
        <v>80</v>
      </c>
      <c r="E1262" s="40" t="s">
        <v>33</v>
      </c>
      <c r="F1262" s="41">
        <v>262</v>
      </c>
      <c r="G1262" s="42" t="s">
        <v>176</v>
      </c>
      <c r="H1262" s="43" t="str">
        <f>IFERROR(VLOOKUP($J1262,'[9]FROM (3)'!$E$4:$F$230,2,FALSE),"")</f>
        <v/>
      </c>
      <c r="I1262" s="44" t="str">
        <f t="shared" si="172"/>
        <v>RACK</v>
      </c>
      <c r="J1262" s="44" t="str">
        <f t="shared" si="169"/>
        <v>510-30149-020</v>
      </c>
      <c r="K1262" s="59" t="str">
        <f t="shared" si="171"/>
        <v>PD26011142</v>
      </c>
      <c r="L1262" s="46" t="str" cm="1">
        <f t="array" ref="L1262">IFERROR(_xlfn.IFS(
    LEN($A1262)-LEN(SUBSTITUTE($A1262,"|",""))=12, RIGHT(A1262, LEN(A1262)-FIND("~", SUBSTITUTE(A1262,"|","~", LEN(A1262)-LEN(SUBSTITUTE(A1262,"|",""))))),
    LEN($A1262)-LEN(SUBSTITUTE($A1262,"|",""))=13, MID($A1262, FIND("~", SUBSTITUTE($A1262,"|","~", 11))+1, FIND("~", SUBSTITUTE($A1262,"|","~", 12))-FIND("~", SUBSTITUTE($A1262,"|","~", 11))-1),
    LEN($A1262)-LEN(SUBSTITUTE($A1262,"|",""))=14, MID($A1262, FIND("~", SUBSTITUTE($A1262,"|","~", 11))+1, FIND("~", SUBSTITUTE($A1262,"|","~", 12))-FIND("~", SUBSTITUTE($A1262,"|","~", 11))-1)
), "")</f>
        <v>5C1361</v>
      </c>
      <c r="M1262" s="72" t="str">
        <f t="shared" si="170"/>
        <v>FB010337/6/26</v>
      </c>
      <c r="N1262" s="46" t="str">
        <f t="shared" si="175"/>
        <v>FB010337/6/26</v>
      </c>
      <c r="O1262" s="76" t="s">
        <v>35</v>
      </c>
      <c r="P1262" s="76" t="s">
        <v>35</v>
      </c>
      <c r="Q1262" s="76">
        <v>68</v>
      </c>
      <c r="R1262" s="76">
        <v>111</v>
      </c>
      <c r="S1262" s="77" t="s">
        <v>35</v>
      </c>
      <c r="T1262" s="77"/>
      <c r="U1262" s="83"/>
      <c r="V1262" s="83"/>
      <c r="W1262" s="78"/>
      <c r="X1262" s="51" t="str">
        <f>IF(A1262="", "", IF(COUNTIFS(C$3:C1261, C1262, D$3:D1261, D1262, G$3:G1261, G1262) &gt; 0, "", "11:00"-AW1262))</f>
        <v/>
      </c>
      <c r="Y1262" s="79"/>
      <c r="Z1262" s="80"/>
      <c r="AA1262" s="81"/>
      <c r="AB1262" s="81"/>
      <c r="AC1262" s="81"/>
      <c r="AD1262" s="81"/>
      <c r="AE1262" s="81"/>
      <c r="AF1262" s="81"/>
      <c r="AG1262" s="81"/>
      <c r="AH1262" s="82"/>
      <c r="AI1262" s="81"/>
      <c r="AJ1262" s="81"/>
      <c r="AK1262" s="81"/>
      <c r="AL1262" s="81"/>
      <c r="AM1262" s="81"/>
      <c r="AN1262" s="81"/>
      <c r="AO1262" s="81"/>
      <c r="AP1262" s="81"/>
      <c r="AQ1262" s="81"/>
      <c r="AR1262" s="81"/>
      <c r="AS1262" s="81"/>
      <c r="AT1262" s="81"/>
      <c r="AU1262" s="53">
        <v>4.1666666666666699E-2</v>
      </c>
      <c r="AV1262" s="54" t="s">
        <v>37</v>
      </c>
      <c r="AW1262" s="57">
        <f t="shared" si="174"/>
        <v>4.1666666666666699E-2</v>
      </c>
      <c r="AX1262" s="58" t="s">
        <v>86</v>
      </c>
    </row>
    <row r="1263" spans="1:50" ht="28.5" customHeight="1">
      <c r="A1263" s="66" t="s">
        <v>1091</v>
      </c>
      <c r="B1263" s="39">
        <f t="shared" si="173"/>
        <v>1259</v>
      </c>
      <c r="C1263" s="40">
        <v>46050</v>
      </c>
      <c r="D1263" s="40" t="s">
        <v>80</v>
      </c>
      <c r="E1263" s="40" t="s">
        <v>33</v>
      </c>
      <c r="F1263" s="41">
        <v>262</v>
      </c>
      <c r="G1263" s="42" t="s">
        <v>176</v>
      </c>
      <c r="H1263" s="43" t="str">
        <f>IFERROR(VLOOKUP($J1263,'[9]FROM (3)'!$E$4:$F$230,2,FALSE),"")</f>
        <v/>
      </c>
      <c r="I1263" s="44" t="str">
        <f t="shared" si="172"/>
        <v>RACK</v>
      </c>
      <c r="J1263" s="44" t="str">
        <f t="shared" si="169"/>
        <v>510-30149-020</v>
      </c>
      <c r="K1263" s="59" t="str">
        <f t="shared" si="171"/>
        <v>PD26011142</v>
      </c>
      <c r="L1263" s="46" t="str" cm="1">
        <f t="array" ref="L1263">IFERROR(_xlfn.IFS(
    LEN($A1263)-LEN(SUBSTITUTE($A1263,"|",""))=12, RIGHT(A1263, LEN(A1263)-FIND("~", SUBSTITUTE(A1263,"|","~", LEN(A1263)-LEN(SUBSTITUTE(A1263,"|",""))))),
    LEN($A1263)-LEN(SUBSTITUTE($A1263,"|",""))=13, MID($A1263, FIND("~", SUBSTITUTE($A1263,"|","~", 11))+1, FIND("~", SUBSTITUTE($A1263,"|","~", 12))-FIND("~", SUBSTITUTE($A1263,"|","~", 11))-1),
    LEN($A1263)-LEN(SUBSTITUTE($A1263,"|",""))=14, MID($A1263, FIND("~", SUBSTITUTE($A1263,"|","~", 11))+1, FIND("~", SUBSTITUTE($A1263,"|","~", 12))-FIND("~", SUBSTITUTE($A1263,"|","~", 11))-1)
), "")</f>
        <v>5C1361</v>
      </c>
      <c r="M1263" s="72" t="str">
        <f t="shared" si="170"/>
        <v>FB010337/4/26</v>
      </c>
      <c r="N1263" s="46" t="str">
        <f t="shared" si="175"/>
        <v>FB010337/4/26</v>
      </c>
      <c r="O1263" s="76" t="s">
        <v>35</v>
      </c>
      <c r="P1263" s="76" t="s">
        <v>35</v>
      </c>
      <c r="Q1263" s="76">
        <v>200</v>
      </c>
      <c r="R1263" s="76">
        <v>327</v>
      </c>
      <c r="S1263" s="77" t="s">
        <v>35</v>
      </c>
      <c r="T1263" s="77"/>
      <c r="U1263" s="83"/>
      <c r="V1263" s="83"/>
      <c r="W1263" s="78"/>
      <c r="X1263" s="51" t="str">
        <f>IF(A1263="", "", IF(COUNTIFS(C$3:C1262, C1263, D$3:D1262, D1263, G$3:G1262, G1263) &gt; 0, "", "11:00"-AW1263))</f>
        <v/>
      </c>
      <c r="Y1263" s="79"/>
      <c r="Z1263" s="80"/>
      <c r="AA1263" s="81"/>
      <c r="AB1263" s="81"/>
      <c r="AC1263" s="81"/>
      <c r="AD1263" s="81"/>
      <c r="AE1263" s="81"/>
      <c r="AF1263" s="81"/>
      <c r="AG1263" s="81"/>
      <c r="AH1263" s="82"/>
      <c r="AI1263" s="81"/>
      <c r="AJ1263" s="81"/>
      <c r="AK1263" s="81"/>
      <c r="AL1263" s="81"/>
      <c r="AM1263" s="81"/>
      <c r="AN1263" s="81"/>
      <c r="AO1263" s="81"/>
      <c r="AP1263" s="81"/>
      <c r="AQ1263" s="81"/>
      <c r="AR1263" s="81"/>
      <c r="AS1263" s="81"/>
      <c r="AT1263" s="81"/>
      <c r="AU1263" s="53">
        <v>4.1666666666666699E-2</v>
      </c>
      <c r="AV1263" s="54" t="s">
        <v>37</v>
      </c>
      <c r="AW1263" s="57">
        <f t="shared" si="174"/>
        <v>4.1666666666666699E-2</v>
      </c>
      <c r="AX1263" s="58" t="s">
        <v>86</v>
      </c>
    </row>
    <row r="1264" spans="1:50" ht="28.5" customHeight="1">
      <c r="A1264" s="66" t="s">
        <v>1092</v>
      </c>
      <c r="B1264" s="39">
        <f t="shared" si="173"/>
        <v>1260</v>
      </c>
      <c r="C1264" s="40">
        <v>46050</v>
      </c>
      <c r="D1264" s="40" t="s">
        <v>80</v>
      </c>
      <c r="E1264" s="40" t="s">
        <v>33</v>
      </c>
      <c r="F1264" s="41">
        <v>262</v>
      </c>
      <c r="G1264" s="42" t="s">
        <v>176</v>
      </c>
      <c r="H1264" s="43" t="str">
        <f>IFERROR(VLOOKUP($J1264,'[9]FROM (3)'!$E$4:$F$230,2,FALSE),"")</f>
        <v/>
      </c>
      <c r="I1264" s="44" t="str">
        <f t="shared" si="172"/>
        <v>RACK</v>
      </c>
      <c r="J1264" s="44" t="str">
        <f t="shared" si="169"/>
        <v>510-30149-020</v>
      </c>
      <c r="K1264" s="59" t="str">
        <f t="shared" si="171"/>
        <v>PD26011142</v>
      </c>
      <c r="L1264" s="46" t="str" cm="1">
        <f t="array" ref="L1264">IFERROR(_xlfn.IFS(
    LEN($A1264)-LEN(SUBSTITUTE($A1264,"|",""))=12, RIGHT(A1264, LEN(A1264)-FIND("~", SUBSTITUTE(A1264,"|","~", LEN(A1264)-LEN(SUBSTITUTE(A1264,"|",""))))),
    LEN($A1264)-LEN(SUBSTITUTE($A1264,"|",""))=13, MID($A1264, FIND("~", SUBSTITUTE($A1264,"|","~", 11))+1, FIND("~", SUBSTITUTE($A1264,"|","~", 12))-FIND("~", SUBSTITUTE($A1264,"|","~", 11))-1),
    LEN($A1264)-LEN(SUBSTITUTE($A1264,"|",""))=14, MID($A1264, FIND("~", SUBSTITUTE($A1264,"|","~", 11))+1, FIND("~", SUBSTITUTE($A1264,"|","~", 12))-FIND("~", SUBSTITUTE($A1264,"|","~", 11))-1)
), "")</f>
        <v>5C1361</v>
      </c>
      <c r="M1264" s="72" t="str">
        <f t="shared" si="170"/>
        <v>FB010337/1/26</v>
      </c>
      <c r="N1264" s="46" t="str">
        <f t="shared" si="175"/>
        <v>FB010337/1/26</v>
      </c>
      <c r="O1264" s="76" t="s">
        <v>35</v>
      </c>
      <c r="P1264" s="76" t="s">
        <v>35</v>
      </c>
      <c r="Q1264" s="76">
        <v>12</v>
      </c>
      <c r="R1264" s="76">
        <v>20</v>
      </c>
      <c r="S1264" s="77" t="s">
        <v>35</v>
      </c>
      <c r="T1264" s="77"/>
      <c r="U1264" s="83"/>
      <c r="V1264" s="83"/>
      <c r="W1264" s="78"/>
      <c r="X1264" s="51" t="str">
        <f>IF(A1264="", "", IF(COUNTIFS(C$3:C1263, C1264, D$3:D1263, D1264, G$3:G1263, G1264) &gt; 0, "", "11:00"-AW1264))</f>
        <v/>
      </c>
      <c r="Y1264" s="79"/>
      <c r="Z1264" s="80"/>
      <c r="AA1264" s="81"/>
      <c r="AB1264" s="81"/>
      <c r="AC1264" s="81"/>
      <c r="AD1264" s="81"/>
      <c r="AE1264" s="81"/>
      <c r="AF1264" s="81"/>
      <c r="AG1264" s="81"/>
      <c r="AH1264" s="82"/>
      <c r="AI1264" s="81"/>
      <c r="AJ1264" s="81"/>
      <c r="AK1264" s="81"/>
      <c r="AL1264" s="81"/>
      <c r="AM1264" s="81"/>
      <c r="AN1264" s="81"/>
      <c r="AO1264" s="81"/>
      <c r="AP1264" s="81"/>
      <c r="AQ1264" s="81"/>
      <c r="AR1264" s="81"/>
      <c r="AS1264" s="81"/>
      <c r="AT1264" s="81"/>
      <c r="AU1264" s="53">
        <v>4.1666666666666699E-2</v>
      </c>
      <c r="AV1264" s="54" t="s">
        <v>37</v>
      </c>
      <c r="AW1264" s="57">
        <f t="shared" si="174"/>
        <v>4.1666666666666699E-2</v>
      </c>
      <c r="AX1264" s="58" t="s">
        <v>86</v>
      </c>
    </row>
    <row r="1265" spans="1:50" ht="28.5" customHeight="1">
      <c r="A1265" s="66" t="s">
        <v>1093</v>
      </c>
      <c r="B1265" s="39">
        <f t="shared" si="173"/>
        <v>1261</v>
      </c>
      <c r="C1265" s="40">
        <v>46050</v>
      </c>
      <c r="D1265" s="40" t="s">
        <v>80</v>
      </c>
      <c r="E1265" s="40" t="s">
        <v>33</v>
      </c>
      <c r="F1265" s="41">
        <v>603.4</v>
      </c>
      <c r="G1265" s="42" t="s">
        <v>66</v>
      </c>
      <c r="H1265" s="43" t="str">
        <f>IFERROR(VLOOKUP($J1265,'[9]FROM (3)'!$E$4:$F$230,2,FALSE),"")</f>
        <v>JTCS</v>
      </c>
      <c r="I1265" s="44" t="str">
        <f t="shared" si="172"/>
        <v>Rack, MS</v>
      </c>
      <c r="J1265" s="44" t="str">
        <f t="shared" si="169"/>
        <v>JGC10-003230-40-0</v>
      </c>
      <c r="K1265" s="59" t="str">
        <f t="shared" si="171"/>
        <v>PD26011177</v>
      </c>
      <c r="L1265" s="46" t="str" cm="1">
        <f t="array" ref="L1265">IFERROR(_xlfn.IFS(
    LEN($A1265)-LEN(SUBSTITUTE($A1265,"|",""))=12, RIGHT(A1265, LEN(A1265)-FIND("~", SUBSTITUTE(A1265,"|","~", LEN(A1265)-LEN(SUBSTITUTE(A1265,"|",""))))),
    LEN($A1265)-LEN(SUBSTITUTE($A1265,"|",""))=13, MID($A1265, FIND("~", SUBSTITUTE($A1265,"|","~", 11))+1, FIND("~", SUBSTITUTE($A1265,"|","~", 12))-FIND("~", SUBSTITUTE($A1265,"|","~", 11))-1),
    LEN($A1265)-LEN(SUBSTITUTE($A1265,"|",""))=14, MID($A1265, FIND("~", SUBSTITUTE($A1265,"|","~", 11))+1, FIND("~", SUBSTITUTE($A1265,"|","~", 12))-FIND("~", SUBSTITUTE($A1265,"|","~", 11))-1)
), "")</f>
        <v>D400533</v>
      </c>
      <c r="M1265" s="72" t="str">
        <f t="shared" si="170"/>
        <v>SB010155/2/26</v>
      </c>
      <c r="N1265" s="46" t="str">
        <f t="shared" si="175"/>
        <v/>
      </c>
      <c r="O1265" s="76">
        <v>69</v>
      </c>
      <c r="P1265" s="76">
        <v>668</v>
      </c>
      <c r="Q1265" s="76">
        <v>345</v>
      </c>
      <c r="R1265" s="76">
        <v>621</v>
      </c>
      <c r="S1265" s="77"/>
      <c r="T1265" s="77"/>
      <c r="U1265" s="83">
        <v>72</v>
      </c>
      <c r="V1265" s="83">
        <v>5</v>
      </c>
      <c r="W1265" s="78"/>
      <c r="X1265" s="51">
        <f>IF(A1265="", "", IF(COUNTIFS(C$3:C1264, C1265, D$3:D1264, D1265, G$3:G1264, G1265) &gt; 0, "", "11:00"-AW1265))</f>
        <v>0.24999999999999994</v>
      </c>
      <c r="Y1265" s="79"/>
      <c r="Z1265" s="80">
        <v>4.1666666666666664E-2</v>
      </c>
      <c r="AA1265" s="81" t="s">
        <v>67</v>
      </c>
      <c r="AB1265" s="81"/>
      <c r="AC1265" s="81"/>
      <c r="AD1265" s="81"/>
      <c r="AE1265" s="81"/>
      <c r="AF1265" s="81"/>
      <c r="AG1265" s="81"/>
      <c r="AH1265" s="82"/>
      <c r="AI1265" s="81"/>
      <c r="AJ1265" s="81"/>
      <c r="AK1265" s="81"/>
      <c r="AL1265" s="81"/>
      <c r="AM1265" s="81"/>
      <c r="AN1265" s="81"/>
      <c r="AO1265" s="81">
        <v>4.1666666666666664E-2</v>
      </c>
      <c r="AP1265" s="81" t="s">
        <v>67</v>
      </c>
      <c r="AQ1265" s="81">
        <v>4.1666666666666664E-2</v>
      </c>
      <c r="AR1265" s="81" t="s">
        <v>37</v>
      </c>
      <c r="AS1265" s="81">
        <v>4.1666666666666664E-2</v>
      </c>
      <c r="AT1265" s="81" t="s">
        <v>37</v>
      </c>
      <c r="AU1265" s="53">
        <v>4.1666666666666699E-2</v>
      </c>
      <c r="AV1265" s="54" t="s">
        <v>37</v>
      </c>
      <c r="AW1265" s="57">
        <f t="shared" si="174"/>
        <v>0.20833333333333337</v>
      </c>
      <c r="AX1265" s="58" t="s">
        <v>96</v>
      </c>
    </row>
    <row r="1266" spans="1:50" ht="28.5" customHeight="1">
      <c r="A1266" s="66" t="s">
        <v>1094</v>
      </c>
      <c r="B1266" s="39">
        <f t="shared" si="173"/>
        <v>1262</v>
      </c>
      <c r="C1266" s="40">
        <v>46050</v>
      </c>
      <c r="D1266" s="40" t="s">
        <v>80</v>
      </c>
      <c r="E1266" s="40" t="s">
        <v>33</v>
      </c>
      <c r="F1266" s="41">
        <v>603.4</v>
      </c>
      <c r="G1266" s="42" t="s">
        <v>66</v>
      </c>
      <c r="H1266" s="43" t="str">
        <f>IFERROR(VLOOKUP($J1266,'[9]FROM (3)'!$E$4:$F$230,2,FALSE),"")</f>
        <v>JTCS</v>
      </c>
      <c r="I1266" s="44" t="str">
        <f t="shared" si="172"/>
        <v>Rack, MS</v>
      </c>
      <c r="J1266" s="44" t="str">
        <f t="shared" si="169"/>
        <v>JGC10-003230-40-0</v>
      </c>
      <c r="K1266" s="59" t="str">
        <f t="shared" si="171"/>
        <v>PD26011177</v>
      </c>
      <c r="L1266" s="46" t="str" cm="1">
        <f t="array" ref="L1266">IFERROR(_xlfn.IFS(
    LEN($A1266)-LEN(SUBSTITUTE($A1266,"|",""))=12, RIGHT(A1266, LEN(A1266)-FIND("~", SUBSTITUTE(A1266,"|","~", LEN(A1266)-LEN(SUBSTITUTE(A1266,"|",""))))),
    LEN($A1266)-LEN(SUBSTITUTE($A1266,"|",""))=13, MID($A1266, FIND("~", SUBSTITUTE($A1266,"|","~", 11))+1, FIND("~", SUBSTITUTE($A1266,"|","~", 12))-FIND("~", SUBSTITUTE($A1266,"|","~", 11))-1),
    LEN($A1266)-LEN(SUBSTITUTE($A1266,"|",""))=14, MID($A1266, FIND("~", SUBSTITUTE($A1266,"|","~", 11))+1, FIND("~", SUBSTITUTE($A1266,"|","~", 12))-FIND("~", SUBSTITUTE($A1266,"|","~", 11))-1)
), "")</f>
        <v>D400533</v>
      </c>
      <c r="M1266" s="72" t="str">
        <f t="shared" si="170"/>
        <v>SB010155/1/26</v>
      </c>
      <c r="N1266" s="46" t="str">
        <f t="shared" si="175"/>
        <v/>
      </c>
      <c r="O1266" s="76">
        <v>69</v>
      </c>
      <c r="P1266" s="76">
        <v>668</v>
      </c>
      <c r="Q1266" s="76">
        <v>344</v>
      </c>
      <c r="R1266" s="76">
        <v>619</v>
      </c>
      <c r="S1266" s="77"/>
      <c r="T1266" s="77"/>
      <c r="U1266" s="83"/>
      <c r="V1266" s="83"/>
      <c r="W1266" s="78"/>
      <c r="X1266" s="51" t="str">
        <f>IF(A1266="", "", IF(COUNTIFS(C$3:C1265, C1266, D$3:D1265, D1266, G$3:G1265, G1266) &gt; 0, "", "11:00"-AW1266))</f>
        <v/>
      </c>
      <c r="Y1266" s="79"/>
      <c r="Z1266" s="80"/>
      <c r="AA1266" s="81"/>
      <c r="AB1266" s="81"/>
      <c r="AC1266" s="81"/>
      <c r="AD1266" s="81"/>
      <c r="AE1266" s="81"/>
      <c r="AF1266" s="81"/>
      <c r="AG1266" s="81"/>
      <c r="AH1266" s="82"/>
      <c r="AI1266" s="81"/>
      <c r="AJ1266" s="81"/>
      <c r="AK1266" s="81"/>
      <c r="AL1266" s="81"/>
      <c r="AM1266" s="81"/>
      <c r="AN1266" s="81"/>
      <c r="AO1266" s="81"/>
      <c r="AP1266" s="81"/>
      <c r="AQ1266" s="81"/>
      <c r="AR1266" s="81"/>
      <c r="AS1266" s="81"/>
      <c r="AT1266" s="81"/>
      <c r="AU1266" s="53">
        <v>4.1666666666666699E-2</v>
      </c>
      <c r="AV1266" s="54" t="s">
        <v>37</v>
      </c>
      <c r="AW1266" s="57">
        <f t="shared" si="174"/>
        <v>4.1666666666666699E-2</v>
      </c>
      <c r="AX1266" s="58" t="s">
        <v>96</v>
      </c>
    </row>
    <row r="1267" spans="1:50" ht="28.5" customHeight="1">
      <c r="A1267" s="66" t="s">
        <v>1069</v>
      </c>
      <c r="B1267" s="39">
        <f t="shared" si="173"/>
        <v>1263</v>
      </c>
      <c r="C1267" s="40">
        <v>46050</v>
      </c>
      <c r="D1267" s="40" t="s">
        <v>80</v>
      </c>
      <c r="E1267" s="40" t="s">
        <v>33</v>
      </c>
      <c r="F1267" s="41">
        <v>2.5</v>
      </c>
      <c r="G1267" s="42" t="s">
        <v>135</v>
      </c>
      <c r="H1267" s="43" t="str">
        <f>IFERROR(VLOOKUP($J1267,'[9]FROM (3)'!$E$4:$F$230,2,FALSE),"")</f>
        <v>DNTH</v>
      </c>
      <c r="I1267" s="44" t="str">
        <f t="shared" si="172"/>
        <v>Pole Core</v>
      </c>
      <c r="J1267" s="44" t="str">
        <f t="shared" si="169"/>
        <v>TG028152-5190</v>
      </c>
      <c r="K1267" s="59" t="str">
        <f t="shared" si="171"/>
        <v>PD26011212</v>
      </c>
      <c r="L1267" s="46" t="str" cm="1">
        <f t="array" ref="L1267">IFERROR(_xlfn.IFS(
    LEN($A1267)-LEN(SUBSTITUTE($A1267,"|",""))=12, RIGHT(A1267, LEN(A1267)-FIND("~", SUBSTITUTE(A1267,"|","~", LEN(A1267)-LEN(SUBSTITUTE(A1267,"|",""))))),
    LEN($A1267)-LEN(SUBSTITUTE($A1267,"|",""))=13, MID($A1267, FIND("~", SUBSTITUTE($A1267,"|","~", 11))+1, FIND("~", SUBSTITUTE($A1267,"|","~", 12))-FIND("~", SUBSTITUTE($A1267,"|","~", 11))-1),
    LEN($A1267)-LEN(SUBSTITUTE($A1267,"|",""))=14, MID($A1267, FIND("~", SUBSTITUTE($A1267,"|","~", 11))+1, FIND("~", SUBSTITUTE($A1267,"|","~", 12))-FIND("~", SUBSTITUTE($A1267,"|","~", 11))-1)
), "")</f>
        <v>KS005C9016</v>
      </c>
      <c r="M1267" s="72" t="str">
        <f t="shared" si="170"/>
        <v>SB010173/2/26</v>
      </c>
      <c r="N1267" s="46" t="str">
        <f t="shared" si="175"/>
        <v/>
      </c>
      <c r="O1267" s="76"/>
      <c r="P1267" s="76"/>
      <c r="Q1267" s="76">
        <v>9427</v>
      </c>
      <c r="R1267" s="76">
        <v>872</v>
      </c>
      <c r="S1267" s="77"/>
      <c r="T1267" s="77"/>
      <c r="U1267" s="83"/>
      <c r="V1267" s="83"/>
      <c r="W1267" s="78"/>
      <c r="X1267" s="51">
        <f>IF(A1267="", "", IF(COUNTIFS(C$3:C1266, C1267, D$3:D1266, D1267, G$3:G1266, G1267) &gt; 0, "", "11:00"-AW1267))</f>
        <v>0.29166666666666663</v>
      </c>
      <c r="Y1267" s="79"/>
      <c r="Z1267" s="80"/>
      <c r="AA1267" s="81"/>
      <c r="AB1267" s="81"/>
      <c r="AC1267" s="81"/>
      <c r="AD1267" s="81"/>
      <c r="AE1267" s="81"/>
      <c r="AF1267" s="81"/>
      <c r="AG1267" s="81"/>
      <c r="AH1267" s="82"/>
      <c r="AI1267" s="81"/>
      <c r="AJ1267" s="81"/>
      <c r="AK1267" s="81"/>
      <c r="AL1267" s="81"/>
      <c r="AM1267" s="81"/>
      <c r="AN1267" s="81"/>
      <c r="AO1267" s="81">
        <v>4.1666666666666664E-2</v>
      </c>
      <c r="AP1267" s="81" t="s">
        <v>37</v>
      </c>
      <c r="AQ1267" s="81">
        <v>4.1666666666666664E-2</v>
      </c>
      <c r="AR1267" s="81" t="s">
        <v>37</v>
      </c>
      <c r="AS1267" s="81">
        <v>4.1666666666666664E-2</v>
      </c>
      <c r="AT1267" s="81" t="s">
        <v>37</v>
      </c>
      <c r="AU1267" s="53">
        <v>4.1666666666666699E-2</v>
      </c>
      <c r="AV1267" s="54" t="s">
        <v>37</v>
      </c>
      <c r="AW1267" s="57">
        <f t="shared" si="174"/>
        <v>0.16666666666666669</v>
      </c>
      <c r="AX1267" s="58" t="s">
        <v>224</v>
      </c>
    </row>
    <row r="1268" spans="1:50" ht="28.5" customHeight="1">
      <c r="A1268" s="66" t="s">
        <v>1095</v>
      </c>
      <c r="B1268" s="39">
        <f t="shared" si="173"/>
        <v>1264</v>
      </c>
      <c r="C1268" s="40">
        <v>46050</v>
      </c>
      <c r="D1268" s="40" t="s">
        <v>80</v>
      </c>
      <c r="E1268" s="40" t="s">
        <v>33</v>
      </c>
      <c r="F1268" s="41">
        <v>92.5</v>
      </c>
      <c r="G1268" s="42" t="s">
        <v>135</v>
      </c>
      <c r="H1268" s="43" t="str">
        <f>IFERROR(VLOOKUP($J1268,'[9]FROM (3)'!$E$4:$F$230,2,FALSE),"")</f>
        <v>DNTH</v>
      </c>
      <c r="I1268" s="44" t="str">
        <f t="shared" si="172"/>
        <v>Pole Core</v>
      </c>
      <c r="J1268" s="44" t="str">
        <f t="shared" si="169"/>
        <v>TG028152-5190</v>
      </c>
      <c r="K1268" s="59" t="str">
        <f t="shared" si="171"/>
        <v>PD26011213</v>
      </c>
      <c r="L1268" s="46" t="str" cm="1">
        <f t="array" ref="L1268">IFERROR(_xlfn.IFS(
    LEN($A1268)-LEN(SUBSTITUTE($A1268,"|",""))=12, RIGHT(A1268, LEN(A1268)-FIND("~", SUBSTITUTE(A1268,"|","~", LEN(A1268)-LEN(SUBSTITUTE(A1268,"|",""))))),
    LEN($A1268)-LEN(SUBSTITUTE($A1268,"|",""))=13, MID($A1268, FIND("~", SUBSTITUTE($A1268,"|","~", 11))+1, FIND("~", SUBSTITUTE($A1268,"|","~", 12))-FIND("~", SUBSTITUTE($A1268,"|","~", 11))-1),
    LEN($A1268)-LEN(SUBSTITUTE($A1268,"|",""))=14, MID($A1268, FIND("~", SUBSTITUTE($A1268,"|","~", 11))+1, FIND("~", SUBSTITUTE($A1268,"|","~", 12))-FIND("~", SUBSTITUTE($A1268,"|","~", 11))-1)
), "")</f>
        <v>KS005C9016</v>
      </c>
      <c r="M1268" s="72" t="str">
        <f t="shared" si="170"/>
        <v>SB010173/3/26</v>
      </c>
      <c r="N1268" s="46" t="str">
        <f t="shared" si="175"/>
        <v/>
      </c>
      <c r="O1268" s="76">
        <v>111</v>
      </c>
      <c r="P1268" s="76">
        <v>996</v>
      </c>
      <c r="Q1268" s="77">
        <v>4373</v>
      </c>
      <c r="R1268" s="77">
        <v>405</v>
      </c>
      <c r="S1268" s="77"/>
      <c r="T1268" s="77"/>
      <c r="U1268" s="83"/>
      <c r="V1268" s="83"/>
      <c r="W1268" s="78"/>
      <c r="X1268" s="51" t="str">
        <f>IF(A1268="", "", IF(COUNTIFS(C$3:C1267, C1268, D$3:D1267, D1268, G$3:G1267, G1268) &gt; 0, "", "11:00"-AW1268))</f>
        <v/>
      </c>
      <c r="Y1268" s="79"/>
      <c r="Z1268" s="80"/>
      <c r="AA1268" s="81"/>
      <c r="AB1268" s="81"/>
      <c r="AC1268" s="81"/>
      <c r="AD1268" s="81"/>
      <c r="AE1268" s="81"/>
      <c r="AF1268" s="81"/>
      <c r="AG1268" s="81"/>
      <c r="AH1268" s="82"/>
      <c r="AI1268" s="81"/>
      <c r="AJ1268" s="81"/>
      <c r="AK1268" s="81"/>
      <c r="AL1268" s="81"/>
      <c r="AM1268" s="81"/>
      <c r="AN1268" s="81"/>
      <c r="AO1268" s="81">
        <v>4.1666666666666664E-2</v>
      </c>
      <c r="AP1268" s="81" t="s">
        <v>37</v>
      </c>
      <c r="AQ1268" s="81">
        <v>4.1666666666666664E-2</v>
      </c>
      <c r="AR1268" s="81" t="s">
        <v>37</v>
      </c>
      <c r="AS1268" s="81">
        <v>4.1666666666666664E-2</v>
      </c>
      <c r="AT1268" s="81" t="s">
        <v>37</v>
      </c>
      <c r="AU1268" s="53">
        <v>4.1666666666666699E-2</v>
      </c>
      <c r="AV1268" s="54" t="s">
        <v>37</v>
      </c>
      <c r="AW1268" s="57">
        <f t="shared" si="174"/>
        <v>0.16666666666666669</v>
      </c>
      <c r="AX1268" s="58" t="s">
        <v>224</v>
      </c>
    </row>
    <row r="1269" spans="1:50" ht="28.5" customHeight="1">
      <c r="A1269" s="66" t="s">
        <v>1084</v>
      </c>
      <c r="B1269" s="39">
        <f t="shared" si="173"/>
        <v>1265</v>
      </c>
      <c r="C1269" s="40">
        <v>46050</v>
      </c>
      <c r="D1269" s="40" t="s">
        <v>32</v>
      </c>
      <c r="E1269" s="40" t="s">
        <v>81</v>
      </c>
      <c r="F1269" s="41">
        <v>278</v>
      </c>
      <c r="G1269" s="42" t="s">
        <v>108</v>
      </c>
      <c r="H1269" s="43" t="str">
        <f>IFERROR(VLOOKUP($J1269,'[9]FROM (3)'!$E$4:$F$230,2,FALSE),"")</f>
        <v>SIAM NSK</v>
      </c>
      <c r="I1269" s="44" t="str">
        <f t="shared" si="172"/>
        <v>SHAFT SPLINE</v>
      </c>
      <c r="J1269" s="44" t="str">
        <f t="shared" si="169"/>
        <v>2550T0749P</v>
      </c>
      <c r="K1269" s="59" t="str">
        <f t="shared" si="171"/>
        <v>PD26011295</v>
      </c>
      <c r="L1269" s="46" t="str" cm="1">
        <f t="array" ref="L1269">IFERROR(_xlfn.IFS(
    LEN($A1269)-LEN(SUBSTITUTE($A1269,"|",""))=12, RIGHT(A1269, LEN(A1269)-FIND("~", SUBSTITUTE(A1269,"|","~", LEN(A1269)-LEN(SUBSTITUTE(A1269,"|",""))))),
    LEN($A1269)-LEN(SUBSTITUTE($A1269,"|",""))=13, MID($A1269, FIND("~", SUBSTITUTE($A1269,"|","~", 11))+1, FIND("~", SUBSTITUTE($A1269,"|","~", 12))-FIND("~", SUBSTITUTE($A1269,"|","~", 11))-1),
    LEN($A1269)-LEN(SUBSTITUTE($A1269,"|",""))=14, MID($A1269, FIND("~", SUBSTITUTE($A1269,"|","~", 11))+1, FIND("~", SUBSTITUTE($A1269,"|","~", 12))-FIND("~", SUBSTITUTE($A1269,"|","~", 11))-1)
), "")</f>
        <v>SF95636</v>
      </c>
      <c r="M1269" s="72" t="str">
        <f t="shared" si="170"/>
        <v>SB010180/4/26</v>
      </c>
      <c r="N1269" s="46" t="str">
        <f t="shared" si="175"/>
        <v/>
      </c>
      <c r="O1269" s="76" t="s">
        <v>35</v>
      </c>
      <c r="P1269" s="76" t="s">
        <v>35</v>
      </c>
      <c r="Q1269" s="77">
        <v>732</v>
      </c>
      <c r="R1269" s="77">
        <v>418</v>
      </c>
      <c r="S1269" s="77"/>
      <c r="T1269" s="77"/>
      <c r="U1269" s="83"/>
      <c r="V1269" s="83"/>
      <c r="W1269" s="78"/>
      <c r="X1269" s="51">
        <f>IF(A1269="", "", IF(COUNTIFS(C$3:C1268, C1269, D$3:D1268, D1269, G$3:G1268, G1269) &gt; 0, "", "11:00"-AW1269))</f>
        <v>0.41666666666666663</v>
      </c>
      <c r="Y1269" s="79"/>
      <c r="Z1269" s="80"/>
      <c r="AA1269" s="81"/>
      <c r="AB1269" s="81"/>
      <c r="AC1269" s="81"/>
      <c r="AD1269" s="81"/>
      <c r="AE1269" s="81"/>
      <c r="AF1269" s="81"/>
      <c r="AG1269" s="81"/>
      <c r="AH1269" s="82"/>
      <c r="AI1269" s="81"/>
      <c r="AJ1269" s="81"/>
      <c r="AK1269" s="81"/>
      <c r="AL1269" s="81"/>
      <c r="AM1269" s="81"/>
      <c r="AN1269" s="81"/>
      <c r="AO1269" s="81"/>
      <c r="AP1269" s="81"/>
      <c r="AQ1269" s="81"/>
      <c r="AR1269" s="81"/>
      <c r="AS1269" s="81"/>
      <c r="AT1269" s="81"/>
      <c r="AU1269" s="53">
        <v>4.1666666666666699E-2</v>
      </c>
      <c r="AV1269" s="54" t="s">
        <v>37</v>
      </c>
      <c r="AW1269" s="57">
        <f t="shared" si="174"/>
        <v>4.1666666666666699E-2</v>
      </c>
      <c r="AX1269" s="58" t="s">
        <v>380</v>
      </c>
    </row>
    <row r="1270" spans="1:50" ht="28.5" customHeight="1">
      <c r="A1270" s="66" t="s">
        <v>1096</v>
      </c>
      <c r="B1270" s="39">
        <f t="shared" si="173"/>
        <v>1266</v>
      </c>
      <c r="C1270" s="62">
        <v>46050</v>
      </c>
      <c r="D1270" s="40" t="s">
        <v>32</v>
      </c>
      <c r="E1270" s="40" t="s">
        <v>81</v>
      </c>
      <c r="F1270" s="41">
        <v>278</v>
      </c>
      <c r="G1270" s="42" t="s">
        <v>108</v>
      </c>
      <c r="H1270" s="43" t="str">
        <f>IFERROR(VLOOKUP($J1270,'[9]FROM (3)'!$E$4:$F$230,2,FALSE),"")</f>
        <v>SIAM NSK</v>
      </c>
      <c r="I1270" s="44" t="str">
        <f t="shared" si="172"/>
        <v>SHAFT SPLINE</v>
      </c>
      <c r="J1270" s="44" t="str">
        <f t="shared" si="169"/>
        <v>2550T0749P</v>
      </c>
      <c r="K1270" s="59" t="str">
        <f t="shared" si="171"/>
        <v>PD26011295</v>
      </c>
      <c r="L1270" s="46" t="str" cm="1">
        <f t="array" ref="L1270">IFERROR(_xlfn.IFS(
    LEN($A1270)-LEN(SUBSTITUTE($A1270,"|",""))=12, RIGHT(A1270, LEN(A1270)-FIND("~", SUBSTITUTE(A1270,"|","~", LEN(A1270)-LEN(SUBSTITUTE(A1270,"|",""))))),
    LEN($A1270)-LEN(SUBSTITUTE($A1270,"|",""))=13, MID($A1270, FIND("~", SUBSTITUTE($A1270,"|","~", 11))+1, FIND("~", SUBSTITUTE($A1270,"|","~", 12))-FIND("~", SUBSTITUTE($A1270,"|","~", 11))-1),
    LEN($A1270)-LEN(SUBSTITUTE($A1270,"|",""))=14, MID($A1270, FIND("~", SUBSTITUTE($A1270,"|","~", 11))+1, FIND("~", SUBSTITUTE($A1270,"|","~", 12))-FIND("~", SUBSTITUTE($A1270,"|","~", 11))-1)
), "")</f>
        <v>SF95636</v>
      </c>
      <c r="M1270" s="72" t="str">
        <f t="shared" si="170"/>
        <v>SB010180/3/26</v>
      </c>
      <c r="N1270" s="46" t="str">
        <f t="shared" si="175"/>
        <v/>
      </c>
      <c r="O1270" s="76">
        <v>104</v>
      </c>
      <c r="P1270" s="76">
        <v>1000</v>
      </c>
      <c r="Q1270" s="77">
        <v>1664</v>
      </c>
      <c r="R1270" s="77">
        <v>951</v>
      </c>
      <c r="S1270" s="77"/>
      <c r="T1270" s="77"/>
      <c r="U1270" s="83">
        <v>77</v>
      </c>
      <c r="V1270" s="83">
        <v>15</v>
      </c>
      <c r="W1270" s="78"/>
      <c r="X1270" s="51" t="str">
        <f>IF(A1270="", "", IF(COUNTIFS(C$3:C1269, C1270, D$3:D1269, D1270, G$3:G1269, G1270) &gt; 0, "", "11:00"-AW1270))</f>
        <v/>
      </c>
      <c r="Y1270" s="79"/>
      <c r="Z1270" s="80"/>
      <c r="AA1270" s="81"/>
      <c r="AB1270" s="81"/>
      <c r="AC1270" s="81"/>
      <c r="AD1270" s="81"/>
      <c r="AE1270" s="81"/>
      <c r="AF1270" s="81"/>
      <c r="AG1270" s="81"/>
      <c r="AH1270" s="82"/>
      <c r="AI1270" s="81"/>
      <c r="AJ1270" s="81"/>
      <c r="AK1270" s="81"/>
      <c r="AL1270" s="81"/>
      <c r="AM1270" s="81"/>
      <c r="AN1270" s="81" t="s">
        <v>614</v>
      </c>
      <c r="AO1270" s="81"/>
      <c r="AP1270" s="81"/>
      <c r="AQ1270" s="81"/>
      <c r="AR1270" s="81"/>
      <c r="AS1270" s="81"/>
      <c r="AT1270" s="81"/>
      <c r="AU1270" s="53">
        <v>4.1666666666666699E-2</v>
      </c>
      <c r="AV1270" s="54" t="s">
        <v>37</v>
      </c>
      <c r="AW1270" s="57">
        <f t="shared" si="174"/>
        <v>4.1666666666666699E-2</v>
      </c>
      <c r="AX1270" s="58" t="s">
        <v>380</v>
      </c>
    </row>
    <row r="1271" spans="1:50" ht="28.5" customHeight="1">
      <c r="A1271" s="66" t="s">
        <v>1097</v>
      </c>
      <c r="B1271" s="39">
        <f t="shared" si="173"/>
        <v>1267</v>
      </c>
      <c r="C1271" s="40">
        <v>46050</v>
      </c>
      <c r="D1271" s="40" t="s">
        <v>32</v>
      </c>
      <c r="E1271" s="40" t="s">
        <v>81</v>
      </c>
      <c r="F1271" s="41">
        <v>278</v>
      </c>
      <c r="G1271" s="42" t="s">
        <v>108</v>
      </c>
      <c r="H1271" s="43" t="str">
        <f>IFERROR(VLOOKUP($J1271,'[9]FROM (3)'!$E$4:$F$230,2,FALSE),"")</f>
        <v>SIAM NSK</v>
      </c>
      <c r="I1271" s="44" t="str">
        <f t="shared" si="172"/>
        <v>SHAFT SPLINE</v>
      </c>
      <c r="J1271" s="44" t="str">
        <f t="shared" si="169"/>
        <v>2550T0749P</v>
      </c>
      <c r="K1271" s="59" t="str">
        <f t="shared" si="171"/>
        <v>PD26011294</v>
      </c>
      <c r="L1271" s="46" t="str" cm="1">
        <f t="array" ref="L1271">IFERROR(_xlfn.IFS(
    LEN($A1271)-LEN(SUBSTITUTE($A1271,"|",""))=12, RIGHT(A1271, LEN(A1271)-FIND("~", SUBSTITUTE(A1271,"|","~", LEN(A1271)-LEN(SUBSTITUTE(A1271,"|",""))))),
    LEN($A1271)-LEN(SUBSTITUTE($A1271,"|",""))=13, MID($A1271, FIND("~", SUBSTITUTE($A1271,"|","~", 11))+1, FIND("~", SUBSTITUTE($A1271,"|","~", 12))-FIND("~", SUBSTITUTE($A1271,"|","~", 11))-1),
    LEN($A1271)-LEN(SUBSTITUTE($A1271,"|",""))=14, MID($A1271, FIND("~", SUBSTITUTE($A1271,"|","~", 11))+1, FIND("~", SUBSTITUTE($A1271,"|","~", 12))-FIND("~", SUBSTITUTE($A1271,"|","~", 11))-1)
), "")</f>
        <v>SF95636</v>
      </c>
      <c r="M1271" s="72" t="str">
        <f t="shared" si="170"/>
        <v>SB010180/2/26</v>
      </c>
      <c r="N1271" s="46" t="str">
        <f t="shared" si="175"/>
        <v/>
      </c>
      <c r="O1271" s="76">
        <v>102</v>
      </c>
      <c r="P1271" s="76">
        <v>980</v>
      </c>
      <c r="Q1271" s="77">
        <v>364</v>
      </c>
      <c r="R1271" s="77">
        <v>208</v>
      </c>
      <c r="S1271" s="77"/>
      <c r="T1271" s="77"/>
      <c r="U1271" s="83"/>
      <c r="V1271" s="83"/>
      <c r="W1271" s="78"/>
      <c r="X1271" s="51" t="str">
        <f>IF(A1271="", "", IF(COUNTIFS(C$3:C1270, C1271, D$3:D1270, D1271, G$3:G1270, G1271) &gt; 0, "", "11:00"-AW1271))</f>
        <v/>
      </c>
      <c r="Y1271" s="79"/>
      <c r="Z1271" s="80"/>
      <c r="AA1271" s="81"/>
      <c r="AB1271" s="81"/>
      <c r="AC1271" s="81"/>
      <c r="AD1271" s="81"/>
      <c r="AE1271" s="81"/>
      <c r="AF1271" s="81"/>
      <c r="AG1271" s="81"/>
      <c r="AH1271" s="82"/>
      <c r="AI1271" s="81"/>
      <c r="AJ1271" s="81"/>
      <c r="AK1271" s="81"/>
      <c r="AL1271" s="81"/>
      <c r="AM1271" s="81"/>
      <c r="AN1271" s="81"/>
      <c r="AO1271" s="81"/>
      <c r="AP1271" s="81"/>
      <c r="AQ1271" s="81"/>
      <c r="AR1271" s="81"/>
      <c r="AS1271" s="81"/>
      <c r="AT1271" s="81"/>
      <c r="AU1271" s="53">
        <v>4.1666666666666699E-2</v>
      </c>
      <c r="AV1271" s="54" t="s">
        <v>37</v>
      </c>
      <c r="AW1271" s="57">
        <f t="shared" si="174"/>
        <v>4.1666666666666699E-2</v>
      </c>
      <c r="AX1271" s="58" t="s">
        <v>380</v>
      </c>
    </row>
    <row r="1272" spans="1:50" ht="28.5" customHeight="1">
      <c r="A1272" s="66" t="s">
        <v>1070</v>
      </c>
      <c r="B1272" s="39">
        <f t="shared" si="173"/>
        <v>1268</v>
      </c>
      <c r="C1272" s="40">
        <v>46050</v>
      </c>
      <c r="D1272" s="40" t="s">
        <v>32</v>
      </c>
      <c r="E1272" s="40" t="s">
        <v>81</v>
      </c>
      <c r="F1272" s="41">
        <v>23.4</v>
      </c>
      <c r="G1272" s="42" t="s">
        <v>34</v>
      </c>
      <c r="H1272" s="43" t="str">
        <f>IFERROR(VLOOKUP($J1272,'[9]FROM (3)'!$E$4:$F$230,2,FALSE),"")</f>
        <v/>
      </c>
      <c r="I1272" s="44" t="str">
        <f t="shared" si="172"/>
        <v>FLANGE-13 SLUG</v>
      </c>
      <c r="J1272" s="44" t="str">
        <f t="shared" si="169"/>
        <v>ZZ2B7401TX1</v>
      </c>
      <c r="K1272" s="59" t="str">
        <f t="shared" si="171"/>
        <v>PD26010928</v>
      </c>
      <c r="L1272" s="46" t="str" cm="1">
        <f t="array" ref="L1272">IFERROR(_xlfn.IFS(
    LEN($A1272)-LEN(SUBSTITUTE($A1272,"|",""))=12, RIGHT(A1272, LEN(A1272)-FIND("~", SUBSTITUTE(A1272,"|","~", LEN(A1272)-LEN(SUBSTITUTE(A1272,"|",""))))),
    LEN($A1272)-LEN(SUBSTITUTE($A1272,"|",""))=13, MID($A1272, FIND("~", SUBSTITUTE($A1272,"|","~", 11))+1, FIND("~", SUBSTITUTE($A1272,"|","~", 12))-FIND("~", SUBSTITUTE($A1272,"|","~", 11))-1),
    LEN($A1272)-LEN(SUBSTITUTE($A1272,"|",""))=14, MID($A1272, FIND("~", SUBSTITUTE($A1272,"|","~", 11))+1, FIND("~", SUBSTITUTE($A1272,"|","~", 12))-FIND("~", SUBSTITUTE($A1272,"|","~", 11))-1)
), "")</f>
        <v>1-79662</v>
      </c>
      <c r="M1272" s="72" t="str">
        <f t="shared" si="170"/>
        <v>2B2600186</v>
      </c>
      <c r="N1272" s="46" t="str">
        <f t="shared" si="175"/>
        <v/>
      </c>
      <c r="O1272" s="76" t="s">
        <v>35</v>
      </c>
      <c r="P1272" s="76" t="s">
        <v>35</v>
      </c>
      <c r="Q1272" s="77">
        <v>3067</v>
      </c>
      <c r="R1272" s="77">
        <v>707</v>
      </c>
      <c r="S1272" s="77"/>
      <c r="T1272" s="77"/>
      <c r="U1272" s="83"/>
      <c r="V1272" s="83"/>
      <c r="W1272" s="78"/>
      <c r="X1272" s="51">
        <f>IF(A1272="", "", IF(COUNTIFS(C$3:C1271, C1272, D$3:D1271, D1272, G$3:G1271, G1272) &gt; 0, "", "11:00"-AW1272))</f>
        <v>0.33333333333333326</v>
      </c>
      <c r="Y1272" s="79"/>
      <c r="Z1272" s="80"/>
      <c r="AA1272" s="81"/>
      <c r="AB1272" s="81"/>
      <c r="AC1272" s="81"/>
      <c r="AD1272" s="81"/>
      <c r="AE1272" s="81"/>
      <c r="AF1272" s="81"/>
      <c r="AG1272" s="81"/>
      <c r="AH1272" s="82"/>
      <c r="AI1272" s="81"/>
      <c r="AJ1272" s="81"/>
      <c r="AK1272" s="81"/>
      <c r="AL1272" s="81"/>
      <c r="AM1272" s="81"/>
      <c r="AN1272" s="81"/>
      <c r="AO1272" s="81"/>
      <c r="AP1272" s="81"/>
      <c r="AQ1272" s="81">
        <v>4.1666666666666664E-2</v>
      </c>
      <c r="AR1272" s="81" t="s">
        <v>37</v>
      </c>
      <c r="AS1272" s="81">
        <v>4.1666666666666664E-2</v>
      </c>
      <c r="AT1272" s="81" t="s">
        <v>37</v>
      </c>
      <c r="AU1272" s="53">
        <v>4.1666666666666699E-2</v>
      </c>
      <c r="AV1272" s="54" t="s">
        <v>37</v>
      </c>
      <c r="AW1272" s="57">
        <f t="shared" si="174"/>
        <v>0.12500000000000003</v>
      </c>
      <c r="AX1272" s="58" t="s">
        <v>48</v>
      </c>
    </row>
    <row r="1273" spans="1:50" ht="28.5" customHeight="1">
      <c r="A1273" s="66" t="s">
        <v>1053</v>
      </c>
      <c r="B1273" s="39">
        <f t="shared" si="173"/>
        <v>1269</v>
      </c>
      <c r="C1273" s="40">
        <v>46050</v>
      </c>
      <c r="D1273" s="40" t="s">
        <v>32</v>
      </c>
      <c r="E1273" s="40" t="s">
        <v>81</v>
      </c>
      <c r="F1273" s="41">
        <v>83.2</v>
      </c>
      <c r="G1273" s="42" t="s">
        <v>41</v>
      </c>
      <c r="H1273" s="43" t="str">
        <f>IFERROR(VLOOKUP($J1273,'[9]FROM (3)'!$E$4:$F$230,2,FALSE),"")</f>
        <v>DNTH</v>
      </c>
      <c r="I1273" s="44" t="str">
        <f t="shared" si="172"/>
        <v>SHAFT, 2W</v>
      </c>
      <c r="J1273" s="44" t="str">
        <f t="shared" ref="J1273:J1336" si="176">IFERROR(MID(A1273,FIND("~",SUBSTITUTE(A1273,"|","~",3))+1,FIND("~",SUBSTITUTE(A1273,"|","~",4))-FIND("~",SUBSTITUTE(A1273,"|","~",3))-1),"")</f>
        <v>TG028383-0420</v>
      </c>
      <c r="K1273" s="59" t="str">
        <f t="shared" si="171"/>
        <v>PD26011134</v>
      </c>
      <c r="L1273" s="46" t="str" cm="1">
        <f t="array" ref="L1273">IFERROR(_xlfn.IFS(
    LEN($A1273)-LEN(SUBSTITUTE($A1273,"|",""))=12, RIGHT(A1273, LEN(A1273)-FIND("~", SUBSTITUTE(A1273,"|","~", LEN(A1273)-LEN(SUBSTITUTE(A1273,"|",""))))),
    LEN($A1273)-LEN(SUBSTITUTE($A1273,"|",""))=13, MID($A1273, FIND("~", SUBSTITUTE($A1273,"|","~", 11))+1, FIND("~", SUBSTITUTE($A1273,"|","~", 12))-FIND("~", SUBSTITUTE($A1273,"|","~", 11))-1),
    LEN($A1273)-LEN(SUBSTITUTE($A1273,"|",""))=14, MID($A1273, FIND("~", SUBSTITUTE($A1273,"|","~", 11))+1, FIND("~", SUBSTITUTE($A1273,"|","~", 12))-FIND("~", SUBSTITUTE($A1273,"|","~", 11))-1)
), "")</f>
        <v>5E0424</v>
      </c>
      <c r="M1273" s="72" t="str">
        <f t="shared" si="170"/>
        <v>SB010154/1/26</v>
      </c>
      <c r="N1273" s="46" t="str">
        <f t="shared" si="175"/>
        <v/>
      </c>
      <c r="O1273" s="76" t="s">
        <v>35</v>
      </c>
      <c r="P1273" s="76" t="s">
        <v>35</v>
      </c>
      <c r="Q1273" s="77">
        <v>1760</v>
      </c>
      <c r="R1273" s="77">
        <v>258</v>
      </c>
      <c r="S1273" s="77"/>
      <c r="T1273" s="77"/>
      <c r="U1273" s="83"/>
      <c r="V1273" s="83"/>
      <c r="W1273" s="78"/>
      <c r="X1273" s="51">
        <f>IF(A1273="", "", IF(COUNTIFS(C$3:C1272, C1273, D$3:D1272, D1273, G$3:G1272, G1273) &gt; 0, "", "11:00"-AW1273))</f>
        <v>0.33333333333333326</v>
      </c>
      <c r="Y1273" s="79"/>
      <c r="Z1273" s="80"/>
      <c r="AA1273" s="81"/>
      <c r="AB1273" s="81"/>
      <c r="AC1273" s="81"/>
      <c r="AD1273" s="81"/>
      <c r="AE1273" s="81"/>
      <c r="AF1273" s="81"/>
      <c r="AG1273" s="81"/>
      <c r="AH1273" s="82"/>
      <c r="AI1273" s="81"/>
      <c r="AJ1273" s="81"/>
      <c r="AK1273" s="81"/>
      <c r="AL1273" s="81"/>
      <c r="AM1273" s="81"/>
      <c r="AN1273" s="81"/>
      <c r="AO1273" s="81"/>
      <c r="AP1273" s="81"/>
      <c r="AQ1273" s="81">
        <v>4.1666666666666664E-2</v>
      </c>
      <c r="AR1273" s="81" t="s">
        <v>37</v>
      </c>
      <c r="AS1273" s="81">
        <v>4.1666666666666664E-2</v>
      </c>
      <c r="AT1273" s="81" t="s">
        <v>37</v>
      </c>
      <c r="AU1273" s="53">
        <v>4.1666666666666699E-2</v>
      </c>
      <c r="AV1273" s="54" t="s">
        <v>37</v>
      </c>
      <c r="AW1273" s="57">
        <f t="shared" si="174"/>
        <v>0.12500000000000003</v>
      </c>
      <c r="AX1273" s="58" t="s">
        <v>48</v>
      </c>
    </row>
    <row r="1274" spans="1:50" ht="28.5" customHeight="1">
      <c r="A1274" s="66" t="s">
        <v>1098</v>
      </c>
      <c r="B1274" s="39">
        <f t="shared" si="173"/>
        <v>1270</v>
      </c>
      <c r="C1274" s="40">
        <v>46050</v>
      </c>
      <c r="D1274" s="40" t="s">
        <v>32</v>
      </c>
      <c r="E1274" s="40" t="s">
        <v>81</v>
      </c>
      <c r="F1274" s="41">
        <v>83.2</v>
      </c>
      <c r="G1274" s="42" t="s">
        <v>41</v>
      </c>
      <c r="H1274" s="43" t="str">
        <f>IFERROR(VLOOKUP($J1274,'[9]FROM (3)'!$E$4:$F$230,2,FALSE),"")</f>
        <v>DNTH</v>
      </c>
      <c r="I1274" s="44" t="str">
        <f t="shared" si="172"/>
        <v>SHAFT, 2W</v>
      </c>
      <c r="J1274" s="44" t="str">
        <f t="shared" si="176"/>
        <v>TG028383-0420</v>
      </c>
      <c r="K1274" s="59" t="str">
        <f t="shared" si="171"/>
        <v>PD26011134</v>
      </c>
      <c r="L1274" s="46" t="str" cm="1">
        <f t="array" ref="L1274">IFERROR(_xlfn.IFS(
    LEN($A1274)-LEN(SUBSTITUTE($A1274,"|",""))=12, RIGHT(A1274, LEN(A1274)-FIND("~", SUBSTITUTE(A1274,"|","~", LEN(A1274)-LEN(SUBSTITUTE(A1274,"|",""))))),
    LEN($A1274)-LEN(SUBSTITUTE($A1274,"|",""))=13, MID($A1274, FIND("~", SUBSTITUTE($A1274,"|","~", 11))+1, FIND("~", SUBSTITUTE($A1274,"|","~", 12))-FIND("~", SUBSTITUTE($A1274,"|","~", 11))-1),
    LEN($A1274)-LEN(SUBSTITUTE($A1274,"|",""))=14, MID($A1274, FIND("~", SUBSTITUTE($A1274,"|","~", 11))+1, FIND("~", SUBSTITUTE($A1274,"|","~", 12))-FIND("~", SUBSTITUTE($A1274,"|","~", 11))-1)
), "")</f>
        <v>5E0424</v>
      </c>
      <c r="M1274" s="72" t="str">
        <f t="shared" si="170"/>
        <v>SB010154/3/26</v>
      </c>
      <c r="N1274" s="46" t="str">
        <f t="shared" si="175"/>
        <v/>
      </c>
      <c r="O1274" s="76">
        <v>98</v>
      </c>
      <c r="P1274" s="76">
        <v>890</v>
      </c>
      <c r="Q1274" s="77">
        <v>1760</v>
      </c>
      <c r="R1274" s="77">
        <v>218</v>
      </c>
      <c r="S1274" s="77"/>
      <c r="T1274" s="77"/>
      <c r="U1274" s="83"/>
      <c r="V1274" s="83"/>
      <c r="W1274" s="78"/>
      <c r="X1274" s="51" t="str">
        <f>IF(A1274="", "", IF(COUNTIFS(C$3:C1273, C1274, D$3:D1273, D1274, G$3:G1273, G1274) &gt; 0, "", "11:00"-AW1274))</f>
        <v/>
      </c>
      <c r="Y1274" s="79"/>
      <c r="Z1274" s="80"/>
      <c r="AA1274" s="81"/>
      <c r="AB1274" s="81"/>
      <c r="AC1274" s="81"/>
      <c r="AD1274" s="81"/>
      <c r="AE1274" s="81"/>
      <c r="AF1274" s="81"/>
      <c r="AG1274" s="81"/>
      <c r="AH1274" s="82"/>
      <c r="AI1274" s="81"/>
      <c r="AJ1274" s="81"/>
      <c r="AK1274" s="81"/>
      <c r="AL1274" s="81"/>
      <c r="AM1274" s="81"/>
      <c r="AN1274" s="81"/>
      <c r="AO1274" s="81"/>
      <c r="AP1274" s="81"/>
      <c r="AQ1274" s="81">
        <v>4.1666666666666664E-2</v>
      </c>
      <c r="AR1274" s="81" t="s">
        <v>37</v>
      </c>
      <c r="AS1274" s="81">
        <v>4.1666666666666664E-2</v>
      </c>
      <c r="AT1274" s="81" t="s">
        <v>37</v>
      </c>
      <c r="AU1274" s="53">
        <v>4.1666666666666699E-2</v>
      </c>
      <c r="AV1274" s="54" t="s">
        <v>37</v>
      </c>
      <c r="AW1274" s="57">
        <f t="shared" si="174"/>
        <v>0.12500000000000003</v>
      </c>
      <c r="AX1274" s="58" t="s">
        <v>48</v>
      </c>
    </row>
    <row r="1275" spans="1:50" ht="28.5" customHeight="1">
      <c r="A1275" s="66" t="s">
        <v>1072</v>
      </c>
      <c r="B1275" s="39">
        <f t="shared" si="173"/>
        <v>1271</v>
      </c>
      <c r="C1275" s="40">
        <v>46050</v>
      </c>
      <c r="D1275" s="40" t="s">
        <v>32</v>
      </c>
      <c r="E1275" s="40" t="s">
        <v>81</v>
      </c>
      <c r="F1275" s="41">
        <v>198.2</v>
      </c>
      <c r="G1275" s="42" t="s">
        <v>44</v>
      </c>
      <c r="H1275" s="43" t="str">
        <f>IFERROR(VLOOKUP($J1275,'[9]FROM (3)'!$E$4:$F$230,2,FALSE),"")</f>
        <v>DNTH</v>
      </c>
      <c r="I1275" s="44" t="str">
        <f t="shared" si="172"/>
        <v>SLUG VALVE ROTARY</v>
      </c>
      <c r="J1275" s="44" t="str">
        <f t="shared" si="176"/>
        <v>TGY95613-0020</v>
      </c>
      <c r="K1275" s="59" t="str">
        <f t="shared" si="171"/>
        <v>PD26011086</v>
      </c>
      <c r="L1275" s="46" t="str" cm="1">
        <f t="array" ref="L1275">IFERROR(_xlfn.IFS(
    LEN($A1275)-LEN(SUBSTITUTE($A1275,"|",""))=12, RIGHT(A1275, LEN(A1275)-FIND("~", SUBSTITUTE(A1275,"|","~", LEN(A1275)-LEN(SUBSTITUTE(A1275,"|",""))))),
    LEN($A1275)-LEN(SUBSTITUTE($A1275,"|",""))=13, MID($A1275, FIND("~", SUBSTITUTE($A1275,"|","~", 11))+1, FIND("~", SUBSTITUTE($A1275,"|","~", 12))-FIND("~", SUBSTITUTE($A1275,"|","~", 11))-1),
    LEN($A1275)-LEN(SUBSTITUTE($A1275,"|",""))=14, MID($A1275, FIND("~", SUBSTITUTE($A1275,"|","~", 11))+1, FIND("~", SUBSTITUTE($A1275,"|","~", 12))-FIND("~", SUBSTITUTE($A1275,"|","~", 11))-1)
), "")</f>
        <v>E585734</v>
      </c>
      <c r="M1275" s="72" t="str">
        <f t="shared" si="170"/>
        <v>SB010149/1/26</v>
      </c>
      <c r="N1275" s="46" t="str">
        <f t="shared" si="175"/>
        <v/>
      </c>
      <c r="O1275" s="76" t="s">
        <v>35</v>
      </c>
      <c r="P1275" s="76" t="s">
        <v>35</v>
      </c>
      <c r="Q1275" s="77">
        <v>1510</v>
      </c>
      <c r="R1275" s="77">
        <v>299</v>
      </c>
      <c r="S1275" s="77"/>
      <c r="T1275" s="77"/>
      <c r="U1275" s="83"/>
      <c r="V1275" s="83"/>
      <c r="W1275" s="78"/>
      <c r="X1275" s="51">
        <f>IF(A1275="", "", IF(COUNTIFS(C$3:C1274, C1275, D$3:D1274, D1275, G$3:G1274, G1275) &gt; 0, "", "11:00"-AW1275))</f>
        <v>0.33333333333333326</v>
      </c>
      <c r="Y1275" s="79"/>
      <c r="Z1275" s="80"/>
      <c r="AA1275" s="81"/>
      <c r="AB1275" s="81"/>
      <c r="AC1275" s="81"/>
      <c r="AD1275" s="81"/>
      <c r="AE1275" s="81"/>
      <c r="AF1275" s="81"/>
      <c r="AG1275" s="81"/>
      <c r="AH1275" s="82"/>
      <c r="AI1275" s="81"/>
      <c r="AJ1275" s="81"/>
      <c r="AK1275" s="81"/>
      <c r="AL1275" s="81"/>
      <c r="AM1275" s="81"/>
      <c r="AN1275" s="81"/>
      <c r="AO1275" s="81"/>
      <c r="AP1275" s="81"/>
      <c r="AQ1275" s="81">
        <v>4.1666666666666664E-2</v>
      </c>
      <c r="AR1275" s="81" t="s">
        <v>37</v>
      </c>
      <c r="AS1275" s="81">
        <v>4.1666666666666664E-2</v>
      </c>
      <c r="AT1275" s="81" t="s">
        <v>37</v>
      </c>
      <c r="AU1275" s="53">
        <v>4.1666666666666699E-2</v>
      </c>
      <c r="AV1275" s="54" t="s">
        <v>37</v>
      </c>
      <c r="AW1275" s="57">
        <f t="shared" si="174"/>
        <v>0.12500000000000003</v>
      </c>
      <c r="AX1275" s="58" t="s">
        <v>48</v>
      </c>
    </row>
    <row r="1276" spans="1:50" ht="28.5" customHeight="1">
      <c r="A1276" s="66" t="s">
        <v>1099</v>
      </c>
      <c r="B1276" s="39">
        <f t="shared" si="173"/>
        <v>1272</v>
      </c>
      <c r="C1276" s="40">
        <v>46050</v>
      </c>
      <c r="D1276" s="40" t="s">
        <v>32</v>
      </c>
      <c r="E1276" s="40" t="s">
        <v>81</v>
      </c>
      <c r="F1276" s="41">
        <v>198.2</v>
      </c>
      <c r="G1276" s="42" t="s">
        <v>44</v>
      </c>
      <c r="H1276" s="43" t="str">
        <f>IFERROR(VLOOKUP($J1276,'[9]FROM (3)'!$E$4:$F$230,2,FALSE),"")</f>
        <v>DNTH</v>
      </c>
      <c r="I1276" s="44" t="str">
        <f t="shared" si="172"/>
        <v>SLUG VALVE ROTARY</v>
      </c>
      <c r="J1276" s="44" t="str">
        <f t="shared" si="176"/>
        <v>TGY95613-0020</v>
      </c>
      <c r="K1276" s="59" t="str">
        <f t="shared" si="171"/>
        <v>PD26011086</v>
      </c>
      <c r="L1276" s="46" t="str" cm="1">
        <f t="array" ref="L1276">IFERROR(_xlfn.IFS(
    LEN($A1276)-LEN(SUBSTITUTE($A1276,"|",""))=12, RIGHT(A1276, LEN(A1276)-FIND("~", SUBSTITUTE(A1276,"|","~", LEN(A1276)-LEN(SUBSTITUTE(A1276,"|",""))))),
    LEN($A1276)-LEN(SUBSTITUTE($A1276,"|",""))=13, MID($A1276, FIND("~", SUBSTITUTE($A1276,"|","~", 11))+1, FIND("~", SUBSTITUTE($A1276,"|","~", 12))-FIND("~", SUBSTITUTE($A1276,"|","~", 11))-1),
    LEN($A1276)-LEN(SUBSTITUTE($A1276,"|",""))=14, MID($A1276, FIND("~", SUBSTITUTE($A1276,"|","~", 11))+1, FIND("~", SUBSTITUTE($A1276,"|","~", 12))-FIND("~", SUBSTITUTE($A1276,"|","~", 11))-1)
), "")</f>
        <v>E585734</v>
      </c>
      <c r="M1276" s="72" t="str">
        <f t="shared" si="170"/>
        <v>SB010149/3/26</v>
      </c>
      <c r="N1276" s="46" t="str">
        <f t="shared" si="175"/>
        <v/>
      </c>
      <c r="O1276" s="76">
        <v>28</v>
      </c>
      <c r="P1276" s="76">
        <v>1197</v>
      </c>
      <c r="Q1276" s="77">
        <v>1848</v>
      </c>
      <c r="R1276" s="77">
        <v>366</v>
      </c>
      <c r="S1276" s="77"/>
      <c r="T1276" s="77"/>
      <c r="U1276" s="83"/>
      <c r="V1276" s="83"/>
      <c r="W1276" s="78"/>
      <c r="X1276" s="51" t="str">
        <f>IF(A1276="", "", IF(COUNTIFS(C$3:C1275, C1276, D$3:D1275, D1276, G$3:G1275, G1276) &gt; 0, "", "11:00"-AW1276))</f>
        <v/>
      </c>
      <c r="Y1276" s="79"/>
      <c r="Z1276" s="80"/>
      <c r="AA1276" s="81"/>
      <c r="AB1276" s="81"/>
      <c r="AC1276" s="81"/>
      <c r="AD1276" s="81"/>
      <c r="AE1276" s="81"/>
      <c r="AF1276" s="81"/>
      <c r="AG1276" s="81"/>
      <c r="AH1276" s="82"/>
      <c r="AI1276" s="81"/>
      <c r="AJ1276" s="81"/>
      <c r="AK1276" s="81"/>
      <c r="AL1276" s="81"/>
      <c r="AM1276" s="81"/>
      <c r="AN1276" s="81"/>
      <c r="AO1276" s="81"/>
      <c r="AP1276" s="81"/>
      <c r="AQ1276" s="81">
        <v>4.1666666666666664E-2</v>
      </c>
      <c r="AR1276" s="81" t="s">
        <v>37</v>
      </c>
      <c r="AS1276" s="81">
        <v>4.1666666666666664E-2</v>
      </c>
      <c r="AT1276" s="81" t="s">
        <v>37</v>
      </c>
      <c r="AU1276" s="53">
        <v>4.1666666666666699E-2</v>
      </c>
      <c r="AV1276" s="54" t="s">
        <v>37</v>
      </c>
      <c r="AW1276" s="57">
        <f t="shared" si="174"/>
        <v>0.12500000000000003</v>
      </c>
      <c r="AX1276" s="58" t="s">
        <v>48</v>
      </c>
    </row>
    <row r="1277" spans="1:50" ht="28.5" customHeight="1">
      <c r="A1277" s="66" t="s">
        <v>1073</v>
      </c>
      <c r="B1277" s="39">
        <f t="shared" si="173"/>
        <v>1273</v>
      </c>
      <c r="C1277" s="40">
        <v>46050</v>
      </c>
      <c r="D1277" s="40" t="s">
        <v>32</v>
      </c>
      <c r="E1277" s="40" t="s">
        <v>81</v>
      </c>
      <c r="F1277" s="41">
        <v>286</v>
      </c>
      <c r="G1277" s="42" t="s">
        <v>85</v>
      </c>
      <c r="H1277" s="43" t="str">
        <f>IFERROR(VLOOKUP($J1277,'[9]FROM (3)'!$E$4:$F$230,2,FALSE),"")</f>
        <v/>
      </c>
      <c r="I1277" s="44" t="str">
        <f t="shared" si="172"/>
        <v>PISTON</v>
      </c>
      <c r="J1277" s="44" t="str">
        <f t="shared" si="176"/>
        <v>S90-6500-4345-01</v>
      </c>
      <c r="K1277" s="59" t="str">
        <f t="shared" si="171"/>
        <v>PD26011296</v>
      </c>
      <c r="L1277" s="46" t="str" cm="1">
        <f t="array" ref="L1277">IFERROR(_xlfn.IFS(
    LEN($A1277)-LEN(SUBSTITUTE($A1277,"|",""))=12, RIGHT(A1277, LEN(A1277)-FIND("~", SUBSTITUTE(A1277,"|","~", LEN(A1277)-LEN(SUBSTITUTE(A1277,"|",""))))),
    LEN($A1277)-LEN(SUBSTITUTE($A1277,"|",""))=13, MID($A1277, FIND("~", SUBSTITUTE($A1277,"|","~", 11))+1, FIND("~", SUBSTITUTE($A1277,"|","~", 12))-FIND("~", SUBSTITUTE($A1277,"|","~", 11))-1),
    LEN($A1277)-LEN(SUBSTITUTE($A1277,"|",""))=14, MID($A1277, FIND("~", SUBSTITUTE($A1277,"|","~", 11))+1, FIND("~", SUBSTITUTE($A1277,"|","~", 12))-FIND("~", SUBSTITUTE($A1277,"|","~", 11))-1)
), "")</f>
        <v>E586506</v>
      </c>
      <c r="M1277" s="72" t="str">
        <f t="shared" si="170"/>
        <v>SB010183/1/26</v>
      </c>
      <c r="N1277" s="46" t="str">
        <f t="shared" si="175"/>
        <v/>
      </c>
      <c r="O1277" s="76" t="s">
        <v>35</v>
      </c>
      <c r="P1277" s="76" t="s">
        <v>35</v>
      </c>
      <c r="Q1277" s="77">
        <v>1864</v>
      </c>
      <c r="R1277" s="77">
        <v>533</v>
      </c>
      <c r="S1277" s="77"/>
      <c r="T1277" s="77"/>
      <c r="U1277" s="83"/>
      <c r="V1277" s="83"/>
      <c r="W1277" s="78"/>
      <c r="X1277" s="51">
        <f>IF(A1277="", "", IF(COUNTIFS(C$3:C1276, C1277, D$3:D1276, D1277, G$3:G1276, G1277) &gt; 0, "", "11:00"-AW1277))</f>
        <v>0.33333333333333326</v>
      </c>
      <c r="Y1277" s="79"/>
      <c r="Z1277" s="80"/>
      <c r="AA1277" s="81"/>
      <c r="AB1277" s="81"/>
      <c r="AC1277" s="81"/>
      <c r="AD1277" s="81"/>
      <c r="AE1277" s="81"/>
      <c r="AF1277" s="81"/>
      <c r="AG1277" s="81"/>
      <c r="AH1277" s="82"/>
      <c r="AI1277" s="81"/>
      <c r="AJ1277" s="81"/>
      <c r="AK1277" s="81"/>
      <c r="AL1277" s="81"/>
      <c r="AM1277" s="81"/>
      <c r="AN1277" s="81"/>
      <c r="AO1277" s="81"/>
      <c r="AP1277" s="81"/>
      <c r="AQ1277" s="81">
        <v>4.1666666666666664E-2</v>
      </c>
      <c r="AR1277" s="81" t="s">
        <v>37</v>
      </c>
      <c r="AS1277" s="81">
        <v>4.1666666666666664E-2</v>
      </c>
      <c r="AT1277" s="81" t="s">
        <v>37</v>
      </c>
      <c r="AU1277" s="53">
        <v>4.1666666666666699E-2</v>
      </c>
      <c r="AV1277" s="54" t="s">
        <v>37</v>
      </c>
      <c r="AW1277" s="57">
        <f t="shared" si="174"/>
        <v>0.12500000000000003</v>
      </c>
      <c r="AX1277" s="58" t="s">
        <v>48</v>
      </c>
    </row>
    <row r="1278" spans="1:50" ht="28.5" customHeight="1">
      <c r="A1278" s="66" t="s">
        <v>1100</v>
      </c>
      <c r="B1278" s="39">
        <f t="shared" si="173"/>
        <v>1274</v>
      </c>
      <c r="C1278" s="40">
        <v>46050</v>
      </c>
      <c r="D1278" s="40" t="s">
        <v>32</v>
      </c>
      <c r="E1278" s="40" t="s">
        <v>81</v>
      </c>
      <c r="F1278" s="41">
        <v>262</v>
      </c>
      <c r="G1278" s="42" t="s">
        <v>176</v>
      </c>
      <c r="H1278" s="43" t="str">
        <f>IFERROR(VLOOKUP($J1278,'[9]FROM (3)'!$E$4:$F$230,2,FALSE),"")</f>
        <v>Astemo (Thailand)</v>
      </c>
      <c r="I1278" s="44" t="str">
        <f t="shared" si="172"/>
        <v>510-30149-020</v>
      </c>
      <c r="J1278" s="44" t="str">
        <f t="shared" si="176"/>
        <v>RACK (510-30149-020)</v>
      </c>
      <c r="K1278" s="59" t="str">
        <f t="shared" si="171"/>
        <v>PD26011141</v>
      </c>
      <c r="L1278" s="46" t="str" cm="1">
        <f t="array" ref="L1278">IFERROR(_xlfn.IFS(
    LEN($A1278)-LEN(SUBSTITUTE($A1278,"|",""))=12, RIGHT(A1278, LEN(A1278)-FIND("~", SUBSTITUTE(A1278,"|","~", LEN(A1278)-LEN(SUBSTITUTE(A1278,"|",""))))),
    LEN($A1278)-LEN(SUBSTITUTE($A1278,"|",""))=13, MID($A1278, FIND("~", SUBSTITUTE($A1278,"|","~", 11))+1, FIND("~", SUBSTITUTE($A1278,"|","~", 12))-FIND("~", SUBSTITUTE($A1278,"|","~", 11))-1),
    LEN($A1278)-LEN(SUBSTITUTE($A1278,"|",""))=14, MID($A1278, FIND("~", SUBSTITUTE($A1278,"|","~", 11))+1, FIND("~", SUBSTITUTE($A1278,"|","~", 12))-FIND("~", SUBSTITUTE($A1278,"|","~", 11))-1)
), "")</f>
        <v>5C1361</v>
      </c>
      <c r="M1278" s="72" t="str">
        <f t="shared" si="170"/>
        <v>TSK2</v>
      </c>
      <c r="N1278" s="46" t="str">
        <f t="shared" si="175"/>
        <v>FB010342/2/26</v>
      </c>
      <c r="O1278" s="76">
        <v>200</v>
      </c>
      <c r="P1278" s="76">
        <v>327</v>
      </c>
      <c r="Q1278" s="77">
        <v>200</v>
      </c>
      <c r="R1278" s="77">
        <v>327</v>
      </c>
      <c r="S1278" s="77"/>
      <c r="T1278" s="77"/>
      <c r="U1278" s="83"/>
      <c r="V1278" s="83"/>
      <c r="W1278" s="78"/>
      <c r="X1278" s="51">
        <f>IF(A1278="", "", IF(COUNTIFS(C$3:C1277, C1278, D$3:D1277, D1278, G$3:G1277, G1278) &gt; 0, "", "11:00"-AW1278))</f>
        <v>0.33333333333333326</v>
      </c>
      <c r="Y1278" s="79"/>
      <c r="Z1278" s="80"/>
      <c r="AA1278" s="81"/>
      <c r="AB1278" s="81"/>
      <c r="AC1278" s="81"/>
      <c r="AD1278" s="81"/>
      <c r="AE1278" s="81"/>
      <c r="AF1278" s="81"/>
      <c r="AG1278" s="81"/>
      <c r="AH1278" s="82"/>
      <c r="AI1278" s="81"/>
      <c r="AJ1278" s="81"/>
      <c r="AK1278" s="81"/>
      <c r="AL1278" s="81"/>
      <c r="AM1278" s="81"/>
      <c r="AN1278" s="81"/>
      <c r="AO1278" s="81"/>
      <c r="AP1278" s="81"/>
      <c r="AQ1278" s="81">
        <v>4.1666666666666664E-2</v>
      </c>
      <c r="AR1278" s="81" t="s">
        <v>37</v>
      </c>
      <c r="AS1278" s="81">
        <v>4.1666666666666664E-2</v>
      </c>
      <c r="AT1278" s="81" t="s">
        <v>37</v>
      </c>
      <c r="AU1278" s="53">
        <v>4.1666666666666699E-2</v>
      </c>
      <c r="AV1278" s="54" t="s">
        <v>37</v>
      </c>
      <c r="AW1278" s="57">
        <f t="shared" si="174"/>
        <v>0.12500000000000003</v>
      </c>
      <c r="AX1278" s="58" t="s">
        <v>117</v>
      </c>
    </row>
    <row r="1279" spans="1:50" ht="28.5" customHeight="1">
      <c r="A1279" s="66" t="s">
        <v>1101</v>
      </c>
      <c r="B1279" s="39">
        <f t="shared" si="173"/>
        <v>1275</v>
      </c>
      <c r="C1279" s="40">
        <v>46050</v>
      </c>
      <c r="D1279" s="40" t="s">
        <v>32</v>
      </c>
      <c r="E1279" s="40" t="s">
        <v>81</v>
      </c>
      <c r="F1279" s="41">
        <v>262</v>
      </c>
      <c r="G1279" s="42" t="s">
        <v>176</v>
      </c>
      <c r="H1279" s="43" t="str">
        <f>IFERROR(VLOOKUP($J1279,'[9]FROM (3)'!$E$4:$F$230,2,FALSE),"")</f>
        <v>Astemo (Thailand)</v>
      </c>
      <c r="I1279" s="44" t="str">
        <f t="shared" si="172"/>
        <v>510-30149-020</v>
      </c>
      <c r="J1279" s="44" t="str">
        <f t="shared" si="176"/>
        <v>RACK (510-30149-020)</v>
      </c>
      <c r="K1279" s="59" t="str">
        <f t="shared" si="171"/>
        <v>PD26011141</v>
      </c>
      <c r="L1279" s="46" t="str" cm="1">
        <f t="array" ref="L1279">IFERROR(_xlfn.IFS(
    LEN($A1279)-LEN(SUBSTITUTE($A1279,"|",""))=12, RIGHT(A1279, LEN(A1279)-FIND("~", SUBSTITUTE(A1279,"|","~", LEN(A1279)-LEN(SUBSTITUTE(A1279,"|",""))))),
    LEN($A1279)-LEN(SUBSTITUTE($A1279,"|",""))=13, MID($A1279, FIND("~", SUBSTITUTE($A1279,"|","~", 11))+1, FIND("~", SUBSTITUTE($A1279,"|","~", 12))-FIND("~", SUBSTITUTE($A1279,"|","~", 11))-1),
    LEN($A1279)-LEN(SUBSTITUTE($A1279,"|",""))=14, MID($A1279, FIND("~", SUBSTITUTE($A1279,"|","~", 11))+1, FIND("~", SUBSTITUTE($A1279,"|","~", 12))-FIND("~", SUBSTITUTE($A1279,"|","~", 11))-1)
), "")</f>
        <v>5C1361</v>
      </c>
      <c r="M1279" s="72" t="str">
        <f t="shared" si="170"/>
        <v>TSK2</v>
      </c>
      <c r="N1279" s="46" t="str">
        <f t="shared" si="175"/>
        <v>FB010342/4/26</v>
      </c>
      <c r="O1279" s="76">
        <v>200</v>
      </c>
      <c r="P1279" s="76">
        <v>327</v>
      </c>
      <c r="Q1279" s="77">
        <v>200</v>
      </c>
      <c r="R1279" s="77">
        <v>327</v>
      </c>
      <c r="S1279" s="77"/>
      <c r="T1279" s="77"/>
      <c r="U1279" s="83"/>
      <c r="V1279" s="83"/>
      <c r="W1279" s="78"/>
      <c r="X1279" s="51" t="str">
        <f>IF(A1279="", "", IF(COUNTIFS(C$3:C1278, C1279, D$3:D1278, D1279, G$3:G1278, G1279) &gt; 0, "", "11:00"-AW1279))</f>
        <v/>
      </c>
      <c r="Y1279" s="79"/>
      <c r="Z1279" s="80"/>
      <c r="AA1279" s="81"/>
      <c r="AB1279" s="81"/>
      <c r="AC1279" s="81"/>
      <c r="AD1279" s="81"/>
      <c r="AE1279" s="81"/>
      <c r="AF1279" s="81"/>
      <c r="AG1279" s="81"/>
      <c r="AH1279" s="82"/>
      <c r="AI1279" s="81"/>
      <c r="AJ1279" s="81"/>
      <c r="AK1279" s="81"/>
      <c r="AL1279" s="81"/>
      <c r="AM1279" s="81"/>
      <c r="AN1279" s="81"/>
      <c r="AO1279" s="81"/>
      <c r="AP1279" s="81"/>
      <c r="AQ1279" s="81">
        <v>4.1666666666666664E-2</v>
      </c>
      <c r="AR1279" s="81" t="s">
        <v>37</v>
      </c>
      <c r="AS1279" s="81">
        <v>4.1666666666666664E-2</v>
      </c>
      <c r="AT1279" s="81" t="s">
        <v>37</v>
      </c>
      <c r="AU1279" s="53">
        <v>4.1666666666666699E-2</v>
      </c>
      <c r="AV1279" s="54" t="s">
        <v>37</v>
      </c>
      <c r="AW1279" s="57">
        <f t="shared" si="174"/>
        <v>0.12500000000000003</v>
      </c>
      <c r="AX1279" s="58" t="s">
        <v>117</v>
      </c>
    </row>
    <row r="1280" spans="1:50" ht="28.5" customHeight="1">
      <c r="A1280" s="66" t="s">
        <v>1102</v>
      </c>
      <c r="B1280" s="39">
        <f t="shared" si="173"/>
        <v>1276</v>
      </c>
      <c r="C1280" s="40">
        <v>46050</v>
      </c>
      <c r="D1280" s="40" t="s">
        <v>32</v>
      </c>
      <c r="E1280" s="40" t="s">
        <v>81</v>
      </c>
      <c r="F1280" s="41">
        <v>262</v>
      </c>
      <c r="G1280" s="42" t="s">
        <v>176</v>
      </c>
      <c r="H1280" s="43" t="str">
        <f>IFERROR(VLOOKUP($J1280,'[9]FROM (3)'!$E$4:$F$230,2,FALSE),"")</f>
        <v>Astemo (Thailand)</v>
      </c>
      <c r="I1280" s="44" t="str">
        <f t="shared" si="172"/>
        <v>510-30149-020</v>
      </c>
      <c r="J1280" s="44" t="str">
        <f t="shared" si="176"/>
        <v>RACK (510-30149-020)</v>
      </c>
      <c r="K1280" s="59" t="str">
        <f t="shared" si="171"/>
        <v>PD26011142</v>
      </c>
      <c r="L1280" s="46" t="str" cm="1">
        <f t="array" ref="L1280">IFERROR(_xlfn.IFS(
    LEN($A1280)-LEN(SUBSTITUTE($A1280,"|",""))=12, RIGHT(A1280, LEN(A1280)-FIND("~", SUBSTITUTE(A1280,"|","~", LEN(A1280)-LEN(SUBSTITUTE(A1280,"|",""))))),
    LEN($A1280)-LEN(SUBSTITUTE($A1280,"|",""))=13, MID($A1280, FIND("~", SUBSTITUTE($A1280,"|","~", 11))+1, FIND("~", SUBSTITUTE($A1280,"|","~", 12))-FIND("~", SUBSTITUTE($A1280,"|","~", 11))-1),
    LEN($A1280)-LEN(SUBSTITUTE($A1280,"|",""))=14, MID($A1280, FIND("~", SUBSTITUTE($A1280,"|","~", 11))+1, FIND("~", SUBSTITUTE($A1280,"|","~", 12))-FIND("~", SUBSTITUTE($A1280,"|","~", 11))-1)
), "")</f>
        <v>5C1361</v>
      </c>
      <c r="M1280" s="72" t="str">
        <f t="shared" si="170"/>
        <v>TSK2</v>
      </c>
      <c r="N1280" s="46" t="str">
        <f t="shared" si="175"/>
        <v>FB010337/3/26</v>
      </c>
      <c r="O1280" s="76">
        <v>200</v>
      </c>
      <c r="P1280" s="76">
        <v>327</v>
      </c>
      <c r="Q1280" s="77">
        <v>200</v>
      </c>
      <c r="R1280" s="77">
        <v>327</v>
      </c>
      <c r="S1280" s="77"/>
      <c r="T1280" s="77"/>
      <c r="U1280" s="83"/>
      <c r="V1280" s="83"/>
      <c r="W1280" s="78"/>
      <c r="X1280" s="51" t="str">
        <f>IF(A1280="", "", IF(COUNTIFS(C$3:C1279, C1280, D$3:D1279, D1280, G$3:G1279, G1280) &gt; 0, "", "11:00"-AW1280))</f>
        <v/>
      </c>
      <c r="Y1280" s="79"/>
      <c r="Z1280" s="80"/>
      <c r="AA1280" s="81"/>
      <c r="AB1280" s="81"/>
      <c r="AC1280" s="81"/>
      <c r="AD1280" s="81"/>
      <c r="AE1280" s="81"/>
      <c r="AF1280" s="81"/>
      <c r="AG1280" s="81"/>
      <c r="AH1280" s="82"/>
      <c r="AI1280" s="81"/>
      <c r="AJ1280" s="81"/>
      <c r="AK1280" s="81"/>
      <c r="AL1280" s="81"/>
      <c r="AM1280" s="81"/>
      <c r="AN1280" s="81"/>
      <c r="AO1280" s="81"/>
      <c r="AP1280" s="81"/>
      <c r="AQ1280" s="81">
        <v>4.1666666666666664E-2</v>
      </c>
      <c r="AR1280" s="81" t="s">
        <v>37</v>
      </c>
      <c r="AS1280" s="81">
        <v>4.1666666666666664E-2</v>
      </c>
      <c r="AT1280" s="81" t="s">
        <v>37</v>
      </c>
      <c r="AU1280" s="53">
        <v>4.1666666666666699E-2</v>
      </c>
      <c r="AV1280" s="54" t="s">
        <v>37</v>
      </c>
      <c r="AW1280" s="57">
        <f t="shared" si="174"/>
        <v>0.12500000000000003</v>
      </c>
      <c r="AX1280" s="58" t="s">
        <v>117</v>
      </c>
    </row>
    <row r="1281" spans="1:50" ht="28.5" customHeight="1">
      <c r="A1281" s="66" t="s">
        <v>1103</v>
      </c>
      <c r="B1281" s="39">
        <f t="shared" si="173"/>
        <v>1277</v>
      </c>
      <c r="C1281" s="40">
        <v>46050</v>
      </c>
      <c r="D1281" s="40" t="s">
        <v>32</v>
      </c>
      <c r="E1281" s="40" t="s">
        <v>81</v>
      </c>
      <c r="F1281" s="41">
        <v>262</v>
      </c>
      <c r="G1281" s="42" t="s">
        <v>176</v>
      </c>
      <c r="H1281" s="43" t="str">
        <f>IFERROR(VLOOKUP($J1281,'[9]FROM (3)'!$E$4:$F$230,2,FALSE),"")</f>
        <v>Astemo (Thailand)</v>
      </c>
      <c r="I1281" s="44" t="str">
        <f t="shared" si="172"/>
        <v>510-30149-020</v>
      </c>
      <c r="J1281" s="44" t="str">
        <f t="shared" si="176"/>
        <v>RACK (510-30149-020)</v>
      </c>
      <c r="K1281" s="59" t="str">
        <f t="shared" si="171"/>
        <v>PD26011142</v>
      </c>
      <c r="L1281" s="46" t="str" cm="1">
        <f t="array" ref="L1281">IFERROR(_xlfn.IFS(
    LEN($A1281)-LEN(SUBSTITUTE($A1281,"|",""))=12, RIGHT(A1281, LEN(A1281)-FIND("~", SUBSTITUTE(A1281,"|","~", LEN(A1281)-LEN(SUBSTITUTE(A1281,"|",""))))),
    LEN($A1281)-LEN(SUBSTITUTE($A1281,"|",""))=13, MID($A1281, FIND("~", SUBSTITUTE($A1281,"|","~", 11))+1, FIND("~", SUBSTITUTE($A1281,"|","~", 12))-FIND("~", SUBSTITUTE($A1281,"|","~", 11))-1),
    LEN($A1281)-LEN(SUBSTITUTE($A1281,"|",""))=14, MID($A1281, FIND("~", SUBSTITUTE($A1281,"|","~", 11))+1, FIND("~", SUBSTITUTE($A1281,"|","~", 12))-FIND("~", SUBSTITUTE($A1281,"|","~", 11))-1)
), "")</f>
        <v>5C1361</v>
      </c>
      <c r="M1281" s="72" t="str">
        <f t="shared" si="170"/>
        <v>TSK2</v>
      </c>
      <c r="N1281" s="46" t="str">
        <f t="shared" si="175"/>
        <v>FB010337/2/26</v>
      </c>
      <c r="O1281" s="76">
        <v>200</v>
      </c>
      <c r="P1281" s="76">
        <v>327</v>
      </c>
      <c r="Q1281" s="77">
        <v>200</v>
      </c>
      <c r="R1281" s="77">
        <v>327</v>
      </c>
      <c r="S1281" s="77"/>
      <c r="T1281" s="77"/>
      <c r="U1281" s="83"/>
      <c r="V1281" s="83"/>
      <c r="W1281" s="78"/>
      <c r="X1281" s="51" t="str">
        <f>IF(A1281="", "", IF(COUNTIFS(C$3:C1280, C1281, D$3:D1280, D1281, G$3:G1280, G1281) &gt; 0, "", "11:00"-AW1281))</f>
        <v/>
      </c>
      <c r="Y1281" s="79"/>
      <c r="Z1281" s="80"/>
      <c r="AA1281" s="81"/>
      <c r="AB1281" s="81"/>
      <c r="AC1281" s="81"/>
      <c r="AD1281" s="81"/>
      <c r="AE1281" s="81"/>
      <c r="AF1281" s="81"/>
      <c r="AG1281" s="81"/>
      <c r="AH1281" s="82"/>
      <c r="AI1281" s="81"/>
      <c r="AJ1281" s="81"/>
      <c r="AK1281" s="81"/>
      <c r="AL1281" s="81"/>
      <c r="AM1281" s="81"/>
      <c r="AN1281" s="81"/>
      <c r="AO1281" s="81"/>
      <c r="AP1281" s="81"/>
      <c r="AQ1281" s="81">
        <v>4.1666666666666664E-2</v>
      </c>
      <c r="AR1281" s="81" t="s">
        <v>37</v>
      </c>
      <c r="AS1281" s="81">
        <v>4.1666666666666664E-2</v>
      </c>
      <c r="AT1281" s="81" t="s">
        <v>37</v>
      </c>
      <c r="AU1281" s="53">
        <v>4.1666666666666699E-2</v>
      </c>
      <c r="AV1281" s="54" t="s">
        <v>37</v>
      </c>
      <c r="AW1281" s="57">
        <f t="shared" si="174"/>
        <v>0.12500000000000003</v>
      </c>
      <c r="AX1281" s="58" t="s">
        <v>117</v>
      </c>
    </row>
    <row r="1282" spans="1:50" ht="28.5" customHeight="1">
      <c r="A1282" s="66" t="s">
        <v>1104</v>
      </c>
      <c r="B1282" s="39">
        <f t="shared" si="173"/>
        <v>1278</v>
      </c>
      <c r="C1282" s="40">
        <v>46050</v>
      </c>
      <c r="D1282" s="40" t="s">
        <v>32</v>
      </c>
      <c r="E1282" s="40" t="s">
        <v>81</v>
      </c>
      <c r="F1282" s="41">
        <v>262</v>
      </c>
      <c r="G1282" s="42" t="s">
        <v>176</v>
      </c>
      <c r="H1282" s="43" t="str">
        <f>IFERROR(VLOOKUP($J1282,'[9]FROM (3)'!$E$4:$F$230,2,FALSE),"")</f>
        <v>Astemo (Thailand)</v>
      </c>
      <c r="I1282" s="44" t="str">
        <f t="shared" si="172"/>
        <v>510-30149-020</v>
      </c>
      <c r="J1282" s="44" t="str">
        <f t="shared" si="176"/>
        <v>RACK (510-30149-020)</v>
      </c>
      <c r="K1282" s="59" t="str">
        <f t="shared" si="171"/>
        <v>PD26011141</v>
      </c>
      <c r="L1282" s="46" t="str" cm="1">
        <f t="array" ref="L1282">IFERROR(_xlfn.IFS(
    LEN($A1282)-LEN(SUBSTITUTE($A1282,"|",""))=12, RIGHT(A1282, LEN(A1282)-FIND("~", SUBSTITUTE(A1282,"|","~", LEN(A1282)-LEN(SUBSTITUTE(A1282,"|",""))))),
    LEN($A1282)-LEN(SUBSTITUTE($A1282,"|",""))=13, MID($A1282, FIND("~", SUBSTITUTE($A1282,"|","~", 11))+1, FIND("~", SUBSTITUTE($A1282,"|","~", 12))-FIND("~", SUBSTITUTE($A1282,"|","~", 11))-1),
    LEN($A1282)-LEN(SUBSTITUTE($A1282,"|",""))=14, MID($A1282, FIND("~", SUBSTITUTE($A1282,"|","~", 11))+1, FIND("~", SUBSTITUTE($A1282,"|","~", 12))-FIND("~", SUBSTITUTE($A1282,"|","~", 11))-1)
), "")</f>
        <v>5C1361</v>
      </c>
      <c r="M1282" s="72" t="str">
        <f t="shared" si="170"/>
        <v>TSK2</v>
      </c>
      <c r="N1282" s="46" t="str">
        <f t="shared" si="175"/>
        <v>FB010342/3/26</v>
      </c>
      <c r="O1282" s="76">
        <v>200</v>
      </c>
      <c r="P1282" s="76">
        <v>327</v>
      </c>
      <c r="Q1282" s="77">
        <v>200</v>
      </c>
      <c r="R1282" s="77">
        <v>327</v>
      </c>
      <c r="S1282" s="77"/>
      <c r="T1282" s="77"/>
      <c r="U1282" s="83"/>
      <c r="V1282" s="83"/>
      <c r="W1282" s="78"/>
      <c r="X1282" s="51" t="str">
        <f>IF(A1282="", "", IF(COUNTIFS(C$3:C1281, C1282, D$3:D1281, D1282, G$3:G1281, G1282) &gt; 0, "", "11:00"-AW1282))</f>
        <v/>
      </c>
      <c r="Y1282" s="79"/>
      <c r="Z1282" s="80"/>
      <c r="AA1282" s="81"/>
      <c r="AB1282" s="81"/>
      <c r="AC1282" s="81"/>
      <c r="AD1282" s="81"/>
      <c r="AE1282" s="81"/>
      <c r="AF1282" s="81"/>
      <c r="AG1282" s="81"/>
      <c r="AH1282" s="82"/>
      <c r="AI1282" s="81"/>
      <c r="AJ1282" s="81"/>
      <c r="AK1282" s="81"/>
      <c r="AL1282" s="81"/>
      <c r="AM1282" s="81"/>
      <c r="AN1282" s="81"/>
      <c r="AO1282" s="81"/>
      <c r="AP1282" s="81"/>
      <c r="AQ1282" s="81">
        <v>4.1666666666666664E-2</v>
      </c>
      <c r="AR1282" s="81" t="s">
        <v>37</v>
      </c>
      <c r="AS1282" s="81">
        <v>4.1666666666666664E-2</v>
      </c>
      <c r="AT1282" s="81" t="s">
        <v>37</v>
      </c>
      <c r="AU1282" s="53">
        <v>4.1666666666666699E-2</v>
      </c>
      <c r="AV1282" s="54" t="s">
        <v>37</v>
      </c>
      <c r="AW1282" s="57">
        <f t="shared" si="174"/>
        <v>0.12500000000000003</v>
      </c>
      <c r="AX1282" s="58" t="s">
        <v>117</v>
      </c>
    </row>
    <row r="1283" spans="1:50" ht="28.5" customHeight="1">
      <c r="A1283" s="66" t="s">
        <v>1105</v>
      </c>
      <c r="B1283" s="39">
        <f t="shared" si="173"/>
        <v>1279</v>
      </c>
      <c r="C1283" s="40">
        <v>46050</v>
      </c>
      <c r="D1283" s="40" t="s">
        <v>32</v>
      </c>
      <c r="E1283" s="40" t="s">
        <v>81</v>
      </c>
      <c r="F1283" s="41">
        <v>262</v>
      </c>
      <c r="G1283" s="42" t="s">
        <v>176</v>
      </c>
      <c r="H1283" s="43" t="str">
        <f>IFERROR(VLOOKUP($J1283,'[9]FROM (3)'!$E$4:$F$230,2,FALSE),"")</f>
        <v>Astemo (Thailand)</v>
      </c>
      <c r="I1283" s="44" t="str">
        <f t="shared" si="172"/>
        <v>510-30149-020</v>
      </c>
      <c r="J1283" s="44" t="str">
        <f t="shared" si="176"/>
        <v>RACK (510-30149-020)</v>
      </c>
      <c r="K1283" s="59" t="str">
        <f t="shared" si="171"/>
        <v>PD26011142</v>
      </c>
      <c r="L1283" s="46" t="str" cm="1">
        <f t="array" ref="L1283">IFERROR(_xlfn.IFS(
    LEN($A1283)-LEN(SUBSTITUTE($A1283,"|",""))=12, RIGHT(A1283, LEN(A1283)-FIND("~", SUBSTITUTE(A1283,"|","~", LEN(A1283)-LEN(SUBSTITUTE(A1283,"|",""))))),
    LEN($A1283)-LEN(SUBSTITUTE($A1283,"|",""))=13, MID($A1283, FIND("~", SUBSTITUTE($A1283,"|","~", 11))+1, FIND("~", SUBSTITUTE($A1283,"|","~", 12))-FIND("~", SUBSTITUTE($A1283,"|","~", 11))-1),
    LEN($A1283)-LEN(SUBSTITUTE($A1283,"|",""))=14, MID($A1283, FIND("~", SUBSTITUTE($A1283,"|","~", 11))+1, FIND("~", SUBSTITUTE($A1283,"|","~", 12))-FIND("~", SUBSTITUTE($A1283,"|","~", 11))-1)
), "")</f>
        <v>5C1361</v>
      </c>
      <c r="M1283" s="72" t="str">
        <f t="shared" si="170"/>
        <v>TSK2</v>
      </c>
      <c r="N1283" s="46" t="str">
        <f t="shared" si="175"/>
        <v>FB010337/5/26</v>
      </c>
      <c r="O1283" s="76">
        <v>200</v>
      </c>
      <c r="P1283" s="76">
        <v>327</v>
      </c>
      <c r="Q1283" s="77">
        <v>200</v>
      </c>
      <c r="R1283" s="77">
        <v>327</v>
      </c>
      <c r="S1283" s="77"/>
      <c r="T1283" s="77"/>
      <c r="U1283" s="83"/>
      <c r="V1283" s="83"/>
      <c r="W1283" s="78"/>
      <c r="X1283" s="51" t="str">
        <f>IF(A1283="", "", IF(COUNTIFS(C$3:C1282, C1283, D$3:D1282, D1283, G$3:G1282, G1283) &gt; 0, "", "11:00"-AW1283))</f>
        <v/>
      </c>
      <c r="Y1283" s="79"/>
      <c r="Z1283" s="80"/>
      <c r="AA1283" s="81"/>
      <c r="AB1283" s="81"/>
      <c r="AC1283" s="81"/>
      <c r="AD1283" s="81"/>
      <c r="AE1283" s="81"/>
      <c r="AF1283" s="81"/>
      <c r="AG1283" s="81"/>
      <c r="AH1283" s="82"/>
      <c r="AI1283" s="81"/>
      <c r="AJ1283" s="81"/>
      <c r="AK1283" s="81"/>
      <c r="AL1283" s="81"/>
      <c r="AM1283" s="81"/>
      <c r="AN1283" s="81"/>
      <c r="AO1283" s="81"/>
      <c r="AP1283" s="81"/>
      <c r="AQ1283" s="81">
        <v>4.1666666666666664E-2</v>
      </c>
      <c r="AR1283" s="81" t="s">
        <v>37</v>
      </c>
      <c r="AS1283" s="81">
        <v>4.1666666666666664E-2</v>
      </c>
      <c r="AT1283" s="81" t="s">
        <v>37</v>
      </c>
      <c r="AU1283" s="53">
        <v>4.1666666666666699E-2</v>
      </c>
      <c r="AV1283" s="54" t="s">
        <v>37</v>
      </c>
      <c r="AW1283" s="57">
        <f t="shared" si="174"/>
        <v>0.12500000000000003</v>
      </c>
      <c r="AX1283" s="58" t="s">
        <v>117</v>
      </c>
    </row>
    <row r="1284" spans="1:50" ht="28.5" customHeight="1">
      <c r="A1284" s="66" t="s">
        <v>1085</v>
      </c>
      <c r="B1284" s="39">
        <f t="shared" si="173"/>
        <v>1280</v>
      </c>
      <c r="C1284" s="40">
        <v>46050</v>
      </c>
      <c r="D1284" s="40" t="s">
        <v>32</v>
      </c>
      <c r="E1284" s="40" t="s">
        <v>81</v>
      </c>
      <c r="F1284" s="41">
        <v>375</v>
      </c>
      <c r="G1284" s="42" t="s">
        <v>172</v>
      </c>
      <c r="H1284" s="43" t="str">
        <f>IFERROR(VLOOKUP($J1284,'[9]FROM (3)'!$E$4:$F$230,2,FALSE),"")</f>
        <v>ATAC</v>
      </c>
      <c r="I1284" s="44" t="str">
        <f t="shared" si="172"/>
        <v>SEAT,WATER PUMP PULLEY</v>
      </c>
      <c r="J1284" s="44" t="str">
        <f t="shared" si="176"/>
        <v>16171-05030</v>
      </c>
      <c r="K1284" s="59" t="str">
        <f t="shared" si="171"/>
        <v>PD26010816</v>
      </c>
      <c r="L1284" s="46" t="str" cm="1">
        <f t="array" ref="L1284">IFERROR(_xlfn.IFS(
    LEN($A1284)-LEN(SUBSTITUTE($A1284,"|",""))=12, RIGHT(A1284, LEN(A1284)-FIND("~", SUBSTITUTE(A1284,"|","~", LEN(A1284)-LEN(SUBSTITUTE(A1284,"|",""))))),
    LEN($A1284)-LEN(SUBSTITUTE($A1284,"|",""))=13, MID($A1284, FIND("~", SUBSTITUTE($A1284,"|","~", 11))+1, FIND("~", SUBSTITUTE($A1284,"|","~", 12))-FIND("~", SUBSTITUTE($A1284,"|","~", 11))-1),
    LEN($A1284)-LEN(SUBSTITUTE($A1284,"|",""))=14, MID($A1284, FIND("~", SUBSTITUTE($A1284,"|","~", 11))+1, FIND("~", SUBSTITUTE($A1284,"|","~", 12))-FIND("~", SUBSTITUTE($A1284,"|","~", 11))-1)
), "")</f>
        <v>665900</v>
      </c>
      <c r="M1284" s="72" t="str">
        <f t="shared" ref="M1284:M1347" si="177">IFERROR(MID(A1284,FIND("~",SUBSTITUTE(A1284,"|","~",10))+1,FIND("~",SUBSTITUTE(A1284,"|","~",11))-FIND("~",SUBSTITUTE(A1284,"|","~",10))-1),"")</f>
        <v>SB010101/1/26</v>
      </c>
      <c r="N1284" s="46" t="str">
        <f t="shared" si="175"/>
        <v/>
      </c>
      <c r="O1284" s="76" t="s">
        <v>35</v>
      </c>
      <c r="P1284" s="76" t="s">
        <v>35</v>
      </c>
      <c r="Q1284" s="77">
        <v>802</v>
      </c>
      <c r="R1284" s="77">
        <v>301</v>
      </c>
      <c r="S1284" s="77"/>
      <c r="T1284" s="77"/>
      <c r="U1284" s="83"/>
      <c r="V1284" s="83"/>
      <c r="W1284" s="78"/>
      <c r="X1284" s="51">
        <f>IF(A1284="", "", IF(COUNTIFS(C$3:C1283, C1284, D$3:D1283, D1284, G$3:G1283, G1284) &gt; 0, "", "11:00"-AW1284))</f>
        <v>0.33333333333333326</v>
      </c>
      <c r="Y1284" s="79"/>
      <c r="Z1284" s="80"/>
      <c r="AA1284" s="81"/>
      <c r="AB1284" s="81"/>
      <c r="AC1284" s="81"/>
      <c r="AD1284" s="81"/>
      <c r="AE1284" s="81"/>
      <c r="AF1284" s="81"/>
      <c r="AG1284" s="81"/>
      <c r="AH1284" s="82"/>
      <c r="AI1284" s="81"/>
      <c r="AJ1284" s="81"/>
      <c r="AK1284" s="81"/>
      <c r="AL1284" s="81"/>
      <c r="AM1284" s="81"/>
      <c r="AN1284" s="81"/>
      <c r="AO1284" s="81"/>
      <c r="AP1284" s="81"/>
      <c r="AQ1284" s="81">
        <v>4.1666666666666664E-2</v>
      </c>
      <c r="AR1284" s="81" t="s">
        <v>37</v>
      </c>
      <c r="AS1284" s="81">
        <v>4.1666666666666664E-2</v>
      </c>
      <c r="AT1284" s="81" t="s">
        <v>37</v>
      </c>
      <c r="AU1284" s="53">
        <v>4.1666666666666699E-2</v>
      </c>
      <c r="AV1284" s="54" t="s">
        <v>37</v>
      </c>
      <c r="AW1284" s="57">
        <f t="shared" si="174"/>
        <v>0.12500000000000003</v>
      </c>
      <c r="AX1284" s="58" t="s">
        <v>380</v>
      </c>
    </row>
    <row r="1285" spans="1:50" ht="28.5" customHeight="1">
      <c r="A1285" s="66" t="s">
        <v>1106</v>
      </c>
      <c r="B1285" s="39">
        <f t="shared" si="173"/>
        <v>1281</v>
      </c>
      <c r="C1285" s="40">
        <v>46050</v>
      </c>
      <c r="D1285" s="40" t="s">
        <v>32</v>
      </c>
      <c r="E1285" s="40" t="s">
        <v>81</v>
      </c>
      <c r="F1285" s="41">
        <v>375</v>
      </c>
      <c r="G1285" s="42" t="s">
        <v>172</v>
      </c>
      <c r="H1285" s="43" t="str">
        <f>IFERROR(VLOOKUP($J1285,'[9]FROM (3)'!$E$4:$F$230,2,FALSE),"")</f>
        <v>ATAC</v>
      </c>
      <c r="I1285" s="44" t="str">
        <f t="shared" si="172"/>
        <v>SEAT,WATER PUMP PULLEY</v>
      </c>
      <c r="J1285" s="44" t="str">
        <f t="shared" si="176"/>
        <v>16171-05030</v>
      </c>
      <c r="K1285" s="59" t="str">
        <f t="shared" si="171"/>
        <v>PD26010816</v>
      </c>
      <c r="L1285" s="46" t="str" cm="1">
        <f t="array" ref="L1285">IFERROR(_xlfn.IFS(
    LEN($A1285)-LEN(SUBSTITUTE($A1285,"|",""))=12, RIGHT(A1285, LEN(A1285)-FIND("~", SUBSTITUTE(A1285,"|","~", LEN(A1285)-LEN(SUBSTITUTE(A1285,"|",""))))),
    LEN($A1285)-LEN(SUBSTITUTE($A1285,"|",""))=13, MID($A1285, FIND("~", SUBSTITUTE($A1285,"|","~", 11))+1, FIND("~", SUBSTITUTE($A1285,"|","~", 12))-FIND("~", SUBSTITUTE($A1285,"|","~", 11))-1),
    LEN($A1285)-LEN(SUBSTITUTE($A1285,"|",""))=14, MID($A1285, FIND("~", SUBSTITUTE($A1285,"|","~", 11))+1, FIND("~", SUBSTITUTE($A1285,"|","~", 12))-FIND("~", SUBSTITUTE($A1285,"|","~", 11))-1)
), "")</f>
        <v>665900</v>
      </c>
      <c r="M1285" s="72" t="str">
        <f t="shared" si="177"/>
        <v>SB010101/2/26</v>
      </c>
      <c r="N1285" s="46" t="str">
        <f t="shared" si="175"/>
        <v/>
      </c>
      <c r="O1285" s="76">
        <v>14</v>
      </c>
      <c r="P1285" s="76">
        <v>990</v>
      </c>
      <c r="Q1285" s="77">
        <v>1433</v>
      </c>
      <c r="R1285" s="77">
        <v>537</v>
      </c>
      <c r="S1285" s="77"/>
      <c r="T1285" s="77"/>
      <c r="U1285" s="83"/>
      <c r="V1285" s="83"/>
      <c r="W1285" s="78"/>
      <c r="X1285" s="51" t="str">
        <f>IF(A1285="", "", IF(COUNTIFS(C$3:C1284, C1285, D$3:D1284, D1285, G$3:G1284, G1285) &gt; 0, "", "11:00"-AW1285))</f>
        <v/>
      </c>
      <c r="Y1285" s="79"/>
      <c r="Z1285" s="80"/>
      <c r="AA1285" s="81"/>
      <c r="AB1285" s="81"/>
      <c r="AC1285" s="81"/>
      <c r="AD1285" s="81"/>
      <c r="AE1285" s="81"/>
      <c r="AF1285" s="81"/>
      <c r="AG1285" s="81"/>
      <c r="AH1285" s="82"/>
      <c r="AI1285" s="81"/>
      <c r="AJ1285" s="81"/>
      <c r="AK1285" s="81"/>
      <c r="AL1285" s="81"/>
      <c r="AM1285" s="81"/>
      <c r="AN1285" s="81"/>
      <c r="AO1285" s="81"/>
      <c r="AP1285" s="81"/>
      <c r="AQ1285" s="81">
        <v>4.1666666666666664E-2</v>
      </c>
      <c r="AR1285" s="81" t="s">
        <v>37</v>
      </c>
      <c r="AS1285" s="81">
        <v>4.1666666666666664E-2</v>
      </c>
      <c r="AT1285" s="81" t="s">
        <v>37</v>
      </c>
      <c r="AU1285" s="53">
        <v>4.1666666666666699E-2</v>
      </c>
      <c r="AV1285" s="54" t="s">
        <v>37</v>
      </c>
      <c r="AW1285" s="57">
        <f t="shared" si="174"/>
        <v>0.12500000000000003</v>
      </c>
      <c r="AX1285" s="58" t="s">
        <v>380</v>
      </c>
    </row>
    <row r="1286" spans="1:50" ht="28.5" customHeight="1">
      <c r="A1286" s="66" t="s">
        <v>1107</v>
      </c>
      <c r="B1286" s="39">
        <f t="shared" si="173"/>
        <v>1282</v>
      </c>
      <c r="C1286" s="40">
        <v>46050</v>
      </c>
      <c r="D1286" s="40" t="s">
        <v>32</v>
      </c>
      <c r="E1286" s="40" t="s">
        <v>81</v>
      </c>
      <c r="F1286" s="41">
        <v>655.4</v>
      </c>
      <c r="G1286" s="42" t="s">
        <v>66</v>
      </c>
      <c r="H1286" s="43" t="str">
        <f>IFERROR(VLOOKUP($J1286,'[9]FROM (3)'!$E$4:$F$230,2,FALSE),"")</f>
        <v>JAMY</v>
      </c>
      <c r="I1286" s="44" t="str">
        <f t="shared" si="172"/>
        <v>RACK BAR</v>
      </c>
      <c r="J1286" s="44" t="str">
        <f t="shared" si="176"/>
        <v>JGC10-M09008-51-0</v>
      </c>
      <c r="K1286" s="59" t="str">
        <f t="shared" ref="K1286:K1349" si="178">IFERROR(LEFT(A1286,SEARCH("|",A1286)-1),"")</f>
        <v>PD26010894</v>
      </c>
      <c r="L1286" s="46" t="str" cm="1">
        <f t="array" ref="L1286">IFERROR(_xlfn.IFS(
    LEN($A1286)-LEN(SUBSTITUTE($A1286,"|",""))=12, RIGHT(A1286, LEN(A1286)-FIND("~", SUBSTITUTE(A1286,"|","~", LEN(A1286)-LEN(SUBSTITUTE(A1286,"|",""))))),
    LEN($A1286)-LEN(SUBSTITUTE($A1286,"|",""))=13, MID($A1286, FIND("~", SUBSTITUTE($A1286,"|","~", 11))+1, FIND("~", SUBSTITUTE($A1286,"|","~", 12))-FIND("~", SUBSTITUTE($A1286,"|","~", 11))-1),
    LEN($A1286)-LEN(SUBSTITUTE($A1286,"|",""))=14, MID($A1286, FIND("~", SUBSTITUTE($A1286,"|","~", 11))+1, FIND("~", SUBSTITUTE($A1286,"|","~", 12))-FIND("~", SUBSTITUTE($A1286,"|","~", 11))-1)
), "")</f>
        <v>E586966</v>
      </c>
      <c r="M1286" s="72" t="str">
        <f t="shared" si="177"/>
        <v>SB010110/3/26</v>
      </c>
      <c r="N1286" s="46" t="str">
        <f t="shared" si="175"/>
        <v/>
      </c>
      <c r="O1286" s="76">
        <v>60</v>
      </c>
      <c r="P1286" s="76">
        <v>880</v>
      </c>
      <c r="Q1286" s="77">
        <v>300</v>
      </c>
      <c r="R1286" s="77">
        <v>819</v>
      </c>
      <c r="S1286" s="77"/>
      <c r="T1286" s="77"/>
      <c r="U1286" s="83"/>
      <c r="V1286" s="83"/>
      <c r="W1286" s="78"/>
      <c r="X1286" s="51">
        <f>IF(A1286="", "", IF(COUNTIFS(C$3:C1285, C1286, D$3:D1285, D1286, G$3:G1285, G1286) &gt; 0, "", "11:00"-AW1286))</f>
        <v>0.33333333333333326</v>
      </c>
      <c r="Y1286" s="79"/>
      <c r="Z1286" s="80"/>
      <c r="AA1286" s="81"/>
      <c r="AB1286" s="81"/>
      <c r="AC1286" s="81"/>
      <c r="AD1286" s="81"/>
      <c r="AE1286" s="81"/>
      <c r="AF1286" s="81"/>
      <c r="AG1286" s="81"/>
      <c r="AH1286" s="82"/>
      <c r="AI1286" s="81"/>
      <c r="AJ1286" s="81"/>
      <c r="AK1286" s="81"/>
      <c r="AL1286" s="81"/>
      <c r="AM1286" s="81"/>
      <c r="AN1286" s="81"/>
      <c r="AO1286" s="81"/>
      <c r="AP1286" s="81"/>
      <c r="AQ1286" s="81">
        <v>4.1666666666666664E-2</v>
      </c>
      <c r="AR1286" s="81" t="s">
        <v>37</v>
      </c>
      <c r="AS1286" s="81">
        <v>4.1666666666666664E-2</v>
      </c>
      <c r="AT1286" s="81" t="s">
        <v>37</v>
      </c>
      <c r="AU1286" s="53">
        <v>4.1666666666666699E-2</v>
      </c>
      <c r="AV1286" s="54" t="s">
        <v>37</v>
      </c>
      <c r="AW1286" s="57">
        <f t="shared" si="174"/>
        <v>0.12500000000000003</v>
      </c>
      <c r="AX1286" s="58" t="s">
        <v>68</v>
      </c>
    </row>
    <row r="1287" spans="1:50" ht="28.5" customHeight="1">
      <c r="A1287" s="66" t="s">
        <v>1108</v>
      </c>
      <c r="B1287" s="39">
        <f t="shared" si="173"/>
        <v>1283</v>
      </c>
      <c r="C1287" s="40">
        <v>46050</v>
      </c>
      <c r="D1287" s="40" t="s">
        <v>32</v>
      </c>
      <c r="E1287" s="40" t="s">
        <v>81</v>
      </c>
      <c r="F1287" s="41">
        <v>655.4</v>
      </c>
      <c r="G1287" s="42" t="s">
        <v>66</v>
      </c>
      <c r="H1287" s="43" t="str">
        <f>IFERROR(VLOOKUP($J1287,'[9]FROM (3)'!$E$4:$F$230,2,FALSE),"")</f>
        <v>JAMY</v>
      </c>
      <c r="I1287" s="44" t="str">
        <f t="shared" ref="I1287:I1350" si="179">IFERROR(MID(A1287,FIND("~",SUBSTITUTE(A1287,"|","~",4))+1,FIND("~",SUBSTITUTE(A1287,"|","~",5))-FIND("~",SUBSTITUTE(A1287,"|","~",4))-1),"")</f>
        <v>RACK BAR</v>
      </c>
      <c r="J1287" s="44" t="str">
        <f t="shared" si="176"/>
        <v>JGC10-M09008-51-0</v>
      </c>
      <c r="K1287" s="59" t="str">
        <f t="shared" si="178"/>
        <v>PD26010894</v>
      </c>
      <c r="L1287" s="46" t="str" cm="1">
        <f t="array" ref="L1287">IFERROR(_xlfn.IFS(
    LEN($A1287)-LEN(SUBSTITUTE($A1287,"|",""))=12, RIGHT(A1287, LEN(A1287)-FIND("~", SUBSTITUTE(A1287,"|","~", LEN(A1287)-LEN(SUBSTITUTE(A1287,"|",""))))),
    LEN($A1287)-LEN(SUBSTITUTE($A1287,"|",""))=13, MID($A1287, FIND("~", SUBSTITUTE($A1287,"|","~", 11))+1, FIND("~", SUBSTITUTE($A1287,"|","~", 12))-FIND("~", SUBSTITUTE($A1287,"|","~", 11))-1),
    LEN($A1287)-LEN(SUBSTITUTE($A1287,"|",""))=14, MID($A1287, FIND("~", SUBSTITUTE($A1287,"|","~", 11))+1, FIND("~", SUBSTITUTE($A1287,"|","~", 12))-FIND("~", SUBSTITUTE($A1287,"|","~", 11))-1)
), "")</f>
        <v>E586966</v>
      </c>
      <c r="M1287" s="72" t="str">
        <f t="shared" si="177"/>
        <v>SB010110/2/26</v>
      </c>
      <c r="N1287" s="46" t="str">
        <f t="shared" si="175"/>
        <v/>
      </c>
      <c r="O1287" s="76">
        <v>60</v>
      </c>
      <c r="P1287" s="76">
        <v>880</v>
      </c>
      <c r="Q1287" s="77">
        <v>300</v>
      </c>
      <c r="R1287" s="77">
        <v>819</v>
      </c>
      <c r="S1287" s="77"/>
      <c r="T1287" s="77"/>
      <c r="U1287" s="83"/>
      <c r="V1287" s="83"/>
      <c r="W1287" s="78"/>
      <c r="X1287" s="51" t="str">
        <f>IF(A1287="", "", IF(COUNTIFS(C$3:C1286, C1287, D$3:D1286, D1287, G$3:G1286, G1287) &gt; 0, "", "11:00"-AW1287))</f>
        <v/>
      </c>
      <c r="Y1287" s="79"/>
      <c r="Z1287" s="80"/>
      <c r="AA1287" s="81"/>
      <c r="AB1287" s="81"/>
      <c r="AC1287" s="81"/>
      <c r="AD1287" s="81"/>
      <c r="AE1287" s="81"/>
      <c r="AF1287" s="81"/>
      <c r="AG1287" s="81"/>
      <c r="AH1287" s="82"/>
      <c r="AI1287" s="81"/>
      <c r="AJ1287" s="81"/>
      <c r="AK1287" s="81"/>
      <c r="AL1287" s="81"/>
      <c r="AM1287" s="81"/>
      <c r="AN1287" s="81"/>
      <c r="AO1287" s="81"/>
      <c r="AP1287" s="81"/>
      <c r="AQ1287" s="81"/>
      <c r="AR1287" s="81" t="s">
        <v>37</v>
      </c>
      <c r="AS1287" s="81"/>
      <c r="AT1287" s="81" t="s">
        <v>37</v>
      </c>
      <c r="AU1287" s="53">
        <v>4.1666666666666699E-2</v>
      </c>
      <c r="AV1287" s="54" t="s">
        <v>37</v>
      </c>
      <c r="AW1287" s="57">
        <f t="shared" si="174"/>
        <v>4.1666666666666699E-2</v>
      </c>
      <c r="AX1287" s="58" t="s">
        <v>68</v>
      </c>
    </row>
    <row r="1288" spans="1:50" ht="28.5" customHeight="1">
      <c r="A1288" s="66" t="s">
        <v>1109</v>
      </c>
      <c r="B1288" s="39">
        <f t="shared" si="173"/>
        <v>1284</v>
      </c>
      <c r="C1288" s="40">
        <v>46050</v>
      </c>
      <c r="D1288" s="40" t="s">
        <v>32</v>
      </c>
      <c r="E1288" s="40" t="s">
        <v>81</v>
      </c>
      <c r="F1288" s="41">
        <v>655.4</v>
      </c>
      <c r="G1288" s="42" t="s">
        <v>66</v>
      </c>
      <c r="H1288" s="43" t="str">
        <f>IFERROR(VLOOKUP($J1288,'[9]FROM (3)'!$E$4:$F$230,2,FALSE),"")</f>
        <v>JAMY</v>
      </c>
      <c r="I1288" s="44" t="str">
        <f t="shared" si="179"/>
        <v>RACK BAR</v>
      </c>
      <c r="J1288" s="44" t="str">
        <f t="shared" si="176"/>
        <v>JGC10-M09008-51-0</v>
      </c>
      <c r="K1288" s="59" t="str">
        <f t="shared" si="178"/>
        <v>PD26010894</v>
      </c>
      <c r="L1288" s="46" t="str" cm="1">
        <f t="array" ref="L1288">IFERROR(_xlfn.IFS(
    LEN($A1288)-LEN(SUBSTITUTE($A1288,"|",""))=12, RIGHT(A1288, LEN(A1288)-FIND("~", SUBSTITUTE(A1288,"|","~", LEN(A1288)-LEN(SUBSTITUTE(A1288,"|",""))))),
    LEN($A1288)-LEN(SUBSTITUTE($A1288,"|",""))=13, MID($A1288, FIND("~", SUBSTITUTE($A1288,"|","~", 11))+1, FIND("~", SUBSTITUTE($A1288,"|","~", 12))-FIND("~", SUBSTITUTE($A1288,"|","~", 11))-1),
    LEN($A1288)-LEN(SUBSTITUTE($A1288,"|",""))=14, MID($A1288, FIND("~", SUBSTITUTE($A1288,"|","~", 11))+1, FIND("~", SUBSTITUTE($A1288,"|","~", 12))-FIND("~", SUBSTITUTE($A1288,"|","~", 11))-1)
), "")</f>
        <v>E586966</v>
      </c>
      <c r="M1288" s="72" t="str">
        <f t="shared" si="177"/>
        <v>SB010110/1/26</v>
      </c>
      <c r="N1288" s="46" t="str">
        <f t="shared" si="175"/>
        <v/>
      </c>
      <c r="O1288" s="76">
        <v>60</v>
      </c>
      <c r="P1288" s="76">
        <v>880</v>
      </c>
      <c r="Q1288" s="77">
        <v>300</v>
      </c>
      <c r="R1288" s="77">
        <v>819</v>
      </c>
      <c r="S1288" s="77"/>
      <c r="T1288" s="77"/>
      <c r="U1288" s="83">
        <v>146</v>
      </c>
      <c r="V1288" s="83">
        <v>9</v>
      </c>
      <c r="W1288" s="78"/>
      <c r="X1288" s="51" t="str">
        <f>IF(A1288="", "", IF(COUNTIFS(C$3:C1287, C1288, D$3:D1287, D1288, G$3:G1287, G1288) &gt; 0, "", "11:00"-AW1288))</f>
        <v/>
      </c>
      <c r="Y1288" s="79"/>
      <c r="Z1288" s="80"/>
      <c r="AA1288" s="81"/>
      <c r="AB1288" s="81"/>
      <c r="AC1288" s="81"/>
      <c r="AD1288" s="81"/>
      <c r="AE1288" s="81"/>
      <c r="AF1288" s="81"/>
      <c r="AG1288" s="81"/>
      <c r="AH1288" s="82"/>
      <c r="AI1288" s="81"/>
      <c r="AJ1288" s="81"/>
      <c r="AK1288" s="81"/>
      <c r="AL1288" s="81"/>
      <c r="AM1288" s="81"/>
      <c r="AN1288" s="81"/>
      <c r="AO1288" s="81"/>
      <c r="AP1288" s="81"/>
      <c r="AQ1288" s="81"/>
      <c r="AR1288" s="81" t="s">
        <v>37</v>
      </c>
      <c r="AS1288" s="81"/>
      <c r="AT1288" s="81" t="s">
        <v>37</v>
      </c>
      <c r="AU1288" s="53">
        <v>4.1666666666666699E-2</v>
      </c>
      <c r="AV1288" s="54" t="s">
        <v>37</v>
      </c>
      <c r="AW1288" s="57">
        <f t="shared" si="174"/>
        <v>4.1666666666666699E-2</v>
      </c>
      <c r="AX1288" s="58" t="s">
        <v>68</v>
      </c>
    </row>
    <row r="1289" spans="1:50" ht="28.5" customHeight="1">
      <c r="A1289" s="66" t="s">
        <v>1110</v>
      </c>
      <c r="B1289" s="39">
        <f t="shared" si="173"/>
        <v>1285</v>
      </c>
      <c r="C1289" s="40">
        <v>46050</v>
      </c>
      <c r="D1289" s="40" t="s">
        <v>32</v>
      </c>
      <c r="E1289" s="40" t="s">
        <v>81</v>
      </c>
      <c r="F1289" s="41">
        <v>655.4</v>
      </c>
      <c r="G1289" s="42" t="s">
        <v>66</v>
      </c>
      <c r="H1289" s="43" t="str">
        <f>IFERROR(VLOOKUP($J1289,'[9]FROM (3)'!$E$4:$F$230,2,FALSE),"")</f>
        <v>JAMY</v>
      </c>
      <c r="I1289" s="44" t="str">
        <f t="shared" si="179"/>
        <v>RACK BAR</v>
      </c>
      <c r="J1289" s="44" t="str">
        <f t="shared" si="176"/>
        <v>JGC10-M09008-51-0</v>
      </c>
      <c r="K1289" s="59" t="str">
        <f t="shared" si="178"/>
        <v>PD26010893</v>
      </c>
      <c r="L1289" s="46" t="str" cm="1">
        <f t="array" ref="L1289">IFERROR(_xlfn.IFS(
    LEN($A1289)-LEN(SUBSTITUTE($A1289,"|",""))=12, RIGHT(A1289, LEN(A1289)-FIND("~", SUBSTITUTE(A1289,"|","~", LEN(A1289)-LEN(SUBSTITUTE(A1289,"|",""))))),
    LEN($A1289)-LEN(SUBSTITUTE($A1289,"|",""))=13, MID($A1289, FIND("~", SUBSTITUTE($A1289,"|","~", 11))+1, FIND("~", SUBSTITUTE($A1289,"|","~", 12))-FIND("~", SUBSTITUTE($A1289,"|","~", 11))-1),
    LEN($A1289)-LEN(SUBSTITUTE($A1289,"|",""))=14, MID($A1289, FIND("~", SUBSTITUTE($A1289,"|","~", 11))+1, FIND("~", SUBSTITUTE($A1289,"|","~", 12))-FIND("~", SUBSTITUTE($A1289,"|","~", 11))-1)
), "")</f>
        <v>E586966</v>
      </c>
      <c r="M1289" s="72" t="str">
        <f t="shared" si="177"/>
        <v>SB010107/5/26</v>
      </c>
      <c r="N1289" s="46" t="str">
        <f t="shared" si="175"/>
        <v/>
      </c>
      <c r="O1289" s="76">
        <v>12</v>
      </c>
      <c r="P1289" s="76">
        <v>174</v>
      </c>
      <c r="Q1289" s="77">
        <v>58</v>
      </c>
      <c r="R1289" s="77">
        <v>158</v>
      </c>
      <c r="S1289" s="77">
        <v>7</v>
      </c>
      <c r="T1289" s="77" t="s">
        <v>143</v>
      </c>
      <c r="U1289" s="83"/>
      <c r="V1289" s="83"/>
      <c r="W1289" s="78"/>
      <c r="X1289" s="51" t="str">
        <f>IF(A1289="", "", IF(COUNTIFS(C$3:C1288, C1289, D$3:D1288, D1289, G$3:G1288, G1289) &gt; 0, "", "11:00"-AW1289))</f>
        <v/>
      </c>
      <c r="Y1289" s="79"/>
      <c r="Z1289" s="80"/>
      <c r="AA1289" s="81"/>
      <c r="AB1289" s="81"/>
      <c r="AC1289" s="81"/>
      <c r="AD1289" s="81"/>
      <c r="AE1289" s="81"/>
      <c r="AF1289" s="81"/>
      <c r="AG1289" s="81"/>
      <c r="AH1289" s="82"/>
      <c r="AI1289" s="81"/>
      <c r="AJ1289" s="81"/>
      <c r="AK1289" s="81"/>
      <c r="AL1289" s="81"/>
      <c r="AM1289" s="81"/>
      <c r="AN1289" s="81"/>
      <c r="AO1289" s="81"/>
      <c r="AP1289" s="81"/>
      <c r="AQ1289" s="81"/>
      <c r="AR1289" s="81" t="s">
        <v>37</v>
      </c>
      <c r="AS1289" s="81"/>
      <c r="AT1289" s="81" t="s">
        <v>37</v>
      </c>
      <c r="AU1289" s="53">
        <v>4.1666666666666699E-2</v>
      </c>
      <c r="AV1289" s="54" t="s">
        <v>37</v>
      </c>
      <c r="AW1289" s="57">
        <f t="shared" si="174"/>
        <v>4.1666666666666699E-2</v>
      </c>
      <c r="AX1289" s="58" t="s">
        <v>68</v>
      </c>
    </row>
    <row r="1290" spans="1:50" ht="28.5" customHeight="1">
      <c r="A1290" s="66" t="s">
        <v>1082</v>
      </c>
      <c r="B1290" s="39">
        <f t="shared" ref="B1290:B1353" si="180">IF(A1290="","",B1289+1)</f>
        <v>1286</v>
      </c>
      <c r="C1290" s="40">
        <v>46050</v>
      </c>
      <c r="D1290" s="40" t="s">
        <v>32</v>
      </c>
      <c r="E1290" s="40" t="s">
        <v>81</v>
      </c>
      <c r="F1290" s="41">
        <v>721.5</v>
      </c>
      <c r="G1290" s="42" t="s">
        <v>75</v>
      </c>
      <c r="H1290" s="43" t="str">
        <f>IFERROR(VLOOKUP($J1290,'[9]FROM (3)'!$E$4:$F$230,2,FALSE),"")</f>
        <v>JCTTH</v>
      </c>
      <c r="I1290" s="44" t="str">
        <f t="shared" si="179"/>
        <v>RACK POWER STEERING</v>
      </c>
      <c r="J1290" s="44" t="str">
        <f t="shared" si="176"/>
        <v>2-30JG-0711</v>
      </c>
      <c r="K1290" s="59" t="str">
        <f t="shared" si="178"/>
        <v>PD26010792</v>
      </c>
      <c r="L1290" s="46" t="str" cm="1">
        <f t="array" ref="L1290">IFERROR(_xlfn.IFS(
    LEN($A1290)-LEN(SUBSTITUTE($A1290,"|",""))=12, RIGHT(A1290, LEN(A1290)-FIND("~", SUBSTITUTE(A1290,"|","~", LEN(A1290)-LEN(SUBSTITUTE(A1290,"|",""))))),
    LEN($A1290)-LEN(SUBSTITUTE($A1290,"|",""))=13, MID($A1290, FIND("~", SUBSTITUTE($A1290,"|","~", 11))+1, FIND("~", SUBSTITUTE($A1290,"|","~", 12))-FIND("~", SUBSTITUTE($A1290,"|","~", 11))-1),
    LEN($A1290)-LEN(SUBSTITUTE($A1290,"|",""))=14, MID($A1290, FIND("~", SUBSTITUTE($A1290,"|","~", 11))+1, FIND("~", SUBSTITUTE($A1290,"|","~", 12))-FIND("~", SUBSTITUTE($A1290,"|","~", 11))-1)
), "")</f>
        <v>E586102</v>
      </c>
      <c r="M1290" s="72" t="str">
        <f t="shared" si="177"/>
        <v>SB010090/1/26</v>
      </c>
      <c r="N1290" s="46" t="str">
        <f t="shared" si="175"/>
        <v/>
      </c>
      <c r="O1290" s="76">
        <v>0</v>
      </c>
      <c r="P1290" s="76">
        <v>0</v>
      </c>
      <c r="Q1290" s="77">
        <v>51</v>
      </c>
      <c r="R1290" s="77">
        <v>209</v>
      </c>
      <c r="S1290" s="77"/>
      <c r="T1290" s="77"/>
      <c r="U1290" s="83">
        <v>143</v>
      </c>
      <c r="V1290" s="83">
        <v>9</v>
      </c>
      <c r="W1290" s="78"/>
      <c r="X1290" s="51">
        <f>IF(A1290="", "", IF(COUNTIFS(C$3:C1289, C1290, D$3:D1289, D1290, G$3:G1289, G1290) &gt; 0, "", "11:00"-AW1290))</f>
        <v>0.29166666666666663</v>
      </c>
      <c r="Y1290" s="79"/>
      <c r="Z1290" s="80">
        <v>2.7777777777777776E-2</v>
      </c>
      <c r="AA1290" s="81" t="s">
        <v>67</v>
      </c>
      <c r="AB1290" s="81">
        <v>1.3888888888888888E-2</v>
      </c>
      <c r="AC1290" s="81" t="s">
        <v>67</v>
      </c>
      <c r="AD1290" s="81"/>
      <c r="AE1290" s="81"/>
      <c r="AF1290" s="81"/>
      <c r="AG1290" s="81"/>
      <c r="AH1290" s="82"/>
      <c r="AI1290" s="81"/>
      <c r="AJ1290" s="81"/>
      <c r="AK1290" s="81"/>
      <c r="AL1290" s="81"/>
      <c r="AM1290" s="81"/>
      <c r="AN1290" s="81"/>
      <c r="AO1290" s="81"/>
      <c r="AP1290" s="81" t="s">
        <v>122</v>
      </c>
      <c r="AQ1290" s="81">
        <v>4.1666666666666664E-2</v>
      </c>
      <c r="AR1290" s="81" t="s">
        <v>37</v>
      </c>
      <c r="AS1290" s="81">
        <v>4.1666666666666664E-2</v>
      </c>
      <c r="AT1290" s="81" t="s">
        <v>37</v>
      </c>
      <c r="AU1290" s="53">
        <v>4.1666666666666699E-2</v>
      </c>
      <c r="AV1290" s="54" t="s">
        <v>37</v>
      </c>
      <c r="AW1290" s="57">
        <f t="shared" si="174"/>
        <v>0.16666666666666669</v>
      </c>
      <c r="AX1290" s="58" t="s">
        <v>77</v>
      </c>
    </row>
    <row r="1291" spans="1:50" ht="28.5" customHeight="1">
      <c r="A1291" s="66" t="s">
        <v>1111</v>
      </c>
      <c r="B1291" s="39">
        <f t="shared" si="180"/>
        <v>1287</v>
      </c>
      <c r="C1291" s="40">
        <v>46050</v>
      </c>
      <c r="D1291" s="40" t="s">
        <v>32</v>
      </c>
      <c r="E1291" s="40" t="s">
        <v>81</v>
      </c>
      <c r="F1291" s="41">
        <v>548.4</v>
      </c>
      <c r="G1291" s="42" t="s">
        <v>75</v>
      </c>
      <c r="H1291" s="43" t="str">
        <f>IFERROR(VLOOKUP($J1291,'[9]FROM (3)'!$E$4:$F$230,2,FALSE),"")</f>
        <v>JTCS</v>
      </c>
      <c r="I1291" s="44" t="str">
        <f t="shared" si="179"/>
        <v>RACK BAR</v>
      </c>
      <c r="J1291" s="44" t="str">
        <f t="shared" si="176"/>
        <v>JGC10S002020-B</v>
      </c>
      <c r="K1291" s="59" t="str">
        <f t="shared" si="178"/>
        <v>PD26011280</v>
      </c>
      <c r="L1291" s="46" t="str" cm="1">
        <f t="array" ref="L1291">IFERROR(_xlfn.IFS(
    LEN($A1291)-LEN(SUBSTITUTE($A1291,"|",""))=12, RIGHT(A1291, LEN(A1291)-FIND("~", SUBSTITUTE(A1291,"|","~", LEN(A1291)-LEN(SUBSTITUTE(A1291,"|",""))))),
    LEN($A1291)-LEN(SUBSTITUTE($A1291,"|",""))=13, MID($A1291, FIND("~", SUBSTITUTE($A1291,"|","~", 11))+1, FIND("~", SUBSTITUTE($A1291,"|","~", 12))-FIND("~", SUBSTITUTE($A1291,"|","~", 11))-1),
    LEN($A1291)-LEN(SUBSTITUTE($A1291,"|",""))=14, MID($A1291, FIND("~", SUBSTITUTE($A1291,"|","~", 11))+1, FIND("~", SUBSTITUTE($A1291,"|","~", 12))-FIND("~", SUBSTITUTE($A1291,"|","~", 11))-1)
), "")</f>
        <v>E586664</v>
      </c>
      <c r="M1291" s="72" t="str">
        <f t="shared" si="177"/>
        <v>SB010162/1/26</v>
      </c>
      <c r="N1291" s="46" t="str">
        <f t="shared" si="175"/>
        <v/>
      </c>
      <c r="O1291" s="76">
        <v>60</v>
      </c>
      <c r="P1291" s="76">
        <v>872</v>
      </c>
      <c r="Q1291" s="77">
        <v>360</v>
      </c>
      <c r="R1291" s="77">
        <v>823</v>
      </c>
      <c r="S1291" s="77"/>
      <c r="T1291" s="77"/>
      <c r="U1291" s="83"/>
      <c r="V1291" s="83"/>
      <c r="W1291" s="78"/>
      <c r="X1291" s="51" t="str">
        <f>IF(A1291="", "", IF(COUNTIFS(C$3:C1290, C1291, D$3:D1290, D1291, G$3:G1290, G1291) &gt; 0, "", "11:00"-AW1291))</f>
        <v/>
      </c>
      <c r="Y1291" s="79"/>
      <c r="Z1291" s="80"/>
      <c r="AA1291" s="81"/>
      <c r="AB1291" s="81"/>
      <c r="AC1291" s="81"/>
      <c r="AD1291" s="81"/>
      <c r="AE1291" s="81"/>
      <c r="AF1291" s="81"/>
      <c r="AG1291" s="81"/>
      <c r="AH1291" s="82"/>
      <c r="AI1291" s="81"/>
      <c r="AJ1291" s="81"/>
      <c r="AK1291" s="81"/>
      <c r="AL1291" s="81"/>
      <c r="AM1291" s="81"/>
      <c r="AN1291" s="81"/>
      <c r="AO1291" s="81"/>
      <c r="AP1291" s="81"/>
      <c r="AQ1291" s="81"/>
      <c r="AR1291" s="81"/>
      <c r="AS1291" s="81"/>
      <c r="AT1291" s="81"/>
      <c r="AU1291" s="53">
        <v>4.1666666666666699E-2</v>
      </c>
      <c r="AV1291" s="54" t="s">
        <v>37</v>
      </c>
      <c r="AW1291" s="57">
        <f t="shared" si="174"/>
        <v>4.1666666666666699E-2</v>
      </c>
      <c r="AX1291" s="58" t="s">
        <v>77</v>
      </c>
    </row>
    <row r="1292" spans="1:50" ht="28.5" customHeight="1">
      <c r="A1292" s="66" t="s">
        <v>1112</v>
      </c>
      <c r="B1292" s="39">
        <f t="shared" si="180"/>
        <v>1288</v>
      </c>
      <c r="C1292" s="40">
        <v>46050</v>
      </c>
      <c r="D1292" s="40" t="s">
        <v>32</v>
      </c>
      <c r="E1292" s="40" t="s">
        <v>81</v>
      </c>
      <c r="F1292" s="41">
        <v>548.4</v>
      </c>
      <c r="G1292" s="42" t="s">
        <v>75</v>
      </c>
      <c r="H1292" s="43" t="str">
        <f>IFERROR(VLOOKUP($J1292,'[9]FROM (3)'!$E$4:$F$230,2,FALSE),"")</f>
        <v>JTCS</v>
      </c>
      <c r="I1292" s="44" t="str">
        <f t="shared" si="179"/>
        <v>RACK BAR</v>
      </c>
      <c r="J1292" s="44" t="str">
        <f t="shared" si="176"/>
        <v>JGC10S002020-B</v>
      </c>
      <c r="K1292" s="59" t="str">
        <f t="shared" si="178"/>
        <v>PD26011280</v>
      </c>
      <c r="L1292" s="46" t="str" cm="1">
        <f t="array" ref="L1292">IFERROR(_xlfn.IFS(
    LEN($A1292)-LEN(SUBSTITUTE($A1292,"|",""))=12, RIGHT(A1292, LEN(A1292)-FIND("~", SUBSTITUTE(A1292,"|","~", LEN(A1292)-LEN(SUBSTITUTE(A1292,"|",""))))),
    LEN($A1292)-LEN(SUBSTITUTE($A1292,"|",""))=13, MID($A1292, FIND("~", SUBSTITUTE($A1292,"|","~", 11))+1, FIND("~", SUBSTITUTE($A1292,"|","~", 12))-FIND("~", SUBSTITUTE($A1292,"|","~", 11))-1),
    LEN($A1292)-LEN(SUBSTITUTE($A1292,"|",""))=14, MID($A1292, FIND("~", SUBSTITUTE($A1292,"|","~", 11))+1, FIND("~", SUBSTITUTE($A1292,"|","~", 12))-FIND("~", SUBSTITUTE($A1292,"|","~", 11))-1)
), "")</f>
        <v>E586664</v>
      </c>
      <c r="M1292" s="72" t="str">
        <f t="shared" si="177"/>
        <v>SB010162/2/26</v>
      </c>
      <c r="N1292" s="46" t="str">
        <f t="shared" si="175"/>
        <v/>
      </c>
      <c r="O1292" s="76">
        <v>60</v>
      </c>
      <c r="P1292" s="76">
        <v>872</v>
      </c>
      <c r="Q1292" s="77">
        <v>360</v>
      </c>
      <c r="R1292" s="77">
        <v>823</v>
      </c>
      <c r="S1292" s="77"/>
      <c r="T1292" s="77"/>
      <c r="U1292" s="83">
        <v>86</v>
      </c>
      <c r="V1292" s="83">
        <v>7</v>
      </c>
      <c r="W1292" s="78"/>
      <c r="X1292" s="51" t="str">
        <f>IF(A1292="", "", IF(COUNTIFS(C$3:C1291, C1292, D$3:D1291, D1292, G$3:G1291, G1292) &gt; 0, "", "11:00"-AW1292))</f>
        <v/>
      </c>
      <c r="Y1292" s="79"/>
      <c r="Z1292" s="80"/>
      <c r="AA1292" s="81"/>
      <c r="AB1292" s="81"/>
      <c r="AC1292" s="81"/>
      <c r="AD1292" s="81"/>
      <c r="AE1292" s="81"/>
      <c r="AF1292" s="81"/>
      <c r="AG1292" s="81"/>
      <c r="AH1292" s="82"/>
      <c r="AI1292" s="81"/>
      <c r="AJ1292" s="81"/>
      <c r="AK1292" s="81"/>
      <c r="AL1292" s="81"/>
      <c r="AM1292" s="81"/>
      <c r="AN1292" s="81"/>
      <c r="AO1292" s="81"/>
      <c r="AP1292" s="81"/>
      <c r="AQ1292" s="81"/>
      <c r="AR1292" s="81"/>
      <c r="AS1292" s="81"/>
      <c r="AT1292" s="81"/>
      <c r="AU1292" s="53">
        <v>4.1666666666666699E-2</v>
      </c>
      <c r="AV1292" s="54" t="s">
        <v>37</v>
      </c>
      <c r="AW1292" s="57">
        <f t="shared" si="174"/>
        <v>4.1666666666666699E-2</v>
      </c>
      <c r="AX1292" s="58" t="s">
        <v>77</v>
      </c>
    </row>
    <row r="1293" spans="1:50" ht="28.5" customHeight="1">
      <c r="A1293" s="66" t="s">
        <v>1113</v>
      </c>
      <c r="B1293" s="39">
        <f t="shared" si="180"/>
        <v>1289</v>
      </c>
      <c r="C1293" s="40">
        <v>46050</v>
      </c>
      <c r="D1293" s="40" t="s">
        <v>32</v>
      </c>
      <c r="E1293" s="40" t="s">
        <v>81</v>
      </c>
      <c r="F1293" s="41">
        <v>548.4</v>
      </c>
      <c r="G1293" s="42" t="s">
        <v>75</v>
      </c>
      <c r="H1293" s="43" t="str">
        <f>IFERROR(VLOOKUP($J1293,'[9]FROM (3)'!$E$4:$F$230,2,FALSE),"")</f>
        <v>JTCS</v>
      </c>
      <c r="I1293" s="44" t="str">
        <f t="shared" si="179"/>
        <v>RACK BAR</v>
      </c>
      <c r="J1293" s="44" t="str">
        <f t="shared" si="176"/>
        <v>JGC10S002020-B</v>
      </c>
      <c r="K1293" s="59" t="str">
        <f t="shared" si="178"/>
        <v>PD26011281</v>
      </c>
      <c r="L1293" s="46" t="str" cm="1">
        <f t="array" ref="L1293">IFERROR(_xlfn.IFS(
    LEN($A1293)-LEN(SUBSTITUTE($A1293,"|",""))=12, RIGHT(A1293, LEN(A1293)-FIND("~", SUBSTITUTE(A1293,"|","~", LEN(A1293)-LEN(SUBSTITUTE(A1293,"|",""))))),
    LEN($A1293)-LEN(SUBSTITUTE($A1293,"|",""))=13, MID($A1293, FIND("~", SUBSTITUTE($A1293,"|","~", 11))+1, FIND("~", SUBSTITUTE($A1293,"|","~", 12))-FIND("~", SUBSTITUTE($A1293,"|","~", 11))-1),
    LEN($A1293)-LEN(SUBSTITUTE($A1293,"|",""))=14, MID($A1293, FIND("~", SUBSTITUTE($A1293,"|","~", 11))+1, FIND("~", SUBSTITUTE($A1293,"|","~", 12))-FIND("~", SUBSTITUTE($A1293,"|","~", 11))-1)
), "")</f>
        <v>E586664</v>
      </c>
      <c r="M1293" s="72" t="str">
        <f t="shared" si="177"/>
        <v>SB010162/4/26</v>
      </c>
      <c r="N1293" s="46" t="str">
        <f t="shared" si="175"/>
        <v/>
      </c>
      <c r="O1293" s="76">
        <v>47</v>
      </c>
      <c r="P1293" s="76">
        <v>684</v>
      </c>
      <c r="Q1293" s="77">
        <v>68</v>
      </c>
      <c r="R1293" s="77">
        <v>155</v>
      </c>
      <c r="S1293" s="77">
        <v>1</v>
      </c>
      <c r="T1293" s="77" t="s">
        <v>167</v>
      </c>
      <c r="U1293" s="83"/>
      <c r="V1293" s="83"/>
      <c r="W1293" s="78"/>
      <c r="X1293" s="51" t="str">
        <f>IF(A1293="", "", IF(COUNTIFS(C$3:C1292, C1293, D$3:D1292, D1293, G$3:G1292, G1293) &gt; 0, "", "11:00"-AW1293))</f>
        <v/>
      </c>
      <c r="Y1293" s="79"/>
      <c r="Z1293" s="80"/>
      <c r="AA1293" s="81"/>
      <c r="AB1293" s="81"/>
      <c r="AC1293" s="81"/>
      <c r="AD1293" s="81"/>
      <c r="AE1293" s="81"/>
      <c r="AF1293" s="81"/>
      <c r="AG1293" s="81"/>
      <c r="AH1293" s="82"/>
      <c r="AI1293" s="81"/>
      <c r="AJ1293" s="81"/>
      <c r="AK1293" s="81"/>
      <c r="AL1293" s="81"/>
      <c r="AM1293" s="81"/>
      <c r="AN1293" s="81"/>
      <c r="AO1293" s="81"/>
      <c r="AP1293" s="81"/>
      <c r="AQ1293" s="81"/>
      <c r="AR1293" s="81"/>
      <c r="AS1293" s="81"/>
      <c r="AT1293" s="81"/>
      <c r="AU1293" s="53">
        <v>4.1666666666666699E-2</v>
      </c>
      <c r="AV1293" s="54" t="s">
        <v>37</v>
      </c>
      <c r="AW1293" s="57">
        <f t="shared" si="174"/>
        <v>4.1666666666666699E-2</v>
      </c>
      <c r="AX1293" s="58" t="s">
        <v>77</v>
      </c>
    </row>
    <row r="1294" spans="1:50" ht="28.5" customHeight="1">
      <c r="A1294" s="66" t="s">
        <v>1095</v>
      </c>
      <c r="B1294" s="39">
        <f t="shared" si="180"/>
        <v>1290</v>
      </c>
      <c r="C1294" s="40">
        <v>46050</v>
      </c>
      <c r="D1294" s="40" t="s">
        <v>32</v>
      </c>
      <c r="E1294" s="40" t="s">
        <v>81</v>
      </c>
      <c r="F1294" s="41">
        <v>92.5</v>
      </c>
      <c r="G1294" s="42" t="s">
        <v>135</v>
      </c>
      <c r="H1294" s="43" t="str">
        <f>IFERROR(VLOOKUP($J1294,'[9]FROM (3)'!$E$4:$F$230,2,FALSE),"")</f>
        <v>DNTH</v>
      </c>
      <c r="I1294" s="44" t="str">
        <f t="shared" si="179"/>
        <v>Pole Core</v>
      </c>
      <c r="J1294" s="44" t="str">
        <f t="shared" si="176"/>
        <v>TG028152-5190</v>
      </c>
      <c r="K1294" s="59" t="str">
        <f t="shared" si="178"/>
        <v>PD26011213</v>
      </c>
      <c r="L1294" s="46" t="str" cm="1">
        <f t="array" ref="L1294">IFERROR(_xlfn.IFS(
    LEN($A1294)-LEN(SUBSTITUTE($A1294,"|",""))=12, RIGHT(A1294, LEN(A1294)-FIND("~", SUBSTITUTE(A1294,"|","~", LEN(A1294)-LEN(SUBSTITUTE(A1294,"|",""))))),
    LEN($A1294)-LEN(SUBSTITUTE($A1294,"|",""))=13, MID($A1294, FIND("~", SUBSTITUTE($A1294,"|","~", 11))+1, FIND("~", SUBSTITUTE($A1294,"|","~", 12))-FIND("~", SUBSTITUTE($A1294,"|","~", 11))-1),
    LEN($A1294)-LEN(SUBSTITUTE($A1294,"|",""))=14, MID($A1294, FIND("~", SUBSTITUTE($A1294,"|","~", 11))+1, FIND("~", SUBSTITUTE($A1294,"|","~", 12))-FIND("~", SUBSTITUTE($A1294,"|","~", 11))-1)
), "")</f>
        <v>KS005C9016</v>
      </c>
      <c r="M1294" s="72" t="str">
        <f t="shared" si="177"/>
        <v>SB010173/3/26</v>
      </c>
      <c r="N1294" s="46" t="str">
        <f t="shared" si="175"/>
        <v/>
      </c>
      <c r="O1294" s="76">
        <v>0</v>
      </c>
      <c r="P1294" s="76">
        <v>0</v>
      </c>
      <c r="Q1294" s="77">
        <v>7127</v>
      </c>
      <c r="R1294" s="77">
        <v>659</v>
      </c>
      <c r="S1294" s="77"/>
      <c r="T1294" s="77"/>
      <c r="U1294" s="83"/>
      <c r="V1294" s="83"/>
      <c r="W1294" s="78"/>
      <c r="X1294" s="51">
        <f>IF(A1294="", "", IF(COUNTIFS(C$3:C1293, C1294, D$3:D1293, D1294, G$3:G1293, G1294) &gt; 0, "", "11:00"-AW1294))</f>
        <v>0.33333333333333326</v>
      </c>
      <c r="Y1294" s="79"/>
      <c r="Z1294" s="80"/>
      <c r="AA1294" s="81"/>
      <c r="AB1294" s="81"/>
      <c r="AC1294" s="81"/>
      <c r="AD1294" s="81"/>
      <c r="AE1294" s="81"/>
      <c r="AF1294" s="81"/>
      <c r="AG1294" s="81"/>
      <c r="AH1294" s="82"/>
      <c r="AI1294" s="81"/>
      <c r="AJ1294" s="81"/>
      <c r="AK1294" s="81"/>
      <c r="AL1294" s="81"/>
      <c r="AM1294" s="81"/>
      <c r="AN1294" s="81"/>
      <c r="AO1294" s="81"/>
      <c r="AP1294" s="81"/>
      <c r="AQ1294" s="81">
        <v>4.1666666666666664E-2</v>
      </c>
      <c r="AR1294" s="81" t="s">
        <v>37</v>
      </c>
      <c r="AS1294" s="81">
        <v>4.1666666666666664E-2</v>
      </c>
      <c r="AT1294" s="81" t="s">
        <v>37</v>
      </c>
      <c r="AU1294" s="53">
        <v>4.1666666666666699E-2</v>
      </c>
      <c r="AV1294" s="54" t="s">
        <v>37</v>
      </c>
      <c r="AW1294" s="57">
        <f t="shared" si="174"/>
        <v>0.12500000000000003</v>
      </c>
      <c r="AX1294" s="58" t="s">
        <v>64</v>
      </c>
    </row>
    <row r="1295" spans="1:50" ht="28.5" customHeight="1">
      <c r="A1295" s="66" t="s">
        <v>1114</v>
      </c>
      <c r="B1295" s="39">
        <f t="shared" si="180"/>
        <v>1291</v>
      </c>
      <c r="C1295" s="40">
        <v>46050</v>
      </c>
      <c r="D1295" s="40" t="s">
        <v>32</v>
      </c>
      <c r="E1295" s="40" t="s">
        <v>81</v>
      </c>
      <c r="F1295" s="41">
        <v>92.5</v>
      </c>
      <c r="G1295" s="42" t="s">
        <v>135</v>
      </c>
      <c r="H1295" s="43" t="str">
        <f>IFERROR(VLOOKUP($J1295,'[9]FROM (3)'!$E$4:$F$230,2,FALSE),"")</f>
        <v>DNTH</v>
      </c>
      <c r="I1295" s="44" t="str">
        <f t="shared" si="179"/>
        <v>Pole Core</v>
      </c>
      <c r="J1295" s="44" t="str">
        <f t="shared" si="176"/>
        <v>TG028152-5190</v>
      </c>
      <c r="K1295" s="59" t="str">
        <f t="shared" si="178"/>
        <v>PD26011213</v>
      </c>
      <c r="L1295" s="46" t="str" cm="1">
        <f t="array" ref="L1295">IFERROR(_xlfn.IFS(
    LEN($A1295)-LEN(SUBSTITUTE($A1295,"|",""))=12, RIGHT(A1295, LEN(A1295)-FIND("~", SUBSTITUTE(A1295,"|","~", LEN(A1295)-LEN(SUBSTITUTE(A1295,"|",""))))),
    LEN($A1295)-LEN(SUBSTITUTE($A1295,"|",""))=13, MID($A1295, FIND("~", SUBSTITUTE($A1295,"|","~", 11))+1, FIND("~", SUBSTITUTE($A1295,"|","~", 12))-FIND("~", SUBSTITUTE($A1295,"|","~", 11))-1),
    LEN($A1295)-LEN(SUBSTITUTE($A1295,"|",""))=14, MID($A1295, FIND("~", SUBSTITUTE($A1295,"|","~", 11))+1, FIND("~", SUBSTITUTE($A1295,"|","~", 12))-FIND("~", SUBSTITUTE($A1295,"|","~", 11))-1)
), "")</f>
        <v>KS005C9016</v>
      </c>
      <c r="M1295" s="72" t="str">
        <f t="shared" si="177"/>
        <v>SB010173/4/26</v>
      </c>
      <c r="N1295" s="46" t="str">
        <f t="shared" si="175"/>
        <v/>
      </c>
      <c r="O1295" s="76">
        <v>111</v>
      </c>
      <c r="P1295" s="76">
        <v>996</v>
      </c>
      <c r="Q1295" s="77">
        <v>6673</v>
      </c>
      <c r="R1295" s="77">
        <v>617</v>
      </c>
      <c r="S1295" s="77"/>
      <c r="T1295" s="77"/>
      <c r="U1295" s="83"/>
      <c r="V1295" s="83"/>
      <c r="W1295" s="78"/>
      <c r="X1295" s="51" t="str">
        <f>IF(A1295="", "", IF(COUNTIFS(C$3:C1294, C1295, D$3:D1294, D1295, G$3:G1294, G1295) &gt; 0, "", "11:00"-AW1295))</f>
        <v/>
      </c>
      <c r="Y1295" s="79"/>
      <c r="Z1295" s="80"/>
      <c r="AA1295" s="81"/>
      <c r="AB1295" s="81"/>
      <c r="AC1295" s="81"/>
      <c r="AD1295" s="81"/>
      <c r="AE1295" s="81"/>
      <c r="AF1295" s="81"/>
      <c r="AG1295" s="81"/>
      <c r="AH1295" s="82"/>
      <c r="AI1295" s="81"/>
      <c r="AJ1295" s="81"/>
      <c r="AK1295" s="81"/>
      <c r="AL1295" s="81"/>
      <c r="AM1295" s="81"/>
      <c r="AN1295" s="81"/>
      <c r="AO1295" s="81"/>
      <c r="AP1295" s="81"/>
      <c r="AQ1295" s="81"/>
      <c r="AR1295" s="81"/>
      <c r="AS1295" s="81"/>
      <c r="AT1295" s="81"/>
      <c r="AU1295" s="53">
        <v>4.1666666666666699E-2</v>
      </c>
      <c r="AV1295" s="54" t="s">
        <v>37</v>
      </c>
      <c r="AW1295" s="57">
        <f t="shared" si="174"/>
        <v>4.1666666666666699E-2</v>
      </c>
      <c r="AX1295" s="58" t="s">
        <v>64</v>
      </c>
    </row>
    <row r="1296" spans="1:50" ht="28.5" customHeight="1">
      <c r="A1296" s="66" t="s">
        <v>1078</v>
      </c>
      <c r="B1296" s="39">
        <f t="shared" si="180"/>
        <v>1292</v>
      </c>
      <c r="C1296" s="40">
        <v>46050</v>
      </c>
      <c r="D1296" s="40" t="s">
        <v>32</v>
      </c>
      <c r="E1296" s="40" t="s">
        <v>81</v>
      </c>
      <c r="F1296" s="41">
        <v>698.5</v>
      </c>
      <c r="G1296" s="42" t="s">
        <v>54</v>
      </c>
      <c r="H1296" s="43" t="str">
        <f>IFERROR(VLOOKUP($J1296,'[9]FROM (3)'!$E$4:$F$230,2,FALSE),"")</f>
        <v>JCTTH</v>
      </c>
      <c r="I1296" s="44" t="str">
        <f t="shared" si="179"/>
        <v>RACK BAR</v>
      </c>
      <c r="J1296" s="44" t="str">
        <f t="shared" si="176"/>
        <v>JGD10-000751/000761-A</v>
      </c>
      <c r="K1296" s="59" t="str">
        <f t="shared" si="178"/>
        <v>PD26011006</v>
      </c>
      <c r="L1296" s="46" t="str" cm="1">
        <f t="array" ref="L1296">IFERROR(_xlfn.IFS(
    LEN($A1296)-LEN(SUBSTITUTE($A1296,"|",""))=12, RIGHT(A1296, LEN(A1296)-FIND("~", SUBSTITUTE(A1296,"|","~", LEN(A1296)-LEN(SUBSTITUTE(A1296,"|",""))))),
    LEN($A1296)-LEN(SUBSTITUTE($A1296,"|",""))=13, MID($A1296, FIND("~", SUBSTITUTE($A1296,"|","~", 11))+1, FIND("~", SUBSTITUTE($A1296,"|","~", 12))-FIND("~", SUBSTITUTE($A1296,"|","~", 11))-1),
    LEN($A1296)-LEN(SUBSTITUTE($A1296,"|",""))=14, MID($A1296, FIND("~", SUBSTITUTE($A1296,"|","~", 11))+1, FIND("~", SUBSTITUTE($A1296,"|","~", 12))-FIND("~", SUBSTITUTE($A1296,"|","~", 11))-1)
), "")</f>
        <v>665077</v>
      </c>
      <c r="M1296" s="72" t="str">
        <f t="shared" si="177"/>
        <v>SB010131/3/26</v>
      </c>
      <c r="N1296" s="46" t="str">
        <f t="shared" si="175"/>
        <v/>
      </c>
      <c r="O1296" s="76"/>
      <c r="P1296" s="76"/>
      <c r="Q1296" s="77">
        <v>195</v>
      </c>
      <c r="R1296" s="77">
        <v>873</v>
      </c>
      <c r="S1296" s="77"/>
      <c r="T1296" s="77"/>
      <c r="U1296" s="83">
        <v>130</v>
      </c>
      <c r="V1296" s="83">
        <v>7</v>
      </c>
      <c r="W1296" s="78"/>
      <c r="X1296" s="51">
        <f>IF(A1296="", "", IF(COUNTIFS(C$3:C1295, C1296, D$3:D1295, D1296, G$3:G1295, G1296) &gt; 0, "", "11:00"-AW1296))</f>
        <v>0.33333333333333326</v>
      </c>
      <c r="Y1296" s="79"/>
      <c r="Z1296" s="80"/>
      <c r="AA1296" s="81"/>
      <c r="AB1296" s="81"/>
      <c r="AC1296" s="81" t="s">
        <v>122</v>
      </c>
      <c r="AD1296" s="81"/>
      <c r="AE1296" s="81"/>
      <c r="AF1296" s="81"/>
      <c r="AG1296" s="81"/>
      <c r="AH1296" s="82"/>
      <c r="AI1296" s="81"/>
      <c r="AJ1296" s="81"/>
      <c r="AK1296" s="81"/>
      <c r="AL1296" s="81" t="s">
        <v>122</v>
      </c>
      <c r="AM1296" s="81"/>
      <c r="AN1296" s="81"/>
      <c r="AO1296" s="81"/>
      <c r="AP1296" s="81"/>
      <c r="AQ1296" s="81">
        <v>4.1666666666666664E-2</v>
      </c>
      <c r="AR1296" s="81" t="s">
        <v>37</v>
      </c>
      <c r="AS1296" s="81">
        <v>4.1666666666666664E-2</v>
      </c>
      <c r="AT1296" s="81" t="s">
        <v>37</v>
      </c>
      <c r="AU1296" s="53">
        <v>4.1666666666666699E-2</v>
      </c>
      <c r="AV1296" s="54" t="s">
        <v>37</v>
      </c>
      <c r="AW1296" s="57">
        <f t="shared" si="174"/>
        <v>0.12500000000000003</v>
      </c>
      <c r="AX1296" s="58" t="s">
        <v>56</v>
      </c>
    </row>
    <row r="1297" spans="1:50" ht="28.5" customHeight="1">
      <c r="A1297" s="66" t="s">
        <v>1115</v>
      </c>
      <c r="B1297" s="39">
        <f t="shared" si="180"/>
        <v>1293</v>
      </c>
      <c r="C1297" s="40">
        <v>46050</v>
      </c>
      <c r="D1297" s="40" t="s">
        <v>32</v>
      </c>
      <c r="E1297" s="40" t="s">
        <v>81</v>
      </c>
      <c r="F1297" s="41">
        <v>698.5</v>
      </c>
      <c r="G1297" s="42" t="s">
        <v>54</v>
      </c>
      <c r="H1297" s="43" t="str">
        <f>IFERROR(VLOOKUP($J1297,'[9]FROM (3)'!$E$4:$F$230,2,FALSE),"")</f>
        <v>JCTTH</v>
      </c>
      <c r="I1297" s="44" t="str">
        <f t="shared" si="179"/>
        <v>RACK BAR</v>
      </c>
      <c r="J1297" s="44" t="str">
        <f t="shared" si="176"/>
        <v>JGD10-000751/000761-A</v>
      </c>
      <c r="K1297" s="59" t="str">
        <f t="shared" si="178"/>
        <v>PD26011008</v>
      </c>
      <c r="L1297" s="46" t="str" cm="1">
        <f t="array" ref="L1297">IFERROR(_xlfn.IFS(
    LEN($A1297)-LEN(SUBSTITUTE($A1297,"|",""))=12, RIGHT(A1297, LEN(A1297)-FIND("~", SUBSTITUTE(A1297,"|","~", LEN(A1297)-LEN(SUBSTITUTE(A1297,"|",""))))),
    LEN($A1297)-LEN(SUBSTITUTE($A1297,"|",""))=13, MID($A1297, FIND("~", SUBSTITUTE($A1297,"|","~", 11))+1, FIND("~", SUBSTITUTE($A1297,"|","~", 12))-FIND("~", SUBSTITUTE($A1297,"|","~", 11))-1),
    LEN($A1297)-LEN(SUBSTITUTE($A1297,"|",""))=14, MID($A1297, FIND("~", SUBSTITUTE($A1297,"|","~", 11))+1, FIND("~", SUBSTITUTE($A1297,"|","~", 12))-FIND("~", SUBSTITUTE($A1297,"|","~", 11))-1)
), "")</f>
        <v>665484</v>
      </c>
      <c r="M1297" s="72" t="str">
        <f t="shared" si="177"/>
        <v>SB010133/3/26</v>
      </c>
      <c r="N1297" s="46" t="str">
        <f t="shared" si="175"/>
        <v/>
      </c>
      <c r="O1297" s="76">
        <v>51</v>
      </c>
      <c r="P1297" s="76">
        <v>988</v>
      </c>
      <c r="Q1297" s="77">
        <v>204</v>
      </c>
      <c r="R1297" s="77">
        <v>913</v>
      </c>
      <c r="S1297" s="77"/>
      <c r="T1297" s="77"/>
      <c r="U1297" s="83"/>
      <c r="V1297" s="83"/>
      <c r="W1297" s="78"/>
      <c r="X1297" s="51" t="str">
        <f>IF(A1297="", "", IF(COUNTIFS(C$3:C1296, C1297, D$3:D1296, D1297, G$3:G1296, G1297) &gt; 0, "", "11:00"-AW1297))</f>
        <v/>
      </c>
      <c r="Y1297" s="79"/>
      <c r="Z1297" s="80"/>
      <c r="AA1297" s="81"/>
      <c r="AB1297" s="81"/>
      <c r="AC1297" s="81"/>
      <c r="AD1297" s="81"/>
      <c r="AE1297" s="81"/>
      <c r="AF1297" s="81"/>
      <c r="AG1297" s="81"/>
      <c r="AH1297" s="82"/>
      <c r="AI1297" s="81"/>
      <c r="AJ1297" s="81"/>
      <c r="AK1297" s="81"/>
      <c r="AL1297" s="81"/>
      <c r="AM1297" s="81"/>
      <c r="AN1297" s="81"/>
      <c r="AO1297" s="81"/>
      <c r="AP1297" s="81"/>
      <c r="AQ1297" s="81"/>
      <c r="AR1297" s="81"/>
      <c r="AS1297" s="81"/>
      <c r="AT1297" s="81"/>
      <c r="AU1297" s="53">
        <v>4.1666666666666699E-2</v>
      </c>
      <c r="AV1297" s="54" t="s">
        <v>37</v>
      </c>
      <c r="AW1297" s="57">
        <f t="shared" si="174"/>
        <v>4.1666666666666699E-2</v>
      </c>
      <c r="AX1297" s="58" t="s">
        <v>56</v>
      </c>
    </row>
    <row r="1298" spans="1:50" ht="28.5" customHeight="1">
      <c r="A1298" s="66" t="s">
        <v>1116</v>
      </c>
      <c r="B1298" s="39">
        <f t="shared" si="180"/>
        <v>1294</v>
      </c>
      <c r="C1298" s="40">
        <v>46050</v>
      </c>
      <c r="D1298" s="40" t="s">
        <v>32</v>
      </c>
      <c r="E1298" s="40" t="s">
        <v>81</v>
      </c>
      <c r="F1298" s="41">
        <v>698.5</v>
      </c>
      <c r="G1298" s="42" t="s">
        <v>54</v>
      </c>
      <c r="H1298" s="43" t="str">
        <f>IFERROR(VLOOKUP($J1298,'[9]FROM (3)'!$E$4:$F$230,2,FALSE),"")</f>
        <v>JCTTH</v>
      </c>
      <c r="I1298" s="44" t="str">
        <f t="shared" si="179"/>
        <v>RACK BAR</v>
      </c>
      <c r="J1298" s="44" t="str">
        <f t="shared" si="176"/>
        <v>JGD10-000751/000761-A</v>
      </c>
      <c r="K1298" s="59" t="str">
        <f t="shared" si="178"/>
        <v>PD26011008</v>
      </c>
      <c r="L1298" s="46" t="str" cm="1">
        <f t="array" ref="L1298">IFERROR(_xlfn.IFS(
    LEN($A1298)-LEN(SUBSTITUTE($A1298,"|",""))=12, RIGHT(A1298, LEN(A1298)-FIND("~", SUBSTITUTE(A1298,"|","~", LEN(A1298)-LEN(SUBSTITUTE(A1298,"|",""))))),
    LEN($A1298)-LEN(SUBSTITUTE($A1298,"|",""))=13, MID($A1298, FIND("~", SUBSTITUTE($A1298,"|","~", 11))+1, FIND("~", SUBSTITUTE($A1298,"|","~", 12))-FIND("~", SUBSTITUTE($A1298,"|","~", 11))-1),
    LEN($A1298)-LEN(SUBSTITUTE($A1298,"|",""))=14, MID($A1298, FIND("~", SUBSTITUTE($A1298,"|","~", 11))+1, FIND("~", SUBSTITUTE($A1298,"|","~", 12))-FIND("~", SUBSTITUTE($A1298,"|","~", 11))-1)
), "")</f>
        <v>665484</v>
      </c>
      <c r="M1298" s="72" t="str">
        <f t="shared" si="177"/>
        <v>SB010133/4/26</v>
      </c>
      <c r="N1298" s="46" t="str">
        <f t="shared" si="175"/>
        <v/>
      </c>
      <c r="O1298" s="76">
        <v>51</v>
      </c>
      <c r="P1298" s="76">
        <v>988</v>
      </c>
      <c r="Q1298" s="77">
        <v>204</v>
      </c>
      <c r="R1298" s="77">
        <v>913</v>
      </c>
      <c r="S1298" s="77"/>
      <c r="T1298" s="77"/>
      <c r="U1298" s="83">
        <v>130</v>
      </c>
      <c r="V1298" s="83">
        <v>7</v>
      </c>
      <c r="W1298" s="78"/>
      <c r="X1298" s="51" t="str">
        <f>IF(A1298="", "", IF(COUNTIFS(C$3:C1297, C1298, D$3:D1297, D1298, G$3:G1297, G1298) &gt; 0, "", "11:00"-AW1298))</f>
        <v/>
      </c>
      <c r="Y1298" s="79"/>
      <c r="Z1298" s="80"/>
      <c r="AA1298" s="81"/>
      <c r="AB1298" s="81"/>
      <c r="AC1298" s="81"/>
      <c r="AD1298" s="81"/>
      <c r="AE1298" s="81"/>
      <c r="AF1298" s="81"/>
      <c r="AG1298" s="81"/>
      <c r="AH1298" s="82"/>
      <c r="AI1298" s="81"/>
      <c r="AJ1298" s="81"/>
      <c r="AK1298" s="81"/>
      <c r="AL1298" s="81"/>
      <c r="AM1298" s="81"/>
      <c r="AN1298" s="81"/>
      <c r="AO1298" s="81"/>
      <c r="AP1298" s="81"/>
      <c r="AQ1298" s="81"/>
      <c r="AR1298" s="81"/>
      <c r="AS1298" s="81"/>
      <c r="AT1298" s="81"/>
      <c r="AU1298" s="53">
        <v>4.1666666666666699E-2</v>
      </c>
      <c r="AV1298" s="54" t="s">
        <v>37</v>
      </c>
      <c r="AW1298" s="57">
        <f t="shared" si="174"/>
        <v>4.1666666666666699E-2</v>
      </c>
      <c r="AX1298" s="58" t="s">
        <v>56</v>
      </c>
    </row>
    <row r="1299" spans="1:50" ht="28.5" customHeight="1">
      <c r="A1299" s="66" t="s">
        <v>1117</v>
      </c>
      <c r="B1299" s="39">
        <f t="shared" si="180"/>
        <v>1295</v>
      </c>
      <c r="C1299" s="40">
        <v>46050</v>
      </c>
      <c r="D1299" s="40" t="s">
        <v>32</v>
      </c>
      <c r="E1299" s="40" t="s">
        <v>81</v>
      </c>
      <c r="F1299" s="41">
        <v>698.5</v>
      </c>
      <c r="G1299" s="42" t="s">
        <v>54</v>
      </c>
      <c r="H1299" s="43" t="str">
        <f>IFERROR(VLOOKUP($J1299,'[9]FROM (3)'!$E$4:$F$230,2,FALSE),"")</f>
        <v>JCTTH</v>
      </c>
      <c r="I1299" s="44" t="str">
        <f t="shared" si="179"/>
        <v>RACK BAR</v>
      </c>
      <c r="J1299" s="44" t="str">
        <f t="shared" si="176"/>
        <v>JGD10-000751/000761-A</v>
      </c>
      <c r="K1299" s="59" t="str">
        <f t="shared" si="178"/>
        <v>PD26011005</v>
      </c>
      <c r="L1299" s="46" t="str" cm="1">
        <f t="array" ref="L1299">IFERROR(_xlfn.IFS(
    LEN($A1299)-LEN(SUBSTITUTE($A1299,"|",""))=12, RIGHT(A1299, LEN(A1299)-FIND("~", SUBSTITUTE(A1299,"|","~", LEN(A1299)-LEN(SUBSTITUTE(A1299,"|",""))))),
    LEN($A1299)-LEN(SUBSTITUTE($A1299,"|",""))=13, MID($A1299, FIND("~", SUBSTITUTE($A1299,"|","~", 11))+1, FIND("~", SUBSTITUTE($A1299,"|","~", 12))-FIND("~", SUBSTITUTE($A1299,"|","~", 11))-1),
    LEN($A1299)-LEN(SUBSTITUTE($A1299,"|",""))=14, MID($A1299, FIND("~", SUBSTITUTE($A1299,"|","~", 11))+1, FIND("~", SUBSTITUTE($A1299,"|","~", 12))-FIND("~", SUBSTITUTE($A1299,"|","~", 11))-1)
), "")</f>
        <v>665077</v>
      </c>
      <c r="M1299" s="72" t="str">
        <f t="shared" si="177"/>
        <v>SB010131/1/26</v>
      </c>
      <c r="N1299" s="46" t="str">
        <f t="shared" si="175"/>
        <v/>
      </c>
      <c r="O1299" s="76">
        <v>51</v>
      </c>
      <c r="P1299" s="76">
        <v>984</v>
      </c>
      <c r="Q1299" s="77">
        <v>204</v>
      </c>
      <c r="R1299" s="77">
        <v>913</v>
      </c>
      <c r="S1299" s="77"/>
      <c r="T1299" s="77"/>
      <c r="U1299" s="83"/>
      <c r="V1299" s="83"/>
      <c r="W1299" s="78"/>
      <c r="X1299" s="51" t="str">
        <f>IF(A1299="", "", IF(COUNTIFS(C$3:C1298, C1299, D$3:D1298, D1299, G$3:G1298, G1299) &gt; 0, "", "11:00"-AW1299))</f>
        <v/>
      </c>
      <c r="Y1299" s="79"/>
      <c r="Z1299" s="80"/>
      <c r="AA1299" s="81"/>
      <c r="AB1299" s="81"/>
      <c r="AC1299" s="81"/>
      <c r="AD1299" s="81"/>
      <c r="AE1299" s="81"/>
      <c r="AF1299" s="81"/>
      <c r="AG1299" s="81"/>
      <c r="AH1299" s="82"/>
      <c r="AI1299" s="81"/>
      <c r="AJ1299" s="81"/>
      <c r="AK1299" s="81"/>
      <c r="AL1299" s="81"/>
      <c r="AM1299" s="81"/>
      <c r="AN1299" s="81"/>
      <c r="AO1299" s="81"/>
      <c r="AP1299" s="81"/>
      <c r="AQ1299" s="81"/>
      <c r="AR1299" s="81"/>
      <c r="AS1299" s="81"/>
      <c r="AT1299" s="81"/>
      <c r="AU1299" s="53">
        <v>4.1666666666666699E-2</v>
      </c>
      <c r="AV1299" s="54" t="s">
        <v>37</v>
      </c>
      <c r="AW1299" s="57">
        <f t="shared" si="174"/>
        <v>4.1666666666666699E-2</v>
      </c>
      <c r="AX1299" s="58" t="s">
        <v>56</v>
      </c>
    </row>
    <row r="1300" spans="1:50" ht="28.5" customHeight="1">
      <c r="A1300" s="66" t="s">
        <v>1118</v>
      </c>
      <c r="B1300" s="39">
        <f t="shared" si="180"/>
        <v>1296</v>
      </c>
      <c r="C1300" s="40">
        <v>46050</v>
      </c>
      <c r="D1300" s="40" t="s">
        <v>32</v>
      </c>
      <c r="E1300" s="40" t="s">
        <v>81</v>
      </c>
      <c r="F1300" s="41">
        <v>698.5</v>
      </c>
      <c r="G1300" s="42" t="s">
        <v>54</v>
      </c>
      <c r="H1300" s="43" t="str">
        <f>IFERROR(VLOOKUP($J1300,'[9]FROM (3)'!$E$4:$F$230,2,FALSE),"")</f>
        <v>JCTTH</v>
      </c>
      <c r="I1300" s="44" t="str">
        <f t="shared" si="179"/>
        <v>RACK BAR</v>
      </c>
      <c r="J1300" s="44" t="str">
        <f t="shared" si="176"/>
        <v>JGD10-000751/000761-A</v>
      </c>
      <c r="K1300" s="59" t="str">
        <f t="shared" si="178"/>
        <v>PD26011005</v>
      </c>
      <c r="L1300" s="46" t="str" cm="1">
        <f t="array" ref="L1300">IFERROR(_xlfn.IFS(
    LEN($A1300)-LEN(SUBSTITUTE($A1300,"|",""))=12, RIGHT(A1300, LEN(A1300)-FIND("~", SUBSTITUTE(A1300,"|","~", LEN(A1300)-LEN(SUBSTITUTE(A1300,"|",""))))),
    LEN($A1300)-LEN(SUBSTITUTE($A1300,"|",""))=13, MID($A1300, FIND("~", SUBSTITUTE($A1300,"|","~", 11))+1, FIND("~", SUBSTITUTE($A1300,"|","~", 12))-FIND("~", SUBSTITUTE($A1300,"|","~", 11))-1),
    LEN($A1300)-LEN(SUBSTITUTE($A1300,"|",""))=14, MID($A1300, FIND("~", SUBSTITUTE($A1300,"|","~", 11))+1, FIND("~", SUBSTITUTE($A1300,"|","~", 12))-FIND("~", SUBSTITUTE($A1300,"|","~", 11))-1)
), "")</f>
        <v>665077</v>
      </c>
      <c r="M1300" s="72" t="str">
        <f t="shared" si="177"/>
        <v>SB010131/2/26</v>
      </c>
      <c r="N1300" s="46" t="str">
        <f t="shared" si="175"/>
        <v/>
      </c>
      <c r="O1300" s="76">
        <v>51</v>
      </c>
      <c r="P1300" s="76">
        <v>984</v>
      </c>
      <c r="Q1300" s="77">
        <v>71</v>
      </c>
      <c r="R1300" s="77">
        <v>318</v>
      </c>
      <c r="S1300" s="77"/>
      <c r="T1300" s="77"/>
      <c r="U1300" s="83"/>
      <c r="V1300" s="83"/>
      <c r="W1300" s="78"/>
      <c r="X1300" s="51" t="str">
        <f>IF(A1300="", "", IF(COUNTIFS(C$3:C1299, C1300, D$3:D1299, D1300, G$3:G1299, G1300) &gt; 0, "", "11:00"-AW1300))</f>
        <v/>
      </c>
      <c r="Y1300" s="79"/>
      <c r="Z1300" s="80"/>
      <c r="AA1300" s="81"/>
      <c r="AB1300" s="81"/>
      <c r="AC1300" s="81"/>
      <c r="AD1300" s="81"/>
      <c r="AE1300" s="81"/>
      <c r="AF1300" s="81"/>
      <c r="AG1300" s="81"/>
      <c r="AH1300" s="82"/>
      <c r="AI1300" s="81"/>
      <c r="AJ1300" s="81"/>
      <c r="AK1300" s="81"/>
      <c r="AL1300" s="81"/>
      <c r="AM1300" s="81"/>
      <c r="AN1300" s="81"/>
      <c r="AO1300" s="81"/>
      <c r="AP1300" s="81"/>
      <c r="AQ1300" s="81"/>
      <c r="AR1300" s="81"/>
      <c r="AS1300" s="81"/>
      <c r="AT1300" s="81"/>
      <c r="AU1300" s="53">
        <v>4.1666666666666699E-2</v>
      </c>
      <c r="AV1300" s="54" t="s">
        <v>37</v>
      </c>
      <c r="AW1300" s="57">
        <f t="shared" si="174"/>
        <v>4.1666666666666699E-2</v>
      </c>
      <c r="AX1300" s="58" t="s">
        <v>56</v>
      </c>
    </row>
    <row r="1301" spans="1:50" ht="28.5" customHeight="1">
      <c r="A1301" s="66" t="s">
        <v>1099</v>
      </c>
      <c r="B1301" s="39">
        <f t="shared" si="180"/>
        <v>1297</v>
      </c>
      <c r="C1301" s="40">
        <v>46051</v>
      </c>
      <c r="D1301" s="40" t="s">
        <v>80</v>
      </c>
      <c r="E1301" s="40" t="s">
        <v>33</v>
      </c>
      <c r="F1301" s="41" t="s">
        <v>404</v>
      </c>
      <c r="G1301" s="42" t="s">
        <v>44</v>
      </c>
      <c r="H1301" s="43" t="str">
        <f>IFERROR(VLOOKUP($J1301,'[9]FROM (3)'!$E$4:$F$230,2,FALSE),"")</f>
        <v>DNTH</v>
      </c>
      <c r="I1301" s="44" t="str">
        <f t="shared" si="179"/>
        <v>SLUG VALVE ROTARY</v>
      </c>
      <c r="J1301" s="44" t="str">
        <f t="shared" si="176"/>
        <v>TGY95613-0020</v>
      </c>
      <c r="K1301" s="59" t="str">
        <f t="shared" si="178"/>
        <v>PD26011086</v>
      </c>
      <c r="L1301" s="46" t="str" cm="1">
        <f t="array" ref="L1301">IFERROR(_xlfn.IFS(
    LEN($A1301)-LEN(SUBSTITUTE($A1301,"|",""))=12, RIGHT(A1301, LEN(A1301)-FIND("~", SUBSTITUTE(A1301,"|","~", LEN(A1301)-LEN(SUBSTITUTE(A1301,"|",""))))),
    LEN($A1301)-LEN(SUBSTITUTE($A1301,"|",""))=13, MID($A1301, FIND("~", SUBSTITUTE($A1301,"|","~", 11))+1, FIND("~", SUBSTITUTE($A1301,"|","~", 12))-FIND("~", SUBSTITUTE($A1301,"|","~", 11))-1),
    LEN($A1301)-LEN(SUBSTITUTE($A1301,"|",""))=14, MID($A1301, FIND("~", SUBSTITUTE($A1301,"|","~", 11))+1, FIND("~", SUBSTITUTE($A1301,"|","~", 12))-FIND("~", SUBSTITUTE($A1301,"|","~", 11))-1)
), "")</f>
        <v>E585734</v>
      </c>
      <c r="M1301" s="72" t="str">
        <f t="shared" si="177"/>
        <v>SB010149/3/26</v>
      </c>
      <c r="N1301" s="46" t="str">
        <f t="shared" si="175"/>
        <v/>
      </c>
      <c r="O1301" s="76"/>
      <c r="P1301" s="76"/>
      <c r="Q1301" s="77">
        <v>3358</v>
      </c>
      <c r="R1301" s="77">
        <v>666</v>
      </c>
      <c r="S1301" s="77"/>
      <c r="T1301" s="77"/>
      <c r="U1301" s="83"/>
      <c r="V1301" s="83"/>
      <c r="W1301" s="78"/>
      <c r="X1301" s="51">
        <f>IF(A1301="", "", IF(COUNTIFS(C$3:C1300, C1301, D$3:D1300, D1301, G$3:G1300, G1301) &gt; 0, "", "11:00"-AW1301))</f>
        <v>0.41666666666666663</v>
      </c>
      <c r="Y1301" s="79"/>
      <c r="Z1301" s="80"/>
      <c r="AA1301" s="81"/>
      <c r="AB1301" s="81"/>
      <c r="AC1301" s="81"/>
      <c r="AD1301" s="81"/>
      <c r="AE1301" s="81"/>
      <c r="AF1301" s="81"/>
      <c r="AG1301" s="81"/>
      <c r="AH1301" s="82"/>
      <c r="AI1301" s="81"/>
      <c r="AJ1301" s="81"/>
      <c r="AK1301" s="81"/>
      <c r="AL1301" s="81"/>
      <c r="AM1301" s="81"/>
      <c r="AN1301" s="81"/>
      <c r="AO1301" s="81"/>
      <c r="AP1301" s="81"/>
      <c r="AQ1301" s="81"/>
      <c r="AR1301" s="81"/>
      <c r="AS1301" s="81"/>
      <c r="AT1301" s="81"/>
      <c r="AU1301" s="53">
        <v>4.1666666666666699E-2</v>
      </c>
      <c r="AV1301" s="54" t="s">
        <v>37</v>
      </c>
      <c r="AW1301" s="57">
        <f t="shared" si="174"/>
        <v>4.1666666666666699E-2</v>
      </c>
      <c r="AX1301" s="58" t="s">
        <v>203</v>
      </c>
    </row>
    <row r="1302" spans="1:50" ht="28.5" customHeight="1">
      <c r="A1302" s="66" t="s">
        <v>1114</v>
      </c>
      <c r="B1302" s="39">
        <f t="shared" si="180"/>
        <v>1298</v>
      </c>
      <c r="C1302" s="40">
        <v>46051</v>
      </c>
      <c r="D1302" s="40" t="s">
        <v>80</v>
      </c>
      <c r="E1302" s="40" t="s">
        <v>33</v>
      </c>
      <c r="F1302" s="41">
        <v>92.5</v>
      </c>
      <c r="G1302" s="42" t="s">
        <v>135</v>
      </c>
      <c r="H1302" s="43" t="str">
        <f>IFERROR(VLOOKUP($J1302,'[9]FROM (3)'!$E$4:$F$230,2,FALSE),"")</f>
        <v>DNTH</v>
      </c>
      <c r="I1302" s="44" t="str">
        <f t="shared" si="179"/>
        <v>Pole Core</v>
      </c>
      <c r="J1302" s="44" t="str">
        <f t="shared" si="176"/>
        <v>TG028152-5190</v>
      </c>
      <c r="K1302" s="59" t="str">
        <f t="shared" si="178"/>
        <v>PD26011213</v>
      </c>
      <c r="L1302" s="46" t="str" cm="1">
        <f t="array" ref="L1302">IFERROR(_xlfn.IFS(
    LEN($A1302)-LEN(SUBSTITUTE($A1302,"|",""))=12, RIGHT(A1302, LEN(A1302)-FIND("~", SUBSTITUTE(A1302,"|","~", LEN(A1302)-LEN(SUBSTITUTE(A1302,"|",""))))),
    LEN($A1302)-LEN(SUBSTITUTE($A1302,"|",""))=13, MID($A1302, FIND("~", SUBSTITUTE($A1302,"|","~", 11))+1, FIND("~", SUBSTITUTE($A1302,"|","~", 12))-FIND("~", SUBSTITUTE($A1302,"|","~", 11))-1),
    LEN($A1302)-LEN(SUBSTITUTE($A1302,"|",""))=14, MID($A1302, FIND("~", SUBSTITUTE($A1302,"|","~", 11))+1, FIND("~", SUBSTITUTE($A1302,"|","~", 12))-FIND("~", SUBSTITUTE($A1302,"|","~", 11))-1)
), "")</f>
        <v>KS005C9016</v>
      </c>
      <c r="M1302" s="72" t="str">
        <f t="shared" si="177"/>
        <v>SB010173/4/26</v>
      </c>
      <c r="N1302" s="46" t="str">
        <f t="shared" si="175"/>
        <v/>
      </c>
      <c r="O1302" s="76"/>
      <c r="P1302" s="76"/>
      <c r="Q1302" s="77">
        <v>2876</v>
      </c>
      <c r="R1302" s="77">
        <v>266</v>
      </c>
      <c r="S1302" s="77"/>
      <c r="T1302" s="77"/>
      <c r="U1302" s="83"/>
      <c r="V1302" s="83"/>
      <c r="W1302" s="78"/>
      <c r="X1302" s="51">
        <f>IF(A1302="", "", IF(COUNTIFS(C$3:C1301, C1302, D$3:D1301, D1302, G$3:G1301, G1302) &gt; 0, "", "11:00"-AW1302))</f>
        <v>0.37499999999999994</v>
      </c>
      <c r="Y1302" s="79"/>
      <c r="Z1302" s="80"/>
      <c r="AA1302" s="81"/>
      <c r="AB1302" s="81"/>
      <c r="AC1302" s="81"/>
      <c r="AD1302" s="81">
        <v>4.1666666666666664E-2</v>
      </c>
      <c r="AE1302" s="81" t="s">
        <v>67</v>
      </c>
      <c r="AF1302" s="81"/>
      <c r="AG1302" s="81"/>
      <c r="AH1302" s="82"/>
      <c r="AI1302" s="81"/>
      <c r="AJ1302" s="81"/>
      <c r="AK1302" s="81"/>
      <c r="AL1302" s="81"/>
      <c r="AM1302" s="81"/>
      <c r="AN1302" s="81"/>
      <c r="AO1302" s="81"/>
      <c r="AP1302" s="81"/>
      <c r="AQ1302" s="81"/>
      <c r="AR1302" s="81"/>
      <c r="AS1302" s="81"/>
      <c r="AT1302" s="81"/>
      <c r="AU1302" s="53">
        <v>4.1666666666666699E-2</v>
      </c>
      <c r="AV1302" s="54" t="s">
        <v>37</v>
      </c>
      <c r="AW1302" s="57">
        <f t="shared" si="174"/>
        <v>8.333333333333337E-2</v>
      </c>
      <c r="AX1302" s="58" t="s">
        <v>224</v>
      </c>
    </row>
    <row r="1303" spans="1:50" ht="28.5" customHeight="1">
      <c r="A1303" s="66" t="s">
        <v>1070</v>
      </c>
      <c r="B1303" s="39">
        <f t="shared" si="180"/>
        <v>1299</v>
      </c>
      <c r="C1303" s="40">
        <v>46051</v>
      </c>
      <c r="D1303" s="40" t="s">
        <v>80</v>
      </c>
      <c r="E1303" s="40" t="s">
        <v>33</v>
      </c>
      <c r="F1303" s="41">
        <v>23.4</v>
      </c>
      <c r="G1303" s="42" t="s">
        <v>34</v>
      </c>
      <c r="H1303" s="43" t="str">
        <f>IFERROR(VLOOKUP($J1303,'[9]FROM (3)'!$E$4:$F$230,2,FALSE),"")</f>
        <v/>
      </c>
      <c r="I1303" s="44" t="str">
        <f t="shared" si="179"/>
        <v>FLANGE-13 SLUG</v>
      </c>
      <c r="J1303" s="44" t="str">
        <f t="shared" si="176"/>
        <v>ZZ2B7401TX1</v>
      </c>
      <c r="K1303" s="59" t="str">
        <f t="shared" si="178"/>
        <v>PD26010928</v>
      </c>
      <c r="L1303" s="46" t="str" cm="1">
        <f t="array" ref="L1303">IFERROR(_xlfn.IFS(
    LEN($A1303)-LEN(SUBSTITUTE($A1303,"|",""))=12, RIGHT(A1303, LEN(A1303)-FIND("~", SUBSTITUTE(A1303,"|","~", LEN(A1303)-LEN(SUBSTITUTE(A1303,"|",""))))),
    LEN($A1303)-LEN(SUBSTITUTE($A1303,"|",""))=13, MID($A1303, FIND("~", SUBSTITUTE($A1303,"|","~", 11))+1, FIND("~", SUBSTITUTE($A1303,"|","~", 12))-FIND("~", SUBSTITUTE($A1303,"|","~", 11))-1),
    LEN($A1303)-LEN(SUBSTITUTE($A1303,"|",""))=14, MID($A1303, FIND("~", SUBSTITUTE($A1303,"|","~", 11))+1, FIND("~", SUBSTITUTE($A1303,"|","~", 12))-FIND("~", SUBSTITUTE($A1303,"|","~", 11))-1)
), "")</f>
        <v>1-79662</v>
      </c>
      <c r="M1303" s="72" t="str">
        <f t="shared" si="177"/>
        <v>2B2600186</v>
      </c>
      <c r="N1303" s="46" t="str">
        <f t="shared" si="175"/>
        <v/>
      </c>
      <c r="O1303" s="76"/>
      <c r="P1303" s="76"/>
      <c r="Q1303" s="77">
        <v>2242</v>
      </c>
      <c r="R1303" s="77">
        <v>517</v>
      </c>
      <c r="S1303" s="77"/>
      <c r="T1303" s="77"/>
      <c r="U1303" s="83">
        <v>177</v>
      </c>
      <c r="V1303" s="83">
        <v>450</v>
      </c>
      <c r="W1303" s="78"/>
      <c r="X1303" s="51">
        <f>IF(A1303="", "", IF(COUNTIFS(C$3:C1302, C1303, D$3:D1302, D1303, G$3:G1302, G1303) &gt; 0, "", "11:00"-AW1303))</f>
        <v>0.41666666666666663</v>
      </c>
      <c r="Y1303" s="79"/>
      <c r="Z1303" s="80"/>
      <c r="AA1303" s="81"/>
      <c r="AB1303" s="81"/>
      <c r="AC1303" s="81"/>
      <c r="AD1303" s="81"/>
      <c r="AE1303" s="81"/>
      <c r="AF1303" s="81"/>
      <c r="AG1303" s="81"/>
      <c r="AH1303" s="82"/>
      <c r="AI1303" s="81"/>
      <c r="AJ1303" s="81"/>
      <c r="AK1303" s="81"/>
      <c r="AL1303" s="81"/>
      <c r="AM1303" s="81"/>
      <c r="AN1303" s="81"/>
      <c r="AO1303" s="81"/>
      <c r="AP1303" s="81"/>
      <c r="AQ1303" s="81"/>
      <c r="AR1303" s="81"/>
      <c r="AS1303" s="81"/>
      <c r="AT1303" s="81"/>
      <c r="AU1303" s="53">
        <v>4.1666666666666699E-2</v>
      </c>
      <c r="AV1303" s="54" t="s">
        <v>37</v>
      </c>
      <c r="AW1303" s="57">
        <f t="shared" si="174"/>
        <v>4.1666666666666699E-2</v>
      </c>
      <c r="AX1303" s="58" t="s">
        <v>203</v>
      </c>
    </row>
    <row r="1304" spans="1:50" ht="28.5" customHeight="1">
      <c r="A1304" s="66" t="s">
        <v>1119</v>
      </c>
      <c r="B1304" s="39">
        <f t="shared" si="180"/>
        <v>1300</v>
      </c>
      <c r="C1304" s="40">
        <v>46051</v>
      </c>
      <c r="D1304" s="40" t="s">
        <v>80</v>
      </c>
      <c r="E1304" s="40" t="s">
        <v>33</v>
      </c>
      <c r="F1304" s="41">
        <v>516.5</v>
      </c>
      <c r="G1304" s="42" t="s">
        <v>34</v>
      </c>
      <c r="H1304" s="43" t="str">
        <f>IFERROR(VLOOKUP($J1304,'[9]FROM (3)'!$E$4:$F$230,2,FALSE),"")</f>
        <v>KONSEI</v>
      </c>
      <c r="I1304" s="44" t="str">
        <f t="shared" si="179"/>
        <v>Piston Disc Brake, Forging</v>
      </c>
      <c r="J1304" s="44" t="str">
        <f t="shared" si="176"/>
        <v>141411-60140-20</v>
      </c>
      <c r="K1304" s="59" t="str">
        <f t="shared" si="178"/>
        <v>PD26010938</v>
      </c>
      <c r="L1304" s="46" t="str" cm="1">
        <f t="array" ref="L1304">IFERROR(_xlfn.IFS(
    LEN($A1304)-LEN(SUBSTITUTE($A1304,"|",""))=12, RIGHT(A1304, LEN(A1304)-FIND("~", SUBSTITUTE(A1304,"|","~", LEN(A1304)-LEN(SUBSTITUTE(A1304,"|",""))))),
    LEN($A1304)-LEN(SUBSTITUTE($A1304,"|",""))=13, MID($A1304, FIND("~", SUBSTITUTE($A1304,"|","~", 11))+1, FIND("~", SUBSTITUTE($A1304,"|","~", 12))-FIND("~", SUBSTITUTE($A1304,"|","~", 11))-1),
    LEN($A1304)-LEN(SUBSTITUTE($A1304,"|",""))=14, MID($A1304, FIND("~", SUBSTITUTE($A1304,"|","~", 11))+1, FIND("~", SUBSTITUTE($A1304,"|","~", 12))-FIND("~", SUBSTITUTE($A1304,"|","~", 11))-1)
), "")</f>
        <v>663961</v>
      </c>
      <c r="M1304" s="72" t="str">
        <f t="shared" si="177"/>
        <v>2B2600238</v>
      </c>
      <c r="N1304" s="46" t="str">
        <f t="shared" si="175"/>
        <v/>
      </c>
      <c r="O1304" s="76">
        <v>11</v>
      </c>
      <c r="P1304" s="76">
        <v>1342</v>
      </c>
      <c r="Q1304" s="77">
        <v>360</v>
      </c>
      <c r="R1304" s="77">
        <v>186</v>
      </c>
      <c r="S1304" s="77"/>
      <c r="T1304" s="77"/>
      <c r="U1304" s="83"/>
      <c r="V1304" s="83"/>
      <c r="W1304" s="78"/>
      <c r="X1304" s="51" t="str">
        <f>IF(A1304="", "", IF(COUNTIFS(C$3:C1303, C1304, D$3:D1303, D1304, G$3:G1303, G1304) &gt; 0, "", "11:00"-AW1304))</f>
        <v/>
      </c>
      <c r="Y1304" s="79"/>
      <c r="Z1304" s="80"/>
      <c r="AA1304" s="81"/>
      <c r="AB1304" s="81"/>
      <c r="AC1304" s="81"/>
      <c r="AD1304" s="81"/>
      <c r="AE1304" s="81"/>
      <c r="AF1304" s="81"/>
      <c r="AG1304" s="81"/>
      <c r="AH1304" s="82"/>
      <c r="AI1304" s="81"/>
      <c r="AJ1304" s="81"/>
      <c r="AK1304" s="81"/>
      <c r="AL1304" s="81"/>
      <c r="AM1304" s="81">
        <v>2.0833333333333332E-2</v>
      </c>
      <c r="AN1304" s="81" t="s">
        <v>67</v>
      </c>
      <c r="AO1304" s="81"/>
      <c r="AP1304" s="81"/>
      <c r="AQ1304" s="81">
        <v>4.1666666666666664E-2</v>
      </c>
      <c r="AR1304" s="81" t="s">
        <v>37</v>
      </c>
      <c r="AS1304" s="81">
        <v>4.1666666666666664E-2</v>
      </c>
      <c r="AT1304" s="81" t="s">
        <v>37</v>
      </c>
      <c r="AU1304" s="53">
        <v>4.1666666666666699E-2</v>
      </c>
      <c r="AV1304" s="54" t="s">
        <v>37</v>
      </c>
      <c r="AW1304" s="57">
        <f t="shared" si="174"/>
        <v>0.14583333333333337</v>
      </c>
      <c r="AX1304" s="58" t="s">
        <v>203</v>
      </c>
    </row>
    <row r="1305" spans="1:50" ht="28.5" customHeight="1">
      <c r="A1305" s="66" t="s">
        <v>1118</v>
      </c>
      <c r="B1305" s="39">
        <f t="shared" si="180"/>
        <v>1301</v>
      </c>
      <c r="C1305" s="40">
        <v>46051</v>
      </c>
      <c r="D1305" s="40" t="s">
        <v>80</v>
      </c>
      <c r="E1305" s="40" t="s">
        <v>33</v>
      </c>
      <c r="F1305" s="41">
        <v>698.5</v>
      </c>
      <c r="G1305" s="42" t="s">
        <v>54</v>
      </c>
      <c r="H1305" s="43" t="str">
        <f>IFERROR(VLOOKUP($J1305,'[9]FROM (3)'!$E$4:$F$230,2,FALSE),"")</f>
        <v>JCTTH</v>
      </c>
      <c r="I1305" s="44" t="str">
        <f t="shared" si="179"/>
        <v>RACK BAR</v>
      </c>
      <c r="J1305" s="44" t="str">
        <f t="shared" si="176"/>
        <v>JGD10-000751/000761-A</v>
      </c>
      <c r="K1305" s="59" t="str">
        <f t="shared" si="178"/>
        <v>PD26011005</v>
      </c>
      <c r="L1305" s="46" t="str" cm="1">
        <f t="array" ref="L1305">IFERROR(_xlfn.IFS(
    LEN($A1305)-LEN(SUBSTITUTE($A1305,"|",""))=12, RIGHT(A1305, LEN(A1305)-FIND("~", SUBSTITUTE(A1305,"|","~", LEN(A1305)-LEN(SUBSTITUTE(A1305,"|",""))))),
    LEN($A1305)-LEN(SUBSTITUTE($A1305,"|",""))=13, MID($A1305, FIND("~", SUBSTITUTE($A1305,"|","~", 11))+1, FIND("~", SUBSTITUTE($A1305,"|","~", 12))-FIND("~", SUBSTITUTE($A1305,"|","~", 11))-1),
    LEN($A1305)-LEN(SUBSTITUTE($A1305,"|",""))=14, MID($A1305, FIND("~", SUBSTITUTE($A1305,"|","~", 11))+1, FIND("~", SUBSTITUTE($A1305,"|","~", 12))-FIND("~", SUBSTITUTE($A1305,"|","~", 11))-1)
), "")</f>
        <v>665077</v>
      </c>
      <c r="M1305" s="72" t="str">
        <f t="shared" si="177"/>
        <v>SB010131/2/26</v>
      </c>
      <c r="N1305" s="46" t="str">
        <f t="shared" si="175"/>
        <v/>
      </c>
      <c r="O1305" s="76" t="s">
        <v>35</v>
      </c>
      <c r="P1305" s="76" t="s">
        <v>35</v>
      </c>
      <c r="Q1305" s="77">
        <v>133</v>
      </c>
      <c r="R1305" s="77">
        <v>595</v>
      </c>
      <c r="S1305" s="77"/>
      <c r="T1305" s="77"/>
      <c r="U1305" s="83">
        <v>130</v>
      </c>
      <c r="V1305" s="83">
        <v>7</v>
      </c>
      <c r="W1305" s="78"/>
      <c r="X1305" s="51">
        <f>IF(A1305="", "", IF(COUNTIFS(C$3:C1304, C1305, D$3:D1304, D1305, G$3:G1304, G1305) &gt; 0, "", "11:00"-AW1305))</f>
        <v>0.31944444444444442</v>
      </c>
      <c r="Y1305" s="79"/>
      <c r="Z1305" s="80"/>
      <c r="AA1305" s="81"/>
      <c r="AB1305" s="81">
        <v>1.3888888888888888E-2</v>
      </c>
      <c r="AC1305" s="81" t="s">
        <v>82</v>
      </c>
      <c r="AD1305" s="81"/>
      <c r="AE1305" s="81"/>
      <c r="AF1305" s="81"/>
      <c r="AG1305" s="81"/>
      <c r="AH1305" s="82"/>
      <c r="AI1305" s="81"/>
      <c r="AJ1305" s="81"/>
      <c r="AK1305" s="81"/>
      <c r="AL1305" s="81"/>
      <c r="AM1305" s="81"/>
      <c r="AN1305" s="81"/>
      <c r="AO1305" s="81"/>
      <c r="AP1305" s="81"/>
      <c r="AQ1305" s="81">
        <v>4.1666666666666664E-2</v>
      </c>
      <c r="AR1305" s="81" t="s">
        <v>37</v>
      </c>
      <c r="AS1305" s="81">
        <v>4.1666666666666664E-2</v>
      </c>
      <c r="AT1305" s="81" t="s">
        <v>37</v>
      </c>
      <c r="AU1305" s="53">
        <v>4.1666666666666699E-2</v>
      </c>
      <c r="AV1305" s="54" t="s">
        <v>37</v>
      </c>
      <c r="AW1305" s="57">
        <f t="shared" si="174"/>
        <v>0.1388888888888889</v>
      </c>
      <c r="AX1305" s="58" t="s">
        <v>91</v>
      </c>
    </row>
    <row r="1306" spans="1:50" ht="28.5" customHeight="1">
      <c r="A1306" s="66" t="s">
        <v>1120</v>
      </c>
      <c r="B1306" s="39">
        <f t="shared" si="180"/>
        <v>1302</v>
      </c>
      <c r="C1306" s="40">
        <v>46051</v>
      </c>
      <c r="D1306" s="40" t="s">
        <v>80</v>
      </c>
      <c r="E1306" s="40" t="s">
        <v>33</v>
      </c>
      <c r="F1306" s="41">
        <v>698.5</v>
      </c>
      <c r="G1306" s="42" t="s">
        <v>54</v>
      </c>
      <c r="H1306" s="43" t="str">
        <f>IFERROR(VLOOKUP($J1306,'[9]FROM (3)'!$E$4:$F$230,2,FALSE),"")</f>
        <v>JCTTH</v>
      </c>
      <c r="I1306" s="44" t="str">
        <f t="shared" si="179"/>
        <v>RACK BAR</v>
      </c>
      <c r="J1306" s="44" t="str">
        <f t="shared" si="176"/>
        <v>JGD10-000751/000761-A</v>
      </c>
      <c r="K1306" s="59" t="str">
        <f t="shared" si="178"/>
        <v>PD26011010</v>
      </c>
      <c r="L1306" s="46" t="str" cm="1">
        <f t="array" ref="L1306">IFERROR(_xlfn.IFS(
    LEN($A1306)-LEN(SUBSTITUTE($A1306,"|",""))=12, RIGHT(A1306, LEN(A1306)-FIND("~", SUBSTITUTE(A1306,"|","~", LEN(A1306)-LEN(SUBSTITUTE(A1306,"|",""))))),
    LEN($A1306)-LEN(SUBSTITUTE($A1306,"|",""))=13, MID($A1306, FIND("~", SUBSTITUTE($A1306,"|","~", 11))+1, FIND("~", SUBSTITUTE($A1306,"|","~", 12))-FIND("~", SUBSTITUTE($A1306,"|","~", 11))-1),
    LEN($A1306)-LEN(SUBSTITUTE($A1306,"|",""))=14, MID($A1306, FIND("~", SUBSTITUTE($A1306,"|","~", 11))+1, FIND("~", SUBSTITUTE($A1306,"|","~", 12))-FIND("~", SUBSTITUTE($A1306,"|","~", 11))-1)
), "")</f>
        <v>665077</v>
      </c>
      <c r="M1306" s="72" t="str">
        <f t="shared" si="177"/>
        <v>SB010136/3/26</v>
      </c>
      <c r="N1306" s="46" t="str">
        <f t="shared" si="175"/>
        <v/>
      </c>
      <c r="O1306" s="76">
        <v>51</v>
      </c>
      <c r="P1306" s="76">
        <v>988</v>
      </c>
      <c r="Q1306" s="77">
        <v>203</v>
      </c>
      <c r="R1306" s="77">
        <v>907</v>
      </c>
      <c r="S1306" s="77"/>
      <c r="T1306" s="77"/>
      <c r="U1306" s="83"/>
      <c r="V1306" s="83"/>
      <c r="W1306" s="78"/>
      <c r="X1306" s="51" t="str">
        <f>IF(A1306="", "", IF(COUNTIFS(C$3:C1305, C1306, D$3:D1305, D1306, G$3:G1305, G1306) &gt; 0, "", "11:00"-AW1306))</f>
        <v/>
      </c>
      <c r="Y1306" s="79"/>
      <c r="Z1306" s="80"/>
      <c r="AA1306" s="81"/>
      <c r="AB1306" s="81"/>
      <c r="AC1306" s="81"/>
      <c r="AD1306" s="81"/>
      <c r="AE1306" s="81"/>
      <c r="AF1306" s="81"/>
      <c r="AG1306" s="81"/>
      <c r="AH1306" s="82"/>
      <c r="AI1306" s="81"/>
      <c r="AJ1306" s="81"/>
      <c r="AK1306" s="81"/>
      <c r="AL1306" s="81"/>
      <c r="AM1306" s="81"/>
      <c r="AN1306" s="81"/>
      <c r="AO1306" s="81"/>
      <c r="AP1306" s="81"/>
      <c r="AQ1306" s="81"/>
      <c r="AR1306" s="81"/>
      <c r="AS1306" s="81"/>
      <c r="AT1306" s="81"/>
      <c r="AU1306" s="53">
        <v>4.1666666666666699E-2</v>
      </c>
      <c r="AV1306" s="54" t="s">
        <v>37</v>
      </c>
      <c r="AW1306" s="57">
        <f t="shared" si="174"/>
        <v>4.1666666666666699E-2</v>
      </c>
      <c r="AX1306" s="58" t="s">
        <v>91</v>
      </c>
    </row>
    <row r="1307" spans="1:50" ht="28.5" customHeight="1">
      <c r="A1307" s="66" t="s">
        <v>1121</v>
      </c>
      <c r="B1307" s="39">
        <f t="shared" si="180"/>
        <v>1303</v>
      </c>
      <c r="C1307" s="40">
        <v>46051</v>
      </c>
      <c r="D1307" s="40" t="s">
        <v>80</v>
      </c>
      <c r="E1307" s="40" t="s">
        <v>33</v>
      </c>
      <c r="F1307" s="41">
        <v>698.5</v>
      </c>
      <c r="G1307" s="42" t="s">
        <v>54</v>
      </c>
      <c r="H1307" s="43" t="str">
        <f>IFERROR(VLOOKUP($J1307,'[9]FROM (3)'!$E$4:$F$230,2,FALSE),"")</f>
        <v>JCTTH</v>
      </c>
      <c r="I1307" s="44" t="str">
        <f t="shared" si="179"/>
        <v>RACK BAR</v>
      </c>
      <c r="J1307" s="44" t="str">
        <f t="shared" si="176"/>
        <v>JGD10-000751/000761-A</v>
      </c>
      <c r="K1307" s="59" t="str">
        <f t="shared" si="178"/>
        <v>PD26011010</v>
      </c>
      <c r="L1307" s="46" t="str" cm="1">
        <f t="array" ref="L1307">IFERROR(_xlfn.IFS(
    LEN($A1307)-LEN(SUBSTITUTE($A1307,"|",""))=12, RIGHT(A1307, LEN(A1307)-FIND("~", SUBSTITUTE(A1307,"|","~", LEN(A1307)-LEN(SUBSTITUTE(A1307,"|",""))))),
    LEN($A1307)-LEN(SUBSTITUTE($A1307,"|",""))=13, MID($A1307, FIND("~", SUBSTITUTE($A1307,"|","~", 11))+1, FIND("~", SUBSTITUTE($A1307,"|","~", 12))-FIND("~", SUBSTITUTE($A1307,"|","~", 11))-1),
    LEN($A1307)-LEN(SUBSTITUTE($A1307,"|",""))=14, MID($A1307, FIND("~", SUBSTITUTE($A1307,"|","~", 11))+1, FIND("~", SUBSTITUTE($A1307,"|","~", 12))-FIND("~", SUBSTITUTE($A1307,"|","~", 11))-1)
), "")</f>
        <v>665077</v>
      </c>
      <c r="M1307" s="72" t="str">
        <f t="shared" si="177"/>
        <v>SB010136/4/26</v>
      </c>
      <c r="N1307" s="46" t="str">
        <f t="shared" si="175"/>
        <v/>
      </c>
      <c r="O1307" s="76">
        <v>51</v>
      </c>
      <c r="P1307" s="76">
        <v>988</v>
      </c>
      <c r="Q1307" s="77">
        <v>204</v>
      </c>
      <c r="R1307" s="77">
        <v>913</v>
      </c>
      <c r="S1307" s="77"/>
      <c r="T1307" s="77"/>
      <c r="U1307" s="83">
        <v>130</v>
      </c>
      <c r="V1307" s="83">
        <v>7</v>
      </c>
      <c r="W1307" s="78"/>
      <c r="X1307" s="51" t="str">
        <f>IF(A1307="", "", IF(COUNTIFS(C$3:C1306, C1307, D$3:D1306, D1307, G$3:G1306, G1307) &gt; 0, "", "11:00"-AW1307))</f>
        <v/>
      </c>
      <c r="Y1307" s="79"/>
      <c r="Z1307" s="80"/>
      <c r="AA1307" s="81"/>
      <c r="AB1307" s="81"/>
      <c r="AC1307" s="81"/>
      <c r="AD1307" s="81"/>
      <c r="AE1307" s="81"/>
      <c r="AF1307" s="81"/>
      <c r="AG1307" s="81"/>
      <c r="AH1307" s="82"/>
      <c r="AI1307" s="81"/>
      <c r="AJ1307" s="81"/>
      <c r="AK1307" s="81"/>
      <c r="AL1307" s="81"/>
      <c r="AM1307" s="81"/>
      <c r="AN1307" s="81"/>
      <c r="AO1307" s="81"/>
      <c r="AP1307" s="81"/>
      <c r="AQ1307" s="81"/>
      <c r="AR1307" s="81"/>
      <c r="AS1307" s="81"/>
      <c r="AT1307" s="81"/>
      <c r="AU1307" s="53">
        <v>4.1666666666666699E-2</v>
      </c>
      <c r="AV1307" s="54" t="s">
        <v>37</v>
      </c>
      <c r="AW1307" s="57">
        <f t="shared" si="174"/>
        <v>4.1666666666666699E-2</v>
      </c>
      <c r="AX1307" s="58" t="s">
        <v>91</v>
      </c>
    </row>
    <row r="1308" spans="1:50" ht="28.5" customHeight="1">
      <c r="A1308" s="66" t="s">
        <v>1122</v>
      </c>
      <c r="B1308" s="39">
        <f t="shared" si="180"/>
        <v>1304</v>
      </c>
      <c r="C1308" s="40">
        <v>46051</v>
      </c>
      <c r="D1308" s="40" t="s">
        <v>80</v>
      </c>
      <c r="E1308" s="40" t="s">
        <v>33</v>
      </c>
      <c r="F1308" s="41">
        <v>698.5</v>
      </c>
      <c r="G1308" s="42" t="s">
        <v>54</v>
      </c>
      <c r="H1308" s="43" t="str">
        <f>IFERROR(VLOOKUP($J1308,'[9]FROM (3)'!$E$4:$F$230,2,FALSE),"")</f>
        <v>JCTTH</v>
      </c>
      <c r="I1308" s="44" t="str">
        <f t="shared" si="179"/>
        <v>RACK BAR</v>
      </c>
      <c r="J1308" s="44" t="str">
        <f t="shared" si="176"/>
        <v>JGD10-000751/000761-A</v>
      </c>
      <c r="K1308" s="59" t="str">
        <f t="shared" si="178"/>
        <v>PD26011009</v>
      </c>
      <c r="L1308" s="46" t="str" cm="1">
        <f t="array" ref="L1308">IFERROR(_xlfn.IFS(
    LEN($A1308)-LEN(SUBSTITUTE($A1308,"|",""))=12, RIGHT(A1308, LEN(A1308)-FIND("~", SUBSTITUTE(A1308,"|","~", LEN(A1308)-LEN(SUBSTITUTE(A1308,"|",""))))),
    LEN($A1308)-LEN(SUBSTITUTE($A1308,"|",""))=13, MID($A1308, FIND("~", SUBSTITUTE($A1308,"|","~", 11))+1, FIND("~", SUBSTITUTE($A1308,"|","~", 12))-FIND("~", SUBSTITUTE($A1308,"|","~", 11))-1),
    LEN($A1308)-LEN(SUBSTITUTE($A1308,"|",""))=14, MID($A1308, FIND("~", SUBSTITUTE($A1308,"|","~", 11))+1, FIND("~", SUBSTITUTE($A1308,"|","~", 12))-FIND("~", SUBSTITUTE($A1308,"|","~", 11))-1)
), "")</f>
        <v>665077</v>
      </c>
      <c r="M1308" s="72" t="str">
        <f t="shared" si="177"/>
        <v>SB010136/1/26</v>
      </c>
      <c r="N1308" s="46" t="str">
        <f t="shared" si="175"/>
        <v/>
      </c>
      <c r="O1308" s="76">
        <v>51</v>
      </c>
      <c r="P1308" s="76">
        <v>988</v>
      </c>
      <c r="Q1308" s="77">
        <v>204</v>
      </c>
      <c r="R1308" s="77">
        <v>913</v>
      </c>
      <c r="S1308" s="77"/>
      <c r="T1308" s="77"/>
      <c r="U1308" s="83"/>
      <c r="V1308" s="83"/>
      <c r="W1308" s="78"/>
      <c r="X1308" s="51" t="str">
        <f>IF(A1308="", "", IF(COUNTIFS(C$3:C1307, C1308, D$3:D1307, D1308, G$3:G1307, G1308) &gt; 0, "", "11:00"-AW1308))</f>
        <v/>
      </c>
      <c r="Y1308" s="79"/>
      <c r="Z1308" s="80"/>
      <c r="AA1308" s="81"/>
      <c r="AB1308" s="81"/>
      <c r="AC1308" s="81"/>
      <c r="AD1308" s="81"/>
      <c r="AE1308" s="81"/>
      <c r="AF1308" s="81"/>
      <c r="AG1308" s="81"/>
      <c r="AH1308" s="82"/>
      <c r="AI1308" s="81"/>
      <c r="AJ1308" s="81"/>
      <c r="AK1308" s="81"/>
      <c r="AL1308" s="81"/>
      <c r="AM1308" s="81"/>
      <c r="AN1308" s="81"/>
      <c r="AO1308" s="81"/>
      <c r="AP1308" s="81"/>
      <c r="AQ1308" s="81"/>
      <c r="AR1308" s="81"/>
      <c r="AS1308" s="81"/>
      <c r="AT1308" s="81"/>
      <c r="AU1308" s="53">
        <v>4.1666666666666699E-2</v>
      </c>
      <c r="AV1308" s="54" t="s">
        <v>37</v>
      </c>
      <c r="AW1308" s="57">
        <f t="shared" si="174"/>
        <v>4.1666666666666699E-2</v>
      </c>
      <c r="AX1308" s="58" t="s">
        <v>91</v>
      </c>
    </row>
    <row r="1309" spans="1:50" ht="28.5" customHeight="1">
      <c r="A1309" s="66" t="s">
        <v>1123</v>
      </c>
      <c r="B1309" s="39">
        <f t="shared" si="180"/>
        <v>1305</v>
      </c>
      <c r="C1309" s="40">
        <v>46051</v>
      </c>
      <c r="D1309" s="40" t="s">
        <v>80</v>
      </c>
      <c r="E1309" s="40" t="s">
        <v>33</v>
      </c>
      <c r="F1309" s="41">
        <v>698.5</v>
      </c>
      <c r="G1309" s="42" t="s">
        <v>54</v>
      </c>
      <c r="H1309" s="43" t="str">
        <f>IFERROR(VLOOKUP($J1309,'[9]FROM (3)'!$E$4:$F$230,2,FALSE),"")</f>
        <v>JCTTH</v>
      </c>
      <c r="I1309" s="44" t="str">
        <f t="shared" si="179"/>
        <v>RACK BAR</v>
      </c>
      <c r="J1309" s="44" t="str">
        <f t="shared" si="176"/>
        <v>JGD10-000751/000761-A</v>
      </c>
      <c r="K1309" s="59" t="str">
        <f t="shared" si="178"/>
        <v>PD26011009</v>
      </c>
      <c r="L1309" s="46" t="str" cm="1">
        <f t="array" ref="L1309">IFERROR(_xlfn.IFS(
    LEN($A1309)-LEN(SUBSTITUTE($A1309,"|",""))=12, RIGHT(A1309, LEN(A1309)-FIND("~", SUBSTITUTE(A1309,"|","~", LEN(A1309)-LEN(SUBSTITUTE(A1309,"|",""))))),
    LEN($A1309)-LEN(SUBSTITUTE($A1309,"|",""))=13, MID($A1309, FIND("~", SUBSTITUTE($A1309,"|","~", 11))+1, FIND("~", SUBSTITUTE($A1309,"|","~", 12))-FIND("~", SUBSTITUTE($A1309,"|","~", 11))-1),
    LEN($A1309)-LEN(SUBSTITUTE($A1309,"|",""))=14, MID($A1309, FIND("~", SUBSTITUTE($A1309,"|","~", 11))+1, FIND("~", SUBSTITUTE($A1309,"|","~", 12))-FIND("~", SUBSTITUTE($A1309,"|","~", 11))-1)
), "")</f>
        <v>665077</v>
      </c>
      <c r="M1309" s="72" t="str">
        <f t="shared" si="177"/>
        <v>SB010136/2/26</v>
      </c>
      <c r="N1309" s="46" t="str">
        <f t="shared" si="175"/>
        <v/>
      </c>
      <c r="O1309" s="76">
        <v>51</v>
      </c>
      <c r="P1309" s="76">
        <v>988</v>
      </c>
      <c r="Q1309" s="77">
        <v>96</v>
      </c>
      <c r="R1309" s="77">
        <v>430</v>
      </c>
      <c r="S1309" s="77"/>
      <c r="T1309" s="77"/>
      <c r="U1309" s="83"/>
      <c r="V1309" s="83"/>
      <c r="W1309" s="78"/>
      <c r="X1309" s="51" t="str">
        <f>IF(A1309="", "", IF(COUNTIFS(C$3:C1308, C1309, D$3:D1308, D1309, G$3:G1308, G1309) &gt; 0, "", "11:00"-AW1309))</f>
        <v/>
      </c>
      <c r="Y1309" s="79"/>
      <c r="Z1309" s="80"/>
      <c r="AA1309" s="81"/>
      <c r="AB1309" s="81"/>
      <c r="AC1309" s="81"/>
      <c r="AD1309" s="81"/>
      <c r="AE1309" s="81"/>
      <c r="AF1309" s="81"/>
      <c r="AG1309" s="81"/>
      <c r="AH1309" s="82"/>
      <c r="AI1309" s="81"/>
      <c r="AJ1309" s="81"/>
      <c r="AK1309" s="81"/>
      <c r="AL1309" s="81"/>
      <c r="AM1309" s="81"/>
      <c r="AN1309" s="81"/>
      <c r="AO1309" s="81"/>
      <c r="AP1309" s="81"/>
      <c r="AQ1309" s="81"/>
      <c r="AR1309" s="81"/>
      <c r="AS1309" s="81"/>
      <c r="AT1309" s="81"/>
      <c r="AU1309" s="53">
        <v>4.1666666666666699E-2</v>
      </c>
      <c r="AV1309" s="54" t="s">
        <v>37</v>
      </c>
      <c r="AW1309" s="57">
        <f t="shared" si="174"/>
        <v>4.1666666666666699E-2</v>
      </c>
      <c r="AX1309" s="58" t="s">
        <v>91</v>
      </c>
    </row>
    <row r="1310" spans="1:50" ht="28.5" customHeight="1">
      <c r="A1310" s="66" t="s">
        <v>1113</v>
      </c>
      <c r="B1310" s="39">
        <f t="shared" si="180"/>
        <v>1306</v>
      </c>
      <c r="C1310" s="40">
        <v>46051</v>
      </c>
      <c r="D1310" s="40" t="s">
        <v>80</v>
      </c>
      <c r="E1310" s="40" t="s">
        <v>33</v>
      </c>
      <c r="F1310" s="41">
        <v>548.4</v>
      </c>
      <c r="G1310" s="42" t="s">
        <v>75</v>
      </c>
      <c r="H1310" s="43" t="str">
        <f>IFERROR(VLOOKUP($J1310,'[9]FROM (3)'!$E$4:$F$230,2,FALSE),"")</f>
        <v>JTCS</v>
      </c>
      <c r="I1310" s="44" t="str">
        <f t="shared" si="179"/>
        <v>RACK BAR</v>
      </c>
      <c r="J1310" s="44" t="str">
        <f t="shared" si="176"/>
        <v>JGC10S002020-B</v>
      </c>
      <c r="K1310" s="59" t="str">
        <f t="shared" si="178"/>
        <v>PD26011281</v>
      </c>
      <c r="L1310" s="46" t="str" cm="1">
        <f t="array" ref="L1310">IFERROR(_xlfn.IFS(
    LEN($A1310)-LEN(SUBSTITUTE($A1310,"|",""))=12, RIGHT(A1310, LEN(A1310)-FIND("~", SUBSTITUTE(A1310,"|","~", LEN(A1310)-LEN(SUBSTITUTE(A1310,"|",""))))),
    LEN($A1310)-LEN(SUBSTITUTE($A1310,"|",""))=13, MID($A1310, FIND("~", SUBSTITUTE($A1310,"|","~", 11))+1, FIND("~", SUBSTITUTE($A1310,"|","~", 12))-FIND("~", SUBSTITUTE($A1310,"|","~", 11))-1),
    LEN($A1310)-LEN(SUBSTITUTE($A1310,"|",""))=14, MID($A1310, FIND("~", SUBSTITUTE($A1310,"|","~", 11))+1, FIND("~", SUBSTITUTE($A1310,"|","~", 12))-FIND("~", SUBSTITUTE($A1310,"|","~", 11))-1)
), "")</f>
        <v>E586664</v>
      </c>
      <c r="M1310" s="72" t="str">
        <f t="shared" si="177"/>
        <v>SB010162/4/26</v>
      </c>
      <c r="N1310" s="46" t="str">
        <f t="shared" si="175"/>
        <v/>
      </c>
      <c r="O1310" s="76"/>
      <c r="P1310" s="76"/>
      <c r="Q1310" s="77">
        <v>214</v>
      </c>
      <c r="R1310" s="77">
        <v>489</v>
      </c>
      <c r="S1310" s="77"/>
      <c r="T1310" s="77"/>
      <c r="U1310" s="83"/>
      <c r="V1310" s="83"/>
      <c r="W1310" s="78"/>
      <c r="X1310" s="51">
        <f>IF(A1310="", "", IF(COUNTIFS(C$3:C1309, C1310, D$3:D1309, D1310, G$3:G1309, G1310) &gt; 0, "", "11:00"-AW1310))</f>
        <v>0.29166666666666663</v>
      </c>
      <c r="Y1310" s="79"/>
      <c r="Z1310" s="80"/>
      <c r="AA1310" s="81"/>
      <c r="AB1310" s="81"/>
      <c r="AC1310" s="81"/>
      <c r="AD1310" s="81"/>
      <c r="AE1310" s="81"/>
      <c r="AF1310" s="81"/>
      <c r="AG1310" s="81"/>
      <c r="AH1310" s="82"/>
      <c r="AI1310" s="81">
        <v>4.1666666666666664E-2</v>
      </c>
      <c r="AJ1310" s="81" t="s">
        <v>67</v>
      </c>
      <c r="AK1310" s="81"/>
      <c r="AL1310" s="81"/>
      <c r="AM1310" s="81"/>
      <c r="AN1310" s="81"/>
      <c r="AO1310" s="81"/>
      <c r="AP1310" s="81"/>
      <c r="AQ1310" s="81">
        <v>4.1666666666666664E-2</v>
      </c>
      <c r="AR1310" s="81" t="s">
        <v>37</v>
      </c>
      <c r="AS1310" s="81">
        <v>4.1666666666666664E-2</v>
      </c>
      <c r="AT1310" s="81" t="s">
        <v>37</v>
      </c>
      <c r="AU1310" s="53">
        <v>4.1666666666666699E-2</v>
      </c>
      <c r="AV1310" s="54" t="s">
        <v>37</v>
      </c>
      <c r="AW1310" s="57">
        <f t="shared" si="174"/>
        <v>0.16666666666666669</v>
      </c>
      <c r="AX1310" s="58" t="s">
        <v>101</v>
      </c>
    </row>
    <row r="1311" spans="1:50" ht="28.5" customHeight="1">
      <c r="A1311" s="66" t="s">
        <v>1124</v>
      </c>
      <c r="B1311" s="39">
        <f t="shared" si="180"/>
        <v>1307</v>
      </c>
      <c r="C1311" s="40">
        <v>46051</v>
      </c>
      <c r="D1311" s="40" t="s">
        <v>80</v>
      </c>
      <c r="E1311" s="40" t="s">
        <v>33</v>
      </c>
      <c r="F1311" s="41">
        <v>548.4</v>
      </c>
      <c r="G1311" s="42" t="s">
        <v>75</v>
      </c>
      <c r="H1311" s="43" t="str">
        <f>IFERROR(VLOOKUP($J1311,'[9]FROM (3)'!$E$4:$F$230,2,FALSE),"")</f>
        <v>JTCS</v>
      </c>
      <c r="I1311" s="44" t="str">
        <f t="shared" si="179"/>
        <v>RACK BAR</v>
      </c>
      <c r="J1311" s="44" t="str">
        <f t="shared" si="176"/>
        <v>JGC10S002020-B</v>
      </c>
      <c r="K1311" s="59" t="str">
        <f t="shared" si="178"/>
        <v>PD26011281</v>
      </c>
      <c r="L1311" s="46" t="str" cm="1">
        <f t="array" ref="L1311">IFERROR(_xlfn.IFS(
    LEN($A1311)-LEN(SUBSTITUTE($A1311,"|",""))=12, RIGHT(A1311, LEN(A1311)-FIND("~", SUBSTITUTE(A1311,"|","~", LEN(A1311)-LEN(SUBSTITUTE(A1311,"|",""))))),
    LEN($A1311)-LEN(SUBSTITUTE($A1311,"|",""))=13, MID($A1311, FIND("~", SUBSTITUTE($A1311,"|","~", 11))+1, FIND("~", SUBSTITUTE($A1311,"|","~", 12))-FIND("~", SUBSTITUTE($A1311,"|","~", 11))-1),
    LEN($A1311)-LEN(SUBSTITUTE($A1311,"|",""))=14, MID($A1311, FIND("~", SUBSTITUTE($A1311,"|","~", 11))+1, FIND("~", SUBSTITUTE($A1311,"|","~", 12))-FIND("~", SUBSTITUTE($A1311,"|","~", 11))-1)
), "")</f>
        <v>E586664</v>
      </c>
      <c r="M1311" s="72" t="str">
        <f t="shared" si="177"/>
        <v>SB010162/3/26</v>
      </c>
      <c r="N1311" s="46" t="str">
        <f t="shared" si="175"/>
        <v/>
      </c>
      <c r="O1311" s="76">
        <v>47</v>
      </c>
      <c r="P1311" s="76">
        <v>684</v>
      </c>
      <c r="Q1311" s="77">
        <v>281</v>
      </c>
      <c r="R1311" s="77">
        <v>642</v>
      </c>
      <c r="S1311" s="77"/>
      <c r="T1311" s="77"/>
      <c r="U1311" s="83">
        <v>70</v>
      </c>
      <c r="V1311" s="83">
        <v>5</v>
      </c>
      <c r="W1311" s="78"/>
      <c r="X1311" s="51" t="str">
        <f>IF(A1311="", "", IF(COUNTIFS(C$3:C1310, C1311, D$3:D1310, D1311, G$3:G1310, G1311) &gt; 0, "", "11:00"-AW1311))</f>
        <v/>
      </c>
      <c r="Y1311" s="79"/>
      <c r="Z1311" s="80"/>
      <c r="AA1311" s="81"/>
      <c r="AB1311" s="81"/>
      <c r="AC1311" s="81"/>
      <c r="AD1311" s="81"/>
      <c r="AE1311" s="81"/>
      <c r="AF1311" s="81"/>
      <c r="AG1311" s="81"/>
      <c r="AH1311" s="82"/>
      <c r="AI1311" s="81"/>
      <c r="AJ1311" s="81"/>
      <c r="AK1311" s="81"/>
      <c r="AL1311" s="81"/>
      <c r="AM1311" s="81"/>
      <c r="AN1311" s="81"/>
      <c r="AO1311" s="81"/>
      <c r="AP1311" s="81"/>
      <c r="AQ1311" s="81"/>
      <c r="AR1311" s="81"/>
      <c r="AS1311" s="81"/>
      <c r="AT1311" s="81"/>
      <c r="AU1311" s="53">
        <v>4.1666666666666699E-2</v>
      </c>
      <c r="AV1311" s="54" t="s">
        <v>37</v>
      </c>
      <c r="AW1311" s="57">
        <f t="shared" si="174"/>
        <v>4.1666666666666699E-2</v>
      </c>
      <c r="AX1311" s="58" t="s">
        <v>101</v>
      </c>
    </row>
    <row r="1312" spans="1:50" ht="28.5" customHeight="1">
      <c r="A1312" s="66" t="s">
        <v>1125</v>
      </c>
      <c r="B1312" s="39">
        <f t="shared" si="180"/>
        <v>1308</v>
      </c>
      <c r="C1312" s="40">
        <v>46051</v>
      </c>
      <c r="D1312" s="40" t="s">
        <v>80</v>
      </c>
      <c r="E1312" s="40" t="s">
        <v>33</v>
      </c>
      <c r="F1312" s="41">
        <v>755.4</v>
      </c>
      <c r="G1312" s="42" t="s">
        <v>75</v>
      </c>
      <c r="H1312" s="43" t="str">
        <f>IFERROR(VLOOKUP($J1312,'[9]FROM (3)'!$E$4:$F$230,2,FALSE),"")</f>
        <v>JTCS</v>
      </c>
      <c r="I1312" s="44" t="str">
        <f t="shared" si="179"/>
        <v>RACK, PS</v>
      </c>
      <c r="J1312" s="44" t="str">
        <f t="shared" si="176"/>
        <v>JGD10-001260-40-1</v>
      </c>
      <c r="K1312" s="59" t="str">
        <f t="shared" si="178"/>
        <v>PD26011132</v>
      </c>
      <c r="L1312" s="46" t="str" cm="1">
        <f t="array" ref="L1312">IFERROR(_xlfn.IFS(
    LEN($A1312)-LEN(SUBSTITUTE($A1312,"|",""))=12, RIGHT(A1312, LEN(A1312)-FIND("~", SUBSTITUTE(A1312,"|","~", LEN(A1312)-LEN(SUBSTITUTE(A1312,"|",""))))),
    LEN($A1312)-LEN(SUBSTITUTE($A1312,"|",""))=13, MID($A1312, FIND("~", SUBSTITUTE($A1312,"|","~", 11))+1, FIND("~", SUBSTITUTE($A1312,"|","~", 12))-FIND("~", SUBSTITUTE($A1312,"|","~", 11))-1),
    LEN($A1312)-LEN(SUBSTITUTE($A1312,"|",""))=14, MID($A1312, FIND("~", SUBSTITUTE($A1312,"|","~", 11))+1, FIND("~", SUBSTITUTE($A1312,"|","~", 12))-FIND("~", SUBSTITUTE($A1312,"|","~", 11))-1)
), "")</f>
        <v>E586967</v>
      </c>
      <c r="M1312" s="72" t="str">
        <f t="shared" si="177"/>
        <v>SB010153/2/26</v>
      </c>
      <c r="N1312" s="46" t="str">
        <f t="shared" si="175"/>
        <v/>
      </c>
      <c r="O1312" s="76">
        <v>47</v>
      </c>
      <c r="P1312" s="76">
        <v>970</v>
      </c>
      <c r="Q1312" s="77">
        <v>188</v>
      </c>
      <c r="R1312" s="77">
        <v>910</v>
      </c>
      <c r="S1312" s="77"/>
      <c r="T1312" s="77"/>
      <c r="U1312" s="83"/>
      <c r="V1312" s="83"/>
      <c r="W1312" s="78"/>
      <c r="X1312" s="51" t="str">
        <f>IF(A1312="", "", IF(COUNTIFS(C$3:C1311, C1312, D$3:D1311, D1312, G$3:G1311, G1312) &gt; 0, "", "11:00"-AW1312))</f>
        <v/>
      </c>
      <c r="Y1312" s="79"/>
      <c r="Z1312" s="80"/>
      <c r="AA1312" s="81"/>
      <c r="AB1312" s="81"/>
      <c r="AC1312" s="81"/>
      <c r="AD1312" s="81"/>
      <c r="AE1312" s="81"/>
      <c r="AF1312" s="81"/>
      <c r="AG1312" s="81"/>
      <c r="AH1312" s="82"/>
      <c r="AI1312" s="81"/>
      <c r="AJ1312" s="81"/>
      <c r="AK1312" s="81"/>
      <c r="AL1312" s="81"/>
      <c r="AM1312" s="81"/>
      <c r="AN1312" s="81"/>
      <c r="AO1312" s="81"/>
      <c r="AP1312" s="81"/>
      <c r="AQ1312" s="81"/>
      <c r="AR1312" s="81"/>
      <c r="AS1312" s="81"/>
      <c r="AT1312" s="81"/>
      <c r="AU1312" s="53">
        <v>4.1666666666666699E-2</v>
      </c>
      <c r="AV1312" s="54" t="s">
        <v>37</v>
      </c>
      <c r="AW1312" s="57">
        <f t="shared" si="174"/>
        <v>4.1666666666666699E-2</v>
      </c>
      <c r="AX1312" s="58" t="s">
        <v>101</v>
      </c>
    </row>
    <row r="1313" spans="1:50" ht="28.5" customHeight="1">
      <c r="A1313" s="66" t="s">
        <v>1126</v>
      </c>
      <c r="B1313" s="39">
        <f t="shared" si="180"/>
        <v>1309</v>
      </c>
      <c r="C1313" s="40">
        <v>46051</v>
      </c>
      <c r="D1313" s="40" t="s">
        <v>80</v>
      </c>
      <c r="E1313" s="40" t="s">
        <v>33</v>
      </c>
      <c r="F1313" s="41">
        <v>755.4</v>
      </c>
      <c r="G1313" s="42" t="s">
        <v>75</v>
      </c>
      <c r="H1313" s="43" t="str">
        <f>IFERROR(VLOOKUP($J1313,'[9]FROM (3)'!$E$4:$F$230,2,FALSE),"")</f>
        <v>JTCS</v>
      </c>
      <c r="I1313" s="44" t="str">
        <f t="shared" si="179"/>
        <v>RACK, PS</v>
      </c>
      <c r="J1313" s="44" t="str">
        <f t="shared" si="176"/>
        <v>JGD10-001260-40-1</v>
      </c>
      <c r="K1313" s="59" t="str">
        <f t="shared" si="178"/>
        <v>PD26011132</v>
      </c>
      <c r="L1313" s="46" t="str" cm="1">
        <f t="array" ref="L1313">IFERROR(_xlfn.IFS(
    LEN($A1313)-LEN(SUBSTITUTE($A1313,"|",""))=12, RIGHT(A1313, LEN(A1313)-FIND("~", SUBSTITUTE(A1313,"|","~", LEN(A1313)-LEN(SUBSTITUTE(A1313,"|",""))))),
    LEN($A1313)-LEN(SUBSTITUTE($A1313,"|",""))=13, MID($A1313, FIND("~", SUBSTITUTE($A1313,"|","~", 11))+1, FIND("~", SUBSTITUTE($A1313,"|","~", 12))-FIND("~", SUBSTITUTE($A1313,"|","~", 11))-1),
    LEN($A1313)-LEN(SUBSTITUTE($A1313,"|",""))=14, MID($A1313, FIND("~", SUBSTITUTE($A1313,"|","~", 11))+1, FIND("~", SUBSTITUTE($A1313,"|","~", 12))-FIND("~", SUBSTITUTE($A1313,"|","~", 11))-1)
), "")</f>
        <v>E586967</v>
      </c>
      <c r="M1313" s="72" t="str">
        <f t="shared" si="177"/>
        <v>SB010153/3/26</v>
      </c>
      <c r="N1313" s="46" t="str">
        <f t="shared" si="175"/>
        <v/>
      </c>
      <c r="O1313" s="76">
        <v>47</v>
      </c>
      <c r="P1313" s="76">
        <v>970</v>
      </c>
      <c r="Q1313" s="77">
        <v>135</v>
      </c>
      <c r="R1313" s="77">
        <v>653</v>
      </c>
      <c r="S1313" s="77">
        <v>1</v>
      </c>
      <c r="T1313" s="77" t="s">
        <v>143</v>
      </c>
      <c r="U1313" s="83"/>
      <c r="V1313" s="83"/>
      <c r="W1313" s="78"/>
      <c r="X1313" s="51" t="str">
        <f>IF(A1313="", "", IF(COUNTIFS(C$3:C1312, C1313, D$3:D1312, D1313, G$3:G1312, G1313) &gt; 0, "", "11:00"-AW1313))</f>
        <v/>
      </c>
      <c r="Y1313" s="79"/>
      <c r="Z1313" s="80"/>
      <c r="AA1313" s="81"/>
      <c r="AB1313" s="81"/>
      <c r="AC1313" s="81"/>
      <c r="AD1313" s="81"/>
      <c r="AE1313" s="81"/>
      <c r="AF1313" s="81"/>
      <c r="AG1313" s="81"/>
      <c r="AH1313" s="82"/>
      <c r="AI1313" s="81"/>
      <c r="AJ1313" s="81"/>
      <c r="AK1313" s="81"/>
      <c r="AL1313" s="81"/>
      <c r="AM1313" s="81"/>
      <c r="AN1313" s="81"/>
      <c r="AO1313" s="81"/>
      <c r="AP1313" s="81"/>
      <c r="AQ1313" s="81"/>
      <c r="AR1313" s="81"/>
      <c r="AS1313" s="81"/>
      <c r="AT1313" s="81"/>
      <c r="AU1313" s="53">
        <v>4.1666666666666699E-2</v>
      </c>
      <c r="AV1313" s="54" t="s">
        <v>37</v>
      </c>
      <c r="AW1313" s="57">
        <f t="shared" si="174"/>
        <v>4.1666666666666699E-2</v>
      </c>
      <c r="AX1313" s="58" t="s">
        <v>101</v>
      </c>
    </row>
    <row r="1314" spans="1:50" ht="28.5" customHeight="1">
      <c r="A1314" s="66" t="s">
        <v>1097</v>
      </c>
      <c r="B1314" s="39">
        <f t="shared" si="180"/>
        <v>1310</v>
      </c>
      <c r="C1314" s="40">
        <v>46051</v>
      </c>
      <c r="D1314" s="40" t="s">
        <v>80</v>
      </c>
      <c r="E1314" s="40" t="s">
        <v>33</v>
      </c>
      <c r="F1314" s="41">
        <v>278</v>
      </c>
      <c r="G1314" s="42" t="s">
        <v>108</v>
      </c>
      <c r="H1314" s="43" t="str">
        <f>IFERROR(VLOOKUP($J1314,'[9]FROM (3)'!$E$4:$F$230,2,FALSE),"")</f>
        <v>SIAM NSK</v>
      </c>
      <c r="I1314" s="44" t="str">
        <f t="shared" si="179"/>
        <v>SHAFT SPLINE</v>
      </c>
      <c r="J1314" s="44" t="str">
        <f t="shared" si="176"/>
        <v>2550T0749P</v>
      </c>
      <c r="K1314" s="59" t="str">
        <f t="shared" si="178"/>
        <v>PD26011294</v>
      </c>
      <c r="L1314" s="46" t="str" cm="1">
        <f t="array" ref="L1314">IFERROR(_xlfn.IFS(
    LEN($A1314)-LEN(SUBSTITUTE($A1314,"|",""))=12, RIGHT(A1314, LEN(A1314)-FIND("~", SUBSTITUTE(A1314,"|","~", LEN(A1314)-LEN(SUBSTITUTE(A1314,"|",""))))),
    LEN($A1314)-LEN(SUBSTITUTE($A1314,"|",""))=13, MID($A1314, FIND("~", SUBSTITUTE($A1314,"|","~", 11))+1, FIND("~", SUBSTITUTE($A1314,"|","~", 12))-FIND("~", SUBSTITUTE($A1314,"|","~", 11))-1),
    LEN($A1314)-LEN(SUBSTITUTE($A1314,"|",""))=14, MID($A1314, FIND("~", SUBSTITUTE($A1314,"|","~", 11))+1, FIND("~", SUBSTITUTE($A1314,"|","~", 12))-FIND("~", SUBSTITUTE($A1314,"|","~", 11))-1)
), "")</f>
        <v>SF95636</v>
      </c>
      <c r="M1314" s="72" t="str">
        <f t="shared" si="177"/>
        <v>SB010180/2/26</v>
      </c>
      <c r="N1314" s="46" t="str">
        <f t="shared" si="175"/>
        <v/>
      </c>
      <c r="O1314" s="76" t="s">
        <v>35</v>
      </c>
      <c r="P1314" s="76" t="s">
        <v>35</v>
      </c>
      <c r="Q1314" s="77">
        <v>1267</v>
      </c>
      <c r="R1314" s="77">
        <v>724</v>
      </c>
      <c r="S1314" s="77" t="s">
        <v>35</v>
      </c>
      <c r="T1314" s="77"/>
      <c r="U1314" s="83"/>
      <c r="V1314" s="83"/>
      <c r="W1314" s="78"/>
      <c r="X1314" s="51">
        <f>IF(A1314="", "", IF(COUNTIFS(C$3:C1313, C1314, D$3:D1313, D1314, G$3:G1313, G1314) &gt; 0, "", "11:00"-AW1314))</f>
        <v>0.33333333333333326</v>
      </c>
      <c r="Y1314" s="79"/>
      <c r="Z1314" s="80"/>
      <c r="AA1314" s="81"/>
      <c r="AB1314" s="81"/>
      <c r="AC1314" s="81"/>
      <c r="AD1314" s="81"/>
      <c r="AE1314" s="81"/>
      <c r="AF1314" s="81"/>
      <c r="AG1314" s="81"/>
      <c r="AH1314" s="82"/>
      <c r="AI1314" s="81"/>
      <c r="AJ1314" s="81"/>
      <c r="AK1314" s="81"/>
      <c r="AL1314" s="81"/>
      <c r="AM1314" s="81"/>
      <c r="AN1314" s="81"/>
      <c r="AO1314" s="81"/>
      <c r="AP1314" s="81"/>
      <c r="AQ1314" s="81">
        <v>4.1666666666666664E-2</v>
      </c>
      <c r="AR1314" s="81" t="s">
        <v>37</v>
      </c>
      <c r="AS1314" s="81">
        <v>4.1666666666666664E-2</v>
      </c>
      <c r="AT1314" s="81" t="s">
        <v>37</v>
      </c>
      <c r="AU1314" s="53">
        <v>4.1666666666666699E-2</v>
      </c>
      <c r="AV1314" s="54" t="s">
        <v>37</v>
      </c>
      <c r="AW1314" s="57">
        <f t="shared" si="174"/>
        <v>0.12500000000000003</v>
      </c>
      <c r="AX1314" s="58" t="s">
        <v>109</v>
      </c>
    </row>
    <row r="1315" spans="1:50" ht="28.5" customHeight="1">
      <c r="A1315" s="66" t="s">
        <v>1127</v>
      </c>
      <c r="B1315" s="39">
        <f t="shared" si="180"/>
        <v>1311</v>
      </c>
      <c r="C1315" s="40">
        <v>46051</v>
      </c>
      <c r="D1315" s="40" t="s">
        <v>80</v>
      </c>
      <c r="E1315" s="40" t="s">
        <v>33</v>
      </c>
      <c r="F1315" s="41">
        <v>278</v>
      </c>
      <c r="G1315" s="42" t="s">
        <v>108</v>
      </c>
      <c r="H1315" s="43" t="str">
        <f>IFERROR(VLOOKUP($J1315,'[9]FROM (3)'!$E$4:$F$230,2,FALSE),"")</f>
        <v>SIAM NSK</v>
      </c>
      <c r="I1315" s="44" t="str">
        <f t="shared" si="179"/>
        <v>SHAFT SPLINE</v>
      </c>
      <c r="J1315" s="44" t="str">
        <f t="shared" si="176"/>
        <v>2550T0749P</v>
      </c>
      <c r="K1315" s="59" t="str">
        <f t="shared" si="178"/>
        <v>PD26011294</v>
      </c>
      <c r="L1315" s="46" t="str" cm="1">
        <f t="array" ref="L1315">IFERROR(_xlfn.IFS(
    LEN($A1315)-LEN(SUBSTITUTE($A1315,"|",""))=12, RIGHT(A1315, LEN(A1315)-FIND("~", SUBSTITUTE(A1315,"|","~", LEN(A1315)-LEN(SUBSTITUTE(A1315,"|",""))))),
    LEN($A1315)-LEN(SUBSTITUTE($A1315,"|",""))=13, MID($A1315, FIND("~", SUBSTITUTE($A1315,"|","~", 11))+1, FIND("~", SUBSTITUTE($A1315,"|","~", 12))-FIND("~", SUBSTITUTE($A1315,"|","~", 11))-1),
    LEN($A1315)-LEN(SUBSTITUTE($A1315,"|",""))=14, MID($A1315, FIND("~", SUBSTITUTE($A1315,"|","~", 11))+1, FIND("~", SUBSTITUTE($A1315,"|","~", 12))-FIND("~", SUBSTITUTE($A1315,"|","~", 11))-1)
), "")</f>
        <v>SF95636</v>
      </c>
      <c r="M1315" s="72" t="str">
        <f t="shared" si="177"/>
        <v>SB010180/1/26</v>
      </c>
      <c r="N1315" s="46" t="str">
        <f t="shared" si="175"/>
        <v/>
      </c>
      <c r="O1315" s="76">
        <v>102</v>
      </c>
      <c r="P1315" s="76">
        <v>980</v>
      </c>
      <c r="Q1315" s="77">
        <v>1696</v>
      </c>
      <c r="R1315" s="77">
        <v>969</v>
      </c>
      <c r="S1315" s="77" t="s">
        <v>35</v>
      </c>
      <c r="T1315" s="77"/>
      <c r="U1315" s="83">
        <v>77</v>
      </c>
      <c r="V1315" s="83">
        <v>15</v>
      </c>
      <c r="W1315" s="78"/>
      <c r="X1315" s="51" t="str">
        <f>IF(A1315="", "", IF(COUNTIFS(C$3:C1314, C1315, D$3:D1314, D1315, G$3:G1314, G1315) &gt; 0, "", "11:00"-AW1315))</f>
        <v/>
      </c>
      <c r="Y1315" s="79"/>
      <c r="Z1315" s="80"/>
      <c r="AA1315" s="81"/>
      <c r="AB1315" s="81"/>
      <c r="AC1315" s="81"/>
      <c r="AD1315" s="81"/>
      <c r="AE1315" s="81"/>
      <c r="AF1315" s="81"/>
      <c r="AG1315" s="81"/>
      <c r="AH1315" s="82"/>
      <c r="AI1315" s="81"/>
      <c r="AJ1315" s="81"/>
      <c r="AK1315" s="81"/>
      <c r="AL1315" s="81"/>
      <c r="AM1315" s="81"/>
      <c r="AN1315" s="81"/>
      <c r="AO1315" s="81"/>
      <c r="AP1315" s="81"/>
      <c r="AQ1315" s="81"/>
      <c r="AR1315" s="81"/>
      <c r="AS1315" s="81"/>
      <c r="AT1315" s="81"/>
      <c r="AU1315" s="53">
        <v>4.1666666666666699E-2</v>
      </c>
      <c r="AV1315" s="54" t="s">
        <v>37</v>
      </c>
      <c r="AW1315" s="57">
        <f t="shared" si="174"/>
        <v>4.1666666666666699E-2</v>
      </c>
      <c r="AX1315" s="58" t="s">
        <v>109</v>
      </c>
    </row>
    <row r="1316" spans="1:50" ht="28.5" customHeight="1">
      <c r="A1316" s="66" t="s">
        <v>1106</v>
      </c>
      <c r="B1316" s="39">
        <f t="shared" si="180"/>
        <v>1312</v>
      </c>
      <c r="C1316" s="40">
        <v>46051</v>
      </c>
      <c r="D1316" s="40" t="s">
        <v>80</v>
      </c>
      <c r="E1316" s="40" t="s">
        <v>33</v>
      </c>
      <c r="F1316" s="41">
        <v>375</v>
      </c>
      <c r="G1316" s="42" t="s">
        <v>172</v>
      </c>
      <c r="H1316" s="43" t="str">
        <f>IFERROR(VLOOKUP($J1316,'[9]FROM (3)'!$E$4:$F$230,2,FALSE),"")</f>
        <v>ATAC</v>
      </c>
      <c r="I1316" s="44" t="str">
        <f t="shared" si="179"/>
        <v>SEAT,WATER PUMP PULLEY</v>
      </c>
      <c r="J1316" s="44" t="str">
        <f t="shared" si="176"/>
        <v>16171-05030</v>
      </c>
      <c r="K1316" s="59" t="str">
        <f t="shared" si="178"/>
        <v>PD26010816</v>
      </c>
      <c r="L1316" s="46" t="str" cm="1">
        <f t="array" ref="L1316">IFERROR(_xlfn.IFS(
    LEN($A1316)-LEN(SUBSTITUTE($A1316,"|",""))=12, RIGHT(A1316, LEN(A1316)-FIND("~", SUBSTITUTE(A1316,"|","~", LEN(A1316)-LEN(SUBSTITUTE(A1316,"|",""))))),
    LEN($A1316)-LEN(SUBSTITUTE($A1316,"|",""))=13, MID($A1316, FIND("~", SUBSTITUTE($A1316,"|","~", 11))+1, FIND("~", SUBSTITUTE($A1316,"|","~", 12))-FIND("~", SUBSTITUTE($A1316,"|","~", 11))-1),
    LEN($A1316)-LEN(SUBSTITUTE($A1316,"|",""))=14, MID($A1316, FIND("~", SUBSTITUTE($A1316,"|","~", 11))+1, FIND("~", SUBSTITUTE($A1316,"|","~", 12))-FIND("~", SUBSTITUTE($A1316,"|","~", 11))-1)
), "")</f>
        <v>665900</v>
      </c>
      <c r="M1316" s="72" t="str">
        <f t="shared" si="177"/>
        <v>SB010101/2/26</v>
      </c>
      <c r="N1316" s="46" t="str">
        <f t="shared" si="175"/>
        <v/>
      </c>
      <c r="O1316" s="76" t="s">
        <v>35</v>
      </c>
      <c r="P1316" s="76" t="s">
        <v>35</v>
      </c>
      <c r="Q1316" s="77">
        <v>986</v>
      </c>
      <c r="R1316" s="77">
        <v>370</v>
      </c>
      <c r="S1316" s="77" t="s">
        <v>35</v>
      </c>
      <c r="T1316" s="77"/>
      <c r="U1316" s="83">
        <v>43</v>
      </c>
      <c r="V1316" s="83">
        <v>169</v>
      </c>
      <c r="W1316" s="78"/>
      <c r="X1316" s="51">
        <f>IF(A1316="", "", IF(COUNTIFS(C$3:C1315, C1316, D$3:D1315, D1316, G$3:G1315, G1316) &gt; 0, "", "11:00"-AW1316))</f>
        <v>0.33333333333333326</v>
      </c>
      <c r="Y1316" s="79"/>
      <c r="Z1316" s="80"/>
      <c r="AA1316" s="81"/>
      <c r="AB1316" s="81"/>
      <c r="AC1316" s="81"/>
      <c r="AD1316" s="81"/>
      <c r="AE1316" s="81"/>
      <c r="AF1316" s="81"/>
      <c r="AG1316" s="81"/>
      <c r="AH1316" s="82"/>
      <c r="AI1316" s="81"/>
      <c r="AJ1316" s="81"/>
      <c r="AK1316" s="81"/>
      <c r="AL1316" s="81"/>
      <c r="AM1316" s="81"/>
      <c r="AN1316" s="81"/>
      <c r="AO1316" s="81"/>
      <c r="AP1316" s="81"/>
      <c r="AQ1316" s="81">
        <v>4.1666666666666664E-2</v>
      </c>
      <c r="AR1316" s="81" t="s">
        <v>37</v>
      </c>
      <c r="AS1316" s="81">
        <v>4.1666666666666664E-2</v>
      </c>
      <c r="AT1316" s="81" t="s">
        <v>37</v>
      </c>
      <c r="AU1316" s="53">
        <v>4.1666666666666699E-2</v>
      </c>
      <c r="AV1316" s="54" t="s">
        <v>37</v>
      </c>
      <c r="AW1316" s="57">
        <f t="shared" si="174"/>
        <v>0.12500000000000003</v>
      </c>
      <c r="AX1316" s="58" t="s">
        <v>109</v>
      </c>
    </row>
    <row r="1317" spans="1:50" ht="28.5" customHeight="1">
      <c r="A1317" s="66" t="s">
        <v>1128</v>
      </c>
      <c r="B1317" s="39">
        <f t="shared" si="180"/>
        <v>1313</v>
      </c>
      <c r="C1317" s="40">
        <v>46051</v>
      </c>
      <c r="D1317" s="40" t="s">
        <v>80</v>
      </c>
      <c r="E1317" s="40" t="s">
        <v>33</v>
      </c>
      <c r="F1317" s="41">
        <v>375</v>
      </c>
      <c r="G1317" s="42" t="s">
        <v>172</v>
      </c>
      <c r="H1317" s="43" t="str">
        <f>IFERROR(VLOOKUP($J1317,'[9]FROM (3)'!$E$4:$F$230,2,FALSE),"")</f>
        <v>ATAC</v>
      </c>
      <c r="I1317" s="44" t="str">
        <f t="shared" si="179"/>
        <v>SEAT,WATER PUMP PULLEY</v>
      </c>
      <c r="J1317" s="44" t="str">
        <f t="shared" si="176"/>
        <v>16171-05030</v>
      </c>
      <c r="K1317" s="59" t="str">
        <f t="shared" si="178"/>
        <v>PD26010860</v>
      </c>
      <c r="L1317" s="46" t="str" cm="1">
        <f t="array" ref="L1317">IFERROR(_xlfn.IFS(
    LEN($A1317)-LEN(SUBSTITUTE($A1317,"|",""))=12, RIGHT(A1317, LEN(A1317)-FIND("~", SUBSTITUTE(A1317,"|","~", LEN(A1317)-LEN(SUBSTITUTE(A1317,"|",""))))),
    LEN($A1317)-LEN(SUBSTITUTE($A1317,"|",""))=13, MID($A1317, FIND("~", SUBSTITUTE($A1317,"|","~", 11))+1, FIND("~", SUBSTITUTE($A1317,"|","~", 12))-FIND("~", SUBSTITUTE($A1317,"|","~", 11))-1),
    LEN($A1317)-LEN(SUBSTITUTE($A1317,"|",""))=14, MID($A1317, FIND("~", SUBSTITUTE($A1317,"|","~", 11))+1, FIND("~", SUBSTITUTE($A1317,"|","~", 12))-FIND("~", SUBSTITUTE($A1317,"|","~", 11))-1)
), "")</f>
        <v>665900</v>
      </c>
      <c r="M1317" s="72" t="str">
        <f t="shared" si="177"/>
        <v>SB010105/1/26</v>
      </c>
      <c r="N1317" s="46" t="str">
        <f t="shared" si="175"/>
        <v/>
      </c>
      <c r="O1317" s="76">
        <v>14</v>
      </c>
      <c r="P1317" s="76">
        <v>990</v>
      </c>
      <c r="Q1317" s="77">
        <v>1249</v>
      </c>
      <c r="R1317" s="77">
        <v>468</v>
      </c>
      <c r="S1317" s="77" t="s">
        <v>35</v>
      </c>
      <c r="T1317" s="77"/>
      <c r="U1317" s="83"/>
      <c r="V1317" s="83"/>
      <c r="W1317" s="78"/>
      <c r="X1317" s="51" t="str">
        <f>IF(A1317="", "", IF(COUNTIFS(C$3:C1316, C1317, D$3:D1316, D1317, G$3:G1316, G1317) &gt; 0, "", "11:00"-AW1317))</f>
        <v/>
      </c>
      <c r="Y1317" s="79"/>
      <c r="Z1317" s="80"/>
      <c r="AA1317" s="81"/>
      <c r="AB1317" s="81"/>
      <c r="AC1317" s="81"/>
      <c r="AD1317" s="81"/>
      <c r="AE1317" s="81"/>
      <c r="AF1317" s="81"/>
      <c r="AG1317" s="81"/>
      <c r="AH1317" s="82"/>
      <c r="AI1317" s="81"/>
      <c r="AJ1317" s="81"/>
      <c r="AK1317" s="81"/>
      <c r="AL1317" s="81"/>
      <c r="AM1317" s="81"/>
      <c r="AN1317" s="81"/>
      <c r="AO1317" s="81"/>
      <c r="AP1317" s="81"/>
      <c r="AQ1317" s="81"/>
      <c r="AR1317" s="81"/>
      <c r="AS1317" s="81"/>
      <c r="AT1317" s="81"/>
      <c r="AU1317" s="53">
        <v>4.1666666666666699E-2</v>
      </c>
      <c r="AV1317" s="54" t="s">
        <v>37</v>
      </c>
      <c r="AW1317" s="57">
        <f t="shared" si="174"/>
        <v>4.1666666666666699E-2</v>
      </c>
      <c r="AX1317" s="58" t="s">
        <v>109</v>
      </c>
    </row>
    <row r="1318" spans="1:50" ht="28.5" customHeight="1">
      <c r="A1318" s="66" t="s">
        <v>1129</v>
      </c>
      <c r="B1318" s="39">
        <f t="shared" si="180"/>
        <v>1314</v>
      </c>
      <c r="C1318" s="40">
        <v>46051</v>
      </c>
      <c r="D1318" s="40" t="s">
        <v>80</v>
      </c>
      <c r="E1318" s="40" t="s">
        <v>33</v>
      </c>
      <c r="F1318" s="41">
        <v>56</v>
      </c>
      <c r="G1318" s="42" t="s">
        <v>46</v>
      </c>
      <c r="H1318" s="43" t="str">
        <f>IFERROR(VLOOKUP($J1318,'[9]FROM (3)'!$E$4:$F$230,2,FALSE),"")</f>
        <v>DNTH</v>
      </c>
      <c r="I1318" s="44" t="str">
        <f t="shared" si="179"/>
        <v>PLUNGER</v>
      </c>
      <c r="J1318" s="44" t="str">
        <f t="shared" si="176"/>
        <v>TG053661-7151</v>
      </c>
      <c r="K1318" s="59" t="str">
        <f t="shared" si="178"/>
        <v>PD26011340</v>
      </c>
      <c r="L1318" s="46" t="str" cm="1">
        <f t="array" ref="L1318">IFERROR(_xlfn.IFS(
    LEN($A1318)-LEN(SUBSTITUTE($A1318,"|",""))=12, RIGHT(A1318, LEN(A1318)-FIND("~", SUBSTITUTE(A1318,"|","~", LEN(A1318)-LEN(SUBSTITUTE(A1318,"|",""))))),
    LEN($A1318)-LEN(SUBSTITUTE($A1318,"|",""))=13, MID($A1318, FIND("~", SUBSTITUTE($A1318,"|","~", 11))+1, FIND("~", SUBSTITUTE($A1318,"|","~", 12))-FIND("~", SUBSTITUTE($A1318,"|","~", 11))-1),
    LEN($A1318)-LEN(SUBSTITUTE($A1318,"|",""))=14, MID($A1318, FIND("~", SUBSTITUTE($A1318,"|","~", 11))+1, FIND("~", SUBSTITUTE($A1318,"|","~", 12))-FIND("~", SUBSTITUTE($A1318,"|","~", 11))-1)
), "")</f>
        <v>5A5885</v>
      </c>
      <c r="M1318" s="72" t="str">
        <f t="shared" si="177"/>
        <v>SB010184/1/26</v>
      </c>
      <c r="N1318" s="46" t="str">
        <f t="shared" si="175"/>
        <v/>
      </c>
      <c r="O1318" s="76">
        <v>46</v>
      </c>
      <c r="P1318" s="76">
        <v>812</v>
      </c>
      <c r="Q1318" s="77">
        <v>3659</v>
      </c>
      <c r="R1318" s="77">
        <v>541</v>
      </c>
      <c r="S1318" s="77" t="s">
        <v>35</v>
      </c>
      <c r="T1318" s="77"/>
      <c r="U1318" s="83"/>
      <c r="V1318" s="83"/>
      <c r="W1318" s="78"/>
      <c r="X1318" s="51">
        <f>IF(A1318="", "", IF(COUNTIFS(C$3:C1317, C1318, D$3:D1317, D1318, G$3:G1317, G1318) &gt; 0, "", "11:00"-AW1318))</f>
        <v>0.31249999999999994</v>
      </c>
      <c r="Y1318" s="79"/>
      <c r="Z1318" s="80">
        <v>2.0833333333333332E-2</v>
      </c>
      <c r="AA1318" s="81" t="s">
        <v>67</v>
      </c>
      <c r="AB1318" s="81"/>
      <c r="AC1318" s="81"/>
      <c r="AD1318" s="81"/>
      <c r="AE1318" s="81"/>
      <c r="AF1318" s="81"/>
      <c r="AG1318" s="81"/>
      <c r="AH1318" s="82"/>
      <c r="AI1318" s="81"/>
      <c r="AJ1318" s="81"/>
      <c r="AK1318" s="81"/>
      <c r="AL1318" s="81"/>
      <c r="AM1318" s="81"/>
      <c r="AN1318" s="81"/>
      <c r="AO1318" s="81"/>
      <c r="AP1318" s="81"/>
      <c r="AQ1318" s="81">
        <v>4.1666666666666664E-2</v>
      </c>
      <c r="AR1318" s="81" t="s">
        <v>37</v>
      </c>
      <c r="AS1318" s="81">
        <v>4.1666666666666664E-2</v>
      </c>
      <c r="AT1318" s="81" t="s">
        <v>37</v>
      </c>
      <c r="AU1318" s="53">
        <v>4.1666666666666699E-2</v>
      </c>
      <c r="AV1318" s="54" t="s">
        <v>37</v>
      </c>
      <c r="AW1318" s="57">
        <f t="shared" si="174"/>
        <v>0.14583333333333337</v>
      </c>
      <c r="AX1318" s="58" t="s">
        <v>109</v>
      </c>
    </row>
    <row r="1319" spans="1:50" ht="28.5" customHeight="1">
      <c r="A1319" s="66" t="s">
        <v>1030</v>
      </c>
      <c r="B1319" s="39">
        <f t="shared" si="180"/>
        <v>1315</v>
      </c>
      <c r="C1319" s="40">
        <v>46051</v>
      </c>
      <c r="D1319" s="40" t="s">
        <v>80</v>
      </c>
      <c r="E1319" s="40" t="s">
        <v>33</v>
      </c>
      <c r="F1319" s="41">
        <v>765.7</v>
      </c>
      <c r="G1319" s="42" t="s">
        <v>85</v>
      </c>
      <c r="H1319" s="43" t="str">
        <f>IFERROR(VLOOKUP($J1319,'[9]FROM (3)'!$E$4:$F$230,2,FALSE),"")</f>
        <v>JTCS</v>
      </c>
      <c r="I1319" s="44" t="str">
        <f t="shared" si="179"/>
        <v>RACK, PS</v>
      </c>
      <c r="J1319" s="44" t="str">
        <f t="shared" si="176"/>
        <v>JGD10-001230-40-0</v>
      </c>
      <c r="K1319" s="59" t="str">
        <f t="shared" si="178"/>
        <v>PD26011091</v>
      </c>
      <c r="L1319" s="46" t="str" cm="1">
        <f t="array" ref="L1319">IFERROR(_xlfn.IFS(
    LEN($A1319)-LEN(SUBSTITUTE($A1319,"|",""))=12, RIGHT(A1319, LEN(A1319)-FIND("~", SUBSTITUTE(A1319,"|","~", LEN(A1319)-LEN(SUBSTITUTE(A1319,"|",""))))),
    LEN($A1319)-LEN(SUBSTITUTE($A1319,"|",""))=13, MID($A1319, FIND("~", SUBSTITUTE($A1319,"|","~", 11))+1, FIND("~", SUBSTITUTE($A1319,"|","~", 12))-FIND("~", SUBSTITUTE($A1319,"|","~", 11))-1),
    LEN($A1319)-LEN(SUBSTITUTE($A1319,"|",""))=14, MID($A1319, FIND("~", SUBSTITUTE($A1319,"|","~", 11))+1, FIND("~", SUBSTITUTE($A1319,"|","~", 12))-FIND("~", SUBSTITUTE($A1319,"|","~", 11))-1)
), "")</f>
        <v>E586236</v>
      </c>
      <c r="M1319" s="72" t="str">
        <f t="shared" si="177"/>
        <v>SB010146/5/26</v>
      </c>
      <c r="N1319" s="46" t="str">
        <f t="shared" si="175"/>
        <v/>
      </c>
      <c r="O1319" s="76" t="s">
        <v>35</v>
      </c>
      <c r="P1319" s="76" t="s">
        <v>35</v>
      </c>
      <c r="Q1319" s="77">
        <v>94</v>
      </c>
      <c r="R1319" s="77">
        <v>462</v>
      </c>
      <c r="S1319" s="77" t="s">
        <v>35</v>
      </c>
      <c r="T1319" s="77"/>
      <c r="U1319" s="83"/>
      <c r="V1319" s="83"/>
      <c r="W1319" s="78"/>
      <c r="X1319" s="51">
        <f>IF(A1319="", "", IF(COUNTIFS(C$3:C1318, C1319, D$3:D1318, D1319, G$3:G1318, G1319) &gt; 0, "", "11:00"-AW1319))</f>
        <v>0.29166666666666663</v>
      </c>
      <c r="Y1319" s="79"/>
      <c r="Z1319" s="80"/>
      <c r="AA1319" s="81"/>
      <c r="AB1319" s="81"/>
      <c r="AC1319" s="81"/>
      <c r="AD1319" s="81"/>
      <c r="AE1319" s="81"/>
      <c r="AF1319" s="81"/>
      <c r="AG1319" s="81"/>
      <c r="AH1319" s="82"/>
      <c r="AI1319" s="81"/>
      <c r="AJ1319" s="81"/>
      <c r="AK1319" s="81">
        <v>2.0833333333333332E-2</v>
      </c>
      <c r="AL1319" s="81" t="s">
        <v>67</v>
      </c>
      <c r="AM1319" s="81">
        <v>2.0833333333333332E-2</v>
      </c>
      <c r="AN1319" s="81" t="s">
        <v>67</v>
      </c>
      <c r="AO1319" s="81"/>
      <c r="AP1319" s="81"/>
      <c r="AQ1319" s="81">
        <v>4.1666666666666664E-2</v>
      </c>
      <c r="AR1319" s="81" t="s">
        <v>37</v>
      </c>
      <c r="AS1319" s="81">
        <v>4.1666666666666664E-2</v>
      </c>
      <c r="AT1319" s="81" t="s">
        <v>37</v>
      </c>
      <c r="AU1319" s="53">
        <v>4.1666666666666699E-2</v>
      </c>
      <c r="AV1319" s="54" t="s">
        <v>37</v>
      </c>
      <c r="AW1319" s="57">
        <f t="shared" si="174"/>
        <v>0.16666666666666669</v>
      </c>
      <c r="AX1319" s="58" t="s">
        <v>86</v>
      </c>
    </row>
    <row r="1320" spans="1:50" ht="28.5" customHeight="1">
      <c r="A1320" s="66" t="s">
        <v>1130</v>
      </c>
      <c r="B1320" s="39">
        <f t="shared" si="180"/>
        <v>1316</v>
      </c>
      <c r="C1320" s="40">
        <v>46051</v>
      </c>
      <c r="D1320" s="40" t="s">
        <v>80</v>
      </c>
      <c r="E1320" s="40" t="s">
        <v>33</v>
      </c>
      <c r="F1320" s="41">
        <v>765.7</v>
      </c>
      <c r="G1320" s="42" t="s">
        <v>85</v>
      </c>
      <c r="H1320" s="43" t="str">
        <f>IFERROR(VLOOKUP($J1320,'[9]FROM (3)'!$E$4:$F$230,2,FALSE),"")</f>
        <v>JTCS</v>
      </c>
      <c r="I1320" s="44" t="str">
        <f t="shared" si="179"/>
        <v>RACK, PS</v>
      </c>
      <c r="J1320" s="44" t="str">
        <f t="shared" si="176"/>
        <v>JGD10-001230-40-0</v>
      </c>
      <c r="K1320" s="59" t="str">
        <f t="shared" si="178"/>
        <v>PD26011091</v>
      </c>
      <c r="L1320" s="46" t="str" cm="1">
        <f t="array" ref="L1320">IFERROR(_xlfn.IFS(
    LEN($A1320)-LEN(SUBSTITUTE($A1320,"|",""))=12, RIGHT(A1320, LEN(A1320)-FIND("~", SUBSTITUTE(A1320,"|","~", LEN(A1320)-LEN(SUBSTITUTE(A1320,"|",""))))),
    LEN($A1320)-LEN(SUBSTITUTE($A1320,"|",""))=13, MID($A1320, FIND("~", SUBSTITUTE($A1320,"|","~", 11))+1, FIND("~", SUBSTITUTE($A1320,"|","~", 12))-FIND("~", SUBSTITUTE($A1320,"|","~", 11))-1),
    LEN($A1320)-LEN(SUBSTITUTE($A1320,"|",""))=14, MID($A1320, FIND("~", SUBSTITUTE($A1320,"|","~", 11))+1, FIND("~", SUBSTITUTE($A1320,"|","~", 12))-FIND("~", SUBSTITUTE($A1320,"|","~", 11))-1)
), "")</f>
        <v>E586236</v>
      </c>
      <c r="M1320" s="72" t="str">
        <f t="shared" si="177"/>
        <v>SB010146/6/26</v>
      </c>
      <c r="N1320" s="46" t="str">
        <f t="shared" si="175"/>
        <v/>
      </c>
      <c r="O1320" s="76">
        <v>25</v>
      </c>
      <c r="P1320" s="76">
        <v>890</v>
      </c>
      <c r="Q1320" s="77">
        <v>175</v>
      </c>
      <c r="R1320" s="77">
        <v>859</v>
      </c>
      <c r="S1320" s="77" t="s">
        <v>35</v>
      </c>
      <c r="T1320" s="77"/>
      <c r="U1320" s="83">
        <v>78</v>
      </c>
      <c r="V1320" s="83">
        <v>8</v>
      </c>
      <c r="W1320" s="78"/>
      <c r="X1320" s="51" t="str">
        <f>IF(A1320="", "", IF(COUNTIFS(C$3:C1319, C1320, D$3:D1319, D1320, G$3:G1319, G1320) &gt; 0, "", "11:00"-AW1320))</f>
        <v/>
      </c>
      <c r="Y1320" s="79"/>
      <c r="Z1320" s="80"/>
      <c r="AA1320" s="81"/>
      <c r="AB1320" s="81"/>
      <c r="AC1320" s="81"/>
      <c r="AD1320" s="81"/>
      <c r="AE1320" s="81"/>
      <c r="AF1320" s="81"/>
      <c r="AG1320" s="81"/>
      <c r="AH1320" s="82"/>
      <c r="AI1320" s="81"/>
      <c r="AJ1320" s="81"/>
      <c r="AK1320" s="81"/>
      <c r="AL1320" s="81"/>
      <c r="AM1320" s="81"/>
      <c r="AN1320" s="81"/>
      <c r="AO1320" s="81"/>
      <c r="AP1320" s="81"/>
      <c r="AQ1320" s="81"/>
      <c r="AR1320" s="81"/>
      <c r="AS1320" s="81"/>
      <c r="AT1320" s="81"/>
      <c r="AU1320" s="53">
        <v>4.1666666666666699E-2</v>
      </c>
      <c r="AV1320" s="54" t="s">
        <v>37</v>
      </c>
      <c r="AW1320" s="57">
        <f t="shared" ref="AW1320:AW1383" si="181">SUM(Z1320,AB1320,AD1320,AF1320,AI1320,AK1320,AM1320,AO1320,AQ1320,AS1320,AU1320)</f>
        <v>4.1666666666666699E-2</v>
      </c>
      <c r="AX1320" s="58" t="s">
        <v>86</v>
      </c>
    </row>
    <row r="1321" spans="1:50" ht="28.5" customHeight="1">
      <c r="A1321" s="66" t="s">
        <v>1131</v>
      </c>
      <c r="B1321" s="39">
        <f t="shared" si="180"/>
        <v>1317</v>
      </c>
      <c r="C1321" s="40">
        <v>46051</v>
      </c>
      <c r="D1321" s="40" t="s">
        <v>80</v>
      </c>
      <c r="E1321" s="40" t="s">
        <v>33</v>
      </c>
      <c r="F1321" s="41">
        <v>765.7</v>
      </c>
      <c r="G1321" s="42" t="s">
        <v>85</v>
      </c>
      <c r="H1321" s="43" t="str">
        <f>IFERROR(VLOOKUP($J1321,'[9]FROM (3)'!$E$4:$F$230,2,FALSE),"")</f>
        <v>JTCS</v>
      </c>
      <c r="I1321" s="44" t="str">
        <f t="shared" si="179"/>
        <v>RACK, PS</v>
      </c>
      <c r="J1321" s="44" t="str">
        <f t="shared" si="176"/>
        <v>JGD10-001230-40-0</v>
      </c>
      <c r="K1321" s="59" t="str">
        <f t="shared" si="178"/>
        <v>PD26011092</v>
      </c>
      <c r="L1321" s="46" t="str" cm="1">
        <f t="array" ref="L1321">IFERROR(_xlfn.IFS(
    LEN($A1321)-LEN(SUBSTITUTE($A1321,"|",""))=12, RIGHT(A1321, LEN(A1321)-FIND("~", SUBSTITUTE(A1321,"|","~", LEN(A1321)-LEN(SUBSTITUTE(A1321,"|",""))))),
    LEN($A1321)-LEN(SUBSTITUTE($A1321,"|",""))=13, MID($A1321, FIND("~", SUBSTITUTE($A1321,"|","~", 11))+1, FIND("~", SUBSTITUTE($A1321,"|","~", 12))-FIND("~", SUBSTITUTE($A1321,"|","~", 11))-1),
    LEN($A1321)-LEN(SUBSTITUTE($A1321,"|",""))=14, MID($A1321, FIND("~", SUBSTITUTE($A1321,"|","~", 11))+1, FIND("~", SUBSTITUTE($A1321,"|","~", 12))-FIND("~", SUBSTITUTE($A1321,"|","~", 11))-1)
), "")</f>
        <v>E586967</v>
      </c>
      <c r="M1321" s="72" t="str">
        <f t="shared" si="177"/>
        <v>SB010148/1/26</v>
      </c>
      <c r="N1321" s="46" t="str">
        <f t="shared" si="175"/>
        <v/>
      </c>
      <c r="O1321" s="76">
        <v>25</v>
      </c>
      <c r="P1321" s="76">
        <v>890</v>
      </c>
      <c r="Q1321" s="77">
        <v>175</v>
      </c>
      <c r="R1321" s="77">
        <v>859</v>
      </c>
      <c r="S1321" s="77" t="s">
        <v>35</v>
      </c>
      <c r="T1321" s="77"/>
      <c r="U1321" s="83"/>
      <c r="V1321" s="84"/>
      <c r="W1321" s="78"/>
      <c r="X1321" s="51" t="str">
        <f>IF(A1321="", "", IF(COUNTIFS(C$3:C1320, C1321, D$3:D1320, D1321, G$3:G1320, G1321) &gt; 0, "", "11:00"-AW1321))</f>
        <v/>
      </c>
      <c r="Y1321" s="79"/>
      <c r="Z1321" s="80"/>
      <c r="AA1321" s="81"/>
      <c r="AB1321" s="81"/>
      <c r="AC1321" s="81"/>
      <c r="AD1321" s="81"/>
      <c r="AE1321" s="81"/>
      <c r="AF1321" s="81"/>
      <c r="AG1321" s="81"/>
      <c r="AH1321" s="82"/>
      <c r="AI1321" s="81"/>
      <c r="AJ1321" s="81"/>
      <c r="AK1321" s="81"/>
      <c r="AL1321" s="81"/>
      <c r="AM1321" s="81"/>
      <c r="AN1321" s="81"/>
      <c r="AO1321" s="81"/>
      <c r="AP1321" s="81"/>
      <c r="AQ1321" s="81"/>
      <c r="AR1321" s="81"/>
      <c r="AS1321" s="81"/>
      <c r="AT1321" s="81"/>
      <c r="AU1321" s="53">
        <v>4.1666666666666699E-2</v>
      </c>
      <c r="AV1321" s="54" t="s">
        <v>37</v>
      </c>
      <c r="AW1321" s="57">
        <f t="shared" si="181"/>
        <v>4.1666666666666699E-2</v>
      </c>
      <c r="AX1321" s="58" t="s">
        <v>86</v>
      </c>
    </row>
    <row r="1322" spans="1:50" ht="28.5" customHeight="1">
      <c r="A1322" s="66" t="s">
        <v>1132</v>
      </c>
      <c r="B1322" s="39">
        <f t="shared" si="180"/>
        <v>1318</v>
      </c>
      <c r="C1322" s="40">
        <v>46051</v>
      </c>
      <c r="D1322" s="40" t="s">
        <v>80</v>
      </c>
      <c r="E1322" s="40" t="s">
        <v>33</v>
      </c>
      <c r="F1322" s="41">
        <v>765.7</v>
      </c>
      <c r="G1322" s="42" t="s">
        <v>85</v>
      </c>
      <c r="H1322" s="43" t="str">
        <f>IFERROR(VLOOKUP($J1322,'[9]FROM (3)'!$E$4:$F$230,2,FALSE),"")</f>
        <v>JTCS</v>
      </c>
      <c r="I1322" s="44" t="str">
        <f t="shared" si="179"/>
        <v>RACK, PS</v>
      </c>
      <c r="J1322" s="44" t="str">
        <f t="shared" si="176"/>
        <v>JGD10-001230-40-0</v>
      </c>
      <c r="K1322" s="59" t="str">
        <f t="shared" si="178"/>
        <v>PD26011092</v>
      </c>
      <c r="L1322" s="46" t="str" cm="1">
        <f t="array" ref="L1322">IFERROR(_xlfn.IFS(
    LEN($A1322)-LEN(SUBSTITUTE($A1322,"|",""))=12, RIGHT(A1322, LEN(A1322)-FIND("~", SUBSTITUTE(A1322,"|","~", LEN(A1322)-LEN(SUBSTITUTE(A1322,"|",""))))),
    LEN($A1322)-LEN(SUBSTITUTE($A1322,"|",""))=13, MID($A1322, FIND("~", SUBSTITUTE($A1322,"|","~", 11))+1, FIND("~", SUBSTITUTE($A1322,"|","~", 12))-FIND("~", SUBSTITUTE($A1322,"|","~", 11))-1),
    LEN($A1322)-LEN(SUBSTITUTE($A1322,"|",""))=14, MID($A1322, FIND("~", SUBSTITUTE($A1322,"|","~", 11))+1, FIND("~", SUBSTITUTE($A1322,"|","~", 12))-FIND("~", SUBSTITUTE($A1322,"|","~", 11))-1)
), "")</f>
        <v>E586967</v>
      </c>
      <c r="M1322" s="72" t="str">
        <f t="shared" si="177"/>
        <v>SB010148/2/26</v>
      </c>
      <c r="N1322" s="46" t="str">
        <f t="shared" si="175"/>
        <v/>
      </c>
      <c r="O1322" s="76">
        <v>22</v>
      </c>
      <c r="P1322" s="76">
        <v>785</v>
      </c>
      <c r="Q1322" s="77">
        <v>154</v>
      </c>
      <c r="R1322" s="77">
        <v>756</v>
      </c>
      <c r="S1322" s="77" t="s">
        <v>35</v>
      </c>
      <c r="T1322" s="77"/>
      <c r="U1322" s="83"/>
      <c r="V1322" s="83"/>
      <c r="W1322" s="78"/>
      <c r="X1322" s="51" t="str">
        <f>IF(A1322="", "", IF(COUNTIFS(C$3:C1321, C1322, D$3:D1321, D1322, G$3:G1321, G1322) &gt; 0, "", "11:00"-AW1322))</f>
        <v/>
      </c>
      <c r="Y1322" s="79"/>
      <c r="Z1322" s="80"/>
      <c r="AA1322" s="81"/>
      <c r="AB1322" s="81"/>
      <c r="AC1322" s="81"/>
      <c r="AD1322" s="81"/>
      <c r="AE1322" s="81"/>
      <c r="AF1322" s="81"/>
      <c r="AG1322" s="81"/>
      <c r="AH1322" s="82"/>
      <c r="AI1322" s="81"/>
      <c r="AJ1322" s="81"/>
      <c r="AK1322" s="81"/>
      <c r="AL1322" s="81"/>
      <c r="AM1322" s="81"/>
      <c r="AN1322" s="81"/>
      <c r="AO1322" s="81"/>
      <c r="AP1322" s="81"/>
      <c r="AQ1322" s="81"/>
      <c r="AR1322" s="81"/>
      <c r="AS1322" s="81"/>
      <c r="AT1322" s="81"/>
      <c r="AU1322" s="53">
        <v>4.1666666666666699E-2</v>
      </c>
      <c r="AV1322" s="54" t="s">
        <v>37</v>
      </c>
      <c r="AW1322" s="57">
        <f t="shared" si="181"/>
        <v>4.1666666666666699E-2</v>
      </c>
      <c r="AX1322" s="58" t="s">
        <v>86</v>
      </c>
    </row>
    <row r="1323" spans="1:50" ht="28.5" customHeight="1">
      <c r="A1323" s="66" t="s">
        <v>1133</v>
      </c>
      <c r="B1323" s="39">
        <f t="shared" si="180"/>
        <v>1319</v>
      </c>
      <c r="C1323" s="40">
        <v>46051</v>
      </c>
      <c r="D1323" s="40" t="s">
        <v>80</v>
      </c>
      <c r="E1323" s="40" t="s">
        <v>33</v>
      </c>
      <c r="F1323" s="41">
        <v>765.7</v>
      </c>
      <c r="G1323" s="42" t="s">
        <v>85</v>
      </c>
      <c r="H1323" s="43" t="str">
        <f>IFERROR(VLOOKUP($J1323,'[9]FROM (3)'!$E$4:$F$230,2,FALSE),"")</f>
        <v>JTCS</v>
      </c>
      <c r="I1323" s="44" t="str">
        <f t="shared" si="179"/>
        <v>RACK, PS</v>
      </c>
      <c r="J1323" s="44" t="str">
        <f t="shared" si="176"/>
        <v>JGD10-001230-40-0</v>
      </c>
      <c r="K1323" s="59" t="str">
        <f t="shared" si="178"/>
        <v>PD26011092</v>
      </c>
      <c r="L1323" s="46" t="str" cm="1">
        <f t="array" ref="L1323">IFERROR(_xlfn.IFS(
    LEN($A1323)-LEN(SUBSTITUTE($A1323,"|",""))=12, RIGHT(A1323, LEN(A1323)-FIND("~", SUBSTITUTE(A1323,"|","~", LEN(A1323)-LEN(SUBSTITUTE(A1323,"|",""))))),
    LEN($A1323)-LEN(SUBSTITUTE($A1323,"|",""))=13, MID($A1323, FIND("~", SUBSTITUTE($A1323,"|","~", 11))+1, FIND("~", SUBSTITUTE($A1323,"|","~", 12))-FIND("~", SUBSTITUTE($A1323,"|","~", 11))-1),
    LEN($A1323)-LEN(SUBSTITUTE($A1323,"|",""))=14, MID($A1323, FIND("~", SUBSTITUTE($A1323,"|","~", 11))+1, FIND("~", SUBSTITUTE($A1323,"|","~", 12))-FIND("~", SUBSTITUTE($A1323,"|","~", 11))-1)
), "")</f>
        <v>E586967</v>
      </c>
      <c r="M1323" s="72" t="str">
        <f t="shared" si="177"/>
        <v>SB010148/3/26</v>
      </c>
      <c r="N1323" s="46" t="str">
        <f t="shared" si="175"/>
        <v/>
      </c>
      <c r="O1323" s="76">
        <v>3</v>
      </c>
      <c r="P1323" s="76">
        <v>105</v>
      </c>
      <c r="Q1323" s="77">
        <v>15</v>
      </c>
      <c r="R1323" s="77">
        <v>74</v>
      </c>
      <c r="S1323" s="77">
        <v>6</v>
      </c>
      <c r="T1323" s="77" t="s">
        <v>167</v>
      </c>
      <c r="U1323" s="83">
        <v>52</v>
      </c>
      <c r="V1323" s="83">
        <v>5</v>
      </c>
      <c r="W1323" s="78"/>
      <c r="X1323" s="51" t="str">
        <f>IF(A1323="", "", IF(COUNTIFS(C$3:C1322, C1323, D$3:D1322, D1323, G$3:G1322, G1323) &gt; 0, "", "11:00"-AW1323))</f>
        <v/>
      </c>
      <c r="Y1323" s="79"/>
      <c r="Z1323" s="80"/>
      <c r="AA1323" s="81"/>
      <c r="AB1323" s="81"/>
      <c r="AC1323" s="81"/>
      <c r="AD1323" s="81"/>
      <c r="AE1323" s="81"/>
      <c r="AF1323" s="81"/>
      <c r="AG1323" s="81"/>
      <c r="AH1323" s="82"/>
      <c r="AI1323" s="81"/>
      <c r="AJ1323" s="81"/>
      <c r="AK1323" s="81"/>
      <c r="AL1323" s="81"/>
      <c r="AM1323" s="81"/>
      <c r="AN1323" s="81"/>
      <c r="AO1323" s="81"/>
      <c r="AP1323" s="81"/>
      <c r="AQ1323" s="81"/>
      <c r="AR1323" s="81"/>
      <c r="AS1323" s="81"/>
      <c r="AT1323" s="81"/>
      <c r="AU1323" s="53">
        <v>4.1666666666666699E-2</v>
      </c>
      <c r="AV1323" s="54" t="s">
        <v>37</v>
      </c>
      <c r="AW1323" s="57">
        <f t="shared" si="181"/>
        <v>4.1666666666666699E-2</v>
      </c>
      <c r="AX1323" s="58" t="s">
        <v>86</v>
      </c>
    </row>
    <row r="1324" spans="1:50" ht="28.5" customHeight="1">
      <c r="A1324" s="66" t="s">
        <v>1134</v>
      </c>
      <c r="B1324" s="39">
        <f t="shared" si="180"/>
        <v>1320</v>
      </c>
      <c r="C1324" s="40">
        <v>46051</v>
      </c>
      <c r="D1324" s="40" t="s">
        <v>80</v>
      </c>
      <c r="E1324" s="40" t="s">
        <v>33</v>
      </c>
      <c r="F1324" s="41">
        <v>721.5</v>
      </c>
      <c r="G1324" s="42" t="s">
        <v>85</v>
      </c>
      <c r="H1324" s="43" t="str">
        <f>IFERROR(VLOOKUP($J1324,'[9]FROM (3)'!$E$4:$F$230,2,FALSE),"")</f>
        <v>JCTTH</v>
      </c>
      <c r="I1324" s="44" t="str">
        <f t="shared" si="179"/>
        <v>RACK POWER STEERING</v>
      </c>
      <c r="J1324" s="44" t="str">
        <f t="shared" si="176"/>
        <v>2-30JG-0711</v>
      </c>
      <c r="K1324" s="59" t="str">
        <f t="shared" si="178"/>
        <v>PD26010794</v>
      </c>
      <c r="L1324" s="46" t="str" cm="1">
        <f t="array" ref="L1324">IFERROR(_xlfn.IFS(
    LEN($A1324)-LEN(SUBSTITUTE($A1324,"|",""))=12, RIGHT(A1324, LEN(A1324)-FIND("~", SUBSTITUTE(A1324,"|","~", LEN(A1324)-LEN(SUBSTITUTE(A1324,"|",""))))),
    LEN($A1324)-LEN(SUBSTITUTE($A1324,"|",""))=13, MID($A1324, FIND("~", SUBSTITUTE($A1324,"|","~", 11))+1, FIND("~", SUBSTITUTE($A1324,"|","~", 12))-FIND("~", SUBSTITUTE($A1324,"|","~", 11))-1),
    LEN($A1324)-LEN(SUBSTITUTE($A1324,"|",""))=14, MID($A1324, FIND("~", SUBSTITUTE($A1324,"|","~", 11))+1, FIND("~", SUBSTITUTE($A1324,"|","~", 12))-FIND("~", SUBSTITUTE($A1324,"|","~", 11))-1)
), "")</f>
        <v>E586102</v>
      </c>
      <c r="M1324" s="72" t="str">
        <f t="shared" si="177"/>
        <v>SB010095/1/26</v>
      </c>
      <c r="N1324" s="46" t="str">
        <f t="shared" si="175"/>
        <v/>
      </c>
      <c r="O1324" s="76">
        <v>50</v>
      </c>
      <c r="P1324" s="76">
        <v>878</v>
      </c>
      <c r="Q1324" s="77">
        <v>154</v>
      </c>
      <c r="R1324" s="77">
        <v>631</v>
      </c>
      <c r="S1324" s="77" t="s">
        <v>35</v>
      </c>
      <c r="T1324" s="77"/>
      <c r="U1324" s="83"/>
      <c r="V1324" s="83"/>
      <c r="W1324" s="78"/>
      <c r="X1324" s="51" t="str">
        <f>IF(A1324="", "", IF(COUNTIFS(C$3:C1323, C1324, D$3:D1323, D1324, G$3:G1323, G1324) &gt; 0, "", "11:00"-AW1324))</f>
        <v/>
      </c>
      <c r="Y1324" s="79"/>
      <c r="Z1324" s="80"/>
      <c r="AA1324" s="81"/>
      <c r="AB1324" s="81"/>
      <c r="AC1324" s="81"/>
      <c r="AD1324" s="81"/>
      <c r="AE1324" s="81"/>
      <c r="AF1324" s="81"/>
      <c r="AG1324" s="81"/>
      <c r="AH1324" s="82"/>
      <c r="AI1324" s="81"/>
      <c r="AJ1324" s="81"/>
      <c r="AK1324" s="81"/>
      <c r="AL1324" s="81"/>
      <c r="AM1324" s="81"/>
      <c r="AN1324" s="81"/>
      <c r="AO1324" s="81"/>
      <c r="AP1324" s="81"/>
      <c r="AQ1324" s="81"/>
      <c r="AR1324" s="81"/>
      <c r="AS1324" s="81"/>
      <c r="AT1324" s="81"/>
      <c r="AU1324" s="53">
        <v>4.1666666666666699E-2</v>
      </c>
      <c r="AV1324" s="54" t="s">
        <v>37</v>
      </c>
      <c r="AW1324" s="57">
        <f t="shared" si="181"/>
        <v>4.1666666666666699E-2</v>
      </c>
      <c r="AX1324" s="58" t="s">
        <v>86</v>
      </c>
    </row>
    <row r="1325" spans="1:50" ht="28.5" customHeight="1">
      <c r="A1325" s="66" t="s">
        <v>1110</v>
      </c>
      <c r="B1325" s="39">
        <f t="shared" si="180"/>
        <v>1321</v>
      </c>
      <c r="C1325" s="40">
        <v>46051</v>
      </c>
      <c r="D1325" s="40" t="s">
        <v>80</v>
      </c>
      <c r="E1325" s="40" t="s">
        <v>33</v>
      </c>
      <c r="F1325" s="41">
        <v>655.4</v>
      </c>
      <c r="G1325" s="42" t="s">
        <v>66</v>
      </c>
      <c r="H1325" s="43" t="str">
        <f>IFERROR(VLOOKUP($J1325,'[9]FROM (3)'!$E$4:$F$230,2,FALSE),"")</f>
        <v>JAMY</v>
      </c>
      <c r="I1325" s="44" t="str">
        <f t="shared" si="179"/>
        <v>RACK BAR</v>
      </c>
      <c r="J1325" s="44" t="str">
        <f t="shared" si="176"/>
        <v>JGC10-M09008-51-0</v>
      </c>
      <c r="K1325" s="59" t="str">
        <f t="shared" si="178"/>
        <v>PD26010893</v>
      </c>
      <c r="L1325" s="46" t="str" cm="1">
        <f t="array" ref="L1325">IFERROR(_xlfn.IFS(
    LEN($A1325)-LEN(SUBSTITUTE($A1325,"|",""))=12, RIGHT(A1325, LEN(A1325)-FIND("~", SUBSTITUTE(A1325,"|","~", LEN(A1325)-LEN(SUBSTITUTE(A1325,"|",""))))),
    LEN($A1325)-LEN(SUBSTITUTE($A1325,"|",""))=13, MID($A1325, FIND("~", SUBSTITUTE($A1325,"|","~", 11))+1, FIND("~", SUBSTITUTE($A1325,"|","~", 12))-FIND("~", SUBSTITUTE($A1325,"|","~", 11))-1),
    LEN($A1325)-LEN(SUBSTITUTE($A1325,"|",""))=14, MID($A1325, FIND("~", SUBSTITUTE($A1325,"|","~", 11))+1, FIND("~", SUBSTITUTE($A1325,"|","~", 12))-FIND("~", SUBSTITUTE($A1325,"|","~", 11))-1)
), "")</f>
        <v>E586966</v>
      </c>
      <c r="M1325" s="72" t="str">
        <f t="shared" si="177"/>
        <v>SB010107/5/26</v>
      </c>
      <c r="N1325" s="46" t="str">
        <f t="shared" si="175"/>
        <v/>
      </c>
      <c r="O1325" s="76" t="s">
        <v>35</v>
      </c>
      <c r="P1325" s="76" t="s">
        <v>35</v>
      </c>
      <c r="Q1325" s="77">
        <v>242</v>
      </c>
      <c r="R1325" s="77">
        <v>661</v>
      </c>
      <c r="S1325" s="77">
        <v>7</v>
      </c>
      <c r="T1325" s="77" t="s">
        <v>143</v>
      </c>
      <c r="U1325" s="83">
        <v>96</v>
      </c>
      <c r="V1325" s="83">
        <v>6</v>
      </c>
      <c r="W1325" s="78"/>
      <c r="X1325" s="51">
        <f>IF(A1325="", "", IF(COUNTIFS(C$3:C1324, C1325, D$3:D1324, D1325, G$3:G1324, G1325) &gt; 0, "", "11:00"-AW1325))</f>
        <v>0.27777777777777773</v>
      </c>
      <c r="Y1325" s="79"/>
      <c r="Z1325" s="80">
        <v>1.3888888888888888E-2</v>
      </c>
      <c r="AA1325" s="81" t="s">
        <v>147</v>
      </c>
      <c r="AB1325" s="81"/>
      <c r="AC1325" s="81"/>
      <c r="AD1325" s="81"/>
      <c r="AE1325" s="81"/>
      <c r="AF1325" s="81"/>
      <c r="AG1325" s="81"/>
      <c r="AH1325" s="82"/>
      <c r="AI1325" s="81"/>
      <c r="AJ1325" s="81"/>
      <c r="AK1325" s="81">
        <v>4.1666666666666664E-2</v>
      </c>
      <c r="AL1325" s="81" t="s">
        <v>67</v>
      </c>
      <c r="AM1325" s="81"/>
      <c r="AN1325" s="81"/>
      <c r="AO1325" s="81"/>
      <c r="AP1325" s="81"/>
      <c r="AQ1325" s="81">
        <v>4.1666666666666664E-2</v>
      </c>
      <c r="AR1325" s="81" t="s">
        <v>37</v>
      </c>
      <c r="AS1325" s="81">
        <v>4.1666666666666664E-2</v>
      </c>
      <c r="AT1325" s="81" t="s">
        <v>37</v>
      </c>
      <c r="AU1325" s="53">
        <v>4.1666666666666699E-2</v>
      </c>
      <c r="AV1325" s="54" t="s">
        <v>37</v>
      </c>
      <c r="AW1325" s="57">
        <f t="shared" si="181"/>
        <v>0.18055555555555558</v>
      </c>
      <c r="AX1325" s="58" t="s">
        <v>96</v>
      </c>
    </row>
    <row r="1326" spans="1:50" ht="28.5" customHeight="1">
      <c r="A1326" s="66" t="s">
        <v>1135</v>
      </c>
      <c r="B1326" s="39">
        <f t="shared" si="180"/>
        <v>1322</v>
      </c>
      <c r="C1326" s="40">
        <v>46051</v>
      </c>
      <c r="D1326" s="40" t="s">
        <v>80</v>
      </c>
      <c r="E1326" s="40" t="s">
        <v>33</v>
      </c>
      <c r="F1326" s="41">
        <v>655.4</v>
      </c>
      <c r="G1326" s="42" t="s">
        <v>66</v>
      </c>
      <c r="H1326" s="43" t="str">
        <f>IFERROR(VLOOKUP($J1326,'[9]FROM (3)'!$E$4:$F$230,2,FALSE),"")</f>
        <v>JAMY</v>
      </c>
      <c r="I1326" s="44" t="str">
        <f t="shared" si="179"/>
        <v>RACK BAR</v>
      </c>
      <c r="J1326" s="44" t="str">
        <f t="shared" si="176"/>
        <v>JGC10-M09008-51-0</v>
      </c>
      <c r="K1326" s="59" t="str">
        <f t="shared" si="178"/>
        <v>PD26010893</v>
      </c>
      <c r="L1326" s="46" t="str" cm="1">
        <f t="array" ref="L1326">IFERROR(_xlfn.IFS(
    LEN($A1326)-LEN(SUBSTITUTE($A1326,"|",""))=12, RIGHT(A1326, LEN(A1326)-FIND("~", SUBSTITUTE(A1326,"|","~", LEN(A1326)-LEN(SUBSTITUTE(A1326,"|",""))))),
    LEN($A1326)-LEN(SUBSTITUTE($A1326,"|",""))=13, MID($A1326, FIND("~", SUBSTITUTE($A1326,"|","~", 11))+1, FIND("~", SUBSTITUTE($A1326,"|","~", 12))-FIND("~", SUBSTITUTE($A1326,"|","~", 11))-1),
    LEN($A1326)-LEN(SUBSTITUTE($A1326,"|",""))=14, MID($A1326, FIND("~", SUBSTITUTE($A1326,"|","~", 11))+1, FIND("~", SUBSTITUTE($A1326,"|","~", 12))-FIND("~", SUBSTITUTE($A1326,"|","~", 11))-1)
), "")</f>
        <v>E586966</v>
      </c>
      <c r="M1326" s="72" t="str">
        <f t="shared" si="177"/>
        <v>SB010107/6/26</v>
      </c>
      <c r="N1326" s="46" t="str">
        <f t="shared" si="175"/>
        <v/>
      </c>
      <c r="O1326" s="76">
        <v>54</v>
      </c>
      <c r="P1326" s="76">
        <v>782</v>
      </c>
      <c r="Q1326" s="77">
        <v>270</v>
      </c>
      <c r="R1326" s="77">
        <v>737</v>
      </c>
      <c r="S1326" s="77"/>
      <c r="T1326" s="77"/>
      <c r="U1326" s="83"/>
      <c r="V1326" s="83"/>
      <c r="W1326" s="78"/>
      <c r="X1326" s="51" t="str">
        <f>IF(A1326="", "", IF(COUNTIFS(C$3:C1325, C1326, D$3:D1325, D1326, G$3:G1325, G1326) &gt; 0, "", "11:00"-AW1326))</f>
        <v/>
      </c>
      <c r="Y1326" s="79"/>
      <c r="Z1326" s="80"/>
      <c r="AA1326" s="81"/>
      <c r="AB1326" s="81"/>
      <c r="AC1326" s="81"/>
      <c r="AD1326" s="81"/>
      <c r="AE1326" s="81"/>
      <c r="AF1326" s="81"/>
      <c r="AG1326" s="81"/>
      <c r="AH1326" s="82"/>
      <c r="AI1326" s="81"/>
      <c r="AJ1326" s="81"/>
      <c r="AK1326" s="81"/>
      <c r="AL1326" s="81"/>
      <c r="AM1326" s="81"/>
      <c r="AN1326" s="81"/>
      <c r="AO1326" s="81"/>
      <c r="AP1326" s="81"/>
      <c r="AQ1326" s="81"/>
      <c r="AR1326" s="81"/>
      <c r="AS1326" s="81"/>
      <c r="AT1326" s="81"/>
      <c r="AU1326" s="53">
        <v>4.1666666666666699E-2</v>
      </c>
      <c r="AV1326" s="54" t="s">
        <v>37</v>
      </c>
      <c r="AW1326" s="57">
        <f t="shared" si="181"/>
        <v>4.1666666666666699E-2</v>
      </c>
      <c r="AX1326" s="58" t="s">
        <v>96</v>
      </c>
    </row>
    <row r="1327" spans="1:50" ht="28.5" customHeight="1">
      <c r="A1327" s="66" t="s">
        <v>1136</v>
      </c>
      <c r="B1327" s="39">
        <f t="shared" si="180"/>
        <v>1323</v>
      </c>
      <c r="C1327" s="40">
        <v>46051</v>
      </c>
      <c r="D1327" s="40" t="s">
        <v>80</v>
      </c>
      <c r="E1327" s="40" t="s">
        <v>33</v>
      </c>
      <c r="F1327" s="41">
        <v>655.4</v>
      </c>
      <c r="G1327" s="42" t="s">
        <v>66</v>
      </c>
      <c r="H1327" s="43" t="str">
        <f>IFERROR(VLOOKUP($J1327,'[9]FROM (3)'!$E$4:$F$230,2,FALSE),"")</f>
        <v>JAMY</v>
      </c>
      <c r="I1327" s="44" t="str">
        <f t="shared" si="179"/>
        <v>RACK BAR</v>
      </c>
      <c r="J1327" s="44" t="str">
        <f t="shared" si="176"/>
        <v>JGC10-M09008-51-0</v>
      </c>
      <c r="K1327" s="59" t="str">
        <f t="shared" si="178"/>
        <v>PD26010893</v>
      </c>
      <c r="L1327" s="46" t="str" cm="1">
        <f t="array" ref="L1327">IFERROR(_xlfn.IFS(
    LEN($A1327)-LEN(SUBSTITUTE($A1327,"|",""))=12, RIGHT(A1327, LEN(A1327)-FIND("~", SUBSTITUTE(A1327,"|","~", LEN(A1327)-LEN(SUBSTITUTE(A1327,"|",""))))),
    LEN($A1327)-LEN(SUBSTITUTE($A1327,"|",""))=13, MID($A1327, FIND("~", SUBSTITUTE($A1327,"|","~", 11))+1, FIND("~", SUBSTITUTE($A1327,"|","~", 12))-FIND("~", SUBSTITUTE($A1327,"|","~", 11))-1),
    LEN($A1327)-LEN(SUBSTITUTE($A1327,"|",""))=14, MID($A1327, FIND("~", SUBSTITUTE($A1327,"|","~", 11))+1, FIND("~", SUBSTITUTE($A1327,"|","~", 12))-FIND("~", SUBSTITUTE($A1327,"|","~", 11))-1)
), "")</f>
        <v>E586966</v>
      </c>
      <c r="M1327" s="72" t="str">
        <f t="shared" si="177"/>
        <v>SB010107/7/26</v>
      </c>
      <c r="N1327" s="46" t="str">
        <f t="shared" si="175"/>
        <v/>
      </c>
      <c r="O1327" s="76">
        <v>6</v>
      </c>
      <c r="P1327" s="76">
        <v>88</v>
      </c>
      <c r="Q1327" s="77">
        <v>23</v>
      </c>
      <c r="R1327" s="77">
        <v>63</v>
      </c>
      <c r="S1327" s="77"/>
      <c r="T1327" s="77"/>
      <c r="U1327" s="83"/>
      <c r="V1327" s="83"/>
      <c r="W1327" s="78"/>
      <c r="X1327" s="51" t="str">
        <f>IF(A1327="", "", IF(COUNTIFS(C$3:C1326, C1327, D$3:D1326, D1327, G$3:G1326, G1327) &gt; 0, "", "11:00"-AW1327))</f>
        <v/>
      </c>
      <c r="Y1327" s="79"/>
      <c r="Z1327" s="80"/>
      <c r="AA1327" s="81"/>
      <c r="AB1327" s="81"/>
      <c r="AC1327" s="81"/>
      <c r="AD1327" s="81"/>
      <c r="AE1327" s="81"/>
      <c r="AF1327" s="81"/>
      <c r="AG1327" s="81"/>
      <c r="AH1327" s="82"/>
      <c r="AI1327" s="81"/>
      <c r="AJ1327" s="81"/>
      <c r="AK1327" s="81"/>
      <c r="AL1327" s="81"/>
      <c r="AM1327" s="81"/>
      <c r="AN1327" s="81"/>
      <c r="AO1327" s="81"/>
      <c r="AP1327" s="81"/>
      <c r="AQ1327" s="81"/>
      <c r="AR1327" s="81"/>
      <c r="AS1327" s="81"/>
      <c r="AT1327" s="81"/>
      <c r="AU1327" s="53">
        <v>4.1666666666666699E-2</v>
      </c>
      <c r="AV1327" s="54" t="s">
        <v>37</v>
      </c>
      <c r="AW1327" s="57">
        <f t="shared" si="181"/>
        <v>4.1666666666666699E-2</v>
      </c>
      <c r="AX1327" s="58" t="s">
        <v>96</v>
      </c>
    </row>
    <row r="1328" spans="1:50" ht="28.5" customHeight="1">
      <c r="A1328" s="66" t="s">
        <v>1137</v>
      </c>
      <c r="B1328" s="39">
        <f t="shared" si="180"/>
        <v>1324</v>
      </c>
      <c r="C1328" s="40">
        <v>46051</v>
      </c>
      <c r="D1328" s="40" t="s">
        <v>80</v>
      </c>
      <c r="E1328" s="40" t="s">
        <v>33</v>
      </c>
      <c r="F1328" s="41">
        <v>701.1</v>
      </c>
      <c r="G1328" s="42" t="s">
        <v>66</v>
      </c>
      <c r="H1328" s="43" t="str">
        <f>IFERROR(VLOOKUP($J1328,'[9]FROM (3)'!$E$4:$F$230,2,FALSE),"")</f>
        <v>Astemo (Thailand)</v>
      </c>
      <c r="I1328" s="44" t="str">
        <f t="shared" si="179"/>
        <v>RACK</v>
      </c>
      <c r="J1328" s="44" t="str">
        <f t="shared" si="176"/>
        <v>510-30133-020</v>
      </c>
      <c r="K1328" s="59" t="str">
        <f t="shared" si="178"/>
        <v>PD26011139</v>
      </c>
      <c r="L1328" s="46" t="str" cm="1">
        <f t="array" ref="L1328">IFERROR(_xlfn.IFS(
    LEN($A1328)-LEN(SUBSTITUTE($A1328,"|",""))=12, RIGHT(A1328, LEN(A1328)-FIND("~", SUBSTITUTE(A1328,"|","~", LEN(A1328)-LEN(SUBSTITUTE(A1328,"|",""))))),
    LEN($A1328)-LEN(SUBSTITUTE($A1328,"|",""))=13, MID($A1328, FIND("~", SUBSTITUTE($A1328,"|","~", 11))+1, FIND("~", SUBSTITUTE($A1328,"|","~", 12))-FIND("~", SUBSTITUTE($A1328,"|","~", 11))-1),
    LEN($A1328)-LEN(SUBSTITUTE($A1328,"|",""))=14, MID($A1328, FIND("~", SUBSTITUTE($A1328,"|","~", 11))+1, FIND("~", SUBSTITUTE($A1328,"|","~", 12))-FIND("~", SUBSTITUTE($A1328,"|","~", 11))-1)
), "")</f>
        <v>5C1361</v>
      </c>
      <c r="M1328" s="72" t="str">
        <f t="shared" si="177"/>
        <v>SB010157/2/26</v>
      </c>
      <c r="N1328" s="46" t="str">
        <f t="shared" si="175"/>
        <v/>
      </c>
      <c r="O1328" s="76">
        <v>40</v>
      </c>
      <c r="P1328" s="76">
        <v>782</v>
      </c>
      <c r="Q1328" s="77">
        <v>160</v>
      </c>
      <c r="R1328" s="77">
        <v>722</v>
      </c>
      <c r="S1328" s="77"/>
      <c r="T1328" s="77"/>
      <c r="U1328" s="83"/>
      <c r="V1328" s="83"/>
      <c r="W1328" s="78"/>
      <c r="X1328" s="51" t="str">
        <f>IF(A1328="", "", IF(COUNTIFS(C$3:C1327, C1328, D$3:D1327, D1328, G$3:G1327, G1328) &gt; 0, "", "11:00"-AW1328))</f>
        <v/>
      </c>
      <c r="Y1328" s="79"/>
      <c r="Z1328" s="80"/>
      <c r="AA1328" s="81"/>
      <c r="AB1328" s="81"/>
      <c r="AC1328" s="81"/>
      <c r="AD1328" s="81"/>
      <c r="AE1328" s="81"/>
      <c r="AF1328" s="81"/>
      <c r="AG1328" s="81"/>
      <c r="AH1328" s="82"/>
      <c r="AI1328" s="81"/>
      <c r="AJ1328" s="81"/>
      <c r="AK1328" s="81"/>
      <c r="AL1328" s="81"/>
      <c r="AM1328" s="81"/>
      <c r="AN1328" s="81"/>
      <c r="AO1328" s="81"/>
      <c r="AP1328" s="81"/>
      <c r="AQ1328" s="81"/>
      <c r="AR1328" s="81"/>
      <c r="AS1328" s="81"/>
      <c r="AT1328" s="81"/>
      <c r="AU1328" s="53">
        <v>4.1666666666666699E-2</v>
      </c>
      <c r="AV1328" s="54" t="s">
        <v>37</v>
      </c>
      <c r="AW1328" s="57">
        <f t="shared" si="181"/>
        <v>4.1666666666666699E-2</v>
      </c>
      <c r="AX1328" s="58" t="s">
        <v>96</v>
      </c>
    </row>
    <row r="1329" spans="1:50" ht="28.5" customHeight="1">
      <c r="A1329" s="66" t="s">
        <v>1138</v>
      </c>
      <c r="B1329" s="39">
        <f t="shared" si="180"/>
        <v>1325</v>
      </c>
      <c r="C1329" s="40">
        <v>46051</v>
      </c>
      <c r="D1329" s="40" t="s">
        <v>80</v>
      </c>
      <c r="E1329" s="40" t="s">
        <v>33</v>
      </c>
      <c r="F1329" s="41">
        <v>701.1</v>
      </c>
      <c r="G1329" s="42" t="s">
        <v>66</v>
      </c>
      <c r="H1329" s="43" t="str">
        <f>IFERROR(VLOOKUP($J1329,'[9]FROM (3)'!$E$4:$F$230,2,FALSE),"")</f>
        <v>Astemo (Thailand)</v>
      </c>
      <c r="I1329" s="44" t="str">
        <f t="shared" si="179"/>
        <v>RACK</v>
      </c>
      <c r="J1329" s="44" t="str">
        <f t="shared" si="176"/>
        <v>510-30133-020</v>
      </c>
      <c r="K1329" s="59" t="str">
        <f t="shared" si="178"/>
        <v>PD26011139</v>
      </c>
      <c r="L1329" s="46" t="str" cm="1">
        <f t="array" ref="L1329">IFERROR(_xlfn.IFS(
    LEN($A1329)-LEN(SUBSTITUTE($A1329,"|",""))=12, RIGHT(A1329, LEN(A1329)-FIND("~", SUBSTITUTE(A1329,"|","~", LEN(A1329)-LEN(SUBSTITUTE(A1329,"|",""))))),
    LEN($A1329)-LEN(SUBSTITUTE($A1329,"|",""))=13, MID($A1329, FIND("~", SUBSTITUTE($A1329,"|","~", 11))+1, FIND("~", SUBSTITUTE($A1329,"|","~", 12))-FIND("~", SUBSTITUTE($A1329,"|","~", 11))-1),
    LEN($A1329)-LEN(SUBSTITUTE($A1329,"|",""))=14, MID($A1329, FIND("~", SUBSTITUTE($A1329,"|","~", 11))+1, FIND("~", SUBSTITUTE($A1329,"|","~", 12))-FIND("~", SUBSTITUTE($A1329,"|","~", 11))-1)
), "")</f>
        <v>5C1361</v>
      </c>
      <c r="M1329" s="72" t="str">
        <f t="shared" si="177"/>
        <v>SB010157/1/26</v>
      </c>
      <c r="N1329" s="46" t="str">
        <f t="shared" si="175"/>
        <v/>
      </c>
      <c r="O1329" s="76">
        <v>40</v>
      </c>
      <c r="P1329" s="76">
        <v>782</v>
      </c>
      <c r="Q1329" s="77">
        <v>75</v>
      </c>
      <c r="R1329" s="77">
        <v>338</v>
      </c>
      <c r="S1329" s="77"/>
      <c r="T1329" s="77"/>
      <c r="U1329" s="83"/>
      <c r="V1329" s="83"/>
      <c r="W1329" s="78"/>
      <c r="X1329" s="51" t="str">
        <f>IF(A1329="", "", IF(COUNTIFS(C$3:C1328, C1329, D$3:D1328, D1329, G$3:G1328, G1329) &gt; 0, "", "11:00"-AW1329))</f>
        <v/>
      </c>
      <c r="Y1329" s="79"/>
      <c r="Z1329" s="80"/>
      <c r="AA1329" s="81"/>
      <c r="AB1329" s="81"/>
      <c r="AC1329" s="81"/>
      <c r="AD1329" s="81"/>
      <c r="AE1329" s="81"/>
      <c r="AF1329" s="81"/>
      <c r="AG1329" s="81"/>
      <c r="AH1329" s="82"/>
      <c r="AI1329" s="81"/>
      <c r="AJ1329" s="81"/>
      <c r="AK1329" s="81"/>
      <c r="AL1329" s="81"/>
      <c r="AM1329" s="81"/>
      <c r="AN1329" s="81"/>
      <c r="AO1329" s="81"/>
      <c r="AP1329" s="81"/>
      <c r="AQ1329" s="81"/>
      <c r="AR1329" s="81"/>
      <c r="AS1329" s="81"/>
      <c r="AT1329" s="81"/>
      <c r="AU1329" s="53">
        <v>4.1666666666666699E-2</v>
      </c>
      <c r="AV1329" s="54" t="s">
        <v>37</v>
      </c>
      <c r="AW1329" s="57">
        <f t="shared" si="181"/>
        <v>4.1666666666666699E-2</v>
      </c>
      <c r="AX1329" s="58" t="s">
        <v>96</v>
      </c>
    </row>
    <row r="1330" spans="1:50" ht="28.5" customHeight="1">
      <c r="A1330" s="66" t="s">
        <v>1139</v>
      </c>
      <c r="B1330" s="39">
        <f t="shared" si="180"/>
        <v>1326</v>
      </c>
      <c r="C1330" s="40">
        <v>46051</v>
      </c>
      <c r="D1330" s="40" t="s">
        <v>80</v>
      </c>
      <c r="E1330" s="40" t="s">
        <v>33</v>
      </c>
      <c r="F1330" s="41">
        <v>69.5</v>
      </c>
      <c r="G1330" s="42" t="s">
        <v>135</v>
      </c>
      <c r="H1330" s="43" t="str">
        <f>IFERROR(VLOOKUP($J1330,'[9]FROM (3)'!$E$4:$F$230,2,FALSE),"")</f>
        <v>DNTH</v>
      </c>
      <c r="I1330" s="44" t="str">
        <f t="shared" si="179"/>
        <v>Pole Core</v>
      </c>
      <c r="J1330" s="44" t="str">
        <f t="shared" si="176"/>
        <v>TG028152-5180</v>
      </c>
      <c r="K1330" s="59" t="str">
        <f t="shared" si="178"/>
        <v>PD26011211</v>
      </c>
      <c r="L1330" s="46" t="str" cm="1">
        <f t="array" ref="L1330">IFERROR(_xlfn.IFS(
    LEN($A1330)-LEN(SUBSTITUTE($A1330,"|",""))=12, RIGHT(A1330, LEN(A1330)-FIND("~", SUBSTITUTE(A1330,"|","~", LEN(A1330)-LEN(SUBSTITUTE(A1330,"|",""))))),
    LEN($A1330)-LEN(SUBSTITUTE($A1330,"|",""))=13, MID($A1330, FIND("~", SUBSTITUTE($A1330,"|","~", 11))+1, FIND("~", SUBSTITUTE($A1330,"|","~", 12))-FIND("~", SUBSTITUTE($A1330,"|","~", 11))-1),
    LEN($A1330)-LEN(SUBSTITUTE($A1330,"|",""))=14, MID($A1330, FIND("~", SUBSTITUTE($A1330,"|","~", 11))+1, FIND("~", SUBSTITUTE($A1330,"|","~", 12))-FIND("~", SUBSTITUTE($A1330,"|","~", 11))-1)
), "")</f>
        <v>KS005B2825</v>
      </c>
      <c r="M1330" s="72" t="str">
        <f t="shared" si="177"/>
        <v>SB010170/1/26</v>
      </c>
      <c r="N1330" s="46" t="str">
        <f t="shared" si="175"/>
        <v/>
      </c>
      <c r="O1330" s="76">
        <v>131</v>
      </c>
      <c r="P1330" s="76">
        <v>1015</v>
      </c>
      <c r="Q1330" s="77">
        <v>7040</v>
      </c>
      <c r="R1330" s="77">
        <v>489</v>
      </c>
      <c r="S1330" s="77"/>
      <c r="T1330" s="77"/>
      <c r="U1330" s="83"/>
      <c r="V1330" s="83"/>
      <c r="W1330" s="78"/>
      <c r="X1330" s="51" t="str">
        <f>IF(A1330="", "", IF(COUNTIFS(C$3:C1329, C1330, D$3:D1329, D1330, G$3:G1329, G1330) &gt; 0, "", "11:00"-AW1330))</f>
        <v/>
      </c>
      <c r="Y1330" s="79"/>
      <c r="Z1330" s="80"/>
      <c r="AA1330" s="81"/>
      <c r="AB1330" s="81"/>
      <c r="AC1330" s="81"/>
      <c r="AD1330" s="81"/>
      <c r="AE1330" s="81"/>
      <c r="AF1330" s="81"/>
      <c r="AG1330" s="81"/>
      <c r="AH1330" s="82"/>
      <c r="AI1330" s="81"/>
      <c r="AJ1330" s="81"/>
      <c r="AK1330" s="81"/>
      <c r="AL1330" s="81"/>
      <c r="AM1330" s="81"/>
      <c r="AN1330" s="81"/>
      <c r="AO1330" s="81"/>
      <c r="AP1330" s="81"/>
      <c r="AQ1330" s="81">
        <v>4.1666666666666664E-2</v>
      </c>
      <c r="AR1330" s="81" t="s">
        <v>37</v>
      </c>
      <c r="AS1330" s="81">
        <v>4.1666666666666664E-2</v>
      </c>
      <c r="AT1330" s="81" t="s">
        <v>37</v>
      </c>
      <c r="AU1330" s="53">
        <v>4.1666666666666699E-2</v>
      </c>
      <c r="AV1330" s="54" t="s">
        <v>37</v>
      </c>
      <c r="AW1330" s="57">
        <f t="shared" si="181"/>
        <v>0.12500000000000003</v>
      </c>
      <c r="AX1330" s="58" t="s">
        <v>113</v>
      </c>
    </row>
    <row r="1331" spans="1:50" ht="28.5" customHeight="1">
      <c r="A1331" s="66" t="s">
        <v>1128</v>
      </c>
      <c r="B1331" s="39">
        <f t="shared" si="180"/>
        <v>1327</v>
      </c>
      <c r="C1331" s="40">
        <v>46051</v>
      </c>
      <c r="D1331" s="40" t="s">
        <v>32</v>
      </c>
      <c r="E1331" s="40" t="s">
        <v>81</v>
      </c>
      <c r="F1331" s="41">
        <v>375</v>
      </c>
      <c r="G1331" s="42" t="s">
        <v>172</v>
      </c>
      <c r="H1331" s="43" t="str">
        <f>IFERROR(VLOOKUP($J1331,'[9]FROM (3)'!$E$4:$F$230,2,FALSE),"")</f>
        <v>ATAC</v>
      </c>
      <c r="I1331" s="44" t="str">
        <f t="shared" si="179"/>
        <v>SEAT,WATER PUMP PULLEY</v>
      </c>
      <c r="J1331" s="44" t="str">
        <f t="shared" si="176"/>
        <v>16171-05030</v>
      </c>
      <c r="K1331" s="59" t="str">
        <f t="shared" si="178"/>
        <v>PD26010860</v>
      </c>
      <c r="L1331" s="46" t="str" cm="1">
        <f t="array" ref="L1331">IFERROR(_xlfn.IFS(
    LEN($A1331)-LEN(SUBSTITUTE($A1331,"|",""))=12, RIGHT(A1331, LEN(A1331)-FIND("~", SUBSTITUTE(A1331,"|","~", LEN(A1331)-LEN(SUBSTITUTE(A1331,"|",""))))),
    LEN($A1331)-LEN(SUBSTITUTE($A1331,"|",""))=13, MID($A1331, FIND("~", SUBSTITUTE($A1331,"|","~", 11))+1, FIND("~", SUBSTITUTE($A1331,"|","~", 12))-FIND("~", SUBSTITUTE($A1331,"|","~", 11))-1),
    LEN($A1331)-LEN(SUBSTITUTE($A1331,"|",""))=14, MID($A1331, FIND("~", SUBSTITUTE($A1331,"|","~", 11))+1, FIND("~", SUBSTITUTE($A1331,"|","~", 12))-FIND("~", SUBSTITUTE($A1331,"|","~", 11))-1)
), "")</f>
        <v>665900</v>
      </c>
      <c r="M1331" s="72" t="str">
        <f t="shared" si="177"/>
        <v>SB010105/1/26</v>
      </c>
      <c r="N1331" s="46" t="str">
        <f t="shared" si="175"/>
        <v/>
      </c>
      <c r="O1331" s="76" t="s">
        <v>35</v>
      </c>
      <c r="P1331" s="76" t="s">
        <v>35</v>
      </c>
      <c r="Q1331" s="77">
        <v>1172</v>
      </c>
      <c r="R1331" s="77">
        <v>440</v>
      </c>
      <c r="S1331" s="77"/>
      <c r="T1331" s="77"/>
      <c r="U1331" s="83"/>
      <c r="V1331" s="83"/>
      <c r="W1331" s="78"/>
      <c r="X1331" s="51">
        <f>IF(A1331="", "", IF(COUNTIFS(C$3:C1330, C1331, D$3:D1330, D1331, G$3:G1330, G1331) &gt; 0, "", "11:00"-AW1331))</f>
        <v>0.33333333333333326</v>
      </c>
      <c r="Y1331" s="79"/>
      <c r="Z1331" s="80"/>
      <c r="AA1331" s="81"/>
      <c r="AB1331" s="81"/>
      <c r="AC1331" s="81"/>
      <c r="AD1331" s="81"/>
      <c r="AE1331" s="81"/>
      <c r="AF1331" s="81"/>
      <c r="AG1331" s="81"/>
      <c r="AH1331" s="82"/>
      <c r="AI1331" s="81"/>
      <c r="AJ1331" s="81"/>
      <c r="AK1331" s="81"/>
      <c r="AL1331" s="81"/>
      <c r="AM1331" s="81"/>
      <c r="AN1331" s="81"/>
      <c r="AO1331" s="81"/>
      <c r="AP1331" s="81"/>
      <c r="AQ1331" s="81">
        <v>4.1666666666666664E-2</v>
      </c>
      <c r="AR1331" s="81" t="s">
        <v>37</v>
      </c>
      <c r="AS1331" s="81">
        <v>4.1666666666666664E-2</v>
      </c>
      <c r="AT1331" s="81" t="s">
        <v>37</v>
      </c>
      <c r="AU1331" s="53">
        <v>4.1666666666666699E-2</v>
      </c>
      <c r="AV1331" s="54" t="s">
        <v>37</v>
      </c>
      <c r="AW1331" s="57">
        <f t="shared" si="181"/>
        <v>0.12500000000000003</v>
      </c>
      <c r="AX1331" s="58" t="s">
        <v>380</v>
      </c>
    </row>
    <row r="1332" spans="1:50" ht="28.5" customHeight="1">
      <c r="A1332" s="66" t="s">
        <v>1140</v>
      </c>
      <c r="B1332" s="39">
        <f t="shared" si="180"/>
        <v>1328</v>
      </c>
      <c r="C1332" s="85">
        <v>46051</v>
      </c>
      <c r="D1332" s="40" t="s">
        <v>32</v>
      </c>
      <c r="E1332" s="40" t="s">
        <v>81</v>
      </c>
      <c r="F1332" s="41">
        <v>375</v>
      </c>
      <c r="G1332" s="42" t="s">
        <v>172</v>
      </c>
      <c r="H1332" s="43" t="str">
        <f>IFERROR(VLOOKUP($J1332,'[9]FROM (3)'!$E$4:$F$230,2,FALSE),"")</f>
        <v>ATAC</v>
      </c>
      <c r="I1332" s="44" t="str">
        <f t="shared" si="179"/>
        <v>SEAT,WATER PUMP PULLEY</v>
      </c>
      <c r="J1332" s="44" t="str">
        <f t="shared" si="176"/>
        <v>16171-05030</v>
      </c>
      <c r="K1332" s="59" t="str">
        <f t="shared" si="178"/>
        <v>PD26010860</v>
      </c>
      <c r="L1332" s="46" t="str" cm="1">
        <f t="array" ref="L1332">IFERROR(_xlfn.IFS(
    LEN($A1332)-LEN(SUBSTITUTE($A1332,"|",""))=12, RIGHT(A1332, LEN(A1332)-FIND("~", SUBSTITUTE(A1332,"|","~", LEN(A1332)-LEN(SUBSTITUTE(A1332,"|",""))))),
    LEN($A1332)-LEN(SUBSTITUTE($A1332,"|",""))=13, MID($A1332, FIND("~", SUBSTITUTE($A1332,"|","~", 11))+1, FIND("~", SUBSTITUTE($A1332,"|","~", 12))-FIND("~", SUBSTITUTE($A1332,"|","~", 11))-1),
    LEN($A1332)-LEN(SUBSTITUTE($A1332,"|",""))=14, MID($A1332, FIND("~", SUBSTITUTE($A1332,"|","~", 11))+1, FIND("~", SUBSTITUTE($A1332,"|","~", 12))-FIND("~", SUBSTITUTE($A1332,"|","~", 11))-1)
), "")</f>
        <v>665900</v>
      </c>
      <c r="M1332" s="72" t="str">
        <f t="shared" si="177"/>
        <v>SB010105/2/26</v>
      </c>
      <c r="N1332" s="46" t="str">
        <f t="shared" si="175"/>
        <v/>
      </c>
      <c r="O1332" s="76">
        <v>14</v>
      </c>
      <c r="P1332" s="76">
        <v>990</v>
      </c>
      <c r="Q1332" s="77">
        <v>1063</v>
      </c>
      <c r="R1332" s="77">
        <v>399</v>
      </c>
      <c r="S1332" s="77"/>
      <c r="T1332" s="77"/>
      <c r="U1332" s="83"/>
      <c r="V1332" s="83"/>
      <c r="W1332" s="78"/>
      <c r="X1332" s="51" t="str">
        <f>IF(A1332="", "", IF(COUNTIFS(C$3:C1331, C1332, D$3:D1331, D1332, G$3:G1331, G1332) &gt; 0, "", "11:00"-AW1332))</f>
        <v/>
      </c>
      <c r="Y1332" s="79"/>
      <c r="Z1332" s="80"/>
      <c r="AA1332" s="81"/>
      <c r="AB1332" s="81"/>
      <c r="AC1332" s="81"/>
      <c r="AD1332" s="81"/>
      <c r="AE1332" s="81"/>
      <c r="AF1332" s="81"/>
      <c r="AG1332" s="81"/>
      <c r="AH1332" s="82"/>
      <c r="AI1332" s="81"/>
      <c r="AJ1332" s="81"/>
      <c r="AK1332" s="81"/>
      <c r="AL1332" s="81"/>
      <c r="AM1332" s="81"/>
      <c r="AN1332" s="81"/>
      <c r="AO1332" s="81"/>
      <c r="AP1332" s="81"/>
      <c r="AQ1332" s="81">
        <v>4.1666666666666664E-2</v>
      </c>
      <c r="AR1332" s="81" t="s">
        <v>37</v>
      </c>
      <c r="AS1332" s="81">
        <v>4.1666666666666664E-2</v>
      </c>
      <c r="AT1332" s="81" t="s">
        <v>37</v>
      </c>
      <c r="AU1332" s="53">
        <v>4.1666666666666699E-2</v>
      </c>
      <c r="AV1332" s="54" t="s">
        <v>37</v>
      </c>
      <c r="AW1332" s="57">
        <f t="shared" si="181"/>
        <v>0.12500000000000003</v>
      </c>
      <c r="AX1332" s="58" t="s">
        <v>380</v>
      </c>
    </row>
    <row r="1333" spans="1:50" ht="28.5" customHeight="1">
      <c r="A1333" s="66" t="s">
        <v>1129</v>
      </c>
      <c r="B1333" s="39">
        <f t="shared" si="180"/>
        <v>1329</v>
      </c>
      <c r="C1333" s="86">
        <v>46051</v>
      </c>
      <c r="D1333" s="40" t="s">
        <v>32</v>
      </c>
      <c r="E1333" s="40" t="s">
        <v>81</v>
      </c>
      <c r="F1333" s="41">
        <v>56</v>
      </c>
      <c r="G1333" s="42" t="s">
        <v>46</v>
      </c>
      <c r="H1333" s="43" t="str">
        <f>IFERROR(VLOOKUP($J1333,'[9]FROM (3)'!$E$4:$F$230,2,FALSE),"")</f>
        <v>DNTH</v>
      </c>
      <c r="I1333" s="44" t="str">
        <f t="shared" si="179"/>
        <v>PLUNGER</v>
      </c>
      <c r="J1333" s="44" t="str">
        <f t="shared" si="176"/>
        <v>TG053661-7151</v>
      </c>
      <c r="K1333" s="59" t="str">
        <f t="shared" si="178"/>
        <v>PD26011340</v>
      </c>
      <c r="L1333" s="46" t="str" cm="1">
        <f t="array" ref="L1333">IFERROR(_xlfn.IFS(
    LEN($A1333)-LEN(SUBSTITUTE($A1333,"|",""))=12, RIGHT(A1333, LEN(A1333)-FIND("~", SUBSTITUTE(A1333,"|","~", LEN(A1333)-LEN(SUBSTITUTE(A1333,"|",""))))),
    LEN($A1333)-LEN(SUBSTITUTE($A1333,"|",""))=13, MID($A1333, FIND("~", SUBSTITUTE($A1333,"|","~", 11))+1, FIND("~", SUBSTITUTE($A1333,"|","~", 12))-FIND("~", SUBSTITUTE($A1333,"|","~", 11))-1),
    LEN($A1333)-LEN(SUBSTITUTE($A1333,"|",""))=14, MID($A1333, FIND("~", SUBSTITUTE($A1333,"|","~", 11))+1, FIND("~", SUBSTITUTE($A1333,"|","~", 12))-FIND("~", SUBSTITUTE($A1333,"|","~", 11))-1)
), "")</f>
        <v>5A5885</v>
      </c>
      <c r="M1333" s="72" t="str">
        <f t="shared" si="177"/>
        <v>SB010184/1/26</v>
      </c>
      <c r="N1333" s="46" t="str">
        <f t="shared" si="175"/>
        <v/>
      </c>
      <c r="O1333" s="76" t="s">
        <v>35</v>
      </c>
      <c r="P1333" s="76" t="s">
        <v>35</v>
      </c>
      <c r="Q1333" s="77">
        <v>1496</v>
      </c>
      <c r="R1333" s="77">
        <v>221</v>
      </c>
      <c r="S1333" s="77"/>
      <c r="T1333" s="77"/>
      <c r="U1333" s="83"/>
      <c r="V1333" s="83"/>
      <c r="W1333" s="78"/>
      <c r="X1333" s="51">
        <f>IF(A1333="", "", IF(COUNTIFS(C$3:C1332, C1333, D$3:D1332, D1333, G$3:G1332, G1333) &gt; 0, "", "11:00"-AW1333))</f>
        <v>0.33333333333333326</v>
      </c>
      <c r="Y1333" s="79"/>
      <c r="Z1333" s="80"/>
      <c r="AA1333" s="81"/>
      <c r="AB1333" s="81"/>
      <c r="AC1333" s="81"/>
      <c r="AD1333" s="81"/>
      <c r="AE1333" s="81"/>
      <c r="AF1333" s="81"/>
      <c r="AG1333" s="81"/>
      <c r="AH1333" s="82"/>
      <c r="AI1333" s="81"/>
      <c r="AJ1333" s="81"/>
      <c r="AK1333" s="81"/>
      <c r="AL1333" s="81"/>
      <c r="AM1333" s="81"/>
      <c r="AN1333" s="81"/>
      <c r="AO1333" s="81"/>
      <c r="AP1333" s="81"/>
      <c r="AQ1333" s="81">
        <v>4.1666666666666664E-2</v>
      </c>
      <c r="AR1333" s="81" t="s">
        <v>37</v>
      </c>
      <c r="AS1333" s="81">
        <v>4.1666666666666664E-2</v>
      </c>
      <c r="AT1333" s="81" t="s">
        <v>37</v>
      </c>
      <c r="AU1333" s="53">
        <v>4.1666666666666699E-2</v>
      </c>
      <c r="AV1333" s="54" t="s">
        <v>37</v>
      </c>
      <c r="AW1333" s="57">
        <f t="shared" si="181"/>
        <v>0.12500000000000003</v>
      </c>
      <c r="AX1333" s="58" t="s">
        <v>380</v>
      </c>
    </row>
    <row r="1334" spans="1:50" ht="28.5" customHeight="1">
      <c r="A1334" s="66" t="s">
        <v>1141</v>
      </c>
      <c r="B1334" s="39">
        <f t="shared" si="180"/>
        <v>1330</v>
      </c>
      <c r="C1334" s="40">
        <v>46051</v>
      </c>
      <c r="D1334" s="40" t="s">
        <v>32</v>
      </c>
      <c r="E1334" s="40" t="s">
        <v>81</v>
      </c>
      <c r="F1334" s="41">
        <v>56</v>
      </c>
      <c r="G1334" s="42" t="s">
        <v>46</v>
      </c>
      <c r="H1334" s="43" t="str">
        <f>IFERROR(VLOOKUP($J1334,'[9]FROM (3)'!$E$4:$F$230,2,FALSE),"")</f>
        <v>DNTH</v>
      </c>
      <c r="I1334" s="44" t="str">
        <f t="shared" si="179"/>
        <v>PLUNGER</v>
      </c>
      <c r="J1334" s="44" t="str">
        <f t="shared" si="176"/>
        <v>TG053661-7151</v>
      </c>
      <c r="K1334" s="59" t="str">
        <f t="shared" si="178"/>
        <v>PD26011340</v>
      </c>
      <c r="L1334" s="46" t="str" cm="1">
        <f t="array" ref="L1334">IFERROR(_xlfn.IFS(
    LEN($A1334)-LEN(SUBSTITUTE($A1334,"|",""))=12, RIGHT(A1334, LEN(A1334)-FIND("~", SUBSTITUTE(A1334,"|","~", LEN(A1334)-LEN(SUBSTITUTE(A1334,"|",""))))),
    LEN($A1334)-LEN(SUBSTITUTE($A1334,"|",""))=13, MID($A1334, FIND("~", SUBSTITUTE($A1334,"|","~", 11))+1, FIND("~", SUBSTITUTE($A1334,"|","~", 12))-FIND("~", SUBSTITUTE($A1334,"|","~", 11))-1),
    LEN($A1334)-LEN(SUBSTITUTE($A1334,"|",""))=14, MID($A1334, FIND("~", SUBSTITUTE($A1334,"|","~", 11))+1, FIND("~", SUBSTITUTE($A1334,"|","~", 12))-FIND("~", SUBSTITUTE($A1334,"|","~", 11))-1)
), "")</f>
        <v>5A5885</v>
      </c>
      <c r="M1334" s="72" t="str">
        <f t="shared" si="177"/>
        <v>SB010184/2/26</v>
      </c>
      <c r="N1334" s="46" t="str">
        <f t="shared" si="175"/>
        <v/>
      </c>
      <c r="O1334" s="76">
        <v>46</v>
      </c>
      <c r="P1334" s="76">
        <v>812</v>
      </c>
      <c r="Q1334" s="77">
        <v>2419</v>
      </c>
      <c r="R1334" s="77">
        <v>357</v>
      </c>
      <c r="S1334" s="77"/>
      <c r="T1334" s="77"/>
      <c r="U1334" s="83"/>
      <c r="V1334" s="83"/>
      <c r="W1334" s="78"/>
      <c r="X1334" s="51" t="str">
        <f>IF(A1334="", "", IF(COUNTIFS(C$3:C1333, C1334, D$3:D1333, D1334, G$3:G1333, G1334) &gt; 0, "", "11:00"-AW1334))</f>
        <v/>
      </c>
      <c r="Y1334" s="79"/>
      <c r="Z1334" s="80"/>
      <c r="AA1334" s="81"/>
      <c r="AB1334" s="81"/>
      <c r="AC1334" s="81"/>
      <c r="AD1334" s="81"/>
      <c r="AE1334" s="81"/>
      <c r="AF1334" s="81"/>
      <c r="AG1334" s="81"/>
      <c r="AH1334" s="82"/>
      <c r="AI1334" s="81"/>
      <c r="AJ1334" s="81"/>
      <c r="AK1334" s="81"/>
      <c r="AL1334" s="81"/>
      <c r="AM1334" s="81"/>
      <c r="AN1334" s="81"/>
      <c r="AO1334" s="81"/>
      <c r="AP1334" s="81"/>
      <c r="AQ1334" s="81">
        <v>4.1666666666666664E-2</v>
      </c>
      <c r="AR1334" s="81" t="s">
        <v>37</v>
      </c>
      <c r="AS1334" s="81">
        <v>4.1666666666666664E-2</v>
      </c>
      <c r="AT1334" s="81" t="s">
        <v>37</v>
      </c>
      <c r="AU1334" s="53">
        <v>4.1666666666666699E-2</v>
      </c>
      <c r="AV1334" s="54" t="s">
        <v>37</v>
      </c>
      <c r="AW1334" s="57">
        <f t="shared" si="181"/>
        <v>0.12500000000000003</v>
      </c>
      <c r="AX1334" s="58" t="s">
        <v>380</v>
      </c>
    </row>
    <row r="1335" spans="1:50" ht="28.5" customHeight="1">
      <c r="A1335" s="66" t="s">
        <v>1138</v>
      </c>
      <c r="B1335" s="39">
        <f t="shared" si="180"/>
        <v>1331</v>
      </c>
      <c r="C1335" s="40">
        <v>46051</v>
      </c>
      <c r="D1335" s="40" t="s">
        <v>32</v>
      </c>
      <c r="E1335" s="40" t="s">
        <v>81</v>
      </c>
      <c r="F1335" s="41">
        <v>701.1</v>
      </c>
      <c r="G1335" s="42" t="s">
        <v>66</v>
      </c>
      <c r="H1335" s="43" t="str">
        <f>IFERROR(VLOOKUP($J1335,'[9]FROM (3)'!$E$4:$F$230,2,FALSE),"")</f>
        <v>Astemo (Thailand)</v>
      </c>
      <c r="I1335" s="44" t="str">
        <f t="shared" si="179"/>
        <v>RACK</v>
      </c>
      <c r="J1335" s="44" t="str">
        <f t="shared" si="176"/>
        <v>510-30133-020</v>
      </c>
      <c r="K1335" s="59" t="str">
        <f t="shared" si="178"/>
        <v>PD26011139</v>
      </c>
      <c r="L1335" s="46" t="str" cm="1">
        <f t="array" ref="L1335">IFERROR(_xlfn.IFS(
    LEN($A1335)-LEN(SUBSTITUTE($A1335,"|",""))=12, RIGHT(A1335, LEN(A1335)-FIND("~", SUBSTITUTE(A1335,"|","~", LEN(A1335)-LEN(SUBSTITUTE(A1335,"|",""))))),
    LEN($A1335)-LEN(SUBSTITUTE($A1335,"|",""))=13, MID($A1335, FIND("~", SUBSTITUTE($A1335,"|","~", 11))+1, FIND("~", SUBSTITUTE($A1335,"|","~", 12))-FIND("~", SUBSTITUTE($A1335,"|","~", 11))-1),
    LEN($A1335)-LEN(SUBSTITUTE($A1335,"|",""))=14, MID($A1335, FIND("~", SUBSTITUTE($A1335,"|","~", 11))+1, FIND("~", SUBSTITUTE($A1335,"|","~", 12))-FIND("~", SUBSTITUTE($A1335,"|","~", 11))-1)
), "")</f>
        <v>5C1361</v>
      </c>
      <c r="M1335" s="72" t="str">
        <f t="shared" si="177"/>
        <v>SB010157/1/26</v>
      </c>
      <c r="N1335" s="46" t="str">
        <f t="shared" si="175"/>
        <v/>
      </c>
      <c r="O1335" s="76">
        <v>22</v>
      </c>
      <c r="P1335" s="76">
        <v>130</v>
      </c>
      <c r="Q1335" s="77">
        <v>85</v>
      </c>
      <c r="R1335" s="77">
        <v>383</v>
      </c>
      <c r="S1335" s="77"/>
      <c r="T1335" s="77"/>
      <c r="U1335" s="83"/>
      <c r="V1335" s="83"/>
      <c r="W1335" s="78"/>
      <c r="X1335" s="51">
        <f>IF(A1335="", "", IF(COUNTIFS(C$3:C1334, C1335, D$3:D1334, D1335, G$3:G1334, G1335) &gt; 0, "", "11:00"-AW1335))</f>
        <v>0.29166666666666663</v>
      </c>
      <c r="Y1335" s="79"/>
      <c r="Z1335" s="80"/>
      <c r="AA1335" s="81"/>
      <c r="AB1335" s="81"/>
      <c r="AC1335" s="81"/>
      <c r="AD1335" s="81"/>
      <c r="AE1335" s="81"/>
      <c r="AF1335" s="81"/>
      <c r="AG1335" s="81"/>
      <c r="AH1335" s="82"/>
      <c r="AI1335" s="81"/>
      <c r="AJ1335" s="81"/>
      <c r="AK1335" s="81"/>
      <c r="AL1335" s="81"/>
      <c r="AM1335" s="81">
        <v>4.1666666666666664E-2</v>
      </c>
      <c r="AN1335" s="81" t="s">
        <v>67</v>
      </c>
      <c r="AO1335" s="81"/>
      <c r="AP1335" s="81"/>
      <c r="AQ1335" s="81">
        <v>4.1666666666666664E-2</v>
      </c>
      <c r="AR1335" s="81" t="s">
        <v>37</v>
      </c>
      <c r="AS1335" s="81">
        <v>4.1666666666666664E-2</v>
      </c>
      <c r="AT1335" s="81" t="s">
        <v>37</v>
      </c>
      <c r="AU1335" s="53">
        <v>4.1666666666666699E-2</v>
      </c>
      <c r="AV1335" s="54" t="s">
        <v>37</v>
      </c>
      <c r="AW1335" s="57">
        <f t="shared" si="181"/>
        <v>0.16666666666666669</v>
      </c>
      <c r="AX1335" s="58" t="s">
        <v>68</v>
      </c>
    </row>
    <row r="1336" spans="1:50" ht="28.5" customHeight="1">
      <c r="A1336" s="66" t="s">
        <v>1142</v>
      </c>
      <c r="B1336" s="39">
        <f t="shared" si="180"/>
        <v>1332</v>
      </c>
      <c r="C1336" s="40">
        <v>46051</v>
      </c>
      <c r="D1336" s="40" t="s">
        <v>32</v>
      </c>
      <c r="E1336" s="40" t="s">
        <v>81</v>
      </c>
      <c r="F1336" s="41">
        <v>701.1</v>
      </c>
      <c r="G1336" s="42" t="s">
        <v>66</v>
      </c>
      <c r="H1336" s="43" t="str">
        <f>IFERROR(VLOOKUP($J1336,'[9]FROM (3)'!$E$4:$F$230,2,FALSE),"")</f>
        <v>Astemo (Thailand)</v>
      </c>
      <c r="I1336" s="44" t="str">
        <f t="shared" si="179"/>
        <v>RACK</v>
      </c>
      <c r="J1336" s="44" t="str">
        <f t="shared" si="176"/>
        <v>510-30133-020</v>
      </c>
      <c r="K1336" s="59" t="str">
        <f t="shared" si="178"/>
        <v>PD26011139</v>
      </c>
      <c r="L1336" s="46" t="str" cm="1">
        <f t="array" ref="L1336">IFERROR(_xlfn.IFS(
    LEN($A1336)-LEN(SUBSTITUTE($A1336,"|",""))=12, RIGHT(A1336, LEN(A1336)-FIND("~", SUBSTITUTE(A1336,"|","~", LEN(A1336)-LEN(SUBSTITUTE(A1336,"|",""))))),
    LEN($A1336)-LEN(SUBSTITUTE($A1336,"|",""))=13, MID($A1336, FIND("~", SUBSTITUTE($A1336,"|","~", 11))+1, FIND("~", SUBSTITUTE($A1336,"|","~", 12))-FIND("~", SUBSTITUTE($A1336,"|","~", 11))-1),
    LEN($A1336)-LEN(SUBSTITUTE($A1336,"|",""))=14, MID($A1336, FIND("~", SUBSTITUTE($A1336,"|","~", 11))+1, FIND("~", SUBSTITUTE($A1336,"|","~", 12))-FIND("~", SUBSTITUTE($A1336,"|","~", 11))-1)
), "")</f>
        <v>5C1361</v>
      </c>
      <c r="M1336" s="72" t="str">
        <f t="shared" si="177"/>
        <v>SB010157/3/26</v>
      </c>
      <c r="N1336" s="46" t="str">
        <f t="shared" si="175"/>
        <v/>
      </c>
      <c r="O1336" s="76">
        <v>40</v>
      </c>
      <c r="P1336" s="76">
        <v>782</v>
      </c>
      <c r="Q1336" s="77">
        <v>160</v>
      </c>
      <c r="R1336" s="77">
        <v>722</v>
      </c>
      <c r="S1336" s="77"/>
      <c r="T1336" s="77"/>
      <c r="U1336" s="83">
        <v>183</v>
      </c>
      <c r="V1336" s="83">
        <v>8</v>
      </c>
      <c r="W1336" s="78"/>
      <c r="X1336" s="51" t="str">
        <f>IF(A1336="", "", IF(COUNTIFS(C$3:C1335, C1336, D$3:D1335, D1336, G$3:G1335, G1336) &gt; 0, "", "11:00"-AW1336))</f>
        <v/>
      </c>
      <c r="Y1336" s="79"/>
      <c r="Z1336" s="80"/>
      <c r="AA1336" s="81"/>
      <c r="AB1336" s="81"/>
      <c r="AC1336" s="81"/>
      <c r="AD1336" s="81"/>
      <c r="AE1336" s="81"/>
      <c r="AF1336" s="81"/>
      <c r="AG1336" s="81"/>
      <c r="AH1336" s="82"/>
      <c r="AI1336" s="81"/>
      <c r="AJ1336" s="81"/>
      <c r="AK1336" s="81"/>
      <c r="AL1336" s="81"/>
      <c r="AM1336" s="81"/>
      <c r="AN1336" s="81"/>
      <c r="AO1336" s="81"/>
      <c r="AP1336" s="81"/>
      <c r="AQ1336" s="81"/>
      <c r="AR1336" s="81" t="s">
        <v>37</v>
      </c>
      <c r="AS1336" s="81"/>
      <c r="AT1336" s="81" t="s">
        <v>37</v>
      </c>
      <c r="AU1336" s="53">
        <v>4.1666666666666699E-2</v>
      </c>
      <c r="AV1336" s="54" t="s">
        <v>37</v>
      </c>
      <c r="AW1336" s="57">
        <f t="shared" si="181"/>
        <v>4.1666666666666699E-2</v>
      </c>
      <c r="AX1336" s="58" t="s">
        <v>68</v>
      </c>
    </row>
    <row r="1337" spans="1:50" ht="28.5" customHeight="1">
      <c r="A1337" s="66" t="s">
        <v>1143</v>
      </c>
      <c r="B1337" s="39">
        <f t="shared" si="180"/>
        <v>1333</v>
      </c>
      <c r="C1337" s="40">
        <v>46051</v>
      </c>
      <c r="D1337" s="40" t="s">
        <v>32</v>
      </c>
      <c r="E1337" s="40" t="s">
        <v>81</v>
      </c>
      <c r="F1337" s="41">
        <v>701.1</v>
      </c>
      <c r="G1337" s="42" t="s">
        <v>66</v>
      </c>
      <c r="H1337" s="43" t="str">
        <f>IFERROR(VLOOKUP($J1337,'[9]FROM (3)'!$E$4:$F$230,2,FALSE),"")</f>
        <v>Astemo (Thailand)</v>
      </c>
      <c r="I1337" s="44" t="str">
        <f t="shared" si="179"/>
        <v>RACK</v>
      </c>
      <c r="J1337" s="44" t="str">
        <f t="shared" ref="J1337:J1400" si="182">IFERROR(MID(A1337,FIND("~",SUBSTITUTE(A1337,"|","~",3))+1,FIND("~",SUBSTITUTE(A1337,"|","~",4))-FIND("~",SUBSTITUTE(A1337,"|","~",3))-1),"")</f>
        <v>510-30133-020</v>
      </c>
      <c r="K1337" s="59" t="str">
        <f t="shared" si="178"/>
        <v>PD26011140</v>
      </c>
      <c r="L1337" s="46" t="str" cm="1">
        <f t="array" ref="L1337">IFERROR(_xlfn.IFS(
    LEN($A1337)-LEN(SUBSTITUTE($A1337,"|",""))=12, RIGHT(A1337, LEN(A1337)-FIND("~", SUBSTITUTE(A1337,"|","~", LEN(A1337)-LEN(SUBSTITUTE(A1337,"|",""))))),
    LEN($A1337)-LEN(SUBSTITUTE($A1337,"|",""))=13, MID($A1337, FIND("~", SUBSTITUTE($A1337,"|","~", 11))+1, FIND("~", SUBSTITUTE($A1337,"|","~", 12))-FIND("~", SUBSTITUTE($A1337,"|","~", 11))-1),
    LEN($A1337)-LEN(SUBSTITUTE($A1337,"|",""))=14, MID($A1337, FIND("~", SUBSTITUTE($A1337,"|","~", 11))+1, FIND("~", SUBSTITUTE($A1337,"|","~", 12))-FIND("~", SUBSTITUTE($A1337,"|","~", 11))-1)
), "")</f>
        <v>5C1361</v>
      </c>
      <c r="M1337" s="72" t="str">
        <f t="shared" si="177"/>
        <v>SB010157/5/26</v>
      </c>
      <c r="N1337" s="46" t="str">
        <f t="shared" si="175"/>
        <v/>
      </c>
      <c r="O1337" s="76">
        <v>40</v>
      </c>
      <c r="P1337" s="76">
        <v>782</v>
      </c>
      <c r="Q1337" s="77">
        <v>160</v>
      </c>
      <c r="R1337" s="77">
        <v>722</v>
      </c>
      <c r="S1337" s="77"/>
      <c r="T1337" s="77"/>
      <c r="U1337" s="83"/>
      <c r="V1337" s="83"/>
      <c r="W1337" s="78"/>
      <c r="X1337" s="51" t="str">
        <f>IF(A1337="", "", IF(COUNTIFS(C$3:C1336, C1337, D$3:D1336, D1337, G$3:G1336, G1337) &gt; 0, "", "11:00"-AW1337))</f>
        <v/>
      </c>
      <c r="Y1337" s="79"/>
      <c r="Z1337" s="80"/>
      <c r="AA1337" s="81"/>
      <c r="AB1337" s="81"/>
      <c r="AC1337" s="81"/>
      <c r="AD1337" s="81"/>
      <c r="AE1337" s="81"/>
      <c r="AF1337" s="81"/>
      <c r="AG1337" s="81"/>
      <c r="AH1337" s="82"/>
      <c r="AI1337" s="81"/>
      <c r="AJ1337" s="81"/>
      <c r="AK1337" s="81"/>
      <c r="AL1337" s="81"/>
      <c r="AM1337" s="81"/>
      <c r="AN1337" s="81"/>
      <c r="AO1337" s="81"/>
      <c r="AP1337" s="81"/>
      <c r="AQ1337" s="81"/>
      <c r="AR1337" s="81" t="s">
        <v>37</v>
      </c>
      <c r="AS1337" s="81"/>
      <c r="AT1337" s="81" t="s">
        <v>37</v>
      </c>
      <c r="AU1337" s="53">
        <v>4.1666666666666699E-2</v>
      </c>
      <c r="AV1337" s="54" t="s">
        <v>37</v>
      </c>
      <c r="AW1337" s="57">
        <f t="shared" si="181"/>
        <v>4.1666666666666699E-2</v>
      </c>
      <c r="AX1337" s="58" t="s">
        <v>68</v>
      </c>
    </row>
    <row r="1338" spans="1:50" ht="28.5" customHeight="1">
      <c r="A1338" s="66" t="s">
        <v>1144</v>
      </c>
      <c r="B1338" s="39">
        <f t="shared" si="180"/>
        <v>1334</v>
      </c>
      <c r="C1338" s="40">
        <v>46051</v>
      </c>
      <c r="D1338" s="40" t="s">
        <v>32</v>
      </c>
      <c r="E1338" s="40" t="s">
        <v>81</v>
      </c>
      <c r="F1338" s="41">
        <v>701.1</v>
      </c>
      <c r="G1338" s="42" t="s">
        <v>66</v>
      </c>
      <c r="H1338" s="43" t="str">
        <f>IFERROR(VLOOKUP($J1338,'[9]FROM (3)'!$E$4:$F$230,2,FALSE),"")</f>
        <v>Astemo (Thailand)</v>
      </c>
      <c r="I1338" s="44" t="str">
        <f t="shared" si="179"/>
        <v>RACK</v>
      </c>
      <c r="J1338" s="44" t="str">
        <f t="shared" si="182"/>
        <v>510-30133-020</v>
      </c>
      <c r="K1338" s="59" t="str">
        <f t="shared" si="178"/>
        <v>PD26011140</v>
      </c>
      <c r="L1338" s="46" t="str" cm="1">
        <f t="array" ref="L1338">IFERROR(_xlfn.IFS(
    LEN($A1338)-LEN(SUBSTITUTE($A1338,"|",""))=12, RIGHT(A1338, LEN(A1338)-FIND("~", SUBSTITUTE(A1338,"|","~", LEN(A1338)-LEN(SUBSTITUTE(A1338,"|",""))))),
    LEN($A1338)-LEN(SUBSTITUTE($A1338,"|",""))=13, MID($A1338, FIND("~", SUBSTITUTE($A1338,"|","~", 11))+1, FIND("~", SUBSTITUTE($A1338,"|","~", 12))-FIND("~", SUBSTITUTE($A1338,"|","~", 11))-1),
    LEN($A1338)-LEN(SUBSTITUTE($A1338,"|",""))=14, MID($A1338, FIND("~", SUBSTITUTE($A1338,"|","~", 11))+1, FIND("~", SUBSTITUTE($A1338,"|","~", 12))-FIND("~", SUBSTITUTE($A1338,"|","~", 11))-1)
), "")</f>
        <v>5C1361</v>
      </c>
      <c r="M1338" s="72" t="str">
        <f t="shared" si="177"/>
        <v>SB010157/6/26</v>
      </c>
      <c r="N1338" s="46" t="str">
        <f t="shared" si="175"/>
        <v/>
      </c>
      <c r="O1338" s="76">
        <v>40</v>
      </c>
      <c r="P1338" s="76">
        <v>782</v>
      </c>
      <c r="Q1338" s="77">
        <v>160</v>
      </c>
      <c r="R1338" s="77">
        <v>722</v>
      </c>
      <c r="S1338" s="77"/>
      <c r="T1338" s="77"/>
      <c r="U1338" s="83"/>
      <c r="V1338" s="83"/>
      <c r="W1338" s="78"/>
      <c r="X1338" s="51" t="str">
        <f>IF(A1338="", "", IF(COUNTIFS(C$3:C1337, C1338, D$3:D1337, D1338, G$3:G1337, G1338) &gt; 0, "", "11:00"-AW1338))</f>
        <v/>
      </c>
      <c r="Y1338" s="79"/>
      <c r="Z1338" s="80"/>
      <c r="AA1338" s="81"/>
      <c r="AB1338" s="81"/>
      <c r="AC1338" s="81"/>
      <c r="AD1338" s="81"/>
      <c r="AE1338" s="81"/>
      <c r="AF1338" s="81"/>
      <c r="AG1338" s="81"/>
      <c r="AH1338" s="82"/>
      <c r="AI1338" s="81"/>
      <c r="AJ1338" s="81"/>
      <c r="AK1338" s="81"/>
      <c r="AL1338" s="81"/>
      <c r="AM1338" s="81"/>
      <c r="AN1338" s="81"/>
      <c r="AO1338" s="81"/>
      <c r="AP1338" s="81"/>
      <c r="AQ1338" s="81"/>
      <c r="AR1338" s="81" t="s">
        <v>37</v>
      </c>
      <c r="AS1338" s="81"/>
      <c r="AT1338" s="81" t="s">
        <v>37</v>
      </c>
      <c r="AU1338" s="53">
        <v>4.1666666666666699E-2</v>
      </c>
      <c r="AV1338" s="54" t="s">
        <v>37</v>
      </c>
      <c r="AW1338" s="57">
        <f t="shared" si="181"/>
        <v>4.1666666666666699E-2</v>
      </c>
      <c r="AX1338" s="58" t="s">
        <v>68</v>
      </c>
    </row>
    <row r="1339" spans="1:50" ht="28.5" customHeight="1">
      <c r="A1339" s="66" t="s">
        <v>1145</v>
      </c>
      <c r="B1339" s="39">
        <f t="shared" si="180"/>
        <v>1335</v>
      </c>
      <c r="C1339" s="40">
        <v>46051</v>
      </c>
      <c r="D1339" s="40" t="s">
        <v>32</v>
      </c>
      <c r="E1339" s="40" t="s">
        <v>81</v>
      </c>
      <c r="F1339" s="41">
        <v>701.1</v>
      </c>
      <c r="G1339" s="42" t="s">
        <v>66</v>
      </c>
      <c r="H1339" s="43" t="str">
        <f>IFERROR(VLOOKUP($J1339,'[9]FROM (3)'!$E$4:$F$230,2,FALSE),"")</f>
        <v>Astemo (Thailand)</v>
      </c>
      <c r="I1339" s="44" t="str">
        <f t="shared" si="179"/>
        <v>RACK</v>
      </c>
      <c r="J1339" s="44" t="str">
        <f t="shared" si="182"/>
        <v>510-30133-020</v>
      </c>
      <c r="K1339" s="59" t="str">
        <f t="shared" si="178"/>
        <v>PD26011140</v>
      </c>
      <c r="L1339" s="46" t="str" cm="1">
        <f t="array" ref="L1339">IFERROR(_xlfn.IFS(
    LEN($A1339)-LEN(SUBSTITUTE($A1339,"|",""))=12, RIGHT(A1339, LEN(A1339)-FIND("~", SUBSTITUTE(A1339,"|","~", LEN(A1339)-LEN(SUBSTITUTE(A1339,"|",""))))),
    LEN($A1339)-LEN(SUBSTITUTE($A1339,"|",""))=13, MID($A1339, FIND("~", SUBSTITUTE($A1339,"|","~", 11))+1, FIND("~", SUBSTITUTE($A1339,"|","~", 12))-FIND("~", SUBSTITUTE($A1339,"|","~", 11))-1),
    LEN($A1339)-LEN(SUBSTITUTE($A1339,"|",""))=14, MID($A1339, FIND("~", SUBSTITUTE($A1339,"|","~", 11))+1, FIND("~", SUBSTITUTE($A1339,"|","~", 12))-FIND("~", SUBSTITUTE($A1339,"|","~", 11))-1)
), "")</f>
        <v>5C1361</v>
      </c>
      <c r="M1339" s="72" t="str">
        <f t="shared" si="177"/>
        <v>SB010157/4/26</v>
      </c>
      <c r="N1339" s="46" t="str">
        <f t="shared" si="175"/>
        <v/>
      </c>
      <c r="O1339" s="76">
        <v>40</v>
      </c>
      <c r="P1339" s="76">
        <v>782</v>
      </c>
      <c r="Q1339" s="77">
        <v>160</v>
      </c>
      <c r="R1339" s="77">
        <v>722</v>
      </c>
      <c r="S1339" s="77"/>
      <c r="T1339" s="77"/>
      <c r="U1339" s="83">
        <v>183</v>
      </c>
      <c r="V1339" s="83">
        <v>8</v>
      </c>
      <c r="W1339" s="78"/>
      <c r="X1339" s="51" t="str">
        <f>IF(A1339="", "", IF(COUNTIFS(C$3:C1338, C1339, D$3:D1338, D1339, G$3:G1338, G1339) &gt; 0, "", "11:00"-AW1339))</f>
        <v/>
      </c>
      <c r="Y1339" s="79"/>
      <c r="Z1339" s="80"/>
      <c r="AA1339" s="81"/>
      <c r="AB1339" s="81"/>
      <c r="AC1339" s="81"/>
      <c r="AD1339" s="81"/>
      <c r="AE1339" s="81"/>
      <c r="AF1339" s="81"/>
      <c r="AG1339" s="81"/>
      <c r="AH1339" s="82"/>
      <c r="AI1339" s="81"/>
      <c r="AJ1339" s="81"/>
      <c r="AK1339" s="81"/>
      <c r="AL1339" s="81"/>
      <c r="AM1339" s="81"/>
      <c r="AN1339" s="81"/>
      <c r="AO1339" s="81"/>
      <c r="AP1339" s="81"/>
      <c r="AQ1339" s="81"/>
      <c r="AR1339" s="81" t="s">
        <v>37</v>
      </c>
      <c r="AS1339" s="81"/>
      <c r="AT1339" s="81" t="s">
        <v>37</v>
      </c>
      <c r="AU1339" s="53">
        <v>4.1666666666666699E-2</v>
      </c>
      <c r="AV1339" s="54" t="s">
        <v>37</v>
      </c>
      <c r="AW1339" s="57">
        <f t="shared" si="181"/>
        <v>4.1666666666666699E-2</v>
      </c>
      <c r="AX1339" s="58" t="s">
        <v>68</v>
      </c>
    </row>
    <row r="1340" spans="1:50" ht="28.5" customHeight="1">
      <c r="A1340" s="66" t="s">
        <v>1146</v>
      </c>
      <c r="B1340" s="39">
        <f t="shared" si="180"/>
        <v>1336</v>
      </c>
      <c r="C1340" s="40">
        <v>46051</v>
      </c>
      <c r="D1340" s="40" t="s">
        <v>32</v>
      </c>
      <c r="E1340" s="40" t="s">
        <v>81</v>
      </c>
      <c r="F1340" s="41">
        <v>719.6</v>
      </c>
      <c r="G1340" s="42" t="s">
        <v>66</v>
      </c>
      <c r="H1340" s="43" t="str">
        <f>IFERROR(VLOOKUP($J1340,'[9]FROM (3)'!$E$4:$F$230,2,FALSE),"")</f>
        <v>JAMY</v>
      </c>
      <c r="I1340" s="44" t="str">
        <f t="shared" si="179"/>
        <v>RACK BAR</v>
      </c>
      <c r="J1340" s="44" t="str">
        <f t="shared" si="182"/>
        <v>JGD10S000830-51-0</v>
      </c>
      <c r="K1340" s="59" t="str">
        <f t="shared" si="178"/>
        <v>PD26010973</v>
      </c>
      <c r="L1340" s="46" t="str" cm="1">
        <f t="array" ref="L1340">IFERROR(_xlfn.IFS(
    LEN($A1340)-LEN(SUBSTITUTE($A1340,"|",""))=12, RIGHT(A1340, LEN(A1340)-FIND("~", SUBSTITUTE(A1340,"|","~", LEN(A1340)-LEN(SUBSTITUTE(A1340,"|",""))))),
    LEN($A1340)-LEN(SUBSTITUTE($A1340,"|",""))=13, MID($A1340, FIND("~", SUBSTITUTE($A1340,"|","~", 11))+1, FIND("~", SUBSTITUTE($A1340,"|","~", 12))-FIND("~", SUBSTITUTE($A1340,"|","~", 11))-1),
    LEN($A1340)-LEN(SUBSTITUTE($A1340,"|",""))=14, MID($A1340, FIND("~", SUBSTITUTE($A1340,"|","~", 11))+1, FIND("~", SUBSTITUTE($A1340,"|","~", 12))-FIND("~", SUBSTITUTE($A1340,"|","~", 11))-1)
), "")</f>
        <v>E586442</v>
      </c>
      <c r="M1340" s="72" t="str">
        <f t="shared" si="177"/>
        <v>SB010118/1/26</v>
      </c>
      <c r="N1340" s="46" t="str">
        <f t="shared" si="175"/>
        <v/>
      </c>
      <c r="O1340" s="76">
        <v>10</v>
      </c>
      <c r="P1340" s="76">
        <v>174</v>
      </c>
      <c r="Q1340" s="77">
        <v>38</v>
      </c>
      <c r="R1340" s="77">
        <v>154</v>
      </c>
      <c r="S1340" s="77"/>
      <c r="T1340" s="77"/>
      <c r="U1340" s="83"/>
      <c r="V1340" s="83"/>
      <c r="W1340" s="78"/>
      <c r="X1340" s="51" t="str">
        <f>IF(A1340="", "", IF(COUNTIFS(C$3:C1339, C1340, D$3:D1339, D1340, G$3:G1339, G1340) &gt; 0, "", "11:00"-AW1340))</f>
        <v/>
      </c>
      <c r="Y1340" s="79"/>
      <c r="Z1340" s="80"/>
      <c r="AA1340" s="81"/>
      <c r="AB1340" s="81"/>
      <c r="AC1340" s="81"/>
      <c r="AD1340" s="81"/>
      <c r="AE1340" s="81"/>
      <c r="AF1340" s="81"/>
      <c r="AG1340" s="81"/>
      <c r="AH1340" s="82"/>
      <c r="AI1340" s="81"/>
      <c r="AJ1340" s="81"/>
      <c r="AK1340" s="81"/>
      <c r="AL1340" s="81"/>
      <c r="AM1340" s="81"/>
      <c r="AN1340" s="81"/>
      <c r="AO1340" s="81"/>
      <c r="AP1340" s="81"/>
      <c r="AQ1340" s="81"/>
      <c r="AR1340" s="81" t="s">
        <v>37</v>
      </c>
      <c r="AS1340" s="81"/>
      <c r="AT1340" s="81" t="s">
        <v>37</v>
      </c>
      <c r="AU1340" s="53">
        <v>4.1666666666666699E-2</v>
      </c>
      <c r="AV1340" s="54" t="s">
        <v>37</v>
      </c>
      <c r="AW1340" s="57">
        <f t="shared" si="181"/>
        <v>4.1666666666666699E-2</v>
      </c>
      <c r="AX1340" s="58" t="s">
        <v>68</v>
      </c>
    </row>
    <row r="1341" spans="1:50" ht="28.5" customHeight="1">
      <c r="A1341" s="66" t="s">
        <v>1134</v>
      </c>
      <c r="B1341" s="39">
        <f t="shared" si="180"/>
        <v>1337</v>
      </c>
      <c r="C1341" s="40">
        <v>46051</v>
      </c>
      <c r="D1341" s="40" t="s">
        <v>32</v>
      </c>
      <c r="E1341" s="40" t="s">
        <v>81</v>
      </c>
      <c r="F1341" s="41">
        <v>721.5</v>
      </c>
      <c r="G1341" s="42" t="s">
        <v>85</v>
      </c>
      <c r="H1341" s="43" t="str">
        <f>IFERROR(VLOOKUP($J1341,'[9]FROM (3)'!$E$4:$F$230,2,FALSE),"")</f>
        <v>JCTTH</v>
      </c>
      <c r="I1341" s="44" t="str">
        <f t="shared" si="179"/>
        <v>RACK POWER STEERING</v>
      </c>
      <c r="J1341" s="44" t="str">
        <f t="shared" si="182"/>
        <v>2-30JG-0711</v>
      </c>
      <c r="K1341" s="59" t="str">
        <f t="shared" si="178"/>
        <v>PD26010794</v>
      </c>
      <c r="L1341" s="46" t="str" cm="1">
        <f t="array" ref="L1341">IFERROR(_xlfn.IFS(
    LEN($A1341)-LEN(SUBSTITUTE($A1341,"|",""))=12, RIGHT(A1341, LEN(A1341)-FIND("~", SUBSTITUTE(A1341,"|","~", LEN(A1341)-LEN(SUBSTITUTE(A1341,"|",""))))),
    LEN($A1341)-LEN(SUBSTITUTE($A1341,"|",""))=13, MID($A1341, FIND("~", SUBSTITUTE($A1341,"|","~", 11))+1, FIND("~", SUBSTITUTE($A1341,"|","~", 12))-FIND("~", SUBSTITUTE($A1341,"|","~", 11))-1),
    LEN($A1341)-LEN(SUBSTITUTE($A1341,"|",""))=14, MID($A1341, FIND("~", SUBSTITUTE($A1341,"|","~", 11))+1, FIND("~", SUBSTITUTE($A1341,"|","~", 12))-FIND("~", SUBSTITUTE($A1341,"|","~", 11))-1)
), "")</f>
        <v>E586102</v>
      </c>
      <c r="M1341" s="72" t="str">
        <f t="shared" si="177"/>
        <v>SB010095/1/26</v>
      </c>
      <c r="N1341" s="46" t="str">
        <f t="shared" si="175"/>
        <v/>
      </c>
      <c r="O1341" s="76" t="s">
        <v>35</v>
      </c>
      <c r="P1341" s="76" t="s">
        <v>35</v>
      </c>
      <c r="Q1341" s="77">
        <v>46</v>
      </c>
      <c r="R1341" s="77">
        <v>189</v>
      </c>
      <c r="S1341" s="77"/>
      <c r="T1341" s="77"/>
      <c r="U1341" s="83"/>
      <c r="V1341" s="83"/>
      <c r="W1341" s="78"/>
      <c r="X1341" s="51">
        <f>IF(A1341="", "", IF(COUNTIFS(C$3:C1340, C1341, D$3:D1340, D1341, G$3:G1340, G1341) &gt; 0, "", "11:00"-AW1341))</f>
        <v>0.33333333333333326</v>
      </c>
      <c r="Y1341" s="79"/>
      <c r="Z1341" s="80"/>
      <c r="AA1341" s="81"/>
      <c r="AB1341" s="81"/>
      <c r="AC1341" s="81"/>
      <c r="AD1341" s="81"/>
      <c r="AE1341" s="81"/>
      <c r="AF1341" s="81"/>
      <c r="AG1341" s="81"/>
      <c r="AH1341" s="82"/>
      <c r="AI1341" s="81"/>
      <c r="AJ1341" s="81"/>
      <c r="AK1341" s="81"/>
      <c r="AL1341" s="81"/>
      <c r="AM1341" s="81"/>
      <c r="AN1341" s="81"/>
      <c r="AO1341" s="81"/>
      <c r="AP1341" s="81"/>
      <c r="AQ1341" s="81">
        <v>4.1666666666666664E-2</v>
      </c>
      <c r="AR1341" s="81" t="s">
        <v>37</v>
      </c>
      <c r="AS1341" s="81">
        <v>4.1666666666666664E-2</v>
      </c>
      <c r="AT1341" s="81" t="s">
        <v>37</v>
      </c>
      <c r="AU1341" s="53">
        <v>4.1666666666666699E-2</v>
      </c>
      <c r="AV1341" s="54" t="s">
        <v>37</v>
      </c>
      <c r="AW1341" s="57">
        <f t="shared" si="181"/>
        <v>0.12500000000000003</v>
      </c>
      <c r="AX1341" s="58" t="s">
        <v>117</v>
      </c>
    </row>
    <row r="1342" spans="1:50" ht="28.5" customHeight="1">
      <c r="A1342" s="66" t="s">
        <v>1147</v>
      </c>
      <c r="B1342" s="39">
        <f t="shared" si="180"/>
        <v>1338</v>
      </c>
      <c r="C1342" s="40">
        <v>46051</v>
      </c>
      <c r="D1342" s="40" t="s">
        <v>32</v>
      </c>
      <c r="E1342" s="40" t="s">
        <v>81</v>
      </c>
      <c r="F1342" s="41">
        <v>721.5</v>
      </c>
      <c r="G1342" s="42" t="s">
        <v>85</v>
      </c>
      <c r="H1342" s="43" t="str">
        <f>IFERROR(VLOOKUP($J1342,'[9]FROM (3)'!$E$4:$F$230,2,FALSE),"")</f>
        <v>JCTTH</v>
      </c>
      <c r="I1342" s="44" t="str">
        <f t="shared" si="179"/>
        <v>RACK POWER STEERING</v>
      </c>
      <c r="J1342" s="44" t="str">
        <f t="shared" si="182"/>
        <v>2-30JG-0711</v>
      </c>
      <c r="K1342" s="59" t="str">
        <f t="shared" si="178"/>
        <v>PD26010794</v>
      </c>
      <c r="L1342" s="46" t="str" cm="1">
        <f t="array" ref="L1342">IFERROR(_xlfn.IFS(
    LEN($A1342)-LEN(SUBSTITUTE($A1342,"|",""))=12, RIGHT(A1342, LEN(A1342)-FIND("~", SUBSTITUTE(A1342,"|","~", LEN(A1342)-LEN(SUBSTITUTE(A1342,"|",""))))),
    LEN($A1342)-LEN(SUBSTITUTE($A1342,"|",""))=13, MID($A1342, FIND("~", SUBSTITUTE($A1342,"|","~", 11))+1, FIND("~", SUBSTITUTE($A1342,"|","~", 12))-FIND("~", SUBSTITUTE($A1342,"|","~", 11))-1),
    LEN($A1342)-LEN(SUBSTITUTE($A1342,"|",""))=14, MID($A1342, FIND("~", SUBSTITUTE($A1342,"|","~", 11))+1, FIND("~", SUBSTITUTE($A1342,"|","~", 12))-FIND("~", SUBSTITUTE($A1342,"|","~", 11))-1)
), "")</f>
        <v>E586102</v>
      </c>
      <c r="M1342" s="72" t="str">
        <f t="shared" si="177"/>
        <v>SB010095/3/26</v>
      </c>
      <c r="N1342" s="46" t="str">
        <f t="shared" si="175"/>
        <v/>
      </c>
      <c r="O1342" s="76">
        <v>50</v>
      </c>
      <c r="P1342" s="76">
        <v>878</v>
      </c>
      <c r="Q1342" s="77">
        <v>200</v>
      </c>
      <c r="R1342" s="77">
        <v>820</v>
      </c>
      <c r="S1342" s="77"/>
      <c r="T1342" s="77"/>
      <c r="U1342" s="83"/>
      <c r="V1342" s="83"/>
      <c r="W1342" s="78"/>
      <c r="X1342" s="51" t="str">
        <f>IF(A1342="", "", IF(COUNTIFS(C$3:C1341, C1342, D$3:D1341, D1342, G$3:G1341, G1342) &gt; 0, "", "11:00"-AW1342))</f>
        <v/>
      </c>
      <c r="Y1342" s="79"/>
      <c r="Z1342" s="80"/>
      <c r="AA1342" s="81"/>
      <c r="AB1342" s="81"/>
      <c r="AC1342" s="81"/>
      <c r="AD1342" s="81"/>
      <c r="AE1342" s="81"/>
      <c r="AF1342" s="81"/>
      <c r="AG1342" s="81"/>
      <c r="AH1342" s="82"/>
      <c r="AI1342" s="81"/>
      <c r="AJ1342" s="81"/>
      <c r="AK1342" s="81"/>
      <c r="AL1342" s="81"/>
      <c r="AM1342" s="81"/>
      <c r="AN1342" s="81"/>
      <c r="AO1342" s="81"/>
      <c r="AP1342" s="81"/>
      <c r="AQ1342" s="81">
        <v>4.1666666666666664E-2</v>
      </c>
      <c r="AR1342" s="81" t="s">
        <v>37</v>
      </c>
      <c r="AS1342" s="81">
        <v>4.1666666666666664E-2</v>
      </c>
      <c r="AT1342" s="81" t="s">
        <v>37</v>
      </c>
      <c r="AU1342" s="53">
        <v>4.1666666666666699E-2</v>
      </c>
      <c r="AV1342" s="54" t="s">
        <v>37</v>
      </c>
      <c r="AW1342" s="57">
        <f t="shared" si="181"/>
        <v>0.12500000000000003</v>
      </c>
      <c r="AX1342" s="58" t="s">
        <v>117</v>
      </c>
    </row>
    <row r="1343" spans="1:50" ht="28.5" customHeight="1">
      <c r="A1343" s="66" t="s">
        <v>1148</v>
      </c>
      <c r="B1343" s="39">
        <f t="shared" si="180"/>
        <v>1339</v>
      </c>
      <c r="C1343" s="40">
        <v>46051</v>
      </c>
      <c r="D1343" s="40" t="s">
        <v>32</v>
      </c>
      <c r="E1343" s="40" t="s">
        <v>81</v>
      </c>
      <c r="F1343" s="41">
        <v>721.5</v>
      </c>
      <c r="G1343" s="42" t="s">
        <v>85</v>
      </c>
      <c r="H1343" s="43" t="str">
        <f>IFERROR(VLOOKUP($J1343,'[9]FROM (3)'!$E$4:$F$230,2,FALSE),"")</f>
        <v>JCTTH</v>
      </c>
      <c r="I1343" s="44" t="str">
        <f t="shared" si="179"/>
        <v>RACK POWER STEERING</v>
      </c>
      <c r="J1343" s="44" t="str">
        <f t="shared" si="182"/>
        <v>2-30JG-0711</v>
      </c>
      <c r="K1343" s="59" t="str">
        <f t="shared" si="178"/>
        <v>PD26010794</v>
      </c>
      <c r="L1343" s="46" t="str" cm="1">
        <f t="array" ref="L1343">IFERROR(_xlfn.IFS(
    LEN($A1343)-LEN(SUBSTITUTE($A1343,"|",""))=12, RIGHT(A1343, LEN(A1343)-FIND("~", SUBSTITUTE(A1343,"|","~", LEN(A1343)-LEN(SUBSTITUTE(A1343,"|",""))))),
    LEN($A1343)-LEN(SUBSTITUTE($A1343,"|",""))=13, MID($A1343, FIND("~", SUBSTITUTE($A1343,"|","~", 11))+1, FIND("~", SUBSTITUTE($A1343,"|","~", 12))-FIND("~", SUBSTITUTE($A1343,"|","~", 11))-1),
    LEN($A1343)-LEN(SUBSTITUTE($A1343,"|",""))=14, MID($A1343, FIND("~", SUBSTITUTE($A1343,"|","~", 11))+1, FIND("~", SUBSTITUTE($A1343,"|","~", 12))-FIND("~", SUBSTITUTE($A1343,"|","~", 11))-1)
), "")</f>
        <v>E586102</v>
      </c>
      <c r="M1343" s="72" t="str">
        <f t="shared" si="177"/>
        <v>SB010095/2/26</v>
      </c>
      <c r="N1343" s="46" t="str">
        <f t="shared" si="175"/>
        <v/>
      </c>
      <c r="O1343" s="76">
        <v>50</v>
      </c>
      <c r="P1343" s="76">
        <v>878</v>
      </c>
      <c r="Q1343" s="77">
        <v>200</v>
      </c>
      <c r="R1343" s="77">
        <v>820</v>
      </c>
      <c r="S1343" s="77"/>
      <c r="T1343" s="77"/>
      <c r="U1343" s="83">
        <v>143</v>
      </c>
      <c r="V1343" s="83">
        <v>9</v>
      </c>
      <c r="W1343" s="78"/>
      <c r="X1343" s="51" t="str">
        <f>IF(A1343="", "", IF(COUNTIFS(C$3:C1342, C1343, D$3:D1342, D1343, G$3:G1342, G1343) &gt; 0, "", "11:00"-AW1343))</f>
        <v/>
      </c>
      <c r="Y1343" s="79"/>
      <c r="Z1343" s="80"/>
      <c r="AA1343" s="81"/>
      <c r="AB1343" s="81"/>
      <c r="AC1343" s="81"/>
      <c r="AD1343" s="81"/>
      <c r="AE1343" s="81"/>
      <c r="AF1343" s="81"/>
      <c r="AG1343" s="81"/>
      <c r="AH1343" s="82"/>
      <c r="AI1343" s="81"/>
      <c r="AJ1343" s="81"/>
      <c r="AK1343" s="81"/>
      <c r="AL1343" s="81"/>
      <c r="AM1343" s="81"/>
      <c r="AN1343" s="81"/>
      <c r="AO1343" s="81"/>
      <c r="AP1343" s="81"/>
      <c r="AQ1343" s="81">
        <v>4.1666666666666664E-2</v>
      </c>
      <c r="AR1343" s="81" t="s">
        <v>37</v>
      </c>
      <c r="AS1343" s="81">
        <v>4.1666666666666664E-2</v>
      </c>
      <c r="AT1343" s="81" t="s">
        <v>37</v>
      </c>
      <c r="AU1343" s="53">
        <v>4.1666666666666699E-2</v>
      </c>
      <c r="AV1343" s="54" t="s">
        <v>37</v>
      </c>
      <c r="AW1343" s="57">
        <f t="shared" si="181"/>
        <v>0.12500000000000003</v>
      </c>
      <c r="AX1343" s="58" t="s">
        <v>117</v>
      </c>
    </row>
    <row r="1344" spans="1:50" ht="28.5" customHeight="1">
      <c r="A1344" s="66" t="s">
        <v>1149</v>
      </c>
      <c r="B1344" s="39">
        <f t="shared" si="180"/>
        <v>1340</v>
      </c>
      <c r="C1344" s="40">
        <v>46051</v>
      </c>
      <c r="D1344" s="40" t="s">
        <v>32</v>
      </c>
      <c r="E1344" s="40" t="s">
        <v>81</v>
      </c>
      <c r="F1344" s="41">
        <v>721.5</v>
      </c>
      <c r="G1344" s="42" t="s">
        <v>85</v>
      </c>
      <c r="H1344" s="43" t="str">
        <f>IFERROR(VLOOKUP($J1344,'[9]FROM (3)'!$E$4:$F$230,2,FALSE),"")</f>
        <v>JCTTH</v>
      </c>
      <c r="I1344" s="44" t="str">
        <f t="shared" si="179"/>
        <v>RACK POWER STEERING</v>
      </c>
      <c r="J1344" s="44" t="str">
        <f t="shared" si="182"/>
        <v>2-30JG-0711</v>
      </c>
      <c r="K1344" s="59" t="str">
        <f t="shared" si="178"/>
        <v>PD26010795</v>
      </c>
      <c r="L1344" s="46" t="str" cm="1">
        <f t="array" ref="L1344">IFERROR(_xlfn.IFS(
    LEN($A1344)-LEN(SUBSTITUTE($A1344,"|",""))=12, RIGHT(A1344, LEN(A1344)-FIND("~", SUBSTITUTE(A1344,"|","~", LEN(A1344)-LEN(SUBSTITUTE(A1344,"|",""))))),
    LEN($A1344)-LEN(SUBSTITUTE($A1344,"|",""))=13, MID($A1344, FIND("~", SUBSTITUTE($A1344,"|","~", 11))+1, FIND("~", SUBSTITUTE($A1344,"|","~", 12))-FIND("~", SUBSTITUTE($A1344,"|","~", 11))-1),
    LEN($A1344)-LEN(SUBSTITUTE($A1344,"|",""))=14, MID($A1344, FIND("~", SUBSTITUTE($A1344,"|","~", 11))+1, FIND("~", SUBSTITUTE($A1344,"|","~", 12))-FIND("~", SUBSTITUTE($A1344,"|","~", 11))-1)
), "")</f>
        <v>E586102</v>
      </c>
      <c r="M1344" s="72" t="str">
        <f t="shared" si="177"/>
        <v>SB010095/5/26</v>
      </c>
      <c r="N1344" s="46" t="str">
        <f t="shared" si="175"/>
        <v/>
      </c>
      <c r="O1344" s="76">
        <v>50</v>
      </c>
      <c r="P1344" s="76">
        <v>878</v>
      </c>
      <c r="Q1344" s="77">
        <v>200</v>
      </c>
      <c r="R1344" s="77">
        <v>820</v>
      </c>
      <c r="S1344" s="77">
        <v>1</v>
      </c>
      <c r="T1344" s="77" t="s">
        <v>167</v>
      </c>
      <c r="U1344" s="83"/>
      <c r="V1344" s="83"/>
      <c r="W1344" s="78"/>
      <c r="X1344" s="51" t="str">
        <f>IF(A1344="", "", IF(COUNTIFS(C$3:C1343, C1344, D$3:D1343, D1344, G$3:G1343, G1344) &gt; 0, "", "11:00"-AW1344))</f>
        <v/>
      </c>
      <c r="Y1344" s="79"/>
      <c r="Z1344" s="80"/>
      <c r="AA1344" s="81"/>
      <c r="AB1344" s="81"/>
      <c r="AC1344" s="81"/>
      <c r="AD1344" s="81"/>
      <c r="AE1344" s="81"/>
      <c r="AF1344" s="81"/>
      <c r="AG1344" s="81"/>
      <c r="AH1344" s="82"/>
      <c r="AI1344" s="81"/>
      <c r="AJ1344" s="81"/>
      <c r="AK1344" s="81"/>
      <c r="AL1344" s="81"/>
      <c r="AM1344" s="81"/>
      <c r="AN1344" s="81"/>
      <c r="AO1344" s="81"/>
      <c r="AP1344" s="81"/>
      <c r="AQ1344" s="81">
        <v>4.1666666666666664E-2</v>
      </c>
      <c r="AR1344" s="81" t="s">
        <v>37</v>
      </c>
      <c r="AS1344" s="81">
        <v>4.1666666666666664E-2</v>
      </c>
      <c r="AT1344" s="81" t="s">
        <v>37</v>
      </c>
      <c r="AU1344" s="53">
        <v>4.1666666666666699E-2</v>
      </c>
      <c r="AV1344" s="54" t="s">
        <v>37</v>
      </c>
      <c r="AW1344" s="57">
        <f t="shared" si="181"/>
        <v>0.12500000000000003</v>
      </c>
      <c r="AX1344" s="58" t="s">
        <v>117</v>
      </c>
    </row>
    <row r="1345" spans="1:50" ht="28.5" customHeight="1">
      <c r="A1345" s="66" t="s">
        <v>1150</v>
      </c>
      <c r="B1345" s="39">
        <f t="shared" si="180"/>
        <v>1341</v>
      </c>
      <c r="C1345" s="40">
        <v>46051</v>
      </c>
      <c r="D1345" s="40" t="s">
        <v>32</v>
      </c>
      <c r="E1345" s="40" t="s">
        <v>81</v>
      </c>
      <c r="F1345" s="41">
        <v>721.5</v>
      </c>
      <c r="G1345" s="42" t="s">
        <v>85</v>
      </c>
      <c r="H1345" s="43" t="str">
        <f>IFERROR(VLOOKUP($J1345,'[9]FROM (3)'!$E$4:$F$230,2,FALSE),"")</f>
        <v>JCTTH</v>
      </c>
      <c r="I1345" s="44" t="str">
        <f t="shared" si="179"/>
        <v>RACK POWER STEERING</v>
      </c>
      <c r="J1345" s="44" t="str">
        <f t="shared" si="182"/>
        <v>2-30JG-0711</v>
      </c>
      <c r="K1345" s="59" t="str">
        <f t="shared" si="178"/>
        <v>PD26010795</v>
      </c>
      <c r="L1345" s="46" t="str" cm="1">
        <f t="array" ref="L1345">IFERROR(_xlfn.IFS(
    LEN($A1345)-LEN(SUBSTITUTE($A1345,"|",""))=12, RIGHT(A1345, LEN(A1345)-FIND("~", SUBSTITUTE(A1345,"|","~", LEN(A1345)-LEN(SUBSTITUTE(A1345,"|",""))))),
    LEN($A1345)-LEN(SUBSTITUTE($A1345,"|",""))=13, MID($A1345, FIND("~", SUBSTITUTE($A1345,"|","~", 11))+1, FIND("~", SUBSTITUTE($A1345,"|","~", 12))-FIND("~", SUBSTITUTE($A1345,"|","~", 11))-1),
    LEN($A1345)-LEN(SUBSTITUTE($A1345,"|",""))=14, MID($A1345, FIND("~", SUBSTITUTE($A1345,"|","~", 11))+1, FIND("~", SUBSTITUTE($A1345,"|","~", 12))-FIND("~", SUBSTITUTE($A1345,"|","~", 11))-1)
), "")</f>
        <v>E586102</v>
      </c>
      <c r="M1345" s="72" t="str">
        <f t="shared" si="177"/>
        <v>SB010095/6/26</v>
      </c>
      <c r="N1345" s="46" t="str">
        <f t="shared" si="175"/>
        <v/>
      </c>
      <c r="O1345" s="76">
        <v>50</v>
      </c>
      <c r="P1345" s="76">
        <v>878</v>
      </c>
      <c r="Q1345" s="77">
        <v>200</v>
      </c>
      <c r="R1345" s="77">
        <v>820</v>
      </c>
      <c r="S1345" s="77"/>
      <c r="T1345" s="77"/>
      <c r="U1345" s="83"/>
      <c r="V1345" s="83"/>
      <c r="W1345" s="78"/>
      <c r="X1345" s="51" t="str">
        <f>IF(A1345="", "", IF(COUNTIFS(C$3:C1344, C1345, D$3:D1344, D1345, G$3:G1344, G1345) &gt; 0, "", "11:00"-AW1345))</f>
        <v/>
      </c>
      <c r="Y1345" s="79"/>
      <c r="Z1345" s="80"/>
      <c r="AA1345" s="81"/>
      <c r="AB1345" s="81"/>
      <c r="AC1345" s="81"/>
      <c r="AD1345" s="81"/>
      <c r="AE1345" s="81"/>
      <c r="AF1345" s="81"/>
      <c r="AG1345" s="81"/>
      <c r="AH1345" s="82"/>
      <c r="AI1345" s="81"/>
      <c r="AJ1345" s="81"/>
      <c r="AK1345" s="81"/>
      <c r="AL1345" s="81"/>
      <c r="AM1345" s="81"/>
      <c r="AN1345" s="81"/>
      <c r="AO1345" s="81"/>
      <c r="AP1345" s="81"/>
      <c r="AQ1345" s="81">
        <v>4.1666666666666664E-2</v>
      </c>
      <c r="AR1345" s="81" t="s">
        <v>37</v>
      </c>
      <c r="AS1345" s="81">
        <v>4.1666666666666664E-2</v>
      </c>
      <c r="AT1345" s="81" t="s">
        <v>37</v>
      </c>
      <c r="AU1345" s="53">
        <v>4.1666666666666699E-2</v>
      </c>
      <c r="AV1345" s="54" t="s">
        <v>37</v>
      </c>
      <c r="AW1345" s="57">
        <f t="shared" si="181"/>
        <v>0.12500000000000003</v>
      </c>
      <c r="AX1345" s="58" t="s">
        <v>117</v>
      </c>
    </row>
    <row r="1346" spans="1:50" ht="28.5" customHeight="1">
      <c r="A1346" s="66" t="s">
        <v>1151</v>
      </c>
      <c r="B1346" s="39">
        <f t="shared" si="180"/>
        <v>1342</v>
      </c>
      <c r="C1346" s="40">
        <v>46051</v>
      </c>
      <c r="D1346" s="40" t="s">
        <v>32</v>
      </c>
      <c r="E1346" s="40" t="s">
        <v>81</v>
      </c>
      <c r="F1346" s="41">
        <v>721.5</v>
      </c>
      <c r="G1346" s="42" t="s">
        <v>85</v>
      </c>
      <c r="H1346" s="43" t="str">
        <f>IFERROR(VLOOKUP($J1346,'[9]FROM (3)'!$E$4:$F$230,2,FALSE),"")</f>
        <v>JCTTH</v>
      </c>
      <c r="I1346" s="44" t="str">
        <f t="shared" si="179"/>
        <v>RACK POWER STEERING</v>
      </c>
      <c r="J1346" s="44" t="str">
        <f t="shared" si="182"/>
        <v>2-30JG-0711</v>
      </c>
      <c r="K1346" s="59" t="str">
        <f t="shared" si="178"/>
        <v>PD26010795</v>
      </c>
      <c r="L1346" s="46" t="str" cm="1">
        <f t="array" ref="L1346">IFERROR(_xlfn.IFS(
    LEN($A1346)-LEN(SUBSTITUTE($A1346,"|",""))=12, RIGHT(A1346, LEN(A1346)-FIND("~", SUBSTITUTE(A1346,"|","~", LEN(A1346)-LEN(SUBSTITUTE(A1346,"|",""))))),
    LEN($A1346)-LEN(SUBSTITUTE($A1346,"|",""))=13, MID($A1346, FIND("~", SUBSTITUTE($A1346,"|","~", 11))+1, FIND("~", SUBSTITUTE($A1346,"|","~", 12))-FIND("~", SUBSTITUTE($A1346,"|","~", 11))-1),
    LEN($A1346)-LEN(SUBSTITUTE($A1346,"|",""))=14, MID($A1346, FIND("~", SUBSTITUTE($A1346,"|","~", 11))+1, FIND("~", SUBSTITUTE($A1346,"|","~", 12))-FIND("~", SUBSTITUTE($A1346,"|","~", 11))-1)
), "")</f>
        <v>E586102</v>
      </c>
      <c r="M1346" s="72" t="str">
        <f t="shared" si="177"/>
        <v>SB010095/4/26</v>
      </c>
      <c r="N1346" s="46" t="str">
        <f t="shared" si="175"/>
        <v/>
      </c>
      <c r="O1346" s="76">
        <v>50</v>
      </c>
      <c r="P1346" s="76">
        <v>878</v>
      </c>
      <c r="Q1346" s="77">
        <v>32</v>
      </c>
      <c r="R1346" s="77">
        <v>131</v>
      </c>
      <c r="S1346" s="77"/>
      <c r="T1346" s="77"/>
      <c r="U1346" s="83"/>
      <c r="V1346" s="83"/>
      <c r="W1346" s="78"/>
      <c r="X1346" s="51" t="str">
        <f>IF(A1346="", "", IF(COUNTIFS(C$3:C1345, C1346, D$3:D1345, D1346, G$3:G1345, G1346) &gt; 0, "", "11:00"-AW1346))</f>
        <v/>
      </c>
      <c r="Y1346" s="79"/>
      <c r="Z1346" s="80"/>
      <c r="AA1346" s="81"/>
      <c r="AB1346" s="81"/>
      <c r="AC1346" s="81"/>
      <c r="AD1346" s="81"/>
      <c r="AE1346" s="81"/>
      <c r="AF1346" s="81"/>
      <c r="AG1346" s="81"/>
      <c r="AH1346" s="82"/>
      <c r="AI1346" s="81"/>
      <c r="AJ1346" s="81"/>
      <c r="AK1346" s="81"/>
      <c r="AL1346" s="81"/>
      <c r="AM1346" s="81"/>
      <c r="AN1346" s="81"/>
      <c r="AO1346" s="81"/>
      <c r="AP1346" s="81"/>
      <c r="AQ1346" s="81">
        <v>4.1666666666666664E-2</v>
      </c>
      <c r="AR1346" s="81" t="s">
        <v>37</v>
      </c>
      <c r="AS1346" s="81">
        <v>4.1666666666666664E-2</v>
      </c>
      <c r="AT1346" s="81" t="s">
        <v>37</v>
      </c>
      <c r="AU1346" s="53">
        <v>4.1666666666666699E-2</v>
      </c>
      <c r="AV1346" s="54" t="s">
        <v>37</v>
      </c>
      <c r="AW1346" s="57">
        <f t="shared" si="181"/>
        <v>0.12500000000000003</v>
      </c>
      <c r="AX1346" s="58" t="s">
        <v>117</v>
      </c>
    </row>
    <row r="1347" spans="1:50" ht="28.5" customHeight="1">
      <c r="A1347" s="66" t="s">
        <v>1152</v>
      </c>
      <c r="B1347" s="39">
        <f t="shared" si="180"/>
        <v>1343</v>
      </c>
      <c r="C1347" s="40">
        <v>46051</v>
      </c>
      <c r="D1347" s="40" t="s">
        <v>32</v>
      </c>
      <c r="E1347" s="40" t="s">
        <v>81</v>
      </c>
      <c r="F1347" s="41">
        <v>732.8</v>
      </c>
      <c r="G1347" s="42" t="s">
        <v>192</v>
      </c>
      <c r="H1347" s="43" t="str">
        <f>IFERROR(VLOOKUP($J1347,'[9]FROM (3)'!$E$4:$F$230,2,FALSE),"")</f>
        <v>JATH</v>
      </c>
      <c r="I1347" s="44" t="str">
        <f t="shared" si="179"/>
        <v>JGF02-002060-31-3</v>
      </c>
      <c r="J1347" s="44" t="str">
        <f t="shared" si="182"/>
        <v>RACK BAR BLANK (JGF02-002060-31-3) 58*D</v>
      </c>
      <c r="K1347" s="59" t="str">
        <f t="shared" si="178"/>
        <v>PD25120622</v>
      </c>
      <c r="L1347" s="46" t="str" cm="1">
        <f t="array" ref="L1347">IFERROR(_xlfn.IFS(
    LEN($A1347)-LEN(SUBSTITUTE($A1347,"|",""))=12, RIGHT(A1347, LEN(A1347)-FIND("~", SUBSTITUTE(A1347,"|","~", LEN(A1347)-LEN(SUBSTITUTE(A1347,"|",""))))),
    LEN($A1347)-LEN(SUBSTITUTE($A1347,"|",""))=13, MID($A1347, FIND("~", SUBSTITUTE($A1347,"|","~", 11))+1, FIND("~", SUBSTITUTE($A1347,"|","~", 12))-FIND("~", SUBSTITUTE($A1347,"|","~", 11))-1),
    LEN($A1347)-LEN(SUBSTITUTE($A1347,"|",""))=14, MID($A1347, FIND("~", SUBSTITUTE($A1347,"|","~", 11))+1, FIND("~", SUBSTITUTE($A1347,"|","~", 12))-FIND("~", SUBSTITUTE($A1347,"|","~", 11))-1)
), "")</f>
        <v>5B0230</v>
      </c>
      <c r="M1347" s="72" t="str">
        <f t="shared" si="177"/>
        <v>TSK2</v>
      </c>
      <c r="N1347" s="46" t="str">
        <f t="shared" si="175"/>
        <v>FB010143/1/26</v>
      </c>
      <c r="O1347" s="76">
        <v>28</v>
      </c>
      <c r="P1347" s="76">
        <v>131</v>
      </c>
      <c r="Q1347" s="77">
        <v>28</v>
      </c>
      <c r="R1347" s="77">
        <v>131</v>
      </c>
      <c r="S1347" s="77"/>
      <c r="T1347" s="77"/>
      <c r="U1347" s="83"/>
      <c r="V1347" s="83"/>
      <c r="W1347" s="78"/>
      <c r="X1347" s="51">
        <f>IF(A1347="", "", IF(COUNTIFS(C$3:C1346, C1347, D$3:D1346, D1347, G$3:G1346, G1347) &gt; 0, "", "11:00"-AW1347))</f>
        <v>0.16666666666666663</v>
      </c>
      <c r="Y1347" s="79"/>
      <c r="Z1347" s="80"/>
      <c r="AA1347" s="81"/>
      <c r="AB1347" s="81"/>
      <c r="AC1347" s="81"/>
      <c r="AD1347" s="81"/>
      <c r="AE1347" s="81"/>
      <c r="AF1347" s="81"/>
      <c r="AG1347" s="81"/>
      <c r="AH1347" s="82"/>
      <c r="AI1347" s="81">
        <v>4.1666666666666664E-2</v>
      </c>
      <c r="AJ1347" s="81" t="s">
        <v>129</v>
      </c>
      <c r="AK1347" s="81">
        <v>4.1666666666666664E-2</v>
      </c>
      <c r="AL1347" s="81" t="s">
        <v>129</v>
      </c>
      <c r="AM1347" s="81">
        <v>4.1666666666666664E-2</v>
      </c>
      <c r="AN1347" s="81" t="s">
        <v>129</v>
      </c>
      <c r="AO1347" s="81">
        <v>4.1666666666666664E-2</v>
      </c>
      <c r="AP1347" s="81" t="s">
        <v>129</v>
      </c>
      <c r="AQ1347" s="81">
        <v>4.1666666666666664E-2</v>
      </c>
      <c r="AR1347" s="81" t="s">
        <v>37</v>
      </c>
      <c r="AS1347" s="81">
        <v>4.1666666666666664E-2</v>
      </c>
      <c r="AT1347" s="81" t="s">
        <v>37</v>
      </c>
      <c r="AU1347" s="53">
        <v>4.1666666666666699E-2</v>
      </c>
      <c r="AV1347" s="54" t="s">
        <v>37</v>
      </c>
      <c r="AW1347" s="57">
        <f t="shared" si="181"/>
        <v>0.29166666666666669</v>
      </c>
      <c r="AX1347" s="58" t="s">
        <v>260</v>
      </c>
    </row>
    <row r="1348" spans="1:50" ht="28.5" customHeight="1">
      <c r="A1348" s="66" t="s">
        <v>1153</v>
      </c>
      <c r="B1348" s="39">
        <f t="shared" si="180"/>
        <v>1344</v>
      </c>
      <c r="C1348" s="40">
        <v>46051</v>
      </c>
      <c r="D1348" s="40" t="s">
        <v>32</v>
      </c>
      <c r="E1348" s="40" t="s">
        <v>81</v>
      </c>
      <c r="F1348" s="41">
        <v>732.8</v>
      </c>
      <c r="G1348" s="42" t="s">
        <v>192</v>
      </c>
      <c r="H1348" s="43" t="str">
        <f>IFERROR(VLOOKUP($J1348,'[9]FROM (3)'!$E$4:$F$230,2,FALSE),"")</f>
        <v>JATH</v>
      </c>
      <c r="I1348" s="44" t="str">
        <f t="shared" si="179"/>
        <v>JGF02-002060-31-3</v>
      </c>
      <c r="J1348" s="44" t="str">
        <f t="shared" si="182"/>
        <v>RACK BAR BLANK (JGF02-002060-31-3) 58*D</v>
      </c>
      <c r="K1348" s="59" t="str">
        <f t="shared" si="178"/>
        <v>PD25120622</v>
      </c>
      <c r="L1348" s="46" t="str" cm="1">
        <f t="array" ref="L1348">IFERROR(_xlfn.IFS(
    LEN($A1348)-LEN(SUBSTITUTE($A1348,"|",""))=12, RIGHT(A1348, LEN(A1348)-FIND("~", SUBSTITUTE(A1348,"|","~", LEN(A1348)-LEN(SUBSTITUTE(A1348,"|",""))))),
    LEN($A1348)-LEN(SUBSTITUTE($A1348,"|",""))=13, MID($A1348, FIND("~", SUBSTITUTE($A1348,"|","~", 11))+1, FIND("~", SUBSTITUTE($A1348,"|","~", 12))-FIND("~", SUBSTITUTE($A1348,"|","~", 11))-1),
    LEN($A1348)-LEN(SUBSTITUTE($A1348,"|",""))=14, MID($A1348, FIND("~", SUBSTITUTE($A1348,"|","~", 11))+1, FIND("~", SUBSTITUTE($A1348,"|","~", 12))-FIND("~", SUBSTITUTE($A1348,"|","~", 11))-1)
), "")</f>
        <v>5B0230</v>
      </c>
      <c r="M1348" s="72" t="str">
        <f t="shared" ref="M1348:M1411" si="183">IFERROR(MID(A1348,FIND("~",SUBSTITUTE(A1348,"|","~",10))+1,FIND("~",SUBSTITUTE(A1348,"|","~",11))-FIND("~",SUBSTITUTE(A1348,"|","~",10))-1),"")</f>
        <v>TSK2</v>
      </c>
      <c r="N1348" s="46" t="str">
        <f t="shared" si="175"/>
        <v>FB010143/15/26</v>
      </c>
      <c r="O1348" s="76">
        <v>58</v>
      </c>
      <c r="P1348" s="76">
        <v>271</v>
      </c>
      <c r="Q1348" s="77">
        <v>58</v>
      </c>
      <c r="R1348" s="77">
        <v>271</v>
      </c>
      <c r="S1348" s="77"/>
      <c r="T1348" s="77"/>
      <c r="U1348" s="83"/>
      <c r="V1348" s="83"/>
      <c r="W1348" s="78"/>
      <c r="X1348" s="51" t="str">
        <f>IF(A1348="", "", IF(COUNTIFS(C$3:C1347, C1348, D$3:D1347, D1348, G$3:G1347, G1348) &gt; 0, "", "11:00"-AW1348))</f>
        <v/>
      </c>
      <c r="Y1348" s="79"/>
      <c r="Z1348" s="80"/>
      <c r="AA1348" s="81"/>
      <c r="AB1348" s="81"/>
      <c r="AC1348" s="81"/>
      <c r="AD1348" s="81"/>
      <c r="AE1348" s="81"/>
      <c r="AF1348" s="81"/>
      <c r="AG1348" s="81"/>
      <c r="AH1348" s="82"/>
      <c r="AI1348" s="81"/>
      <c r="AJ1348" s="81"/>
      <c r="AK1348" s="81"/>
      <c r="AL1348" s="81"/>
      <c r="AM1348" s="81"/>
      <c r="AN1348" s="81"/>
      <c r="AO1348" s="81"/>
      <c r="AP1348" s="81"/>
      <c r="AQ1348" s="81"/>
      <c r="AR1348" s="81"/>
      <c r="AS1348" s="81"/>
      <c r="AT1348" s="81"/>
      <c r="AU1348" s="53">
        <v>4.1666666666666699E-2</v>
      </c>
      <c r="AV1348" s="54" t="s">
        <v>37</v>
      </c>
      <c r="AW1348" s="57">
        <f t="shared" si="181"/>
        <v>4.1666666666666699E-2</v>
      </c>
      <c r="AX1348" s="58" t="s">
        <v>260</v>
      </c>
    </row>
    <row r="1349" spans="1:50" ht="28.5" customHeight="1">
      <c r="A1349" s="66" t="s">
        <v>1154</v>
      </c>
      <c r="B1349" s="39">
        <f t="shared" si="180"/>
        <v>1345</v>
      </c>
      <c r="C1349" s="40">
        <v>46051</v>
      </c>
      <c r="D1349" s="40" t="s">
        <v>32</v>
      </c>
      <c r="E1349" s="40" t="s">
        <v>81</v>
      </c>
      <c r="F1349" s="41">
        <v>732.8</v>
      </c>
      <c r="G1349" s="42" t="s">
        <v>192</v>
      </c>
      <c r="H1349" s="43" t="str">
        <f>IFERROR(VLOOKUP($J1349,'[9]FROM (3)'!$E$4:$F$230,2,FALSE),"")</f>
        <v>JATH</v>
      </c>
      <c r="I1349" s="44" t="str">
        <f t="shared" si="179"/>
        <v>JGF02-002060-31-3</v>
      </c>
      <c r="J1349" s="44" t="str">
        <f t="shared" si="182"/>
        <v>RACK BAR BLANK (JGF02-002060-31-3) 58*D</v>
      </c>
      <c r="K1349" s="59" t="str">
        <f t="shared" si="178"/>
        <v>PD25120622</v>
      </c>
      <c r="L1349" s="46" t="str" cm="1">
        <f t="array" ref="L1349">IFERROR(_xlfn.IFS(
    LEN($A1349)-LEN(SUBSTITUTE($A1349,"|",""))=12, RIGHT(A1349, LEN(A1349)-FIND("~", SUBSTITUTE(A1349,"|","~", LEN(A1349)-LEN(SUBSTITUTE(A1349,"|",""))))),
    LEN($A1349)-LEN(SUBSTITUTE($A1349,"|",""))=13, MID($A1349, FIND("~", SUBSTITUTE($A1349,"|","~", 11))+1, FIND("~", SUBSTITUTE($A1349,"|","~", 12))-FIND("~", SUBSTITUTE($A1349,"|","~", 11))-1),
    LEN($A1349)-LEN(SUBSTITUTE($A1349,"|",""))=14, MID($A1349, FIND("~", SUBSTITUTE($A1349,"|","~", 11))+1, FIND("~", SUBSTITUTE($A1349,"|","~", 12))-FIND("~", SUBSTITUTE($A1349,"|","~", 11))-1)
), "")</f>
        <v>5B0230</v>
      </c>
      <c r="M1349" s="72" t="str">
        <f t="shared" si="183"/>
        <v>TSK2</v>
      </c>
      <c r="N1349" s="46" t="str">
        <f t="shared" si="175"/>
        <v>FB010143/14/26</v>
      </c>
      <c r="O1349" s="76">
        <v>58</v>
      </c>
      <c r="P1349" s="76">
        <v>271</v>
      </c>
      <c r="Q1349" s="77">
        <v>58</v>
      </c>
      <c r="R1349" s="77">
        <v>271</v>
      </c>
      <c r="S1349" s="77"/>
      <c r="T1349" s="77"/>
      <c r="U1349" s="83"/>
      <c r="V1349" s="83"/>
      <c r="W1349" s="78"/>
      <c r="X1349" s="51" t="str">
        <f>IF(A1349="", "", IF(COUNTIFS(C$3:C1348, C1349, D$3:D1348, D1349, G$3:G1348, G1349) &gt; 0, "", "11:00"-AW1349))</f>
        <v/>
      </c>
      <c r="Y1349" s="79"/>
      <c r="Z1349" s="80"/>
      <c r="AA1349" s="81"/>
      <c r="AB1349" s="81"/>
      <c r="AC1349" s="81"/>
      <c r="AD1349" s="81"/>
      <c r="AE1349" s="81"/>
      <c r="AF1349" s="81"/>
      <c r="AG1349" s="81"/>
      <c r="AH1349" s="82"/>
      <c r="AI1349" s="81"/>
      <c r="AJ1349" s="81"/>
      <c r="AK1349" s="81"/>
      <c r="AL1349" s="81"/>
      <c r="AM1349" s="81"/>
      <c r="AN1349" s="81"/>
      <c r="AO1349" s="81"/>
      <c r="AP1349" s="81"/>
      <c r="AQ1349" s="81"/>
      <c r="AR1349" s="81"/>
      <c r="AS1349" s="81"/>
      <c r="AT1349" s="81"/>
      <c r="AU1349" s="53">
        <v>4.1666666666666699E-2</v>
      </c>
      <c r="AV1349" s="54" t="s">
        <v>37</v>
      </c>
      <c r="AW1349" s="57">
        <f t="shared" si="181"/>
        <v>4.1666666666666699E-2</v>
      </c>
      <c r="AX1349" s="58" t="s">
        <v>260</v>
      </c>
    </row>
    <row r="1350" spans="1:50" ht="28.5" customHeight="1">
      <c r="A1350" s="66" t="s">
        <v>1155</v>
      </c>
      <c r="B1350" s="39">
        <f t="shared" si="180"/>
        <v>1346</v>
      </c>
      <c r="C1350" s="40">
        <v>46051</v>
      </c>
      <c r="D1350" s="40" t="s">
        <v>32</v>
      </c>
      <c r="E1350" s="40" t="s">
        <v>81</v>
      </c>
      <c r="F1350" s="41">
        <v>732.8</v>
      </c>
      <c r="G1350" s="42" t="s">
        <v>192</v>
      </c>
      <c r="H1350" s="43" t="str">
        <f>IFERROR(VLOOKUP($J1350,'[9]FROM (3)'!$E$4:$F$230,2,FALSE),"")</f>
        <v>JATH</v>
      </c>
      <c r="I1350" s="44" t="str">
        <f t="shared" si="179"/>
        <v>JGF02-002060-31-3</v>
      </c>
      <c r="J1350" s="44" t="str">
        <f t="shared" si="182"/>
        <v>RACK BAR BLANK (JGF02-002060-31-3) 58*D</v>
      </c>
      <c r="K1350" s="59" t="str">
        <f t="shared" ref="K1350:K1413" si="184">IFERROR(LEFT(A1350,SEARCH("|",A1350)-1),"")</f>
        <v>PD25120622</v>
      </c>
      <c r="L1350" s="46" t="str" cm="1">
        <f t="array" ref="L1350">IFERROR(_xlfn.IFS(
    LEN($A1350)-LEN(SUBSTITUTE($A1350,"|",""))=12, RIGHT(A1350, LEN(A1350)-FIND("~", SUBSTITUTE(A1350,"|","~", LEN(A1350)-LEN(SUBSTITUTE(A1350,"|",""))))),
    LEN($A1350)-LEN(SUBSTITUTE($A1350,"|",""))=13, MID($A1350, FIND("~", SUBSTITUTE($A1350,"|","~", 11))+1, FIND("~", SUBSTITUTE($A1350,"|","~", 12))-FIND("~", SUBSTITUTE($A1350,"|","~", 11))-1),
    LEN($A1350)-LEN(SUBSTITUTE($A1350,"|",""))=14, MID($A1350, FIND("~", SUBSTITUTE($A1350,"|","~", 11))+1, FIND("~", SUBSTITUTE($A1350,"|","~", 12))-FIND("~", SUBSTITUTE($A1350,"|","~", 11))-1)
), "")</f>
        <v>5B0230</v>
      </c>
      <c r="M1350" s="72" t="str">
        <f t="shared" si="183"/>
        <v>TSK2</v>
      </c>
      <c r="N1350" s="46" t="str">
        <f t="shared" si="175"/>
        <v>FB010143/8/26</v>
      </c>
      <c r="O1350" s="76">
        <v>58</v>
      </c>
      <c r="P1350" s="76">
        <v>271</v>
      </c>
      <c r="Q1350" s="77">
        <v>58</v>
      </c>
      <c r="R1350" s="77">
        <v>271</v>
      </c>
      <c r="S1350" s="77"/>
      <c r="T1350" s="77"/>
      <c r="U1350" s="83"/>
      <c r="V1350" s="83"/>
      <c r="W1350" s="78"/>
      <c r="X1350" s="51" t="str">
        <f>IF(A1350="", "", IF(COUNTIFS(C$3:C1349, C1350, D$3:D1349, D1350, G$3:G1349, G1350) &gt; 0, "", "11:00"-AW1350))</f>
        <v/>
      </c>
      <c r="Y1350" s="79"/>
      <c r="Z1350" s="80"/>
      <c r="AA1350" s="81"/>
      <c r="AB1350" s="81"/>
      <c r="AC1350" s="81"/>
      <c r="AD1350" s="81"/>
      <c r="AE1350" s="81"/>
      <c r="AF1350" s="81"/>
      <c r="AG1350" s="81"/>
      <c r="AH1350" s="82"/>
      <c r="AI1350" s="81"/>
      <c r="AJ1350" s="81"/>
      <c r="AK1350" s="81"/>
      <c r="AL1350" s="81"/>
      <c r="AM1350" s="81"/>
      <c r="AN1350" s="81"/>
      <c r="AO1350" s="81"/>
      <c r="AP1350" s="81"/>
      <c r="AQ1350" s="81"/>
      <c r="AR1350" s="81"/>
      <c r="AS1350" s="81"/>
      <c r="AT1350" s="81"/>
      <c r="AU1350" s="53">
        <v>4.1666666666666699E-2</v>
      </c>
      <c r="AV1350" s="54" t="s">
        <v>37</v>
      </c>
      <c r="AW1350" s="57">
        <f t="shared" si="181"/>
        <v>4.1666666666666699E-2</v>
      </c>
      <c r="AX1350" s="58" t="s">
        <v>260</v>
      </c>
    </row>
    <row r="1351" spans="1:50" ht="28.5" customHeight="1">
      <c r="A1351" s="66" t="s">
        <v>1156</v>
      </c>
      <c r="B1351" s="39">
        <f t="shared" si="180"/>
        <v>1347</v>
      </c>
      <c r="C1351" s="40">
        <v>46051</v>
      </c>
      <c r="D1351" s="40" t="s">
        <v>32</v>
      </c>
      <c r="E1351" s="40" t="s">
        <v>81</v>
      </c>
      <c r="F1351" s="41">
        <v>732.8</v>
      </c>
      <c r="G1351" s="42" t="s">
        <v>192</v>
      </c>
      <c r="H1351" s="43" t="str">
        <f>IFERROR(VLOOKUP($J1351,'[9]FROM (3)'!$E$4:$F$230,2,FALSE),"")</f>
        <v>JATH</v>
      </c>
      <c r="I1351" s="44" t="str">
        <f t="shared" ref="I1351:I1414" si="185">IFERROR(MID(A1351,FIND("~",SUBSTITUTE(A1351,"|","~",4))+1,FIND("~",SUBSTITUTE(A1351,"|","~",5))-FIND("~",SUBSTITUTE(A1351,"|","~",4))-1),"")</f>
        <v>JGF02-002060-31-3</v>
      </c>
      <c r="J1351" s="44" t="str">
        <f t="shared" si="182"/>
        <v>RACK BAR BLANK (JGF02-002060-31-3) 58*D</v>
      </c>
      <c r="K1351" s="59" t="str">
        <f t="shared" si="184"/>
        <v>PD25120622</v>
      </c>
      <c r="L1351" s="46" t="str" cm="1">
        <f t="array" ref="L1351">IFERROR(_xlfn.IFS(
    LEN($A1351)-LEN(SUBSTITUTE($A1351,"|",""))=12, RIGHT(A1351, LEN(A1351)-FIND("~", SUBSTITUTE(A1351,"|","~", LEN(A1351)-LEN(SUBSTITUTE(A1351,"|",""))))),
    LEN($A1351)-LEN(SUBSTITUTE($A1351,"|",""))=13, MID($A1351, FIND("~", SUBSTITUTE($A1351,"|","~", 11))+1, FIND("~", SUBSTITUTE($A1351,"|","~", 12))-FIND("~", SUBSTITUTE($A1351,"|","~", 11))-1),
    LEN($A1351)-LEN(SUBSTITUTE($A1351,"|",""))=14, MID($A1351, FIND("~", SUBSTITUTE($A1351,"|","~", 11))+1, FIND("~", SUBSTITUTE($A1351,"|","~", 12))-FIND("~", SUBSTITUTE($A1351,"|","~", 11))-1)
), "")</f>
        <v>5B0230</v>
      </c>
      <c r="M1351" s="72" t="str">
        <f t="shared" si="183"/>
        <v>TSK2</v>
      </c>
      <c r="N1351" s="46" t="str">
        <f t="shared" si="175"/>
        <v>FB010143/17/26</v>
      </c>
      <c r="O1351" s="76">
        <v>58</v>
      </c>
      <c r="P1351" s="76">
        <v>271</v>
      </c>
      <c r="Q1351" s="77">
        <v>58</v>
      </c>
      <c r="R1351" s="77">
        <v>271</v>
      </c>
      <c r="S1351" s="77"/>
      <c r="T1351" s="77"/>
      <c r="U1351" s="83"/>
      <c r="V1351" s="83"/>
      <c r="W1351" s="78"/>
      <c r="X1351" s="51" t="str">
        <f>IF(A1351="", "", IF(COUNTIFS(C$3:C1350, C1351, D$3:D1350, D1351, G$3:G1350, G1351) &gt; 0, "", "11:00"-AW1351))</f>
        <v/>
      </c>
      <c r="Y1351" s="79"/>
      <c r="Z1351" s="80"/>
      <c r="AA1351" s="81"/>
      <c r="AB1351" s="81"/>
      <c r="AC1351" s="81"/>
      <c r="AD1351" s="81"/>
      <c r="AE1351" s="81"/>
      <c r="AF1351" s="81"/>
      <c r="AG1351" s="81"/>
      <c r="AH1351" s="82"/>
      <c r="AI1351" s="81"/>
      <c r="AJ1351" s="81"/>
      <c r="AK1351" s="81"/>
      <c r="AL1351" s="81"/>
      <c r="AM1351" s="81"/>
      <c r="AN1351" s="81"/>
      <c r="AO1351" s="81"/>
      <c r="AP1351" s="81"/>
      <c r="AQ1351" s="81"/>
      <c r="AR1351" s="81"/>
      <c r="AS1351" s="81"/>
      <c r="AT1351" s="81"/>
      <c r="AU1351" s="53">
        <v>4.1666666666666699E-2</v>
      </c>
      <c r="AV1351" s="54" t="s">
        <v>37</v>
      </c>
      <c r="AW1351" s="57">
        <f t="shared" si="181"/>
        <v>4.1666666666666699E-2</v>
      </c>
      <c r="AX1351" s="58" t="s">
        <v>260</v>
      </c>
    </row>
    <row r="1352" spans="1:50" ht="28.5" customHeight="1">
      <c r="A1352" s="66" t="s">
        <v>1126</v>
      </c>
      <c r="B1352" s="39">
        <f t="shared" si="180"/>
        <v>1348</v>
      </c>
      <c r="C1352" s="40">
        <v>46051</v>
      </c>
      <c r="D1352" s="40" t="s">
        <v>32</v>
      </c>
      <c r="E1352" s="40" t="s">
        <v>81</v>
      </c>
      <c r="F1352" s="41">
        <v>755.4</v>
      </c>
      <c r="G1352" s="42" t="s">
        <v>75</v>
      </c>
      <c r="H1352" s="43" t="str">
        <f>IFERROR(VLOOKUP($J1352,'[9]FROM (3)'!$E$4:$F$230,2,FALSE),"")</f>
        <v>JTCS</v>
      </c>
      <c r="I1352" s="44" t="str">
        <f t="shared" si="185"/>
        <v>RACK, PS</v>
      </c>
      <c r="J1352" s="44" t="str">
        <f t="shared" si="182"/>
        <v>JGD10-001260-40-1</v>
      </c>
      <c r="K1352" s="59" t="str">
        <f t="shared" si="184"/>
        <v>PD26011132</v>
      </c>
      <c r="L1352" s="46" t="str" cm="1">
        <f t="array" ref="L1352">IFERROR(_xlfn.IFS(
    LEN($A1352)-LEN(SUBSTITUTE($A1352,"|",""))=12, RIGHT(A1352, LEN(A1352)-FIND("~", SUBSTITUTE(A1352,"|","~", LEN(A1352)-LEN(SUBSTITUTE(A1352,"|",""))))),
    LEN($A1352)-LEN(SUBSTITUTE($A1352,"|",""))=13, MID($A1352, FIND("~", SUBSTITUTE($A1352,"|","~", 11))+1, FIND("~", SUBSTITUTE($A1352,"|","~", 12))-FIND("~", SUBSTITUTE($A1352,"|","~", 11))-1),
    LEN($A1352)-LEN(SUBSTITUTE($A1352,"|",""))=14, MID($A1352, FIND("~", SUBSTITUTE($A1352,"|","~", 11))+1, FIND("~", SUBSTITUTE($A1352,"|","~", 12))-FIND("~", SUBSTITUTE($A1352,"|","~", 11))-1)
), "")</f>
        <v>E586967</v>
      </c>
      <c r="M1352" s="72" t="str">
        <f t="shared" si="183"/>
        <v>SB010153/3/26</v>
      </c>
      <c r="N1352" s="46" t="str">
        <f t="shared" si="175"/>
        <v/>
      </c>
      <c r="O1352" s="76">
        <v>0</v>
      </c>
      <c r="P1352" s="76">
        <v>0</v>
      </c>
      <c r="Q1352" s="77">
        <v>53</v>
      </c>
      <c r="R1352" s="77">
        <v>257</v>
      </c>
      <c r="S1352" s="77"/>
      <c r="T1352" s="77"/>
      <c r="U1352" s="83"/>
      <c r="V1352" s="83"/>
      <c r="W1352" s="78"/>
      <c r="X1352" s="51">
        <f>IF(A1352="", "", IF(COUNTIFS(C$3:C1351, C1352, D$3:D1351, D1352, G$3:G1351, G1352) &gt; 0, "", "11:00"-AW1352))</f>
        <v>0.29166666666666663</v>
      </c>
      <c r="Y1352" s="79"/>
      <c r="Z1352" s="80"/>
      <c r="AA1352" s="81"/>
      <c r="AB1352" s="81"/>
      <c r="AC1352" s="81"/>
      <c r="AD1352" s="81"/>
      <c r="AE1352" s="81" t="s">
        <v>122</v>
      </c>
      <c r="AF1352" s="81"/>
      <c r="AG1352" s="81"/>
      <c r="AH1352" s="82"/>
      <c r="AI1352" s="81"/>
      <c r="AJ1352" s="81"/>
      <c r="AK1352" s="81"/>
      <c r="AL1352" s="81"/>
      <c r="AM1352" s="81"/>
      <c r="AN1352" s="81"/>
      <c r="AO1352" s="81">
        <v>4.1666666666666664E-2</v>
      </c>
      <c r="AP1352" s="81" t="s">
        <v>67</v>
      </c>
      <c r="AQ1352" s="81">
        <v>4.1666666666666664E-2</v>
      </c>
      <c r="AR1352" s="81" t="s">
        <v>37</v>
      </c>
      <c r="AS1352" s="81">
        <v>4.1666666666666664E-2</v>
      </c>
      <c r="AT1352" s="81" t="s">
        <v>37</v>
      </c>
      <c r="AU1352" s="53">
        <v>4.1666666666666699E-2</v>
      </c>
      <c r="AV1352" s="54" t="s">
        <v>37</v>
      </c>
      <c r="AW1352" s="57">
        <f t="shared" si="181"/>
        <v>0.16666666666666669</v>
      </c>
      <c r="AX1352" s="58" t="s">
        <v>77</v>
      </c>
    </row>
    <row r="1353" spans="1:50" ht="28.5" customHeight="1">
      <c r="A1353" s="66" t="s">
        <v>1157</v>
      </c>
      <c r="B1353" s="39">
        <f t="shared" si="180"/>
        <v>1349</v>
      </c>
      <c r="C1353" s="40">
        <v>46051</v>
      </c>
      <c r="D1353" s="40" t="s">
        <v>32</v>
      </c>
      <c r="E1353" s="40" t="s">
        <v>81</v>
      </c>
      <c r="F1353" s="41">
        <v>755.4</v>
      </c>
      <c r="G1353" s="42" t="s">
        <v>75</v>
      </c>
      <c r="H1353" s="43" t="str">
        <f>IFERROR(VLOOKUP($J1353,'[9]FROM (3)'!$E$4:$F$230,2,FALSE),"")</f>
        <v>JTCS</v>
      </c>
      <c r="I1353" s="44" t="str">
        <f t="shared" si="185"/>
        <v>RACK, PS</v>
      </c>
      <c r="J1353" s="44" t="str">
        <f t="shared" si="182"/>
        <v>JGD10-001260-40-1</v>
      </c>
      <c r="K1353" s="59" t="str">
        <f t="shared" si="184"/>
        <v>PD26011132</v>
      </c>
      <c r="L1353" s="46" t="str" cm="1">
        <f t="array" ref="L1353">IFERROR(_xlfn.IFS(
    LEN($A1353)-LEN(SUBSTITUTE($A1353,"|",""))=12, RIGHT(A1353, LEN(A1353)-FIND("~", SUBSTITUTE(A1353,"|","~", LEN(A1353)-LEN(SUBSTITUTE(A1353,"|",""))))),
    LEN($A1353)-LEN(SUBSTITUTE($A1353,"|",""))=13, MID($A1353, FIND("~", SUBSTITUTE($A1353,"|","~", 11))+1, FIND("~", SUBSTITUTE($A1353,"|","~", 12))-FIND("~", SUBSTITUTE($A1353,"|","~", 11))-1),
    LEN($A1353)-LEN(SUBSTITUTE($A1353,"|",""))=14, MID($A1353, FIND("~", SUBSTITUTE($A1353,"|","~", 11))+1, FIND("~", SUBSTITUTE($A1353,"|","~", 12))-FIND("~", SUBSTITUTE($A1353,"|","~", 11))-1)
), "")</f>
        <v>E586967</v>
      </c>
      <c r="M1353" s="72" t="str">
        <f t="shared" si="183"/>
        <v>SB010153/1/26</v>
      </c>
      <c r="N1353" s="46" t="str">
        <f t="shared" si="175"/>
        <v/>
      </c>
      <c r="O1353" s="76">
        <v>47</v>
      </c>
      <c r="P1353" s="76">
        <v>970</v>
      </c>
      <c r="Q1353" s="77">
        <v>187</v>
      </c>
      <c r="R1353" s="77">
        <v>905</v>
      </c>
      <c r="S1353" s="77">
        <v>1</v>
      </c>
      <c r="T1353" s="77" t="s">
        <v>167</v>
      </c>
      <c r="U1353" s="83">
        <v>155</v>
      </c>
      <c r="V1353" s="83">
        <v>9</v>
      </c>
      <c r="W1353" s="78"/>
      <c r="X1353" s="51" t="str">
        <f>IF(A1353="", "", IF(COUNTIFS(C$3:C1352, C1353, D$3:D1352, D1353, G$3:G1352, G1353) &gt; 0, "", "11:00"-AW1353))</f>
        <v/>
      </c>
      <c r="Y1353" s="79"/>
      <c r="Z1353" s="80"/>
      <c r="AA1353" s="81"/>
      <c r="AB1353" s="81"/>
      <c r="AC1353" s="81"/>
      <c r="AD1353" s="81"/>
      <c r="AE1353" s="81"/>
      <c r="AF1353" s="81"/>
      <c r="AG1353" s="81"/>
      <c r="AH1353" s="82"/>
      <c r="AI1353" s="81"/>
      <c r="AJ1353" s="81"/>
      <c r="AK1353" s="81"/>
      <c r="AL1353" s="81"/>
      <c r="AM1353" s="81"/>
      <c r="AN1353" s="81"/>
      <c r="AO1353" s="81"/>
      <c r="AP1353" s="81"/>
      <c r="AQ1353" s="81"/>
      <c r="AR1353" s="81"/>
      <c r="AS1353" s="81"/>
      <c r="AT1353" s="81"/>
      <c r="AU1353" s="53">
        <v>4.1666666666666699E-2</v>
      </c>
      <c r="AV1353" s="54" t="s">
        <v>37</v>
      </c>
      <c r="AW1353" s="57">
        <f t="shared" si="181"/>
        <v>4.1666666666666699E-2</v>
      </c>
      <c r="AX1353" s="58" t="s">
        <v>77</v>
      </c>
    </row>
    <row r="1354" spans="1:50" ht="28.5" customHeight="1">
      <c r="A1354" s="66" t="s">
        <v>1158</v>
      </c>
      <c r="B1354" s="39">
        <f t="shared" ref="B1354:B1417" si="186">IF(A1354="","",B1353+1)</f>
        <v>1350</v>
      </c>
      <c r="C1354" s="40">
        <v>46051</v>
      </c>
      <c r="D1354" s="40" t="s">
        <v>32</v>
      </c>
      <c r="E1354" s="40" t="s">
        <v>81</v>
      </c>
      <c r="F1354" s="41">
        <v>755.4</v>
      </c>
      <c r="G1354" s="42" t="s">
        <v>75</v>
      </c>
      <c r="H1354" s="43" t="str">
        <f>IFERROR(VLOOKUP($J1354,'[9]FROM (3)'!$E$4:$F$230,2,FALSE),"")</f>
        <v>JTCS</v>
      </c>
      <c r="I1354" s="44" t="str">
        <f t="shared" si="185"/>
        <v>RACK, PS</v>
      </c>
      <c r="J1354" s="44" t="str">
        <f t="shared" si="182"/>
        <v>JGD10-001260-40-1</v>
      </c>
      <c r="K1354" s="59" t="str">
        <f t="shared" si="184"/>
        <v>PD26011133</v>
      </c>
      <c r="L1354" s="46" t="str" cm="1">
        <f t="array" ref="L1354">IFERROR(_xlfn.IFS(
    LEN($A1354)-LEN(SUBSTITUTE($A1354,"|",""))=12, RIGHT(A1354, LEN(A1354)-FIND("~", SUBSTITUTE(A1354,"|","~", LEN(A1354)-LEN(SUBSTITUTE(A1354,"|",""))))),
    LEN($A1354)-LEN(SUBSTITUTE($A1354,"|",""))=13, MID($A1354, FIND("~", SUBSTITUTE($A1354,"|","~", 11))+1, FIND("~", SUBSTITUTE($A1354,"|","~", 12))-FIND("~", SUBSTITUTE($A1354,"|","~", 11))-1),
    LEN($A1354)-LEN(SUBSTITUTE($A1354,"|",""))=14, MID($A1354, FIND("~", SUBSTITUTE($A1354,"|","~", 11))+1, FIND("~", SUBSTITUTE($A1354,"|","~", 12))-FIND("~", SUBSTITUTE($A1354,"|","~", 11))-1)
), "")</f>
        <v>E586967</v>
      </c>
      <c r="M1354" s="72" t="str">
        <f t="shared" si="183"/>
        <v>SB010153/5/26</v>
      </c>
      <c r="N1354" s="46" t="str">
        <f t="shared" si="175"/>
        <v/>
      </c>
      <c r="O1354" s="76">
        <v>47</v>
      </c>
      <c r="P1354" s="76">
        <v>970</v>
      </c>
      <c r="Q1354" s="77">
        <v>188</v>
      </c>
      <c r="R1354" s="77">
        <v>910</v>
      </c>
      <c r="S1354" s="77"/>
      <c r="T1354" s="77"/>
      <c r="U1354" s="83"/>
      <c r="V1354" s="83"/>
      <c r="W1354" s="78"/>
      <c r="X1354" s="51" t="str">
        <f>IF(A1354="", "", IF(COUNTIFS(C$3:C1353, C1354, D$3:D1353, D1354, G$3:G1353, G1354) &gt; 0, "", "11:00"-AW1354))</f>
        <v/>
      </c>
      <c r="Y1354" s="79"/>
      <c r="Z1354" s="80"/>
      <c r="AA1354" s="81"/>
      <c r="AB1354" s="81"/>
      <c r="AC1354" s="81"/>
      <c r="AD1354" s="81"/>
      <c r="AE1354" s="81"/>
      <c r="AF1354" s="81"/>
      <c r="AG1354" s="81"/>
      <c r="AH1354" s="82"/>
      <c r="AI1354" s="81"/>
      <c r="AJ1354" s="81"/>
      <c r="AK1354" s="81"/>
      <c r="AL1354" s="81"/>
      <c r="AM1354" s="81"/>
      <c r="AN1354" s="81"/>
      <c r="AO1354" s="81"/>
      <c r="AP1354" s="81"/>
      <c r="AQ1354" s="81"/>
      <c r="AR1354" s="81"/>
      <c r="AS1354" s="81"/>
      <c r="AT1354" s="81"/>
      <c r="AU1354" s="53">
        <v>4.1666666666666699E-2</v>
      </c>
      <c r="AV1354" s="54" t="s">
        <v>37</v>
      </c>
      <c r="AW1354" s="57">
        <f t="shared" si="181"/>
        <v>4.1666666666666699E-2</v>
      </c>
      <c r="AX1354" s="58" t="s">
        <v>77</v>
      </c>
    </row>
    <row r="1355" spans="1:50" ht="28.5" customHeight="1">
      <c r="A1355" s="66" t="s">
        <v>1159</v>
      </c>
      <c r="B1355" s="39">
        <f t="shared" si="186"/>
        <v>1351</v>
      </c>
      <c r="C1355" s="40">
        <v>46051</v>
      </c>
      <c r="D1355" s="40" t="s">
        <v>32</v>
      </c>
      <c r="E1355" s="40" t="s">
        <v>81</v>
      </c>
      <c r="F1355" s="41">
        <v>755.4</v>
      </c>
      <c r="G1355" s="42" t="s">
        <v>75</v>
      </c>
      <c r="H1355" s="43" t="str">
        <f>IFERROR(VLOOKUP($J1355,'[9]FROM (3)'!$E$4:$F$230,2,FALSE),"")</f>
        <v>JTCS</v>
      </c>
      <c r="I1355" s="44" t="str">
        <f t="shared" si="185"/>
        <v>RACK, PS</v>
      </c>
      <c r="J1355" s="44" t="str">
        <f t="shared" si="182"/>
        <v>JGD10-001260-40-1</v>
      </c>
      <c r="K1355" s="59" t="str">
        <f t="shared" si="184"/>
        <v>PD26011133</v>
      </c>
      <c r="L1355" s="46" t="str" cm="1">
        <f t="array" ref="L1355">IFERROR(_xlfn.IFS(
    LEN($A1355)-LEN(SUBSTITUTE($A1355,"|",""))=12, RIGHT(A1355, LEN(A1355)-FIND("~", SUBSTITUTE(A1355,"|","~", LEN(A1355)-LEN(SUBSTITUTE(A1355,"|",""))))),
    LEN($A1355)-LEN(SUBSTITUTE($A1355,"|",""))=13, MID($A1355, FIND("~", SUBSTITUTE($A1355,"|","~", 11))+1, FIND("~", SUBSTITUTE($A1355,"|","~", 12))-FIND("~", SUBSTITUTE($A1355,"|","~", 11))-1),
    LEN($A1355)-LEN(SUBSTITUTE($A1355,"|",""))=14, MID($A1355, FIND("~", SUBSTITUTE($A1355,"|","~", 11))+1, FIND("~", SUBSTITUTE($A1355,"|","~", 12))-FIND("~", SUBSTITUTE($A1355,"|","~", 11))-1)
), "")</f>
        <v>E586967</v>
      </c>
      <c r="M1355" s="72" t="str">
        <f t="shared" si="183"/>
        <v>SB010153/6/26</v>
      </c>
      <c r="N1355" s="46" t="str">
        <f t="shared" si="175"/>
        <v/>
      </c>
      <c r="O1355" s="76">
        <v>47</v>
      </c>
      <c r="P1355" s="76">
        <v>970</v>
      </c>
      <c r="Q1355" s="77">
        <v>188</v>
      </c>
      <c r="R1355" s="77">
        <v>910</v>
      </c>
      <c r="S1355" s="77"/>
      <c r="T1355" s="77"/>
      <c r="U1355" s="83"/>
      <c r="V1355" s="83"/>
      <c r="W1355" s="78"/>
      <c r="X1355" s="51" t="str">
        <f>IF(A1355="", "", IF(COUNTIFS(C$3:C1354, C1355, D$3:D1354, D1355, G$3:G1354, G1355) &gt; 0, "", "11:00"-AW1355))</f>
        <v/>
      </c>
      <c r="Y1355" s="79"/>
      <c r="Z1355" s="80"/>
      <c r="AA1355" s="81"/>
      <c r="AB1355" s="81"/>
      <c r="AC1355" s="81"/>
      <c r="AD1355" s="81"/>
      <c r="AE1355" s="81"/>
      <c r="AF1355" s="81"/>
      <c r="AG1355" s="81"/>
      <c r="AH1355" s="82"/>
      <c r="AI1355" s="81"/>
      <c r="AJ1355" s="81"/>
      <c r="AK1355" s="81"/>
      <c r="AL1355" s="81"/>
      <c r="AM1355" s="81"/>
      <c r="AN1355" s="81"/>
      <c r="AO1355" s="81"/>
      <c r="AP1355" s="81"/>
      <c r="AQ1355" s="81"/>
      <c r="AR1355" s="81"/>
      <c r="AS1355" s="81"/>
      <c r="AT1355" s="81"/>
      <c r="AU1355" s="53">
        <v>4.1666666666666699E-2</v>
      </c>
      <c r="AV1355" s="54" t="s">
        <v>37</v>
      </c>
      <c r="AW1355" s="57">
        <f t="shared" si="181"/>
        <v>4.1666666666666699E-2</v>
      </c>
      <c r="AX1355" s="58" t="s">
        <v>77</v>
      </c>
    </row>
    <row r="1356" spans="1:50" ht="28.5" customHeight="1">
      <c r="A1356" s="66" t="s">
        <v>1160</v>
      </c>
      <c r="B1356" s="39">
        <f t="shared" si="186"/>
        <v>1352</v>
      </c>
      <c r="C1356" s="40">
        <v>46051</v>
      </c>
      <c r="D1356" s="40" t="s">
        <v>32</v>
      </c>
      <c r="E1356" s="40" t="s">
        <v>81</v>
      </c>
      <c r="F1356" s="41">
        <v>755.4</v>
      </c>
      <c r="G1356" s="42" t="s">
        <v>75</v>
      </c>
      <c r="H1356" s="43" t="str">
        <f>IFERROR(VLOOKUP($J1356,'[9]FROM (3)'!$E$4:$F$230,2,FALSE),"")</f>
        <v>JTCS</v>
      </c>
      <c r="I1356" s="44" t="str">
        <f t="shared" si="185"/>
        <v>RACK, PS</v>
      </c>
      <c r="J1356" s="44" t="str">
        <f t="shared" si="182"/>
        <v>JGD10-001260-40-1</v>
      </c>
      <c r="K1356" s="59" t="str">
        <f t="shared" si="184"/>
        <v>PD26011133</v>
      </c>
      <c r="L1356" s="46" t="str" cm="1">
        <f t="array" ref="L1356">IFERROR(_xlfn.IFS(
    LEN($A1356)-LEN(SUBSTITUTE($A1356,"|",""))=12, RIGHT(A1356, LEN(A1356)-FIND("~", SUBSTITUTE(A1356,"|","~", LEN(A1356)-LEN(SUBSTITUTE(A1356,"|",""))))),
    LEN($A1356)-LEN(SUBSTITUTE($A1356,"|",""))=13, MID($A1356, FIND("~", SUBSTITUTE($A1356,"|","~", 11))+1, FIND("~", SUBSTITUTE($A1356,"|","~", 12))-FIND("~", SUBSTITUTE($A1356,"|","~", 11))-1),
    LEN($A1356)-LEN(SUBSTITUTE($A1356,"|",""))=14, MID($A1356, FIND("~", SUBSTITUTE($A1356,"|","~", 11))+1, FIND("~", SUBSTITUTE($A1356,"|","~", 12))-FIND("~", SUBSTITUTE($A1356,"|","~", 11))-1)
), "")</f>
        <v>E586967</v>
      </c>
      <c r="M1356" s="72" t="str">
        <f t="shared" si="183"/>
        <v>SB010153/4/26</v>
      </c>
      <c r="N1356" s="46" t="str">
        <f t="shared" si="175"/>
        <v/>
      </c>
      <c r="O1356" s="76">
        <v>47</v>
      </c>
      <c r="P1356" s="76">
        <v>970</v>
      </c>
      <c r="Q1356" s="77">
        <v>188</v>
      </c>
      <c r="R1356" s="77">
        <v>910</v>
      </c>
      <c r="S1356" s="77"/>
      <c r="T1356" s="77"/>
      <c r="U1356" s="83">
        <v>155</v>
      </c>
      <c r="V1356" s="83">
        <v>9</v>
      </c>
      <c r="W1356" s="78"/>
      <c r="X1356" s="51" t="str">
        <f>IF(A1356="", "", IF(COUNTIFS(C$3:C1355, C1356, D$3:D1355, D1356, G$3:G1355, G1356) &gt; 0, "", "11:00"-AW1356))</f>
        <v/>
      </c>
      <c r="Y1356" s="79"/>
      <c r="Z1356" s="80"/>
      <c r="AA1356" s="81"/>
      <c r="AB1356" s="81"/>
      <c r="AC1356" s="81"/>
      <c r="AD1356" s="81"/>
      <c r="AE1356" s="81"/>
      <c r="AF1356" s="81"/>
      <c r="AG1356" s="81"/>
      <c r="AH1356" s="82"/>
      <c r="AI1356" s="81"/>
      <c r="AJ1356" s="81"/>
      <c r="AK1356" s="81"/>
      <c r="AL1356" s="81"/>
      <c r="AM1356" s="81"/>
      <c r="AN1356" s="81"/>
      <c r="AO1356" s="81"/>
      <c r="AP1356" s="81"/>
      <c r="AQ1356" s="81">
        <v>4.1666666666666664E-2</v>
      </c>
      <c r="AR1356" s="81" t="s">
        <v>37</v>
      </c>
      <c r="AS1356" s="81">
        <v>4.1666666666666664E-2</v>
      </c>
      <c r="AT1356" s="81" t="s">
        <v>37</v>
      </c>
      <c r="AU1356" s="53">
        <v>4.1666666666666699E-2</v>
      </c>
      <c r="AV1356" s="54" t="s">
        <v>37</v>
      </c>
      <c r="AW1356" s="57">
        <f t="shared" si="181"/>
        <v>0.12500000000000003</v>
      </c>
      <c r="AX1356" s="58" t="s">
        <v>77</v>
      </c>
    </row>
    <row r="1357" spans="1:50" ht="28.5" customHeight="1">
      <c r="A1357" s="66" t="s">
        <v>1119</v>
      </c>
      <c r="B1357" s="39">
        <f t="shared" si="186"/>
        <v>1353</v>
      </c>
      <c r="C1357" s="40">
        <v>46051</v>
      </c>
      <c r="D1357" s="40" t="s">
        <v>32</v>
      </c>
      <c r="E1357" s="40" t="s">
        <v>81</v>
      </c>
      <c r="F1357" s="41">
        <v>516.5</v>
      </c>
      <c r="G1357" s="42" t="s">
        <v>34</v>
      </c>
      <c r="H1357" s="43" t="str">
        <f>IFERROR(VLOOKUP($J1357,'[9]FROM (3)'!$E$4:$F$230,2,FALSE),"")</f>
        <v>KONSEI</v>
      </c>
      <c r="I1357" s="44" t="str">
        <f t="shared" si="185"/>
        <v>Piston Disc Brake, Forging</v>
      </c>
      <c r="J1357" s="44" t="str">
        <f t="shared" si="182"/>
        <v>141411-60140-20</v>
      </c>
      <c r="K1357" s="59" t="str">
        <f t="shared" si="184"/>
        <v>PD26010938</v>
      </c>
      <c r="L1357" s="46" t="str" cm="1">
        <f t="array" ref="L1357">IFERROR(_xlfn.IFS(
    LEN($A1357)-LEN(SUBSTITUTE($A1357,"|",""))=12, RIGHT(A1357, LEN(A1357)-FIND("~", SUBSTITUTE(A1357,"|","~", LEN(A1357)-LEN(SUBSTITUTE(A1357,"|",""))))),
    LEN($A1357)-LEN(SUBSTITUTE($A1357,"|",""))=13, MID($A1357, FIND("~", SUBSTITUTE($A1357,"|","~", 11))+1, FIND("~", SUBSTITUTE($A1357,"|","~", 12))-FIND("~", SUBSTITUTE($A1357,"|","~", 11))-1),
    LEN($A1357)-LEN(SUBSTITUTE($A1357,"|",""))=14, MID($A1357, FIND("~", SUBSTITUTE($A1357,"|","~", 11))+1, FIND("~", SUBSTITUTE($A1357,"|","~", 12))-FIND("~", SUBSTITUTE($A1357,"|","~", 11))-1)
), "")</f>
        <v>663961</v>
      </c>
      <c r="M1357" s="72" t="str">
        <f t="shared" si="183"/>
        <v>2B2600238</v>
      </c>
      <c r="N1357" s="46" t="str">
        <f t="shared" si="175"/>
        <v/>
      </c>
      <c r="O1357" s="76" t="s">
        <v>35</v>
      </c>
      <c r="P1357" s="76" t="s">
        <v>35</v>
      </c>
      <c r="Q1357" s="77">
        <v>2018</v>
      </c>
      <c r="R1357" s="77">
        <v>1042</v>
      </c>
      <c r="S1357" s="77"/>
      <c r="T1357" s="77"/>
      <c r="U1357" s="83">
        <v>35</v>
      </c>
      <c r="V1357" s="83">
        <v>23</v>
      </c>
      <c r="W1357" s="78"/>
      <c r="X1357" s="51">
        <f>IF(A1357="", "", IF(COUNTIFS(C$3:C1356, C1357, D$3:D1356, D1357, G$3:G1356, G1357) &gt; 0, "", "11:00"-AW1357))</f>
        <v>0.33333333333333326</v>
      </c>
      <c r="Y1357" s="79"/>
      <c r="Z1357" s="80"/>
      <c r="AA1357" s="81"/>
      <c r="AB1357" s="81"/>
      <c r="AC1357" s="81"/>
      <c r="AD1357" s="81"/>
      <c r="AE1357" s="81"/>
      <c r="AF1357" s="81"/>
      <c r="AG1357" s="81"/>
      <c r="AH1357" s="82"/>
      <c r="AI1357" s="81"/>
      <c r="AJ1357" s="81"/>
      <c r="AK1357" s="81"/>
      <c r="AL1357" s="81"/>
      <c r="AM1357" s="81"/>
      <c r="AN1357" s="81"/>
      <c r="AO1357" s="81"/>
      <c r="AP1357" s="81"/>
      <c r="AQ1357" s="81">
        <v>4.1666666666666664E-2</v>
      </c>
      <c r="AR1357" s="81" t="s">
        <v>37</v>
      </c>
      <c r="AS1357" s="81">
        <v>4.1666666666666664E-2</v>
      </c>
      <c r="AT1357" s="81" t="s">
        <v>37</v>
      </c>
      <c r="AU1357" s="53">
        <v>4.1666666666666699E-2</v>
      </c>
      <c r="AV1357" s="54" t="s">
        <v>37</v>
      </c>
      <c r="AW1357" s="57">
        <f t="shared" si="181"/>
        <v>0.12500000000000003</v>
      </c>
      <c r="AX1357" s="58" t="s">
        <v>48</v>
      </c>
    </row>
    <row r="1358" spans="1:50" ht="28.5" customHeight="1">
      <c r="A1358" s="66" t="s">
        <v>1004</v>
      </c>
      <c r="B1358" s="39">
        <f t="shared" si="186"/>
        <v>1354</v>
      </c>
      <c r="C1358" s="40">
        <v>46051</v>
      </c>
      <c r="D1358" s="40" t="s">
        <v>32</v>
      </c>
      <c r="E1358" s="40" t="s">
        <v>81</v>
      </c>
      <c r="F1358" s="41">
        <v>83.2</v>
      </c>
      <c r="G1358" s="42" t="s">
        <v>41</v>
      </c>
      <c r="H1358" s="43" t="str">
        <f>IFERROR(VLOOKUP($J1358,'[9]FROM (3)'!$E$4:$F$230,2,FALSE),"")</f>
        <v>DNTH</v>
      </c>
      <c r="I1358" s="44" t="str">
        <f t="shared" si="185"/>
        <v>SHAFT, 2W</v>
      </c>
      <c r="J1358" s="44" t="str">
        <f t="shared" si="182"/>
        <v>TG028383-0420</v>
      </c>
      <c r="K1358" s="59" t="str">
        <f t="shared" si="184"/>
        <v>PD26011134</v>
      </c>
      <c r="L1358" s="46" t="str" cm="1">
        <f t="array" ref="L1358">IFERROR(_xlfn.IFS(
    LEN($A1358)-LEN(SUBSTITUTE($A1358,"|",""))=12, RIGHT(A1358, LEN(A1358)-FIND("~", SUBSTITUTE(A1358,"|","~", LEN(A1358)-LEN(SUBSTITUTE(A1358,"|",""))))),
    LEN($A1358)-LEN(SUBSTITUTE($A1358,"|",""))=13, MID($A1358, FIND("~", SUBSTITUTE($A1358,"|","~", 11))+1, FIND("~", SUBSTITUTE($A1358,"|","~", 12))-FIND("~", SUBSTITUTE($A1358,"|","~", 11))-1),
    LEN($A1358)-LEN(SUBSTITUTE($A1358,"|",""))=14, MID($A1358, FIND("~", SUBSTITUTE($A1358,"|","~", 11))+1, FIND("~", SUBSTITUTE($A1358,"|","~", 12))-FIND("~", SUBSTITUTE($A1358,"|","~", 11))-1)
), "")</f>
        <v>5E0424</v>
      </c>
      <c r="M1358" s="72" t="str">
        <f t="shared" si="183"/>
        <v>SB010154/2/26</v>
      </c>
      <c r="N1358" s="46" t="str">
        <f t="shared" si="175"/>
        <v/>
      </c>
      <c r="O1358" s="76" t="s">
        <v>35</v>
      </c>
      <c r="P1358" s="76" t="s">
        <v>35</v>
      </c>
      <c r="Q1358" s="77">
        <v>1000</v>
      </c>
      <c r="R1358" s="77">
        <v>147</v>
      </c>
      <c r="S1358" s="77"/>
      <c r="T1358" s="77"/>
      <c r="U1358" s="83">
        <v>90</v>
      </c>
      <c r="V1358" s="83">
        <v>67</v>
      </c>
      <c r="W1358" s="78"/>
      <c r="X1358" s="51">
        <f>IF(A1358="", "", IF(COUNTIFS(C$3:C1357, C1358, D$3:D1357, D1358, G$3:G1357, G1358) &gt; 0, "", "11:00"-AW1358))</f>
        <v>0.31249999999999994</v>
      </c>
      <c r="Y1358" s="79"/>
      <c r="Z1358" s="80"/>
      <c r="AA1358" s="81"/>
      <c r="AB1358" s="81">
        <v>2.0833333333333332E-2</v>
      </c>
      <c r="AC1358" s="81" t="s">
        <v>67</v>
      </c>
      <c r="AD1358" s="81"/>
      <c r="AE1358" s="81"/>
      <c r="AF1358" s="81"/>
      <c r="AG1358" s="81"/>
      <c r="AH1358" s="82"/>
      <c r="AI1358" s="81"/>
      <c r="AJ1358" s="81"/>
      <c r="AK1358" s="81"/>
      <c r="AL1358" s="81"/>
      <c r="AM1358" s="81"/>
      <c r="AN1358" s="81"/>
      <c r="AO1358" s="81"/>
      <c r="AP1358" s="81"/>
      <c r="AQ1358" s="81">
        <v>4.1666666666666664E-2</v>
      </c>
      <c r="AR1358" s="81" t="s">
        <v>37</v>
      </c>
      <c r="AS1358" s="81">
        <v>4.1666666666666664E-2</v>
      </c>
      <c r="AT1358" s="81" t="s">
        <v>37</v>
      </c>
      <c r="AU1358" s="53">
        <v>4.1666666666666699E-2</v>
      </c>
      <c r="AV1358" s="54" t="s">
        <v>37</v>
      </c>
      <c r="AW1358" s="57">
        <f t="shared" si="181"/>
        <v>0.14583333333333337</v>
      </c>
      <c r="AX1358" s="58" t="s">
        <v>48</v>
      </c>
    </row>
    <row r="1359" spans="1:50" ht="28.5" customHeight="1">
      <c r="A1359" s="66" t="s">
        <v>1161</v>
      </c>
      <c r="B1359" s="39">
        <f t="shared" si="186"/>
        <v>1355</v>
      </c>
      <c r="C1359" s="40">
        <v>46051</v>
      </c>
      <c r="D1359" s="40" t="s">
        <v>32</v>
      </c>
      <c r="E1359" s="40" t="s">
        <v>81</v>
      </c>
      <c r="F1359" s="41">
        <v>85</v>
      </c>
      <c r="G1359" s="42" t="s">
        <v>41</v>
      </c>
      <c r="H1359" s="43" t="str">
        <f>IFERROR(VLOOKUP($J1359,'[9]FROM (3)'!$E$4:$F$230,2,FALSE),"")</f>
        <v>DNTH</v>
      </c>
      <c r="I1359" s="44" t="str">
        <f t="shared" si="185"/>
        <v>Barrel</v>
      </c>
      <c r="J1359" s="44" t="str">
        <f t="shared" si="182"/>
        <v>TG028986-0050</v>
      </c>
      <c r="K1359" s="59" t="str">
        <f t="shared" si="184"/>
        <v>PD26011357</v>
      </c>
      <c r="L1359" s="46" t="str" cm="1">
        <f t="array" ref="L1359">IFERROR(_xlfn.IFS(
    LEN($A1359)-LEN(SUBSTITUTE($A1359,"|",""))=12, RIGHT(A1359, LEN(A1359)-FIND("~", SUBSTITUTE(A1359,"|","~", LEN(A1359)-LEN(SUBSTITUTE(A1359,"|",""))))),
    LEN($A1359)-LEN(SUBSTITUTE($A1359,"|",""))=13, MID($A1359, FIND("~", SUBSTITUTE($A1359,"|","~", 11))+1, FIND("~", SUBSTITUTE($A1359,"|","~", 12))-FIND("~", SUBSTITUTE($A1359,"|","~", 11))-1),
    LEN($A1359)-LEN(SUBSTITUTE($A1359,"|",""))=14, MID($A1359, FIND("~", SUBSTITUTE($A1359,"|","~", 11))+1, FIND("~", SUBSTITUTE($A1359,"|","~", 12))-FIND("~", SUBSTITUTE($A1359,"|","~", 11))-1)
), "")</f>
        <v>E587474</v>
      </c>
      <c r="M1359" s="72" t="str">
        <f t="shared" si="183"/>
        <v>SB010192/1/26</v>
      </c>
      <c r="N1359" s="46" t="str">
        <f t="shared" si="175"/>
        <v/>
      </c>
      <c r="O1359" s="76">
        <v>75</v>
      </c>
      <c r="P1359" s="76">
        <v>1032</v>
      </c>
      <c r="Q1359" s="77">
        <v>3287</v>
      </c>
      <c r="R1359" s="77">
        <v>279</v>
      </c>
      <c r="S1359" s="77"/>
      <c r="T1359" s="77"/>
      <c r="U1359" s="83"/>
      <c r="V1359" s="83"/>
      <c r="W1359" s="78"/>
      <c r="X1359" s="51" t="str">
        <f>IF(A1359="", "", IF(COUNTIFS(C$3:C1358, C1359, D$3:D1358, D1359, G$3:G1358, G1359) &gt; 0, "", "11:00"-AW1359))</f>
        <v/>
      </c>
      <c r="Y1359" s="79"/>
      <c r="Z1359" s="80"/>
      <c r="AA1359" s="81"/>
      <c r="AB1359" s="81"/>
      <c r="AC1359" s="81"/>
      <c r="AD1359" s="81"/>
      <c r="AE1359" s="81"/>
      <c r="AF1359" s="81"/>
      <c r="AG1359" s="81"/>
      <c r="AH1359" s="82"/>
      <c r="AI1359" s="81"/>
      <c r="AJ1359" s="81"/>
      <c r="AK1359" s="81"/>
      <c r="AL1359" s="81"/>
      <c r="AM1359" s="81"/>
      <c r="AN1359" s="81"/>
      <c r="AO1359" s="81"/>
      <c r="AP1359" s="81"/>
      <c r="AQ1359" s="81">
        <v>4.1666666666666664E-2</v>
      </c>
      <c r="AR1359" s="81" t="s">
        <v>37</v>
      </c>
      <c r="AS1359" s="81">
        <v>4.1666666666666664E-2</v>
      </c>
      <c r="AT1359" s="81" t="s">
        <v>37</v>
      </c>
      <c r="AU1359" s="53">
        <v>4.1666666666666699E-2</v>
      </c>
      <c r="AV1359" s="54" t="s">
        <v>37</v>
      </c>
      <c r="AW1359" s="57">
        <f t="shared" si="181"/>
        <v>0.12500000000000003</v>
      </c>
      <c r="AX1359" s="58" t="s">
        <v>48</v>
      </c>
    </row>
    <row r="1360" spans="1:50" ht="28.5" customHeight="1">
      <c r="A1360" s="66" t="s">
        <v>1162</v>
      </c>
      <c r="B1360" s="39">
        <f t="shared" si="186"/>
        <v>1356</v>
      </c>
      <c r="C1360" s="40">
        <v>46051</v>
      </c>
      <c r="D1360" s="40" t="s">
        <v>32</v>
      </c>
      <c r="E1360" s="40" t="s">
        <v>81</v>
      </c>
      <c r="F1360" s="41">
        <v>198.2</v>
      </c>
      <c r="G1360" s="42" t="s">
        <v>44</v>
      </c>
      <c r="H1360" s="43" t="str">
        <f>IFERROR(VLOOKUP($J1360,'[9]FROM (3)'!$E$4:$F$230,2,FALSE),"")</f>
        <v>DNTH</v>
      </c>
      <c r="I1360" s="44" t="str">
        <f t="shared" si="185"/>
        <v>SLUG VALVE ROTARY</v>
      </c>
      <c r="J1360" s="44" t="str">
        <f t="shared" si="182"/>
        <v>TGY95613-0020</v>
      </c>
      <c r="K1360" s="59" t="str">
        <f t="shared" si="184"/>
        <v>PD26011086</v>
      </c>
      <c r="L1360" s="46" t="str" cm="1">
        <f t="array" ref="L1360">IFERROR(_xlfn.IFS(
    LEN($A1360)-LEN(SUBSTITUTE($A1360,"|",""))=12, RIGHT(A1360, LEN(A1360)-FIND("~", SUBSTITUTE(A1360,"|","~", LEN(A1360)-LEN(SUBSTITUTE(A1360,"|",""))))),
    LEN($A1360)-LEN(SUBSTITUTE($A1360,"|",""))=13, MID($A1360, FIND("~", SUBSTITUTE($A1360,"|","~", 11))+1, FIND("~", SUBSTITUTE($A1360,"|","~", 12))-FIND("~", SUBSTITUTE($A1360,"|","~", 11))-1),
    LEN($A1360)-LEN(SUBSTITUTE($A1360,"|",""))=14, MID($A1360, FIND("~", SUBSTITUTE($A1360,"|","~", 11))+1, FIND("~", SUBSTITUTE($A1360,"|","~", 12))-FIND("~", SUBSTITUTE($A1360,"|","~", 11))-1)
), "")</f>
        <v>E585734</v>
      </c>
      <c r="M1360" s="72" t="str">
        <f t="shared" si="183"/>
        <v>SB010149/2/26</v>
      </c>
      <c r="N1360" s="46" t="str">
        <f t="shared" si="175"/>
        <v/>
      </c>
      <c r="O1360" s="76" t="s">
        <v>35</v>
      </c>
      <c r="P1360" s="76" t="s">
        <v>35</v>
      </c>
      <c r="Q1360" s="77">
        <v>3358</v>
      </c>
      <c r="R1360" s="77">
        <v>666</v>
      </c>
      <c r="S1360" s="77"/>
      <c r="T1360" s="77"/>
      <c r="U1360" s="83"/>
      <c r="V1360" s="83"/>
      <c r="W1360" s="78"/>
      <c r="X1360" s="51">
        <f>IF(A1360="", "", IF(COUNTIFS(C$3:C1359, C1360, D$3:D1359, D1360, G$3:G1359, G1360) &gt; 0, "", "11:00"-AW1360))</f>
        <v>0.33333333333333326</v>
      </c>
      <c r="Y1360" s="79"/>
      <c r="Z1360" s="80"/>
      <c r="AA1360" s="81"/>
      <c r="AB1360" s="81"/>
      <c r="AC1360" s="81"/>
      <c r="AD1360" s="81"/>
      <c r="AE1360" s="81"/>
      <c r="AF1360" s="81"/>
      <c r="AG1360" s="81"/>
      <c r="AH1360" s="82"/>
      <c r="AI1360" s="81"/>
      <c r="AJ1360" s="81"/>
      <c r="AK1360" s="81"/>
      <c r="AL1360" s="81"/>
      <c r="AM1360" s="81"/>
      <c r="AN1360" s="81"/>
      <c r="AO1360" s="81"/>
      <c r="AP1360" s="81"/>
      <c r="AQ1360" s="81">
        <v>4.1666666666666664E-2</v>
      </c>
      <c r="AR1360" s="81" t="s">
        <v>37</v>
      </c>
      <c r="AS1360" s="81">
        <v>4.1666666666666664E-2</v>
      </c>
      <c r="AT1360" s="81" t="s">
        <v>37</v>
      </c>
      <c r="AU1360" s="53">
        <v>4.1666666666666699E-2</v>
      </c>
      <c r="AV1360" s="54" t="s">
        <v>37</v>
      </c>
      <c r="AW1360" s="57">
        <f t="shared" si="181"/>
        <v>0.12500000000000003</v>
      </c>
      <c r="AX1360" s="58" t="s">
        <v>48</v>
      </c>
    </row>
    <row r="1361" spans="1:50" ht="28.5" customHeight="1">
      <c r="A1361" s="66" t="s">
        <v>1139</v>
      </c>
      <c r="B1361" s="39">
        <f t="shared" si="186"/>
        <v>1357</v>
      </c>
      <c r="C1361" s="40">
        <v>46051</v>
      </c>
      <c r="D1361" s="40" t="s">
        <v>32</v>
      </c>
      <c r="E1361" s="40" t="s">
        <v>81</v>
      </c>
      <c r="F1361" s="41">
        <v>69.5</v>
      </c>
      <c r="G1361" s="42" t="s">
        <v>135</v>
      </c>
      <c r="H1361" s="43" t="str">
        <f>IFERROR(VLOOKUP($J1361,'[9]FROM (3)'!$E$4:$F$230,2,FALSE),"")</f>
        <v>DNTH</v>
      </c>
      <c r="I1361" s="44" t="str">
        <f t="shared" si="185"/>
        <v>Pole Core</v>
      </c>
      <c r="J1361" s="44" t="str">
        <f t="shared" si="182"/>
        <v>TG028152-5180</v>
      </c>
      <c r="K1361" s="59" t="str">
        <f t="shared" si="184"/>
        <v>PD26011211</v>
      </c>
      <c r="L1361" s="46" t="str" cm="1">
        <f t="array" ref="L1361">IFERROR(_xlfn.IFS(
    LEN($A1361)-LEN(SUBSTITUTE($A1361,"|",""))=12, RIGHT(A1361, LEN(A1361)-FIND("~", SUBSTITUTE(A1361,"|","~", LEN(A1361)-LEN(SUBSTITUTE(A1361,"|",""))))),
    LEN($A1361)-LEN(SUBSTITUTE($A1361,"|",""))=13, MID($A1361, FIND("~", SUBSTITUTE($A1361,"|","~", 11))+1, FIND("~", SUBSTITUTE($A1361,"|","~", 12))-FIND("~", SUBSTITUTE($A1361,"|","~", 11))-1),
    LEN($A1361)-LEN(SUBSTITUTE($A1361,"|",""))=14, MID($A1361, FIND("~", SUBSTITUTE($A1361,"|","~", 11))+1, FIND("~", SUBSTITUTE($A1361,"|","~", 12))-FIND("~", SUBSTITUTE($A1361,"|","~", 11))-1)
), "")</f>
        <v>KS005B2825</v>
      </c>
      <c r="M1361" s="72" t="str">
        <f t="shared" si="183"/>
        <v>SB010170/1/26</v>
      </c>
      <c r="N1361" s="46" t="str">
        <f t="shared" si="175"/>
        <v/>
      </c>
      <c r="O1361" s="76">
        <v>0</v>
      </c>
      <c r="P1361" s="76">
        <v>0</v>
      </c>
      <c r="Q1361" s="77">
        <v>9020</v>
      </c>
      <c r="R1361" s="77">
        <v>627</v>
      </c>
      <c r="S1361" s="77"/>
      <c r="T1361" s="77"/>
      <c r="U1361" s="83"/>
      <c r="V1361" s="83"/>
      <c r="W1361" s="78"/>
      <c r="X1361" s="51">
        <f>IF(A1361="", "", IF(COUNTIFS(C$3:C1360, C1361, D$3:D1360, D1361, G$3:G1360, G1361) &gt; 0, "", "11:00"-AW1361))</f>
        <v>0.27777777777777773</v>
      </c>
      <c r="Y1361" s="79"/>
      <c r="Z1361" s="80"/>
      <c r="AA1361" s="81"/>
      <c r="AB1361" s="81"/>
      <c r="AC1361" s="81"/>
      <c r="AD1361" s="81"/>
      <c r="AE1361" s="81"/>
      <c r="AF1361" s="81"/>
      <c r="AG1361" s="81"/>
      <c r="AH1361" s="82"/>
      <c r="AI1361" s="81"/>
      <c r="AJ1361" s="81"/>
      <c r="AK1361" s="81"/>
      <c r="AL1361" s="81"/>
      <c r="AM1361" s="81">
        <v>4.1666666666666664E-2</v>
      </c>
      <c r="AN1361" s="81" t="s">
        <v>136</v>
      </c>
      <c r="AO1361" s="81">
        <v>1.3888888888888888E-2</v>
      </c>
      <c r="AP1361" s="81" t="s">
        <v>136</v>
      </c>
      <c r="AQ1361" s="81">
        <v>4.1666666666666664E-2</v>
      </c>
      <c r="AR1361" s="81" t="s">
        <v>37</v>
      </c>
      <c r="AS1361" s="81">
        <v>4.1666666666666664E-2</v>
      </c>
      <c r="AT1361" s="81" t="s">
        <v>37</v>
      </c>
      <c r="AU1361" s="53">
        <v>4.1666666666666699E-2</v>
      </c>
      <c r="AV1361" s="54" t="s">
        <v>37</v>
      </c>
      <c r="AW1361" s="57">
        <f t="shared" si="181"/>
        <v>0.18055555555555558</v>
      </c>
      <c r="AX1361" s="58" t="s">
        <v>64</v>
      </c>
    </row>
    <row r="1362" spans="1:50" ht="28.5" customHeight="1">
      <c r="A1362" s="66" t="s">
        <v>1163</v>
      </c>
      <c r="B1362" s="39">
        <f t="shared" si="186"/>
        <v>1358</v>
      </c>
      <c r="C1362" s="40">
        <v>46051</v>
      </c>
      <c r="D1362" s="40" t="s">
        <v>32</v>
      </c>
      <c r="E1362" s="40" t="s">
        <v>81</v>
      </c>
      <c r="F1362" s="41">
        <v>69.5</v>
      </c>
      <c r="G1362" s="42" t="s">
        <v>135</v>
      </c>
      <c r="H1362" s="43" t="str">
        <f>IFERROR(VLOOKUP($J1362,'[9]FROM (3)'!$E$4:$F$230,2,FALSE),"")</f>
        <v>DNTH</v>
      </c>
      <c r="I1362" s="44" t="str">
        <f t="shared" si="185"/>
        <v>Pole Core</v>
      </c>
      <c r="J1362" s="44" t="str">
        <f t="shared" si="182"/>
        <v>TG028152-5180</v>
      </c>
      <c r="K1362" s="59" t="str">
        <f t="shared" si="184"/>
        <v>PD26011211</v>
      </c>
      <c r="L1362" s="46" t="str" cm="1">
        <f t="array" ref="L1362">IFERROR(_xlfn.IFS(
    LEN($A1362)-LEN(SUBSTITUTE($A1362,"|",""))=12, RIGHT(A1362, LEN(A1362)-FIND("~", SUBSTITUTE(A1362,"|","~", LEN(A1362)-LEN(SUBSTITUTE(A1362,"|",""))))),
    LEN($A1362)-LEN(SUBSTITUTE($A1362,"|",""))=13, MID($A1362, FIND("~", SUBSTITUTE($A1362,"|","~", 11))+1, FIND("~", SUBSTITUTE($A1362,"|","~", 12))-FIND("~", SUBSTITUTE($A1362,"|","~", 11))-1),
    LEN($A1362)-LEN(SUBSTITUTE($A1362,"|",""))=14, MID($A1362, FIND("~", SUBSTITUTE($A1362,"|","~", 11))+1, FIND("~", SUBSTITUTE($A1362,"|","~", 12))-FIND("~", SUBSTITUTE($A1362,"|","~", 11))-1)
), "")</f>
        <v>KS005B2825</v>
      </c>
      <c r="M1362" s="72" t="str">
        <f t="shared" si="183"/>
        <v>SB010170/2/26</v>
      </c>
      <c r="N1362" s="46" t="str">
        <f t="shared" si="175"/>
        <v/>
      </c>
      <c r="O1362" s="76">
        <v>131</v>
      </c>
      <c r="P1362" s="76">
        <v>1020</v>
      </c>
      <c r="Q1362" s="77">
        <v>2649</v>
      </c>
      <c r="R1362" s="77">
        <v>184</v>
      </c>
      <c r="S1362" s="77"/>
      <c r="T1362" s="77"/>
      <c r="U1362" s="83"/>
      <c r="V1362" s="83"/>
      <c r="W1362" s="78"/>
      <c r="X1362" s="51" t="str">
        <f>IF(A1362="", "", IF(COUNTIFS(C$3:C1361, C1362, D$3:D1361, D1362, G$3:G1361, G1362) &gt; 0, "", "11:00"-AW1362))</f>
        <v/>
      </c>
      <c r="Y1362" s="79"/>
      <c r="Z1362" s="80"/>
      <c r="AA1362" s="81"/>
      <c r="AB1362" s="81"/>
      <c r="AC1362" s="81"/>
      <c r="AD1362" s="81"/>
      <c r="AE1362" s="81"/>
      <c r="AF1362" s="81"/>
      <c r="AG1362" s="81"/>
      <c r="AH1362" s="82"/>
      <c r="AI1362" s="81"/>
      <c r="AJ1362" s="81"/>
      <c r="AK1362" s="81"/>
      <c r="AL1362" s="81"/>
      <c r="AM1362" s="81"/>
      <c r="AN1362" s="81"/>
      <c r="AO1362" s="81"/>
      <c r="AP1362" s="81"/>
      <c r="AQ1362" s="81"/>
      <c r="AR1362" s="81"/>
      <c r="AS1362" s="81"/>
      <c r="AT1362" s="81"/>
      <c r="AU1362" s="53">
        <v>4.1666666666666699E-2</v>
      </c>
      <c r="AV1362" s="54" t="s">
        <v>37</v>
      </c>
      <c r="AW1362" s="57">
        <f t="shared" si="181"/>
        <v>4.1666666666666699E-2</v>
      </c>
      <c r="AX1362" s="58" t="s">
        <v>64</v>
      </c>
    </row>
    <row r="1363" spans="1:50" ht="28.5" customHeight="1">
      <c r="A1363" s="66" t="s">
        <v>1123</v>
      </c>
      <c r="B1363" s="39">
        <f t="shared" si="186"/>
        <v>1359</v>
      </c>
      <c r="C1363" s="40">
        <v>46051</v>
      </c>
      <c r="D1363" s="40" t="s">
        <v>32</v>
      </c>
      <c r="E1363" s="40" t="s">
        <v>81</v>
      </c>
      <c r="F1363" s="41">
        <v>698.5</v>
      </c>
      <c r="G1363" s="42" t="s">
        <v>54</v>
      </c>
      <c r="H1363" s="43" t="str">
        <f>IFERROR(VLOOKUP($J1363,'[9]FROM (3)'!$E$4:$F$230,2,FALSE),"")</f>
        <v>JCTTH</v>
      </c>
      <c r="I1363" s="44" t="str">
        <f t="shared" si="185"/>
        <v>RACK BAR</v>
      </c>
      <c r="J1363" s="44" t="str">
        <f t="shared" si="182"/>
        <v>JGD10-000751/000761-A</v>
      </c>
      <c r="K1363" s="59" t="str">
        <f t="shared" si="184"/>
        <v>PD26011009</v>
      </c>
      <c r="L1363" s="46" t="str" cm="1">
        <f t="array" ref="L1363">IFERROR(_xlfn.IFS(
    LEN($A1363)-LEN(SUBSTITUTE($A1363,"|",""))=12, RIGHT(A1363, LEN(A1363)-FIND("~", SUBSTITUTE(A1363,"|","~", LEN(A1363)-LEN(SUBSTITUTE(A1363,"|",""))))),
    LEN($A1363)-LEN(SUBSTITUTE($A1363,"|",""))=13, MID($A1363, FIND("~", SUBSTITUTE($A1363,"|","~", 11))+1, FIND("~", SUBSTITUTE($A1363,"|","~", 12))-FIND("~", SUBSTITUTE($A1363,"|","~", 11))-1),
    LEN($A1363)-LEN(SUBSTITUTE($A1363,"|",""))=14, MID($A1363, FIND("~", SUBSTITUTE($A1363,"|","~", 11))+1, FIND("~", SUBSTITUTE($A1363,"|","~", 12))-FIND("~", SUBSTITUTE($A1363,"|","~", 11))-1)
), "")</f>
        <v>665077</v>
      </c>
      <c r="M1363" s="72" t="str">
        <f t="shared" si="183"/>
        <v>SB010136/2/26</v>
      </c>
      <c r="N1363" s="46" t="str">
        <f t="shared" si="175"/>
        <v/>
      </c>
      <c r="O1363" s="76"/>
      <c r="P1363" s="76"/>
      <c r="Q1363" s="77">
        <v>107</v>
      </c>
      <c r="R1363" s="77">
        <v>479</v>
      </c>
      <c r="S1363" s="77"/>
      <c r="T1363" s="77"/>
      <c r="U1363" s="83">
        <v>130</v>
      </c>
      <c r="V1363" s="83">
        <v>7</v>
      </c>
      <c r="W1363" s="78"/>
      <c r="X1363" s="51">
        <f>IF(A1363="", "", IF(COUNTIFS(C$3:C1362, C1363, D$3:D1362, D1363, G$3:G1362, G1363) &gt; 0, "", "11:00"-AW1363))</f>
        <v>0.33333333333333326</v>
      </c>
      <c r="Y1363" s="79"/>
      <c r="Z1363" s="80"/>
      <c r="AA1363" s="81" t="s">
        <v>122</v>
      </c>
      <c r="AB1363" s="81"/>
      <c r="AC1363" s="81"/>
      <c r="AD1363" s="81"/>
      <c r="AE1363" s="81"/>
      <c r="AF1363" s="81"/>
      <c r="AG1363" s="81"/>
      <c r="AH1363" s="82"/>
      <c r="AI1363" s="81"/>
      <c r="AJ1363" s="81" t="s">
        <v>122</v>
      </c>
      <c r="AK1363" s="81"/>
      <c r="AL1363" s="81"/>
      <c r="AM1363" s="81"/>
      <c r="AN1363" s="81"/>
      <c r="AO1363" s="81"/>
      <c r="AP1363" s="81"/>
      <c r="AQ1363" s="81">
        <v>4.1666666666666664E-2</v>
      </c>
      <c r="AR1363" s="81" t="s">
        <v>37</v>
      </c>
      <c r="AS1363" s="81">
        <v>4.1666666666666664E-2</v>
      </c>
      <c r="AT1363" s="81" t="s">
        <v>37</v>
      </c>
      <c r="AU1363" s="53">
        <v>4.1666666666666699E-2</v>
      </c>
      <c r="AV1363" s="54" t="s">
        <v>37</v>
      </c>
      <c r="AW1363" s="57">
        <f t="shared" si="181"/>
        <v>0.12500000000000003</v>
      </c>
      <c r="AX1363" s="58" t="s">
        <v>56</v>
      </c>
    </row>
    <row r="1364" spans="1:50" ht="28.5" customHeight="1">
      <c r="A1364" s="66" t="s">
        <v>1164</v>
      </c>
      <c r="B1364" s="39">
        <f t="shared" si="186"/>
        <v>1360</v>
      </c>
      <c r="C1364" s="40">
        <v>46051</v>
      </c>
      <c r="D1364" s="40" t="s">
        <v>32</v>
      </c>
      <c r="E1364" s="40" t="s">
        <v>81</v>
      </c>
      <c r="F1364" s="41">
        <v>698.5</v>
      </c>
      <c r="G1364" s="42" t="s">
        <v>54</v>
      </c>
      <c r="H1364" s="43" t="str">
        <f>IFERROR(VLOOKUP($J1364,'[9]FROM (3)'!$E$4:$F$230,2,FALSE),"")</f>
        <v>JCTTH</v>
      </c>
      <c r="I1364" s="44" t="str">
        <f t="shared" si="185"/>
        <v>RACK BAR</v>
      </c>
      <c r="J1364" s="44" t="str">
        <f t="shared" si="182"/>
        <v>JGD10-000751/000761-A</v>
      </c>
      <c r="K1364" s="59" t="str">
        <f t="shared" si="184"/>
        <v>PD26011007</v>
      </c>
      <c r="L1364" s="46" t="str" cm="1">
        <f t="array" ref="L1364">IFERROR(_xlfn.IFS(
    LEN($A1364)-LEN(SUBSTITUTE($A1364,"|",""))=12, RIGHT(A1364, LEN(A1364)-FIND("~", SUBSTITUTE(A1364,"|","~", LEN(A1364)-LEN(SUBSTITUTE(A1364,"|",""))))),
    LEN($A1364)-LEN(SUBSTITUTE($A1364,"|",""))=13, MID($A1364, FIND("~", SUBSTITUTE($A1364,"|","~", 11))+1, FIND("~", SUBSTITUTE($A1364,"|","~", 12))-FIND("~", SUBSTITUTE($A1364,"|","~", 11))-1),
    LEN($A1364)-LEN(SUBSTITUTE($A1364,"|",""))=14, MID($A1364, FIND("~", SUBSTITUTE($A1364,"|","~", 11))+1, FIND("~", SUBSTITUTE($A1364,"|","~", 12))-FIND("~", SUBSTITUTE($A1364,"|","~", 11))-1)
), "")</f>
        <v>665484</v>
      </c>
      <c r="M1364" s="72" t="str">
        <f t="shared" si="183"/>
        <v>SB010133/1/26</v>
      </c>
      <c r="N1364" s="46" t="str">
        <f t="shared" si="175"/>
        <v/>
      </c>
      <c r="O1364" s="76">
        <v>51</v>
      </c>
      <c r="P1364" s="76">
        <v>988</v>
      </c>
      <c r="Q1364" s="77">
        <v>204</v>
      </c>
      <c r="R1364" s="77">
        <v>913</v>
      </c>
      <c r="S1364" s="77"/>
      <c r="T1364" s="77"/>
      <c r="U1364" s="83"/>
      <c r="V1364" s="83"/>
      <c r="W1364" s="78"/>
      <c r="X1364" s="51" t="str">
        <f>IF(A1364="", "", IF(COUNTIFS(C$3:C1363, C1364, D$3:D1363, D1364, G$3:G1363, G1364) &gt; 0, "", "11:00"-AW1364))</f>
        <v/>
      </c>
      <c r="Y1364" s="79"/>
      <c r="Z1364" s="80"/>
      <c r="AA1364" s="81"/>
      <c r="AB1364" s="81"/>
      <c r="AC1364" s="81"/>
      <c r="AD1364" s="81"/>
      <c r="AE1364" s="81"/>
      <c r="AF1364" s="81"/>
      <c r="AG1364" s="81"/>
      <c r="AH1364" s="82"/>
      <c r="AI1364" s="81"/>
      <c r="AJ1364" s="81"/>
      <c r="AK1364" s="81"/>
      <c r="AL1364" s="81"/>
      <c r="AM1364" s="81"/>
      <c r="AN1364" s="81"/>
      <c r="AO1364" s="81"/>
      <c r="AP1364" s="81"/>
      <c r="AQ1364" s="81"/>
      <c r="AR1364" s="81"/>
      <c r="AS1364" s="81"/>
      <c r="AT1364" s="81"/>
      <c r="AU1364" s="53">
        <v>4.1666666666666699E-2</v>
      </c>
      <c r="AV1364" s="54" t="s">
        <v>37</v>
      </c>
      <c r="AW1364" s="57">
        <f t="shared" si="181"/>
        <v>4.1666666666666699E-2</v>
      </c>
      <c r="AX1364" s="58" t="s">
        <v>56</v>
      </c>
    </row>
    <row r="1365" spans="1:50" ht="28.5" customHeight="1">
      <c r="A1365" s="66" t="s">
        <v>1165</v>
      </c>
      <c r="B1365" s="39">
        <f t="shared" si="186"/>
        <v>1361</v>
      </c>
      <c r="C1365" s="40">
        <v>46051</v>
      </c>
      <c r="D1365" s="40" t="s">
        <v>32</v>
      </c>
      <c r="E1365" s="40" t="s">
        <v>81</v>
      </c>
      <c r="F1365" s="41">
        <v>698.5</v>
      </c>
      <c r="G1365" s="42" t="s">
        <v>54</v>
      </c>
      <c r="H1365" s="43" t="str">
        <f>IFERROR(VLOOKUP($J1365,'[9]FROM (3)'!$E$4:$F$230,2,FALSE),"")</f>
        <v>JCTTH</v>
      </c>
      <c r="I1365" s="44" t="str">
        <f t="shared" si="185"/>
        <v>RACK BAR</v>
      </c>
      <c r="J1365" s="44" t="str">
        <f t="shared" si="182"/>
        <v>JGD10-000751/000761-A</v>
      </c>
      <c r="K1365" s="59" t="str">
        <f t="shared" si="184"/>
        <v>PD26011007</v>
      </c>
      <c r="L1365" s="46" t="str" cm="1">
        <f t="array" ref="L1365">IFERROR(_xlfn.IFS(
    LEN($A1365)-LEN(SUBSTITUTE($A1365,"|",""))=12, RIGHT(A1365, LEN(A1365)-FIND("~", SUBSTITUTE(A1365,"|","~", LEN(A1365)-LEN(SUBSTITUTE(A1365,"|",""))))),
    LEN($A1365)-LEN(SUBSTITUTE($A1365,"|",""))=13, MID($A1365, FIND("~", SUBSTITUTE($A1365,"|","~", 11))+1, FIND("~", SUBSTITUTE($A1365,"|","~", 12))-FIND("~", SUBSTITUTE($A1365,"|","~", 11))-1),
    LEN($A1365)-LEN(SUBSTITUTE($A1365,"|",""))=14, MID($A1365, FIND("~", SUBSTITUTE($A1365,"|","~", 11))+1, FIND("~", SUBSTITUTE($A1365,"|","~", 12))-FIND("~", SUBSTITUTE($A1365,"|","~", 11))-1)
), "")</f>
        <v>665484</v>
      </c>
      <c r="M1365" s="72" t="str">
        <f t="shared" si="183"/>
        <v>SB010133/2/26</v>
      </c>
      <c r="N1365" s="46" t="str">
        <f t="shared" si="175"/>
        <v/>
      </c>
      <c r="O1365" s="76">
        <v>51</v>
      </c>
      <c r="P1365" s="76">
        <v>988</v>
      </c>
      <c r="Q1365" s="77">
        <v>204</v>
      </c>
      <c r="R1365" s="77">
        <v>913</v>
      </c>
      <c r="S1365" s="77"/>
      <c r="T1365" s="77"/>
      <c r="U1365" s="83">
        <v>130</v>
      </c>
      <c r="V1365" s="83">
        <v>7</v>
      </c>
      <c r="W1365" s="78"/>
      <c r="X1365" s="51" t="str">
        <f>IF(A1365="", "", IF(COUNTIFS(C$3:C1364, C1365, D$3:D1364, D1365, G$3:G1364, G1365) &gt; 0, "", "11:00"-AW1365))</f>
        <v/>
      </c>
      <c r="Y1365" s="79"/>
      <c r="Z1365" s="80"/>
      <c r="AA1365" s="81"/>
      <c r="AB1365" s="81"/>
      <c r="AC1365" s="81"/>
      <c r="AD1365" s="81"/>
      <c r="AE1365" s="81"/>
      <c r="AF1365" s="81"/>
      <c r="AG1365" s="81"/>
      <c r="AH1365" s="82"/>
      <c r="AI1365" s="81"/>
      <c r="AJ1365" s="81"/>
      <c r="AK1365" s="81"/>
      <c r="AL1365" s="81"/>
      <c r="AM1365" s="81"/>
      <c r="AN1365" s="81"/>
      <c r="AO1365" s="81"/>
      <c r="AP1365" s="81"/>
      <c r="AQ1365" s="81"/>
      <c r="AR1365" s="81"/>
      <c r="AS1365" s="81"/>
      <c r="AT1365" s="81"/>
      <c r="AU1365" s="53">
        <v>4.1666666666666699E-2</v>
      </c>
      <c r="AV1365" s="54" t="s">
        <v>37</v>
      </c>
      <c r="AW1365" s="57">
        <f t="shared" si="181"/>
        <v>4.1666666666666699E-2</v>
      </c>
      <c r="AX1365" s="58" t="s">
        <v>56</v>
      </c>
    </row>
    <row r="1366" spans="1:50" ht="28.5" customHeight="1">
      <c r="A1366" s="66" t="s">
        <v>1166</v>
      </c>
      <c r="B1366" s="39">
        <f t="shared" si="186"/>
        <v>1362</v>
      </c>
      <c r="C1366" s="40">
        <v>46051</v>
      </c>
      <c r="D1366" s="40" t="s">
        <v>32</v>
      </c>
      <c r="E1366" s="40" t="s">
        <v>81</v>
      </c>
      <c r="F1366" s="41">
        <v>698.5</v>
      </c>
      <c r="G1366" s="42" t="s">
        <v>54</v>
      </c>
      <c r="H1366" s="43" t="str">
        <f>IFERROR(VLOOKUP($J1366,'[9]FROM (3)'!$E$4:$F$230,2,FALSE),"")</f>
        <v>JCTTH</v>
      </c>
      <c r="I1366" s="44" t="str">
        <f t="shared" si="185"/>
        <v>RACK BAR</v>
      </c>
      <c r="J1366" s="44" t="str">
        <f t="shared" si="182"/>
        <v>JGD10-000751/000761-A</v>
      </c>
      <c r="K1366" s="59" t="str">
        <f t="shared" si="184"/>
        <v>PD26011232</v>
      </c>
      <c r="L1366" s="46" t="str" cm="1">
        <f t="array" ref="L1366">IFERROR(_xlfn.IFS(
    LEN($A1366)-LEN(SUBSTITUTE($A1366,"|",""))=12, RIGHT(A1366, LEN(A1366)-FIND("~", SUBSTITUTE(A1366,"|","~", LEN(A1366)-LEN(SUBSTITUTE(A1366,"|",""))))),
    LEN($A1366)-LEN(SUBSTITUTE($A1366,"|",""))=13, MID($A1366, FIND("~", SUBSTITUTE($A1366,"|","~", 11))+1, FIND("~", SUBSTITUTE($A1366,"|","~", 12))-FIND("~", SUBSTITUTE($A1366,"|","~", 11))-1),
    LEN($A1366)-LEN(SUBSTITUTE($A1366,"|",""))=14, MID($A1366, FIND("~", SUBSTITUTE($A1366,"|","~", 11))+1, FIND("~", SUBSTITUTE($A1366,"|","~", 12))-FIND("~", SUBSTITUTE($A1366,"|","~", 11))-1)
), "")</f>
        <v>665484</v>
      </c>
      <c r="M1366" s="72" t="str">
        <f t="shared" si="183"/>
        <v>SB010163/6/26</v>
      </c>
      <c r="N1366" s="46" t="str">
        <f t="shared" si="175"/>
        <v/>
      </c>
      <c r="O1366" s="76">
        <v>51</v>
      </c>
      <c r="P1366" s="76">
        <v>990</v>
      </c>
      <c r="Q1366" s="77">
        <v>204</v>
      </c>
      <c r="R1366" s="77">
        <v>913</v>
      </c>
      <c r="S1366" s="77"/>
      <c r="T1366" s="77"/>
      <c r="U1366" s="83"/>
      <c r="V1366" s="83"/>
      <c r="W1366" s="78"/>
      <c r="X1366" s="51" t="str">
        <f>IF(A1366="", "", IF(COUNTIFS(C$3:C1365, C1366, D$3:D1365, D1366, G$3:G1365, G1366) &gt; 0, "", "11:00"-AW1366))</f>
        <v/>
      </c>
      <c r="Y1366" s="79"/>
      <c r="Z1366" s="80"/>
      <c r="AA1366" s="81"/>
      <c r="AB1366" s="81"/>
      <c r="AC1366" s="81"/>
      <c r="AD1366" s="81"/>
      <c r="AE1366" s="81"/>
      <c r="AF1366" s="81"/>
      <c r="AG1366" s="81"/>
      <c r="AH1366" s="82"/>
      <c r="AI1366" s="81"/>
      <c r="AJ1366" s="81"/>
      <c r="AK1366" s="81"/>
      <c r="AL1366" s="81"/>
      <c r="AM1366" s="81"/>
      <c r="AN1366" s="81"/>
      <c r="AO1366" s="81"/>
      <c r="AP1366" s="81"/>
      <c r="AQ1366" s="81"/>
      <c r="AR1366" s="81"/>
      <c r="AS1366" s="81"/>
      <c r="AT1366" s="81"/>
      <c r="AU1366" s="53">
        <v>4.1666666666666699E-2</v>
      </c>
      <c r="AV1366" s="54" t="s">
        <v>37</v>
      </c>
      <c r="AW1366" s="57">
        <f t="shared" si="181"/>
        <v>4.1666666666666699E-2</v>
      </c>
      <c r="AX1366" s="58" t="s">
        <v>56</v>
      </c>
    </row>
    <row r="1367" spans="1:50" ht="28.5" customHeight="1">
      <c r="A1367" s="66" t="s">
        <v>1167</v>
      </c>
      <c r="B1367" s="39">
        <f t="shared" si="186"/>
        <v>1363</v>
      </c>
      <c r="C1367" s="40">
        <v>46051</v>
      </c>
      <c r="D1367" s="40" t="s">
        <v>32</v>
      </c>
      <c r="E1367" s="40" t="s">
        <v>81</v>
      </c>
      <c r="F1367" s="41">
        <v>698.5</v>
      </c>
      <c r="G1367" s="42" t="s">
        <v>54</v>
      </c>
      <c r="H1367" s="43" t="str">
        <f>IFERROR(VLOOKUP($J1367,'[9]FROM (3)'!$E$4:$F$230,2,FALSE),"")</f>
        <v>JCTTH</v>
      </c>
      <c r="I1367" s="44" t="str">
        <f t="shared" si="185"/>
        <v>RACK BAR</v>
      </c>
      <c r="J1367" s="44" t="str">
        <f t="shared" si="182"/>
        <v>JGD10-000751/000761-A</v>
      </c>
      <c r="K1367" s="59" t="str">
        <f t="shared" si="184"/>
        <v>PD26011232</v>
      </c>
      <c r="L1367" s="46" t="str" cm="1">
        <f t="array" ref="L1367">IFERROR(_xlfn.IFS(
    LEN($A1367)-LEN(SUBSTITUTE($A1367,"|",""))=12, RIGHT(A1367, LEN(A1367)-FIND("~", SUBSTITUTE(A1367,"|","~", LEN(A1367)-LEN(SUBSTITUTE(A1367,"|",""))))),
    LEN($A1367)-LEN(SUBSTITUTE($A1367,"|",""))=13, MID($A1367, FIND("~", SUBSTITUTE($A1367,"|","~", 11))+1, FIND("~", SUBSTITUTE($A1367,"|","~", 12))-FIND("~", SUBSTITUTE($A1367,"|","~", 11))-1),
    LEN($A1367)-LEN(SUBSTITUTE($A1367,"|",""))=14, MID($A1367, FIND("~", SUBSTITUTE($A1367,"|","~", 11))+1, FIND("~", SUBSTITUTE($A1367,"|","~", 12))-FIND("~", SUBSTITUTE($A1367,"|","~", 11))-1)
), "")</f>
        <v>665484</v>
      </c>
      <c r="M1367" s="72" t="str">
        <f t="shared" si="183"/>
        <v>SB010163/5/26</v>
      </c>
      <c r="N1367" s="46" t="str">
        <f t="shared" si="175"/>
        <v/>
      </c>
      <c r="O1367" s="76">
        <v>51</v>
      </c>
      <c r="P1367" s="76">
        <v>990</v>
      </c>
      <c r="Q1367" s="77">
        <v>159</v>
      </c>
      <c r="R1367" s="77">
        <v>712</v>
      </c>
      <c r="S1367" s="77"/>
      <c r="T1367" s="77"/>
      <c r="U1367" s="83"/>
      <c r="V1367" s="83"/>
      <c r="W1367" s="78"/>
      <c r="X1367" s="51" t="str">
        <f>IF(A1367="", "", IF(COUNTIFS(C$3:C1366, C1367, D$3:D1366, D1367, G$3:G1366, G1367) &gt; 0, "", "11:00"-AW1367))</f>
        <v/>
      </c>
      <c r="Y1367" s="79"/>
      <c r="Z1367" s="80"/>
      <c r="AA1367" s="81"/>
      <c r="AB1367" s="81"/>
      <c r="AC1367" s="81"/>
      <c r="AD1367" s="81"/>
      <c r="AE1367" s="81"/>
      <c r="AF1367" s="81"/>
      <c r="AG1367" s="81"/>
      <c r="AH1367" s="82"/>
      <c r="AI1367" s="81"/>
      <c r="AJ1367" s="81"/>
      <c r="AK1367" s="81"/>
      <c r="AL1367" s="81"/>
      <c r="AM1367" s="81"/>
      <c r="AN1367" s="81"/>
      <c r="AO1367" s="81"/>
      <c r="AP1367" s="81"/>
      <c r="AQ1367" s="81"/>
      <c r="AR1367" s="81"/>
      <c r="AS1367" s="81"/>
      <c r="AT1367" s="81"/>
      <c r="AU1367" s="53">
        <v>4.1666666666666699E-2</v>
      </c>
      <c r="AV1367" s="54" t="s">
        <v>37</v>
      </c>
      <c r="AW1367" s="57">
        <f t="shared" si="181"/>
        <v>4.1666666666666699E-2</v>
      </c>
      <c r="AX1367" s="58" t="s">
        <v>56</v>
      </c>
    </row>
    <row r="1368" spans="1:50" ht="28.5" customHeight="1">
      <c r="A1368" s="66" t="s">
        <v>1162</v>
      </c>
      <c r="B1368" s="39">
        <f t="shared" si="186"/>
        <v>1364</v>
      </c>
      <c r="C1368" s="40">
        <v>46052</v>
      </c>
      <c r="D1368" s="40" t="s">
        <v>80</v>
      </c>
      <c r="E1368" s="40" t="s">
        <v>33</v>
      </c>
      <c r="F1368" s="41" t="s">
        <v>404</v>
      </c>
      <c r="G1368" s="42" t="s">
        <v>44</v>
      </c>
      <c r="H1368" s="43" t="str">
        <f>IFERROR(VLOOKUP($J1368,'[9]FROM (3)'!$E$4:$F$230,2,FALSE),"")</f>
        <v>DNTH</v>
      </c>
      <c r="I1368" s="44" t="str">
        <f t="shared" si="185"/>
        <v>SLUG VALVE ROTARY</v>
      </c>
      <c r="J1368" s="44" t="str">
        <f t="shared" si="182"/>
        <v>TGY95613-0020</v>
      </c>
      <c r="K1368" s="59" t="str">
        <f t="shared" si="184"/>
        <v>PD26011086</v>
      </c>
      <c r="L1368" s="46" t="str" cm="1">
        <f t="array" ref="L1368">IFERROR(_xlfn.IFS(
    LEN($A1368)-LEN(SUBSTITUTE($A1368,"|",""))=12, RIGHT(A1368, LEN(A1368)-FIND("~", SUBSTITUTE(A1368,"|","~", LEN(A1368)-LEN(SUBSTITUTE(A1368,"|",""))))),
    LEN($A1368)-LEN(SUBSTITUTE($A1368,"|",""))=13, MID($A1368, FIND("~", SUBSTITUTE($A1368,"|","~", 11))+1, FIND("~", SUBSTITUTE($A1368,"|","~", 12))-FIND("~", SUBSTITUTE($A1368,"|","~", 11))-1),
    LEN($A1368)-LEN(SUBSTITUTE($A1368,"|",""))=14, MID($A1368, FIND("~", SUBSTITUTE($A1368,"|","~", 11))+1, FIND("~", SUBSTITUTE($A1368,"|","~", 12))-FIND("~", SUBSTITUTE($A1368,"|","~", 11))-1)
), "")</f>
        <v>E585734</v>
      </c>
      <c r="M1368" s="72" t="str">
        <f t="shared" si="183"/>
        <v>SB010149/2/26</v>
      </c>
      <c r="N1368" s="46" t="str">
        <f t="shared" si="175"/>
        <v/>
      </c>
      <c r="O1368" s="76"/>
      <c r="P1368" s="76"/>
      <c r="Q1368" s="77">
        <v>994</v>
      </c>
      <c r="R1368" s="77">
        <v>197</v>
      </c>
      <c r="S1368" s="77"/>
      <c r="T1368" s="77"/>
      <c r="U1368" s="83">
        <v>100</v>
      </c>
      <c r="V1368" s="83">
        <v>235</v>
      </c>
      <c r="W1368" s="78"/>
      <c r="X1368" s="51">
        <f>IF(A1368="", "", IF(COUNTIFS(C$3:C1367, C1368, D$3:D1367, D1368, G$3:G1367, G1368) &gt; 0, "", "11:00"-AW1368))</f>
        <v>0.41666666666666663</v>
      </c>
      <c r="Y1368" s="79"/>
      <c r="Z1368" s="80"/>
      <c r="AA1368" s="81"/>
      <c r="AB1368" s="81"/>
      <c r="AC1368" s="81"/>
      <c r="AD1368" s="81"/>
      <c r="AE1368" s="81"/>
      <c r="AF1368" s="81"/>
      <c r="AG1368" s="81"/>
      <c r="AH1368" s="82"/>
      <c r="AI1368" s="81"/>
      <c r="AJ1368" s="81"/>
      <c r="AK1368" s="81"/>
      <c r="AL1368" s="81"/>
      <c r="AM1368" s="81"/>
      <c r="AN1368" s="81"/>
      <c r="AO1368" s="81"/>
      <c r="AP1368" s="81"/>
      <c r="AQ1368" s="81"/>
      <c r="AR1368" s="81"/>
      <c r="AS1368" s="81"/>
      <c r="AT1368" s="81"/>
      <c r="AU1368" s="53">
        <v>4.1666666666666699E-2</v>
      </c>
      <c r="AV1368" s="54" t="s">
        <v>37</v>
      </c>
      <c r="AW1368" s="57">
        <f t="shared" si="181"/>
        <v>4.1666666666666699E-2</v>
      </c>
      <c r="AX1368" s="58" t="s">
        <v>203</v>
      </c>
    </row>
    <row r="1369" spans="1:50" ht="28.5" customHeight="1">
      <c r="A1369" s="66" t="s">
        <v>1168</v>
      </c>
      <c r="B1369" s="39">
        <f t="shared" si="186"/>
        <v>1365</v>
      </c>
      <c r="C1369" s="40">
        <v>46052</v>
      </c>
      <c r="D1369" s="40" t="s">
        <v>80</v>
      </c>
      <c r="E1369" s="40" t="s">
        <v>33</v>
      </c>
      <c r="F1369" s="41" t="s">
        <v>404</v>
      </c>
      <c r="G1369" s="42" t="s">
        <v>44</v>
      </c>
      <c r="H1369" s="43" t="str">
        <f>IFERROR(VLOOKUP($J1369,'[9]FROM (3)'!$E$4:$F$230,2,FALSE),"")</f>
        <v>DNTH</v>
      </c>
      <c r="I1369" s="44" t="str">
        <f t="shared" si="185"/>
        <v>SLUG VALVE ROTARY</v>
      </c>
      <c r="J1369" s="44" t="str">
        <f t="shared" si="182"/>
        <v>TGY95613-0020</v>
      </c>
      <c r="K1369" s="59" t="str">
        <f t="shared" si="184"/>
        <v>PD26011087</v>
      </c>
      <c r="L1369" s="46" t="str" cm="1">
        <f t="array" ref="L1369">IFERROR(_xlfn.IFS(
    LEN($A1369)-LEN(SUBSTITUTE($A1369,"|",""))=12, RIGHT(A1369, LEN(A1369)-FIND("~", SUBSTITUTE(A1369,"|","~", LEN(A1369)-LEN(SUBSTITUTE(A1369,"|",""))))),
    LEN($A1369)-LEN(SUBSTITUTE($A1369,"|",""))=13, MID($A1369, FIND("~", SUBSTITUTE($A1369,"|","~", 11))+1, FIND("~", SUBSTITUTE($A1369,"|","~", 12))-FIND("~", SUBSTITUTE($A1369,"|","~", 11))-1),
    LEN($A1369)-LEN(SUBSTITUTE($A1369,"|",""))=14, MID($A1369, FIND("~", SUBSTITUTE($A1369,"|","~", 11))+1, FIND("~", SUBSTITUTE($A1369,"|","~", 12))-FIND("~", SUBSTITUTE($A1369,"|","~", 11))-1)
), "")</f>
        <v>E587528</v>
      </c>
      <c r="M1369" s="72" t="str">
        <f t="shared" si="183"/>
        <v>SB010152/1/26</v>
      </c>
      <c r="N1369" s="46" t="str">
        <f t="shared" si="175"/>
        <v/>
      </c>
      <c r="O1369" s="76">
        <v>30</v>
      </c>
      <c r="P1369" s="76">
        <v>1283</v>
      </c>
      <c r="Q1369" s="77">
        <v>3132</v>
      </c>
      <c r="R1369" s="77">
        <v>621</v>
      </c>
      <c r="S1369" s="77"/>
      <c r="T1369" s="77"/>
      <c r="U1369" s="83"/>
      <c r="V1369" s="83"/>
      <c r="W1369" s="78"/>
      <c r="X1369" s="51" t="str">
        <f>IF(A1369="", "", IF(COUNTIFS(C$3:C1368, C1369, D$3:D1368, D1369, G$3:G1368, G1369) &gt; 0, "", "11:00"-AW1369))</f>
        <v/>
      </c>
      <c r="Y1369" s="79"/>
      <c r="Z1369" s="80"/>
      <c r="AA1369" s="81"/>
      <c r="AB1369" s="81"/>
      <c r="AC1369" s="81"/>
      <c r="AD1369" s="81"/>
      <c r="AE1369" s="81"/>
      <c r="AF1369" s="81"/>
      <c r="AG1369" s="81"/>
      <c r="AH1369" s="82"/>
      <c r="AI1369" s="81"/>
      <c r="AJ1369" s="81"/>
      <c r="AK1369" s="81"/>
      <c r="AL1369" s="81"/>
      <c r="AM1369" s="81"/>
      <c r="AN1369" s="81"/>
      <c r="AO1369" s="81"/>
      <c r="AP1369" s="81"/>
      <c r="AQ1369" s="81"/>
      <c r="AR1369" s="81"/>
      <c r="AS1369" s="81"/>
      <c r="AT1369" s="81"/>
      <c r="AU1369" s="53">
        <v>4.1666666666666699E-2</v>
      </c>
      <c r="AV1369" s="54" t="s">
        <v>37</v>
      </c>
      <c r="AW1369" s="57">
        <f t="shared" si="181"/>
        <v>4.1666666666666699E-2</v>
      </c>
      <c r="AX1369" s="58" t="s">
        <v>203</v>
      </c>
    </row>
    <row r="1370" spans="1:50" ht="28.5" customHeight="1">
      <c r="A1370" s="66" t="s">
        <v>1169</v>
      </c>
      <c r="B1370" s="39">
        <f t="shared" si="186"/>
        <v>1366</v>
      </c>
      <c r="C1370" s="40">
        <v>46052</v>
      </c>
      <c r="D1370" s="40" t="s">
        <v>80</v>
      </c>
      <c r="E1370" s="40" t="s">
        <v>33</v>
      </c>
      <c r="F1370" s="41">
        <v>516.5</v>
      </c>
      <c r="G1370" s="42" t="s">
        <v>34</v>
      </c>
      <c r="H1370" s="43" t="str">
        <f>IFERROR(VLOOKUP($J1370,'[9]FROM (3)'!$E$4:$F$230,2,FALSE),"")</f>
        <v>KONSEI</v>
      </c>
      <c r="I1370" s="44" t="str">
        <f t="shared" si="185"/>
        <v>Piston Disc Brake, Forging</v>
      </c>
      <c r="J1370" s="44" t="str">
        <f t="shared" si="182"/>
        <v>141411-60140-20</v>
      </c>
      <c r="K1370" s="59" t="str">
        <f t="shared" si="184"/>
        <v>PD26010939</v>
      </c>
      <c r="L1370" s="46" t="str" cm="1">
        <f t="array" ref="L1370">IFERROR(_xlfn.IFS(
    LEN($A1370)-LEN(SUBSTITUTE($A1370,"|",""))=12, RIGHT(A1370, LEN(A1370)-FIND("~", SUBSTITUTE(A1370,"|","~", LEN(A1370)-LEN(SUBSTITUTE(A1370,"|",""))))),
    LEN($A1370)-LEN(SUBSTITUTE($A1370,"|",""))=13, MID($A1370, FIND("~", SUBSTITUTE($A1370,"|","~", 11))+1, FIND("~", SUBSTITUTE($A1370,"|","~", 12))-FIND("~", SUBSTITUTE($A1370,"|","~", 11))-1),
    LEN($A1370)-LEN(SUBSTITUTE($A1370,"|",""))=14, MID($A1370, FIND("~", SUBSTITUTE($A1370,"|","~", 11))+1, FIND("~", SUBSTITUTE($A1370,"|","~", 12))-FIND("~", SUBSTITUTE($A1370,"|","~", 11))-1)
), "")</f>
        <v>663962</v>
      </c>
      <c r="M1370" s="72" t="str">
        <f t="shared" si="183"/>
        <v>2B2600239</v>
      </c>
      <c r="N1370" s="46" t="str">
        <f t="shared" si="175"/>
        <v/>
      </c>
      <c r="O1370" s="76"/>
      <c r="P1370" s="76"/>
      <c r="Q1370" s="77">
        <v>1658</v>
      </c>
      <c r="R1370" s="77">
        <v>856</v>
      </c>
      <c r="S1370" s="77"/>
      <c r="T1370" s="77"/>
      <c r="U1370" s="83"/>
      <c r="V1370" s="83"/>
      <c r="W1370" s="78"/>
      <c r="X1370" s="51">
        <f>IF(A1370="", "", IF(COUNTIFS(C$3:C1369, C1370, D$3:D1369, D1370, G$3:G1369, G1370) &gt; 0, "", "11:00"-AW1370))</f>
        <v>0.41666666666666663</v>
      </c>
      <c r="Y1370" s="79"/>
      <c r="Z1370" s="80"/>
      <c r="AA1370" s="81"/>
      <c r="AB1370" s="81"/>
      <c r="AC1370" s="81"/>
      <c r="AD1370" s="81"/>
      <c r="AE1370" s="81"/>
      <c r="AF1370" s="81"/>
      <c r="AG1370" s="81"/>
      <c r="AH1370" s="82"/>
      <c r="AI1370" s="81"/>
      <c r="AJ1370" s="81"/>
      <c r="AK1370" s="81"/>
      <c r="AL1370" s="81"/>
      <c r="AM1370" s="81"/>
      <c r="AN1370" s="81"/>
      <c r="AO1370" s="81"/>
      <c r="AP1370" s="81"/>
      <c r="AQ1370" s="81"/>
      <c r="AR1370" s="81"/>
      <c r="AS1370" s="81"/>
      <c r="AT1370" s="81"/>
      <c r="AU1370" s="53">
        <v>4.1666666666666699E-2</v>
      </c>
      <c r="AV1370" s="54" t="s">
        <v>37</v>
      </c>
      <c r="AW1370" s="57">
        <f t="shared" si="181"/>
        <v>4.1666666666666699E-2</v>
      </c>
      <c r="AX1370" s="58" t="s">
        <v>203</v>
      </c>
    </row>
    <row r="1371" spans="1:50" ht="28.5" customHeight="1">
      <c r="A1371" s="66" t="s">
        <v>1161</v>
      </c>
      <c r="B1371" s="39">
        <f t="shared" si="186"/>
        <v>1367</v>
      </c>
      <c r="C1371" s="40">
        <v>46052</v>
      </c>
      <c r="D1371" s="40" t="s">
        <v>80</v>
      </c>
      <c r="E1371" s="40" t="s">
        <v>33</v>
      </c>
      <c r="F1371" s="41">
        <v>85</v>
      </c>
      <c r="G1371" s="42" t="s">
        <v>41</v>
      </c>
      <c r="H1371" s="43" t="str">
        <f>IFERROR(VLOOKUP($J1371,'[9]FROM (3)'!$E$4:$F$230,2,FALSE),"")</f>
        <v>DNTH</v>
      </c>
      <c r="I1371" s="44" t="str">
        <f t="shared" si="185"/>
        <v>Barrel</v>
      </c>
      <c r="J1371" s="44" t="str">
        <f t="shared" si="182"/>
        <v>TG028986-0050</v>
      </c>
      <c r="K1371" s="59" t="str">
        <f t="shared" si="184"/>
        <v>PD26011357</v>
      </c>
      <c r="L1371" s="46" t="str" cm="1">
        <f t="array" ref="L1371">IFERROR(_xlfn.IFS(
    LEN($A1371)-LEN(SUBSTITUTE($A1371,"|",""))=12, RIGHT(A1371, LEN(A1371)-FIND("~", SUBSTITUTE(A1371,"|","~", LEN(A1371)-LEN(SUBSTITUTE(A1371,"|",""))))),
    LEN($A1371)-LEN(SUBSTITUTE($A1371,"|",""))=13, MID($A1371, FIND("~", SUBSTITUTE($A1371,"|","~", 11))+1, FIND("~", SUBSTITUTE($A1371,"|","~", 12))-FIND("~", SUBSTITUTE($A1371,"|","~", 11))-1),
    LEN($A1371)-LEN(SUBSTITUTE($A1371,"|",""))=14, MID($A1371, FIND("~", SUBSTITUTE($A1371,"|","~", 11))+1, FIND("~", SUBSTITUTE($A1371,"|","~", 12))-FIND("~", SUBSTITUTE($A1371,"|","~", 11))-1)
), "")</f>
        <v>E587474</v>
      </c>
      <c r="M1371" s="72" t="str">
        <f t="shared" si="183"/>
        <v>SB010192/1/26</v>
      </c>
      <c r="N1371" s="46" t="str">
        <f t="shared" si="175"/>
        <v/>
      </c>
      <c r="O1371" s="76"/>
      <c r="P1371" s="76"/>
      <c r="Q1371" s="77">
        <v>3891</v>
      </c>
      <c r="R1371" s="77">
        <v>331</v>
      </c>
      <c r="S1371" s="77"/>
      <c r="T1371" s="77"/>
      <c r="U1371" s="83"/>
      <c r="V1371" s="83"/>
      <c r="W1371" s="78"/>
      <c r="X1371" s="51">
        <f>IF(A1371="", "", IF(COUNTIFS(C$3:C1370, C1371, D$3:D1370, D1371, G$3:G1370, G1371) &gt; 0, "", "11:00"-AW1371))</f>
        <v>0.41666666666666663</v>
      </c>
      <c r="Y1371" s="79"/>
      <c r="Z1371" s="80"/>
      <c r="AA1371" s="81"/>
      <c r="AB1371" s="81"/>
      <c r="AC1371" s="81"/>
      <c r="AD1371" s="81"/>
      <c r="AE1371" s="81"/>
      <c r="AF1371" s="81"/>
      <c r="AG1371" s="81"/>
      <c r="AH1371" s="82"/>
      <c r="AI1371" s="81"/>
      <c r="AJ1371" s="81"/>
      <c r="AK1371" s="81"/>
      <c r="AL1371" s="81"/>
      <c r="AM1371" s="81"/>
      <c r="AN1371" s="81"/>
      <c r="AO1371" s="81"/>
      <c r="AP1371" s="81"/>
      <c r="AQ1371" s="81"/>
      <c r="AR1371" s="81"/>
      <c r="AS1371" s="81"/>
      <c r="AT1371" s="81"/>
      <c r="AU1371" s="53">
        <v>4.1666666666666699E-2</v>
      </c>
      <c r="AV1371" s="54" t="s">
        <v>37</v>
      </c>
      <c r="AW1371" s="57">
        <f t="shared" si="181"/>
        <v>4.1666666666666699E-2</v>
      </c>
      <c r="AX1371" s="58" t="s">
        <v>203</v>
      </c>
    </row>
    <row r="1372" spans="1:50" ht="28.5" customHeight="1">
      <c r="A1372" s="66" t="s">
        <v>1167</v>
      </c>
      <c r="B1372" s="39">
        <f t="shared" si="186"/>
        <v>1368</v>
      </c>
      <c r="C1372" s="40">
        <v>46052</v>
      </c>
      <c r="D1372" s="40" t="s">
        <v>80</v>
      </c>
      <c r="E1372" s="40" t="s">
        <v>33</v>
      </c>
      <c r="F1372" s="41">
        <v>698.5</v>
      </c>
      <c r="G1372" s="42" t="s">
        <v>54</v>
      </c>
      <c r="H1372" s="43" t="str">
        <f>IFERROR(VLOOKUP($J1372,'[9]FROM (3)'!$E$4:$F$230,2,FALSE),"")</f>
        <v>JCTTH</v>
      </c>
      <c r="I1372" s="44" t="str">
        <f t="shared" si="185"/>
        <v>RACK BAR</v>
      </c>
      <c r="J1372" s="44" t="str">
        <f t="shared" si="182"/>
        <v>JGD10-000751/000761-A</v>
      </c>
      <c r="K1372" s="59" t="str">
        <f t="shared" si="184"/>
        <v>PD26011232</v>
      </c>
      <c r="L1372" s="46" t="str" cm="1">
        <f t="array" ref="L1372">IFERROR(_xlfn.IFS(
    LEN($A1372)-LEN(SUBSTITUTE($A1372,"|",""))=12, RIGHT(A1372, LEN(A1372)-FIND("~", SUBSTITUTE(A1372,"|","~", LEN(A1372)-LEN(SUBSTITUTE(A1372,"|",""))))),
    LEN($A1372)-LEN(SUBSTITUTE($A1372,"|",""))=13, MID($A1372, FIND("~", SUBSTITUTE($A1372,"|","~", 11))+1, FIND("~", SUBSTITUTE($A1372,"|","~", 12))-FIND("~", SUBSTITUTE($A1372,"|","~", 11))-1),
    LEN($A1372)-LEN(SUBSTITUTE($A1372,"|",""))=14, MID($A1372, FIND("~", SUBSTITUTE($A1372,"|","~", 11))+1, FIND("~", SUBSTITUTE($A1372,"|","~", 12))-FIND("~", SUBSTITUTE($A1372,"|","~", 11))-1)
), "")</f>
        <v>665484</v>
      </c>
      <c r="M1372" s="72" t="str">
        <f t="shared" si="183"/>
        <v>SB010163/5/26</v>
      </c>
      <c r="N1372" s="46" t="str">
        <f t="shared" si="175"/>
        <v/>
      </c>
      <c r="O1372" s="76" t="s">
        <v>35</v>
      </c>
      <c r="P1372" s="76" t="s">
        <v>35</v>
      </c>
      <c r="Q1372" s="77">
        <v>45</v>
      </c>
      <c r="R1372" s="77"/>
      <c r="S1372" s="77"/>
      <c r="T1372" s="77"/>
      <c r="U1372" s="83"/>
      <c r="V1372" s="83"/>
      <c r="W1372" s="78"/>
      <c r="X1372" s="51">
        <f>IF(A1372="", "", IF(COUNTIFS(C$3:C1371, C1372, D$3:D1371, D1372, G$3:G1371, G1372) &gt; 0, "", "11:00"-AW1372))</f>
        <v>0.31944444444444442</v>
      </c>
      <c r="Y1372" s="79"/>
      <c r="Z1372" s="80">
        <v>1.3888888888888888E-2</v>
      </c>
      <c r="AA1372" s="81" t="s">
        <v>47</v>
      </c>
      <c r="AB1372" s="81"/>
      <c r="AC1372" s="81"/>
      <c r="AD1372" s="81"/>
      <c r="AE1372" s="81"/>
      <c r="AF1372" s="81"/>
      <c r="AG1372" s="81"/>
      <c r="AH1372" s="82"/>
      <c r="AI1372" s="81"/>
      <c r="AJ1372" s="81"/>
      <c r="AK1372" s="81"/>
      <c r="AL1372" s="81"/>
      <c r="AM1372" s="81"/>
      <c r="AN1372" s="81"/>
      <c r="AO1372" s="81"/>
      <c r="AP1372" s="81"/>
      <c r="AQ1372" s="81">
        <v>4.1666666666666664E-2</v>
      </c>
      <c r="AR1372" s="81" t="s">
        <v>37</v>
      </c>
      <c r="AS1372" s="81">
        <v>4.1666666666666664E-2</v>
      </c>
      <c r="AT1372" s="81" t="s">
        <v>37</v>
      </c>
      <c r="AU1372" s="53">
        <v>4.1666666666666699E-2</v>
      </c>
      <c r="AV1372" s="54" t="s">
        <v>37</v>
      </c>
      <c r="AW1372" s="57">
        <f t="shared" si="181"/>
        <v>0.1388888888888889</v>
      </c>
      <c r="AX1372" s="58" t="s">
        <v>91</v>
      </c>
    </row>
    <row r="1373" spans="1:50" ht="28.5" customHeight="1">
      <c r="A1373" s="66" t="s">
        <v>1170</v>
      </c>
      <c r="B1373" s="39">
        <f t="shared" si="186"/>
        <v>1369</v>
      </c>
      <c r="C1373" s="40">
        <v>46052</v>
      </c>
      <c r="D1373" s="40" t="s">
        <v>80</v>
      </c>
      <c r="E1373" s="40" t="s">
        <v>33</v>
      </c>
      <c r="F1373" s="41">
        <v>698.5</v>
      </c>
      <c r="G1373" s="42" t="s">
        <v>54</v>
      </c>
      <c r="H1373" s="43" t="str">
        <f>IFERROR(VLOOKUP($J1373,'[9]FROM (3)'!$E$4:$F$230,2,FALSE),"")</f>
        <v>JCTTH</v>
      </c>
      <c r="I1373" s="44" t="str">
        <f t="shared" si="185"/>
        <v>RACK BAR</v>
      </c>
      <c r="J1373" s="44" t="str">
        <f t="shared" si="182"/>
        <v>JGD10-000751/000761-A</v>
      </c>
      <c r="K1373" s="59" t="str">
        <f t="shared" si="184"/>
        <v>PD26011232</v>
      </c>
      <c r="L1373" s="46" t="str" cm="1">
        <f t="array" ref="L1373">IFERROR(_xlfn.IFS(
    LEN($A1373)-LEN(SUBSTITUTE($A1373,"|",""))=12, RIGHT(A1373, LEN(A1373)-FIND("~", SUBSTITUTE(A1373,"|","~", LEN(A1373)-LEN(SUBSTITUTE(A1373,"|",""))))),
    LEN($A1373)-LEN(SUBSTITUTE($A1373,"|",""))=13, MID($A1373, FIND("~", SUBSTITUTE($A1373,"|","~", 11))+1, FIND("~", SUBSTITUTE($A1373,"|","~", 12))-FIND("~", SUBSTITUTE($A1373,"|","~", 11))-1),
    LEN($A1373)-LEN(SUBSTITUTE($A1373,"|",""))=14, MID($A1373, FIND("~", SUBSTITUTE($A1373,"|","~", 11))+1, FIND("~", SUBSTITUTE($A1373,"|","~", 12))-FIND("~", SUBSTITUTE($A1373,"|","~", 11))-1)
), "")</f>
        <v>665484</v>
      </c>
      <c r="M1373" s="72" t="str">
        <f t="shared" si="183"/>
        <v>SB010163/4/26</v>
      </c>
      <c r="N1373" s="46" t="str">
        <f t="shared" si="175"/>
        <v/>
      </c>
      <c r="O1373" s="76">
        <v>51</v>
      </c>
      <c r="P1373" s="76">
        <v>990</v>
      </c>
      <c r="Q1373" s="77">
        <v>204</v>
      </c>
      <c r="R1373" s="77">
        <v>913</v>
      </c>
      <c r="S1373" s="77"/>
      <c r="T1373" s="77"/>
      <c r="U1373" s="83">
        <v>196</v>
      </c>
      <c r="V1373" s="83">
        <v>10</v>
      </c>
      <c r="W1373" s="78"/>
      <c r="X1373" s="51" t="str">
        <f>IF(A1373="", "", IF(COUNTIFS(C$3:C1372, C1373, D$3:D1372, D1373, G$3:G1372, G1373) &gt; 0, "", "11:00"-AW1373))</f>
        <v/>
      </c>
      <c r="Y1373" s="79"/>
      <c r="Z1373" s="80"/>
      <c r="AA1373" s="81"/>
      <c r="AB1373" s="81"/>
      <c r="AC1373" s="81"/>
      <c r="AD1373" s="81"/>
      <c r="AE1373" s="81"/>
      <c r="AF1373" s="81"/>
      <c r="AG1373" s="81"/>
      <c r="AH1373" s="82"/>
      <c r="AI1373" s="81"/>
      <c r="AJ1373" s="81"/>
      <c r="AK1373" s="81"/>
      <c r="AL1373" s="81"/>
      <c r="AM1373" s="81"/>
      <c r="AN1373" s="81"/>
      <c r="AO1373" s="81"/>
      <c r="AP1373" s="81"/>
      <c r="AQ1373" s="81"/>
      <c r="AR1373" s="81"/>
      <c r="AS1373" s="81"/>
      <c r="AT1373" s="81"/>
      <c r="AU1373" s="53">
        <v>4.1666666666666699E-2</v>
      </c>
      <c r="AV1373" s="54" t="s">
        <v>37</v>
      </c>
      <c r="AW1373" s="57">
        <f t="shared" si="181"/>
        <v>4.1666666666666699E-2</v>
      </c>
      <c r="AX1373" s="58" t="s">
        <v>91</v>
      </c>
    </row>
    <row r="1374" spans="1:50" ht="28.5" customHeight="1">
      <c r="A1374" s="66" t="s">
        <v>1171</v>
      </c>
      <c r="B1374" s="39">
        <f t="shared" si="186"/>
        <v>1370</v>
      </c>
      <c r="C1374" s="40">
        <v>46052</v>
      </c>
      <c r="D1374" s="40" t="s">
        <v>80</v>
      </c>
      <c r="E1374" s="40" t="s">
        <v>33</v>
      </c>
      <c r="F1374" s="41">
        <v>698.5</v>
      </c>
      <c r="G1374" s="42" t="s">
        <v>54</v>
      </c>
      <c r="H1374" s="43" t="str">
        <f>IFERROR(VLOOKUP($J1374,'[9]FROM (3)'!$E$4:$F$230,2,FALSE),"")</f>
        <v>JCTTH</v>
      </c>
      <c r="I1374" s="44" t="str">
        <f t="shared" si="185"/>
        <v>RACK BAR</v>
      </c>
      <c r="J1374" s="44" t="str">
        <f t="shared" si="182"/>
        <v>JGD10-000751/000761-A</v>
      </c>
      <c r="K1374" s="59" t="str">
        <f t="shared" si="184"/>
        <v>PD26011231</v>
      </c>
      <c r="L1374" s="46" t="str" cm="1">
        <f t="array" ref="L1374">IFERROR(_xlfn.IFS(
    LEN($A1374)-LEN(SUBSTITUTE($A1374,"|",""))=12, RIGHT(A1374, LEN(A1374)-FIND("~", SUBSTITUTE(A1374,"|","~", LEN(A1374)-LEN(SUBSTITUTE(A1374,"|",""))))),
    LEN($A1374)-LEN(SUBSTITUTE($A1374,"|",""))=13, MID($A1374, FIND("~", SUBSTITUTE($A1374,"|","~", 11))+1, FIND("~", SUBSTITUTE($A1374,"|","~", 12))-FIND("~", SUBSTITUTE($A1374,"|","~", 11))-1),
    LEN($A1374)-LEN(SUBSTITUTE($A1374,"|",""))=14, MID($A1374, FIND("~", SUBSTITUTE($A1374,"|","~", 11))+1, FIND("~", SUBSTITUTE($A1374,"|","~", 12))-FIND("~", SUBSTITUTE($A1374,"|","~", 11))-1)
), "")</f>
        <v>665484</v>
      </c>
      <c r="M1374" s="72" t="str">
        <f t="shared" si="183"/>
        <v>SB010163/3/26</v>
      </c>
      <c r="N1374" s="46" t="str">
        <f t="shared" si="175"/>
        <v/>
      </c>
      <c r="O1374" s="76">
        <v>51</v>
      </c>
      <c r="P1374" s="76">
        <v>990</v>
      </c>
      <c r="Q1374" s="77">
        <v>204</v>
      </c>
      <c r="R1374" s="77">
        <v>913</v>
      </c>
      <c r="S1374" s="77"/>
      <c r="T1374" s="77"/>
      <c r="U1374" s="83"/>
      <c r="V1374" s="83"/>
      <c r="W1374" s="78"/>
      <c r="X1374" s="51" t="str">
        <f>IF(A1374="", "", IF(COUNTIFS(C$3:C1373, C1374, D$3:D1373, D1374, G$3:G1373, G1374) &gt; 0, "", "11:00"-AW1374))</f>
        <v/>
      </c>
      <c r="Y1374" s="79"/>
      <c r="Z1374" s="80"/>
      <c r="AA1374" s="81"/>
      <c r="AB1374" s="81"/>
      <c r="AC1374" s="81"/>
      <c r="AD1374" s="81"/>
      <c r="AE1374" s="81"/>
      <c r="AF1374" s="81"/>
      <c r="AG1374" s="81"/>
      <c r="AH1374" s="82"/>
      <c r="AI1374" s="81"/>
      <c r="AJ1374" s="81"/>
      <c r="AK1374" s="81"/>
      <c r="AL1374" s="81"/>
      <c r="AM1374" s="81"/>
      <c r="AN1374" s="81"/>
      <c r="AO1374" s="81"/>
      <c r="AP1374" s="81"/>
      <c r="AQ1374" s="81"/>
      <c r="AR1374" s="81"/>
      <c r="AS1374" s="81"/>
      <c r="AT1374" s="81"/>
      <c r="AU1374" s="53">
        <v>4.1666666666666699E-2</v>
      </c>
      <c r="AV1374" s="54" t="s">
        <v>37</v>
      </c>
      <c r="AW1374" s="57">
        <f t="shared" si="181"/>
        <v>4.1666666666666699E-2</v>
      </c>
      <c r="AX1374" s="58" t="s">
        <v>91</v>
      </c>
    </row>
    <row r="1375" spans="1:50" ht="28.5" customHeight="1">
      <c r="A1375" s="66" t="s">
        <v>1172</v>
      </c>
      <c r="B1375" s="39">
        <f t="shared" si="186"/>
        <v>1371</v>
      </c>
      <c r="C1375" s="40">
        <v>46052</v>
      </c>
      <c r="D1375" s="40" t="s">
        <v>80</v>
      </c>
      <c r="E1375" s="40" t="s">
        <v>33</v>
      </c>
      <c r="F1375" s="41">
        <v>698.5</v>
      </c>
      <c r="G1375" s="42" t="s">
        <v>54</v>
      </c>
      <c r="H1375" s="43" t="str">
        <f>IFERROR(VLOOKUP($J1375,'[9]FROM (3)'!$E$4:$F$230,2,FALSE),"")</f>
        <v>JCTTH</v>
      </c>
      <c r="I1375" s="44" t="str">
        <f t="shared" si="185"/>
        <v>RACK BAR</v>
      </c>
      <c r="J1375" s="44" t="str">
        <f t="shared" si="182"/>
        <v>JGD10-000751/000761-A</v>
      </c>
      <c r="K1375" s="59" t="str">
        <f t="shared" si="184"/>
        <v>PD26011231</v>
      </c>
      <c r="L1375" s="46" t="str" cm="1">
        <f t="array" ref="L1375">IFERROR(_xlfn.IFS(
    LEN($A1375)-LEN(SUBSTITUTE($A1375,"|",""))=12, RIGHT(A1375, LEN(A1375)-FIND("~", SUBSTITUTE(A1375,"|","~", LEN(A1375)-LEN(SUBSTITUTE(A1375,"|",""))))),
    LEN($A1375)-LEN(SUBSTITUTE($A1375,"|",""))=13, MID($A1375, FIND("~", SUBSTITUTE($A1375,"|","~", 11))+1, FIND("~", SUBSTITUTE($A1375,"|","~", 12))-FIND("~", SUBSTITUTE($A1375,"|","~", 11))-1),
    LEN($A1375)-LEN(SUBSTITUTE($A1375,"|",""))=14, MID($A1375, FIND("~", SUBSTITUTE($A1375,"|","~", 11))+1, FIND("~", SUBSTITUTE($A1375,"|","~", 12))-FIND("~", SUBSTITUTE($A1375,"|","~", 11))-1)
), "")</f>
        <v>665484</v>
      </c>
      <c r="M1375" s="72" t="str">
        <f t="shared" si="183"/>
        <v>SB010163/1/26</v>
      </c>
      <c r="N1375" s="46" t="str">
        <f t="shared" si="175"/>
        <v/>
      </c>
      <c r="O1375" s="76">
        <v>51</v>
      </c>
      <c r="P1375" s="76">
        <v>990</v>
      </c>
      <c r="Q1375" s="77">
        <v>204</v>
      </c>
      <c r="R1375" s="77">
        <v>913</v>
      </c>
      <c r="S1375" s="77"/>
      <c r="T1375" s="77"/>
      <c r="U1375" s="83"/>
      <c r="V1375" s="83"/>
      <c r="W1375" s="78"/>
      <c r="X1375" s="51" t="str">
        <f>IF(A1375="", "", IF(COUNTIFS(C$3:C1374, C1375, D$3:D1374, D1375, G$3:G1374, G1375) &gt; 0, "", "11:00"-AW1375))</f>
        <v/>
      </c>
      <c r="Y1375" s="79"/>
      <c r="Z1375" s="80"/>
      <c r="AA1375" s="81"/>
      <c r="AB1375" s="81"/>
      <c r="AC1375" s="81"/>
      <c r="AD1375" s="81"/>
      <c r="AE1375" s="81"/>
      <c r="AF1375" s="81"/>
      <c r="AG1375" s="81"/>
      <c r="AH1375" s="82"/>
      <c r="AI1375" s="81"/>
      <c r="AJ1375" s="81"/>
      <c r="AK1375" s="81"/>
      <c r="AL1375" s="81"/>
      <c r="AM1375" s="81"/>
      <c r="AN1375" s="81"/>
      <c r="AO1375" s="81"/>
      <c r="AP1375" s="81"/>
      <c r="AQ1375" s="81"/>
      <c r="AR1375" s="81"/>
      <c r="AS1375" s="81"/>
      <c r="AT1375" s="81"/>
      <c r="AU1375" s="53">
        <v>4.1666666666666699E-2</v>
      </c>
      <c r="AV1375" s="54" t="s">
        <v>37</v>
      </c>
      <c r="AW1375" s="57">
        <f t="shared" si="181"/>
        <v>4.1666666666666699E-2</v>
      </c>
      <c r="AX1375" s="58" t="s">
        <v>91</v>
      </c>
    </row>
    <row r="1376" spans="1:50" ht="28.5" customHeight="1">
      <c r="A1376" s="66" t="s">
        <v>1173</v>
      </c>
      <c r="B1376" s="39">
        <f t="shared" si="186"/>
        <v>1372</v>
      </c>
      <c r="C1376" s="40">
        <v>46052</v>
      </c>
      <c r="D1376" s="40" t="s">
        <v>80</v>
      </c>
      <c r="E1376" s="40" t="s">
        <v>33</v>
      </c>
      <c r="F1376" s="41">
        <v>698.5</v>
      </c>
      <c r="G1376" s="42" t="s">
        <v>54</v>
      </c>
      <c r="H1376" s="43" t="str">
        <f>IFERROR(VLOOKUP($J1376,'[9]FROM (3)'!$E$4:$F$230,2,FALSE),"")</f>
        <v>JCTTH</v>
      </c>
      <c r="I1376" s="44" t="str">
        <f t="shared" si="185"/>
        <v>RACK BAR</v>
      </c>
      <c r="J1376" s="44" t="str">
        <f t="shared" si="182"/>
        <v>JGD10-000751/000761-A</v>
      </c>
      <c r="K1376" s="59" t="str">
        <f t="shared" si="184"/>
        <v>PD26011231</v>
      </c>
      <c r="L1376" s="46" t="str" cm="1">
        <f t="array" ref="L1376">IFERROR(_xlfn.IFS(
    LEN($A1376)-LEN(SUBSTITUTE($A1376,"|",""))=12, RIGHT(A1376, LEN(A1376)-FIND("~", SUBSTITUTE(A1376,"|","~", LEN(A1376)-LEN(SUBSTITUTE(A1376,"|",""))))),
    LEN($A1376)-LEN(SUBSTITUTE($A1376,"|",""))=13, MID($A1376, FIND("~", SUBSTITUTE($A1376,"|","~", 11))+1, FIND("~", SUBSTITUTE($A1376,"|","~", 12))-FIND("~", SUBSTITUTE($A1376,"|","~", 11))-1),
    LEN($A1376)-LEN(SUBSTITUTE($A1376,"|",""))=14, MID($A1376, FIND("~", SUBSTITUTE($A1376,"|","~", 11))+1, FIND("~", SUBSTITUTE($A1376,"|","~", 12))-FIND("~", SUBSTITUTE($A1376,"|","~", 11))-1)
), "")</f>
        <v>665484</v>
      </c>
      <c r="M1376" s="72" t="str">
        <f t="shared" si="183"/>
        <v>SB010163/2/26</v>
      </c>
      <c r="N1376" s="46" t="str">
        <f t="shared" si="175"/>
        <v/>
      </c>
      <c r="O1376" s="76">
        <v>51</v>
      </c>
      <c r="P1376" s="76">
        <v>990</v>
      </c>
      <c r="Q1376" s="77">
        <v>204</v>
      </c>
      <c r="R1376" s="77">
        <v>913</v>
      </c>
      <c r="S1376" s="77"/>
      <c r="T1376" s="77"/>
      <c r="U1376" s="83">
        <v>196</v>
      </c>
      <c r="V1376" s="83">
        <v>10</v>
      </c>
      <c r="W1376" s="78"/>
      <c r="X1376" s="51" t="str">
        <f>IF(A1376="", "", IF(COUNTIFS(C$3:C1375, C1376, D$3:D1375, D1376, G$3:G1375, G1376) &gt; 0, "", "11:00"-AW1376))</f>
        <v/>
      </c>
      <c r="Y1376" s="79"/>
      <c r="Z1376" s="80"/>
      <c r="AA1376" s="81"/>
      <c r="AB1376" s="81"/>
      <c r="AC1376" s="81"/>
      <c r="AD1376" s="81"/>
      <c r="AE1376" s="81"/>
      <c r="AF1376" s="81"/>
      <c r="AG1376" s="81"/>
      <c r="AH1376" s="82"/>
      <c r="AI1376" s="81"/>
      <c r="AJ1376" s="81"/>
      <c r="AK1376" s="81"/>
      <c r="AL1376" s="81"/>
      <c r="AM1376" s="81"/>
      <c r="AN1376" s="81"/>
      <c r="AO1376" s="81"/>
      <c r="AP1376" s="81"/>
      <c r="AQ1376" s="81"/>
      <c r="AR1376" s="81"/>
      <c r="AS1376" s="81"/>
      <c r="AT1376" s="81"/>
      <c r="AU1376" s="53">
        <v>4.1666666666666699E-2</v>
      </c>
      <c r="AV1376" s="54" t="s">
        <v>37</v>
      </c>
      <c r="AW1376" s="57">
        <f t="shared" si="181"/>
        <v>4.1666666666666699E-2</v>
      </c>
      <c r="AX1376" s="58" t="s">
        <v>91</v>
      </c>
    </row>
    <row r="1377" spans="1:50" ht="28.5" customHeight="1">
      <c r="A1377" s="66" t="s">
        <v>1140</v>
      </c>
      <c r="B1377" s="39">
        <f t="shared" si="186"/>
        <v>1373</v>
      </c>
      <c r="C1377" s="40">
        <v>46052</v>
      </c>
      <c r="D1377" s="40" t="s">
        <v>80</v>
      </c>
      <c r="E1377" s="40" t="s">
        <v>33</v>
      </c>
      <c r="F1377" s="41">
        <v>375</v>
      </c>
      <c r="G1377" s="42" t="s">
        <v>172</v>
      </c>
      <c r="H1377" s="43" t="str">
        <f>IFERROR(VLOOKUP($J1377,'[9]FROM (3)'!$E$4:$F$230,2,FALSE),"")</f>
        <v>ATAC</v>
      </c>
      <c r="I1377" s="44" t="str">
        <f t="shared" si="185"/>
        <v>SEAT,WATER PUMP PULLEY</v>
      </c>
      <c r="J1377" s="44" t="str">
        <f t="shared" si="182"/>
        <v>16171-05030</v>
      </c>
      <c r="K1377" s="59" t="str">
        <f t="shared" si="184"/>
        <v>PD26010860</v>
      </c>
      <c r="L1377" s="46" t="str" cm="1">
        <f t="array" ref="L1377">IFERROR(_xlfn.IFS(
    LEN($A1377)-LEN(SUBSTITUTE($A1377,"|",""))=12, RIGHT(A1377, LEN(A1377)-FIND("~", SUBSTITUTE(A1377,"|","~", LEN(A1377)-LEN(SUBSTITUTE(A1377,"|",""))))),
    LEN($A1377)-LEN(SUBSTITUTE($A1377,"|",""))=13, MID($A1377, FIND("~", SUBSTITUTE($A1377,"|","~", 11))+1, FIND("~", SUBSTITUTE($A1377,"|","~", 12))-FIND("~", SUBSTITUTE($A1377,"|","~", 11))-1),
    LEN($A1377)-LEN(SUBSTITUTE($A1377,"|",""))=14, MID($A1377, FIND("~", SUBSTITUTE($A1377,"|","~", 11))+1, FIND("~", SUBSTITUTE($A1377,"|","~", 12))-FIND("~", SUBSTITUTE($A1377,"|","~", 11))-1)
), "")</f>
        <v>665900</v>
      </c>
      <c r="M1377" s="72" t="str">
        <f t="shared" si="183"/>
        <v>SB010105/2/26</v>
      </c>
      <c r="N1377" s="46" t="str">
        <f t="shared" si="175"/>
        <v/>
      </c>
      <c r="O1377" s="76" t="s">
        <v>35</v>
      </c>
      <c r="P1377" s="76" t="s">
        <v>35</v>
      </c>
      <c r="Q1377" s="77">
        <v>1357</v>
      </c>
      <c r="R1377" s="77">
        <v>509</v>
      </c>
      <c r="S1377" s="77" t="s">
        <v>35</v>
      </c>
      <c r="T1377" s="77"/>
      <c r="U1377" s="83">
        <v>57</v>
      </c>
      <c r="V1377" s="83">
        <v>111</v>
      </c>
      <c r="W1377" s="78"/>
      <c r="X1377" s="51">
        <f>IF(A1377="", "", IF(COUNTIFS(C$3:C1376, C1377, D$3:D1376, D1377, G$3:G1376, G1377) &gt; 0, "", "11:00"-AW1377))</f>
        <v>0.20833333333333331</v>
      </c>
      <c r="Y1377" s="79"/>
      <c r="Z1377" s="80">
        <v>4.1666666666666664E-2</v>
      </c>
      <c r="AA1377" s="81" t="s">
        <v>47</v>
      </c>
      <c r="AB1377" s="81"/>
      <c r="AC1377" s="81"/>
      <c r="AD1377" s="81"/>
      <c r="AE1377" s="81"/>
      <c r="AF1377" s="81"/>
      <c r="AG1377" s="81"/>
      <c r="AH1377" s="82"/>
      <c r="AI1377" s="81"/>
      <c r="AJ1377" s="81"/>
      <c r="AK1377" s="81"/>
      <c r="AL1377" s="81"/>
      <c r="AM1377" s="81">
        <v>4.1666666666666664E-2</v>
      </c>
      <c r="AN1377" s="81" t="s">
        <v>1043</v>
      </c>
      <c r="AO1377" s="81">
        <v>4.1666666666666664E-2</v>
      </c>
      <c r="AP1377" s="81" t="s">
        <v>1043</v>
      </c>
      <c r="AQ1377" s="81">
        <v>4.1666666666666664E-2</v>
      </c>
      <c r="AR1377" s="81" t="s">
        <v>37</v>
      </c>
      <c r="AS1377" s="81">
        <v>4.1666666666666664E-2</v>
      </c>
      <c r="AT1377" s="81" t="s">
        <v>37</v>
      </c>
      <c r="AU1377" s="53">
        <v>4.1666666666666699E-2</v>
      </c>
      <c r="AV1377" s="54" t="s">
        <v>37</v>
      </c>
      <c r="AW1377" s="57">
        <f t="shared" si="181"/>
        <v>0.25</v>
      </c>
      <c r="AX1377" s="58" t="s">
        <v>109</v>
      </c>
    </row>
    <row r="1378" spans="1:50" ht="28.5" customHeight="1">
      <c r="A1378" s="66" t="s">
        <v>1141</v>
      </c>
      <c r="B1378" s="39">
        <f t="shared" si="186"/>
        <v>1374</v>
      </c>
      <c r="C1378" s="40">
        <v>46052</v>
      </c>
      <c r="D1378" s="40" t="s">
        <v>80</v>
      </c>
      <c r="E1378" s="40" t="s">
        <v>33</v>
      </c>
      <c r="F1378" s="41">
        <v>56</v>
      </c>
      <c r="G1378" s="42" t="s">
        <v>46</v>
      </c>
      <c r="H1378" s="43" t="str">
        <f>IFERROR(VLOOKUP($J1378,'[9]FROM (3)'!$E$4:$F$230,2,FALSE),"")</f>
        <v>DNTH</v>
      </c>
      <c r="I1378" s="44" t="str">
        <f t="shared" si="185"/>
        <v>PLUNGER</v>
      </c>
      <c r="J1378" s="44" t="str">
        <f t="shared" si="182"/>
        <v>TG053661-7151</v>
      </c>
      <c r="K1378" s="59" t="str">
        <f t="shared" si="184"/>
        <v>PD26011340</v>
      </c>
      <c r="L1378" s="46" t="str" cm="1">
        <f t="array" ref="L1378">IFERROR(_xlfn.IFS(
    LEN($A1378)-LEN(SUBSTITUTE($A1378,"|",""))=12, RIGHT(A1378, LEN(A1378)-FIND("~", SUBSTITUTE(A1378,"|","~", LEN(A1378)-LEN(SUBSTITUTE(A1378,"|",""))))),
    LEN($A1378)-LEN(SUBSTITUTE($A1378,"|",""))=13, MID($A1378, FIND("~", SUBSTITUTE($A1378,"|","~", 11))+1, FIND("~", SUBSTITUTE($A1378,"|","~", 12))-FIND("~", SUBSTITUTE($A1378,"|","~", 11))-1),
    LEN($A1378)-LEN(SUBSTITUTE($A1378,"|",""))=14, MID($A1378, FIND("~", SUBSTITUTE($A1378,"|","~", 11))+1, FIND("~", SUBSTITUTE($A1378,"|","~", 12))-FIND("~", SUBSTITUTE($A1378,"|","~", 11))-1)
), "")</f>
        <v>5A5885</v>
      </c>
      <c r="M1378" s="72" t="str">
        <f t="shared" si="183"/>
        <v>SB010184/2/26</v>
      </c>
      <c r="N1378" s="46" t="str">
        <f t="shared" si="175"/>
        <v/>
      </c>
      <c r="O1378" s="76" t="s">
        <v>35</v>
      </c>
      <c r="P1378" s="76" t="s">
        <v>35</v>
      </c>
      <c r="Q1378" s="77">
        <v>2800</v>
      </c>
      <c r="R1378" s="77">
        <v>414</v>
      </c>
      <c r="S1378" s="77" t="s">
        <v>35</v>
      </c>
      <c r="T1378" s="77"/>
      <c r="U1378" s="83">
        <v>49</v>
      </c>
      <c r="V1378" s="83">
        <v>55</v>
      </c>
      <c r="W1378" s="78"/>
      <c r="X1378" s="51">
        <f>IF(A1378="", "", IF(COUNTIFS(C$3:C1377, C1378, D$3:D1377, D1378, G$3:G1377, G1378) &gt; 0, "", "11:00"-AW1378))</f>
        <v>0.20833333333333331</v>
      </c>
      <c r="Y1378" s="79"/>
      <c r="Z1378" s="80">
        <v>4.1666666666666664E-2</v>
      </c>
      <c r="AA1378" s="81" t="s">
        <v>47</v>
      </c>
      <c r="AB1378" s="81"/>
      <c r="AC1378" s="81"/>
      <c r="AD1378" s="81"/>
      <c r="AE1378" s="81"/>
      <c r="AF1378" s="81"/>
      <c r="AG1378" s="81"/>
      <c r="AH1378" s="82"/>
      <c r="AI1378" s="81"/>
      <c r="AJ1378" s="81"/>
      <c r="AK1378" s="81"/>
      <c r="AL1378" s="81"/>
      <c r="AM1378" s="81">
        <v>4.1666666666666664E-2</v>
      </c>
      <c r="AN1378" s="81" t="s">
        <v>1043</v>
      </c>
      <c r="AO1378" s="81">
        <v>4.1666666666666664E-2</v>
      </c>
      <c r="AP1378" s="81" t="s">
        <v>1043</v>
      </c>
      <c r="AQ1378" s="81">
        <v>4.1666666666666664E-2</v>
      </c>
      <c r="AR1378" s="81" t="s">
        <v>37</v>
      </c>
      <c r="AS1378" s="81">
        <v>4.1666666666666664E-2</v>
      </c>
      <c r="AT1378" s="81" t="s">
        <v>37</v>
      </c>
      <c r="AU1378" s="53">
        <v>4.1666666666666699E-2</v>
      </c>
      <c r="AV1378" s="54" t="s">
        <v>37</v>
      </c>
      <c r="AW1378" s="57">
        <f t="shared" si="181"/>
        <v>0.25</v>
      </c>
      <c r="AX1378" s="58" t="s">
        <v>109</v>
      </c>
    </row>
    <row r="1379" spans="1:50" ht="28.5" customHeight="1">
      <c r="A1379" s="66" t="s">
        <v>1174</v>
      </c>
      <c r="B1379" s="39">
        <f t="shared" si="186"/>
        <v>1375</v>
      </c>
      <c r="C1379" s="40">
        <v>46052</v>
      </c>
      <c r="D1379" s="40" t="s">
        <v>80</v>
      </c>
      <c r="E1379" s="40" t="s">
        <v>33</v>
      </c>
      <c r="F1379" s="41">
        <v>565</v>
      </c>
      <c r="G1379" s="42" t="s">
        <v>75</v>
      </c>
      <c r="H1379" s="43" t="str">
        <f>IFERROR(VLOOKUP($J1379,'[9]FROM (3)'!$E$4:$F$230,2,FALSE),"")</f>
        <v>JTCS</v>
      </c>
      <c r="I1379" s="44" t="str">
        <f t="shared" si="185"/>
        <v>Rack, MS</v>
      </c>
      <c r="J1379" s="44" t="str">
        <f t="shared" si="182"/>
        <v>JGC10-003280-40-0</v>
      </c>
      <c r="K1379" s="59" t="str">
        <f t="shared" si="184"/>
        <v>PD26011286</v>
      </c>
      <c r="L1379" s="46" t="str" cm="1">
        <f t="array" ref="L1379">IFERROR(_xlfn.IFS(
    LEN($A1379)-LEN(SUBSTITUTE($A1379,"|",""))=12, RIGHT(A1379, LEN(A1379)-FIND("~", SUBSTITUTE(A1379,"|","~", LEN(A1379)-LEN(SUBSTITUTE(A1379,"|",""))))),
    LEN($A1379)-LEN(SUBSTITUTE($A1379,"|",""))=13, MID($A1379, FIND("~", SUBSTITUTE($A1379,"|","~", 11))+1, FIND("~", SUBSTITUTE($A1379,"|","~", 12))-FIND("~", SUBSTITUTE($A1379,"|","~", 11))-1),
    LEN($A1379)-LEN(SUBSTITUTE($A1379,"|",""))=14, MID($A1379, FIND("~", SUBSTITUTE($A1379,"|","~", 11))+1, FIND("~", SUBSTITUTE($A1379,"|","~", 12))-FIND("~", SUBSTITUTE($A1379,"|","~", 11))-1)
), "")</f>
        <v>E586613</v>
      </c>
      <c r="M1379" s="72" t="str">
        <f t="shared" si="183"/>
        <v>SB010164/2/26</v>
      </c>
      <c r="N1379" s="46" t="str">
        <f t="shared" si="175"/>
        <v/>
      </c>
      <c r="O1379" s="76">
        <v>70</v>
      </c>
      <c r="P1379" s="76">
        <v>875</v>
      </c>
      <c r="Q1379" s="77">
        <v>385</v>
      </c>
      <c r="R1379" s="77">
        <v>772</v>
      </c>
      <c r="S1379" s="77"/>
      <c r="T1379" s="77"/>
      <c r="U1379" s="83"/>
      <c r="V1379" s="83"/>
      <c r="W1379" s="78"/>
      <c r="X1379" s="51">
        <f>IF(A1379="", "", IF(COUNTIFS(C$3:C1378, C1379, D$3:D1378, D1379, G$3:G1378, G1379) &gt; 0, "", "11:00"-AW1379))</f>
        <v>0.31249999999999994</v>
      </c>
      <c r="Y1379" s="79"/>
      <c r="Z1379" s="80">
        <v>2.0833333333333332E-2</v>
      </c>
      <c r="AA1379" s="81" t="s">
        <v>1175</v>
      </c>
      <c r="AB1379" s="81"/>
      <c r="AC1379" s="81"/>
      <c r="AD1379" s="81"/>
      <c r="AE1379" s="81"/>
      <c r="AF1379" s="81"/>
      <c r="AG1379" s="81"/>
      <c r="AH1379" s="82"/>
      <c r="AI1379" s="81"/>
      <c r="AJ1379" s="81"/>
      <c r="AK1379" s="81"/>
      <c r="AL1379" s="81"/>
      <c r="AM1379" s="81"/>
      <c r="AN1379" s="81"/>
      <c r="AO1379" s="81"/>
      <c r="AP1379" s="81"/>
      <c r="AQ1379" s="81">
        <v>4.1666666666666664E-2</v>
      </c>
      <c r="AR1379" s="81" t="s">
        <v>37</v>
      </c>
      <c r="AS1379" s="81">
        <v>4.1666666666666664E-2</v>
      </c>
      <c r="AT1379" s="81" t="s">
        <v>37</v>
      </c>
      <c r="AU1379" s="53">
        <v>4.1666666666666699E-2</v>
      </c>
      <c r="AV1379" s="54" t="s">
        <v>37</v>
      </c>
      <c r="AW1379" s="57">
        <f t="shared" si="181"/>
        <v>0.14583333333333337</v>
      </c>
      <c r="AX1379" s="58" t="s">
        <v>101</v>
      </c>
    </row>
    <row r="1380" spans="1:50" ht="28.5" customHeight="1">
      <c r="A1380" s="66" t="s">
        <v>1176</v>
      </c>
      <c r="B1380" s="39">
        <f t="shared" si="186"/>
        <v>1376</v>
      </c>
      <c r="C1380" s="40">
        <v>46052</v>
      </c>
      <c r="D1380" s="40" t="s">
        <v>80</v>
      </c>
      <c r="E1380" s="40" t="s">
        <v>33</v>
      </c>
      <c r="F1380" s="41">
        <v>565</v>
      </c>
      <c r="G1380" s="42" t="s">
        <v>75</v>
      </c>
      <c r="H1380" s="43" t="str">
        <f>IFERROR(VLOOKUP($J1380,'[9]FROM (3)'!$E$4:$F$230,2,FALSE),"")</f>
        <v>JTCS</v>
      </c>
      <c r="I1380" s="44" t="str">
        <f t="shared" si="185"/>
        <v>Rack, MS</v>
      </c>
      <c r="J1380" s="44" t="str">
        <f t="shared" si="182"/>
        <v>JGC10-003280-40-0</v>
      </c>
      <c r="K1380" s="59" t="str">
        <f t="shared" si="184"/>
        <v>PD26011286</v>
      </c>
      <c r="L1380" s="46" t="str" cm="1">
        <f t="array" ref="L1380">IFERROR(_xlfn.IFS(
    LEN($A1380)-LEN(SUBSTITUTE($A1380,"|",""))=12, RIGHT(A1380, LEN(A1380)-FIND("~", SUBSTITUTE(A1380,"|","~", LEN(A1380)-LEN(SUBSTITUTE(A1380,"|",""))))),
    LEN($A1380)-LEN(SUBSTITUTE($A1380,"|",""))=13, MID($A1380, FIND("~", SUBSTITUTE($A1380,"|","~", 11))+1, FIND("~", SUBSTITUTE($A1380,"|","~", 12))-FIND("~", SUBSTITUTE($A1380,"|","~", 11))-1),
    LEN($A1380)-LEN(SUBSTITUTE($A1380,"|",""))=14, MID($A1380, FIND("~", SUBSTITUTE($A1380,"|","~", 11))+1, FIND("~", SUBSTITUTE($A1380,"|","~", 12))-FIND("~", SUBSTITUTE($A1380,"|","~", 11))-1)
), "")</f>
        <v>E586613</v>
      </c>
      <c r="M1380" s="72" t="str">
        <f t="shared" si="183"/>
        <v>SB010164/3/26</v>
      </c>
      <c r="N1380" s="46" t="str">
        <f t="shared" si="175"/>
        <v/>
      </c>
      <c r="O1380" s="76">
        <v>94</v>
      </c>
      <c r="P1380" s="76">
        <v>1175</v>
      </c>
      <c r="Q1380" s="77">
        <v>507</v>
      </c>
      <c r="R1380" s="77">
        <v>1017</v>
      </c>
      <c r="S1380" s="77"/>
      <c r="T1380" s="77"/>
      <c r="U1380" s="83"/>
      <c r="V1380" s="83"/>
      <c r="W1380" s="78"/>
      <c r="X1380" s="51" t="str">
        <f>IF(A1380="", "", IF(COUNTIFS(C$3:C1379, C1380, D$3:D1379, D1380, G$3:G1379, G1380) &gt; 0, "", "11:00"-AW1380))</f>
        <v/>
      </c>
      <c r="Y1380" s="79"/>
      <c r="Z1380" s="80"/>
      <c r="AA1380" s="81"/>
      <c r="AB1380" s="81"/>
      <c r="AC1380" s="81"/>
      <c r="AD1380" s="81"/>
      <c r="AE1380" s="81"/>
      <c r="AF1380" s="81"/>
      <c r="AG1380" s="81"/>
      <c r="AH1380" s="82"/>
      <c r="AI1380" s="81"/>
      <c r="AJ1380" s="81"/>
      <c r="AK1380" s="81"/>
      <c r="AL1380" s="81"/>
      <c r="AM1380" s="81"/>
      <c r="AN1380" s="81"/>
      <c r="AO1380" s="81"/>
      <c r="AP1380" s="81"/>
      <c r="AQ1380" s="81"/>
      <c r="AR1380" s="81"/>
      <c r="AS1380" s="81"/>
      <c r="AT1380" s="81"/>
      <c r="AU1380" s="53">
        <v>4.1666666666666699E-2</v>
      </c>
      <c r="AV1380" s="54" t="s">
        <v>37</v>
      </c>
      <c r="AW1380" s="57">
        <f t="shared" si="181"/>
        <v>4.1666666666666699E-2</v>
      </c>
      <c r="AX1380" s="58" t="s">
        <v>101</v>
      </c>
    </row>
    <row r="1381" spans="1:50" ht="28.5" customHeight="1">
      <c r="A1381" s="66" t="s">
        <v>1146</v>
      </c>
      <c r="B1381" s="39">
        <f t="shared" si="186"/>
        <v>1377</v>
      </c>
      <c r="C1381" s="40">
        <v>46052</v>
      </c>
      <c r="D1381" s="40" t="s">
        <v>80</v>
      </c>
      <c r="E1381" s="40" t="s">
        <v>33</v>
      </c>
      <c r="F1381" s="41">
        <v>719.6</v>
      </c>
      <c r="G1381" s="42" t="s">
        <v>66</v>
      </c>
      <c r="H1381" s="43" t="str">
        <f>IFERROR(VLOOKUP($J1381,'[9]FROM (3)'!$E$4:$F$230,2,FALSE),"")</f>
        <v>JAMY</v>
      </c>
      <c r="I1381" s="44" t="str">
        <f t="shared" si="185"/>
        <v>RACK BAR</v>
      </c>
      <c r="J1381" s="44" t="str">
        <f t="shared" si="182"/>
        <v>JGD10S000830-51-0</v>
      </c>
      <c r="K1381" s="59" t="str">
        <f t="shared" si="184"/>
        <v>PD26010973</v>
      </c>
      <c r="L1381" s="46" t="str" cm="1">
        <f t="array" ref="L1381">IFERROR(_xlfn.IFS(
    LEN($A1381)-LEN(SUBSTITUTE($A1381,"|",""))=12, RIGHT(A1381, LEN(A1381)-FIND("~", SUBSTITUTE(A1381,"|","~", LEN(A1381)-LEN(SUBSTITUTE(A1381,"|",""))))),
    LEN($A1381)-LEN(SUBSTITUTE($A1381,"|",""))=13, MID($A1381, FIND("~", SUBSTITUTE($A1381,"|","~", 11))+1, FIND("~", SUBSTITUTE($A1381,"|","~", 12))-FIND("~", SUBSTITUTE($A1381,"|","~", 11))-1),
    LEN($A1381)-LEN(SUBSTITUTE($A1381,"|",""))=14, MID($A1381, FIND("~", SUBSTITUTE($A1381,"|","~", 11))+1, FIND("~", SUBSTITUTE($A1381,"|","~", 12))-FIND("~", SUBSTITUTE($A1381,"|","~", 11))-1)
), "")</f>
        <v>E586442</v>
      </c>
      <c r="M1381" s="72" t="str">
        <f t="shared" si="183"/>
        <v>SB010118/1/26</v>
      </c>
      <c r="N1381" s="46" t="str">
        <f t="shared" si="175"/>
        <v/>
      </c>
      <c r="O1381" s="76" t="s">
        <v>35</v>
      </c>
      <c r="P1381" s="76" t="s">
        <v>35</v>
      </c>
      <c r="Q1381" s="77">
        <v>162</v>
      </c>
      <c r="R1381" s="77">
        <v>658</v>
      </c>
      <c r="S1381" s="77"/>
      <c r="T1381" s="77"/>
      <c r="U1381" s="83">
        <v>160</v>
      </c>
      <c r="V1381" s="83">
        <v>10</v>
      </c>
      <c r="W1381" s="78"/>
      <c r="X1381" s="51">
        <f>IF(A1381="", "", IF(COUNTIFS(C$3:C1380, C1381, D$3:D1380, D1381, G$3:G1380, G1381) &gt; 0, "", "11:00"-AW1381))</f>
        <v>0.29166666666666663</v>
      </c>
      <c r="Y1381" s="79"/>
      <c r="Z1381" s="80"/>
      <c r="AA1381" s="81"/>
      <c r="AB1381" s="81"/>
      <c r="AC1381" s="81"/>
      <c r="AD1381" s="81"/>
      <c r="AE1381" s="81"/>
      <c r="AF1381" s="81"/>
      <c r="AG1381" s="81"/>
      <c r="AH1381" s="82"/>
      <c r="AI1381" s="81"/>
      <c r="AJ1381" s="81"/>
      <c r="AK1381" s="81"/>
      <c r="AL1381" s="81"/>
      <c r="AM1381" s="81">
        <v>4.1666666666666664E-2</v>
      </c>
      <c r="AN1381" s="81" t="s">
        <v>67</v>
      </c>
      <c r="AO1381" s="81"/>
      <c r="AP1381" s="81"/>
      <c r="AQ1381" s="81">
        <v>4.1666666666666664E-2</v>
      </c>
      <c r="AR1381" s="81" t="s">
        <v>37</v>
      </c>
      <c r="AS1381" s="81">
        <v>4.1666666666666664E-2</v>
      </c>
      <c r="AT1381" s="81" t="s">
        <v>37</v>
      </c>
      <c r="AU1381" s="53">
        <v>4.1666666666666699E-2</v>
      </c>
      <c r="AV1381" s="54" t="s">
        <v>37</v>
      </c>
      <c r="AW1381" s="57">
        <f t="shared" si="181"/>
        <v>0.16666666666666669</v>
      </c>
      <c r="AX1381" s="58" t="s">
        <v>96</v>
      </c>
    </row>
    <row r="1382" spans="1:50" ht="28.5" customHeight="1">
      <c r="A1382" s="66" t="s">
        <v>1177</v>
      </c>
      <c r="B1382" s="39">
        <f t="shared" si="186"/>
        <v>1378</v>
      </c>
      <c r="C1382" s="40">
        <v>46052</v>
      </c>
      <c r="D1382" s="40" t="s">
        <v>80</v>
      </c>
      <c r="E1382" s="40" t="s">
        <v>33</v>
      </c>
      <c r="F1382" s="41">
        <v>719.6</v>
      </c>
      <c r="G1382" s="42" t="s">
        <v>66</v>
      </c>
      <c r="H1382" s="43" t="str">
        <f>IFERROR(VLOOKUP($J1382,'[9]FROM (3)'!$E$4:$F$230,2,FALSE),"")</f>
        <v>JAMY</v>
      </c>
      <c r="I1382" s="44" t="str">
        <f t="shared" si="185"/>
        <v>RACK BAR</v>
      </c>
      <c r="J1382" s="44" t="str">
        <f t="shared" si="182"/>
        <v>JGD10S000830-51-0</v>
      </c>
      <c r="K1382" s="59" t="str">
        <f t="shared" si="184"/>
        <v>PD26010973</v>
      </c>
      <c r="L1382" s="46" t="str" cm="1">
        <f t="array" ref="L1382">IFERROR(_xlfn.IFS(
    LEN($A1382)-LEN(SUBSTITUTE($A1382,"|",""))=12, RIGHT(A1382, LEN(A1382)-FIND("~", SUBSTITUTE(A1382,"|","~", LEN(A1382)-LEN(SUBSTITUTE(A1382,"|",""))))),
    LEN($A1382)-LEN(SUBSTITUTE($A1382,"|",""))=13, MID($A1382, FIND("~", SUBSTITUTE($A1382,"|","~", 11))+1, FIND("~", SUBSTITUTE($A1382,"|","~", 12))-FIND("~", SUBSTITUTE($A1382,"|","~", 11))-1),
    LEN($A1382)-LEN(SUBSTITUTE($A1382,"|",""))=14, MID($A1382, FIND("~", SUBSTITUTE($A1382,"|","~", 11))+1, FIND("~", SUBSTITUTE($A1382,"|","~", 12))-FIND("~", SUBSTITUTE($A1382,"|","~", 11))-1)
), "")</f>
        <v>E586442</v>
      </c>
      <c r="M1382" s="72" t="str">
        <f t="shared" si="183"/>
        <v>SB010118/3/26</v>
      </c>
      <c r="N1382" s="46" t="str">
        <f t="shared" si="175"/>
        <v/>
      </c>
      <c r="O1382" s="76">
        <v>72</v>
      </c>
      <c r="P1382" s="76">
        <v>1250</v>
      </c>
      <c r="Q1382" s="77">
        <v>288</v>
      </c>
      <c r="R1382" s="77">
        <v>1169</v>
      </c>
      <c r="S1382" s="77"/>
      <c r="T1382" s="77"/>
      <c r="U1382" s="83"/>
      <c r="V1382" s="83"/>
      <c r="W1382" s="78"/>
      <c r="X1382" s="51" t="str">
        <f>IF(A1382="", "", IF(COUNTIFS(C$3:C1381, C1382, D$3:D1381, D1382, G$3:G1381, G1382) &gt; 0, "", "11:00"-AW1382))</f>
        <v/>
      </c>
      <c r="Y1382" s="79"/>
      <c r="Z1382" s="80"/>
      <c r="AA1382" s="81"/>
      <c r="AB1382" s="81"/>
      <c r="AC1382" s="81"/>
      <c r="AD1382" s="81"/>
      <c r="AE1382" s="81"/>
      <c r="AF1382" s="81"/>
      <c r="AG1382" s="81"/>
      <c r="AH1382" s="82"/>
      <c r="AI1382" s="81"/>
      <c r="AJ1382" s="81"/>
      <c r="AK1382" s="81"/>
      <c r="AL1382" s="81"/>
      <c r="AM1382" s="81">
        <v>4.1666666666666664E-2</v>
      </c>
      <c r="AN1382" s="81" t="s">
        <v>67</v>
      </c>
      <c r="AO1382" s="81"/>
      <c r="AP1382" s="81"/>
      <c r="AQ1382" s="81">
        <v>4.1666666666666664E-2</v>
      </c>
      <c r="AR1382" s="81" t="s">
        <v>37</v>
      </c>
      <c r="AS1382" s="81">
        <v>4.1666666666666664E-2</v>
      </c>
      <c r="AT1382" s="81" t="s">
        <v>37</v>
      </c>
      <c r="AU1382" s="53">
        <v>4.1666666666666699E-2</v>
      </c>
      <c r="AV1382" s="54" t="s">
        <v>37</v>
      </c>
      <c r="AW1382" s="57">
        <f t="shared" si="181"/>
        <v>0.16666666666666669</v>
      </c>
      <c r="AX1382" s="58" t="s">
        <v>96</v>
      </c>
    </row>
    <row r="1383" spans="1:50" ht="28.5" customHeight="1">
      <c r="A1383" s="66" t="s">
        <v>1178</v>
      </c>
      <c r="B1383" s="39">
        <f t="shared" si="186"/>
        <v>1379</v>
      </c>
      <c r="C1383" s="40">
        <v>46052</v>
      </c>
      <c r="D1383" s="40" t="s">
        <v>80</v>
      </c>
      <c r="E1383" s="40" t="s">
        <v>33</v>
      </c>
      <c r="F1383" s="41">
        <v>719.6</v>
      </c>
      <c r="G1383" s="42" t="s">
        <v>66</v>
      </c>
      <c r="H1383" s="43" t="str">
        <f>IFERROR(VLOOKUP($J1383,'[9]FROM (3)'!$E$4:$F$230,2,FALSE),"")</f>
        <v>JAMY</v>
      </c>
      <c r="I1383" s="44" t="str">
        <f t="shared" si="185"/>
        <v>RACK BAR</v>
      </c>
      <c r="J1383" s="44" t="str">
        <f t="shared" si="182"/>
        <v>JGD10S000830-51-0</v>
      </c>
      <c r="K1383" s="59" t="str">
        <f t="shared" si="184"/>
        <v>PD26010973</v>
      </c>
      <c r="L1383" s="46" t="str" cm="1">
        <f t="array" ref="L1383">IFERROR(_xlfn.IFS(
    LEN($A1383)-LEN(SUBSTITUTE($A1383,"|",""))=12, RIGHT(A1383, LEN(A1383)-FIND("~", SUBSTITUTE(A1383,"|","~", LEN(A1383)-LEN(SUBSTITUTE(A1383,"|",""))))),
    LEN($A1383)-LEN(SUBSTITUTE($A1383,"|",""))=13, MID($A1383, FIND("~", SUBSTITUTE($A1383,"|","~", 11))+1, FIND("~", SUBSTITUTE($A1383,"|","~", 12))-FIND("~", SUBSTITUTE($A1383,"|","~", 11))-1),
    LEN($A1383)-LEN(SUBSTITUTE($A1383,"|",""))=14, MID($A1383, FIND("~", SUBSTITUTE($A1383,"|","~", 11))+1, FIND("~", SUBSTITUTE($A1383,"|","~", 12))-FIND("~", SUBSTITUTE($A1383,"|","~", 11))-1)
), "")</f>
        <v>E586442</v>
      </c>
      <c r="M1383" s="72" t="str">
        <f t="shared" si="183"/>
        <v>SB010118/2/26</v>
      </c>
      <c r="N1383" s="46" t="str">
        <f t="shared" si="175"/>
        <v/>
      </c>
      <c r="O1383" s="76">
        <v>50</v>
      </c>
      <c r="P1383" s="76">
        <v>868</v>
      </c>
      <c r="Q1383" s="77">
        <v>200</v>
      </c>
      <c r="R1383" s="77">
        <v>812</v>
      </c>
      <c r="S1383" s="77"/>
      <c r="T1383" s="77"/>
      <c r="U1383" s="83"/>
      <c r="V1383" s="83"/>
      <c r="W1383" s="78"/>
      <c r="X1383" s="51" t="str">
        <f>IF(A1383="", "", IF(COUNTIFS(C$3:C1382, C1383, D$3:D1382, D1383, G$3:G1382, G1383) &gt; 0, "", "11:00"-AW1383))</f>
        <v/>
      </c>
      <c r="Y1383" s="79"/>
      <c r="Z1383" s="80"/>
      <c r="AA1383" s="81"/>
      <c r="AB1383" s="81"/>
      <c r="AC1383" s="81"/>
      <c r="AD1383" s="81"/>
      <c r="AE1383" s="81"/>
      <c r="AF1383" s="81"/>
      <c r="AG1383" s="81"/>
      <c r="AH1383" s="82"/>
      <c r="AI1383" s="81"/>
      <c r="AJ1383" s="81"/>
      <c r="AK1383" s="81"/>
      <c r="AL1383" s="81"/>
      <c r="AM1383" s="81"/>
      <c r="AN1383" s="81"/>
      <c r="AO1383" s="81"/>
      <c r="AP1383" s="81"/>
      <c r="AQ1383" s="81"/>
      <c r="AR1383" s="81"/>
      <c r="AS1383" s="81"/>
      <c r="AT1383" s="81"/>
      <c r="AU1383" s="53">
        <v>4.1666666666666699E-2</v>
      </c>
      <c r="AV1383" s="54" t="s">
        <v>37</v>
      </c>
      <c r="AW1383" s="57">
        <f t="shared" si="181"/>
        <v>4.1666666666666699E-2</v>
      </c>
      <c r="AX1383" s="58" t="s">
        <v>96</v>
      </c>
    </row>
    <row r="1384" spans="1:50" ht="28.5" customHeight="1">
      <c r="A1384" s="66" t="s">
        <v>1179</v>
      </c>
      <c r="B1384" s="39">
        <f t="shared" si="186"/>
        <v>1380</v>
      </c>
      <c r="C1384" s="40">
        <v>46052</v>
      </c>
      <c r="D1384" s="40" t="s">
        <v>80</v>
      </c>
      <c r="E1384" s="40" t="s">
        <v>33</v>
      </c>
      <c r="F1384" s="41">
        <v>597.4</v>
      </c>
      <c r="G1384" s="42" t="s">
        <v>66</v>
      </c>
      <c r="H1384" s="43" t="str">
        <f>IFERROR(VLOOKUP($J1384,'[9]FROM (3)'!$E$4:$F$230,2,FALSE),"")</f>
        <v>JTCS</v>
      </c>
      <c r="I1384" s="44" t="str">
        <f t="shared" si="185"/>
        <v>Rack, MS</v>
      </c>
      <c r="J1384" s="44" t="str">
        <f t="shared" si="182"/>
        <v>JGC10-003770-40-0</v>
      </c>
      <c r="K1384" s="59" t="str">
        <f t="shared" si="184"/>
        <v>PD26011285</v>
      </c>
      <c r="L1384" s="46" t="str" cm="1">
        <f t="array" ref="L1384">IFERROR(_xlfn.IFS(
    LEN($A1384)-LEN(SUBSTITUTE($A1384,"|",""))=12, RIGHT(A1384, LEN(A1384)-FIND("~", SUBSTITUTE(A1384,"|","~", LEN(A1384)-LEN(SUBSTITUTE(A1384,"|",""))))),
    LEN($A1384)-LEN(SUBSTITUTE($A1384,"|",""))=13, MID($A1384, FIND("~", SUBSTITUTE($A1384,"|","~", 11))+1, FIND("~", SUBSTITUTE($A1384,"|","~", 12))-FIND("~", SUBSTITUTE($A1384,"|","~", 11))-1),
    LEN($A1384)-LEN(SUBSTITUTE($A1384,"|",""))=14, MID($A1384, FIND("~", SUBSTITUTE($A1384,"|","~", 11))+1, FIND("~", SUBSTITUTE($A1384,"|","~", 12))-FIND("~", SUBSTITUTE($A1384,"|","~", 11))-1)
), "")</f>
        <v>E585970</v>
      </c>
      <c r="M1384" s="72" t="str">
        <f t="shared" si="183"/>
        <v>SB010168/4/26</v>
      </c>
      <c r="N1384" s="46" t="str">
        <f t="shared" si="175"/>
        <v/>
      </c>
      <c r="O1384" s="76">
        <v>80</v>
      </c>
      <c r="P1384" s="76">
        <v>900</v>
      </c>
      <c r="Q1384" s="77">
        <v>123</v>
      </c>
      <c r="R1384" s="77">
        <v>261</v>
      </c>
      <c r="S1384" s="77"/>
      <c r="T1384" s="77"/>
      <c r="U1384" s="83"/>
      <c r="V1384" s="83"/>
      <c r="W1384" s="78"/>
      <c r="X1384" s="51" t="str">
        <f>IF(A1384="", "", IF(COUNTIFS(C$3:C1383, C1384, D$3:D1383, D1384, G$3:G1383, G1384) &gt; 0, "", "11:00"-AW1384))</f>
        <v/>
      </c>
      <c r="Y1384" s="79"/>
      <c r="Z1384" s="80"/>
      <c r="AA1384" s="81"/>
      <c r="AB1384" s="81"/>
      <c r="AC1384" s="81"/>
      <c r="AD1384" s="81"/>
      <c r="AE1384" s="81"/>
      <c r="AF1384" s="81"/>
      <c r="AG1384" s="81"/>
      <c r="AH1384" s="82"/>
      <c r="AI1384" s="81"/>
      <c r="AJ1384" s="81"/>
      <c r="AK1384" s="81"/>
      <c r="AL1384" s="81"/>
      <c r="AM1384" s="81"/>
      <c r="AN1384" s="81"/>
      <c r="AO1384" s="81"/>
      <c r="AP1384" s="81"/>
      <c r="AQ1384" s="81"/>
      <c r="AR1384" s="81"/>
      <c r="AS1384" s="81"/>
      <c r="AT1384" s="81"/>
      <c r="AU1384" s="53">
        <v>4.1666666666666699E-2</v>
      </c>
      <c r="AV1384" s="54" t="s">
        <v>37</v>
      </c>
      <c r="AW1384" s="57">
        <f t="shared" ref="AW1384:AW1447" si="187">SUM(Z1384,AB1384,AD1384,AF1384,AI1384,AK1384,AM1384,AO1384,AQ1384,AS1384,AU1384)</f>
        <v>4.1666666666666699E-2</v>
      </c>
      <c r="AX1384" s="58" t="s">
        <v>96</v>
      </c>
    </row>
    <row r="1385" spans="1:50" ht="28.5" customHeight="1">
      <c r="A1385" s="66" t="s">
        <v>1163</v>
      </c>
      <c r="B1385" s="39">
        <f t="shared" si="186"/>
        <v>1381</v>
      </c>
      <c r="C1385" s="40">
        <v>46052</v>
      </c>
      <c r="D1385" s="40" t="s">
        <v>80</v>
      </c>
      <c r="E1385" s="40" t="s">
        <v>33</v>
      </c>
      <c r="F1385" s="41">
        <v>69.5</v>
      </c>
      <c r="G1385" s="42" t="s">
        <v>135</v>
      </c>
      <c r="H1385" s="43" t="str">
        <f>IFERROR(VLOOKUP($J1385,'[9]FROM (3)'!$E$4:$F$230,2,FALSE),"")</f>
        <v>DNTH</v>
      </c>
      <c r="I1385" s="44" t="str">
        <f t="shared" si="185"/>
        <v>Pole Core</v>
      </c>
      <c r="J1385" s="44" t="str">
        <f t="shared" si="182"/>
        <v>TG028152-5180</v>
      </c>
      <c r="K1385" s="59" t="str">
        <f t="shared" si="184"/>
        <v>PD26011211</v>
      </c>
      <c r="L1385" s="46" t="str" cm="1">
        <f t="array" ref="L1385">IFERROR(_xlfn.IFS(
    LEN($A1385)-LEN(SUBSTITUTE($A1385,"|",""))=12, RIGHT(A1385, LEN(A1385)-FIND("~", SUBSTITUTE(A1385,"|","~", LEN(A1385)-LEN(SUBSTITUTE(A1385,"|",""))))),
    LEN($A1385)-LEN(SUBSTITUTE($A1385,"|",""))=13, MID($A1385, FIND("~", SUBSTITUTE($A1385,"|","~", 11))+1, FIND("~", SUBSTITUTE($A1385,"|","~", 12))-FIND("~", SUBSTITUTE($A1385,"|","~", 11))-1),
    LEN($A1385)-LEN(SUBSTITUTE($A1385,"|",""))=14, MID($A1385, FIND("~", SUBSTITUTE($A1385,"|","~", 11))+1, FIND("~", SUBSTITUTE($A1385,"|","~", 12))-FIND("~", SUBSTITUTE($A1385,"|","~", 11))-1)
), "")</f>
        <v>KS005B2825</v>
      </c>
      <c r="M1385" s="72" t="str">
        <f t="shared" si="183"/>
        <v>SB010170/2/26</v>
      </c>
      <c r="N1385" s="46" t="str">
        <f t="shared" si="175"/>
        <v/>
      </c>
      <c r="O1385" s="76"/>
      <c r="P1385" s="76"/>
      <c r="Q1385" s="77">
        <v>9693</v>
      </c>
      <c r="R1385" s="77">
        <v>674</v>
      </c>
      <c r="S1385" s="77"/>
      <c r="T1385" s="77"/>
      <c r="U1385" s="83">
        <v>133</v>
      </c>
      <c r="V1385" s="83" t="s">
        <v>35</v>
      </c>
      <c r="W1385" s="78"/>
      <c r="X1385" s="51">
        <f>IF(A1385="", "", IF(COUNTIFS(C$3:C1384, C1385, D$3:D1384, D1385, G$3:G1384, G1385) &gt; 0, "", "11:00"-AW1385))</f>
        <v>0.33333333333333326</v>
      </c>
      <c r="Y1385" s="79"/>
      <c r="Z1385" s="80"/>
      <c r="AA1385" s="81"/>
      <c r="AB1385" s="81"/>
      <c r="AC1385" s="81"/>
      <c r="AD1385" s="81"/>
      <c r="AE1385" s="81"/>
      <c r="AF1385" s="81"/>
      <c r="AG1385" s="81"/>
      <c r="AH1385" s="82"/>
      <c r="AI1385" s="81"/>
      <c r="AJ1385" s="81"/>
      <c r="AK1385" s="81"/>
      <c r="AL1385" s="81"/>
      <c r="AM1385" s="81"/>
      <c r="AN1385" s="81"/>
      <c r="AO1385" s="81"/>
      <c r="AP1385" s="81"/>
      <c r="AQ1385" s="81">
        <v>4.1666666666666664E-2</v>
      </c>
      <c r="AR1385" s="81" t="s">
        <v>37</v>
      </c>
      <c r="AS1385" s="81">
        <v>4.1666666666666664E-2</v>
      </c>
      <c r="AT1385" s="81" t="s">
        <v>37</v>
      </c>
      <c r="AU1385" s="53">
        <v>4.1666666666666699E-2</v>
      </c>
      <c r="AV1385" s="54" t="s">
        <v>37</v>
      </c>
      <c r="AW1385" s="57">
        <f t="shared" si="187"/>
        <v>0.12500000000000003</v>
      </c>
      <c r="AX1385" s="58" t="s">
        <v>113</v>
      </c>
    </row>
    <row r="1386" spans="1:50" ht="28.5" customHeight="1">
      <c r="A1386" s="66" t="s">
        <v>1151</v>
      </c>
      <c r="B1386" s="39">
        <f t="shared" si="186"/>
        <v>1382</v>
      </c>
      <c r="C1386" s="40">
        <v>46052</v>
      </c>
      <c r="D1386" s="40" t="s">
        <v>80</v>
      </c>
      <c r="E1386" s="40" t="s">
        <v>33</v>
      </c>
      <c r="F1386" s="41">
        <v>721.5</v>
      </c>
      <c r="G1386" s="42" t="s">
        <v>85</v>
      </c>
      <c r="H1386" s="43" t="str">
        <f>IFERROR(VLOOKUP($J1386,'[9]FROM (3)'!$E$4:$F$230,2,FALSE),"")</f>
        <v>JCTTH</v>
      </c>
      <c r="I1386" s="44" t="str">
        <f t="shared" si="185"/>
        <v>RACK POWER STEERING</v>
      </c>
      <c r="J1386" s="44" t="str">
        <f t="shared" si="182"/>
        <v>2-30JG-0711</v>
      </c>
      <c r="K1386" s="59" t="str">
        <f t="shared" si="184"/>
        <v>PD26010795</v>
      </c>
      <c r="L1386" s="46" t="str" cm="1">
        <f t="array" ref="L1386">IFERROR(_xlfn.IFS(
    LEN($A1386)-LEN(SUBSTITUTE($A1386,"|",""))=12, RIGHT(A1386, LEN(A1386)-FIND("~", SUBSTITUTE(A1386,"|","~", LEN(A1386)-LEN(SUBSTITUTE(A1386,"|",""))))),
    LEN($A1386)-LEN(SUBSTITUTE($A1386,"|",""))=13, MID($A1386, FIND("~", SUBSTITUTE($A1386,"|","~", 11))+1, FIND("~", SUBSTITUTE($A1386,"|","~", 12))-FIND("~", SUBSTITUTE($A1386,"|","~", 11))-1),
    LEN($A1386)-LEN(SUBSTITUTE($A1386,"|",""))=14, MID($A1386, FIND("~", SUBSTITUTE($A1386,"|","~", 11))+1, FIND("~", SUBSTITUTE($A1386,"|","~", 12))-FIND("~", SUBSTITUTE($A1386,"|","~", 11))-1)
), "")</f>
        <v>E586102</v>
      </c>
      <c r="M1386" s="72" t="str">
        <f t="shared" si="183"/>
        <v>SB010095/4/26</v>
      </c>
      <c r="N1386" s="46" t="str">
        <f t="shared" si="175"/>
        <v/>
      </c>
      <c r="O1386" s="76" t="s">
        <v>35</v>
      </c>
      <c r="P1386" s="76" t="s">
        <v>35</v>
      </c>
      <c r="Q1386" s="77">
        <v>166</v>
      </c>
      <c r="R1386" s="77">
        <v>681</v>
      </c>
      <c r="S1386" s="77">
        <v>1</v>
      </c>
      <c r="T1386" s="77" t="s">
        <v>167</v>
      </c>
      <c r="U1386" s="83">
        <v>142</v>
      </c>
      <c r="V1386" s="83">
        <v>9</v>
      </c>
      <c r="W1386" s="78"/>
      <c r="X1386" s="51">
        <f>IF(A1386="", "", IF(COUNTIFS(C$3:C1385, C1386, D$3:D1385, D1386, G$3:G1385, G1386) &gt; 0, "", "11:00"-AW1386))</f>
        <v>0.31249999999999994</v>
      </c>
      <c r="Y1386" s="79"/>
      <c r="Z1386" s="80">
        <v>2.0833333333333332E-2</v>
      </c>
      <c r="AA1386" s="81" t="s">
        <v>1175</v>
      </c>
      <c r="AB1386" s="81"/>
      <c r="AC1386" s="81"/>
      <c r="AD1386" s="81"/>
      <c r="AE1386" s="81"/>
      <c r="AF1386" s="81"/>
      <c r="AG1386" s="81"/>
      <c r="AH1386" s="82"/>
      <c r="AI1386" s="81"/>
      <c r="AJ1386" s="81"/>
      <c r="AK1386" s="81"/>
      <c r="AL1386" s="81"/>
      <c r="AM1386" s="81"/>
      <c r="AN1386" s="81"/>
      <c r="AO1386" s="81"/>
      <c r="AP1386" s="81"/>
      <c r="AQ1386" s="81">
        <v>4.1666666666666664E-2</v>
      </c>
      <c r="AR1386" s="81" t="s">
        <v>37</v>
      </c>
      <c r="AS1386" s="81">
        <v>4.1666666666666664E-2</v>
      </c>
      <c r="AT1386" s="81" t="s">
        <v>37</v>
      </c>
      <c r="AU1386" s="53">
        <v>4.1666666666666699E-2</v>
      </c>
      <c r="AV1386" s="54" t="s">
        <v>37</v>
      </c>
      <c r="AW1386" s="57">
        <f t="shared" si="187"/>
        <v>0.14583333333333337</v>
      </c>
      <c r="AX1386" s="58" t="s">
        <v>86</v>
      </c>
    </row>
    <row r="1387" spans="1:50" ht="28.5" customHeight="1">
      <c r="A1387" s="66" t="s">
        <v>1180</v>
      </c>
      <c r="B1387" s="39">
        <f t="shared" si="186"/>
        <v>1383</v>
      </c>
      <c r="C1387" s="40">
        <v>46052</v>
      </c>
      <c r="D1387" s="40" t="s">
        <v>80</v>
      </c>
      <c r="E1387" s="40" t="s">
        <v>33</v>
      </c>
      <c r="F1387" s="41">
        <v>721.5</v>
      </c>
      <c r="G1387" s="42" t="s">
        <v>85</v>
      </c>
      <c r="H1387" s="43" t="str">
        <f>IFERROR(VLOOKUP($J1387,'[9]FROM (3)'!$E$4:$F$230,2,FALSE),"")</f>
        <v>JCTTH</v>
      </c>
      <c r="I1387" s="44" t="str">
        <f t="shared" si="185"/>
        <v>RACK POWER STEERING</v>
      </c>
      <c r="J1387" s="44" t="str">
        <f t="shared" si="182"/>
        <v>2-30JG-0711</v>
      </c>
      <c r="K1387" s="59" t="str">
        <f t="shared" si="184"/>
        <v>PD26010793</v>
      </c>
      <c r="L1387" s="46" t="str" cm="1">
        <f t="array" ref="L1387">IFERROR(_xlfn.IFS(
    LEN($A1387)-LEN(SUBSTITUTE($A1387,"|",""))=12, RIGHT(A1387, LEN(A1387)-FIND("~", SUBSTITUTE(A1387,"|","~", LEN(A1387)-LEN(SUBSTITUTE(A1387,"|",""))))),
    LEN($A1387)-LEN(SUBSTITUTE($A1387,"|",""))=13, MID($A1387, FIND("~", SUBSTITUTE($A1387,"|","~", 11))+1, FIND("~", SUBSTITUTE($A1387,"|","~", 12))-FIND("~", SUBSTITUTE($A1387,"|","~", 11))-1),
    LEN($A1387)-LEN(SUBSTITUTE($A1387,"|",""))=14, MID($A1387, FIND("~", SUBSTITUTE($A1387,"|","~", 11))+1, FIND("~", SUBSTITUTE($A1387,"|","~", 12))-FIND("~", SUBSTITUTE($A1387,"|","~", 11))-1)
), "")</f>
        <v>E586102</v>
      </c>
      <c r="M1387" s="72" t="str">
        <f t="shared" si="183"/>
        <v>SB010090/6/26</v>
      </c>
      <c r="N1387" s="46" t="str">
        <f t="shared" si="175"/>
        <v/>
      </c>
      <c r="O1387" s="76">
        <v>50</v>
      </c>
      <c r="P1387" s="76">
        <v>878</v>
      </c>
      <c r="Q1387" s="77">
        <v>200</v>
      </c>
      <c r="R1387" s="77">
        <v>820</v>
      </c>
      <c r="S1387" s="77" t="s">
        <v>35</v>
      </c>
      <c r="T1387" s="77"/>
      <c r="U1387" s="83"/>
      <c r="V1387" s="83"/>
      <c r="W1387" s="78"/>
      <c r="X1387" s="51" t="str">
        <f>IF(A1387="", "", IF(COUNTIFS(C$3:C1386, C1387, D$3:D1386, D1387, G$3:G1386, G1387) &gt; 0, "", "11:00"-AW1387))</f>
        <v/>
      </c>
      <c r="Y1387" s="79"/>
      <c r="Z1387" s="80"/>
      <c r="AA1387" s="81"/>
      <c r="AB1387" s="81"/>
      <c r="AC1387" s="81"/>
      <c r="AD1387" s="81"/>
      <c r="AE1387" s="81"/>
      <c r="AF1387" s="81"/>
      <c r="AG1387" s="81"/>
      <c r="AH1387" s="82"/>
      <c r="AI1387" s="81"/>
      <c r="AJ1387" s="81"/>
      <c r="AK1387" s="81"/>
      <c r="AL1387" s="81"/>
      <c r="AM1387" s="81"/>
      <c r="AN1387" s="81"/>
      <c r="AO1387" s="81"/>
      <c r="AP1387" s="81"/>
      <c r="AQ1387" s="81"/>
      <c r="AR1387" s="81"/>
      <c r="AS1387" s="81"/>
      <c r="AT1387" s="81"/>
      <c r="AU1387" s="53">
        <v>4.1666666666666699E-2</v>
      </c>
      <c r="AV1387" s="54" t="s">
        <v>37</v>
      </c>
      <c r="AW1387" s="57">
        <f t="shared" si="187"/>
        <v>4.1666666666666699E-2</v>
      </c>
      <c r="AX1387" s="58" t="s">
        <v>86</v>
      </c>
    </row>
    <row r="1388" spans="1:50" ht="28.5" customHeight="1">
      <c r="A1388" s="66" t="s">
        <v>1181</v>
      </c>
      <c r="B1388" s="39">
        <f t="shared" si="186"/>
        <v>1384</v>
      </c>
      <c r="C1388" s="40">
        <v>46052</v>
      </c>
      <c r="D1388" s="40" t="s">
        <v>80</v>
      </c>
      <c r="E1388" s="40" t="s">
        <v>33</v>
      </c>
      <c r="F1388" s="41">
        <v>721.5</v>
      </c>
      <c r="G1388" s="42" t="s">
        <v>85</v>
      </c>
      <c r="H1388" s="43" t="str">
        <f>IFERROR(VLOOKUP($J1388,'[9]FROM (3)'!$E$4:$F$230,2,FALSE),"")</f>
        <v>JCTTH</v>
      </c>
      <c r="I1388" s="44" t="str">
        <f t="shared" si="185"/>
        <v>RACK POWER STEERING</v>
      </c>
      <c r="J1388" s="44" t="str">
        <f t="shared" si="182"/>
        <v>2-30JG-0711</v>
      </c>
      <c r="K1388" s="59" t="str">
        <f t="shared" si="184"/>
        <v>PD26010793</v>
      </c>
      <c r="L1388" s="46" t="str" cm="1">
        <f t="array" ref="L1388">IFERROR(_xlfn.IFS(
    LEN($A1388)-LEN(SUBSTITUTE($A1388,"|",""))=12, RIGHT(A1388, LEN(A1388)-FIND("~", SUBSTITUTE(A1388,"|","~", LEN(A1388)-LEN(SUBSTITUTE(A1388,"|",""))))),
    LEN($A1388)-LEN(SUBSTITUTE($A1388,"|",""))=13, MID($A1388, FIND("~", SUBSTITUTE($A1388,"|","~", 11))+1, FIND("~", SUBSTITUTE($A1388,"|","~", 12))-FIND("~", SUBSTITUTE($A1388,"|","~", 11))-1),
    LEN($A1388)-LEN(SUBSTITUTE($A1388,"|",""))=14, MID($A1388, FIND("~", SUBSTITUTE($A1388,"|","~", 11))+1, FIND("~", SUBSTITUTE($A1388,"|","~", 12))-FIND("~", SUBSTITUTE($A1388,"|","~", 11))-1)
), "")</f>
        <v>E586102</v>
      </c>
      <c r="M1388" s="72" t="str">
        <f t="shared" si="183"/>
        <v>SB010090/5/26</v>
      </c>
      <c r="N1388" s="46" t="str">
        <f t="shared" si="175"/>
        <v/>
      </c>
      <c r="O1388" s="76">
        <v>50</v>
      </c>
      <c r="P1388" s="76">
        <v>878</v>
      </c>
      <c r="Q1388" s="77">
        <v>200</v>
      </c>
      <c r="R1388" s="77">
        <v>820</v>
      </c>
      <c r="S1388" s="77" t="s">
        <v>35</v>
      </c>
      <c r="T1388" s="77"/>
      <c r="U1388" s="83"/>
      <c r="V1388" s="83"/>
      <c r="W1388" s="78"/>
      <c r="X1388" s="51" t="str">
        <f>IF(A1388="", "", IF(COUNTIFS(C$3:C1387, C1388, D$3:D1387, D1388, G$3:G1387, G1388) &gt; 0, "", "11:00"-AW1388))</f>
        <v/>
      </c>
      <c r="Y1388" s="79"/>
      <c r="Z1388" s="80"/>
      <c r="AA1388" s="81"/>
      <c r="AB1388" s="81"/>
      <c r="AC1388" s="81"/>
      <c r="AD1388" s="81"/>
      <c r="AE1388" s="81"/>
      <c r="AF1388" s="81"/>
      <c r="AG1388" s="81"/>
      <c r="AH1388" s="82"/>
      <c r="AI1388" s="81"/>
      <c r="AJ1388" s="81"/>
      <c r="AK1388" s="81"/>
      <c r="AL1388" s="81"/>
      <c r="AM1388" s="81"/>
      <c r="AN1388" s="81"/>
      <c r="AO1388" s="81"/>
      <c r="AP1388" s="81"/>
      <c r="AQ1388" s="81"/>
      <c r="AR1388" s="81"/>
      <c r="AS1388" s="81"/>
      <c r="AT1388" s="81"/>
      <c r="AU1388" s="53">
        <v>4.1666666666666699E-2</v>
      </c>
      <c r="AV1388" s="54" t="s">
        <v>37</v>
      </c>
      <c r="AW1388" s="57">
        <f t="shared" si="187"/>
        <v>4.1666666666666699E-2</v>
      </c>
      <c r="AX1388" s="58" t="s">
        <v>86</v>
      </c>
    </row>
    <row r="1389" spans="1:50" ht="28.5" customHeight="1">
      <c r="A1389" s="66" t="s">
        <v>1182</v>
      </c>
      <c r="B1389" s="39">
        <f t="shared" si="186"/>
        <v>1385</v>
      </c>
      <c r="C1389" s="40">
        <v>46052</v>
      </c>
      <c r="D1389" s="40" t="s">
        <v>80</v>
      </c>
      <c r="E1389" s="40" t="s">
        <v>33</v>
      </c>
      <c r="F1389" s="41">
        <v>721.5</v>
      </c>
      <c r="G1389" s="42" t="s">
        <v>85</v>
      </c>
      <c r="H1389" s="43" t="str">
        <f>IFERROR(VLOOKUP($J1389,'[9]FROM (3)'!$E$4:$F$230,2,FALSE),"")</f>
        <v>JCTTH</v>
      </c>
      <c r="I1389" s="44" t="str">
        <f t="shared" si="185"/>
        <v>RACK POWER STEERING</v>
      </c>
      <c r="J1389" s="44" t="str">
        <f t="shared" si="182"/>
        <v>2-30JG-0711</v>
      </c>
      <c r="K1389" s="59" t="str">
        <f t="shared" si="184"/>
        <v>PD26010793</v>
      </c>
      <c r="L1389" s="46" t="str" cm="1">
        <f t="array" ref="L1389">IFERROR(_xlfn.IFS(
    LEN($A1389)-LEN(SUBSTITUTE($A1389,"|",""))=12, RIGHT(A1389, LEN(A1389)-FIND("~", SUBSTITUTE(A1389,"|","~", LEN(A1389)-LEN(SUBSTITUTE(A1389,"|",""))))),
    LEN($A1389)-LEN(SUBSTITUTE($A1389,"|",""))=13, MID($A1389, FIND("~", SUBSTITUTE($A1389,"|","~", 11))+1, FIND("~", SUBSTITUTE($A1389,"|","~", 12))-FIND("~", SUBSTITUTE($A1389,"|","~", 11))-1),
    LEN($A1389)-LEN(SUBSTITUTE($A1389,"|",""))=14, MID($A1389, FIND("~", SUBSTITUTE($A1389,"|","~", 11))+1, FIND("~", SUBSTITUTE($A1389,"|","~", 12))-FIND("~", SUBSTITUTE($A1389,"|","~", 11))-1)
), "")</f>
        <v>E586102</v>
      </c>
      <c r="M1389" s="72" t="str">
        <f t="shared" si="183"/>
        <v>SB010090/4/26</v>
      </c>
      <c r="N1389" s="46" t="str">
        <f t="shared" si="175"/>
        <v/>
      </c>
      <c r="O1389" s="76">
        <v>50</v>
      </c>
      <c r="P1389" s="76">
        <v>878</v>
      </c>
      <c r="Q1389" s="77">
        <v>199</v>
      </c>
      <c r="R1389" s="77">
        <v>816</v>
      </c>
      <c r="S1389" s="77">
        <v>1</v>
      </c>
      <c r="T1389" s="77" t="s">
        <v>167</v>
      </c>
      <c r="U1389" s="83">
        <v>142</v>
      </c>
      <c r="V1389" s="83">
        <v>9</v>
      </c>
      <c r="W1389" s="78"/>
      <c r="X1389" s="51" t="str">
        <f>IF(A1389="", "", IF(COUNTIFS(C$3:C1388, C1389, D$3:D1388, D1389, G$3:G1388, G1389) &gt; 0, "", "11:00"-AW1389))</f>
        <v/>
      </c>
      <c r="Y1389" s="79"/>
      <c r="Z1389" s="80"/>
      <c r="AA1389" s="81"/>
      <c r="AB1389" s="81"/>
      <c r="AC1389" s="81"/>
      <c r="AD1389" s="81"/>
      <c r="AE1389" s="81"/>
      <c r="AF1389" s="81"/>
      <c r="AG1389" s="81"/>
      <c r="AH1389" s="82"/>
      <c r="AI1389" s="81"/>
      <c r="AJ1389" s="81"/>
      <c r="AK1389" s="81"/>
      <c r="AL1389" s="81"/>
      <c r="AM1389" s="81"/>
      <c r="AN1389" s="81"/>
      <c r="AO1389" s="81"/>
      <c r="AP1389" s="81"/>
      <c r="AQ1389" s="81"/>
      <c r="AR1389" s="81"/>
      <c r="AS1389" s="81"/>
      <c r="AT1389" s="81"/>
      <c r="AU1389" s="53">
        <v>4.1666666666666699E-2</v>
      </c>
      <c r="AV1389" s="54" t="s">
        <v>37</v>
      </c>
      <c r="AW1389" s="57">
        <f t="shared" si="187"/>
        <v>4.1666666666666699E-2</v>
      </c>
      <c r="AX1389" s="58" t="s">
        <v>86</v>
      </c>
    </row>
    <row r="1390" spans="1:50" ht="28.5" customHeight="1">
      <c r="A1390" s="66" t="s">
        <v>1183</v>
      </c>
      <c r="B1390" s="39">
        <f t="shared" si="186"/>
        <v>1386</v>
      </c>
      <c r="C1390" s="40">
        <v>46052</v>
      </c>
      <c r="D1390" s="40" t="s">
        <v>80</v>
      </c>
      <c r="E1390" s="40" t="s">
        <v>33</v>
      </c>
      <c r="F1390" s="41">
        <v>721.5</v>
      </c>
      <c r="G1390" s="42" t="s">
        <v>85</v>
      </c>
      <c r="H1390" s="43" t="str">
        <f>IFERROR(VLOOKUP($J1390,'[9]FROM (3)'!$E$4:$F$230,2,FALSE),"")</f>
        <v>JCTTH</v>
      </c>
      <c r="I1390" s="44" t="str">
        <f t="shared" si="185"/>
        <v>RACK POWER STEERING</v>
      </c>
      <c r="J1390" s="44" t="str">
        <f t="shared" si="182"/>
        <v>2-30JG-0711</v>
      </c>
      <c r="K1390" s="59" t="str">
        <f t="shared" si="184"/>
        <v>PD26010797</v>
      </c>
      <c r="L1390" s="46" t="str" cm="1">
        <f t="array" ref="L1390">IFERROR(_xlfn.IFS(
    LEN($A1390)-LEN(SUBSTITUTE($A1390,"|",""))=12, RIGHT(A1390, LEN(A1390)-FIND("~", SUBSTITUTE(A1390,"|","~", LEN(A1390)-LEN(SUBSTITUTE(A1390,"|",""))))),
    LEN($A1390)-LEN(SUBSTITUTE($A1390,"|",""))=13, MID($A1390, FIND("~", SUBSTITUTE($A1390,"|","~", 11))+1, FIND("~", SUBSTITUTE($A1390,"|","~", 12))-FIND("~", SUBSTITUTE($A1390,"|","~", 11))-1),
    LEN($A1390)-LEN(SUBSTITUTE($A1390,"|",""))=14, MID($A1390, FIND("~", SUBSTITUTE($A1390,"|","~", 11))+1, FIND("~", SUBSTITUTE($A1390,"|","~", 12))-FIND("~", SUBSTITUTE($A1390,"|","~", 11))-1)
), "")</f>
        <v>E586102</v>
      </c>
      <c r="M1390" s="72" t="str">
        <f t="shared" si="183"/>
        <v>SB010098/3/26</v>
      </c>
      <c r="N1390" s="46" t="str">
        <f t="shared" si="175"/>
        <v/>
      </c>
      <c r="O1390" s="76">
        <v>50</v>
      </c>
      <c r="P1390" s="76">
        <v>878</v>
      </c>
      <c r="Q1390" s="77">
        <v>56</v>
      </c>
      <c r="R1390" s="77">
        <v>230</v>
      </c>
      <c r="S1390" s="77" t="s">
        <v>35</v>
      </c>
      <c r="T1390" s="77"/>
      <c r="U1390" s="83"/>
      <c r="V1390" s="83"/>
      <c r="W1390" s="78"/>
      <c r="X1390" s="51" t="str">
        <f>IF(A1390="", "", IF(COUNTIFS(C$3:C1389, C1390, D$3:D1389, D1390, G$3:G1389, G1390) &gt; 0, "", "11:00"-AW1390))</f>
        <v/>
      </c>
      <c r="Y1390" s="79"/>
      <c r="Z1390" s="80"/>
      <c r="AA1390" s="81"/>
      <c r="AB1390" s="81"/>
      <c r="AC1390" s="81"/>
      <c r="AD1390" s="81"/>
      <c r="AE1390" s="81"/>
      <c r="AF1390" s="81"/>
      <c r="AG1390" s="81"/>
      <c r="AH1390" s="82"/>
      <c r="AI1390" s="81"/>
      <c r="AJ1390" s="81"/>
      <c r="AK1390" s="81"/>
      <c r="AL1390" s="81"/>
      <c r="AM1390" s="81"/>
      <c r="AN1390" s="81"/>
      <c r="AO1390" s="81"/>
      <c r="AP1390" s="81"/>
      <c r="AQ1390" s="81"/>
      <c r="AR1390" s="81"/>
      <c r="AS1390" s="81"/>
      <c r="AT1390" s="81"/>
      <c r="AU1390" s="53">
        <v>4.1666666666666699E-2</v>
      </c>
      <c r="AV1390" s="54" t="s">
        <v>37</v>
      </c>
      <c r="AW1390" s="57">
        <f t="shared" si="187"/>
        <v>4.1666666666666699E-2</v>
      </c>
      <c r="AX1390" s="58" t="s">
        <v>86</v>
      </c>
    </row>
    <row r="1391" spans="1:50" ht="28.5" customHeight="1">
      <c r="A1391" s="66" t="s">
        <v>1184</v>
      </c>
      <c r="B1391" s="39">
        <f t="shared" si="186"/>
        <v>1387</v>
      </c>
      <c r="C1391" s="40">
        <v>46052</v>
      </c>
      <c r="D1391" s="40" t="s">
        <v>80</v>
      </c>
      <c r="E1391" s="40" t="s">
        <v>33</v>
      </c>
      <c r="F1391" s="41">
        <v>191</v>
      </c>
      <c r="G1391" s="42" t="s">
        <v>589</v>
      </c>
      <c r="H1391" s="43" t="str">
        <f>IFERROR(VLOOKUP($J1391,'[9]FROM (3)'!$E$4:$F$230,2,FALSE),"")</f>
        <v/>
      </c>
      <c r="I1391" s="44" t="str">
        <f t="shared" si="185"/>
        <v>2528S0250C</v>
      </c>
      <c r="J1391" s="44" t="str">
        <f t="shared" si="182"/>
        <v>STG.SHAFT (2528S0250C)</v>
      </c>
      <c r="K1391" s="59" t="str">
        <f t="shared" si="184"/>
        <v>PD26010974</v>
      </c>
      <c r="L1391" s="46" t="str" cm="1">
        <f t="array" ref="L1391">IFERROR(_xlfn.IFS(
    LEN($A1391)-LEN(SUBSTITUTE($A1391,"|",""))=12, RIGHT(A1391, LEN(A1391)-FIND("~", SUBSTITUTE(A1391,"|","~", LEN(A1391)-LEN(SUBSTITUTE(A1391,"|",""))))),
    LEN($A1391)-LEN(SUBSTITUTE($A1391,"|",""))=13, MID($A1391, FIND("~", SUBSTITUTE($A1391,"|","~", 11))+1, FIND("~", SUBSTITUTE($A1391,"|","~", 12))-FIND("~", SUBSTITUTE($A1391,"|","~", 11))-1),
    LEN($A1391)-LEN(SUBSTITUTE($A1391,"|",""))=14, MID($A1391, FIND("~", SUBSTITUTE($A1391,"|","~", 11))+1, FIND("~", SUBSTITUTE($A1391,"|","~", 12))-FIND("~", SUBSTITUTE($A1391,"|","~", 11))-1)
), "")</f>
        <v>E484056</v>
      </c>
      <c r="M1391" s="72" t="str">
        <f t="shared" si="183"/>
        <v>TSK2</v>
      </c>
      <c r="N1391" s="46" t="str">
        <f t="shared" si="175"/>
        <v>FP010298/4/26</v>
      </c>
      <c r="O1391" s="76">
        <v>800</v>
      </c>
      <c r="P1391" s="76">
        <v>340</v>
      </c>
      <c r="Q1391" s="77">
        <v>800</v>
      </c>
      <c r="R1391" s="77">
        <v>340</v>
      </c>
      <c r="S1391" s="77"/>
      <c r="T1391" s="77"/>
      <c r="U1391" s="83"/>
      <c r="V1391" s="83"/>
      <c r="W1391" s="78"/>
      <c r="X1391" s="51">
        <f>IF(A1391="", "", IF(COUNTIFS(C$3:C1390, C1391, D$3:D1390, D1391, G$3:G1390, G1391) &gt; 0, "", "11:00"-AW1391))</f>
        <v>0.33333333333333326</v>
      </c>
      <c r="Y1391" s="79"/>
      <c r="Z1391" s="80"/>
      <c r="AA1391" s="81"/>
      <c r="AB1391" s="81"/>
      <c r="AC1391" s="81"/>
      <c r="AD1391" s="81"/>
      <c r="AE1391" s="81"/>
      <c r="AF1391" s="81"/>
      <c r="AG1391" s="81"/>
      <c r="AH1391" s="82"/>
      <c r="AI1391" s="81"/>
      <c r="AJ1391" s="81"/>
      <c r="AK1391" s="81"/>
      <c r="AL1391" s="81"/>
      <c r="AM1391" s="81"/>
      <c r="AN1391" s="81"/>
      <c r="AO1391" s="81"/>
      <c r="AP1391" s="81"/>
      <c r="AQ1391" s="81">
        <v>4.1666666666666664E-2</v>
      </c>
      <c r="AR1391" s="81" t="s">
        <v>37</v>
      </c>
      <c r="AS1391" s="81">
        <v>4.1666666666666664E-2</v>
      </c>
      <c r="AT1391" s="81" t="s">
        <v>37</v>
      </c>
      <c r="AU1391" s="53">
        <v>4.1666666666666699E-2</v>
      </c>
      <c r="AV1391" s="54" t="s">
        <v>37</v>
      </c>
      <c r="AW1391" s="57">
        <f t="shared" si="187"/>
        <v>0.12500000000000003</v>
      </c>
      <c r="AX1391" s="58" t="s">
        <v>770</v>
      </c>
    </row>
    <row r="1392" spans="1:50" ht="28.5" customHeight="1">
      <c r="A1392" s="66" t="s">
        <v>1185</v>
      </c>
      <c r="B1392" s="39">
        <f t="shared" si="186"/>
        <v>1388</v>
      </c>
      <c r="C1392" s="40">
        <v>46052</v>
      </c>
      <c r="D1392" s="40" t="s">
        <v>80</v>
      </c>
      <c r="E1392" s="40" t="s">
        <v>33</v>
      </c>
      <c r="F1392" s="41">
        <v>191</v>
      </c>
      <c r="G1392" s="42" t="s">
        <v>589</v>
      </c>
      <c r="H1392" s="43" t="str">
        <f>IFERROR(VLOOKUP($J1392,'[9]FROM (3)'!$E$4:$F$230,2,FALSE),"")</f>
        <v/>
      </c>
      <c r="I1392" s="44" t="str">
        <f t="shared" si="185"/>
        <v>2528S0250C</v>
      </c>
      <c r="J1392" s="44" t="str">
        <f t="shared" si="182"/>
        <v>STG.SHAFT (2528S0250C)</v>
      </c>
      <c r="K1392" s="59" t="str">
        <f t="shared" si="184"/>
        <v>PD26010974</v>
      </c>
      <c r="L1392" s="46" t="str" cm="1">
        <f t="array" ref="L1392">IFERROR(_xlfn.IFS(
    LEN($A1392)-LEN(SUBSTITUTE($A1392,"|",""))=12, RIGHT(A1392, LEN(A1392)-FIND("~", SUBSTITUTE(A1392,"|","~", LEN(A1392)-LEN(SUBSTITUTE(A1392,"|",""))))),
    LEN($A1392)-LEN(SUBSTITUTE($A1392,"|",""))=13, MID($A1392, FIND("~", SUBSTITUTE($A1392,"|","~", 11))+1, FIND("~", SUBSTITUTE($A1392,"|","~", 12))-FIND("~", SUBSTITUTE($A1392,"|","~", 11))-1),
    LEN($A1392)-LEN(SUBSTITUTE($A1392,"|",""))=14, MID($A1392, FIND("~", SUBSTITUTE($A1392,"|","~", 11))+1, FIND("~", SUBSTITUTE($A1392,"|","~", 12))-FIND("~", SUBSTITUTE($A1392,"|","~", 11))-1)
), "")</f>
        <v>E484056</v>
      </c>
      <c r="M1392" s="72" t="str">
        <f t="shared" si="183"/>
        <v>TSK2</v>
      </c>
      <c r="N1392" s="46" t="str">
        <f t="shared" si="175"/>
        <v>FP010298/5/26</v>
      </c>
      <c r="O1392" s="76">
        <v>800</v>
      </c>
      <c r="P1392" s="76">
        <v>340</v>
      </c>
      <c r="Q1392" s="77">
        <v>800</v>
      </c>
      <c r="R1392" s="77">
        <v>340</v>
      </c>
      <c r="S1392" s="77"/>
      <c r="T1392" s="77"/>
      <c r="U1392" s="83"/>
      <c r="V1392" s="83"/>
      <c r="W1392" s="78"/>
      <c r="X1392" s="51" t="str">
        <f>IF(A1392="", "", IF(COUNTIFS(C$3:C1391, C1392, D$3:D1391, D1392, G$3:G1391, G1392) &gt; 0, "", "11:00"-AW1392))</f>
        <v/>
      </c>
      <c r="Y1392" s="79"/>
      <c r="Z1392" s="80"/>
      <c r="AA1392" s="81"/>
      <c r="AB1392" s="81"/>
      <c r="AC1392" s="81"/>
      <c r="AD1392" s="81"/>
      <c r="AE1392" s="81"/>
      <c r="AF1392" s="81"/>
      <c r="AG1392" s="81"/>
      <c r="AH1392" s="82"/>
      <c r="AI1392" s="81"/>
      <c r="AJ1392" s="81"/>
      <c r="AK1392" s="81"/>
      <c r="AL1392" s="81"/>
      <c r="AM1392" s="81"/>
      <c r="AN1392" s="81"/>
      <c r="AO1392" s="81"/>
      <c r="AP1392" s="81"/>
      <c r="AQ1392" s="81">
        <v>4.1666666666666664E-2</v>
      </c>
      <c r="AR1392" s="81" t="s">
        <v>37</v>
      </c>
      <c r="AS1392" s="81">
        <v>4.1666666666666664E-2</v>
      </c>
      <c r="AT1392" s="81" t="s">
        <v>37</v>
      </c>
      <c r="AU1392" s="53">
        <v>4.1666666666666699E-2</v>
      </c>
      <c r="AV1392" s="54" t="s">
        <v>37</v>
      </c>
      <c r="AW1392" s="57">
        <f t="shared" si="187"/>
        <v>0.12500000000000003</v>
      </c>
      <c r="AX1392" s="58" t="s">
        <v>770</v>
      </c>
    </row>
    <row r="1393" spans="1:50" ht="28.5" customHeight="1">
      <c r="A1393" s="66" t="s">
        <v>1186</v>
      </c>
      <c r="B1393" s="39">
        <f t="shared" si="186"/>
        <v>1389</v>
      </c>
      <c r="C1393" s="40">
        <v>46052</v>
      </c>
      <c r="D1393" s="40" t="s">
        <v>80</v>
      </c>
      <c r="E1393" s="40" t="s">
        <v>33</v>
      </c>
      <c r="F1393" s="41">
        <v>191</v>
      </c>
      <c r="G1393" s="42" t="s">
        <v>589</v>
      </c>
      <c r="H1393" s="43" t="str">
        <f>IFERROR(VLOOKUP($J1393,'[9]FROM (3)'!$E$4:$F$230,2,FALSE),"")</f>
        <v/>
      </c>
      <c r="I1393" s="44" t="str">
        <f t="shared" si="185"/>
        <v>2528S0250C</v>
      </c>
      <c r="J1393" s="44" t="str">
        <f t="shared" si="182"/>
        <v>STG.SHAFT (2528S0250C)</v>
      </c>
      <c r="K1393" s="59" t="str">
        <f t="shared" si="184"/>
        <v>PD26010974</v>
      </c>
      <c r="L1393" s="46" t="str" cm="1">
        <f t="array" ref="L1393">IFERROR(_xlfn.IFS(
    LEN($A1393)-LEN(SUBSTITUTE($A1393,"|",""))=12, RIGHT(A1393, LEN(A1393)-FIND("~", SUBSTITUTE(A1393,"|","~", LEN(A1393)-LEN(SUBSTITUTE(A1393,"|",""))))),
    LEN($A1393)-LEN(SUBSTITUTE($A1393,"|",""))=13, MID($A1393, FIND("~", SUBSTITUTE($A1393,"|","~", 11))+1, FIND("~", SUBSTITUTE($A1393,"|","~", 12))-FIND("~", SUBSTITUTE($A1393,"|","~", 11))-1),
    LEN($A1393)-LEN(SUBSTITUTE($A1393,"|",""))=14, MID($A1393, FIND("~", SUBSTITUTE($A1393,"|","~", 11))+1, FIND("~", SUBSTITUTE($A1393,"|","~", 12))-FIND("~", SUBSTITUTE($A1393,"|","~", 11))-1)
), "")</f>
        <v>E484056</v>
      </c>
      <c r="M1393" s="72" t="str">
        <f t="shared" si="183"/>
        <v>TSK2</v>
      </c>
      <c r="N1393" s="46" t="str">
        <f t="shared" si="175"/>
        <v>FP010298/6/26</v>
      </c>
      <c r="O1393" s="76">
        <v>617</v>
      </c>
      <c r="P1393" s="76">
        <v>262</v>
      </c>
      <c r="Q1393" s="77">
        <v>617</v>
      </c>
      <c r="R1393" s="77">
        <v>262</v>
      </c>
      <c r="S1393" s="77"/>
      <c r="T1393" s="77"/>
      <c r="U1393" s="83"/>
      <c r="V1393" s="83"/>
      <c r="W1393" s="78"/>
      <c r="X1393" s="51" t="str">
        <f>IF(A1393="", "", IF(COUNTIFS(C$3:C1392, C1393, D$3:D1392, D1393, G$3:G1392, G1393) &gt; 0, "", "11:00"-AW1393))</f>
        <v/>
      </c>
      <c r="Y1393" s="79"/>
      <c r="Z1393" s="80"/>
      <c r="AA1393" s="81"/>
      <c r="AB1393" s="81"/>
      <c r="AC1393" s="81"/>
      <c r="AD1393" s="81"/>
      <c r="AE1393" s="81"/>
      <c r="AF1393" s="81"/>
      <c r="AG1393" s="81"/>
      <c r="AH1393" s="82"/>
      <c r="AI1393" s="81"/>
      <c r="AJ1393" s="81"/>
      <c r="AK1393" s="81"/>
      <c r="AL1393" s="81"/>
      <c r="AM1393" s="81"/>
      <c r="AN1393" s="81"/>
      <c r="AO1393" s="81"/>
      <c r="AP1393" s="81"/>
      <c r="AQ1393" s="81">
        <v>4.1666666666666664E-2</v>
      </c>
      <c r="AR1393" s="81" t="s">
        <v>37</v>
      </c>
      <c r="AS1393" s="81">
        <v>4.1666666666666664E-2</v>
      </c>
      <c r="AT1393" s="81" t="s">
        <v>37</v>
      </c>
      <c r="AU1393" s="53">
        <v>4.1666666666666699E-2</v>
      </c>
      <c r="AV1393" s="54" t="s">
        <v>37</v>
      </c>
      <c r="AW1393" s="57">
        <f t="shared" si="187"/>
        <v>0.12500000000000003</v>
      </c>
      <c r="AX1393" s="58" t="s">
        <v>770</v>
      </c>
    </row>
    <row r="1394" spans="1:50" ht="28.5" customHeight="1">
      <c r="A1394" s="66" t="s">
        <v>1179</v>
      </c>
      <c r="B1394" s="39">
        <f t="shared" si="186"/>
        <v>1390</v>
      </c>
      <c r="C1394" s="40">
        <v>46052</v>
      </c>
      <c r="D1394" s="40" t="s">
        <v>32</v>
      </c>
      <c r="E1394" s="40" t="s">
        <v>81</v>
      </c>
      <c r="F1394" s="41">
        <v>597.4</v>
      </c>
      <c r="G1394" s="42" t="s">
        <v>66</v>
      </c>
      <c r="H1394" s="43" t="str">
        <f>IFERROR(VLOOKUP($J1394,'[9]FROM (3)'!$E$4:$F$230,2,FALSE),"")</f>
        <v>JTCS</v>
      </c>
      <c r="I1394" s="44" t="str">
        <f t="shared" si="185"/>
        <v>Rack, MS</v>
      </c>
      <c r="J1394" s="44" t="str">
        <f t="shared" si="182"/>
        <v>JGC10-003770-40-0</v>
      </c>
      <c r="K1394" s="59" t="str">
        <f t="shared" si="184"/>
        <v>PD26011285</v>
      </c>
      <c r="L1394" s="46" t="str" cm="1">
        <f t="array" ref="L1394">IFERROR(_xlfn.IFS(
    LEN($A1394)-LEN(SUBSTITUTE($A1394,"|",""))=12, RIGHT(A1394, LEN(A1394)-FIND("~", SUBSTITUTE(A1394,"|","~", LEN(A1394)-LEN(SUBSTITUTE(A1394,"|",""))))),
    LEN($A1394)-LEN(SUBSTITUTE($A1394,"|",""))=13, MID($A1394, FIND("~", SUBSTITUTE($A1394,"|","~", 11))+1, FIND("~", SUBSTITUTE($A1394,"|","~", 12))-FIND("~", SUBSTITUTE($A1394,"|","~", 11))-1),
    LEN($A1394)-LEN(SUBSTITUTE($A1394,"|",""))=14, MID($A1394, FIND("~", SUBSTITUTE($A1394,"|","~", 11))+1, FIND("~", SUBSTITUTE($A1394,"|","~", 12))-FIND("~", SUBSTITUTE($A1394,"|","~", 11))-1)
), "")</f>
        <v>E585970</v>
      </c>
      <c r="M1394" s="72" t="str">
        <f t="shared" si="183"/>
        <v>SB010168/4/26</v>
      </c>
      <c r="N1394" s="46" t="str">
        <f t="shared" si="175"/>
        <v/>
      </c>
      <c r="O1394" s="76">
        <v>46</v>
      </c>
      <c r="P1394" s="76">
        <v>518</v>
      </c>
      <c r="Q1394" s="77">
        <v>227</v>
      </c>
      <c r="R1394" s="77">
        <v>481</v>
      </c>
      <c r="S1394" s="77"/>
      <c r="T1394" s="77"/>
      <c r="U1394" s="83"/>
      <c r="V1394" s="83"/>
      <c r="W1394" s="78"/>
      <c r="X1394" s="51">
        <f>IF(A1394="", "", IF(COUNTIFS(C$3:C1393, C1394, D$3:D1393, D1394, G$3:G1393, G1394) &gt; 0, "", "11:00"-AW1394))</f>
        <v>0.33333333333333326</v>
      </c>
      <c r="Y1394" s="79"/>
      <c r="Z1394" s="80"/>
      <c r="AA1394" s="81"/>
      <c r="AB1394" s="81"/>
      <c r="AC1394" s="81"/>
      <c r="AD1394" s="81"/>
      <c r="AE1394" s="81"/>
      <c r="AF1394" s="81"/>
      <c r="AG1394" s="81"/>
      <c r="AH1394" s="82"/>
      <c r="AI1394" s="81"/>
      <c r="AJ1394" s="81"/>
      <c r="AK1394" s="81"/>
      <c r="AL1394" s="81"/>
      <c r="AM1394" s="81"/>
      <c r="AN1394" s="81"/>
      <c r="AO1394" s="81"/>
      <c r="AP1394" s="81"/>
      <c r="AQ1394" s="81">
        <v>4.1666666666666664E-2</v>
      </c>
      <c r="AR1394" s="81" t="s">
        <v>37</v>
      </c>
      <c r="AS1394" s="81">
        <v>4.1666666666666664E-2</v>
      </c>
      <c r="AT1394" s="81" t="s">
        <v>37</v>
      </c>
      <c r="AU1394" s="53">
        <v>4.1666666666666699E-2</v>
      </c>
      <c r="AV1394" s="54" t="s">
        <v>37</v>
      </c>
      <c r="AW1394" s="57">
        <f t="shared" si="187"/>
        <v>0.12500000000000003</v>
      </c>
      <c r="AX1394" s="58" t="s">
        <v>68</v>
      </c>
    </row>
    <row r="1395" spans="1:50" ht="28.5" customHeight="1">
      <c r="A1395" s="66" t="s">
        <v>1187</v>
      </c>
      <c r="B1395" s="39">
        <f t="shared" si="186"/>
        <v>1391</v>
      </c>
      <c r="C1395" s="40">
        <v>46052</v>
      </c>
      <c r="D1395" s="40" t="s">
        <v>32</v>
      </c>
      <c r="E1395" s="40" t="s">
        <v>81</v>
      </c>
      <c r="F1395" s="41">
        <v>597.4</v>
      </c>
      <c r="G1395" s="42" t="s">
        <v>66</v>
      </c>
      <c r="H1395" s="43" t="str">
        <f>IFERROR(VLOOKUP($J1395,'[9]FROM (3)'!$E$4:$F$230,2,FALSE),"")</f>
        <v>JTCS</v>
      </c>
      <c r="I1395" s="44" t="str">
        <f t="shared" si="185"/>
        <v>Rack, MS</v>
      </c>
      <c r="J1395" s="44" t="str">
        <f t="shared" si="182"/>
        <v>JGC10-003770-40-0</v>
      </c>
      <c r="K1395" s="59" t="str">
        <f t="shared" si="184"/>
        <v>PD26011285</v>
      </c>
      <c r="L1395" s="46" t="str" cm="1">
        <f t="array" ref="L1395">IFERROR(_xlfn.IFS(
    LEN($A1395)-LEN(SUBSTITUTE($A1395,"|",""))=12, RIGHT(A1395, LEN(A1395)-FIND("~", SUBSTITUTE(A1395,"|","~", LEN(A1395)-LEN(SUBSTITUTE(A1395,"|",""))))),
    LEN($A1395)-LEN(SUBSTITUTE($A1395,"|",""))=13, MID($A1395, FIND("~", SUBSTITUTE($A1395,"|","~", 11))+1, FIND("~", SUBSTITUTE($A1395,"|","~", 12))-FIND("~", SUBSTITUTE($A1395,"|","~", 11))-1),
    LEN($A1395)-LEN(SUBSTITUTE($A1395,"|",""))=14, MID($A1395, FIND("~", SUBSTITUTE($A1395,"|","~", 11))+1, FIND("~", SUBSTITUTE($A1395,"|","~", 12))-FIND("~", SUBSTITUTE($A1395,"|","~", 11))-1)
), "")</f>
        <v>E585970</v>
      </c>
      <c r="M1395" s="72" t="str">
        <f t="shared" si="183"/>
        <v>SB010168/5/26</v>
      </c>
      <c r="N1395" s="46" t="str">
        <f t="shared" si="175"/>
        <v/>
      </c>
      <c r="O1395" s="76">
        <v>72</v>
      </c>
      <c r="P1395" s="76">
        <v>810</v>
      </c>
      <c r="Q1395" s="77">
        <v>360</v>
      </c>
      <c r="R1395" s="77">
        <v>763</v>
      </c>
      <c r="S1395" s="77"/>
      <c r="T1395" s="77"/>
      <c r="U1395" s="83"/>
      <c r="V1395" s="83"/>
      <c r="W1395" s="78"/>
      <c r="X1395" s="51" t="str">
        <f>IF(A1395="", "", IF(COUNTIFS(C$3:C1394, C1395, D$3:D1394, D1395, G$3:G1394, G1395) &gt; 0, "", "11:00"-AW1395))</f>
        <v/>
      </c>
      <c r="Y1395" s="79"/>
      <c r="Z1395" s="80"/>
      <c r="AA1395" s="81"/>
      <c r="AB1395" s="81"/>
      <c r="AC1395" s="81"/>
      <c r="AD1395" s="81"/>
      <c r="AE1395" s="81"/>
      <c r="AF1395" s="81"/>
      <c r="AG1395" s="81"/>
      <c r="AH1395" s="82"/>
      <c r="AI1395" s="81"/>
      <c r="AJ1395" s="81"/>
      <c r="AK1395" s="81"/>
      <c r="AL1395" s="81"/>
      <c r="AM1395" s="81"/>
      <c r="AN1395" s="81"/>
      <c r="AO1395" s="81"/>
      <c r="AP1395" s="81"/>
      <c r="AQ1395" s="81"/>
      <c r="AR1395" s="81" t="s">
        <v>37</v>
      </c>
      <c r="AS1395" s="81"/>
      <c r="AT1395" s="81" t="s">
        <v>37</v>
      </c>
      <c r="AU1395" s="53">
        <v>4.1666666666666699E-2</v>
      </c>
      <c r="AV1395" s="54" t="s">
        <v>37</v>
      </c>
      <c r="AW1395" s="57">
        <f t="shared" si="187"/>
        <v>4.1666666666666699E-2</v>
      </c>
      <c r="AX1395" s="58" t="s">
        <v>68</v>
      </c>
    </row>
    <row r="1396" spans="1:50" ht="28.5" customHeight="1">
      <c r="A1396" s="66" t="s">
        <v>1188</v>
      </c>
      <c r="B1396" s="39">
        <f t="shared" si="186"/>
        <v>1392</v>
      </c>
      <c r="C1396" s="40">
        <v>46052</v>
      </c>
      <c r="D1396" s="40" t="s">
        <v>32</v>
      </c>
      <c r="E1396" s="40" t="s">
        <v>81</v>
      </c>
      <c r="F1396" s="41">
        <v>597.4</v>
      </c>
      <c r="G1396" s="42" t="s">
        <v>66</v>
      </c>
      <c r="H1396" s="43" t="str">
        <f>IFERROR(VLOOKUP($J1396,'[9]FROM (3)'!$E$4:$F$230,2,FALSE),"")</f>
        <v>JTCS</v>
      </c>
      <c r="I1396" s="44" t="str">
        <f t="shared" si="185"/>
        <v>Rack, MS</v>
      </c>
      <c r="J1396" s="44" t="str">
        <f t="shared" si="182"/>
        <v>JGC10-003770-40-0</v>
      </c>
      <c r="K1396" s="59" t="str">
        <f t="shared" si="184"/>
        <v>PD26011285</v>
      </c>
      <c r="L1396" s="46" t="str" cm="1">
        <f t="array" ref="L1396">IFERROR(_xlfn.IFS(
    LEN($A1396)-LEN(SUBSTITUTE($A1396,"|",""))=12, RIGHT(A1396, LEN(A1396)-FIND("~", SUBSTITUTE(A1396,"|","~", LEN(A1396)-LEN(SUBSTITUTE(A1396,"|",""))))),
    LEN($A1396)-LEN(SUBSTITUTE($A1396,"|",""))=13, MID($A1396, FIND("~", SUBSTITUTE($A1396,"|","~", 11))+1, FIND("~", SUBSTITUTE($A1396,"|","~", 12))-FIND("~", SUBSTITUTE($A1396,"|","~", 11))-1),
    LEN($A1396)-LEN(SUBSTITUTE($A1396,"|",""))=14, MID($A1396, FIND("~", SUBSTITUTE($A1396,"|","~", 11))+1, FIND("~", SUBSTITUTE($A1396,"|","~", 12))-FIND("~", SUBSTITUTE($A1396,"|","~", 11))-1)
), "")</f>
        <v>E585970</v>
      </c>
      <c r="M1396" s="72" t="str">
        <f t="shared" si="183"/>
        <v>SB010168/6/26</v>
      </c>
      <c r="N1396" s="46" t="str">
        <f t="shared" si="175"/>
        <v/>
      </c>
      <c r="O1396" s="76">
        <v>72</v>
      </c>
      <c r="P1396" s="76">
        <v>810</v>
      </c>
      <c r="Q1396" s="77">
        <v>360</v>
      </c>
      <c r="R1396" s="77">
        <v>763</v>
      </c>
      <c r="S1396" s="77"/>
      <c r="T1396" s="77"/>
      <c r="U1396" s="83">
        <v>138</v>
      </c>
      <c r="V1396" s="83">
        <v>10</v>
      </c>
      <c r="W1396" s="78"/>
      <c r="X1396" s="51" t="str">
        <f>IF(A1396="", "", IF(COUNTIFS(C$3:C1395, C1396, D$3:D1395, D1396, G$3:G1395, G1396) &gt; 0, "", "11:00"-AW1396))</f>
        <v/>
      </c>
      <c r="Y1396" s="79"/>
      <c r="Z1396" s="80"/>
      <c r="AA1396" s="81"/>
      <c r="AB1396" s="81"/>
      <c r="AC1396" s="81"/>
      <c r="AD1396" s="81"/>
      <c r="AE1396" s="81"/>
      <c r="AF1396" s="81"/>
      <c r="AG1396" s="81"/>
      <c r="AH1396" s="82"/>
      <c r="AI1396" s="81"/>
      <c r="AJ1396" s="81"/>
      <c r="AK1396" s="81"/>
      <c r="AL1396" s="81"/>
      <c r="AM1396" s="81"/>
      <c r="AN1396" s="81"/>
      <c r="AO1396" s="81"/>
      <c r="AP1396" s="81"/>
      <c r="AQ1396" s="81"/>
      <c r="AR1396" s="81" t="s">
        <v>37</v>
      </c>
      <c r="AS1396" s="81"/>
      <c r="AT1396" s="81" t="s">
        <v>37</v>
      </c>
      <c r="AU1396" s="53">
        <v>4.1666666666666699E-2</v>
      </c>
      <c r="AV1396" s="54" t="s">
        <v>37</v>
      </c>
      <c r="AW1396" s="57">
        <f t="shared" si="187"/>
        <v>4.1666666666666699E-2</v>
      </c>
      <c r="AX1396" s="58" t="s">
        <v>68</v>
      </c>
    </row>
    <row r="1397" spans="1:50" ht="28.5" customHeight="1">
      <c r="A1397" s="66" t="s">
        <v>1189</v>
      </c>
      <c r="B1397" s="39">
        <f t="shared" si="186"/>
        <v>1393</v>
      </c>
      <c r="C1397" s="40">
        <v>46052</v>
      </c>
      <c r="D1397" s="40" t="s">
        <v>32</v>
      </c>
      <c r="E1397" s="40" t="s">
        <v>81</v>
      </c>
      <c r="F1397" s="41">
        <v>146.80000000000001</v>
      </c>
      <c r="G1397" s="42" t="s">
        <v>115</v>
      </c>
      <c r="H1397" s="43" t="str">
        <f>IFERROR(VLOOKUP($J1397,'[9]FROM (3)'!$E$4:$F$230,2,FALSE),"")</f>
        <v>DNTH</v>
      </c>
      <c r="I1397" s="44" t="str">
        <f t="shared" si="185"/>
        <v>SHAFT, 2W</v>
      </c>
      <c r="J1397" s="44" t="str">
        <f t="shared" si="182"/>
        <v>TG028383-0040</v>
      </c>
      <c r="K1397" s="59" t="str">
        <f t="shared" si="184"/>
        <v>PD25111201</v>
      </c>
      <c r="L1397" s="46" t="str" cm="1">
        <f t="array" ref="L1397">IFERROR(_xlfn.IFS(
    LEN($A1397)-LEN(SUBSTITUTE($A1397,"|",""))=12, RIGHT(A1397, LEN(A1397)-FIND("~", SUBSTITUTE(A1397,"|","~", LEN(A1397)-LEN(SUBSTITUTE(A1397,"|",""))))),
    LEN($A1397)-LEN(SUBSTITUTE($A1397,"|",""))=13, MID($A1397, FIND("~", SUBSTITUTE($A1397,"|","~", 11))+1, FIND("~", SUBSTITUTE($A1397,"|","~", 12))-FIND("~", SUBSTITUTE($A1397,"|","~", 11))-1),
    LEN($A1397)-LEN(SUBSTITUTE($A1397,"|",""))=14, MID($A1397, FIND("~", SUBSTITUTE($A1397,"|","~", 11))+1, FIND("~", SUBSTITUTE($A1397,"|","~", 12))-FIND("~", SUBSTITUTE($A1397,"|","~", 11))-1)
), "")</f>
        <v>E483074</v>
      </c>
      <c r="M1397" s="72" t="str">
        <f t="shared" si="183"/>
        <v>FP120395/4/25</v>
      </c>
      <c r="N1397" s="46" t="str">
        <f t="shared" si="175"/>
        <v>FP120395/4/25</v>
      </c>
      <c r="O1397" s="76">
        <v>1500</v>
      </c>
      <c r="P1397" s="76">
        <v>581</v>
      </c>
      <c r="Q1397" s="77">
        <v>1500</v>
      </c>
      <c r="R1397" s="77">
        <v>581</v>
      </c>
      <c r="S1397" s="77"/>
      <c r="T1397" s="77"/>
      <c r="U1397" s="83"/>
      <c r="V1397" s="83"/>
      <c r="W1397" s="78"/>
      <c r="X1397" s="51">
        <f>IF(A1397="", "", IF(COUNTIFS(C$3:C1396, C1397, D$3:D1396, D1397, G$3:G1396, G1397) &gt; 0, "", "11:00"-AW1397))</f>
        <v>0.33333333333333326</v>
      </c>
      <c r="Y1397" s="79"/>
      <c r="Z1397" s="80"/>
      <c r="AA1397" s="81"/>
      <c r="AB1397" s="81"/>
      <c r="AC1397" s="81"/>
      <c r="AD1397" s="81"/>
      <c r="AE1397" s="81"/>
      <c r="AF1397" s="81"/>
      <c r="AG1397" s="81"/>
      <c r="AH1397" s="82"/>
      <c r="AI1397" s="81"/>
      <c r="AJ1397" s="81"/>
      <c r="AK1397" s="81"/>
      <c r="AL1397" s="81"/>
      <c r="AM1397" s="81"/>
      <c r="AN1397" s="81"/>
      <c r="AO1397" s="81"/>
      <c r="AP1397" s="81"/>
      <c r="AQ1397" s="81">
        <v>4.1666666666666664E-2</v>
      </c>
      <c r="AR1397" s="81" t="s">
        <v>37</v>
      </c>
      <c r="AS1397" s="81">
        <v>4.1666666666666664E-2</v>
      </c>
      <c r="AT1397" s="81" t="s">
        <v>37</v>
      </c>
      <c r="AU1397" s="53">
        <v>4.1666666666666699E-2</v>
      </c>
      <c r="AV1397" s="54" t="s">
        <v>37</v>
      </c>
      <c r="AW1397" s="57">
        <f t="shared" si="187"/>
        <v>0.12500000000000003</v>
      </c>
      <c r="AX1397" s="58" t="s">
        <v>64</v>
      </c>
    </row>
    <row r="1398" spans="1:50" ht="28.5" customHeight="1">
      <c r="A1398" s="66" t="s">
        <v>1190</v>
      </c>
      <c r="B1398" s="39">
        <f t="shared" si="186"/>
        <v>1394</v>
      </c>
      <c r="C1398" s="40">
        <v>46052</v>
      </c>
      <c r="D1398" s="40" t="s">
        <v>32</v>
      </c>
      <c r="E1398" s="40" t="s">
        <v>81</v>
      </c>
      <c r="F1398" s="41">
        <v>146.80000000000001</v>
      </c>
      <c r="G1398" s="42" t="s">
        <v>115</v>
      </c>
      <c r="H1398" s="43" t="str">
        <f>IFERROR(VLOOKUP($J1398,'[9]FROM (3)'!$E$4:$F$230,2,FALSE),"")</f>
        <v>DNTH</v>
      </c>
      <c r="I1398" s="44" t="str">
        <f t="shared" si="185"/>
        <v>SHAFT, 2W</v>
      </c>
      <c r="J1398" s="44" t="str">
        <f t="shared" si="182"/>
        <v>TG028383-0040</v>
      </c>
      <c r="K1398" s="59" t="str">
        <f t="shared" si="184"/>
        <v>PD25111201</v>
      </c>
      <c r="L1398" s="46" t="str" cm="1">
        <f t="array" ref="L1398">IFERROR(_xlfn.IFS(
    LEN($A1398)-LEN(SUBSTITUTE($A1398,"|",""))=12, RIGHT(A1398, LEN(A1398)-FIND("~", SUBSTITUTE(A1398,"|","~", LEN(A1398)-LEN(SUBSTITUTE(A1398,"|",""))))),
    LEN($A1398)-LEN(SUBSTITUTE($A1398,"|",""))=13, MID($A1398, FIND("~", SUBSTITUTE($A1398,"|","~", 11))+1, FIND("~", SUBSTITUTE($A1398,"|","~", 12))-FIND("~", SUBSTITUTE($A1398,"|","~", 11))-1),
    LEN($A1398)-LEN(SUBSTITUTE($A1398,"|",""))=14, MID($A1398, FIND("~", SUBSTITUTE($A1398,"|","~", 11))+1, FIND("~", SUBSTITUTE($A1398,"|","~", 12))-FIND("~", SUBSTITUTE($A1398,"|","~", 11))-1)
), "")</f>
        <v>E483074</v>
      </c>
      <c r="M1398" s="72" t="str">
        <f t="shared" si="183"/>
        <v>FP120395/5/25</v>
      </c>
      <c r="N1398" s="46" t="str">
        <f t="shared" si="175"/>
        <v>FP120395/5/25</v>
      </c>
      <c r="O1398" s="76">
        <v>1620</v>
      </c>
      <c r="P1398" s="76">
        <v>627</v>
      </c>
      <c r="Q1398" s="77">
        <v>1620</v>
      </c>
      <c r="R1398" s="77">
        <v>627</v>
      </c>
      <c r="S1398" s="77"/>
      <c r="T1398" s="77"/>
      <c r="U1398" s="83"/>
      <c r="V1398" s="83"/>
      <c r="W1398" s="78"/>
      <c r="X1398" s="51" t="str">
        <f>IF(A1398="", "", IF(COUNTIFS(C$3:C1397, C1398, D$3:D1397, D1398, G$3:G1397, G1398) &gt; 0, "", "11:00"-AW1398))</f>
        <v/>
      </c>
      <c r="Y1398" s="79"/>
      <c r="Z1398" s="80"/>
      <c r="AA1398" s="81"/>
      <c r="AB1398" s="81"/>
      <c r="AC1398" s="81"/>
      <c r="AD1398" s="81"/>
      <c r="AE1398" s="81"/>
      <c r="AF1398" s="81"/>
      <c r="AG1398" s="81"/>
      <c r="AH1398" s="82"/>
      <c r="AI1398" s="81"/>
      <c r="AJ1398" s="81"/>
      <c r="AK1398" s="81"/>
      <c r="AL1398" s="81"/>
      <c r="AM1398" s="81"/>
      <c r="AN1398" s="81"/>
      <c r="AO1398" s="81"/>
      <c r="AP1398" s="81"/>
      <c r="AQ1398" s="81"/>
      <c r="AR1398" s="81" t="s">
        <v>37</v>
      </c>
      <c r="AS1398" s="81"/>
      <c r="AT1398" s="81" t="s">
        <v>37</v>
      </c>
      <c r="AU1398" s="53">
        <v>4.1666666666666699E-2</v>
      </c>
      <c r="AV1398" s="54" t="s">
        <v>37</v>
      </c>
      <c r="AW1398" s="57">
        <f t="shared" si="187"/>
        <v>4.1666666666666699E-2</v>
      </c>
      <c r="AX1398" s="58" t="s">
        <v>64</v>
      </c>
    </row>
    <row r="1399" spans="1:50" ht="28.5" customHeight="1">
      <c r="A1399" s="66" t="s">
        <v>1183</v>
      </c>
      <c r="B1399" s="39">
        <f t="shared" si="186"/>
        <v>1395</v>
      </c>
      <c r="C1399" s="40">
        <v>46052</v>
      </c>
      <c r="D1399" s="40" t="s">
        <v>32</v>
      </c>
      <c r="E1399" s="40" t="s">
        <v>81</v>
      </c>
      <c r="F1399" s="41">
        <v>721.5</v>
      </c>
      <c r="G1399" s="42" t="s">
        <v>85</v>
      </c>
      <c r="H1399" s="43" t="str">
        <f>IFERROR(VLOOKUP($J1399,'[9]FROM (3)'!$E$4:$F$230,2,FALSE),"")</f>
        <v>JCTTH</v>
      </c>
      <c r="I1399" s="44" t="str">
        <f t="shared" si="185"/>
        <v>RACK POWER STEERING</v>
      </c>
      <c r="J1399" s="44" t="str">
        <f t="shared" si="182"/>
        <v>2-30JG-0711</v>
      </c>
      <c r="K1399" s="59" t="str">
        <f t="shared" si="184"/>
        <v>PD26010797</v>
      </c>
      <c r="L1399" s="46" t="str" cm="1">
        <f t="array" ref="L1399">IFERROR(_xlfn.IFS(
    LEN($A1399)-LEN(SUBSTITUTE($A1399,"|",""))=12, RIGHT(A1399, LEN(A1399)-FIND("~", SUBSTITUTE(A1399,"|","~", LEN(A1399)-LEN(SUBSTITUTE(A1399,"|",""))))),
    LEN($A1399)-LEN(SUBSTITUTE($A1399,"|",""))=13, MID($A1399, FIND("~", SUBSTITUTE($A1399,"|","~", 11))+1, FIND("~", SUBSTITUTE($A1399,"|","~", 12))-FIND("~", SUBSTITUTE($A1399,"|","~", 11))-1),
    LEN($A1399)-LEN(SUBSTITUTE($A1399,"|",""))=14, MID($A1399, FIND("~", SUBSTITUTE($A1399,"|","~", 11))+1, FIND("~", SUBSTITUTE($A1399,"|","~", 12))-FIND("~", SUBSTITUTE($A1399,"|","~", 11))-1)
), "")</f>
        <v>E586102</v>
      </c>
      <c r="M1399" s="72" t="str">
        <f t="shared" si="183"/>
        <v>SB010098/3/26</v>
      </c>
      <c r="N1399" s="46" t="str">
        <f t="shared" si="175"/>
        <v/>
      </c>
      <c r="O1399" s="76" t="s">
        <v>35</v>
      </c>
      <c r="P1399" s="76" t="s">
        <v>35</v>
      </c>
      <c r="Q1399" s="77">
        <v>144</v>
      </c>
      <c r="R1399" s="77">
        <v>590</v>
      </c>
      <c r="S1399" s="77"/>
      <c r="T1399" s="77"/>
      <c r="U1399" s="83"/>
      <c r="V1399" s="83"/>
      <c r="W1399" s="78"/>
      <c r="X1399" s="51">
        <f>IF(A1399="", "", IF(COUNTIFS(C$3:C1398, C1399, D$3:D1398, D1399, G$3:G1398, G1399) &gt; 0, "", "11:00"-AW1399))</f>
        <v>0.33333333333333326</v>
      </c>
      <c r="Y1399" s="79"/>
      <c r="Z1399" s="80"/>
      <c r="AA1399" s="81"/>
      <c r="AB1399" s="81"/>
      <c r="AC1399" s="81"/>
      <c r="AD1399" s="81"/>
      <c r="AE1399" s="81"/>
      <c r="AF1399" s="81"/>
      <c r="AG1399" s="81"/>
      <c r="AH1399" s="82"/>
      <c r="AI1399" s="81"/>
      <c r="AJ1399" s="81"/>
      <c r="AK1399" s="81"/>
      <c r="AL1399" s="81"/>
      <c r="AM1399" s="81"/>
      <c r="AN1399" s="81"/>
      <c r="AO1399" s="81"/>
      <c r="AP1399" s="81"/>
      <c r="AQ1399" s="81">
        <v>4.1666666666666664E-2</v>
      </c>
      <c r="AR1399" s="81" t="s">
        <v>37</v>
      </c>
      <c r="AS1399" s="81">
        <v>4.1666666666666664E-2</v>
      </c>
      <c r="AT1399" s="81" t="s">
        <v>37</v>
      </c>
      <c r="AU1399" s="53">
        <v>4.1666666666666699E-2</v>
      </c>
      <c r="AV1399" s="54" t="s">
        <v>37</v>
      </c>
      <c r="AW1399" s="57">
        <f t="shared" si="187"/>
        <v>0.12500000000000003</v>
      </c>
      <c r="AX1399" s="58" t="s">
        <v>117</v>
      </c>
    </row>
    <row r="1400" spans="1:50" ht="28.5" customHeight="1">
      <c r="A1400" s="66" t="s">
        <v>1191</v>
      </c>
      <c r="B1400" s="39">
        <f t="shared" si="186"/>
        <v>1396</v>
      </c>
      <c r="C1400" s="40">
        <v>46052</v>
      </c>
      <c r="D1400" s="40" t="s">
        <v>32</v>
      </c>
      <c r="E1400" s="40" t="s">
        <v>81</v>
      </c>
      <c r="F1400" s="41">
        <v>721.5</v>
      </c>
      <c r="G1400" s="42" t="s">
        <v>85</v>
      </c>
      <c r="H1400" s="43" t="str">
        <f>IFERROR(VLOOKUP($J1400,'[9]FROM (3)'!$E$4:$F$230,2,FALSE),"")</f>
        <v>JCTTH</v>
      </c>
      <c r="I1400" s="44" t="str">
        <f t="shared" si="185"/>
        <v>RACK POWER STEERING</v>
      </c>
      <c r="J1400" s="44" t="str">
        <f t="shared" si="182"/>
        <v>2-30JG-0711</v>
      </c>
      <c r="K1400" s="59" t="str">
        <f t="shared" si="184"/>
        <v>PD26010797</v>
      </c>
      <c r="L1400" s="46" t="str" cm="1">
        <f t="array" ref="L1400">IFERROR(_xlfn.IFS(
    LEN($A1400)-LEN(SUBSTITUTE($A1400,"|",""))=12, RIGHT(A1400, LEN(A1400)-FIND("~", SUBSTITUTE(A1400,"|","~", LEN(A1400)-LEN(SUBSTITUTE(A1400,"|",""))))),
    LEN($A1400)-LEN(SUBSTITUTE($A1400,"|",""))=13, MID($A1400, FIND("~", SUBSTITUTE($A1400,"|","~", 11))+1, FIND("~", SUBSTITUTE($A1400,"|","~", 12))-FIND("~", SUBSTITUTE($A1400,"|","~", 11))-1),
    LEN($A1400)-LEN(SUBSTITUTE($A1400,"|",""))=14, MID($A1400, FIND("~", SUBSTITUTE($A1400,"|","~", 11))+1, FIND("~", SUBSTITUTE($A1400,"|","~", 12))-FIND("~", SUBSTITUTE($A1400,"|","~", 11))-1)
), "")</f>
        <v>E586102</v>
      </c>
      <c r="M1400" s="72" t="str">
        <f t="shared" si="183"/>
        <v>SB010098/2/26</v>
      </c>
      <c r="N1400" s="46" t="str">
        <f t="shared" si="175"/>
        <v/>
      </c>
      <c r="O1400" s="76">
        <v>50</v>
      </c>
      <c r="P1400" s="76">
        <v>878</v>
      </c>
      <c r="Q1400" s="77">
        <v>200</v>
      </c>
      <c r="R1400" s="77">
        <v>820</v>
      </c>
      <c r="S1400" s="77"/>
      <c r="T1400" s="77"/>
      <c r="U1400" s="83"/>
      <c r="V1400" s="83"/>
      <c r="W1400" s="78"/>
      <c r="X1400" s="51" t="str">
        <f>IF(A1400="", "", IF(COUNTIFS(C$3:C1399, C1400, D$3:D1399, D1400, G$3:G1399, G1400) &gt; 0, "", "11:00"-AW1400))</f>
        <v/>
      </c>
      <c r="Y1400" s="79"/>
      <c r="Z1400" s="80"/>
      <c r="AA1400" s="81"/>
      <c r="AB1400" s="81"/>
      <c r="AC1400" s="81"/>
      <c r="AD1400" s="81"/>
      <c r="AE1400" s="81"/>
      <c r="AF1400" s="81"/>
      <c r="AG1400" s="81"/>
      <c r="AH1400" s="82"/>
      <c r="AI1400" s="81"/>
      <c r="AJ1400" s="81"/>
      <c r="AK1400" s="81"/>
      <c r="AL1400" s="81"/>
      <c r="AM1400" s="81"/>
      <c r="AN1400" s="81"/>
      <c r="AO1400" s="81"/>
      <c r="AP1400" s="81"/>
      <c r="AQ1400" s="81">
        <v>4.1666666666666664E-2</v>
      </c>
      <c r="AR1400" s="81" t="s">
        <v>37</v>
      </c>
      <c r="AS1400" s="81">
        <v>4.1666666666666664E-2</v>
      </c>
      <c r="AT1400" s="81" t="s">
        <v>37</v>
      </c>
      <c r="AU1400" s="53">
        <v>4.1666666666666699E-2</v>
      </c>
      <c r="AV1400" s="54" t="s">
        <v>37</v>
      </c>
      <c r="AW1400" s="57">
        <f t="shared" si="187"/>
        <v>0.12500000000000003</v>
      </c>
      <c r="AX1400" s="58" t="s">
        <v>117</v>
      </c>
    </row>
    <row r="1401" spans="1:50" ht="28.5" customHeight="1">
      <c r="A1401" s="66" t="s">
        <v>1192</v>
      </c>
      <c r="B1401" s="39">
        <f t="shared" si="186"/>
        <v>1397</v>
      </c>
      <c r="C1401" s="40">
        <v>46052</v>
      </c>
      <c r="D1401" s="40" t="s">
        <v>32</v>
      </c>
      <c r="E1401" s="40" t="s">
        <v>81</v>
      </c>
      <c r="F1401" s="41">
        <v>721.5</v>
      </c>
      <c r="G1401" s="42" t="s">
        <v>85</v>
      </c>
      <c r="H1401" s="43" t="str">
        <f>IFERROR(VLOOKUP($J1401,'[9]FROM (3)'!$E$4:$F$230,2,FALSE),"")</f>
        <v>JCTTH</v>
      </c>
      <c r="I1401" s="44" t="str">
        <f t="shared" si="185"/>
        <v>RACK POWER STEERING</v>
      </c>
      <c r="J1401" s="44" t="str">
        <f t="shared" ref="J1401:J1464" si="188">IFERROR(MID(A1401,FIND("~",SUBSTITUTE(A1401,"|","~",3))+1,FIND("~",SUBSTITUTE(A1401,"|","~",4))-FIND("~",SUBSTITUTE(A1401,"|","~",3))-1),"")</f>
        <v>2-30JG-0711</v>
      </c>
      <c r="K1401" s="59" t="str">
        <f t="shared" si="184"/>
        <v>PD26010797</v>
      </c>
      <c r="L1401" s="46" t="str" cm="1">
        <f t="array" ref="L1401">IFERROR(_xlfn.IFS(
    LEN($A1401)-LEN(SUBSTITUTE($A1401,"|",""))=12, RIGHT(A1401, LEN(A1401)-FIND("~", SUBSTITUTE(A1401,"|","~", LEN(A1401)-LEN(SUBSTITUTE(A1401,"|",""))))),
    LEN($A1401)-LEN(SUBSTITUTE($A1401,"|",""))=13, MID($A1401, FIND("~", SUBSTITUTE($A1401,"|","~", 11))+1, FIND("~", SUBSTITUTE($A1401,"|","~", 12))-FIND("~", SUBSTITUTE($A1401,"|","~", 11))-1),
    LEN($A1401)-LEN(SUBSTITUTE($A1401,"|",""))=14, MID($A1401, FIND("~", SUBSTITUTE($A1401,"|","~", 11))+1, FIND("~", SUBSTITUTE($A1401,"|","~", 12))-FIND("~", SUBSTITUTE($A1401,"|","~", 11))-1)
), "")</f>
        <v>E586102</v>
      </c>
      <c r="M1401" s="72" t="str">
        <f t="shared" si="183"/>
        <v>SB010098/1/26</v>
      </c>
      <c r="N1401" s="46" t="str">
        <f t="shared" si="175"/>
        <v/>
      </c>
      <c r="O1401" s="76">
        <v>50</v>
      </c>
      <c r="P1401" s="76">
        <v>878</v>
      </c>
      <c r="Q1401" s="77">
        <v>199</v>
      </c>
      <c r="R1401" s="77">
        <v>816</v>
      </c>
      <c r="S1401" s="77">
        <v>1</v>
      </c>
      <c r="T1401" s="77" t="s">
        <v>167</v>
      </c>
      <c r="U1401" s="83">
        <v>142</v>
      </c>
      <c r="V1401" s="83">
        <v>9</v>
      </c>
      <c r="W1401" s="78"/>
      <c r="X1401" s="51" t="str">
        <f>IF(A1401="", "", IF(COUNTIFS(C$3:C1400, C1401, D$3:D1400, D1401, G$3:G1400, G1401) &gt; 0, "", "11:00"-AW1401))</f>
        <v/>
      </c>
      <c r="Y1401" s="79"/>
      <c r="Z1401" s="80"/>
      <c r="AA1401" s="81"/>
      <c r="AB1401" s="81"/>
      <c r="AC1401" s="81"/>
      <c r="AD1401" s="81"/>
      <c r="AE1401" s="81"/>
      <c r="AF1401" s="81"/>
      <c r="AG1401" s="81"/>
      <c r="AH1401" s="82"/>
      <c r="AI1401" s="81"/>
      <c r="AJ1401" s="81"/>
      <c r="AK1401" s="81"/>
      <c r="AL1401" s="81"/>
      <c r="AM1401" s="81"/>
      <c r="AN1401" s="81"/>
      <c r="AO1401" s="81"/>
      <c r="AP1401" s="81"/>
      <c r="AQ1401" s="81">
        <v>4.1666666666666664E-2</v>
      </c>
      <c r="AR1401" s="81" t="s">
        <v>37</v>
      </c>
      <c r="AS1401" s="81">
        <v>4.1666666666666664E-2</v>
      </c>
      <c r="AT1401" s="81" t="s">
        <v>37</v>
      </c>
      <c r="AU1401" s="53">
        <v>4.1666666666666699E-2</v>
      </c>
      <c r="AV1401" s="54" t="s">
        <v>37</v>
      </c>
      <c r="AW1401" s="57">
        <f t="shared" si="187"/>
        <v>0.12500000000000003</v>
      </c>
      <c r="AX1401" s="58" t="s">
        <v>117</v>
      </c>
    </row>
    <row r="1402" spans="1:50" ht="28.5" customHeight="1">
      <c r="A1402" s="66" t="s">
        <v>1193</v>
      </c>
      <c r="B1402" s="39">
        <f t="shared" si="186"/>
        <v>1398</v>
      </c>
      <c r="C1402" s="40">
        <v>46052</v>
      </c>
      <c r="D1402" s="40" t="s">
        <v>32</v>
      </c>
      <c r="E1402" s="40" t="s">
        <v>81</v>
      </c>
      <c r="F1402" s="41">
        <v>655.4</v>
      </c>
      <c r="G1402" s="42" t="s">
        <v>85</v>
      </c>
      <c r="H1402" s="43" t="str">
        <f>IFERROR(VLOOKUP($J1402,'[9]FROM (3)'!$E$4:$F$230,2,FALSE),"")</f>
        <v>JAMY</v>
      </c>
      <c r="I1402" s="44" t="str">
        <f t="shared" si="185"/>
        <v>RACK BAR</v>
      </c>
      <c r="J1402" s="44" t="str">
        <f t="shared" si="188"/>
        <v>JGC10-M09008-51-0</v>
      </c>
      <c r="K1402" s="59" t="str">
        <f t="shared" si="184"/>
        <v>PD26011348</v>
      </c>
      <c r="L1402" s="46" t="str" cm="1">
        <f t="array" ref="L1402">IFERROR(_xlfn.IFS(
    LEN($A1402)-LEN(SUBSTITUTE($A1402,"|",""))=12, RIGHT(A1402, LEN(A1402)-FIND("~", SUBSTITUTE(A1402,"|","~", LEN(A1402)-LEN(SUBSTITUTE(A1402,"|",""))))),
    LEN($A1402)-LEN(SUBSTITUTE($A1402,"|",""))=13, MID($A1402, FIND("~", SUBSTITUTE($A1402,"|","~", 11))+1, FIND("~", SUBSTITUTE($A1402,"|","~", 12))-FIND("~", SUBSTITUTE($A1402,"|","~", 11))-1),
    LEN($A1402)-LEN(SUBSTITUTE($A1402,"|",""))=14, MID($A1402, FIND("~", SUBSTITUTE($A1402,"|","~", 11))+1, FIND("~", SUBSTITUTE($A1402,"|","~", 12))-FIND("~", SUBSTITUTE($A1402,"|","~", 11))-1)
), "")</f>
        <v>E586966</v>
      </c>
      <c r="M1402" s="72" t="str">
        <f t="shared" si="183"/>
        <v>SB010179/3/26</v>
      </c>
      <c r="N1402" s="46" t="str">
        <f t="shared" si="175"/>
        <v/>
      </c>
      <c r="O1402" s="76">
        <v>60</v>
      </c>
      <c r="P1402" s="76">
        <v>874</v>
      </c>
      <c r="Q1402" s="77">
        <v>229</v>
      </c>
      <c r="R1402" s="77">
        <v>625</v>
      </c>
      <c r="S1402" s="77"/>
      <c r="T1402" s="77"/>
      <c r="U1402" s="83"/>
      <c r="V1402" s="83"/>
      <c r="W1402" s="78"/>
      <c r="X1402" s="51" t="str">
        <f>IF(A1402="", "", IF(COUNTIFS(C$3:C1401, C1402, D$3:D1401, D1402, G$3:G1401, G1402) &gt; 0, "", "11:00"-AW1402))</f>
        <v/>
      </c>
      <c r="Y1402" s="79"/>
      <c r="Z1402" s="80"/>
      <c r="AA1402" s="81"/>
      <c r="AB1402" s="81"/>
      <c r="AC1402" s="81"/>
      <c r="AD1402" s="81"/>
      <c r="AE1402" s="81"/>
      <c r="AF1402" s="81"/>
      <c r="AG1402" s="81"/>
      <c r="AH1402" s="82"/>
      <c r="AI1402" s="81"/>
      <c r="AJ1402" s="81"/>
      <c r="AK1402" s="81">
        <v>4.1666666666666664E-2</v>
      </c>
      <c r="AL1402" s="81" t="s">
        <v>67</v>
      </c>
      <c r="AM1402" s="81"/>
      <c r="AN1402" s="81"/>
      <c r="AO1402" s="81"/>
      <c r="AP1402" s="81"/>
      <c r="AQ1402" s="81">
        <v>4.1666666666666664E-2</v>
      </c>
      <c r="AR1402" s="81" t="s">
        <v>37</v>
      </c>
      <c r="AS1402" s="81">
        <v>4.1666666666666664E-2</v>
      </c>
      <c r="AT1402" s="81" t="s">
        <v>37</v>
      </c>
      <c r="AU1402" s="53">
        <v>4.1666666666666699E-2</v>
      </c>
      <c r="AV1402" s="54" t="s">
        <v>37</v>
      </c>
      <c r="AW1402" s="57">
        <f t="shared" si="187"/>
        <v>0.16666666666666669</v>
      </c>
      <c r="AX1402" s="58" t="s">
        <v>117</v>
      </c>
    </row>
    <row r="1403" spans="1:50" ht="28.5" customHeight="1">
      <c r="A1403" s="66" t="s">
        <v>1194</v>
      </c>
      <c r="B1403" s="39">
        <f t="shared" si="186"/>
        <v>1399</v>
      </c>
      <c r="C1403" s="40">
        <v>46052</v>
      </c>
      <c r="D1403" s="40" t="s">
        <v>32</v>
      </c>
      <c r="E1403" s="40" t="s">
        <v>81</v>
      </c>
      <c r="F1403" s="41">
        <v>129.4</v>
      </c>
      <c r="G1403" s="42" t="s">
        <v>115</v>
      </c>
      <c r="H1403" s="43" t="str">
        <f>IFERROR(VLOOKUP($J1403,'[9]FROM (3)'!$E$4:$F$230,2,FALSE),"")</f>
        <v>DNTH</v>
      </c>
      <c r="I1403" s="44" t="str">
        <f t="shared" si="185"/>
        <v>SHAFT, 2W</v>
      </c>
      <c r="J1403" s="44" t="str">
        <f t="shared" si="188"/>
        <v>TG028383-0090</v>
      </c>
      <c r="K1403" s="59" t="str">
        <f t="shared" si="184"/>
        <v>PD25110971</v>
      </c>
      <c r="L1403" s="46" t="str" cm="1">
        <f t="array" ref="L1403">IFERROR(_xlfn.IFS(
    LEN($A1403)-LEN(SUBSTITUTE($A1403,"|",""))=12, RIGHT(A1403, LEN(A1403)-FIND("~", SUBSTITUTE(A1403,"|","~", LEN(A1403)-LEN(SUBSTITUTE(A1403,"|",""))))),
    LEN($A1403)-LEN(SUBSTITUTE($A1403,"|",""))=13, MID($A1403, FIND("~", SUBSTITUTE($A1403,"|","~", 11))+1, FIND("~", SUBSTITUTE($A1403,"|","~", 12))-FIND("~", SUBSTITUTE($A1403,"|","~", 11))-1),
    LEN($A1403)-LEN(SUBSTITUTE($A1403,"|",""))=14, MID($A1403, FIND("~", SUBSTITUTE($A1403,"|","~", 11))+1, FIND("~", SUBSTITUTE($A1403,"|","~", 12))-FIND("~", SUBSTITUTE($A1403,"|","~", 11))-1)
), "")</f>
        <v>E483074</v>
      </c>
      <c r="M1403" s="72" t="str">
        <f t="shared" si="183"/>
        <v>FP010259/1/26</v>
      </c>
      <c r="N1403" s="46" t="str">
        <f t="shared" si="175"/>
        <v>FP010259/1/26</v>
      </c>
      <c r="O1403" s="76">
        <v>1500</v>
      </c>
      <c r="P1403" s="76">
        <v>513</v>
      </c>
      <c r="Q1403" s="77">
        <v>1500</v>
      </c>
      <c r="R1403" s="77">
        <v>513</v>
      </c>
      <c r="S1403" s="77"/>
      <c r="T1403" s="77"/>
      <c r="U1403" s="83"/>
      <c r="V1403" s="83"/>
      <c r="W1403" s="78"/>
      <c r="X1403" s="51" t="str">
        <f>IF(A1403="", "", IF(COUNTIFS(C$3:C1402, C1403, D$3:D1402, D1403, G$3:G1402, G1403) &gt; 0, "", "11:00"-AW1403))</f>
        <v/>
      </c>
      <c r="Y1403" s="79"/>
      <c r="Z1403" s="80"/>
      <c r="AA1403" s="81"/>
      <c r="AB1403" s="81"/>
      <c r="AC1403" s="81"/>
      <c r="AD1403" s="81"/>
      <c r="AE1403" s="81"/>
      <c r="AF1403" s="81"/>
      <c r="AG1403" s="81"/>
      <c r="AH1403" s="82"/>
      <c r="AI1403" s="81"/>
      <c r="AJ1403" s="81"/>
      <c r="AK1403" s="81"/>
      <c r="AL1403" s="81"/>
      <c r="AM1403" s="81"/>
      <c r="AN1403" s="81"/>
      <c r="AO1403" s="81"/>
      <c r="AP1403" s="81"/>
      <c r="AQ1403" s="81">
        <v>4.1666666666666664E-2</v>
      </c>
      <c r="AR1403" s="81" t="s">
        <v>37</v>
      </c>
      <c r="AS1403" s="81">
        <v>4.1666666666666664E-2</v>
      </c>
      <c r="AT1403" s="81" t="s">
        <v>37</v>
      </c>
      <c r="AU1403" s="53">
        <v>4.1666666666666699E-2</v>
      </c>
      <c r="AV1403" s="54" t="s">
        <v>37</v>
      </c>
      <c r="AW1403" s="57">
        <f t="shared" si="187"/>
        <v>0.12500000000000003</v>
      </c>
      <c r="AX1403" s="58" t="s">
        <v>380</v>
      </c>
    </row>
    <row r="1404" spans="1:50" ht="28.5" customHeight="1">
      <c r="A1404" s="66" t="s">
        <v>1195</v>
      </c>
      <c r="B1404" s="39">
        <f t="shared" si="186"/>
        <v>1400</v>
      </c>
      <c r="C1404" s="40">
        <v>46052</v>
      </c>
      <c r="D1404" s="40" t="s">
        <v>32</v>
      </c>
      <c r="E1404" s="40" t="s">
        <v>81</v>
      </c>
      <c r="F1404" s="41">
        <v>129.4</v>
      </c>
      <c r="G1404" s="42" t="s">
        <v>115</v>
      </c>
      <c r="H1404" s="43" t="str">
        <f>IFERROR(VLOOKUP($J1404,'[9]FROM (3)'!$E$4:$F$230,2,FALSE),"")</f>
        <v>DNTH</v>
      </c>
      <c r="I1404" s="44" t="str">
        <f t="shared" si="185"/>
        <v>SHAFT, 2W</v>
      </c>
      <c r="J1404" s="44" t="str">
        <f t="shared" si="188"/>
        <v>TG028383-0090</v>
      </c>
      <c r="K1404" s="59" t="str">
        <f t="shared" si="184"/>
        <v>PD25110971</v>
      </c>
      <c r="L1404" s="46" t="str" cm="1">
        <f t="array" ref="L1404">IFERROR(_xlfn.IFS(
    LEN($A1404)-LEN(SUBSTITUTE($A1404,"|",""))=12, RIGHT(A1404, LEN(A1404)-FIND("~", SUBSTITUTE(A1404,"|","~", LEN(A1404)-LEN(SUBSTITUTE(A1404,"|",""))))),
    LEN($A1404)-LEN(SUBSTITUTE($A1404,"|",""))=13, MID($A1404, FIND("~", SUBSTITUTE($A1404,"|","~", 11))+1, FIND("~", SUBSTITUTE($A1404,"|","~", 12))-FIND("~", SUBSTITUTE($A1404,"|","~", 11))-1),
    LEN($A1404)-LEN(SUBSTITUTE($A1404,"|",""))=14, MID($A1404, FIND("~", SUBSTITUTE($A1404,"|","~", 11))+1, FIND("~", SUBSTITUTE($A1404,"|","~", 12))-FIND("~", SUBSTITUTE($A1404,"|","~", 11))-1)
), "")</f>
        <v>E483074</v>
      </c>
      <c r="M1404" s="72" t="str">
        <f t="shared" si="183"/>
        <v>FP010259/2/26</v>
      </c>
      <c r="N1404" s="46" t="str">
        <f t="shared" si="175"/>
        <v>FP010259/2/26</v>
      </c>
      <c r="O1404" s="76">
        <v>15800</v>
      </c>
      <c r="P1404" s="76">
        <v>513</v>
      </c>
      <c r="Q1404" s="77">
        <v>1500</v>
      </c>
      <c r="R1404" s="77">
        <v>513</v>
      </c>
      <c r="S1404" s="77"/>
      <c r="T1404" s="77"/>
      <c r="U1404" s="83"/>
      <c r="V1404" s="83"/>
      <c r="W1404" s="78"/>
      <c r="X1404" s="51" t="str">
        <f>IF(A1404="", "", IF(COUNTIFS(C$3:C1403, C1404, D$3:D1403, D1404, G$3:G1403, G1404) &gt; 0, "", "11:00"-AW1404))</f>
        <v/>
      </c>
      <c r="Y1404" s="79"/>
      <c r="Z1404" s="80"/>
      <c r="AA1404" s="81"/>
      <c r="AB1404" s="81"/>
      <c r="AC1404" s="81"/>
      <c r="AD1404" s="81"/>
      <c r="AE1404" s="81"/>
      <c r="AF1404" s="81"/>
      <c r="AG1404" s="81"/>
      <c r="AH1404" s="82"/>
      <c r="AI1404" s="81"/>
      <c r="AJ1404" s="81"/>
      <c r="AK1404" s="81"/>
      <c r="AL1404" s="81"/>
      <c r="AM1404" s="81"/>
      <c r="AN1404" s="81"/>
      <c r="AO1404" s="81"/>
      <c r="AP1404" s="81"/>
      <c r="AQ1404" s="81">
        <v>4.1666666666666664E-2</v>
      </c>
      <c r="AR1404" s="81" t="s">
        <v>37</v>
      </c>
      <c r="AS1404" s="81">
        <v>4.1666666666666664E-2</v>
      </c>
      <c r="AT1404" s="81" t="s">
        <v>37</v>
      </c>
      <c r="AU1404" s="53">
        <v>4.1666666666666699E-2</v>
      </c>
      <c r="AV1404" s="54" t="s">
        <v>37</v>
      </c>
      <c r="AW1404" s="57">
        <f t="shared" si="187"/>
        <v>0.12500000000000003</v>
      </c>
      <c r="AX1404" s="58" t="s">
        <v>380</v>
      </c>
    </row>
    <row r="1405" spans="1:50" ht="28.5" customHeight="1">
      <c r="A1405" s="66" t="s">
        <v>1169</v>
      </c>
      <c r="B1405" s="39">
        <f t="shared" si="186"/>
        <v>1401</v>
      </c>
      <c r="C1405" s="40">
        <v>46052</v>
      </c>
      <c r="D1405" s="40" t="s">
        <v>32</v>
      </c>
      <c r="E1405" s="40" t="s">
        <v>81</v>
      </c>
      <c r="F1405" s="41">
        <v>516.5</v>
      </c>
      <c r="G1405" s="42" t="s">
        <v>34</v>
      </c>
      <c r="H1405" s="43" t="str">
        <f>IFERROR(VLOOKUP($J1405,'[9]FROM (3)'!$E$4:$F$230,2,FALSE),"")</f>
        <v>KONSEI</v>
      </c>
      <c r="I1405" s="44" t="str">
        <f t="shared" si="185"/>
        <v>Piston Disc Brake, Forging</v>
      </c>
      <c r="J1405" s="44" t="str">
        <f t="shared" si="188"/>
        <v>141411-60140-20</v>
      </c>
      <c r="K1405" s="59" t="str">
        <f t="shared" si="184"/>
        <v>PD26010939</v>
      </c>
      <c r="L1405" s="46" t="str" cm="1">
        <f t="array" ref="L1405">IFERROR(_xlfn.IFS(
    LEN($A1405)-LEN(SUBSTITUTE($A1405,"|",""))=12, RIGHT(A1405, LEN(A1405)-FIND("~", SUBSTITUTE(A1405,"|","~", LEN(A1405)-LEN(SUBSTITUTE(A1405,"|",""))))),
    LEN($A1405)-LEN(SUBSTITUTE($A1405,"|",""))=13, MID($A1405, FIND("~", SUBSTITUTE($A1405,"|","~", 11))+1, FIND("~", SUBSTITUTE($A1405,"|","~", 12))-FIND("~", SUBSTITUTE($A1405,"|","~", 11))-1),
    LEN($A1405)-LEN(SUBSTITUTE($A1405,"|",""))=14, MID($A1405, FIND("~", SUBSTITUTE($A1405,"|","~", 11))+1, FIND("~", SUBSTITUTE($A1405,"|","~", 12))-FIND("~", SUBSTITUTE($A1405,"|","~", 11))-1)
), "")</f>
        <v>663962</v>
      </c>
      <c r="M1405" s="72" t="str">
        <f t="shared" si="183"/>
        <v>2B2600239</v>
      </c>
      <c r="N1405" s="46" t="str">
        <f t="shared" si="175"/>
        <v/>
      </c>
      <c r="O1405" s="76" t="s">
        <v>35</v>
      </c>
      <c r="P1405" s="76" t="s">
        <v>35</v>
      </c>
      <c r="Q1405" s="77">
        <v>1678</v>
      </c>
      <c r="R1405" s="77">
        <v>867</v>
      </c>
      <c r="S1405" s="77"/>
      <c r="T1405" s="77"/>
      <c r="U1405" s="83"/>
      <c r="V1405" s="83"/>
      <c r="W1405" s="78"/>
      <c r="X1405" s="51">
        <f>IF(A1405="", "", IF(COUNTIFS(C$3:C1404, C1405, D$3:D1404, D1405, G$3:G1404, G1405) &gt; 0, "", "11:00"-AW1405))</f>
        <v>0.33333333333333326</v>
      </c>
      <c r="Y1405" s="79"/>
      <c r="Z1405" s="80"/>
      <c r="AA1405" s="81"/>
      <c r="AB1405" s="81"/>
      <c r="AC1405" s="81"/>
      <c r="AD1405" s="81"/>
      <c r="AE1405" s="81"/>
      <c r="AF1405" s="81"/>
      <c r="AG1405" s="81"/>
      <c r="AH1405" s="82"/>
      <c r="AI1405" s="81"/>
      <c r="AJ1405" s="81"/>
      <c r="AK1405" s="81"/>
      <c r="AL1405" s="81"/>
      <c r="AM1405" s="81"/>
      <c r="AN1405" s="81"/>
      <c r="AO1405" s="81"/>
      <c r="AP1405" s="81"/>
      <c r="AQ1405" s="81">
        <v>4.1666666666666664E-2</v>
      </c>
      <c r="AR1405" s="81" t="s">
        <v>37</v>
      </c>
      <c r="AS1405" s="81">
        <v>4.1666666666666664E-2</v>
      </c>
      <c r="AT1405" s="81" t="s">
        <v>37</v>
      </c>
      <c r="AU1405" s="53">
        <v>4.1666666666666699E-2</v>
      </c>
      <c r="AV1405" s="54" t="s">
        <v>37</v>
      </c>
      <c r="AW1405" s="57">
        <f t="shared" si="187"/>
        <v>0.12500000000000003</v>
      </c>
      <c r="AX1405" s="58" t="s">
        <v>48</v>
      </c>
    </row>
    <row r="1406" spans="1:50" ht="28.5" customHeight="1">
      <c r="A1406" s="66" t="s">
        <v>1196</v>
      </c>
      <c r="B1406" s="39">
        <f t="shared" si="186"/>
        <v>1402</v>
      </c>
      <c r="C1406" s="40">
        <v>46052</v>
      </c>
      <c r="D1406" s="40" t="s">
        <v>32</v>
      </c>
      <c r="E1406" s="40" t="s">
        <v>81</v>
      </c>
      <c r="F1406" s="41">
        <v>516.5</v>
      </c>
      <c r="G1406" s="42" t="s">
        <v>34</v>
      </c>
      <c r="H1406" s="43" t="str">
        <f>IFERROR(VLOOKUP($J1406,'[9]FROM (3)'!$E$4:$F$230,2,FALSE),"")</f>
        <v>KONSEI</v>
      </c>
      <c r="I1406" s="44" t="str">
        <f t="shared" si="185"/>
        <v>Piston Disc Brake, Forging</v>
      </c>
      <c r="J1406" s="44" t="str">
        <f t="shared" si="188"/>
        <v>141411-60140-20</v>
      </c>
      <c r="K1406" s="59" t="str">
        <f t="shared" si="184"/>
        <v>PD26010939</v>
      </c>
      <c r="L1406" s="46" t="str" cm="1">
        <f t="array" ref="L1406">IFERROR(_xlfn.IFS(
    LEN($A1406)-LEN(SUBSTITUTE($A1406,"|",""))=12, RIGHT(A1406, LEN(A1406)-FIND("~", SUBSTITUTE(A1406,"|","~", LEN(A1406)-LEN(SUBSTITUTE(A1406,"|",""))))),
    LEN($A1406)-LEN(SUBSTITUTE($A1406,"|",""))=13, MID($A1406, FIND("~", SUBSTITUTE($A1406,"|","~", 11))+1, FIND("~", SUBSTITUTE($A1406,"|","~", 12))-FIND("~", SUBSTITUTE($A1406,"|","~", 11))-1),
    LEN($A1406)-LEN(SUBSTITUTE($A1406,"|",""))=14, MID($A1406, FIND("~", SUBSTITUTE($A1406,"|","~", 11))+1, FIND("~", SUBSTITUTE($A1406,"|","~", 12))-FIND("~", SUBSTITUTE($A1406,"|","~", 11))-1)
), "")</f>
        <v>663962</v>
      </c>
      <c r="M1406" s="72" t="str">
        <f t="shared" si="183"/>
        <v>2B2600240</v>
      </c>
      <c r="N1406" s="46" t="str">
        <f t="shared" si="175"/>
        <v/>
      </c>
      <c r="O1406" s="76">
        <v>16</v>
      </c>
      <c r="P1406" s="76">
        <v>1952</v>
      </c>
      <c r="Q1406" s="77">
        <v>340</v>
      </c>
      <c r="R1406" s="77">
        <v>176</v>
      </c>
      <c r="S1406" s="77"/>
      <c r="T1406" s="77"/>
      <c r="U1406" s="83"/>
      <c r="V1406" s="83"/>
      <c r="W1406" s="78"/>
      <c r="X1406" s="51" t="str">
        <f>IF(A1406="", "", IF(COUNTIFS(C$3:C1405, C1406, D$3:D1405, D1406, G$3:G1405, G1406) &gt; 0, "", "11:00"-AW1406))</f>
        <v/>
      </c>
      <c r="Y1406" s="79"/>
      <c r="Z1406" s="80"/>
      <c r="AA1406" s="81"/>
      <c r="AB1406" s="81"/>
      <c r="AC1406" s="81"/>
      <c r="AD1406" s="81"/>
      <c r="AE1406" s="81"/>
      <c r="AF1406" s="81"/>
      <c r="AG1406" s="81"/>
      <c r="AH1406" s="82"/>
      <c r="AI1406" s="81"/>
      <c r="AJ1406" s="81"/>
      <c r="AK1406" s="81"/>
      <c r="AL1406" s="81"/>
      <c r="AM1406" s="81"/>
      <c r="AN1406" s="81"/>
      <c r="AO1406" s="81"/>
      <c r="AP1406" s="81"/>
      <c r="AQ1406" s="81">
        <v>4.1666666666666664E-2</v>
      </c>
      <c r="AR1406" s="81" t="s">
        <v>37</v>
      </c>
      <c r="AS1406" s="81">
        <v>4.1666666666666664E-2</v>
      </c>
      <c r="AT1406" s="81" t="s">
        <v>37</v>
      </c>
      <c r="AU1406" s="53">
        <v>4.1666666666666699E-2</v>
      </c>
      <c r="AV1406" s="54" t="s">
        <v>37</v>
      </c>
      <c r="AW1406" s="57">
        <f t="shared" si="187"/>
        <v>0.12500000000000003</v>
      </c>
      <c r="AX1406" s="58" t="s">
        <v>48</v>
      </c>
    </row>
    <row r="1407" spans="1:50" ht="28.5" customHeight="1">
      <c r="A1407" s="66" t="s">
        <v>1161</v>
      </c>
      <c r="B1407" s="39">
        <f t="shared" si="186"/>
        <v>1403</v>
      </c>
      <c r="C1407" s="40">
        <v>46052</v>
      </c>
      <c r="D1407" s="40" t="s">
        <v>32</v>
      </c>
      <c r="E1407" s="40" t="s">
        <v>81</v>
      </c>
      <c r="F1407" s="41">
        <v>85</v>
      </c>
      <c r="G1407" s="42" t="s">
        <v>41</v>
      </c>
      <c r="H1407" s="43" t="str">
        <f>IFERROR(VLOOKUP($J1407,'[9]FROM (3)'!$E$4:$F$230,2,FALSE),"")</f>
        <v>DNTH</v>
      </c>
      <c r="I1407" s="44" t="str">
        <f t="shared" si="185"/>
        <v>Barrel</v>
      </c>
      <c r="J1407" s="44" t="str">
        <f t="shared" si="188"/>
        <v>TG028986-0050</v>
      </c>
      <c r="K1407" s="59" t="str">
        <f t="shared" si="184"/>
        <v>PD26011357</v>
      </c>
      <c r="L1407" s="46" t="str" cm="1">
        <f t="array" ref="L1407">IFERROR(_xlfn.IFS(
    LEN($A1407)-LEN(SUBSTITUTE($A1407,"|",""))=12, RIGHT(A1407, LEN(A1407)-FIND("~", SUBSTITUTE(A1407,"|","~", LEN(A1407)-LEN(SUBSTITUTE(A1407,"|",""))))),
    LEN($A1407)-LEN(SUBSTITUTE($A1407,"|",""))=13, MID($A1407, FIND("~", SUBSTITUTE($A1407,"|","~", 11))+1, FIND("~", SUBSTITUTE($A1407,"|","~", 12))-FIND("~", SUBSTITUTE($A1407,"|","~", 11))-1),
    LEN($A1407)-LEN(SUBSTITUTE($A1407,"|",""))=14, MID($A1407, FIND("~", SUBSTITUTE($A1407,"|","~", 11))+1, FIND("~", SUBSTITUTE($A1407,"|","~", 12))-FIND("~", SUBSTITUTE($A1407,"|","~", 11))-1)
), "")</f>
        <v>E587474</v>
      </c>
      <c r="M1407" s="72" t="str">
        <f t="shared" si="183"/>
        <v>SB010192/1/26</v>
      </c>
      <c r="N1407" s="46" t="str">
        <f t="shared" si="175"/>
        <v/>
      </c>
      <c r="O1407" s="76" t="s">
        <v>35</v>
      </c>
      <c r="P1407" s="76" t="s">
        <v>35</v>
      </c>
      <c r="Q1407" s="77">
        <v>3782</v>
      </c>
      <c r="R1407" s="77">
        <v>321</v>
      </c>
      <c r="S1407" s="77"/>
      <c r="T1407" s="77"/>
      <c r="U1407" s="83"/>
      <c r="V1407" s="83"/>
      <c r="W1407" s="78"/>
      <c r="X1407" s="51">
        <f>IF(A1407="", "", IF(COUNTIFS(C$3:C1406, C1407, D$3:D1406, D1407, G$3:G1406, G1407) &gt; 0, "", "11:00"-AW1407))</f>
        <v>0.33333333333333326</v>
      </c>
      <c r="Y1407" s="79"/>
      <c r="Z1407" s="80"/>
      <c r="AA1407" s="81"/>
      <c r="AB1407" s="81"/>
      <c r="AC1407" s="81"/>
      <c r="AD1407" s="81"/>
      <c r="AE1407" s="81"/>
      <c r="AF1407" s="81"/>
      <c r="AG1407" s="81"/>
      <c r="AH1407" s="82"/>
      <c r="AI1407" s="81"/>
      <c r="AJ1407" s="81"/>
      <c r="AK1407" s="81"/>
      <c r="AL1407" s="81"/>
      <c r="AM1407" s="81"/>
      <c r="AN1407" s="81"/>
      <c r="AO1407" s="81"/>
      <c r="AP1407" s="81"/>
      <c r="AQ1407" s="81">
        <v>4.1666666666666664E-2</v>
      </c>
      <c r="AR1407" s="81" t="s">
        <v>37</v>
      </c>
      <c r="AS1407" s="81">
        <v>4.1666666666666664E-2</v>
      </c>
      <c r="AT1407" s="81" t="s">
        <v>37</v>
      </c>
      <c r="AU1407" s="53">
        <v>4.1666666666666699E-2</v>
      </c>
      <c r="AV1407" s="54" t="s">
        <v>37</v>
      </c>
      <c r="AW1407" s="57">
        <f t="shared" si="187"/>
        <v>0.12500000000000003</v>
      </c>
      <c r="AX1407" s="58" t="s">
        <v>48</v>
      </c>
    </row>
    <row r="1408" spans="1:50" ht="28.5" customHeight="1">
      <c r="A1408" s="66" t="s">
        <v>1197</v>
      </c>
      <c r="B1408" s="39">
        <f t="shared" si="186"/>
        <v>1404</v>
      </c>
      <c r="C1408" s="40">
        <v>46052</v>
      </c>
      <c r="D1408" s="40" t="s">
        <v>32</v>
      </c>
      <c r="E1408" s="40" t="s">
        <v>81</v>
      </c>
      <c r="F1408" s="41">
        <v>85</v>
      </c>
      <c r="G1408" s="42" t="s">
        <v>41</v>
      </c>
      <c r="H1408" s="43" t="str">
        <f>IFERROR(VLOOKUP($J1408,'[9]FROM (3)'!$E$4:$F$230,2,FALSE),"")</f>
        <v>DNTH</v>
      </c>
      <c r="I1408" s="44" t="str">
        <f t="shared" si="185"/>
        <v>Barrel</v>
      </c>
      <c r="J1408" s="44" t="str">
        <f t="shared" si="188"/>
        <v>TG028986-0050</v>
      </c>
      <c r="K1408" s="59" t="str">
        <f t="shared" si="184"/>
        <v>PD26011357</v>
      </c>
      <c r="L1408" s="46" t="str" cm="1">
        <f t="array" ref="L1408">IFERROR(_xlfn.IFS(
    LEN($A1408)-LEN(SUBSTITUTE($A1408,"|",""))=12, RIGHT(A1408, LEN(A1408)-FIND("~", SUBSTITUTE(A1408,"|","~", LEN(A1408)-LEN(SUBSTITUTE(A1408,"|",""))))),
    LEN($A1408)-LEN(SUBSTITUTE($A1408,"|",""))=13, MID($A1408, FIND("~", SUBSTITUTE($A1408,"|","~", 11))+1, FIND("~", SUBSTITUTE($A1408,"|","~", 12))-FIND("~", SUBSTITUTE($A1408,"|","~", 11))-1),
    LEN($A1408)-LEN(SUBSTITUTE($A1408,"|",""))=14, MID($A1408, FIND("~", SUBSTITUTE($A1408,"|","~", 11))+1, FIND("~", SUBSTITUTE($A1408,"|","~", 12))-FIND("~", SUBSTITUTE($A1408,"|","~", 11))-1)
), "")</f>
        <v>E587474</v>
      </c>
      <c r="M1408" s="72" t="str">
        <f t="shared" si="183"/>
        <v>SB010192/2/26</v>
      </c>
      <c r="N1408" s="46" t="str">
        <f t="shared" si="175"/>
        <v/>
      </c>
      <c r="O1408" s="76">
        <v>76</v>
      </c>
      <c r="P1408" s="76">
        <v>1045</v>
      </c>
      <c r="Q1408" s="77">
        <v>670</v>
      </c>
      <c r="R1408" s="77">
        <v>57</v>
      </c>
      <c r="S1408" s="77"/>
      <c r="T1408" s="77"/>
      <c r="U1408" s="83"/>
      <c r="V1408" s="83"/>
      <c r="W1408" s="78"/>
      <c r="X1408" s="51" t="str">
        <f>IF(A1408="", "", IF(COUNTIFS(C$3:C1407, C1408, D$3:D1407, D1408, G$3:G1407, G1408) &gt; 0, "", "11:00"-AW1408))</f>
        <v/>
      </c>
      <c r="Y1408" s="79"/>
      <c r="Z1408" s="80"/>
      <c r="AA1408" s="81"/>
      <c r="AB1408" s="81"/>
      <c r="AC1408" s="81"/>
      <c r="AD1408" s="81"/>
      <c r="AE1408" s="81"/>
      <c r="AF1408" s="81"/>
      <c r="AG1408" s="81"/>
      <c r="AH1408" s="82"/>
      <c r="AI1408" s="81"/>
      <c r="AJ1408" s="81"/>
      <c r="AK1408" s="81"/>
      <c r="AL1408" s="81"/>
      <c r="AM1408" s="81"/>
      <c r="AN1408" s="81"/>
      <c r="AO1408" s="81"/>
      <c r="AP1408" s="81"/>
      <c r="AQ1408" s="81">
        <v>4.1666666666666664E-2</v>
      </c>
      <c r="AR1408" s="81" t="s">
        <v>37</v>
      </c>
      <c r="AS1408" s="81">
        <v>4.1666666666666664E-2</v>
      </c>
      <c r="AT1408" s="81" t="s">
        <v>37</v>
      </c>
      <c r="AU1408" s="53">
        <v>4.1666666666666699E-2</v>
      </c>
      <c r="AV1408" s="54" t="s">
        <v>37</v>
      </c>
      <c r="AW1408" s="57">
        <f t="shared" si="187"/>
        <v>0.12500000000000003</v>
      </c>
      <c r="AX1408" s="58" t="s">
        <v>48</v>
      </c>
    </row>
    <row r="1409" spans="1:50" ht="28.5" customHeight="1">
      <c r="A1409" s="66" t="s">
        <v>1168</v>
      </c>
      <c r="B1409" s="39">
        <f t="shared" si="186"/>
        <v>1405</v>
      </c>
      <c r="C1409" s="40">
        <v>46052</v>
      </c>
      <c r="D1409" s="40" t="s">
        <v>32</v>
      </c>
      <c r="E1409" s="40" t="s">
        <v>81</v>
      </c>
      <c r="F1409" s="41">
        <v>198.2</v>
      </c>
      <c r="G1409" s="42" t="s">
        <v>44</v>
      </c>
      <c r="H1409" s="43" t="str">
        <f>IFERROR(VLOOKUP($J1409,'[9]FROM (3)'!$E$4:$F$230,2,FALSE),"")</f>
        <v>DNTH</v>
      </c>
      <c r="I1409" s="44" t="str">
        <f t="shared" si="185"/>
        <v>SLUG VALVE ROTARY</v>
      </c>
      <c r="J1409" s="44" t="str">
        <f t="shared" si="188"/>
        <v>TGY95613-0020</v>
      </c>
      <c r="K1409" s="59" t="str">
        <f t="shared" si="184"/>
        <v>PD26011087</v>
      </c>
      <c r="L1409" s="46" t="str" cm="1">
        <f t="array" ref="L1409">IFERROR(_xlfn.IFS(
    LEN($A1409)-LEN(SUBSTITUTE($A1409,"|",""))=12, RIGHT(A1409, LEN(A1409)-FIND("~", SUBSTITUTE(A1409,"|","~", LEN(A1409)-LEN(SUBSTITUTE(A1409,"|",""))))),
    LEN($A1409)-LEN(SUBSTITUTE($A1409,"|",""))=13, MID($A1409, FIND("~", SUBSTITUTE($A1409,"|","~", 11))+1, FIND("~", SUBSTITUTE($A1409,"|","~", 12))-FIND("~", SUBSTITUTE($A1409,"|","~", 11))-1),
    LEN($A1409)-LEN(SUBSTITUTE($A1409,"|",""))=14, MID($A1409, FIND("~", SUBSTITUTE($A1409,"|","~", 11))+1, FIND("~", SUBSTITUTE($A1409,"|","~", 12))-FIND("~", SUBSTITUTE($A1409,"|","~", 11))-1)
), "")</f>
        <v>E587528</v>
      </c>
      <c r="M1409" s="72" t="str">
        <f t="shared" si="183"/>
        <v>SB010152/1/26</v>
      </c>
      <c r="N1409" s="46" t="str">
        <f t="shared" si="175"/>
        <v/>
      </c>
      <c r="O1409" s="76" t="s">
        <v>35</v>
      </c>
      <c r="P1409" s="76" t="s">
        <v>35</v>
      </c>
      <c r="Q1409" s="77">
        <v>2668</v>
      </c>
      <c r="R1409" s="77">
        <v>529</v>
      </c>
      <c r="S1409" s="77"/>
      <c r="T1409" s="77"/>
      <c r="U1409" s="83">
        <v>41</v>
      </c>
      <c r="V1409" s="83">
        <v>97</v>
      </c>
      <c r="W1409" s="78"/>
      <c r="X1409" s="51">
        <f>IF(A1409="", "", IF(COUNTIFS(C$3:C1408, C1409, D$3:D1408, D1409, G$3:G1408, G1409) &gt; 0, "", "11:00"-AW1409))</f>
        <v>0.26388888888888884</v>
      </c>
      <c r="Y1409" s="79"/>
      <c r="Z1409" s="80"/>
      <c r="AA1409" s="81"/>
      <c r="AB1409" s="81"/>
      <c r="AC1409" s="81"/>
      <c r="AD1409" s="81"/>
      <c r="AE1409" s="81"/>
      <c r="AF1409" s="81"/>
      <c r="AG1409" s="81"/>
      <c r="AH1409" s="82"/>
      <c r="AI1409" s="81"/>
      <c r="AJ1409" s="81"/>
      <c r="AK1409" s="81"/>
      <c r="AL1409" s="81"/>
      <c r="AM1409" s="81">
        <v>2.7777777777777776E-2</v>
      </c>
      <c r="AN1409" s="81" t="s">
        <v>129</v>
      </c>
      <c r="AO1409" s="81">
        <v>4.1666666666666664E-2</v>
      </c>
      <c r="AP1409" s="81" t="s">
        <v>129</v>
      </c>
      <c r="AQ1409" s="81">
        <v>4.1666666666666664E-2</v>
      </c>
      <c r="AR1409" s="81" t="s">
        <v>37</v>
      </c>
      <c r="AS1409" s="81">
        <v>4.1666666666666664E-2</v>
      </c>
      <c r="AT1409" s="81" t="s">
        <v>37</v>
      </c>
      <c r="AU1409" s="53">
        <v>4.1666666666666699E-2</v>
      </c>
      <c r="AV1409" s="54" t="s">
        <v>37</v>
      </c>
      <c r="AW1409" s="57">
        <f t="shared" si="187"/>
        <v>0.19444444444444448</v>
      </c>
      <c r="AX1409" s="58" t="s">
        <v>48</v>
      </c>
    </row>
    <row r="1410" spans="1:50" ht="28.5" customHeight="1">
      <c r="A1410" s="66" t="s">
        <v>1198</v>
      </c>
      <c r="B1410" s="39">
        <f t="shared" si="186"/>
        <v>1406</v>
      </c>
      <c r="C1410" s="40">
        <v>46052</v>
      </c>
      <c r="D1410" s="40" t="s">
        <v>32</v>
      </c>
      <c r="E1410" s="40" t="s">
        <v>81</v>
      </c>
      <c r="F1410" s="41">
        <v>698.5</v>
      </c>
      <c r="G1410" s="42" t="s">
        <v>54</v>
      </c>
      <c r="H1410" s="43" t="str">
        <f>IFERROR(VLOOKUP($J1410,'[9]FROM (3)'!$E$4:$F$230,2,FALSE),"")</f>
        <v>JCTTH</v>
      </c>
      <c r="I1410" s="44" t="str">
        <f t="shared" si="185"/>
        <v>RACK BAR</v>
      </c>
      <c r="J1410" s="44" t="str">
        <f t="shared" si="188"/>
        <v>JGD10-000751/000761-A</v>
      </c>
      <c r="K1410" s="59" t="str">
        <f t="shared" si="184"/>
        <v>PD26011004</v>
      </c>
      <c r="L1410" s="46" t="str" cm="1">
        <f t="array" ref="L1410">IFERROR(_xlfn.IFS(
    LEN($A1410)-LEN(SUBSTITUTE($A1410,"|",""))=12, RIGHT(A1410, LEN(A1410)-FIND("~", SUBSTITUTE(A1410,"|","~", LEN(A1410)-LEN(SUBSTITUTE(A1410,"|",""))))),
    LEN($A1410)-LEN(SUBSTITUTE($A1410,"|",""))=13, MID($A1410, FIND("~", SUBSTITUTE($A1410,"|","~", 11))+1, FIND("~", SUBSTITUTE($A1410,"|","~", 12))-FIND("~", SUBSTITUTE($A1410,"|","~", 11))-1),
    LEN($A1410)-LEN(SUBSTITUTE($A1410,"|",""))=14, MID($A1410, FIND("~", SUBSTITUTE($A1410,"|","~", 11))+1, FIND("~", SUBSTITUTE($A1410,"|","~", 12))-FIND("~", SUBSTITUTE($A1410,"|","~", 11))-1)
), "")</f>
        <v>665077</v>
      </c>
      <c r="M1410" s="72" t="str">
        <f t="shared" si="183"/>
        <v>SB010129/6/26</v>
      </c>
      <c r="N1410" s="46" t="str">
        <f t="shared" si="175"/>
        <v/>
      </c>
      <c r="O1410" s="76">
        <v>2</v>
      </c>
      <c r="P1410" s="76">
        <v>37</v>
      </c>
      <c r="Q1410" s="77">
        <v>6</v>
      </c>
      <c r="R1410" s="77">
        <v>27</v>
      </c>
      <c r="S1410" s="77">
        <v>2</v>
      </c>
      <c r="T1410" s="77" t="s">
        <v>143</v>
      </c>
      <c r="U1410" s="83"/>
      <c r="V1410" s="83"/>
      <c r="W1410" s="78"/>
      <c r="X1410" s="51">
        <f>IF(A1410="", "", IF(COUNTIFS(C$3:C1409, C1410, D$3:D1409, D1410, G$3:G1409, G1410) &gt; 0, "", "11:00"-AW1410))</f>
        <v>0.29166666666666663</v>
      </c>
      <c r="Y1410" s="79"/>
      <c r="Z1410" s="80"/>
      <c r="AA1410" s="81"/>
      <c r="AB1410" s="81"/>
      <c r="AC1410" s="81"/>
      <c r="AD1410" s="81"/>
      <c r="AE1410" s="81"/>
      <c r="AF1410" s="81"/>
      <c r="AG1410" s="81"/>
      <c r="AH1410" s="82"/>
      <c r="AI1410" s="81"/>
      <c r="AJ1410" s="81"/>
      <c r="AK1410" s="81"/>
      <c r="AL1410" s="81"/>
      <c r="AM1410" s="81">
        <v>2.7777777777777776E-2</v>
      </c>
      <c r="AN1410" s="81" t="s">
        <v>67</v>
      </c>
      <c r="AO1410" s="81">
        <v>1.3888888888888888E-2</v>
      </c>
      <c r="AP1410" s="81" t="s">
        <v>67</v>
      </c>
      <c r="AQ1410" s="81">
        <v>4.1666666666666664E-2</v>
      </c>
      <c r="AR1410" s="81" t="s">
        <v>37</v>
      </c>
      <c r="AS1410" s="81">
        <v>4.1666666666666664E-2</v>
      </c>
      <c r="AT1410" s="81" t="s">
        <v>37</v>
      </c>
      <c r="AU1410" s="53">
        <v>4.1666666666666699E-2</v>
      </c>
      <c r="AV1410" s="54" t="s">
        <v>37</v>
      </c>
      <c r="AW1410" s="57">
        <f t="shared" si="187"/>
        <v>0.16666666666666669</v>
      </c>
      <c r="AX1410" s="58" t="s">
        <v>56</v>
      </c>
    </row>
    <row r="1411" spans="1:50" ht="28.5" customHeight="1">
      <c r="A1411" s="66" t="s">
        <v>1199</v>
      </c>
      <c r="B1411" s="39">
        <f t="shared" si="186"/>
        <v>1407</v>
      </c>
      <c r="C1411" s="40">
        <v>46052</v>
      </c>
      <c r="D1411" s="40" t="s">
        <v>32</v>
      </c>
      <c r="E1411" s="40" t="s">
        <v>81</v>
      </c>
      <c r="F1411" s="41">
        <v>698.5</v>
      </c>
      <c r="G1411" s="42" t="s">
        <v>54</v>
      </c>
      <c r="H1411" s="43" t="str">
        <f>IFERROR(VLOOKUP($J1411,'[9]FROM (3)'!$E$4:$F$230,2,FALSE),"")</f>
        <v>JCTTH</v>
      </c>
      <c r="I1411" s="44" t="str">
        <f t="shared" si="185"/>
        <v>RACK BAR</v>
      </c>
      <c r="J1411" s="44" t="str">
        <f t="shared" si="188"/>
        <v>JGD10-000751/000761-A</v>
      </c>
      <c r="K1411" s="59" t="str">
        <f t="shared" si="184"/>
        <v>PD26011004</v>
      </c>
      <c r="L1411" s="46" t="str" cm="1">
        <f t="array" ref="L1411">IFERROR(_xlfn.IFS(
    LEN($A1411)-LEN(SUBSTITUTE($A1411,"|",""))=12, RIGHT(A1411, LEN(A1411)-FIND("~", SUBSTITUTE(A1411,"|","~", LEN(A1411)-LEN(SUBSTITUTE(A1411,"|",""))))),
    LEN($A1411)-LEN(SUBSTITUTE($A1411,"|",""))=13, MID($A1411, FIND("~", SUBSTITUTE($A1411,"|","~", 11))+1, FIND("~", SUBSTITUTE($A1411,"|","~", 12))-FIND("~", SUBSTITUTE($A1411,"|","~", 11))-1),
    LEN($A1411)-LEN(SUBSTITUTE($A1411,"|",""))=14, MID($A1411, FIND("~", SUBSTITUTE($A1411,"|","~", 11))+1, FIND("~", SUBSTITUTE($A1411,"|","~", 12))-FIND("~", SUBSTITUTE($A1411,"|","~", 11))-1)
), "")</f>
        <v>665077</v>
      </c>
      <c r="M1411" s="72" t="str">
        <f t="shared" si="183"/>
        <v>SB010129/5/26</v>
      </c>
      <c r="N1411" s="46" t="str">
        <f t="shared" si="175"/>
        <v/>
      </c>
      <c r="O1411" s="76">
        <v>18</v>
      </c>
      <c r="P1411" s="76">
        <v>348</v>
      </c>
      <c r="Q1411" s="77">
        <v>72</v>
      </c>
      <c r="R1411" s="77">
        <v>322</v>
      </c>
      <c r="S1411" s="77"/>
      <c r="T1411" s="77"/>
      <c r="U1411" s="83"/>
      <c r="V1411" s="83"/>
      <c r="W1411" s="78"/>
      <c r="X1411" s="51" t="str">
        <f>IF(A1411="", "", IF(COUNTIFS(C$3:C1410, C1411, D$3:D1410, D1411, G$3:G1410, G1411) &gt; 0, "", "11:00"-AW1411))</f>
        <v/>
      </c>
      <c r="Y1411" s="79"/>
      <c r="Z1411" s="80"/>
      <c r="AA1411" s="81"/>
      <c r="AB1411" s="81"/>
      <c r="AC1411" s="81"/>
      <c r="AD1411" s="81"/>
      <c r="AE1411" s="81"/>
      <c r="AF1411" s="81"/>
      <c r="AG1411" s="81"/>
      <c r="AH1411" s="82"/>
      <c r="AI1411" s="81"/>
      <c r="AJ1411" s="81"/>
      <c r="AK1411" s="81"/>
      <c r="AL1411" s="81"/>
      <c r="AM1411" s="81"/>
      <c r="AN1411" s="81"/>
      <c r="AO1411" s="81"/>
      <c r="AP1411" s="81"/>
      <c r="AQ1411" s="81"/>
      <c r="AR1411" s="81"/>
      <c r="AS1411" s="81"/>
      <c r="AT1411" s="81"/>
      <c r="AU1411" s="53">
        <v>4.1666666666666699E-2</v>
      </c>
      <c r="AV1411" s="54" t="s">
        <v>37</v>
      </c>
      <c r="AW1411" s="57">
        <f t="shared" si="187"/>
        <v>4.1666666666666699E-2</v>
      </c>
      <c r="AX1411" s="58" t="s">
        <v>56</v>
      </c>
    </row>
    <row r="1412" spans="1:50" ht="28.5" customHeight="1">
      <c r="A1412" s="66" t="s">
        <v>1200</v>
      </c>
      <c r="B1412" s="39">
        <f t="shared" si="186"/>
        <v>1408</v>
      </c>
      <c r="C1412" s="40">
        <v>46052</v>
      </c>
      <c r="D1412" s="40" t="s">
        <v>32</v>
      </c>
      <c r="E1412" s="40" t="s">
        <v>81</v>
      </c>
      <c r="F1412" s="41">
        <v>698.5</v>
      </c>
      <c r="G1412" s="42" t="s">
        <v>54</v>
      </c>
      <c r="H1412" s="43" t="str">
        <f>IFERROR(VLOOKUP($J1412,'[9]FROM (3)'!$E$4:$F$230,2,FALSE),"")</f>
        <v>JCTTH</v>
      </c>
      <c r="I1412" s="44" t="str">
        <f t="shared" si="185"/>
        <v>RACK BAR</v>
      </c>
      <c r="J1412" s="44" t="str">
        <f t="shared" si="188"/>
        <v>JGD10-000751/000761-A</v>
      </c>
      <c r="K1412" s="59" t="str">
        <f t="shared" si="184"/>
        <v>PD26011004</v>
      </c>
      <c r="L1412" s="46" t="str" cm="1">
        <f t="array" ref="L1412">IFERROR(_xlfn.IFS(
    LEN($A1412)-LEN(SUBSTITUTE($A1412,"|",""))=12, RIGHT(A1412, LEN(A1412)-FIND("~", SUBSTITUTE(A1412,"|","~", LEN(A1412)-LEN(SUBSTITUTE(A1412,"|",""))))),
    LEN($A1412)-LEN(SUBSTITUTE($A1412,"|",""))=13, MID($A1412, FIND("~", SUBSTITUTE($A1412,"|","~", 11))+1, FIND("~", SUBSTITUTE($A1412,"|","~", 12))-FIND("~", SUBSTITUTE($A1412,"|","~", 11))-1),
    LEN($A1412)-LEN(SUBSTITUTE($A1412,"|",""))=14, MID($A1412, FIND("~", SUBSTITUTE($A1412,"|","~", 11))+1, FIND("~", SUBSTITUTE($A1412,"|","~", 12))-FIND("~", SUBSTITUTE($A1412,"|","~", 11))-1)
), "")</f>
        <v>665077</v>
      </c>
      <c r="M1412" s="72" t="str">
        <f t="shared" ref="M1412:M1475" si="189">IFERROR(MID(A1412,FIND("~",SUBSTITUTE(A1412,"|","~",10))+1,FIND("~",SUBSTITUTE(A1412,"|","~",11))-FIND("~",SUBSTITUTE(A1412,"|","~",10))-1),"")</f>
        <v>SB010129/4/26</v>
      </c>
      <c r="N1412" s="46" t="str">
        <f t="shared" si="175"/>
        <v/>
      </c>
      <c r="O1412" s="76">
        <v>51</v>
      </c>
      <c r="P1412" s="76">
        <v>984</v>
      </c>
      <c r="Q1412" s="77">
        <v>204</v>
      </c>
      <c r="R1412" s="77">
        <v>913</v>
      </c>
      <c r="S1412" s="77"/>
      <c r="T1412" s="77"/>
      <c r="U1412" s="83">
        <v>90</v>
      </c>
      <c r="V1412" s="83">
        <v>5</v>
      </c>
      <c r="W1412" s="78"/>
      <c r="X1412" s="51" t="str">
        <f>IF(A1412="", "", IF(COUNTIFS(C$3:C1411, C1412, D$3:D1411, D1412, G$3:G1411, G1412) &gt; 0, "", "11:00"-AW1412))</f>
        <v/>
      </c>
      <c r="Y1412" s="79"/>
      <c r="Z1412" s="80"/>
      <c r="AA1412" s="81"/>
      <c r="AB1412" s="81"/>
      <c r="AC1412" s="81"/>
      <c r="AD1412" s="81"/>
      <c r="AE1412" s="81"/>
      <c r="AF1412" s="81"/>
      <c r="AG1412" s="81"/>
      <c r="AH1412" s="82"/>
      <c r="AI1412" s="81"/>
      <c r="AJ1412" s="81"/>
      <c r="AK1412" s="81"/>
      <c r="AL1412" s="81"/>
      <c r="AM1412" s="81"/>
      <c r="AN1412" s="81"/>
      <c r="AO1412" s="81"/>
      <c r="AP1412" s="81"/>
      <c r="AQ1412" s="81"/>
      <c r="AR1412" s="81"/>
      <c r="AS1412" s="81"/>
      <c r="AT1412" s="81"/>
      <c r="AU1412" s="53">
        <v>4.1666666666666699E-2</v>
      </c>
      <c r="AV1412" s="54" t="s">
        <v>37</v>
      </c>
      <c r="AW1412" s="57">
        <f t="shared" si="187"/>
        <v>4.1666666666666699E-2</v>
      </c>
      <c r="AX1412" s="58" t="s">
        <v>56</v>
      </c>
    </row>
    <row r="1413" spans="1:50" ht="28.5" customHeight="1">
      <c r="A1413" s="66" t="s">
        <v>1201</v>
      </c>
      <c r="B1413" s="39">
        <f t="shared" si="186"/>
        <v>1409</v>
      </c>
      <c r="C1413" s="40">
        <v>46052</v>
      </c>
      <c r="D1413" s="40" t="s">
        <v>32</v>
      </c>
      <c r="E1413" s="40" t="s">
        <v>81</v>
      </c>
      <c r="F1413" s="41">
        <v>698.5</v>
      </c>
      <c r="G1413" s="42" t="s">
        <v>54</v>
      </c>
      <c r="H1413" s="43" t="str">
        <f>IFERROR(VLOOKUP($J1413,'[9]FROM (3)'!$E$4:$F$230,2,FALSE),"")</f>
        <v>JCTTH</v>
      </c>
      <c r="I1413" s="44" t="str">
        <f t="shared" si="185"/>
        <v>RACK BAR</v>
      </c>
      <c r="J1413" s="44" t="str">
        <f t="shared" si="188"/>
        <v>JGD10-000751/000761-A</v>
      </c>
      <c r="K1413" s="59" t="str">
        <f t="shared" si="184"/>
        <v>PD26011233</v>
      </c>
      <c r="L1413" s="46" t="str" cm="1">
        <f t="array" ref="L1413">IFERROR(_xlfn.IFS(
    LEN($A1413)-LEN(SUBSTITUTE($A1413,"|",""))=12, RIGHT(A1413, LEN(A1413)-FIND("~", SUBSTITUTE(A1413,"|","~", LEN(A1413)-LEN(SUBSTITUTE(A1413,"|",""))))),
    LEN($A1413)-LEN(SUBSTITUTE($A1413,"|",""))=13, MID($A1413, FIND("~", SUBSTITUTE($A1413,"|","~", 11))+1, FIND("~", SUBSTITUTE($A1413,"|","~", 12))-FIND("~", SUBSTITUTE($A1413,"|","~", 11))-1),
    LEN($A1413)-LEN(SUBSTITUTE($A1413,"|",""))=14, MID($A1413, FIND("~", SUBSTITUTE($A1413,"|","~", 11))+1, FIND("~", SUBSTITUTE($A1413,"|","~", 12))-FIND("~", SUBSTITUTE($A1413,"|","~", 11))-1)
), "")</f>
        <v>665484</v>
      </c>
      <c r="M1413" s="72" t="str">
        <f t="shared" si="189"/>
        <v>SB010165/1/26</v>
      </c>
      <c r="N1413" s="46" t="str">
        <f t="shared" si="175"/>
        <v/>
      </c>
      <c r="O1413" s="76">
        <v>51</v>
      </c>
      <c r="P1413" s="76">
        <v>988</v>
      </c>
      <c r="Q1413" s="77">
        <v>204</v>
      </c>
      <c r="R1413" s="77">
        <v>913</v>
      </c>
      <c r="S1413" s="77"/>
      <c r="T1413" s="77"/>
      <c r="U1413" s="83"/>
      <c r="V1413" s="83"/>
      <c r="W1413" s="78"/>
      <c r="X1413" s="51" t="str">
        <f>IF(A1413="", "", IF(COUNTIFS(C$3:C1412, C1413, D$3:D1412, D1413, G$3:G1412, G1413) &gt; 0, "", "11:00"-AW1413))</f>
        <v/>
      </c>
      <c r="Y1413" s="79"/>
      <c r="Z1413" s="80"/>
      <c r="AA1413" s="81"/>
      <c r="AB1413" s="81"/>
      <c r="AC1413" s="81"/>
      <c r="AD1413" s="81"/>
      <c r="AE1413" s="81"/>
      <c r="AF1413" s="81"/>
      <c r="AG1413" s="81"/>
      <c r="AH1413" s="82"/>
      <c r="AI1413" s="81"/>
      <c r="AJ1413" s="81"/>
      <c r="AK1413" s="81"/>
      <c r="AL1413" s="81"/>
      <c r="AM1413" s="81"/>
      <c r="AN1413" s="81"/>
      <c r="AO1413" s="81"/>
      <c r="AP1413" s="81"/>
      <c r="AQ1413" s="81"/>
      <c r="AR1413" s="81"/>
      <c r="AS1413" s="81"/>
      <c r="AT1413" s="81"/>
      <c r="AU1413" s="53">
        <v>4.1666666666666699E-2</v>
      </c>
      <c r="AV1413" s="54" t="s">
        <v>37</v>
      </c>
      <c r="AW1413" s="57">
        <f t="shared" si="187"/>
        <v>4.1666666666666699E-2</v>
      </c>
      <c r="AX1413" s="58" t="s">
        <v>56</v>
      </c>
    </row>
    <row r="1414" spans="1:50" ht="28.5" customHeight="1">
      <c r="A1414" s="66" t="s">
        <v>1202</v>
      </c>
      <c r="B1414" s="39">
        <f t="shared" si="186"/>
        <v>1410</v>
      </c>
      <c r="C1414" s="40">
        <v>46052</v>
      </c>
      <c r="D1414" s="40" t="s">
        <v>32</v>
      </c>
      <c r="E1414" s="40" t="s">
        <v>81</v>
      </c>
      <c r="F1414" s="41">
        <v>698.5</v>
      </c>
      <c r="G1414" s="42" t="s">
        <v>54</v>
      </c>
      <c r="H1414" s="43" t="str">
        <f>IFERROR(VLOOKUP($J1414,'[9]FROM (3)'!$E$4:$F$230,2,FALSE),"")</f>
        <v>JCTTH</v>
      </c>
      <c r="I1414" s="44" t="str">
        <f t="shared" si="185"/>
        <v>RACK BAR</v>
      </c>
      <c r="J1414" s="44" t="str">
        <f t="shared" si="188"/>
        <v>JGD10-000751/000761-A</v>
      </c>
      <c r="K1414" s="59" t="str">
        <f t="shared" ref="K1414:K1477" si="190">IFERROR(LEFT(A1414,SEARCH("|",A1414)-1),"")</f>
        <v>PD26011233</v>
      </c>
      <c r="L1414" s="46" t="str" cm="1">
        <f t="array" ref="L1414">IFERROR(_xlfn.IFS(
    LEN($A1414)-LEN(SUBSTITUTE($A1414,"|",""))=12, RIGHT(A1414, LEN(A1414)-FIND("~", SUBSTITUTE(A1414,"|","~", LEN(A1414)-LEN(SUBSTITUTE(A1414,"|",""))))),
    LEN($A1414)-LEN(SUBSTITUTE($A1414,"|",""))=13, MID($A1414, FIND("~", SUBSTITUTE($A1414,"|","~", 11))+1, FIND("~", SUBSTITUTE($A1414,"|","~", 12))-FIND("~", SUBSTITUTE($A1414,"|","~", 11))-1),
    LEN($A1414)-LEN(SUBSTITUTE($A1414,"|",""))=14, MID($A1414, FIND("~", SUBSTITUTE($A1414,"|","~", 11))+1, FIND("~", SUBSTITUTE($A1414,"|","~", 12))-FIND("~", SUBSTITUTE($A1414,"|","~", 11))-1)
), "")</f>
        <v>665484</v>
      </c>
      <c r="M1414" s="72" t="str">
        <f t="shared" si="189"/>
        <v>SB010165/2/26</v>
      </c>
      <c r="N1414" s="46" t="str">
        <f t="shared" si="175"/>
        <v/>
      </c>
      <c r="O1414" s="76">
        <v>51</v>
      </c>
      <c r="P1414" s="76">
        <v>988</v>
      </c>
      <c r="Q1414" s="77">
        <v>204</v>
      </c>
      <c r="R1414" s="77">
        <v>913</v>
      </c>
      <c r="S1414" s="77"/>
      <c r="T1414" s="77"/>
      <c r="U1414" s="83">
        <v>130</v>
      </c>
      <c r="V1414" s="83">
        <v>7</v>
      </c>
      <c r="W1414" s="78"/>
      <c r="X1414" s="51" t="str">
        <f>IF(A1414="", "", IF(COUNTIFS(C$3:C1413, C1414, D$3:D1413, D1414, G$3:G1413, G1414) &gt; 0, "", "11:00"-AW1414))</f>
        <v/>
      </c>
      <c r="Y1414" s="79"/>
      <c r="Z1414" s="80"/>
      <c r="AA1414" s="81"/>
      <c r="AB1414" s="81"/>
      <c r="AC1414" s="81"/>
      <c r="AD1414" s="81"/>
      <c r="AE1414" s="81"/>
      <c r="AF1414" s="81"/>
      <c r="AG1414" s="81"/>
      <c r="AH1414" s="82"/>
      <c r="AI1414" s="81"/>
      <c r="AJ1414" s="81"/>
      <c r="AK1414" s="81"/>
      <c r="AL1414" s="81"/>
      <c r="AM1414" s="81"/>
      <c r="AN1414" s="81"/>
      <c r="AO1414" s="81"/>
      <c r="AP1414" s="81"/>
      <c r="AQ1414" s="81"/>
      <c r="AR1414" s="81"/>
      <c r="AS1414" s="81"/>
      <c r="AT1414" s="81"/>
      <c r="AU1414" s="53">
        <v>4.1666666666666699E-2</v>
      </c>
      <c r="AV1414" s="54" t="s">
        <v>37</v>
      </c>
      <c r="AW1414" s="57">
        <f t="shared" si="187"/>
        <v>4.1666666666666699E-2</v>
      </c>
      <c r="AX1414" s="58" t="s">
        <v>56</v>
      </c>
    </row>
    <row r="1415" spans="1:50" ht="28.5" customHeight="1">
      <c r="A1415" s="66" t="s">
        <v>1203</v>
      </c>
      <c r="B1415" s="39">
        <f t="shared" si="186"/>
        <v>1411</v>
      </c>
      <c r="C1415" s="40">
        <v>46052</v>
      </c>
      <c r="D1415" s="40" t="s">
        <v>32</v>
      </c>
      <c r="E1415" s="40" t="s">
        <v>81</v>
      </c>
      <c r="F1415" s="41">
        <v>598.79999999999995</v>
      </c>
      <c r="G1415" s="42" t="s">
        <v>54</v>
      </c>
      <c r="H1415" s="43" t="str">
        <f>IFERROR(VLOOKUP($J1415,'[9]FROM (3)'!$E$4:$F$230,2,FALSE),"")</f>
        <v>JTCS</v>
      </c>
      <c r="I1415" s="44" t="str">
        <f t="shared" ref="I1415:I1478" si="191">IFERROR(MID(A1415,FIND("~",SUBSTITUTE(A1415,"|","~",4))+1,FIND("~",SUBSTITUTE(A1415,"|","~",5))-FIND("~",SUBSTITUTE(A1415,"|","~",4))-1),"")</f>
        <v>RACK, MS</v>
      </c>
      <c r="J1415" s="44" t="str">
        <f t="shared" si="188"/>
        <v>JGC10-001180-S</v>
      </c>
      <c r="K1415" s="59" t="str">
        <f t="shared" si="190"/>
        <v>PD26011345</v>
      </c>
      <c r="L1415" s="46" t="str" cm="1">
        <f t="array" ref="L1415">IFERROR(_xlfn.IFS(
    LEN($A1415)-LEN(SUBSTITUTE($A1415,"|",""))=12, RIGHT(A1415, LEN(A1415)-FIND("~", SUBSTITUTE(A1415,"|","~", LEN(A1415)-LEN(SUBSTITUTE(A1415,"|",""))))),
    LEN($A1415)-LEN(SUBSTITUTE($A1415,"|",""))=13, MID($A1415, FIND("~", SUBSTITUTE($A1415,"|","~", 11))+1, FIND("~", SUBSTITUTE($A1415,"|","~", 12))-FIND("~", SUBSTITUTE($A1415,"|","~", 11))-1),
    LEN($A1415)-LEN(SUBSTITUTE($A1415,"|",""))=14, MID($A1415, FIND("~", SUBSTITUTE($A1415,"|","~", 11))+1, FIND("~", SUBSTITUTE($A1415,"|","~", 12))-FIND("~", SUBSTITUTE($A1415,"|","~", 11))-1)
), "")</f>
        <v>E586613</v>
      </c>
      <c r="M1415" s="72" t="str">
        <f t="shared" si="189"/>
        <v>SB010186/2/26</v>
      </c>
      <c r="N1415" s="46" t="str">
        <f t="shared" si="175"/>
        <v/>
      </c>
      <c r="O1415" s="76">
        <v>80</v>
      </c>
      <c r="P1415" s="76">
        <v>900</v>
      </c>
      <c r="Q1415" s="77">
        <v>83</v>
      </c>
      <c r="R1415" s="77">
        <v>176</v>
      </c>
      <c r="S1415" s="77"/>
      <c r="T1415" s="77"/>
      <c r="U1415" s="83"/>
      <c r="V1415" s="83"/>
      <c r="W1415" s="78"/>
      <c r="X1415" s="51" t="str">
        <f>IF(A1415="", "", IF(COUNTIFS(C$3:C1414, C1415, D$3:D1414, D1415, G$3:G1414, G1415) &gt; 0, "", "11:00"-AW1415))</f>
        <v/>
      </c>
      <c r="Y1415" s="79"/>
      <c r="Z1415" s="80"/>
      <c r="AA1415" s="81"/>
      <c r="AB1415" s="81"/>
      <c r="AC1415" s="81"/>
      <c r="AD1415" s="81"/>
      <c r="AE1415" s="81"/>
      <c r="AF1415" s="81"/>
      <c r="AG1415" s="81"/>
      <c r="AH1415" s="82"/>
      <c r="AI1415" s="81"/>
      <c r="AJ1415" s="81"/>
      <c r="AK1415" s="81"/>
      <c r="AL1415" s="81"/>
      <c r="AM1415" s="81"/>
      <c r="AN1415" s="81"/>
      <c r="AO1415" s="81"/>
      <c r="AP1415" s="81"/>
      <c r="AQ1415" s="81"/>
      <c r="AR1415" s="81"/>
      <c r="AS1415" s="81"/>
      <c r="AT1415" s="81"/>
      <c r="AU1415" s="53">
        <v>4.1666666666666699E-2</v>
      </c>
      <c r="AV1415" s="54" t="s">
        <v>37</v>
      </c>
      <c r="AW1415" s="57">
        <f t="shared" si="187"/>
        <v>4.1666666666666699E-2</v>
      </c>
      <c r="AX1415" s="58" t="s">
        <v>56</v>
      </c>
    </row>
    <row r="1416" spans="1:50" ht="28.5" customHeight="1">
      <c r="A1416" s="66" t="s">
        <v>1204</v>
      </c>
      <c r="B1416" s="39">
        <f t="shared" si="186"/>
        <v>1412</v>
      </c>
      <c r="C1416" s="40">
        <v>46052</v>
      </c>
      <c r="D1416" s="40" t="s">
        <v>32</v>
      </c>
      <c r="E1416" s="40" t="s">
        <v>81</v>
      </c>
      <c r="F1416" s="41">
        <v>565</v>
      </c>
      <c r="G1416" s="42" t="s">
        <v>75</v>
      </c>
      <c r="H1416" s="43" t="str">
        <f>IFERROR(VLOOKUP($J1416,'[9]FROM (3)'!$E$4:$F$230,2,FALSE),"")</f>
        <v>JTCS</v>
      </c>
      <c r="I1416" s="44" t="str">
        <f t="shared" si="191"/>
        <v>Rack, MS</v>
      </c>
      <c r="J1416" s="44" t="str">
        <f t="shared" si="188"/>
        <v>JGC10-003280-40-0</v>
      </c>
      <c r="K1416" s="59" t="str">
        <f t="shared" si="190"/>
        <v>PD26011286</v>
      </c>
      <c r="L1416" s="46" t="str" cm="1">
        <f t="array" ref="L1416">IFERROR(_xlfn.IFS(
    LEN($A1416)-LEN(SUBSTITUTE($A1416,"|",""))=12, RIGHT(A1416, LEN(A1416)-FIND("~", SUBSTITUTE(A1416,"|","~", LEN(A1416)-LEN(SUBSTITUTE(A1416,"|",""))))),
    LEN($A1416)-LEN(SUBSTITUTE($A1416,"|",""))=13, MID($A1416, FIND("~", SUBSTITUTE($A1416,"|","~", 11))+1, FIND("~", SUBSTITUTE($A1416,"|","~", 12))-FIND("~", SUBSTITUTE($A1416,"|","~", 11))-1),
    LEN($A1416)-LEN(SUBSTITUTE($A1416,"|",""))=14, MID($A1416, FIND("~", SUBSTITUTE($A1416,"|","~", 11))+1, FIND("~", SUBSTITUTE($A1416,"|","~", 12))-FIND("~", SUBSTITUTE($A1416,"|","~", 11))-1)
), "")</f>
        <v>E586613</v>
      </c>
      <c r="M1416" s="72" t="str">
        <f t="shared" si="189"/>
        <v>SB010164/1/26</v>
      </c>
      <c r="N1416" s="46" t="str">
        <f t="shared" si="175"/>
        <v/>
      </c>
      <c r="O1416" s="76">
        <v>0</v>
      </c>
      <c r="P1416" s="76">
        <v>0</v>
      </c>
      <c r="Q1416" s="77">
        <v>392</v>
      </c>
      <c r="R1416" s="77">
        <v>786</v>
      </c>
      <c r="S1416" s="77"/>
      <c r="T1416" s="77"/>
      <c r="U1416" s="83">
        <v>313</v>
      </c>
      <c r="V1416" s="83">
        <v>11</v>
      </c>
      <c r="W1416" s="78"/>
      <c r="X1416" s="51">
        <f>IF(A1416="", "", IF(COUNTIFS(C$3:C1415, C1416, D$3:D1415, D1416, G$3:G1415, G1416) &gt; 0, "", "11:00"-AW1416))</f>
        <v>0.33333333333333326</v>
      </c>
      <c r="Y1416" s="79"/>
      <c r="Z1416" s="80"/>
      <c r="AA1416" s="81"/>
      <c r="AB1416" s="81"/>
      <c r="AC1416" s="81"/>
      <c r="AD1416" s="81"/>
      <c r="AE1416" s="81" t="s">
        <v>122</v>
      </c>
      <c r="AF1416" s="81"/>
      <c r="AG1416" s="81"/>
      <c r="AH1416" s="82"/>
      <c r="AI1416" s="81"/>
      <c r="AJ1416" s="81"/>
      <c r="AK1416" s="81"/>
      <c r="AL1416" s="81"/>
      <c r="AM1416" s="81"/>
      <c r="AN1416" s="81"/>
      <c r="AO1416" s="81"/>
      <c r="AP1416" s="81"/>
      <c r="AQ1416" s="81">
        <v>4.1666666666666664E-2</v>
      </c>
      <c r="AR1416" s="81" t="s">
        <v>37</v>
      </c>
      <c r="AS1416" s="81">
        <v>4.1666666666666664E-2</v>
      </c>
      <c r="AT1416" s="81" t="s">
        <v>37</v>
      </c>
      <c r="AU1416" s="53">
        <v>4.1666666666666699E-2</v>
      </c>
      <c r="AV1416" s="54" t="s">
        <v>37</v>
      </c>
      <c r="AW1416" s="57">
        <f t="shared" si="187"/>
        <v>0.12500000000000003</v>
      </c>
      <c r="AX1416" s="58" t="s">
        <v>77</v>
      </c>
    </row>
    <row r="1417" spans="1:50" ht="28.5" customHeight="1">
      <c r="A1417" s="66" t="s">
        <v>1205</v>
      </c>
      <c r="B1417" s="39">
        <f t="shared" si="186"/>
        <v>1413</v>
      </c>
      <c r="C1417" s="40">
        <v>46052</v>
      </c>
      <c r="D1417" s="40" t="s">
        <v>32</v>
      </c>
      <c r="E1417" s="40" t="s">
        <v>81</v>
      </c>
      <c r="F1417" s="41">
        <v>565</v>
      </c>
      <c r="G1417" s="42" t="s">
        <v>75</v>
      </c>
      <c r="H1417" s="43" t="str">
        <f>IFERROR(VLOOKUP($J1417,'[9]FROM (3)'!$E$4:$F$230,2,FALSE),"")</f>
        <v>JTCS</v>
      </c>
      <c r="I1417" s="44" t="str">
        <f t="shared" si="191"/>
        <v>Rack, MS</v>
      </c>
      <c r="J1417" s="44" t="str">
        <f t="shared" si="188"/>
        <v>JGC10-003280-40-0</v>
      </c>
      <c r="K1417" s="59" t="str">
        <f t="shared" si="190"/>
        <v>PD26011287</v>
      </c>
      <c r="L1417" s="46" t="str" cm="1">
        <f t="array" ref="L1417">IFERROR(_xlfn.IFS(
    LEN($A1417)-LEN(SUBSTITUTE($A1417,"|",""))=12, RIGHT(A1417, LEN(A1417)-FIND("~", SUBSTITUTE(A1417,"|","~", LEN(A1417)-LEN(SUBSTITUTE(A1417,"|",""))))),
    LEN($A1417)-LEN(SUBSTITUTE($A1417,"|",""))=13, MID($A1417, FIND("~", SUBSTITUTE($A1417,"|","~", 11))+1, FIND("~", SUBSTITUTE($A1417,"|","~", 12))-FIND("~", SUBSTITUTE($A1417,"|","~", 11))-1),
    LEN($A1417)-LEN(SUBSTITUTE($A1417,"|",""))=14, MID($A1417, FIND("~", SUBSTITUTE($A1417,"|","~", 11))+1, FIND("~", SUBSTITUTE($A1417,"|","~", 12))-FIND("~", SUBSTITUTE($A1417,"|","~", 11))-1)
), "")</f>
        <v>E586613</v>
      </c>
      <c r="M1417" s="72" t="str">
        <f t="shared" si="189"/>
        <v>SB010164/5/26</v>
      </c>
      <c r="N1417" s="46" t="str">
        <f t="shared" si="175"/>
        <v/>
      </c>
      <c r="O1417" s="76">
        <v>70</v>
      </c>
      <c r="P1417" s="76">
        <v>875</v>
      </c>
      <c r="Q1417" s="77">
        <v>385</v>
      </c>
      <c r="R1417" s="77">
        <v>772</v>
      </c>
      <c r="S1417" s="77"/>
      <c r="T1417" s="77"/>
      <c r="U1417" s="83"/>
      <c r="V1417" s="83"/>
      <c r="W1417" s="78"/>
      <c r="X1417" s="51" t="str">
        <f>IF(A1417="", "", IF(COUNTIFS(C$3:C1416, C1417, D$3:D1416, D1417, G$3:G1416, G1417) &gt; 0, "", "11:00"-AW1417))</f>
        <v/>
      </c>
      <c r="Y1417" s="79"/>
      <c r="Z1417" s="80"/>
      <c r="AA1417" s="81"/>
      <c r="AB1417" s="81"/>
      <c r="AC1417" s="81"/>
      <c r="AD1417" s="81"/>
      <c r="AE1417" s="81"/>
      <c r="AF1417" s="81"/>
      <c r="AG1417" s="81"/>
      <c r="AH1417" s="82"/>
      <c r="AI1417" s="81"/>
      <c r="AJ1417" s="81"/>
      <c r="AK1417" s="81"/>
      <c r="AL1417" s="81"/>
      <c r="AM1417" s="81"/>
      <c r="AN1417" s="81"/>
      <c r="AO1417" s="81"/>
      <c r="AP1417" s="81"/>
      <c r="AQ1417" s="81"/>
      <c r="AR1417" s="81"/>
      <c r="AS1417" s="81"/>
      <c r="AT1417" s="81"/>
      <c r="AU1417" s="53">
        <v>4.1666666666666699E-2</v>
      </c>
      <c r="AV1417" s="54" t="s">
        <v>37</v>
      </c>
      <c r="AW1417" s="57">
        <f t="shared" si="187"/>
        <v>4.1666666666666699E-2</v>
      </c>
      <c r="AX1417" s="58" t="s">
        <v>77</v>
      </c>
    </row>
    <row r="1418" spans="1:50" ht="28.5" customHeight="1">
      <c r="A1418" s="66" t="s">
        <v>1206</v>
      </c>
      <c r="B1418" s="39">
        <f t="shared" ref="B1418:B1481" si="192">IF(A1418="","",B1417+1)</f>
        <v>1414</v>
      </c>
      <c r="C1418" s="40">
        <v>46052</v>
      </c>
      <c r="D1418" s="40" t="s">
        <v>32</v>
      </c>
      <c r="E1418" s="40" t="s">
        <v>81</v>
      </c>
      <c r="F1418" s="41">
        <v>565</v>
      </c>
      <c r="G1418" s="42" t="s">
        <v>75</v>
      </c>
      <c r="H1418" s="43" t="str">
        <f>IFERROR(VLOOKUP($J1418,'[9]FROM (3)'!$E$4:$F$230,2,FALSE),"")</f>
        <v>JTCS</v>
      </c>
      <c r="I1418" s="44" t="str">
        <f t="shared" si="191"/>
        <v>Rack, MS</v>
      </c>
      <c r="J1418" s="44" t="str">
        <f t="shared" si="188"/>
        <v>JGC10-003280-40-0</v>
      </c>
      <c r="K1418" s="59" t="str">
        <f t="shared" si="190"/>
        <v>PD26011287</v>
      </c>
      <c r="L1418" s="46" t="str" cm="1">
        <f t="array" ref="L1418">IFERROR(_xlfn.IFS(
    LEN($A1418)-LEN(SUBSTITUTE($A1418,"|",""))=12, RIGHT(A1418, LEN(A1418)-FIND("~", SUBSTITUTE(A1418,"|","~", LEN(A1418)-LEN(SUBSTITUTE(A1418,"|",""))))),
    LEN($A1418)-LEN(SUBSTITUTE($A1418,"|",""))=13, MID($A1418, FIND("~", SUBSTITUTE($A1418,"|","~", 11))+1, FIND("~", SUBSTITUTE($A1418,"|","~", 12))-FIND("~", SUBSTITUTE($A1418,"|","~", 11))-1),
    LEN($A1418)-LEN(SUBSTITUTE($A1418,"|",""))=14, MID($A1418, FIND("~", SUBSTITUTE($A1418,"|","~", 11))+1, FIND("~", SUBSTITUTE($A1418,"|","~", 12))-FIND("~", SUBSTITUTE($A1418,"|","~", 11))-1)
), "")</f>
        <v>E586613</v>
      </c>
      <c r="M1418" s="72" t="str">
        <f t="shared" si="189"/>
        <v>SB010164/4/26</v>
      </c>
      <c r="N1418" s="46" t="str">
        <f t="shared" si="175"/>
        <v/>
      </c>
      <c r="O1418" s="76">
        <v>70</v>
      </c>
      <c r="P1418" s="76">
        <v>875</v>
      </c>
      <c r="Q1418" s="77">
        <v>177</v>
      </c>
      <c r="R1418" s="77">
        <v>355</v>
      </c>
      <c r="S1418" s="77"/>
      <c r="T1418" s="77"/>
      <c r="U1418" s="83"/>
      <c r="V1418" s="83"/>
      <c r="W1418" s="78"/>
      <c r="X1418" s="51" t="str">
        <f>IF(A1418="", "", IF(COUNTIFS(C$3:C1417, C1418, D$3:D1417, D1418, G$3:G1417, G1418) &gt; 0, "", "11:00"-AW1418))</f>
        <v/>
      </c>
      <c r="Y1418" s="79"/>
      <c r="Z1418" s="80"/>
      <c r="AA1418" s="81"/>
      <c r="AB1418" s="81"/>
      <c r="AC1418" s="81"/>
      <c r="AD1418" s="81"/>
      <c r="AE1418" s="81"/>
      <c r="AF1418" s="81"/>
      <c r="AG1418" s="81"/>
      <c r="AH1418" s="82"/>
      <c r="AI1418" s="81"/>
      <c r="AJ1418" s="81"/>
      <c r="AK1418" s="81"/>
      <c r="AL1418" s="81"/>
      <c r="AM1418" s="81"/>
      <c r="AN1418" s="81"/>
      <c r="AO1418" s="81"/>
      <c r="AP1418" s="81"/>
      <c r="AQ1418" s="81"/>
      <c r="AR1418" s="81"/>
      <c r="AS1418" s="81"/>
      <c r="AT1418" s="81"/>
      <c r="AU1418" s="53">
        <v>4.1666666666666699E-2</v>
      </c>
      <c r="AV1418" s="54" t="s">
        <v>37</v>
      </c>
      <c r="AW1418" s="57">
        <f t="shared" si="187"/>
        <v>4.1666666666666699E-2</v>
      </c>
      <c r="AX1418" s="58" t="s">
        <v>77</v>
      </c>
    </row>
    <row r="1419" spans="1:50" ht="28.5" customHeight="1">
      <c r="A1419" s="66" t="s">
        <v>1207</v>
      </c>
      <c r="B1419" s="39">
        <f t="shared" si="192"/>
        <v>1415</v>
      </c>
      <c r="C1419" s="40">
        <v>46052</v>
      </c>
      <c r="D1419" s="40" t="s">
        <v>32</v>
      </c>
      <c r="E1419" s="40" t="s">
        <v>81</v>
      </c>
      <c r="F1419" s="41">
        <v>732.8</v>
      </c>
      <c r="G1419" s="42" t="s">
        <v>192</v>
      </c>
      <c r="H1419" s="43" t="str">
        <f>IFERROR(VLOOKUP($J1419,'[9]FROM (3)'!$E$4:$F$230,2,FALSE),"")</f>
        <v>JATH</v>
      </c>
      <c r="I1419" s="44" t="str">
        <f t="shared" si="191"/>
        <v>JGF02-002060-31-3</v>
      </c>
      <c r="J1419" s="44" t="str">
        <f t="shared" si="188"/>
        <v>RACK BAR BLANK (JGF02-002060-31-3) 58*D</v>
      </c>
      <c r="K1419" s="59" t="str">
        <f t="shared" si="190"/>
        <v>PD25120622</v>
      </c>
      <c r="L1419" s="46" t="str" cm="1">
        <f t="array" ref="L1419">IFERROR(_xlfn.IFS(
    LEN($A1419)-LEN(SUBSTITUTE($A1419,"|",""))=12, RIGHT(A1419, LEN(A1419)-FIND("~", SUBSTITUTE(A1419,"|","~", LEN(A1419)-LEN(SUBSTITUTE(A1419,"|",""))))),
    LEN($A1419)-LEN(SUBSTITUTE($A1419,"|",""))=13, MID($A1419, FIND("~", SUBSTITUTE($A1419,"|","~", 11))+1, FIND("~", SUBSTITUTE($A1419,"|","~", 12))-FIND("~", SUBSTITUTE($A1419,"|","~", 11))-1),
    LEN($A1419)-LEN(SUBSTITUTE($A1419,"|",""))=14, MID($A1419, FIND("~", SUBSTITUTE($A1419,"|","~", 11))+1, FIND("~", SUBSTITUTE($A1419,"|","~", 12))-FIND("~", SUBSTITUTE($A1419,"|","~", 11))-1)
), "")</f>
        <v>5B0230</v>
      </c>
      <c r="M1419" s="72" t="str">
        <f t="shared" si="189"/>
        <v>TSK2</v>
      </c>
      <c r="N1419" s="46" t="str">
        <f t="shared" si="175"/>
        <v>FB010143/10/26</v>
      </c>
      <c r="O1419" s="76">
        <v>58</v>
      </c>
      <c r="P1419" s="76">
        <v>271</v>
      </c>
      <c r="Q1419" s="77">
        <v>58</v>
      </c>
      <c r="R1419" s="77">
        <v>271</v>
      </c>
      <c r="S1419" s="77"/>
      <c r="T1419" s="77"/>
      <c r="U1419" s="83"/>
      <c r="V1419" s="83"/>
      <c r="W1419" s="78"/>
      <c r="X1419" s="51">
        <f>IF(A1419="", "", IF(COUNTIFS(C$3:C1418, C1419, D$3:D1418, D1419, G$3:G1418, G1419) &gt; 0, "", "11:00"-AW1419))</f>
        <v>0.24999999999999994</v>
      </c>
      <c r="Y1419" s="79"/>
      <c r="Z1419" s="80"/>
      <c r="AA1419" s="81"/>
      <c r="AB1419" s="81"/>
      <c r="AC1419" s="81"/>
      <c r="AD1419" s="81"/>
      <c r="AE1419" s="81"/>
      <c r="AF1419" s="81"/>
      <c r="AG1419" s="81"/>
      <c r="AH1419" s="82"/>
      <c r="AI1419" s="81"/>
      <c r="AJ1419" s="81"/>
      <c r="AK1419" s="81"/>
      <c r="AL1419" s="81"/>
      <c r="AM1419" s="81">
        <v>4.1666666666666664E-2</v>
      </c>
      <c r="AN1419" s="81" t="s">
        <v>129</v>
      </c>
      <c r="AO1419" s="81">
        <v>4.1666666666666664E-2</v>
      </c>
      <c r="AP1419" s="81" t="s">
        <v>129</v>
      </c>
      <c r="AQ1419" s="81">
        <v>4.1666666666666664E-2</v>
      </c>
      <c r="AR1419" s="81" t="s">
        <v>37</v>
      </c>
      <c r="AS1419" s="81">
        <v>4.1666666666666664E-2</v>
      </c>
      <c r="AT1419" s="81" t="s">
        <v>37</v>
      </c>
      <c r="AU1419" s="53">
        <v>4.1666666666666699E-2</v>
      </c>
      <c r="AV1419" s="54" t="s">
        <v>37</v>
      </c>
      <c r="AW1419" s="57">
        <f t="shared" si="187"/>
        <v>0.20833333333333337</v>
      </c>
      <c r="AX1419" s="58" t="s">
        <v>260</v>
      </c>
    </row>
    <row r="1420" spans="1:50" ht="28.5" customHeight="1">
      <c r="A1420" s="66" t="s">
        <v>1208</v>
      </c>
      <c r="B1420" s="39">
        <f t="shared" si="192"/>
        <v>1416</v>
      </c>
      <c r="C1420" s="40">
        <v>46052</v>
      </c>
      <c r="D1420" s="40" t="s">
        <v>32</v>
      </c>
      <c r="E1420" s="40" t="s">
        <v>81</v>
      </c>
      <c r="F1420" s="41">
        <v>732.8</v>
      </c>
      <c r="G1420" s="42" t="s">
        <v>192</v>
      </c>
      <c r="H1420" s="43" t="str">
        <f>IFERROR(VLOOKUP($J1420,'[9]FROM (3)'!$E$4:$F$230,2,FALSE),"")</f>
        <v>JATH</v>
      </c>
      <c r="I1420" s="44" t="str">
        <f t="shared" si="191"/>
        <v>JGF02-002060-31-3</v>
      </c>
      <c r="J1420" s="44" t="str">
        <f t="shared" si="188"/>
        <v>RACK BAR BLANK (JGF02-002060-31-3) 58*D</v>
      </c>
      <c r="K1420" s="59" t="str">
        <f t="shared" si="190"/>
        <v>PD25120622</v>
      </c>
      <c r="L1420" s="46" t="str" cm="1">
        <f t="array" ref="L1420">IFERROR(_xlfn.IFS(
    LEN($A1420)-LEN(SUBSTITUTE($A1420,"|",""))=12, RIGHT(A1420, LEN(A1420)-FIND("~", SUBSTITUTE(A1420,"|","~", LEN(A1420)-LEN(SUBSTITUTE(A1420,"|",""))))),
    LEN($A1420)-LEN(SUBSTITUTE($A1420,"|",""))=13, MID($A1420, FIND("~", SUBSTITUTE($A1420,"|","~", 11))+1, FIND("~", SUBSTITUTE($A1420,"|","~", 12))-FIND("~", SUBSTITUTE($A1420,"|","~", 11))-1),
    LEN($A1420)-LEN(SUBSTITUTE($A1420,"|",""))=14, MID($A1420, FIND("~", SUBSTITUTE($A1420,"|","~", 11))+1, FIND("~", SUBSTITUTE($A1420,"|","~", 12))-FIND("~", SUBSTITUTE($A1420,"|","~", 11))-1)
), "")</f>
        <v>5B0230</v>
      </c>
      <c r="M1420" s="72" t="str">
        <f t="shared" si="189"/>
        <v>TSK2</v>
      </c>
      <c r="N1420" s="46" t="str">
        <f t="shared" si="175"/>
        <v>FB010143/11/26</v>
      </c>
      <c r="O1420" s="76">
        <v>58</v>
      </c>
      <c r="P1420" s="76">
        <v>271</v>
      </c>
      <c r="Q1420" s="77">
        <v>58</v>
      </c>
      <c r="R1420" s="77">
        <v>271</v>
      </c>
      <c r="S1420" s="77"/>
      <c r="T1420" s="77"/>
      <c r="U1420" s="83"/>
      <c r="V1420" s="83"/>
      <c r="W1420" s="78"/>
      <c r="X1420" s="51" t="str">
        <f>IF(A1420="", "", IF(COUNTIFS(C$3:C1419, C1420, D$3:D1419, D1420, G$3:G1419, G1420) &gt; 0, "", "11:00"-AW1420))</f>
        <v/>
      </c>
      <c r="Y1420" s="79"/>
      <c r="Z1420" s="80"/>
      <c r="AA1420" s="81"/>
      <c r="AB1420" s="81"/>
      <c r="AC1420" s="81"/>
      <c r="AD1420" s="81"/>
      <c r="AE1420" s="81"/>
      <c r="AF1420" s="81"/>
      <c r="AG1420" s="81"/>
      <c r="AH1420" s="82"/>
      <c r="AI1420" s="81"/>
      <c r="AJ1420" s="81"/>
      <c r="AK1420" s="81"/>
      <c r="AL1420" s="81"/>
      <c r="AM1420" s="81"/>
      <c r="AN1420" s="81"/>
      <c r="AO1420" s="81"/>
      <c r="AP1420" s="81"/>
      <c r="AQ1420" s="81"/>
      <c r="AR1420" s="81"/>
      <c r="AS1420" s="81"/>
      <c r="AT1420" s="81"/>
      <c r="AU1420" s="53">
        <v>4.1666666666666699E-2</v>
      </c>
      <c r="AV1420" s="54" t="s">
        <v>37</v>
      </c>
      <c r="AW1420" s="57">
        <f t="shared" si="187"/>
        <v>4.1666666666666699E-2</v>
      </c>
      <c r="AX1420" s="58" t="s">
        <v>260</v>
      </c>
    </row>
    <row r="1421" spans="1:50" ht="28.5" customHeight="1">
      <c r="A1421" s="66" t="s">
        <v>1209</v>
      </c>
      <c r="B1421" s="39">
        <f t="shared" si="192"/>
        <v>1417</v>
      </c>
      <c r="C1421" s="40">
        <v>46052</v>
      </c>
      <c r="D1421" s="40" t="s">
        <v>32</v>
      </c>
      <c r="E1421" s="40" t="s">
        <v>81</v>
      </c>
      <c r="F1421" s="41">
        <v>732.8</v>
      </c>
      <c r="G1421" s="42" t="s">
        <v>192</v>
      </c>
      <c r="H1421" s="43" t="str">
        <f>IFERROR(VLOOKUP($J1421,'[9]FROM (3)'!$E$4:$F$230,2,FALSE),"")</f>
        <v>JATH</v>
      </c>
      <c r="I1421" s="44" t="str">
        <f t="shared" si="191"/>
        <v>JGF02-002060-31-3</v>
      </c>
      <c r="J1421" s="44" t="str">
        <f t="shared" si="188"/>
        <v>RACK BAR BLANK (JGF02-002060-31-3) 58*D</v>
      </c>
      <c r="K1421" s="59" t="str">
        <f t="shared" si="190"/>
        <v>PD25120622</v>
      </c>
      <c r="L1421" s="46" t="str" cm="1">
        <f t="array" ref="L1421">IFERROR(_xlfn.IFS(
    LEN($A1421)-LEN(SUBSTITUTE($A1421,"|",""))=12, RIGHT(A1421, LEN(A1421)-FIND("~", SUBSTITUTE(A1421,"|","~", LEN(A1421)-LEN(SUBSTITUTE(A1421,"|",""))))),
    LEN($A1421)-LEN(SUBSTITUTE($A1421,"|",""))=13, MID($A1421, FIND("~", SUBSTITUTE($A1421,"|","~", 11))+1, FIND("~", SUBSTITUTE($A1421,"|","~", 12))-FIND("~", SUBSTITUTE($A1421,"|","~", 11))-1),
    LEN($A1421)-LEN(SUBSTITUTE($A1421,"|",""))=14, MID($A1421, FIND("~", SUBSTITUTE($A1421,"|","~", 11))+1, FIND("~", SUBSTITUTE($A1421,"|","~", 12))-FIND("~", SUBSTITUTE($A1421,"|","~", 11))-1)
), "")</f>
        <v>5B0230</v>
      </c>
      <c r="M1421" s="72" t="str">
        <f t="shared" si="189"/>
        <v>TSK2</v>
      </c>
      <c r="N1421" s="46" t="str">
        <f t="shared" si="175"/>
        <v>FB010143/12/26</v>
      </c>
      <c r="O1421" s="76">
        <v>58</v>
      </c>
      <c r="P1421" s="76">
        <v>271</v>
      </c>
      <c r="Q1421" s="77">
        <v>58</v>
      </c>
      <c r="R1421" s="77">
        <v>271</v>
      </c>
      <c r="S1421" s="77"/>
      <c r="T1421" s="77"/>
      <c r="U1421" s="83"/>
      <c r="V1421" s="83"/>
      <c r="W1421" s="78"/>
      <c r="X1421" s="51" t="str">
        <f>IF(A1421="", "", IF(COUNTIFS(C$3:C1420, C1421, D$3:D1420, D1421, G$3:G1420, G1421) &gt; 0, "", "11:00"-AW1421))</f>
        <v/>
      </c>
      <c r="Y1421" s="79"/>
      <c r="Z1421" s="80"/>
      <c r="AA1421" s="81"/>
      <c r="AB1421" s="81"/>
      <c r="AC1421" s="81"/>
      <c r="AD1421" s="81"/>
      <c r="AE1421" s="81"/>
      <c r="AF1421" s="81"/>
      <c r="AG1421" s="81"/>
      <c r="AH1421" s="82"/>
      <c r="AI1421" s="81"/>
      <c r="AJ1421" s="81"/>
      <c r="AK1421" s="81"/>
      <c r="AL1421" s="81"/>
      <c r="AM1421" s="81"/>
      <c r="AN1421" s="81"/>
      <c r="AO1421" s="81"/>
      <c r="AP1421" s="81"/>
      <c r="AQ1421" s="81"/>
      <c r="AR1421" s="81"/>
      <c r="AS1421" s="81"/>
      <c r="AT1421" s="81"/>
      <c r="AU1421" s="53">
        <v>4.1666666666666699E-2</v>
      </c>
      <c r="AV1421" s="54" t="s">
        <v>37</v>
      </c>
      <c r="AW1421" s="57">
        <f t="shared" si="187"/>
        <v>4.1666666666666699E-2</v>
      </c>
      <c r="AX1421" s="58" t="s">
        <v>260</v>
      </c>
    </row>
    <row r="1422" spans="1:50" ht="28.5" customHeight="1">
      <c r="A1422" s="66" t="s">
        <v>1210</v>
      </c>
      <c r="B1422" s="39">
        <f t="shared" si="192"/>
        <v>1418</v>
      </c>
      <c r="C1422" s="40">
        <v>46052</v>
      </c>
      <c r="D1422" s="40" t="s">
        <v>32</v>
      </c>
      <c r="E1422" s="40" t="s">
        <v>81</v>
      </c>
      <c r="F1422" s="41">
        <v>732.8</v>
      </c>
      <c r="G1422" s="42" t="s">
        <v>192</v>
      </c>
      <c r="H1422" s="43" t="str">
        <f>IFERROR(VLOOKUP($J1422,'[9]FROM (3)'!$E$4:$F$230,2,FALSE),"")</f>
        <v>JATH</v>
      </c>
      <c r="I1422" s="44" t="str">
        <f t="shared" si="191"/>
        <v>JGF02-002060-31-3</v>
      </c>
      <c r="J1422" s="44" t="str">
        <f t="shared" si="188"/>
        <v>RACK BAR BLANK (JGF02-002060-31-3) 58*D</v>
      </c>
      <c r="K1422" s="59" t="str">
        <f t="shared" si="190"/>
        <v>PD25120622</v>
      </c>
      <c r="L1422" s="46" t="str" cm="1">
        <f t="array" ref="L1422">IFERROR(_xlfn.IFS(
    LEN($A1422)-LEN(SUBSTITUTE($A1422,"|",""))=12, RIGHT(A1422, LEN(A1422)-FIND("~", SUBSTITUTE(A1422,"|","~", LEN(A1422)-LEN(SUBSTITUTE(A1422,"|",""))))),
    LEN($A1422)-LEN(SUBSTITUTE($A1422,"|",""))=13, MID($A1422, FIND("~", SUBSTITUTE($A1422,"|","~", 11))+1, FIND("~", SUBSTITUTE($A1422,"|","~", 12))-FIND("~", SUBSTITUTE($A1422,"|","~", 11))-1),
    LEN($A1422)-LEN(SUBSTITUTE($A1422,"|",""))=14, MID($A1422, FIND("~", SUBSTITUTE($A1422,"|","~", 11))+1, FIND("~", SUBSTITUTE($A1422,"|","~", 12))-FIND("~", SUBSTITUTE($A1422,"|","~", 11))-1)
), "")</f>
        <v>5B0230</v>
      </c>
      <c r="M1422" s="72" t="str">
        <f t="shared" si="189"/>
        <v>TSK2</v>
      </c>
      <c r="N1422" s="46" t="str">
        <f t="shared" si="175"/>
        <v>FB010143/16/26</v>
      </c>
      <c r="O1422" s="76">
        <v>58</v>
      </c>
      <c r="P1422" s="76">
        <v>271</v>
      </c>
      <c r="Q1422" s="77">
        <v>58</v>
      </c>
      <c r="R1422" s="77">
        <v>271</v>
      </c>
      <c r="S1422" s="77"/>
      <c r="T1422" s="77"/>
      <c r="U1422" s="83"/>
      <c r="V1422" s="83"/>
      <c r="W1422" s="78"/>
      <c r="X1422" s="51" t="str">
        <f>IF(A1422="", "", IF(COUNTIFS(C$3:C1421, C1422, D$3:D1421, D1422, G$3:G1421, G1422) &gt; 0, "", "11:00"-AW1422))</f>
        <v/>
      </c>
      <c r="Y1422" s="79"/>
      <c r="Z1422" s="80"/>
      <c r="AA1422" s="81"/>
      <c r="AB1422" s="81"/>
      <c r="AC1422" s="81"/>
      <c r="AD1422" s="81"/>
      <c r="AE1422" s="81"/>
      <c r="AF1422" s="81"/>
      <c r="AG1422" s="81"/>
      <c r="AH1422" s="82"/>
      <c r="AI1422" s="81"/>
      <c r="AJ1422" s="81"/>
      <c r="AK1422" s="81"/>
      <c r="AL1422" s="81"/>
      <c r="AM1422" s="81"/>
      <c r="AN1422" s="81"/>
      <c r="AO1422" s="81"/>
      <c r="AP1422" s="81"/>
      <c r="AQ1422" s="81"/>
      <c r="AR1422" s="81"/>
      <c r="AS1422" s="81"/>
      <c r="AT1422" s="81"/>
      <c r="AU1422" s="53">
        <v>4.1666666666666699E-2</v>
      </c>
      <c r="AV1422" s="54" t="s">
        <v>37</v>
      </c>
      <c r="AW1422" s="57">
        <f t="shared" si="187"/>
        <v>4.1666666666666699E-2</v>
      </c>
      <c r="AX1422" s="58" t="s">
        <v>260</v>
      </c>
    </row>
    <row r="1423" spans="1:50" ht="28.5" customHeight="1">
      <c r="A1423" s="66" t="s">
        <v>1211</v>
      </c>
      <c r="B1423" s="39">
        <f t="shared" si="192"/>
        <v>1419</v>
      </c>
      <c r="C1423" s="40">
        <v>46052</v>
      </c>
      <c r="D1423" s="40" t="s">
        <v>32</v>
      </c>
      <c r="E1423" s="40" t="s">
        <v>81</v>
      </c>
      <c r="F1423" s="41">
        <v>732.8</v>
      </c>
      <c r="G1423" s="42" t="s">
        <v>192</v>
      </c>
      <c r="H1423" s="43" t="str">
        <f>IFERROR(VLOOKUP($J1423,'[9]FROM (3)'!$E$4:$F$230,2,FALSE),"")</f>
        <v>JATH</v>
      </c>
      <c r="I1423" s="44" t="str">
        <f t="shared" si="191"/>
        <v>JGF02-002060-31-3</v>
      </c>
      <c r="J1423" s="44" t="str">
        <f t="shared" si="188"/>
        <v>RACK BAR BLANK (JGF02-002060-31-3) 58*D</v>
      </c>
      <c r="K1423" s="59" t="str">
        <f t="shared" si="190"/>
        <v>PD25120622</v>
      </c>
      <c r="L1423" s="46" t="str" cm="1">
        <f t="array" ref="L1423">IFERROR(_xlfn.IFS(
    LEN($A1423)-LEN(SUBSTITUTE($A1423,"|",""))=12, RIGHT(A1423, LEN(A1423)-FIND("~", SUBSTITUTE(A1423,"|","~", LEN(A1423)-LEN(SUBSTITUTE(A1423,"|",""))))),
    LEN($A1423)-LEN(SUBSTITUTE($A1423,"|",""))=13, MID($A1423, FIND("~", SUBSTITUTE($A1423,"|","~", 11))+1, FIND("~", SUBSTITUTE($A1423,"|","~", 12))-FIND("~", SUBSTITUTE($A1423,"|","~", 11))-1),
    LEN($A1423)-LEN(SUBSTITUTE($A1423,"|",""))=14, MID($A1423, FIND("~", SUBSTITUTE($A1423,"|","~", 11))+1, FIND("~", SUBSTITUTE($A1423,"|","~", 12))-FIND("~", SUBSTITUTE($A1423,"|","~", 11))-1)
), "")</f>
        <v>5B0230</v>
      </c>
      <c r="M1423" s="72" t="str">
        <f t="shared" si="189"/>
        <v>TSK2</v>
      </c>
      <c r="N1423" s="46" t="str">
        <f t="shared" si="175"/>
        <v>FB010143/19/26</v>
      </c>
      <c r="O1423" s="76">
        <v>58</v>
      </c>
      <c r="P1423" s="76">
        <v>271</v>
      </c>
      <c r="Q1423" s="77">
        <v>58</v>
      </c>
      <c r="R1423" s="77">
        <v>271</v>
      </c>
      <c r="S1423" s="77"/>
      <c r="T1423" s="77"/>
      <c r="U1423" s="83"/>
      <c r="V1423" s="83"/>
      <c r="W1423" s="78"/>
      <c r="X1423" s="51" t="str">
        <f>IF(A1423="", "", IF(COUNTIFS(C$3:C1422, C1423, D$3:D1422, D1423, G$3:G1422, G1423) &gt; 0, "", "11:00"-AW1423))</f>
        <v/>
      </c>
      <c r="Y1423" s="79"/>
      <c r="Z1423" s="80"/>
      <c r="AA1423" s="81"/>
      <c r="AB1423" s="81"/>
      <c r="AC1423" s="81"/>
      <c r="AD1423" s="81"/>
      <c r="AE1423" s="81"/>
      <c r="AF1423" s="81"/>
      <c r="AG1423" s="81"/>
      <c r="AH1423" s="82"/>
      <c r="AI1423" s="81"/>
      <c r="AJ1423" s="81"/>
      <c r="AK1423" s="81"/>
      <c r="AL1423" s="81"/>
      <c r="AM1423" s="81"/>
      <c r="AN1423" s="81"/>
      <c r="AO1423" s="81"/>
      <c r="AP1423" s="81"/>
      <c r="AQ1423" s="81"/>
      <c r="AR1423" s="81"/>
      <c r="AS1423" s="81"/>
      <c r="AT1423" s="81"/>
      <c r="AU1423" s="53">
        <v>4.1666666666666699E-2</v>
      </c>
      <c r="AV1423" s="54" t="s">
        <v>37</v>
      </c>
      <c r="AW1423" s="57">
        <f t="shared" si="187"/>
        <v>4.1666666666666699E-2</v>
      </c>
      <c r="AX1423" s="58" t="s">
        <v>260</v>
      </c>
    </row>
    <row r="1424" spans="1:50" ht="28.5" customHeight="1">
      <c r="A1424" s="66" t="s">
        <v>1212</v>
      </c>
      <c r="B1424" s="39">
        <f t="shared" si="192"/>
        <v>1420</v>
      </c>
      <c r="C1424" s="40">
        <v>46052</v>
      </c>
      <c r="D1424" s="40" t="s">
        <v>32</v>
      </c>
      <c r="E1424" s="40" t="s">
        <v>81</v>
      </c>
      <c r="F1424" s="41">
        <v>732.8</v>
      </c>
      <c r="G1424" s="42" t="s">
        <v>192</v>
      </c>
      <c r="H1424" s="43" t="str">
        <f>IFERROR(VLOOKUP($J1424,'[9]FROM (3)'!$E$4:$F$230,2,FALSE),"")</f>
        <v>JATH</v>
      </c>
      <c r="I1424" s="44" t="str">
        <f t="shared" si="191"/>
        <v>JGF02-002060-31-3</v>
      </c>
      <c r="J1424" s="44" t="str">
        <f t="shared" si="188"/>
        <v>RACK BAR BLANK (JGF02-002060-31-3) 58*D</v>
      </c>
      <c r="K1424" s="59" t="str">
        <f t="shared" si="190"/>
        <v>PD25120622</v>
      </c>
      <c r="L1424" s="46" t="str" cm="1">
        <f t="array" ref="L1424">IFERROR(_xlfn.IFS(
    LEN($A1424)-LEN(SUBSTITUTE($A1424,"|",""))=12, RIGHT(A1424, LEN(A1424)-FIND("~", SUBSTITUTE(A1424,"|","~", LEN(A1424)-LEN(SUBSTITUTE(A1424,"|",""))))),
    LEN($A1424)-LEN(SUBSTITUTE($A1424,"|",""))=13, MID($A1424, FIND("~", SUBSTITUTE($A1424,"|","~", 11))+1, FIND("~", SUBSTITUTE($A1424,"|","~", 12))-FIND("~", SUBSTITUTE($A1424,"|","~", 11))-1),
    LEN($A1424)-LEN(SUBSTITUTE($A1424,"|",""))=14, MID($A1424, FIND("~", SUBSTITUTE($A1424,"|","~", 11))+1, FIND("~", SUBSTITUTE($A1424,"|","~", 12))-FIND("~", SUBSTITUTE($A1424,"|","~", 11))-1)
), "")</f>
        <v>5B0230</v>
      </c>
      <c r="M1424" s="72" t="str">
        <f t="shared" si="189"/>
        <v>TSK2</v>
      </c>
      <c r="N1424" s="46" t="str">
        <f t="shared" si="175"/>
        <v>FB010143/13/26</v>
      </c>
      <c r="O1424" s="76">
        <v>58</v>
      </c>
      <c r="P1424" s="76">
        <v>271</v>
      </c>
      <c r="Q1424" s="77">
        <v>58</v>
      </c>
      <c r="R1424" s="77">
        <v>271</v>
      </c>
      <c r="S1424" s="77"/>
      <c r="T1424" s="77"/>
      <c r="U1424" s="83"/>
      <c r="V1424" s="83"/>
      <c r="W1424" s="78"/>
      <c r="X1424" s="51" t="str">
        <f>IF(A1424="", "", IF(COUNTIFS(C$3:C1423, C1424, D$3:D1423, D1424, G$3:G1423, G1424) &gt; 0, "", "11:00"-AW1424))</f>
        <v/>
      </c>
      <c r="Y1424" s="79"/>
      <c r="Z1424" s="80"/>
      <c r="AA1424" s="81"/>
      <c r="AB1424" s="81"/>
      <c r="AC1424" s="81"/>
      <c r="AD1424" s="81"/>
      <c r="AE1424" s="81"/>
      <c r="AF1424" s="81"/>
      <c r="AG1424" s="81"/>
      <c r="AH1424" s="82"/>
      <c r="AI1424" s="81"/>
      <c r="AJ1424" s="81"/>
      <c r="AK1424" s="81"/>
      <c r="AL1424" s="81"/>
      <c r="AM1424" s="81"/>
      <c r="AN1424" s="81"/>
      <c r="AO1424" s="81"/>
      <c r="AP1424" s="81"/>
      <c r="AQ1424" s="81"/>
      <c r="AR1424" s="81"/>
      <c r="AS1424" s="81"/>
      <c r="AT1424" s="81"/>
      <c r="AU1424" s="53">
        <v>4.1666666666666699E-2</v>
      </c>
      <c r="AV1424" s="54" t="s">
        <v>37</v>
      </c>
      <c r="AW1424" s="57">
        <f t="shared" si="187"/>
        <v>4.1666666666666699E-2</v>
      </c>
      <c r="AX1424" s="58" t="s">
        <v>260</v>
      </c>
    </row>
    <row r="1425" spans="1:50" ht="28.5" customHeight="1">
      <c r="A1425" s="66" t="s">
        <v>1213</v>
      </c>
      <c r="B1425" s="39">
        <f t="shared" si="192"/>
        <v>1421</v>
      </c>
      <c r="C1425" s="40">
        <v>46052</v>
      </c>
      <c r="D1425" s="40" t="s">
        <v>32</v>
      </c>
      <c r="E1425" s="40" t="s">
        <v>81</v>
      </c>
      <c r="F1425" s="41">
        <v>732.8</v>
      </c>
      <c r="G1425" s="42" t="s">
        <v>192</v>
      </c>
      <c r="H1425" s="43" t="str">
        <f>IFERROR(VLOOKUP($J1425,'[9]FROM (3)'!$E$4:$F$230,2,FALSE),"")</f>
        <v>JATH</v>
      </c>
      <c r="I1425" s="44" t="str">
        <f t="shared" si="191"/>
        <v>JGF02-002060-31-3</v>
      </c>
      <c r="J1425" s="44" t="str">
        <f t="shared" si="188"/>
        <v>RACK BAR BLANK (JGF02-002060-31-3) 58*D</v>
      </c>
      <c r="K1425" s="59" t="str">
        <f t="shared" si="190"/>
        <v>PD25120622</v>
      </c>
      <c r="L1425" s="46" t="str" cm="1">
        <f t="array" ref="L1425">IFERROR(_xlfn.IFS(
    LEN($A1425)-LEN(SUBSTITUTE($A1425,"|",""))=12, RIGHT(A1425, LEN(A1425)-FIND("~", SUBSTITUTE(A1425,"|","~", LEN(A1425)-LEN(SUBSTITUTE(A1425,"|",""))))),
    LEN($A1425)-LEN(SUBSTITUTE($A1425,"|",""))=13, MID($A1425, FIND("~", SUBSTITUTE($A1425,"|","~", 11))+1, FIND("~", SUBSTITUTE($A1425,"|","~", 12))-FIND("~", SUBSTITUTE($A1425,"|","~", 11))-1),
    LEN($A1425)-LEN(SUBSTITUTE($A1425,"|",""))=14, MID($A1425, FIND("~", SUBSTITUTE($A1425,"|","~", 11))+1, FIND("~", SUBSTITUTE($A1425,"|","~", 12))-FIND("~", SUBSTITUTE($A1425,"|","~", 11))-1)
), "")</f>
        <v>5B0230</v>
      </c>
      <c r="M1425" s="72" t="str">
        <f t="shared" si="189"/>
        <v>TSK2</v>
      </c>
      <c r="N1425" s="46" t="str">
        <f t="shared" si="175"/>
        <v>FB010143/6/26</v>
      </c>
      <c r="O1425" s="76">
        <v>58</v>
      </c>
      <c r="P1425" s="76">
        <v>271</v>
      </c>
      <c r="Q1425" s="77">
        <v>58</v>
      </c>
      <c r="R1425" s="77">
        <v>271</v>
      </c>
      <c r="S1425" s="77"/>
      <c r="T1425" s="77"/>
      <c r="U1425" s="83"/>
      <c r="V1425" s="83"/>
      <c r="W1425" s="78"/>
      <c r="X1425" s="51" t="str">
        <f>IF(A1425="", "", IF(COUNTIFS(C$3:C1424, C1425, D$3:D1424, D1425, G$3:G1424, G1425) &gt; 0, "", "11:00"-AW1425))</f>
        <v/>
      </c>
      <c r="Y1425" s="79"/>
      <c r="Z1425" s="80"/>
      <c r="AA1425" s="81"/>
      <c r="AB1425" s="81"/>
      <c r="AC1425" s="81"/>
      <c r="AD1425" s="81"/>
      <c r="AE1425" s="81"/>
      <c r="AF1425" s="81"/>
      <c r="AG1425" s="81"/>
      <c r="AH1425" s="82"/>
      <c r="AI1425" s="81"/>
      <c r="AJ1425" s="81"/>
      <c r="AK1425" s="81"/>
      <c r="AL1425" s="81"/>
      <c r="AM1425" s="81"/>
      <c r="AN1425" s="81"/>
      <c r="AO1425" s="81"/>
      <c r="AP1425" s="81"/>
      <c r="AQ1425" s="81"/>
      <c r="AR1425" s="81"/>
      <c r="AS1425" s="81"/>
      <c r="AT1425" s="81"/>
      <c r="AU1425" s="53">
        <v>4.1666666666666699E-2</v>
      </c>
      <c r="AV1425" s="54" t="s">
        <v>37</v>
      </c>
      <c r="AW1425" s="57">
        <f t="shared" si="187"/>
        <v>4.1666666666666699E-2</v>
      </c>
      <c r="AX1425" s="58" t="s">
        <v>260</v>
      </c>
    </row>
    <row r="1426" spans="1:50" ht="28.5" customHeight="1">
      <c r="A1426" s="66" t="s">
        <v>1214</v>
      </c>
      <c r="B1426" s="39">
        <f t="shared" si="192"/>
        <v>1422</v>
      </c>
      <c r="C1426" s="40">
        <v>46052</v>
      </c>
      <c r="D1426" s="40" t="s">
        <v>32</v>
      </c>
      <c r="E1426" s="40" t="s">
        <v>81</v>
      </c>
      <c r="F1426" s="41">
        <v>732.8</v>
      </c>
      <c r="G1426" s="42" t="s">
        <v>192</v>
      </c>
      <c r="H1426" s="43" t="str">
        <f>IFERROR(VLOOKUP($J1426,'[9]FROM (3)'!$E$4:$F$230,2,FALSE),"")</f>
        <v>JATH</v>
      </c>
      <c r="I1426" s="44" t="str">
        <f t="shared" si="191"/>
        <v>JGF02-002060-31-3</v>
      </c>
      <c r="J1426" s="44" t="str">
        <f t="shared" si="188"/>
        <v>RACK BAR BLANK (JGF02-002060-31-3) 58*D</v>
      </c>
      <c r="K1426" s="59" t="str">
        <f t="shared" si="190"/>
        <v>PD25120622</v>
      </c>
      <c r="L1426" s="46" t="str" cm="1">
        <f t="array" ref="L1426">IFERROR(_xlfn.IFS(
    LEN($A1426)-LEN(SUBSTITUTE($A1426,"|",""))=12, RIGHT(A1426, LEN(A1426)-FIND("~", SUBSTITUTE(A1426,"|","~", LEN(A1426)-LEN(SUBSTITUTE(A1426,"|",""))))),
    LEN($A1426)-LEN(SUBSTITUTE($A1426,"|",""))=13, MID($A1426, FIND("~", SUBSTITUTE($A1426,"|","~", 11))+1, FIND("~", SUBSTITUTE($A1426,"|","~", 12))-FIND("~", SUBSTITUTE($A1426,"|","~", 11))-1),
    LEN($A1426)-LEN(SUBSTITUTE($A1426,"|",""))=14, MID($A1426, FIND("~", SUBSTITUTE($A1426,"|","~", 11))+1, FIND("~", SUBSTITUTE($A1426,"|","~", 12))-FIND("~", SUBSTITUTE($A1426,"|","~", 11))-1)
), "")</f>
        <v>5B0230</v>
      </c>
      <c r="M1426" s="72" t="str">
        <f t="shared" si="189"/>
        <v>TSK2</v>
      </c>
      <c r="N1426" s="46" t="str">
        <f t="shared" si="175"/>
        <v>FB010143/4/26</v>
      </c>
      <c r="O1426" s="76">
        <v>58</v>
      </c>
      <c r="P1426" s="76">
        <v>271</v>
      </c>
      <c r="Q1426" s="77">
        <v>58</v>
      </c>
      <c r="R1426" s="77">
        <v>271</v>
      </c>
      <c r="S1426" s="77"/>
      <c r="T1426" s="77"/>
      <c r="U1426" s="83"/>
      <c r="V1426" s="83"/>
      <c r="W1426" s="78"/>
      <c r="X1426" s="51" t="str">
        <f>IF(A1426="", "", IF(COUNTIFS(C$3:C1425, C1426, D$3:D1425, D1426, G$3:G1425, G1426) &gt; 0, "", "11:00"-AW1426))</f>
        <v/>
      </c>
      <c r="Y1426" s="79"/>
      <c r="Z1426" s="80"/>
      <c r="AA1426" s="81"/>
      <c r="AB1426" s="81"/>
      <c r="AC1426" s="81"/>
      <c r="AD1426" s="81"/>
      <c r="AE1426" s="81"/>
      <c r="AF1426" s="81"/>
      <c r="AG1426" s="81"/>
      <c r="AH1426" s="82"/>
      <c r="AI1426" s="81"/>
      <c r="AJ1426" s="81"/>
      <c r="AK1426" s="81"/>
      <c r="AL1426" s="81"/>
      <c r="AM1426" s="81"/>
      <c r="AN1426" s="81"/>
      <c r="AO1426" s="81"/>
      <c r="AP1426" s="81"/>
      <c r="AQ1426" s="81"/>
      <c r="AR1426" s="81"/>
      <c r="AS1426" s="81"/>
      <c r="AT1426" s="81"/>
      <c r="AU1426" s="53">
        <v>4.1666666666666699E-2</v>
      </c>
      <c r="AV1426" s="54" t="s">
        <v>37</v>
      </c>
      <c r="AW1426" s="57">
        <f t="shared" si="187"/>
        <v>4.1666666666666699E-2</v>
      </c>
      <c r="AX1426" s="58" t="s">
        <v>260</v>
      </c>
    </row>
    <row r="1427" spans="1:50" ht="28.5" customHeight="1">
      <c r="A1427" s="66" t="s">
        <v>1203</v>
      </c>
      <c r="B1427" s="39">
        <f t="shared" si="192"/>
        <v>1423</v>
      </c>
      <c r="C1427" s="40">
        <v>46053</v>
      </c>
      <c r="D1427" s="40" t="s">
        <v>80</v>
      </c>
      <c r="E1427" s="40" t="s">
        <v>33</v>
      </c>
      <c r="F1427" s="41">
        <v>598.79999999999995</v>
      </c>
      <c r="G1427" s="42" t="s">
        <v>54</v>
      </c>
      <c r="H1427" s="43" t="str">
        <f>IFERROR(VLOOKUP($J1427,'[9]FROM (3)'!$E$4:$F$230,2,FALSE),"")</f>
        <v>JTCS</v>
      </c>
      <c r="I1427" s="44" t="str">
        <f t="shared" si="191"/>
        <v>RACK, MS</v>
      </c>
      <c r="J1427" s="44" t="str">
        <f t="shared" si="188"/>
        <v>JGC10-001180-S</v>
      </c>
      <c r="K1427" s="59" t="str">
        <f t="shared" si="190"/>
        <v>PD26011345</v>
      </c>
      <c r="L1427" s="46" t="str" cm="1">
        <f t="array" ref="L1427">IFERROR(_xlfn.IFS(
    LEN($A1427)-LEN(SUBSTITUTE($A1427,"|",""))=12, RIGHT(A1427, LEN(A1427)-FIND("~", SUBSTITUTE(A1427,"|","~", LEN(A1427)-LEN(SUBSTITUTE(A1427,"|",""))))),
    LEN($A1427)-LEN(SUBSTITUTE($A1427,"|",""))=13, MID($A1427, FIND("~", SUBSTITUTE($A1427,"|","~", 11))+1, FIND("~", SUBSTITUTE($A1427,"|","~", 12))-FIND("~", SUBSTITUTE($A1427,"|","~", 11))-1),
    LEN($A1427)-LEN(SUBSTITUTE($A1427,"|",""))=14, MID($A1427, FIND("~", SUBSTITUTE($A1427,"|","~", 11))+1, FIND("~", SUBSTITUTE($A1427,"|","~", 12))-FIND("~", SUBSTITUTE($A1427,"|","~", 11))-1)
), "")</f>
        <v>E586613</v>
      </c>
      <c r="M1427" s="72" t="str">
        <f t="shared" si="189"/>
        <v>SB010186/2/26</v>
      </c>
      <c r="N1427" s="46" t="str">
        <f t="shared" si="175"/>
        <v/>
      </c>
      <c r="O1427" s="76" t="s">
        <v>35</v>
      </c>
      <c r="P1427" s="76" t="s">
        <v>35</v>
      </c>
      <c r="Q1427" s="77">
        <v>317</v>
      </c>
      <c r="R1427" s="77">
        <v>674</v>
      </c>
      <c r="S1427" s="77"/>
      <c r="T1427" s="77"/>
      <c r="U1427" s="83"/>
      <c r="V1427" s="83"/>
      <c r="W1427" s="78"/>
      <c r="X1427" s="51">
        <f>IF(A1427="", "", IF(COUNTIFS(C$3:C1426, C1427, D$3:D1426, D1427, G$3:G1426, G1427) &gt; 0, "", "11:00"-AW1427))</f>
        <v>0.16666666666666663</v>
      </c>
      <c r="Y1427" s="79"/>
      <c r="Z1427" s="80"/>
      <c r="AA1427" s="81"/>
      <c r="AB1427" s="81"/>
      <c r="AC1427" s="81"/>
      <c r="AD1427" s="81"/>
      <c r="AE1427" s="81"/>
      <c r="AF1427" s="81"/>
      <c r="AG1427" s="81"/>
      <c r="AH1427" s="82"/>
      <c r="AI1427" s="81">
        <v>4.1666666666666664E-2</v>
      </c>
      <c r="AJ1427" s="81" t="s">
        <v>1215</v>
      </c>
      <c r="AK1427" s="81">
        <v>4.1666666666666664E-2</v>
      </c>
      <c r="AL1427" s="81" t="s">
        <v>1215</v>
      </c>
      <c r="AM1427" s="81">
        <v>4.1666666666666664E-2</v>
      </c>
      <c r="AN1427" s="81" t="s">
        <v>1215</v>
      </c>
      <c r="AO1427" s="81">
        <v>4.1666666666666664E-2</v>
      </c>
      <c r="AP1427" s="81" t="s">
        <v>1215</v>
      </c>
      <c r="AQ1427" s="81">
        <v>4.1666666666666664E-2</v>
      </c>
      <c r="AR1427" s="81" t="s">
        <v>37</v>
      </c>
      <c r="AS1427" s="81">
        <v>4.1666666666666664E-2</v>
      </c>
      <c r="AT1427" s="81" t="s">
        <v>37</v>
      </c>
      <c r="AU1427" s="53">
        <v>4.1666666666666699E-2</v>
      </c>
      <c r="AV1427" s="54" t="s">
        <v>37</v>
      </c>
      <c r="AW1427" s="57">
        <f t="shared" si="187"/>
        <v>0.29166666666666669</v>
      </c>
      <c r="AX1427" s="58" t="s">
        <v>91</v>
      </c>
    </row>
    <row r="1428" spans="1:50" ht="28.5" customHeight="1">
      <c r="A1428" s="66" t="s">
        <v>1216</v>
      </c>
      <c r="B1428" s="39">
        <f t="shared" si="192"/>
        <v>1424</v>
      </c>
      <c r="C1428" s="40">
        <v>46053</v>
      </c>
      <c r="D1428" s="40" t="s">
        <v>80</v>
      </c>
      <c r="E1428" s="40" t="s">
        <v>33</v>
      </c>
      <c r="F1428" s="41">
        <v>598.79999999999995</v>
      </c>
      <c r="G1428" s="42" t="s">
        <v>54</v>
      </c>
      <c r="H1428" s="43" t="str">
        <f>IFERROR(VLOOKUP($J1428,'[9]FROM (3)'!$E$4:$F$230,2,FALSE),"")</f>
        <v>JTCS</v>
      </c>
      <c r="I1428" s="44" t="str">
        <f t="shared" si="191"/>
        <v>RACK, MS</v>
      </c>
      <c r="J1428" s="44" t="str">
        <f t="shared" si="188"/>
        <v>JGC10-001180-S</v>
      </c>
      <c r="K1428" s="59" t="str">
        <f t="shared" si="190"/>
        <v>PD26011345</v>
      </c>
      <c r="L1428" s="46" t="str" cm="1">
        <f t="array" ref="L1428">IFERROR(_xlfn.IFS(
    LEN($A1428)-LEN(SUBSTITUTE($A1428,"|",""))=12, RIGHT(A1428, LEN(A1428)-FIND("~", SUBSTITUTE(A1428,"|","~", LEN(A1428)-LEN(SUBSTITUTE(A1428,"|",""))))),
    LEN($A1428)-LEN(SUBSTITUTE($A1428,"|",""))=13, MID($A1428, FIND("~", SUBSTITUTE($A1428,"|","~", 11))+1, FIND("~", SUBSTITUTE($A1428,"|","~", 12))-FIND("~", SUBSTITUTE($A1428,"|","~", 11))-1),
    LEN($A1428)-LEN(SUBSTITUTE($A1428,"|",""))=14, MID($A1428, FIND("~", SUBSTITUTE($A1428,"|","~", 11))+1, FIND("~", SUBSTITUTE($A1428,"|","~", 12))-FIND("~", SUBSTITUTE($A1428,"|","~", 11))-1)
), "")</f>
        <v>E586613</v>
      </c>
      <c r="M1428" s="72" t="str">
        <f t="shared" si="189"/>
        <v>SB010186/1/26</v>
      </c>
      <c r="N1428" s="46" t="str">
        <f t="shared" si="175"/>
        <v/>
      </c>
      <c r="O1428" s="76">
        <v>80</v>
      </c>
      <c r="P1428" s="76">
        <v>900</v>
      </c>
      <c r="Q1428" s="77">
        <v>162</v>
      </c>
      <c r="R1428" s="77">
        <v>344</v>
      </c>
      <c r="S1428" s="77"/>
      <c r="T1428" s="77"/>
      <c r="U1428" s="83"/>
      <c r="V1428" s="83"/>
      <c r="W1428" s="78"/>
      <c r="X1428" s="51" t="str">
        <f>IF(A1428="", "", IF(COUNTIFS(C$3:C1427, C1428, D$3:D1427, D1428, G$3:G1427, G1428) &gt; 0, "", "11:00"-AW1428))</f>
        <v/>
      </c>
      <c r="Y1428" s="79"/>
      <c r="Z1428" s="80"/>
      <c r="AA1428" s="81"/>
      <c r="AB1428" s="81"/>
      <c r="AC1428" s="81"/>
      <c r="AD1428" s="81"/>
      <c r="AE1428" s="81"/>
      <c r="AF1428" s="81"/>
      <c r="AG1428" s="81"/>
      <c r="AH1428" s="82"/>
      <c r="AI1428" s="81"/>
      <c r="AJ1428" s="81"/>
      <c r="AK1428" s="81"/>
      <c r="AL1428" s="81"/>
      <c r="AM1428" s="81"/>
      <c r="AN1428" s="81"/>
      <c r="AO1428" s="81"/>
      <c r="AP1428" s="81"/>
      <c r="AQ1428" s="81"/>
      <c r="AR1428" s="81"/>
      <c r="AS1428" s="81"/>
      <c r="AT1428" s="81"/>
      <c r="AU1428" s="53">
        <v>4.1666666666666699E-2</v>
      </c>
      <c r="AV1428" s="54" t="s">
        <v>37</v>
      </c>
      <c r="AW1428" s="57">
        <f t="shared" si="187"/>
        <v>4.1666666666666699E-2</v>
      </c>
      <c r="AX1428" s="58" t="s">
        <v>91</v>
      </c>
    </row>
    <row r="1429" spans="1:50" ht="28.5" customHeight="1">
      <c r="A1429" s="66" t="s">
        <v>1196</v>
      </c>
      <c r="B1429" s="39">
        <f t="shared" si="192"/>
        <v>1425</v>
      </c>
      <c r="C1429" s="40">
        <v>46053</v>
      </c>
      <c r="D1429" s="40" t="s">
        <v>80</v>
      </c>
      <c r="E1429" s="40" t="s">
        <v>33</v>
      </c>
      <c r="F1429" s="41">
        <v>516.5</v>
      </c>
      <c r="G1429" s="42" t="s">
        <v>34</v>
      </c>
      <c r="H1429" s="43" t="str">
        <f>IFERROR(VLOOKUP($J1429,'[9]FROM (3)'!$E$4:$F$230,2,FALSE),"")</f>
        <v>KONSEI</v>
      </c>
      <c r="I1429" s="44" t="str">
        <f t="shared" si="191"/>
        <v>Piston Disc Brake, Forging</v>
      </c>
      <c r="J1429" s="44" t="str">
        <f t="shared" si="188"/>
        <v>141411-60140-20</v>
      </c>
      <c r="K1429" s="59" t="str">
        <f t="shared" si="190"/>
        <v>PD26010939</v>
      </c>
      <c r="L1429" s="46" t="str" cm="1">
        <f t="array" ref="L1429">IFERROR(_xlfn.IFS(
    LEN($A1429)-LEN(SUBSTITUTE($A1429,"|",""))=12, RIGHT(A1429, LEN(A1429)-FIND("~", SUBSTITUTE(A1429,"|","~", LEN(A1429)-LEN(SUBSTITUTE(A1429,"|",""))))),
    LEN($A1429)-LEN(SUBSTITUTE($A1429,"|",""))=13, MID($A1429, FIND("~", SUBSTITUTE($A1429,"|","~", 11))+1, FIND("~", SUBSTITUTE($A1429,"|","~", 12))-FIND("~", SUBSTITUTE($A1429,"|","~", 11))-1),
    LEN($A1429)-LEN(SUBSTITUTE($A1429,"|",""))=14, MID($A1429, FIND("~", SUBSTITUTE($A1429,"|","~", 11))+1, FIND("~", SUBSTITUTE($A1429,"|","~", 12))-FIND("~", SUBSTITUTE($A1429,"|","~", 11))-1)
), "")</f>
        <v>663962</v>
      </c>
      <c r="M1429" s="72" t="str">
        <f t="shared" si="189"/>
        <v>2B2600240</v>
      </c>
      <c r="N1429" s="46" t="str">
        <f t="shared" si="175"/>
        <v/>
      </c>
      <c r="O1429" s="76"/>
      <c r="P1429" s="76"/>
      <c r="Q1429" s="77">
        <v>1008</v>
      </c>
      <c r="R1429" s="77">
        <v>520</v>
      </c>
      <c r="S1429" s="77"/>
      <c r="T1429" s="77"/>
      <c r="U1429" s="83"/>
      <c r="V1429" s="83"/>
      <c r="W1429" s="78"/>
      <c r="X1429" s="51">
        <f>IF(A1429="", "", IF(COUNTIFS(C$3:C1428, C1429, D$3:D1428, D1429, G$3:G1428, G1429) &gt; 0, "", "11:00"-AW1429))</f>
        <v>0.33333333333333326</v>
      </c>
      <c r="Y1429" s="79"/>
      <c r="Z1429" s="80"/>
      <c r="AA1429" s="81"/>
      <c r="AB1429" s="81"/>
      <c r="AC1429" s="81"/>
      <c r="AD1429" s="81"/>
      <c r="AE1429" s="81"/>
      <c r="AF1429" s="81"/>
      <c r="AG1429" s="81"/>
      <c r="AH1429" s="82"/>
      <c r="AI1429" s="81"/>
      <c r="AJ1429" s="81"/>
      <c r="AK1429" s="81"/>
      <c r="AL1429" s="81"/>
      <c r="AM1429" s="81"/>
      <c r="AN1429" s="81"/>
      <c r="AO1429" s="81"/>
      <c r="AP1429" s="81"/>
      <c r="AQ1429" s="81">
        <v>4.1666666666666664E-2</v>
      </c>
      <c r="AR1429" s="81" t="s">
        <v>37</v>
      </c>
      <c r="AS1429" s="81">
        <v>4.1666666666666664E-2</v>
      </c>
      <c r="AT1429" s="81" t="s">
        <v>37</v>
      </c>
      <c r="AU1429" s="53">
        <v>4.1666666666666699E-2</v>
      </c>
      <c r="AV1429" s="54" t="s">
        <v>37</v>
      </c>
      <c r="AW1429" s="57">
        <f t="shared" si="187"/>
        <v>0.12500000000000003</v>
      </c>
      <c r="AX1429" s="58" t="s">
        <v>203</v>
      </c>
    </row>
    <row r="1430" spans="1:50" ht="28.5" customHeight="1">
      <c r="A1430" s="66" t="s">
        <v>1197</v>
      </c>
      <c r="B1430" s="39">
        <f t="shared" si="192"/>
        <v>1426</v>
      </c>
      <c r="C1430" s="40">
        <v>46053</v>
      </c>
      <c r="D1430" s="40" t="s">
        <v>80</v>
      </c>
      <c r="E1430" s="40" t="s">
        <v>33</v>
      </c>
      <c r="F1430" s="41">
        <v>85</v>
      </c>
      <c r="G1430" s="42" t="s">
        <v>41</v>
      </c>
      <c r="H1430" s="43" t="str">
        <f>IFERROR(VLOOKUP($J1430,'[9]FROM (3)'!$E$4:$F$230,2,FALSE),"")</f>
        <v>DNTH</v>
      </c>
      <c r="I1430" s="44" t="str">
        <f t="shared" si="191"/>
        <v>Barrel</v>
      </c>
      <c r="J1430" s="44" t="str">
        <f t="shared" si="188"/>
        <v>TG028986-0050</v>
      </c>
      <c r="K1430" s="59" t="str">
        <f t="shared" si="190"/>
        <v>PD26011357</v>
      </c>
      <c r="L1430" s="46" t="str" cm="1">
        <f t="array" ref="L1430">IFERROR(_xlfn.IFS(
    LEN($A1430)-LEN(SUBSTITUTE($A1430,"|",""))=12, RIGHT(A1430, LEN(A1430)-FIND("~", SUBSTITUTE(A1430,"|","~", LEN(A1430)-LEN(SUBSTITUTE(A1430,"|",""))))),
    LEN($A1430)-LEN(SUBSTITUTE($A1430,"|",""))=13, MID($A1430, FIND("~", SUBSTITUTE($A1430,"|","~", 11))+1, FIND("~", SUBSTITUTE($A1430,"|","~", 12))-FIND("~", SUBSTITUTE($A1430,"|","~", 11))-1),
    LEN($A1430)-LEN(SUBSTITUTE($A1430,"|",""))=14, MID($A1430, FIND("~", SUBSTITUTE($A1430,"|","~", 11))+1, FIND("~", SUBSTITUTE($A1430,"|","~", 12))-FIND("~", SUBSTITUTE($A1430,"|","~", 11))-1)
), "")</f>
        <v>E587474</v>
      </c>
      <c r="M1430" s="72" t="str">
        <f t="shared" si="189"/>
        <v>SB010192/2/26</v>
      </c>
      <c r="N1430" s="46" t="str">
        <f t="shared" si="175"/>
        <v/>
      </c>
      <c r="O1430" s="76"/>
      <c r="P1430" s="76"/>
      <c r="Q1430" s="77">
        <v>2226</v>
      </c>
      <c r="R1430" s="77">
        <v>189</v>
      </c>
      <c r="S1430" s="77"/>
      <c r="T1430" s="77"/>
      <c r="U1430" s="83"/>
      <c r="V1430" s="83"/>
      <c r="W1430" s="78"/>
      <c r="X1430" s="51">
        <f>IF(A1430="", "", IF(COUNTIFS(C$3:C1429, C1430, D$3:D1429, D1430, G$3:G1429, G1430) &gt; 0, "", "11:00"-AW1430))</f>
        <v>0.33333333333333326</v>
      </c>
      <c r="Y1430" s="79"/>
      <c r="Z1430" s="80"/>
      <c r="AA1430" s="81"/>
      <c r="AB1430" s="81"/>
      <c r="AC1430" s="81"/>
      <c r="AD1430" s="81"/>
      <c r="AE1430" s="81"/>
      <c r="AF1430" s="81"/>
      <c r="AG1430" s="81"/>
      <c r="AH1430" s="82"/>
      <c r="AI1430" s="81"/>
      <c r="AJ1430" s="81"/>
      <c r="AK1430" s="81"/>
      <c r="AL1430" s="81"/>
      <c r="AM1430" s="81"/>
      <c r="AN1430" s="81"/>
      <c r="AO1430" s="81"/>
      <c r="AP1430" s="81"/>
      <c r="AQ1430" s="81">
        <v>4.1666666666666664E-2</v>
      </c>
      <c r="AR1430" s="81" t="s">
        <v>37</v>
      </c>
      <c r="AS1430" s="81">
        <v>4.1666666666666664E-2</v>
      </c>
      <c r="AT1430" s="81" t="s">
        <v>37</v>
      </c>
      <c r="AU1430" s="53">
        <v>4.1666666666666699E-2</v>
      </c>
      <c r="AV1430" s="54" t="s">
        <v>37</v>
      </c>
      <c r="AW1430" s="57">
        <f t="shared" si="187"/>
        <v>0.12500000000000003</v>
      </c>
      <c r="AX1430" s="58" t="s">
        <v>203</v>
      </c>
    </row>
    <row r="1431" spans="1:50" ht="28.5" customHeight="1">
      <c r="A1431" s="66" t="s">
        <v>1217</v>
      </c>
      <c r="B1431" s="39">
        <f t="shared" si="192"/>
        <v>1427</v>
      </c>
      <c r="C1431" s="40">
        <v>46053</v>
      </c>
      <c r="D1431" s="40" t="s">
        <v>80</v>
      </c>
      <c r="E1431" s="40" t="s">
        <v>33</v>
      </c>
      <c r="F1431" s="41">
        <v>597.4</v>
      </c>
      <c r="G1431" s="42" t="s">
        <v>66</v>
      </c>
      <c r="H1431" s="43" t="str">
        <f>IFERROR(VLOOKUP($J1431,'[9]FROM (3)'!$E$4:$F$230,2,FALSE),"")</f>
        <v>JTCS</v>
      </c>
      <c r="I1431" s="44" t="str">
        <f t="shared" si="191"/>
        <v>Rack, MS</v>
      </c>
      <c r="J1431" s="44" t="str">
        <f t="shared" si="188"/>
        <v>JGC10-003770-40-0</v>
      </c>
      <c r="K1431" s="59" t="str">
        <f t="shared" si="190"/>
        <v>PD26011284</v>
      </c>
      <c r="L1431" s="46" t="str" cm="1">
        <f t="array" ref="L1431">IFERROR(_xlfn.IFS(
    LEN($A1431)-LEN(SUBSTITUTE($A1431,"|",""))=12, RIGHT(A1431, LEN(A1431)-FIND("~", SUBSTITUTE(A1431,"|","~", LEN(A1431)-LEN(SUBSTITUTE(A1431,"|",""))))),
    LEN($A1431)-LEN(SUBSTITUTE($A1431,"|",""))=13, MID($A1431, FIND("~", SUBSTITUTE($A1431,"|","~", 11))+1, FIND("~", SUBSTITUTE($A1431,"|","~", 12))-FIND("~", SUBSTITUTE($A1431,"|","~", 11))-1),
    LEN($A1431)-LEN(SUBSTITUTE($A1431,"|",""))=14, MID($A1431, FIND("~", SUBSTITUTE($A1431,"|","~", 11))+1, FIND("~", SUBSTITUTE($A1431,"|","~", 12))-FIND("~", SUBSTITUTE($A1431,"|","~", 11))-1)
), "")</f>
        <v>E585970</v>
      </c>
      <c r="M1431" s="72" t="str">
        <f t="shared" si="189"/>
        <v>SB010168/3/26</v>
      </c>
      <c r="N1431" s="46" t="str">
        <f t="shared" si="175"/>
        <v/>
      </c>
      <c r="O1431" s="76">
        <v>80</v>
      </c>
      <c r="P1431" s="76">
        <v>900</v>
      </c>
      <c r="Q1431" s="77">
        <v>400</v>
      </c>
      <c r="R1431" s="77">
        <v>848</v>
      </c>
      <c r="S1431" s="77"/>
      <c r="T1431" s="77"/>
      <c r="U1431" s="83"/>
      <c r="V1431" s="83"/>
      <c r="W1431" s="78"/>
      <c r="X1431" s="51">
        <f>IF(A1431="", "", IF(COUNTIFS(C$3:C1430, C1431, D$3:D1430, D1431, G$3:G1430, G1431) &gt; 0, "", "11:00"-AW1431))</f>
        <v>0.16666666666666663</v>
      </c>
      <c r="Y1431" s="79"/>
      <c r="Z1431" s="80"/>
      <c r="AA1431" s="81"/>
      <c r="AB1431" s="81"/>
      <c r="AC1431" s="81"/>
      <c r="AD1431" s="81"/>
      <c r="AE1431" s="81"/>
      <c r="AF1431" s="81"/>
      <c r="AG1431" s="81"/>
      <c r="AH1431" s="82"/>
      <c r="AI1431" s="81">
        <v>4.1666666666666664E-2</v>
      </c>
      <c r="AJ1431" s="81" t="s">
        <v>1215</v>
      </c>
      <c r="AK1431" s="81">
        <v>4.1666666666666664E-2</v>
      </c>
      <c r="AL1431" s="81" t="s">
        <v>1215</v>
      </c>
      <c r="AM1431" s="81">
        <v>4.1666666666666664E-2</v>
      </c>
      <c r="AN1431" s="81" t="s">
        <v>1215</v>
      </c>
      <c r="AO1431" s="81">
        <v>4.1666666666666664E-2</v>
      </c>
      <c r="AP1431" s="81" t="s">
        <v>1215</v>
      </c>
      <c r="AQ1431" s="81">
        <v>4.1666666666666664E-2</v>
      </c>
      <c r="AR1431" s="81" t="s">
        <v>37</v>
      </c>
      <c r="AS1431" s="81">
        <v>4.1666666666666664E-2</v>
      </c>
      <c r="AT1431" s="81" t="s">
        <v>37</v>
      </c>
      <c r="AU1431" s="53">
        <v>4.1666666666666699E-2</v>
      </c>
      <c r="AV1431" s="54" t="s">
        <v>37</v>
      </c>
      <c r="AW1431" s="57">
        <f t="shared" si="187"/>
        <v>0.29166666666666669</v>
      </c>
      <c r="AX1431" s="58" t="s">
        <v>96</v>
      </c>
    </row>
    <row r="1432" spans="1:50" ht="28.5" customHeight="1">
      <c r="A1432" s="66" t="s">
        <v>1218</v>
      </c>
      <c r="B1432" s="39">
        <f t="shared" si="192"/>
        <v>1428</v>
      </c>
      <c r="C1432" s="40">
        <v>46053</v>
      </c>
      <c r="D1432" s="40" t="s">
        <v>80</v>
      </c>
      <c r="E1432" s="40" t="s">
        <v>33</v>
      </c>
      <c r="F1432" s="41">
        <v>597.4</v>
      </c>
      <c r="G1432" s="42" t="s">
        <v>66</v>
      </c>
      <c r="H1432" s="43" t="str">
        <f>IFERROR(VLOOKUP($J1432,'[9]FROM (3)'!$E$4:$F$230,2,FALSE),"")</f>
        <v>JTCS</v>
      </c>
      <c r="I1432" s="44" t="str">
        <f t="shared" si="191"/>
        <v>Rack, MS</v>
      </c>
      <c r="J1432" s="44" t="str">
        <f t="shared" si="188"/>
        <v>JGC10-003770-40-0</v>
      </c>
      <c r="K1432" s="59" t="str">
        <f t="shared" si="190"/>
        <v>PD26011284</v>
      </c>
      <c r="L1432" s="46" t="str" cm="1">
        <f t="array" ref="L1432">IFERROR(_xlfn.IFS(
    LEN($A1432)-LEN(SUBSTITUTE($A1432,"|",""))=12, RIGHT(A1432, LEN(A1432)-FIND("~", SUBSTITUTE(A1432,"|","~", LEN(A1432)-LEN(SUBSTITUTE(A1432,"|",""))))),
    LEN($A1432)-LEN(SUBSTITUTE($A1432,"|",""))=13, MID($A1432, FIND("~", SUBSTITUTE($A1432,"|","~", 11))+1, FIND("~", SUBSTITUTE($A1432,"|","~", 12))-FIND("~", SUBSTITUTE($A1432,"|","~", 11))-1),
    LEN($A1432)-LEN(SUBSTITUTE($A1432,"|",""))=14, MID($A1432, FIND("~", SUBSTITUTE($A1432,"|","~", 11))+1, FIND("~", SUBSTITUTE($A1432,"|","~", 12))-FIND("~", SUBSTITUTE($A1432,"|","~", 11))-1)
), "")</f>
        <v>E585970</v>
      </c>
      <c r="M1432" s="72" t="str">
        <f t="shared" si="189"/>
        <v>SB010168/2/26</v>
      </c>
      <c r="N1432" s="46" t="str">
        <f t="shared" si="175"/>
        <v/>
      </c>
      <c r="O1432" s="76">
        <v>80</v>
      </c>
      <c r="P1432" s="76">
        <v>900</v>
      </c>
      <c r="Q1432" s="77">
        <v>79</v>
      </c>
      <c r="R1432" s="77">
        <v>167</v>
      </c>
      <c r="S1432" s="77"/>
      <c r="T1432" s="77"/>
      <c r="U1432" s="83"/>
      <c r="V1432" s="83"/>
      <c r="W1432" s="78"/>
      <c r="X1432" s="51" t="str">
        <f>IF(A1432="", "", IF(COUNTIFS(C$3:C1431, C1432, D$3:D1431, D1432, G$3:G1431, G1432) &gt; 0, "", "11:00"-AW1432))</f>
        <v/>
      </c>
      <c r="Y1432" s="79"/>
      <c r="Z1432" s="80"/>
      <c r="AA1432" s="81"/>
      <c r="AB1432" s="81"/>
      <c r="AC1432" s="81"/>
      <c r="AD1432" s="81"/>
      <c r="AE1432" s="81"/>
      <c r="AF1432" s="81"/>
      <c r="AG1432" s="81"/>
      <c r="AH1432" s="82"/>
      <c r="AI1432" s="81"/>
      <c r="AJ1432" s="81"/>
      <c r="AK1432" s="81"/>
      <c r="AL1432" s="81"/>
      <c r="AM1432" s="81"/>
      <c r="AN1432" s="81"/>
      <c r="AO1432" s="81"/>
      <c r="AP1432" s="81"/>
      <c r="AQ1432" s="81"/>
      <c r="AR1432" s="81"/>
      <c r="AS1432" s="81"/>
      <c r="AT1432" s="81"/>
      <c r="AU1432" s="53">
        <v>4.1666666666666699E-2</v>
      </c>
      <c r="AV1432" s="54" t="s">
        <v>37</v>
      </c>
      <c r="AW1432" s="57">
        <f t="shared" si="187"/>
        <v>4.1666666666666699E-2</v>
      </c>
      <c r="AX1432" s="58" t="s">
        <v>96</v>
      </c>
    </row>
    <row r="1433" spans="1:50" ht="28.5" customHeight="1">
      <c r="A1433" s="66" t="s">
        <v>1193</v>
      </c>
      <c r="B1433" s="39">
        <f t="shared" si="192"/>
        <v>1429</v>
      </c>
      <c r="C1433" s="40">
        <v>46053</v>
      </c>
      <c r="D1433" s="40" t="s">
        <v>80</v>
      </c>
      <c r="E1433" s="40" t="s">
        <v>33</v>
      </c>
      <c r="F1433" s="41">
        <v>655.4</v>
      </c>
      <c r="G1433" s="42" t="s">
        <v>85</v>
      </c>
      <c r="H1433" s="43" t="str">
        <f>IFERROR(VLOOKUP($J1433,'[9]FROM (3)'!$E$4:$F$230,2,FALSE),"")</f>
        <v>JAMY</v>
      </c>
      <c r="I1433" s="44" t="str">
        <f t="shared" si="191"/>
        <v>RACK BAR</v>
      </c>
      <c r="J1433" s="44" t="str">
        <f t="shared" si="188"/>
        <v>JGC10-M09008-51-0</v>
      </c>
      <c r="K1433" s="59" t="str">
        <f t="shared" si="190"/>
        <v>PD26011348</v>
      </c>
      <c r="L1433" s="46" t="str" cm="1">
        <f t="array" ref="L1433">IFERROR(_xlfn.IFS(
    LEN($A1433)-LEN(SUBSTITUTE($A1433,"|",""))=12, RIGHT(A1433, LEN(A1433)-FIND("~", SUBSTITUTE(A1433,"|","~", LEN(A1433)-LEN(SUBSTITUTE(A1433,"|",""))))),
    LEN($A1433)-LEN(SUBSTITUTE($A1433,"|",""))=13, MID($A1433, FIND("~", SUBSTITUTE($A1433,"|","~", 11))+1, FIND("~", SUBSTITUTE($A1433,"|","~", 12))-FIND("~", SUBSTITUTE($A1433,"|","~", 11))-1),
    LEN($A1433)-LEN(SUBSTITUTE($A1433,"|",""))=14, MID($A1433, FIND("~", SUBSTITUTE($A1433,"|","~", 11))+1, FIND("~", SUBSTITUTE($A1433,"|","~", 12))-FIND("~", SUBSTITUTE($A1433,"|","~", 11))-1)
), "")</f>
        <v>E586966</v>
      </c>
      <c r="M1433" s="72" t="str">
        <f t="shared" si="189"/>
        <v>SB010179/3/26</v>
      </c>
      <c r="N1433" s="46" t="str">
        <f t="shared" si="175"/>
        <v/>
      </c>
      <c r="O1433" s="76" t="s">
        <v>35</v>
      </c>
      <c r="P1433" s="76" t="s">
        <v>35</v>
      </c>
      <c r="Q1433" s="77">
        <v>71</v>
      </c>
      <c r="R1433" s="77">
        <v>194</v>
      </c>
      <c r="S1433" s="77" t="s">
        <v>35</v>
      </c>
      <c r="T1433" s="77"/>
      <c r="U1433" s="83"/>
      <c r="V1433" s="83"/>
      <c r="W1433" s="78"/>
      <c r="X1433" s="51">
        <f>IF(A1433="", "", IF(COUNTIFS(C$3:C1432, C1433, D$3:D1432, D1433, G$3:G1432, G1433) &gt; 0, "", "11:00"-AW1433))</f>
        <v>0.16666666666666663</v>
      </c>
      <c r="Y1433" s="79"/>
      <c r="Z1433" s="80"/>
      <c r="AA1433" s="81"/>
      <c r="AB1433" s="81"/>
      <c r="AC1433" s="81"/>
      <c r="AD1433" s="81"/>
      <c r="AE1433" s="81"/>
      <c r="AF1433" s="81"/>
      <c r="AG1433" s="81"/>
      <c r="AH1433" s="82"/>
      <c r="AI1433" s="81">
        <v>4.1666666666666664E-2</v>
      </c>
      <c r="AJ1433" s="81" t="s">
        <v>1215</v>
      </c>
      <c r="AK1433" s="81">
        <v>4.1666666666666664E-2</v>
      </c>
      <c r="AL1433" s="81" t="s">
        <v>1215</v>
      </c>
      <c r="AM1433" s="81">
        <v>4.1666666666666664E-2</v>
      </c>
      <c r="AN1433" s="81" t="s">
        <v>1215</v>
      </c>
      <c r="AO1433" s="81">
        <v>4.1666666666666664E-2</v>
      </c>
      <c r="AP1433" s="81" t="s">
        <v>1215</v>
      </c>
      <c r="AQ1433" s="81">
        <v>4.1666666666666664E-2</v>
      </c>
      <c r="AR1433" s="81" t="s">
        <v>37</v>
      </c>
      <c r="AS1433" s="81">
        <v>4.1666666666666664E-2</v>
      </c>
      <c r="AT1433" s="81" t="s">
        <v>37</v>
      </c>
      <c r="AU1433" s="53">
        <v>4.1666666666666699E-2</v>
      </c>
      <c r="AV1433" s="54" t="s">
        <v>37</v>
      </c>
      <c r="AW1433" s="57">
        <f t="shared" si="187"/>
        <v>0.29166666666666669</v>
      </c>
      <c r="AX1433" s="58" t="s">
        <v>86</v>
      </c>
    </row>
    <row r="1434" spans="1:50" ht="28.5" customHeight="1">
      <c r="A1434" s="66" t="s">
        <v>1219</v>
      </c>
      <c r="B1434" s="39">
        <f t="shared" si="192"/>
        <v>1430</v>
      </c>
      <c r="C1434" s="40">
        <v>46053</v>
      </c>
      <c r="D1434" s="40" t="s">
        <v>80</v>
      </c>
      <c r="E1434" s="40" t="s">
        <v>33</v>
      </c>
      <c r="F1434" s="41">
        <v>655.4</v>
      </c>
      <c r="G1434" s="42" t="s">
        <v>85</v>
      </c>
      <c r="H1434" s="43" t="str">
        <f>IFERROR(VLOOKUP($J1434,'[9]FROM (3)'!$E$4:$F$230,2,FALSE),"")</f>
        <v>JAMY</v>
      </c>
      <c r="I1434" s="44" t="str">
        <f t="shared" si="191"/>
        <v>RACK BAR</v>
      </c>
      <c r="J1434" s="44" t="str">
        <f t="shared" si="188"/>
        <v>JGC10-M09008-51-0</v>
      </c>
      <c r="K1434" s="59" t="str">
        <f t="shared" si="190"/>
        <v>PD26011348</v>
      </c>
      <c r="L1434" s="46" t="str" cm="1">
        <f t="array" ref="L1434">IFERROR(_xlfn.IFS(
    LEN($A1434)-LEN(SUBSTITUTE($A1434,"|",""))=12, RIGHT(A1434, LEN(A1434)-FIND("~", SUBSTITUTE(A1434,"|","~", LEN(A1434)-LEN(SUBSTITUTE(A1434,"|",""))))),
    LEN($A1434)-LEN(SUBSTITUTE($A1434,"|",""))=13, MID($A1434, FIND("~", SUBSTITUTE($A1434,"|","~", 11))+1, FIND("~", SUBSTITUTE($A1434,"|","~", 12))-FIND("~", SUBSTITUTE($A1434,"|","~", 11))-1),
    LEN($A1434)-LEN(SUBSTITUTE($A1434,"|",""))=14, MID($A1434, FIND("~", SUBSTITUTE($A1434,"|","~", 11))+1, FIND("~", SUBSTITUTE($A1434,"|","~", 12))-FIND("~", SUBSTITUTE($A1434,"|","~", 11))-1)
), "")</f>
        <v>E586966</v>
      </c>
      <c r="M1434" s="72" t="str">
        <f t="shared" si="189"/>
        <v>SB010179/1/26</v>
      </c>
      <c r="N1434" s="46" t="str">
        <f t="shared" si="175"/>
        <v/>
      </c>
      <c r="O1434" s="76">
        <v>60</v>
      </c>
      <c r="P1434" s="76">
        <v>874</v>
      </c>
      <c r="Q1434" s="77">
        <v>300</v>
      </c>
      <c r="R1434" s="77">
        <v>819</v>
      </c>
      <c r="S1434" s="77" t="s">
        <v>35</v>
      </c>
      <c r="T1434" s="77"/>
      <c r="U1434" s="83"/>
      <c r="V1434" s="83"/>
      <c r="W1434" s="78"/>
      <c r="X1434" s="51" t="str">
        <f>IF(A1434="", "", IF(COUNTIFS(C$3:C1433, C1434, D$3:D1433, D1434, G$3:G1433, G1434) &gt; 0, "", "11:00"-AW1434))</f>
        <v/>
      </c>
      <c r="Y1434" s="79"/>
      <c r="Z1434" s="80"/>
      <c r="AA1434" s="81"/>
      <c r="AB1434" s="81"/>
      <c r="AC1434" s="81"/>
      <c r="AD1434" s="81"/>
      <c r="AE1434" s="81"/>
      <c r="AF1434" s="81"/>
      <c r="AG1434" s="81"/>
      <c r="AH1434" s="82"/>
      <c r="AI1434" s="81"/>
      <c r="AJ1434" s="81"/>
      <c r="AK1434" s="81"/>
      <c r="AL1434" s="81"/>
      <c r="AM1434" s="81"/>
      <c r="AN1434" s="81"/>
      <c r="AO1434" s="81"/>
      <c r="AP1434" s="81"/>
      <c r="AQ1434" s="81"/>
      <c r="AR1434" s="81"/>
      <c r="AS1434" s="81"/>
      <c r="AT1434" s="81"/>
      <c r="AU1434" s="53">
        <v>4.1666666666666699E-2</v>
      </c>
      <c r="AV1434" s="54" t="s">
        <v>37</v>
      </c>
      <c r="AW1434" s="57">
        <f t="shared" si="187"/>
        <v>4.1666666666666699E-2</v>
      </c>
      <c r="AX1434" s="58" t="s">
        <v>86</v>
      </c>
    </row>
    <row r="1435" spans="1:50" ht="28.5" customHeight="1">
      <c r="A1435" s="66" t="s">
        <v>1220</v>
      </c>
      <c r="B1435" s="39">
        <f t="shared" si="192"/>
        <v>1431</v>
      </c>
      <c r="C1435" s="40">
        <v>46053</v>
      </c>
      <c r="D1435" s="40" t="s">
        <v>80</v>
      </c>
      <c r="E1435" s="40" t="s">
        <v>33</v>
      </c>
      <c r="F1435" s="41">
        <v>655.4</v>
      </c>
      <c r="G1435" s="42" t="s">
        <v>85</v>
      </c>
      <c r="H1435" s="43" t="str">
        <f>IFERROR(VLOOKUP($J1435,'[9]FROM (3)'!$E$4:$F$230,2,FALSE),"")</f>
        <v>JAMY</v>
      </c>
      <c r="I1435" s="44" t="str">
        <f t="shared" si="191"/>
        <v>RACK BAR</v>
      </c>
      <c r="J1435" s="44" t="str">
        <f t="shared" si="188"/>
        <v>JGC10-M09008-51-0</v>
      </c>
      <c r="K1435" s="59" t="str">
        <f t="shared" si="190"/>
        <v>PD26011348</v>
      </c>
      <c r="L1435" s="46" t="str" cm="1">
        <f t="array" ref="L1435">IFERROR(_xlfn.IFS(
    LEN($A1435)-LEN(SUBSTITUTE($A1435,"|",""))=12, RIGHT(A1435, LEN(A1435)-FIND("~", SUBSTITUTE(A1435,"|","~", LEN(A1435)-LEN(SUBSTITUTE(A1435,"|",""))))),
    LEN($A1435)-LEN(SUBSTITUTE($A1435,"|",""))=13, MID($A1435, FIND("~", SUBSTITUTE($A1435,"|","~", 11))+1, FIND("~", SUBSTITUTE($A1435,"|","~", 12))-FIND("~", SUBSTITUTE($A1435,"|","~", 11))-1),
    LEN($A1435)-LEN(SUBSTITUTE($A1435,"|",""))=14, MID($A1435, FIND("~", SUBSTITUTE($A1435,"|","~", 11))+1, FIND("~", SUBSTITUTE($A1435,"|","~", 12))-FIND("~", SUBSTITUTE($A1435,"|","~", 11))-1)
), "")</f>
        <v>E586966</v>
      </c>
      <c r="M1435" s="72" t="str">
        <f t="shared" si="189"/>
        <v>SB010179/2/26</v>
      </c>
      <c r="N1435" s="46" t="str">
        <f t="shared" si="175"/>
        <v/>
      </c>
      <c r="O1435" s="76">
        <v>60</v>
      </c>
      <c r="P1435" s="76">
        <v>874</v>
      </c>
      <c r="Q1435" s="77">
        <v>108</v>
      </c>
      <c r="R1435" s="77">
        <v>295</v>
      </c>
      <c r="S1435" s="77" t="s">
        <v>35</v>
      </c>
      <c r="T1435" s="77"/>
      <c r="U1435" s="83"/>
      <c r="V1435" s="83"/>
      <c r="W1435" s="78"/>
      <c r="X1435" s="51" t="str">
        <f>IF(A1435="", "", IF(COUNTIFS(C$3:C1434, C1435, D$3:D1434, D1435, G$3:G1434, G1435) &gt; 0, "", "11:00"-AW1435))</f>
        <v/>
      </c>
      <c r="Y1435" s="79"/>
      <c r="Z1435" s="80"/>
      <c r="AA1435" s="81"/>
      <c r="AB1435" s="81"/>
      <c r="AC1435" s="81"/>
      <c r="AD1435" s="81"/>
      <c r="AE1435" s="81"/>
      <c r="AF1435" s="81"/>
      <c r="AG1435" s="81"/>
      <c r="AH1435" s="82"/>
      <c r="AI1435" s="81"/>
      <c r="AJ1435" s="81"/>
      <c r="AK1435" s="81"/>
      <c r="AL1435" s="81"/>
      <c r="AM1435" s="81"/>
      <c r="AN1435" s="81"/>
      <c r="AO1435" s="81"/>
      <c r="AP1435" s="81"/>
      <c r="AQ1435" s="81"/>
      <c r="AR1435" s="81"/>
      <c r="AS1435" s="81"/>
      <c r="AT1435" s="81"/>
      <c r="AU1435" s="53">
        <v>4.1666666666666699E-2</v>
      </c>
      <c r="AV1435" s="54" t="s">
        <v>37</v>
      </c>
      <c r="AW1435" s="57">
        <f t="shared" si="187"/>
        <v>4.1666666666666699E-2</v>
      </c>
      <c r="AX1435" s="58" t="s">
        <v>86</v>
      </c>
    </row>
    <row r="1436" spans="1:50" ht="28.5" customHeight="1">
      <c r="A1436" s="66" t="s">
        <v>1206</v>
      </c>
      <c r="B1436" s="39">
        <f t="shared" si="192"/>
        <v>1432</v>
      </c>
      <c r="C1436" s="40">
        <v>46053</v>
      </c>
      <c r="D1436" s="40" t="s">
        <v>80</v>
      </c>
      <c r="E1436" s="40" t="s">
        <v>33</v>
      </c>
      <c r="F1436" s="41">
        <v>565</v>
      </c>
      <c r="G1436" s="42" t="s">
        <v>75</v>
      </c>
      <c r="H1436" s="43" t="str">
        <f>IFERROR(VLOOKUP($J1436,'[9]FROM (3)'!$E$4:$F$230,2,FALSE),"")</f>
        <v>JTCS</v>
      </c>
      <c r="I1436" s="44" t="str">
        <f t="shared" si="191"/>
        <v>Rack, MS</v>
      </c>
      <c r="J1436" s="44" t="str">
        <f t="shared" si="188"/>
        <v>JGC10-003280-40-0</v>
      </c>
      <c r="K1436" s="59" t="str">
        <f t="shared" si="190"/>
        <v>PD26011287</v>
      </c>
      <c r="L1436" s="46" t="str" cm="1">
        <f t="array" ref="L1436">IFERROR(_xlfn.IFS(
    LEN($A1436)-LEN(SUBSTITUTE($A1436,"|",""))=12, RIGHT(A1436, LEN(A1436)-FIND("~", SUBSTITUTE(A1436,"|","~", LEN(A1436)-LEN(SUBSTITUTE(A1436,"|",""))))),
    LEN($A1436)-LEN(SUBSTITUTE($A1436,"|",""))=13, MID($A1436, FIND("~", SUBSTITUTE($A1436,"|","~", 11))+1, FIND("~", SUBSTITUTE($A1436,"|","~", 12))-FIND("~", SUBSTITUTE($A1436,"|","~", 11))-1),
    LEN($A1436)-LEN(SUBSTITUTE($A1436,"|",""))=14, MID($A1436, FIND("~", SUBSTITUTE($A1436,"|","~", 11))+1, FIND("~", SUBSTITUTE($A1436,"|","~", 12))-FIND("~", SUBSTITUTE($A1436,"|","~", 11))-1)
), "")</f>
        <v>E586613</v>
      </c>
      <c r="M1436" s="72" t="str">
        <f t="shared" si="189"/>
        <v>SB010164/4/26</v>
      </c>
      <c r="N1436" s="46" t="str">
        <f t="shared" si="175"/>
        <v/>
      </c>
      <c r="O1436" s="76"/>
      <c r="P1436" s="76"/>
      <c r="Q1436" s="77">
        <v>208</v>
      </c>
      <c r="R1436" s="77">
        <v>417</v>
      </c>
      <c r="S1436" s="77"/>
      <c r="T1436" s="77"/>
      <c r="U1436" s="83">
        <v>187</v>
      </c>
      <c r="V1436" s="83">
        <v>6</v>
      </c>
      <c r="W1436" s="78"/>
      <c r="X1436" s="51">
        <f>IF(A1436="", "", IF(COUNTIFS(C$3:C1435, C1436, D$3:D1435, D1436, G$3:G1435, G1436) &gt; 0, "", "11:00"-AW1436))</f>
        <v>0.125</v>
      </c>
      <c r="Y1436" s="79"/>
      <c r="Z1436" s="80"/>
      <c r="AA1436" s="81"/>
      <c r="AB1436" s="81"/>
      <c r="AC1436" s="81"/>
      <c r="AD1436" s="81">
        <v>4.1666666666666664E-2</v>
      </c>
      <c r="AE1436" s="81" t="s">
        <v>67</v>
      </c>
      <c r="AF1436" s="81"/>
      <c r="AG1436" s="81"/>
      <c r="AH1436" s="82"/>
      <c r="AI1436" s="81">
        <v>4.1666666666666664E-2</v>
      </c>
      <c r="AJ1436" s="81" t="s">
        <v>1215</v>
      </c>
      <c r="AK1436" s="81">
        <v>4.1666666666666664E-2</v>
      </c>
      <c r="AL1436" s="81" t="s">
        <v>1215</v>
      </c>
      <c r="AM1436" s="81">
        <v>4.1666666666666664E-2</v>
      </c>
      <c r="AN1436" s="81" t="s">
        <v>1215</v>
      </c>
      <c r="AO1436" s="81">
        <v>4.1666666666666664E-2</v>
      </c>
      <c r="AP1436" s="81" t="s">
        <v>1215</v>
      </c>
      <c r="AQ1436" s="81">
        <v>4.1666666666666664E-2</v>
      </c>
      <c r="AR1436" s="81" t="s">
        <v>37</v>
      </c>
      <c r="AS1436" s="81">
        <v>4.1666666666666664E-2</v>
      </c>
      <c r="AT1436" s="81" t="s">
        <v>37</v>
      </c>
      <c r="AU1436" s="53">
        <v>4.1666666666666699E-2</v>
      </c>
      <c r="AV1436" s="54" t="s">
        <v>37</v>
      </c>
      <c r="AW1436" s="57">
        <f t="shared" si="187"/>
        <v>0.33333333333333331</v>
      </c>
      <c r="AX1436" s="58" t="s">
        <v>101</v>
      </c>
    </row>
    <row r="1437" spans="1:50" ht="28.5" customHeight="1">
      <c r="A1437" s="66" t="s">
        <v>1221</v>
      </c>
      <c r="B1437" s="39">
        <f t="shared" si="192"/>
        <v>1433</v>
      </c>
      <c r="C1437" s="40">
        <v>46053</v>
      </c>
      <c r="D1437" s="40" t="s">
        <v>80</v>
      </c>
      <c r="E1437" s="40" t="s">
        <v>33</v>
      </c>
      <c r="F1437" s="41">
        <v>695.3</v>
      </c>
      <c r="G1437" s="42" t="s">
        <v>75</v>
      </c>
      <c r="H1437" s="43" t="str">
        <f>IFERROR(VLOOKUP($J1437,'[9]FROM (3)'!$E$4:$F$230,2,FALSE),"")</f>
        <v>JTCS</v>
      </c>
      <c r="I1437" s="44" t="str">
        <f t="shared" si="191"/>
        <v>Rack, PS</v>
      </c>
      <c r="J1437" s="44" t="str">
        <f t="shared" si="188"/>
        <v>JGD10-001150-40-1</v>
      </c>
      <c r="K1437" s="59" t="str">
        <f t="shared" si="190"/>
        <v>PD26010778</v>
      </c>
      <c r="L1437" s="46" t="str" cm="1">
        <f t="array" ref="L1437">IFERROR(_xlfn.IFS(
    LEN($A1437)-LEN(SUBSTITUTE($A1437,"|",""))=12, RIGHT(A1437, LEN(A1437)-FIND("~", SUBSTITUTE(A1437,"|","~", LEN(A1437)-LEN(SUBSTITUTE(A1437,"|",""))))),
    LEN($A1437)-LEN(SUBSTITUTE($A1437,"|",""))=13, MID($A1437, FIND("~", SUBSTITUTE($A1437,"|","~", 11))+1, FIND("~", SUBSTITUTE($A1437,"|","~", 12))-FIND("~", SUBSTITUTE($A1437,"|","~", 11))-1),
    LEN($A1437)-LEN(SUBSTITUTE($A1437,"|",""))=14, MID($A1437, FIND("~", SUBSTITUTE($A1437,"|","~", 11))+1, FIND("~", SUBSTITUTE($A1437,"|","~", 12))-FIND("~", SUBSTITUTE($A1437,"|","~", 11))-1)
), "")</f>
        <v>E585970</v>
      </c>
      <c r="M1437" s="72" t="str">
        <f t="shared" si="189"/>
        <v>SB010099/2/26</v>
      </c>
      <c r="N1437" s="46" t="str">
        <f t="shared" si="175"/>
        <v/>
      </c>
      <c r="O1437" s="76">
        <v>60</v>
      </c>
      <c r="P1437" s="76">
        <v>866</v>
      </c>
      <c r="Q1437" s="77">
        <v>95</v>
      </c>
      <c r="R1437" s="77">
        <v>318</v>
      </c>
      <c r="S1437" s="77"/>
      <c r="T1437" s="77"/>
      <c r="U1437" s="83"/>
      <c r="V1437" s="83"/>
      <c r="W1437" s="78"/>
      <c r="X1437" s="51" t="str">
        <f>IF(A1437="", "", IF(COUNTIFS(C$3:C1436, C1437, D$3:D1436, D1437, G$3:G1436, G1437) &gt; 0, "", "11:00"-AW1437))</f>
        <v/>
      </c>
      <c r="Y1437" s="79"/>
      <c r="Z1437" s="80"/>
      <c r="AA1437" s="81"/>
      <c r="AB1437" s="81"/>
      <c r="AC1437" s="81"/>
      <c r="AD1437" s="81"/>
      <c r="AE1437" s="81"/>
      <c r="AF1437" s="81"/>
      <c r="AG1437" s="81"/>
      <c r="AH1437" s="82"/>
      <c r="AI1437" s="81"/>
      <c r="AJ1437" s="81"/>
      <c r="AK1437" s="81"/>
      <c r="AL1437" s="81"/>
      <c r="AM1437" s="81"/>
      <c r="AN1437" s="81"/>
      <c r="AO1437" s="81"/>
      <c r="AP1437" s="81"/>
      <c r="AQ1437" s="81"/>
      <c r="AR1437" s="81"/>
      <c r="AS1437" s="81"/>
      <c r="AT1437" s="81"/>
      <c r="AU1437" s="53">
        <v>4.1666666666666699E-2</v>
      </c>
      <c r="AV1437" s="54" t="s">
        <v>37</v>
      </c>
      <c r="AW1437" s="57">
        <f t="shared" si="187"/>
        <v>4.1666666666666699E-2</v>
      </c>
      <c r="AX1437" s="58" t="s">
        <v>101</v>
      </c>
    </row>
    <row r="1438" spans="1:50" ht="28.5" customHeight="1">
      <c r="A1438" s="66" t="s">
        <v>1222</v>
      </c>
      <c r="B1438" s="39">
        <f t="shared" si="192"/>
        <v>1434</v>
      </c>
      <c r="C1438" s="40">
        <v>46053</v>
      </c>
      <c r="D1438" s="40" t="s">
        <v>80</v>
      </c>
      <c r="E1438" s="40" t="s">
        <v>33</v>
      </c>
      <c r="F1438" s="41">
        <v>15.2</v>
      </c>
      <c r="G1438" s="42" t="s">
        <v>62</v>
      </c>
      <c r="H1438" s="43" t="str">
        <f>IFERROR(VLOOKUP($J1438,'[9]FROM (3)'!$E$4:$F$230,2,FALSE),"")</f>
        <v>DNTH</v>
      </c>
      <c r="I1438" s="44" t="str">
        <f t="shared" si="191"/>
        <v>SHAFT STARTER ARMATURE, 1W</v>
      </c>
      <c r="J1438" s="44" t="str">
        <f t="shared" si="188"/>
        <v>TG028993-540B</v>
      </c>
      <c r="K1438" s="59" t="str">
        <f t="shared" si="190"/>
        <v>PD26011374</v>
      </c>
      <c r="L1438" s="46" t="str" cm="1">
        <f t="array" ref="L1438">IFERROR(_xlfn.IFS(
    LEN($A1438)-LEN(SUBSTITUTE($A1438,"|",""))=12, RIGHT(A1438, LEN(A1438)-FIND("~", SUBSTITUTE(A1438,"|","~", LEN(A1438)-LEN(SUBSTITUTE(A1438,"|",""))))),
    LEN($A1438)-LEN(SUBSTITUTE($A1438,"|",""))=13, MID($A1438, FIND("~", SUBSTITUTE($A1438,"|","~", 11))+1, FIND("~", SUBSTITUTE($A1438,"|","~", 12))-FIND("~", SUBSTITUTE($A1438,"|","~", 11))-1),
    LEN($A1438)-LEN(SUBSTITUTE($A1438,"|",""))=14, MID($A1438, FIND("~", SUBSTITUTE($A1438,"|","~", 11))+1, FIND("~", SUBSTITUTE($A1438,"|","~", 12))-FIND("~", SUBSTITUTE($A1438,"|","~", 11))-1)
), "")</f>
        <v>E586473</v>
      </c>
      <c r="M1438" s="72" t="str">
        <f t="shared" si="189"/>
        <v>SB010082/6/26</v>
      </c>
      <c r="N1438" s="46" t="str">
        <f t="shared" si="175"/>
        <v/>
      </c>
      <c r="O1438" s="76">
        <v>36</v>
      </c>
      <c r="P1438" s="76">
        <v>209</v>
      </c>
      <c r="Q1438" s="77">
        <v>717</v>
      </c>
      <c r="R1438" s="77">
        <v>146</v>
      </c>
      <c r="S1438" s="77"/>
      <c r="T1438" s="77"/>
      <c r="U1438" s="83"/>
      <c r="V1438" s="83"/>
      <c r="W1438" s="78"/>
      <c r="X1438" s="51">
        <f>IF(A1438="", "", IF(COUNTIFS(C$3:C1437, C1438, D$3:D1437, D1438, G$3:G1437, G1438) &gt; 0, "", "11:00"-AW1438))</f>
        <v>0.24999999999999994</v>
      </c>
      <c r="Y1438" s="79"/>
      <c r="Z1438" s="80">
        <v>4.1666666666666664E-2</v>
      </c>
      <c r="AA1438" s="81" t="s">
        <v>90</v>
      </c>
      <c r="AB1438" s="81">
        <v>4.1666666666666664E-2</v>
      </c>
      <c r="AC1438" s="81" t="s">
        <v>67</v>
      </c>
      <c r="AD1438" s="81"/>
      <c r="AE1438" s="81"/>
      <c r="AF1438" s="81"/>
      <c r="AG1438" s="81"/>
      <c r="AH1438" s="82"/>
      <c r="AI1438" s="81"/>
      <c r="AJ1438" s="81"/>
      <c r="AK1438" s="81"/>
      <c r="AL1438" s="81"/>
      <c r="AM1438" s="81"/>
      <c r="AN1438" s="81"/>
      <c r="AO1438" s="81"/>
      <c r="AP1438" s="81"/>
      <c r="AQ1438" s="81">
        <v>4.1666666666666664E-2</v>
      </c>
      <c r="AR1438" s="81" t="s">
        <v>37</v>
      </c>
      <c r="AS1438" s="81">
        <v>4.1666666666666664E-2</v>
      </c>
      <c r="AT1438" s="81" t="s">
        <v>37</v>
      </c>
      <c r="AU1438" s="53">
        <v>4.1666666666666699E-2</v>
      </c>
      <c r="AV1438" s="54" t="s">
        <v>37</v>
      </c>
      <c r="AW1438" s="57">
        <f t="shared" si="187"/>
        <v>0.20833333333333337</v>
      </c>
      <c r="AX1438" s="58" t="s">
        <v>770</v>
      </c>
    </row>
    <row r="1439" spans="1:50" ht="28.5" customHeight="1">
      <c r="A1439" s="66" t="s">
        <v>1218</v>
      </c>
      <c r="B1439" s="39">
        <f t="shared" si="192"/>
        <v>1435</v>
      </c>
      <c r="C1439" s="40">
        <v>46053</v>
      </c>
      <c r="D1439" s="40" t="s">
        <v>32</v>
      </c>
      <c r="E1439" s="40" t="s">
        <v>81</v>
      </c>
      <c r="F1439" s="41">
        <v>597.4</v>
      </c>
      <c r="G1439" s="42" t="s">
        <v>66</v>
      </c>
      <c r="H1439" s="43" t="str">
        <f>IFERROR(VLOOKUP($J1439,'[9]FROM (3)'!$E$4:$F$230,2,FALSE),"")</f>
        <v>JTCS</v>
      </c>
      <c r="I1439" s="44" t="str">
        <f t="shared" si="191"/>
        <v>Rack, MS</v>
      </c>
      <c r="J1439" s="44" t="str">
        <f t="shared" si="188"/>
        <v>JGC10-003770-40-0</v>
      </c>
      <c r="K1439" s="59" t="str">
        <f t="shared" si="190"/>
        <v>PD26011284</v>
      </c>
      <c r="L1439" s="46" t="str" cm="1">
        <f t="array" ref="L1439">IFERROR(_xlfn.IFS(
    LEN($A1439)-LEN(SUBSTITUTE($A1439,"|",""))=12, RIGHT(A1439, LEN(A1439)-FIND("~", SUBSTITUTE(A1439,"|","~", LEN(A1439)-LEN(SUBSTITUTE(A1439,"|",""))))),
    LEN($A1439)-LEN(SUBSTITUTE($A1439,"|",""))=13, MID($A1439, FIND("~", SUBSTITUTE($A1439,"|","~", 11))+1, FIND("~", SUBSTITUTE($A1439,"|","~", 12))-FIND("~", SUBSTITUTE($A1439,"|","~", 11))-1),
    LEN($A1439)-LEN(SUBSTITUTE($A1439,"|",""))=14, MID($A1439, FIND("~", SUBSTITUTE($A1439,"|","~", 11))+1, FIND("~", SUBSTITUTE($A1439,"|","~", 12))-FIND("~", SUBSTITUTE($A1439,"|","~", 11))-1)
), "")</f>
        <v>E585970</v>
      </c>
      <c r="M1439" s="72" t="str">
        <f t="shared" si="189"/>
        <v>SB010168/2/26</v>
      </c>
      <c r="N1439" s="46" t="str">
        <f t="shared" si="175"/>
        <v/>
      </c>
      <c r="O1439" s="76">
        <v>65</v>
      </c>
      <c r="P1439" s="76">
        <v>731</v>
      </c>
      <c r="Q1439" s="77">
        <v>321</v>
      </c>
      <c r="R1439" s="77">
        <v>681</v>
      </c>
      <c r="S1439" s="77"/>
      <c r="T1439" s="77"/>
      <c r="U1439" s="83"/>
      <c r="V1439" s="83"/>
      <c r="W1439" s="78"/>
      <c r="X1439" s="51">
        <f>IF(A1439="", "", IF(COUNTIFS(C$3:C1438, C1439, D$3:D1438, D1439, G$3:G1438, G1439) &gt; 0, "", "11:00"-AW1439))</f>
        <v>0.27083333333333331</v>
      </c>
      <c r="Y1439" s="79"/>
      <c r="Z1439" s="80"/>
      <c r="AA1439" s="81"/>
      <c r="AB1439" s="81"/>
      <c r="AC1439" s="81"/>
      <c r="AD1439" s="81"/>
      <c r="AE1439" s="81"/>
      <c r="AF1439" s="81"/>
      <c r="AG1439" s="81"/>
      <c r="AH1439" s="82"/>
      <c r="AI1439" s="81"/>
      <c r="AJ1439" s="81"/>
      <c r="AK1439" s="81"/>
      <c r="AL1439" s="81"/>
      <c r="AM1439" s="81">
        <v>4.1666666666666664E-2</v>
      </c>
      <c r="AN1439" s="81" t="s">
        <v>67</v>
      </c>
      <c r="AO1439" s="81">
        <v>2.0833333333333332E-2</v>
      </c>
      <c r="AP1439" s="81" t="s">
        <v>82</v>
      </c>
      <c r="AQ1439" s="81">
        <v>4.1666666666666664E-2</v>
      </c>
      <c r="AR1439" s="81" t="s">
        <v>37</v>
      </c>
      <c r="AS1439" s="81">
        <v>4.1666666666666664E-2</v>
      </c>
      <c r="AT1439" s="81" t="s">
        <v>37</v>
      </c>
      <c r="AU1439" s="53">
        <v>4.1666666666666699E-2</v>
      </c>
      <c r="AV1439" s="54" t="s">
        <v>37</v>
      </c>
      <c r="AW1439" s="57">
        <f t="shared" si="187"/>
        <v>0.1875</v>
      </c>
      <c r="AX1439" s="58" t="s">
        <v>68</v>
      </c>
    </row>
    <row r="1440" spans="1:50" ht="28.5" customHeight="1">
      <c r="A1440" s="66" t="s">
        <v>1223</v>
      </c>
      <c r="B1440" s="39">
        <f t="shared" si="192"/>
        <v>1436</v>
      </c>
      <c r="C1440" s="40">
        <v>46053</v>
      </c>
      <c r="D1440" s="40" t="s">
        <v>32</v>
      </c>
      <c r="E1440" s="40" t="s">
        <v>81</v>
      </c>
      <c r="F1440" s="41">
        <v>597.4</v>
      </c>
      <c r="G1440" s="42" t="s">
        <v>66</v>
      </c>
      <c r="H1440" s="43" t="str">
        <f>IFERROR(VLOOKUP($J1440,'[9]FROM (3)'!$E$4:$F$230,2,FALSE),"")</f>
        <v>JTCS</v>
      </c>
      <c r="I1440" s="44" t="str">
        <f t="shared" si="191"/>
        <v>Rack, MS</v>
      </c>
      <c r="J1440" s="44" t="str">
        <f t="shared" si="188"/>
        <v>JGC10-003770-40-0</v>
      </c>
      <c r="K1440" s="59" t="str">
        <f t="shared" si="190"/>
        <v>PD26011284</v>
      </c>
      <c r="L1440" s="46" t="str" cm="1">
        <f t="array" ref="L1440">IFERROR(_xlfn.IFS(
    LEN($A1440)-LEN(SUBSTITUTE($A1440,"|",""))=12, RIGHT(A1440, LEN(A1440)-FIND("~", SUBSTITUTE(A1440,"|","~", LEN(A1440)-LEN(SUBSTITUTE(A1440,"|",""))))),
    LEN($A1440)-LEN(SUBSTITUTE($A1440,"|",""))=13, MID($A1440, FIND("~", SUBSTITUTE($A1440,"|","~", 11))+1, FIND("~", SUBSTITUTE($A1440,"|","~", 12))-FIND("~", SUBSTITUTE($A1440,"|","~", 11))-1),
    LEN($A1440)-LEN(SUBSTITUTE($A1440,"|",""))=14, MID($A1440, FIND("~", SUBSTITUTE($A1440,"|","~", 11))+1, FIND("~", SUBSTITUTE($A1440,"|","~", 12))-FIND("~", SUBSTITUTE($A1440,"|","~", 11))-1)
), "")</f>
        <v>E585970</v>
      </c>
      <c r="M1440" s="72" t="str">
        <f t="shared" si="189"/>
        <v>SB010168/1/26</v>
      </c>
      <c r="N1440" s="46" t="str">
        <f t="shared" si="175"/>
        <v/>
      </c>
      <c r="O1440" s="76">
        <v>80</v>
      </c>
      <c r="P1440" s="76">
        <v>900</v>
      </c>
      <c r="Q1440" s="77">
        <v>400</v>
      </c>
      <c r="R1440" s="77">
        <v>848</v>
      </c>
      <c r="S1440" s="77"/>
      <c r="T1440" s="77"/>
      <c r="U1440" s="83">
        <v>147</v>
      </c>
      <c r="V1440" s="83">
        <v>10</v>
      </c>
      <c r="W1440" s="78"/>
      <c r="X1440" s="51" t="str">
        <f>IF(A1440="", "", IF(COUNTIFS(C$3:C1439, C1440, D$3:D1439, D1440, G$3:G1439, G1440) &gt; 0, "", "11:00"-AW1440))</f>
        <v/>
      </c>
      <c r="Y1440" s="79"/>
      <c r="Z1440" s="80"/>
      <c r="AA1440" s="81"/>
      <c r="AB1440" s="81"/>
      <c r="AC1440" s="81"/>
      <c r="AD1440" s="81"/>
      <c r="AE1440" s="81"/>
      <c r="AF1440" s="81"/>
      <c r="AG1440" s="81"/>
      <c r="AH1440" s="82"/>
      <c r="AI1440" s="81"/>
      <c r="AJ1440" s="81"/>
      <c r="AK1440" s="81"/>
      <c r="AL1440" s="81"/>
      <c r="AM1440" s="81"/>
      <c r="AN1440" s="81"/>
      <c r="AO1440" s="81"/>
      <c r="AP1440" s="81"/>
      <c r="AQ1440" s="81"/>
      <c r="AR1440" s="81" t="s">
        <v>37</v>
      </c>
      <c r="AS1440" s="81"/>
      <c r="AT1440" s="81" t="s">
        <v>37</v>
      </c>
      <c r="AU1440" s="53">
        <v>4.1666666666666699E-2</v>
      </c>
      <c r="AV1440" s="54" t="s">
        <v>37</v>
      </c>
      <c r="AW1440" s="57">
        <f t="shared" si="187"/>
        <v>4.1666666666666699E-2</v>
      </c>
      <c r="AX1440" s="58" t="s">
        <v>68</v>
      </c>
    </row>
    <row r="1441" spans="1:50" ht="28.5" customHeight="1">
      <c r="A1441" s="66" t="s">
        <v>1224</v>
      </c>
      <c r="B1441" s="39">
        <f t="shared" si="192"/>
        <v>1437</v>
      </c>
      <c r="C1441" s="40">
        <v>46053</v>
      </c>
      <c r="D1441" s="40" t="s">
        <v>32</v>
      </c>
      <c r="E1441" s="40" t="s">
        <v>81</v>
      </c>
      <c r="F1441" s="41">
        <v>765.7</v>
      </c>
      <c r="G1441" s="42" t="s">
        <v>66</v>
      </c>
      <c r="H1441" s="43" t="str">
        <f>IFERROR(VLOOKUP($J1441,'[9]FROM (3)'!$E$4:$F$230,2,FALSE),"")</f>
        <v>JTCS</v>
      </c>
      <c r="I1441" s="44" t="str">
        <f t="shared" si="191"/>
        <v>RACK, PS</v>
      </c>
      <c r="J1441" s="44" t="str">
        <f t="shared" si="188"/>
        <v>JGD10S00670-B</v>
      </c>
      <c r="K1441" s="59" t="str">
        <f t="shared" si="190"/>
        <v>PD26011290</v>
      </c>
      <c r="L1441" s="46" t="str" cm="1">
        <f t="array" ref="L1441">IFERROR(_xlfn.IFS(
    LEN($A1441)-LEN(SUBSTITUTE($A1441,"|",""))=12, RIGHT(A1441, LEN(A1441)-FIND("~", SUBSTITUTE(A1441,"|","~", LEN(A1441)-LEN(SUBSTITUTE(A1441,"|",""))))),
    LEN($A1441)-LEN(SUBSTITUTE($A1441,"|",""))=13, MID($A1441, FIND("~", SUBSTITUTE($A1441,"|","~", 11))+1, FIND("~", SUBSTITUTE($A1441,"|","~", 12))-FIND("~", SUBSTITUTE($A1441,"|","~", 11))-1),
    LEN($A1441)-LEN(SUBSTITUTE($A1441,"|",""))=14, MID($A1441, FIND("~", SUBSTITUTE($A1441,"|","~", 11))+1, FIND("~", SUBSTITUTE($A1441,"|","~", 12))-FIND("~", SUBSTITUTE($A1441,"|","~", 11))-1)
), "")</f>
        <v>E586447</v>
      </c>
      <c r="M1441" s="72" t="str">
        <f t="shared" si="189"/>
        <v>SB010178/1/26</v>
      </c>
      <c r="N1441" s="46" t="str">
        <f t="shared" si="175"/>
        <v/>
      </c>
      <c r="O1441" s="76">
        <v>7</v>
      </c>
      <c r="P1441" s="76">
        <v>248</v>
      </c>
      <c r="Q1441" s="77">
        <v>46</v>
      </c>
      <c r="R1441" s="77">
        <v>226</v>
      </c>
      <c r="S1441" s="77"/>
      <c r="T1441" s="77"/>
      <c r="U1441" s="83"/>
      <c r="V1441" s="83"/>
      <c r="W1441" s="78"/>
      <c r="X1441" s="51" t="str">
        <f>IF(A1441="", "", IF(COUNTIFS(C$3:C1440, C1441, D$3:D1440, D1441, G$3:G1440, G1441) &gt; 0, "", "11:00"-AW1441))</f>
        <v/>
      </c>
      <c r="Y1441" s="79"/>
      <c r="Z1441" s="80"/>
      <c r="AA1441" s="81"/>
      <c r="AB1441" s="81"/>
      <c r="AC1441" s="81"/>
      <c r="AD1441" s="81"/>
      <c r="AE1441" s="81"/>
      <c r="AF1441" s="81"/>
      <c r="AG1441" s="81"/>
      <c r="AH1441" s="82"/>
      <c r="AI1441" s="81"/>
      <c r="AJ1441" s="81"/>
      <c r="AK1441" s="81"/>
      <c r="AL1441" s="81"/>
      <c r="AM1441" s="81"/>
      <c r="AN1441" s="81"/>
      <c r="AO1441" s="81"/>
      <c r="AP1441" s="81"/>
      <c r="AQ1441" s="81"/>
      <c r="AR1441" s="81" t="s">
        <v>37</v>
      </c>
      <c r="AS1441" s="81"/>
      <c r="AT1441" s="81" t="s">
        <v>37</v>
      </c>
      <c r="AU1441" s="53">
        <v>4.1666666666666699E-2</v>
      </c>
      <c r="AV1441" s="54" t="s">
        <v>37</v>
      </c>
      <c r="AW1441" s="57">
        <f t="shared" si="187"/>
        <v>4.1666666666666699E-2</v>
      </c>
      <c r="AX1441" s="58" t="s">
        <v>68</v>
      </c>
    </row>
    <row r="1442" spans="1:50" ht="28.5" customHeight="1">
      <c r="A1442" s="66" t="s">
        <v>1220</v>
      </c>
      <c r="B1442" s="39">
        <f t="shared" si="192"/>
        <v>1438</v>
      </c>
      <c r="C1442" s="40">
        <v>46053</v>
      </c>
      <c r="D1442" s="40" t="s">
        <v>32</v>
      </c>
      <c r="E1442" s="40" t="s">
        <v>81</v>
      </c>
      <c r="F1442" s="41">
        <v>655.4</v>
      </c>
      <c r="G1442" s="42" t="s">
        <v>85</v>
      </c>
      <c r="H1442" s="43" t="str">
        <f>IFERROR(VLOOKUP($J1442,'[9]FROM (3)'!$E$4:$F$230,2,FALSE),"")</f>
        <v>JAMY</v>
      </c>
      <c r="I1442" s="44" t="str">
        <f t="shared" si="191"/>
        <v>RACK BAR</v>
      </c>
      <c r="J1442" s="44" t="str">
        <f t="shared" si="188"/>
        <v>JGC10-M09008-51-0</v>
      </c>
      <c r="K1442" s="59" t="str">
        <f t="shared" si="190"/>
        <v>PD26011348</v>
      </c>
      <c r="L1442" s="46" t="str" cm="1">
        <f t="array" ref="L1442">IFERROR(_xlfn.IFS(
    LEN($A1442)-LEN(SUBSTITUTE($A1442,"|",""))=12, RIGHT(A1442, LEN(A1442)-FIND("~", SUBSTITUTE(A1442,"|","~", LEN(A1442)-LEN(SUBSTITUTE(A1442,"|",""))))),
    LEN($A1442)-LEN(SUBSTITUTE($A1442,"|",""))=13, MID($A1442, FIND("~", SUBSTITUTE($A1442,"|","~", 11))+1, FIND("~", SUBSTITUTE($A1442,"|","~", 12))-FIND("~", SUBSTITUTE($A1442,"|","~", 11))-1),
    LEN($A1442)-LEN(SUBSTITUTE($A1442,"|",""))=14, MID($A1442, FIND("~", SUBSTITUTE($A1442,"|","~", 11))+1, FIND("~", SUBSTITUTE($A1442,"|","~", 12))-FIND("~", SUBSTITUTE($A1442,"|","~", 11))-1)
), "")</f>
        <v>E586966</v>
      </c>
      <c r="M1442" s="72" t="str">
        <f t="shared" si="189"/>
        <v>SB010179/2/26</v>
      </c>
      <c r="N1442" s="46" t="str">
        <f t="shared" si="175"/>
        <v/>
      </c>
      <c r="O1442" s="76" t="s">
        <v>35</v>
      </c>
      <c r="P1442" s="76" t="s">
        <v>35</v>
      </c>
      <c r="Q1442" s="77">
        <v>192</v>
      </c>
      <c r="R1442" s="77">
        <v>524</v>
      </c>
      <c r="S1442" s="77"/>
      <c r="T1442" s="77"/>
      <c r="U1442" s="83">
        <v>145</v>
      </c>
      <c r="V1442" s="83">
        <v>9</v>
      </c>
      <c r="W1442" s="78"/>
      <c r="X1442" s="51">
        <f>IF(A1442="", "", IF(COUNTIFS(C$3:C1441, C1442, D$3:D1441, D1442, G$3:G1441, G1442) &gt; 0, "", "11:00"-AW1442))</f>
        <v>0.33333333333333326</v>
      </c>
      <c r="Y1442" s="79"/>
      <c r="Z1442" s="80"/>
      <c r="AA1442" s="81"/>
      <c r="AB1442" s="81"/>
      <c r="AC1442" s="81"/>
      <c r="AD1442" s="81"/>
      <c r="AE1442" s="81"/>
      <c r="AF1442" s="81"/>
      <c r="AG1442" s="81"/>
      <c r="AH1442" s="82"/>
      <c r="AI1442" s="81"/>
      <c r="AJ1442" s="81"/>
      <c r="AK1442" s="81"/>
      <c r="AL1442" s="81"/>
      <c r="AM1442" s="81"/>
      <c r="AN1442" s="81"/>
      <c r="AO1442" s="81"/>
      <c r="AP1442" s="81"/>
      <c r="AQ1442" s="81">
        <v>4.1666666666666664E-2</v>
      </c>
      <c r="AR1442" s="81" t="s">
        <v>37</v>
      </c>
      <c r="AS1442" s="81">
        <v>4.1666666666666664E-2</v>
      </c>
      <c r="AT1442" s="81" t="s">
        <v>37</v>
      </c>
      <c r="AU1442" s="53">
        <v>4.1666666666666699E-2</v>
      </c>
      <c r="AV1442" s="54" t="s">
        <v>37</v>
      </c>
      <c r="AW1442" s="57">
        <f t="shared" si="187"/>
        <v>0.12500000000000003</v>
      </c>
      <c r="AX1442" s="58" t="s">
        <v>117</v>
      </c>
    </row>
    <row r="1443" spans="1:50" ht="28.5" customHeight="1">
      <c r="A1443" s="66" t="s">
        <v>1225</v>
      </c>
      <c r="B1443" s="39">
        <f t="shared" si="192"/>
        <v>1439</v>
      </c>
      <c r="C1443" s="40">
        <v>46053</v>
      </c>
      <c r="D1443" s="40" t="s">
        <v>32</v>
      </c>
      <c r="E1443" s="40" t="s">
        <v>81</v>
      </c>
      <c r="F1443" s="41">
        <v>655.4</v>
      </c>
      <c r="G1443" s="42" t="s">
        <v>85</v>
      </c>
      <c r="H1443" s="43" t="str">
        <f>IFERROR(VLOOKUP($J1443,'[9]FROM (3)'!$E$4:$F$230,2,FALSE),"")</f>
        <v>JAMY</v>
      </c>
      <c r="I1443" s="44" t="str">
        <f t="shared" si="191"/>
        <v>RACK BAR</v>
      </c>
      <c r="J1443" s="44" t="str">
        <f t="shared" si="188"/>
        <v>JGC10-M09008-51-0</v>
      </c>
      <c r="K1443" s="59" t="str">
        <f t="shared" si="190"/>
        <v>PD26011349</v>
      </c>
      <c r="L1443" s="46" t="str" cm="1">
        <f t="array" ref="L1443">IFERROR(_xlfn.IFS(
    LEN($A1443)-LEN(SUBSTITUTE($A1443,"|",""))=12, RIGHT(A1443, LEN(A1443)-FIND("~", SUBSTITUTE(A1443,"|","~", LEN(A1443)-LEN(SUBSTITUTE(A1443,"|",""))))),
    LEN($A1443)-LEN(SUBSTITUTE($A1443,"|",""))=13, MID($A1443, FIND("~", SUBSTITUTE($A1443,"|","~", 11))+1, FIND("~", SUBSTITUTE($A1443,"|","~", 12))-FIND("~", SUBSTITUTE($A1443,"|","~", 11))-1),
    LEN($A1443)-LEN(SUBSTITUTE($A1443,"|",""))=14, MID($A1443, FIND("~", SUBSTITUTE($A1443,"|","~", 11))+1, FIND("~", SUBSTITUTE($A1443,"|","~", 12))-FIND("~", SUBSTITUTE($A1443,"|","~", 11))-1)
), "")</f>
        <v>E586966</v>
      </c>
      <c r="M1443" s="72" t="str">
        <f t="shared" si="189"/>
        <v>SB010179/4/26</v>
      </c>
      <c r="N1443" s="46" t="str">
        <f t="shared" si="175"/>
        <v/>
      </c>
      <c r="O1443" s="76">
        <v>60</v>
      </c>
      <c r="P1443" s="76">
        <v>874</v>
      </c>
      <c r="Q1443" s="77">
        <v>300</v>
      </c>
      <c r="R1443" s="77">
        <v>819</v>
      </c>
      <c r="S1443" s="77"/>
      <c r="T1443" s="77"/>
      <c r="U1443" s="83"/>
      <c r="V1443" s="83"/>
      <c r="W1443" s="78"/>
      <c r="X1443" s="51" t="str">
        <f>IF(A1443="", "", IF(COUNTIFS(C$3:C1442, C1443, D$3:D1442, D1443, G$3:G1442, G1443) &gt; 0, "", "11:00"-AW1443))</f>
        <v/>
      </c>
      <c r="Y1443" s="79"/>
      <c r="Z1443" s="80"/>
      <c r="AA1443" s="81"/>
      <c r="AB1443" s="81"/>
      <c r="AC1443" s="81"/>
      <c r="AD1443" s="81"/>
      <c r="AE1443" s="81"/>
      <c r="AF1443" s="81"/>
      <c r="AG1443" s="81"/>
      <c r="AH1443" s="82"/>
      <c r="AI1443" s="81"/>
      <c r="AJ1443" s="81"/>
      <c r="AK1443" s="81"/>
      <c r="AL1443" s="81"/>
      <c r="AM1443" s="81"/>
      <c r="AN1443" s="81"/>
      <c r="AO1443" s="81"/>
      <c r="AP1443" s="81"/>
      <c r="AQ1443" s="81">
        <v>4.1666666666666664E-2</v>
      </c>
      <c r="AR1443" s="81" t="s">
        <v>37</v>
      </c>
      <c r="AS1443" s="81">
        <v>4.1666666666666664E-2</v>
      </c>
      <c r="AT1443" s="81" t="s">
        <v>37</v>
      </c>
      <c r="AU1443" s="53">
        <v>4.1666666666666699E-2</v>
      </c>
      <c r="AV1443" s="54" t="s">
        <v>37</v>
      </c>
      <c r="AW1443" s="57">
        <f t="shared" si="187"/>
        <v>0.12500000000000003</v>
      </c>
      <c r="AX1443" s="58" t="s">
        <v>117</v>
      </c>
    </row>
    <row r="1444" spans="1:50" ht="28.5" customHeight="1">
      <c r="A1444" s="66" t="s">
        <v>1226</v>
      </c>
      <c r="B1444" s="39">
        <f t="shared" si="192"/>
        <v>1440</v>
      </c>
      <c r="C1444" s="40">
        <v>46053</v>
      </c>
      <c r="D1444" s="40" t="s">
        <v>32</v>
      </c>
      <c r="E1444" s="40" t="s">
        <v>81</v>
      </c>
      <c r="F1444" s="41">
        <v>655.4</v>
      </c>
      <c r="G1444" s="42" t="s">
        <v>85</v>
      </c>
      <c r="H1444" s="43" t="str">
        <f>IFERROR(VLOOKUP($J1444,'[9]FROM (3)'!$E$4:$F$230,2,FALSE),"")</f>
        <v>JAMY</v>
      </c>
      <c r="I1444" s="44" t="str">
        <f t="shared" si="191"/>
        <v>RACK BAR</v>
      </c>
      <c r="J1444" s="44" t="str">
        <f t="shared" si="188"/>
        <v>JGC10-M09008-51-0</v>
      </c>
      <c r="K1444" s="59" t="str">
        <f t="shared" si="190"/>
        <v>PD26011349</v>
      </c>
      <c r="L1444" s="46" t="str" cm="1">
        <f t="array" ref="L1444">IFERROR(_xlfn.IFS(
    LEN($A1444)-LEN(SUBSTITUTE($A1444,"|",""))=12, RIGHT(A1444, LEN(A1444)-FIND("~", SUBSTITUTE(A1444,"|","~", LEN(A1444)-LEN(SUBSTITUTE(A1444,"|",""))))),
    LEN($A1444)-LEN(SUBSTITUTE($A1444,"|",""))=13, MID($A1444, FIND("~", SUBSTITUTE($A1444,"|","~", 11))+1, FIND("~", SUBSTITUTE($A1444,"|","~", 12))-FIND("~", SUBSTITUTE($A1444,"|","~", 11))-1),
    LEN($A1444)-LEN(SUBSTITUTE($A1444,"|",""))=14, MID($A1444, FIND("~", SUBSTITUTE($A1444,"|","~", 11))+1, FIND("~", SUBSTITUTE($A1444,"|","~", 12))-FIND("~", SUBSTITUTE($A1444,"|","~", 11))-1)
), "")</f>
        <v>E586966</v>
      </c>
      <c r="M1444" s="72" t="str">
        <f t="shared" si="189"/>
        <v>SB010179/5/26</v>
      </c>
      <c r="N1444" s="46" t="str">
        <f t="shared" si="175"/>
        <v/>
      </c>
      <c r="O1444" s="76">
        <v>60</v>
      </c>
      <c r="P1444" s="76">
        <v>874</v>
      </c>
      <c r="Q1444" s="77">
        <v>300</v>
      </c>
      <c r="R1444" s="77">
        <v>819</v>
      </c>
      <c r="S1444" s="77"/>
      <c r="T1444" s="77"/>
      <c r="U1444" s="83"/>
      <c r="V1444" s="83"/>
      <c r="W1444" s="78"/>
      <c r="X1444" s="51" t="str">
        <f>IF(A1444="", "", IF(COUNTIFS(C$3:C1443, C1444, D$3:D1443, D1444, G$3:G1443, G1444) &gt; 0, "", "11:00"-AW1444))</f>
        <v/>
      </c>
      <c r="Y1444" s="79"/>
      <c r="Z1444" s="80"/>
      <c r="AA1444" s="81"/>
      <c r="AB1444" s="81"/>
      <c r="AC1444" s="81"/>
      <c r="AD1444" s="81"/>
      <c r="AE1444" s="81"/>
      <c r="AF1444" s="81"/>
      <c r="AG1444" s="81"/>
      <c r="AH1444" s="82"/>
      <c r="AI1444" s="81"/>
      <c r="AJ1444" s="81"/>
      <c r="AK1444" s="81"/>
      <c r="AL1444" s="81"/>
      <c r="AM1444" s="81"/>
      <c r="AN1444" s="81"/>
      <c r="AO1444" s="81"/>
      <c r="AP1444" s="81"/>
      <c r="AQ1444" s="81">
        <v>4.1666666666666664E-2</v>
      </c>
      <c r="AR1444" s="81" t="s">
        <v>37</v>
      </c>
      <c r="AS1444" s="81">
        <v>4.1666666666666664E-2</v>
      </c>
      <c r="AT1444" s="81" t="s">
        <v>37</v>
      </c>
      <c r="AU1444" s="53">
        <v>4.1666666666666699E-2</v>
      </c>
      <c r="AV1444" s="54" t="s">
        <v>37</v>
      </c>
      <c r="AW1444" s="57">
        <f t="shared" si="187"/>
        <v>0.12500000000000003</v>
      </c>
      <c r="AX1444" s="58" t="s">
        <v>117</v>
      </c>
    </row>
    <row r="1445" spans="1:50" ht="28.5" customHeight="1">
      <c r="A1445" s="66" t="s">
        <v>1227</v>
      </c>
      <c r="B1445" s="39">
        <f t="shared" si="192"/>
        <v>1441</v>
      </c>
      <c r="C1445" s="40">
        <v>46053</v>
      </c>
      <c r="D1445" s="40" t="s">
        <v>32</v>
      </c>
      <c r="E1445" s="40" t="s">
        <v>81</v>
      </c>
      <c r="F1445" s="41">
        <v>655.4</v>
      </c>
      <c r="G1445" s="42" t="s">
        <v>85</v>
      </c>
      <c r="H1445" s="43" t="str">
        <f>IFERROR(VLOOKUP($J1445,'[9]FROM (3)'!$E$4:$F$230,2,FALSE),"")</f>
        <v>JAMY</v>
      </c>
      <c r="I1445" s="44" t="str">
        <f t="shared" si="191"/>
        <v>RACK BAR</v>
      </c>
      <c r="J1445" s="44" t="str">
        <f t="shared" si="188"/>
        <v>JGC10-M09008-51-0</v>
      </c>
      <c r="K1445" s="59" t="str">
        <f t="shared" si="190"/>
        <v>PD26011349</v>
      </c>
      <c r="L1445" s="46" t="str" cm="1">
        <f t="array" ref="L1445">IFERROR(_xlfn.IFS(
    LEN($A1445)-LEN(SUBSTITUTE($A1445,"|",""))=12, RIGHT(A1445, LEN(A1445)-FIND("~", SUBSTITUTE(A1445,"|","~", LEN(A1445)-LEN(SUBSTITUTE(A1445,"|",""))))),
    LEN($A1445)-LEN(SUBSTITUTE($A1445,"|",""))=13, MID($A1445, FIND("~", SUBSTITUTE($A1445,"|","~", 11))+1, FIND("~", SUBSTITUTE($A1445,"|","~", 12))-FIND("~", SUBSTITUTE($A1445,"|","~", 11))-1),
    LEN($A1445)-LEN(SUBSTITUTE($A1445,"|",""))=14, MID($A1445, FIND("~", SUBSTITUTE($A1445,"|","~", 11))+1, FIND("~", SUBSTITUTE($A1445,"|","~", 12))-FIND("~", SUBSTITUTE($A1445,"|","~", 11))-1)
), "")</f>
        <v>E586966</v>
      </c>
      <c r="M1445" s="72" t="str">
        <f t="shared" si="189"/>
        <v>SB010179/6/26</v>
      </c>
      <c r="N1445" s="46" t="str">
        <f t="shared" si="175"/>
        <v/>
      </c>
      <c r="O1445" s="76">
        <v>60</v>
      </c>
      <c r="P1445" s="76">
        <v>874</v>
      </c>
      <c r="Q1445" s="77">
        <v>166</v>
      </c>
      <c r="R1445" s="77">
        <v>453</v>
      </c>
      <c r="S1445" s="77"/>
      <c r="T1445" s="77"/>
      <c r="U1445" s="83"/>
      <c r="V1445" s="83"/>
      <c r="W1445" s="78"/>
      <c r="X1445" s="51" t="str">
        <f>IF(A1445="", "", IF(COUNTIFS(C$3:C1444, C1445, D$3:D1444, D1445, G$3:G1444, G1445) &gt; 0, "", "11:00"-AW1445))</f>
        <v/>
      </c>
      <c r="Y1445" s="79"/>
      <c r="Z1445" s="80"/>
      <c r="AA1445" s="81"/>
      <c r="AB1445" s="81"/>
      <c r="AC1445" s="81"/>
      <c r="AD1445" s="81"/>
      <c r="AE1445" s="81"/>
      <c r="AF1445" s="81"/>
      <c r="AG1445" s="81"/>
      <c r="AH1445" s="82"/>
      <c r="AI1445" s="81"/>
      <c r="AJ1445" s="81"/>
      <c r="AK1445" s="81"/>
      <c r="AL1445" s="81"/>
      <c r="AM1445" s="81"/>
      <c r="AN1445" s="81"/>
      <c r="AO1445" s="81"/>
      <c r="AP1445" s="81"/>
      <c r="AQ1445" s="81">
        <v>4.1666666666666664E-2</v>
      </c>
      <c r="AR1445" s="81" t="s">
        <v>37</v>
      </c>
      <c r="AS1445" s="81">
        <v>4.1666666666666664E-2</v>
      </c>
      <c r="AT1445" s="81" t="s">
        <v>37</v>
      </c>
      <c r="AU1445" s="53">
        <v>4.1666666666666699E-2</v>
      </c>
      <c r="AV1445" s="54" t="s">
        <v>37</v>
      </c>
      <c r="AW1445" s="57">
        <f t="shared" si="187"/>
        <v>0.12500000000000003</v>
      </c>
      <c r="AX1445" s="58" t="s">
        <v>117</v>
      </c>
    </row>
    <row r="1446" spans="1:50" ht="28.5" customHeight="1">
      <c r="A1446" s="66" t="s">
        <v>1216</v>
      </c>
      <c r="B1446" s="39">
        <f t="shared" si="192"/>
        <v>1442</v>
      </c>
      <c r="C1446" s="40">
        <v>46053</v>
      </c>
      <c r="D1446" s="40" t="s">
        <v>32</v>
      </c>
      <c r="E1446" s="40" t="s">
        <v>81</v>
      </c>
      <c r="F1446" s="41">
        <v>598.79999999999995</v>
      </c>
      <c r="G1446" s="42" t="s">
        <v>54</v>
      </c>
      <c r="H1446" s="43" t="str">
        <f>IFERROR(VLOOKUP($J1446,'[9]FROM (3)'!$E$4:$F$230,2,FALSE),"")</f>
        <v>JTCS</v>
      </c>
      <c r="I1446" s="44" t="str">
        <f t="shared" si="191"/>
        <v>RACK, MS</v>
      </c>
      <c r="J1446" s="44" t="str">
        <f t="shared" si="188"/>
        <v>JGC10-001180-S</v>
      </c>
      <c r="K1446" s="59" t="str">
        <f t="shared" si="190"/>
        <v>PD26011345</v>
      </c>
      <c r="L1446" s="46" t="str" cm="1">
        <f t="array" ref="L1446">IFERROR(_xlfn.IFS(
    LEN($A1446)-LEN(SUBSTITUTE($A1446,"|",""))=12, RIGHT(A1446, LEN(A1446)-FIND("~", SUBSTITUTE(A1446,"|","~", LEN(A1446)-LEN(SUBSTITUTE(A1446,"|",""))))),
    LEN($A1446)-LEN(SUBSTITUTE($A1446,"|",""))=13, MID($A1446, FIND("~", SUBSTITUTE($A1446,"|","~", 11))+1, FIND("~", SUBSTITUTE($A1446,"|","~", 12))-FIND("~", SUBSTITUTE($A1446,"|","~", 11))-1),
    LEN($A1446)-LEN(SUBSTITUTE($A1446,"|",""))=14, MID($A1446, FIND("~", SUBSTITUTE($A1446,"|","~", 11))+1, FIND("~", SUBSTITUTE($A1446,"|","~", 12))-FIND("~", SUBSTITUTE($A1446,"|","~", 11))-1)
), "")</f>
        <v>E586613</v>
      </c>
      <c r="M1446" s="72" t="str">
        <f t="shared" si="189"/>
        <v>SB010186/1/26</v>
      </c>
      <c r="N1446" s="46" t="str">
        <f t="shared" si="175"/>
        <v/>
      </c>
      <c r="O1446" s="76"/>
      <c r="P1446" s="76"/>
      <c r="Q1446" s="77">
        <v>238</v>
      </c>
      <c r="R1446" s="77">
        <v>506</v>
      </c>
      <c r="S1446" s="77"/>
      <c r="T1446" s="77"/>
      <c r="U1446" s="83">
        <v>94</v>
      </c>
      <c r="V1446" s="83">
        <v>7</v>
      </c>
      <c r="W1446" s="78"/>
      <c r="X1446" s="51">
        <f>IF(A1446="", "", IF(COUNTIFS(C$3:C1445, C1446, D$3:D1445, D1446, G$3:G1445, G1446) &gt; 0, "", "11:00"-AW1446))</f>
        <v>0.33333333333333326</v>
      </c>
      <c r="Y1446" s="79"/>
      <c r="Z1446" s="80"/>
      <c r="AA1446" s="81"/>
      <c r="AB1446" s="81"/>
      <c r="AC1446" s="81" t="s">
        <v>122</v>
      </c>
      <c r="AD1446" s="81"/>
      <c r="AE1446" s="81"/>
      <c r="AF1446" s="81"/>
      <c r="AG1446" s="81"/>
      <c r="AH1446" s="82"/>
      <c r="AI1446" s="81"/>
      <c r="AJ1446" s="81"/>
      <c r="AK1446" s="81"/>
      <c r="AL1446" s="81"/>
      <c r="AM1446" s="81"/>
      <c r="AN1446" s="81"/>
      <c r="AO1446" s="81"/>
      <c r="AP1446" s="81"/>
      <c r="AQ1446" s="81">
        <v>4.1666666666666664E-2</v>
      </c>
      <c r="AR1446" s="81" t="s">
        <v>37</v>
      </c>
      <c r="AS1446" s="81">
        <v>4.1666666666666664E-2</v>
      </c>
      <c r="AT1446" s="81" t="s">
        <v>37</v>
      </c>
      <c r="AU1446" s="53">
        <v>4.1666666666666699E-2</v>
      </c>
      <c r="AV1446" s="54" t="s">
        <v>37</v>
      </c>
      <c r="AW1446" s="57">
        <f t="shared" si="187"/>
        <v>0.12500000000000003</v>
      </c>
      <c r="AX1446" s="58" t="s">
        <v>56</v>
      </c>
    </row>
    <row r="1447" spans="1:50" ht="28.5" customHeight="1">
      <c r="A1447" s="66" t="s">
        <v>1228</v>
      </c>
      <c r="B1447" s="39">
        <f t="shared" si="192"/>
        <v>1443</v>
      </c>
      <c r="C1447" s="40">
        <v>46053</v>
      </c>
      <c r="D1447" s="40" t="s">
        <v>32</v>
      </c>
      <c r="E1447" s="40" t="s">
        <v>81</v>
      </c>
      <c r="F1447" s="41">
        <v>598.79999999999995</v>
      </c>
      <c r="G1447" s="42" t="s">
        <v>54</v>
      </c>
      <c r="H1447" s="43" t="str">
        <f>IFERROR(VLOOKUP($J1447,'[9]FROM (3)'!$E$4:$F$230,2,FALSE),"")</f>
        <v>JTCS</v>
      </c>
      <c r="I1447" s="44" t="str">
        <f t="shared" si="191"/>
        <v>RACK, MS</v>
      </c>
      <c r="J1447" s="44" t="str">
        <f t="shared" si="188"/>
        <v>JGC10-001180-S</v>
      </c>
      <c r="K1447" s="59" t="str">
        <f t="shared" si="190"/>
        <v>PD26011346</v>
      </c>
      <c r="L1447" s="46" t="str" cm="1">
        <f t="array" ref="L1447">IFERROR(_xlfn.IFS(
    LEN($A1447)-LEN(SUBSTITUTE($A1447,"|",""))=12, RIGHT(A1447, LEN(A1447)-FIND("~", SUBSTITUTE(A1447,"|","~", LEN(A1447)-LEN(SUBSTITUTE(A1447,"|",""))))),
    LEN($A1447)-LEN(SUBSTITUTE($A1447,"|",""))=13, MID($A1447, FIND("~", SUBSTITUTE($A1447,"|","~", 11))+1, FIND("~", SUBSTITUTE($A1447,"|","~", 12))-FIND("~", SUBSTITUTE($A1447,"|","~", 11))-1),
    LEN($A1447)-LEN(SUBSTITUTE($A1447,"|",""))=14, MID($A1447, FIND("~", SUBSTITUTE($A1447,"|","~", 11))+1, FIND("~", SUBSTITUTE($A1447,"|","~", 12))-FIND("~", SUBSTITUTE($A1447,"|","~", 11))-1)
), "")</f>
        <v>E586613</v>
      </c>
      <c r="M1447" s="72" t="str">
        <f t="shared" si="189"/>
        <v>SB010186/3/26</v>
      </c>
      <c r="N1447" s="46" t="str">
        <f t="shared" si="175"/>
        <v/>
      </c>
      <c r="O1447" s="76">
        <v>98</v>
      </c>
      <c r="P1447" s="76">
        <v>1103</v>
      </c>
      <c r="Q1447" s="77">
        <v>490</v>
      </c>
      <c r="R1447" s="77">
        <v>1041</v>
      </c>
      <c r="S1447" s="77"/>
      <c r="T1447" s="77"/>
      <c r="U1447" s="83"/>
      <c r="V1447" s="83"/>
      <c r="W1447" s="78"/>
      <c r="X1447" s="51" t="str">
        <f>IF(A1447="", "", IF(COUNTIFS(C$3:C1446, C1447, D$3:D1446, D1447, G$3:G1446, G1447) &gt; 0, "", "11:00"-AW1447))</f>
        <v/>
      </c>
      <c r="Y1447" s="79"/>
      <c r="Z1447" s="80"/>
      <c r="AA1447" s="81"/>
      <c r="AB1447" s="81"/>
      <c r="AC1447" s="81"/>
      <c r="AD1447" s="81"/>
      <c r="AE1447" s="81"/>
      <c r="AF1447" s="81"/>
      <c r="AG1447" s="81"/>
      <c r="AH1447" s="82"/>
      <c r="AI1447" s="81"/>
      <c r="AJ1447" s="81"/>
      <c r="AK1447" s="81"/>
      <c r="AL1447" s="81"/>
      <c r="AM1447" s="81"/>
      <c r="AN1447" s="81"/>
      <c r="AO1447" s="81"/>
      <c r="AP1447" s="81"/>
      <c r="AQ1447" s="81"/>
      <c r="AR1447" s="81"/>
      <c r="AS1447" s="81"/>
      <c r="AT1447" s="81"/>
      <c r="AU1447" s="53">
        <v>4.1666666666666699E-2</v>
      </c>
      <c r="AV1447" s="54" t="s">
        <v>37</v>
      </c>
      <c r="AW1447" s="57">
        <f t="shared" si="187"/>
        <v>4.1666666666666699E-2</v>
      </c>
      <c r="AX1447" s="58" t="s">
        <v>56</v>
      </c>
    </row>
    <row r="1448" spans="1:50" ht="28.5" customHeight="1">
      <c r="A1448" s="66" t="s">
        <v>1229</v>
      </c>
      <c r="B1448" s="39">
        <f t="shared" si="192"/>
        <v>1444</v>
      </c>
      <c r="C1448" s="40">
        <v>46053</v>
      </c>
      <c r="D1448" s="40" t="s">
        <v>32</v>
      </c>
      <c r="E1448" s="40" t="s">
        <v>81</v>
      </c>
      <c r="F1448" s="41">
        <v>598.79999999999995</v>
      </c>
      <c r="G1448" s="42" t="s">
        <v>54</v>
      </c>
      <c r="H1448" s="43" t="str">
        <f>IFERROR(VLOOKUP($J1448,'[9]FROM (3)'!$E$4:$F$230,2,FALSE),"")</f>
        <v>JTCS</v>
      </c>
      <c r="I1448" s="44" t="str">
        <f t="shared" si="191"/>
        <v>RACK, MS</v>
      </c>
      <c r="J1448" s="44" t="str">
        <f t="shared" si="188"/>
        <v>JGC10-001180-S</v>
      </c>
      <c r="K1448" s="59" t="str">
        <f t="shared" si="190"/>
        <v>PD26011346</v>
      </c>
      <c r="L1448" s="46" t="str" cm="1">
        <f t="array" ref="L1448">IFERROR(_xlfn.IFS(
    LEN($A1448)-LEN(SUBSTITUTE($A1448,"|",""))=12, RIGHT(A1448, LEN(A1448)-FIND("~", SUBSTITUTE(A1448,"|","~", LEN(A1448)-LEN(SUBSTITUTE(A1448,"|",""))))),
    LEN($A1448)-LEN(SUBSTITUTE($A1448,"|",""))=13, MID($A1448, FIND("~", SUBSTITUTE($A1448,"|","~", 11))+1, FIND("~", SUBSTITUTE($A1448,"|","~", 12))-FIND("~", SUBSTITUTE($A1448,"|","~", 11))-1),
    LEN($A1448)-LEN(SUBSTITUTE($A1448,"|",""))=14, MID($A1448, FIND("~", SUBSTITUTE($A1448,"|","~", 11))+1, FIND("~", SUBSTITUTE($A1448,"|","~", 12))-FIND("~", SUBSTITUTE($A1448,"|","~", 11))-1)
), "")</f>
        <v>E586613</v>
      </c>
      <c r="M1448" s="72" t="str">
        <f t="shared" si="189"/>
        <v>SB010186/4/26</v>
      </c>
      <c r="N1448" s="46" t="str">
        <f t="shared" si="175"/>
        <v/>
      </c>
      <c r="O1448" s="76">
        <v>98</v>
      </c>
      <c r="P1448" s="76">
        <v>1103</v>
      </c>
      <c r="Q1448" s="77">
        <v>230</v>
      </c>
      <c r="R1448" s="77">
        <v>489</v>
      </c>
      <c r="S1448" s="77"/>
      <c r="T1448" s="77"/>
      <c r="U1448" s="83"/>
      <c r="V1448" s="83"/>
      <c r="W1448" s="78"/>
      <c r="X1448" s="51" t="str">
        <f>IF(A1448="", "", IF(COUNTIFS(C$3:C1447, C1448, D$3:D1447, D1448, G$3:G1447, G1448) &gt; 0, "", "11:00"-AW1448))</f>
        <v/>
      </c>
      <c r="Y1448" s="79"/>
      <c r="Z1448" s="80"/>
      <c r="AA1448" s="81"/>
      <c r="AB1448" s="81"/>
      <c r="AC1448" s="81"/>
      <c r="AD1448" s="81"/>
      <c r="AE1448" s="81"/>
      <c r="AF1448" s="81"/>
      <c r="AG1448" s="81"/>
      <c r="AH1448" s="82"/>
      <c r="AI1448" s="81"/>
      <c r="AJ1448" s="81"/>
      <c r="AK1448" s="81"/>
      <c r="AL1448" s="81"/>
      <c r="AM1448" s="81"/>
      <c r="AN1448" s="81"/>
      <c r="AO1448" s="81"/>
      <c r="AP1448" s="81"/>
      <c r="AQ1448" s="81"/>
      <c r="AR1448" s="81"/>
      <c r="AS1448" s="81"/>
      <c r="AT1448" s="81"/>
      <c r="AU1448" s="53">
        <v>4.1666666666666699E-2</v>
      </c>
      <c r="AV1448" s="54" t="s">
        <v>37</v>
      </c>
      <c r="AW1448" s="57">
        <f t="shared" ref="AW1448:AW1500" si="193">SUM(Z1448,AB1448,AD1448,AF1448,AI1448,AK1448,AM1448,AO1448,AQ1448,AS1448,AU1448)</f>
        <v>4.1666666666666699E-2</v>
      </c>
      <c r="AX1448" s="58" t="s">
        <v>56</v>
      </c>
    </row>
    <row r="1449" spans="1:50" ht="28.5" customHeight="1">
      <c r="A1449" s="66" t="s">
        <v>1196</v>
      </c>
      <c r="B1449" s="39">
        <f t="shared" si="192"/>
        <v>1445</v>
      </c>
      <c r="C1449" s="40">
        <v>46053</v>
      </c>
      <c r="D1449" s="40" t="s">
        <v>32</v>
      </c>
      <c r="E1449" s="40" t="s">
        <v>81</v>
      </c>
      <c r="F1449" s="41">
        <v>516.5</v>
      </c>
      <c r="G1449" s="42" t="s">
        <v>34</v>
      </c>
      <c r="H1449" s="43" t="str">
        <f>IFERROR(VLOOKUP($J1449,'[9]FROM (3)'!$E$4:$F$230,2,FALSE),"")</f>
        <v>KONSEI</v>
      </c>
      <c r="I1449" s="44" t="str">
        <f t="shared" si="191"/>
        <v>Piston Disc Brake, Forging</v>
      </c>
      <c r="J1449" s="44" t="str">
        <f t="shared" si="188"/>
        <v>141411-60140-20</v>
      </c>
      <c r="K1449" s="59" t="str">
        <f t="shared" si="190"/>
        <v>PD26010939</v>
      </c>
      <c r="L1449" s="46" t="str" cm="1">
        <f t="array" ref="L1449">IFERROR(_xlfn.IFS(
    LEN($A1449)-LEN(SUBSTITUTE($A1449,"|",""))=12, RIGHT(A1449, LEN(A1449)-FIND("~", SUBSTITUTE(A1449,"|","~", LEN(A1449)-LEN(SUBSTITUTE(A1449,"|",""))))),
    LEN($A1449)-LEN(SUBSTITUTE($A1449,"|",""))=13, MID($A1449, FIND("~", SUBSTITUTE($A1449,"|","~", 11))+1, FIND("~", SUBSTITUTE($A1449,"|","~", 12))-FIND("~", SUBSTITUTE($A1449,"|","~", 11))-1),
    LEN($A1449)-LEN(SUBSTITUTE($A1449,"|",""))=14, MID($A1449, FIND("~", SUBSTITUTE($A1449,"|","~", 11))+1, FIND("~", SUBSTITUTE($A1449,"|","~", 12))-FIND("~", SUBSTITUTE($A1449,"|","~", 11))-1)
), "")</f>
        <v>663962</v>
      </c>
      <c r="M1449" s="72" t="str">
        <f t="shared" si="189"/>
        <v>2B2600240</v>
      </c>
      <c r="N1449" s="46" t="str">
        <f t="shared" si="175"/>
        <v/>
      </c>
      <c r="O1449" s="76" t="s">
        <v>35</v>
      </c>
      <c r="P1449" s="76" t="s">
        <v>35</v>
      </c>
      <c r="Q1449" s="77">
        <v>1686</v>
      </c>
      <c r="R1449" s="77">
        <v>871</v>
      </c>
      <c r="S1449" s="77"/>
      <c r="T1449" s="77"/>
      <c r="U1449" s="83">
        <v>119</v>
      </c>
      <c r="V1449" s="83">
        <v>301</v>
      </c>
      <c r="W1449" s="78"/>
      <c r="X1449" s="51">
        <f>IF(A1449="", "", IF(COUNTIFS(C$3:C1448, C1449, D$3:D1448, D1449, G$3:G1448, G1449) &gt; 0, "", "11:00"-AW1449))</f>
        <v>0.27083333333333331</v>
      </c>
      <c r="Y1449" s="79"/>
      <c r="Z1449" s="80"/>
      <c r="AA1449" s="81"/>
      <c r="AB1449" s="81"/>
      <c r="AC1449" s="81"/>
      <c r="AD1449" s="81"/>
      <c r="AE1449" s="81"/>
      <c r="AF1449" s="81"/>
      <c r="AG1449" s="81"/>
      <c r="AH1449" s="82"/>
      <c r="AI1449" s="81"/>
      <c r="AJ1449" s="81"/>
      <c r="AK1449" s="81"/>
      <c r="AL1449" s="81"/>
      <c r="AM1449" s="81">
        <v>2.0833333333333332E-2</v>
      </c>
      <c r="AN1449" s="81" t="s">
        <v>129</v>
      </c>
      <c r="AO1449" s="81">
        <v>4.1666666666666664E-2</v>
      </c>
      <c r="AP1449" s="81" t="s">
        <v>129</v>
      </c>
      <c r="AQ1449" s="81">
        <v>4.1666666666666664E-2</v>
      </c>
      <c r="AR1449" s="81" t="s">
        <v>37</v>
      </c>
      <c r="AS1449" s="81">
        <v>4.1666666666666664E-2</v>
      </c>
      <c r="AT1449" s="81" t="s">
        <v>37</v>
      </c>
      <c r="AU1449" s="53">
        <v>4.1666666666666699E-2</v>
      </c>
      <c r="AV1449" s="54" t="s">
        <v>37</v>
      </c>
      <c r="AW1449" s="57">
        <f t="shared" si="193"/>
        <v>0.1875</v>
      </c>
      <c r="AX1449" s="58" t="s">
        <v>48</v>
      </c>
    </row>
    <row r="1450" spans="1:50" ht="28.5" customHeight="1">
      <c r="A1450" s="66" t="s">
        <v>1197</v>
      </c>
      <c r="B1450" s="39">
        <f t="shared" si="192"/>
        <v>1446</v>
      </c>
      <c r="C1450" s="40">
        <v>46053</v>
      </c>
      <c r="D1450" s="40" t="s">
        <v>32</v>
      </c>
      <c r="E1450" s="40" t="s">
        <v>81</v>
      </c>
      <c r="F1450" s="41">
        <v>85</v>
      </c>
      <c r="G1450" s="42" t="s">
        <v>41</v>
      </c>
      <c r="H1450" s="43" t="str">
        <f>IFERROR(VLOOKUP($J1450,'[9]FROM (3)'!$E$4:$F$230,2,FALSE),"")</f>
        <v>DNTH</v>
      </c>
      <c r="I1450" s="44" t="str">
        <f t="shared" si="191"/>
        <v>Barrel</v>
      </c>
      <c r="J1450" s="44" t="str">
        <f t="shared" si="188"/>
        <v>TG028986-0050</v>
      </c>
      <c r="K1450" s="59" t="str">
        <f t="shared" si="190"/>
        <v>PD26011357</v>
      </c>
      <c r="L1450" s="46" t="str" cm="1">
        <f t="array" ref="L1450">IFERROR(_xlfn.IFS(
    LEN($A1450)-LEN(SUBSTITUTE($A1450,"|",""))=12, RIGHT(A1450, LEN(A1450)-FIND("~", SUBSTITUTE(A1450,"|","~", LEN(A1450)-LEN(SUBSTITUTE(A1450,"|",""))))),
    LEN($A1450)-LEN(SUBSTITUTE($A1450,"|",""))=13, MID($A1450, FIND("~", SUBSTITUTE($A1450,"|","~", 11))+1, FIND("~", SUBSTITUTE($A1450,"|","~", 12))-FIND("~", SUBSTITUTE($A1450,"|","~", 11))-1),
    LEN($A1450)-LEN(SUBSTITUTE($A1450,"|",""))=14, MID($A1450, FIND("~", SUBSTITUTE($A1450,"|","~", 11))+1, FIND("~", SUBSTITUTE($A1450,"|","~", 12))-FIND("~", SUBSTITUTE($A1450,"|","~", 11))-1)
), "")</f>
        <v>E587474</v>
      </c>
      <c r="M1450" s="72" t="str">
        <f t="shared" si="189"/>
        <v>SB010192/2/26</v>
      </c>
      <c r="N1450" s="46" t="str">
        <f t="shared" si="175"/>
        <v/>
      </c>
      <c r="O1450" s="76" t="s">
        <v>35</v>
      </c>
      <c r="P1450" s="76" t="s">
        <v>35</v>
      </c>
      <c r="Q1450" s="77">
        <v>4452</v>
      </c>
      <c r="R1450" s="77">
        <v>378</v>
      </c>
      <c r="S1450" s="77"/>
      <c r="T1450" s="77"/>
      <c r="U1450" s="83"/>
      <c r="V1450" s="83"/>
      <c r="W1450" s="78"/>
      <c r="X1450" s="51">
        <f>IF(A1450="", "", IF(COUNTIFS(C$3:C1449, C1450, D$3:D1449, D1450, G$3:G1449, G1450) &gt; 0, "", "11:00"-AW1450))</f>
        <v>0.33333333333333326</v>
      </c>
      <c r="Y1450" s="79"/>
      <c r="Z1450" s="80"/>
      <c r="AA1450" s="81"/>
      <c r="AB1450" s="81"/>
      <c r="AC1450" s="81"/>
      <c r="AD1450" s="81"/>
      <c r="AE1450" s="81"/>
      <c r="AF1450" s="81"/>
      <c r="AG1450" s="81"/>
      <c r="AH1450" s="82"/>
      <c r="AI1450" s="81"/>
      <c r="AJ1450" s="81"/>
      <c r="AK1450" s="81"/>
      <c r="AL1450" s="81"/>
      <c r="AM1450" s="81"/>
      <c r="AN1450" s="81"/>
      <c r="AO1450" s="81"/>
      <c r="AP1450" s="81"/>
      <c r="AQ1450" s="81">
        <v>4.1666666666666664E-2</v>
      </c>
      <c r="AR1450" s="81" t="s">
        <v>37</v>
      </c>
      <c r="AS1450" s="81">
        <v>4.1666666666666664E-2</v>
      </c>
      <c r="AT1450" s="81" t="s">
        <v>37</v>
      </c>
      <c r="AU1450" s="53">
        <v>4.1666666666666699E-2</v>
      </c>
      <c r="AV1450" s="54" t="s">
        <v>37</v>
      </c>
      <c r="AW1450" s="57">
        <f t="shared" si="193"/>
        <v>0.12500000000000003</v>
      </c>
      <c r="AX1450" s="58" t="s">
        <v>48</v>
      </c>
    </row>
    <row r="1451" spans="1:50" ht="28.5" customHeight="1">
      <c r="A1451" s="66" t="s">
        <v>1230</v>
      </c>
      <c r="B1451" s="39">
        <f t="shared" si="192"/>
        <v>1447</v>
      </c>
      <c r="C1451" s="40">
        <v>46053</v>
      </c>
      <c r="D1451" s="40" t="s">
        <v>32</v>
      </c>
      <c r="E1451" s="40" t="s">
        <v>81</v>
      </c>
      <c r="F1451" s="41">
        <v>146.80000000000001</v>
      </c>
      <c r="G1451" s="42" t="s">
        <v>44</v>
      </c>
      <c r="H1451" s="43" t="str">
        <f>IFERROR(VLOOKUP($J1451,'[9]FROM (3)'!$E$4:$F$230,2,FALSE),"")</f>
        <v>DNTH</v>
      </c>
      <c r="I1451" s="44" t="str">
        <f t="shared" si="191"/>
        <v>SHAFT, 2W</v>
      </c>
      <c r="J1451" s="44" t="str">
        <f t="shared" si="188"/>
        <v>TG028383-0040</v>
      </c>
      <c r="K1451" s="59" t="str">
        <f t="shared" si="190"/>
        <v>PD25121287</v>
      </c>
      <c r="L1451" s="46" t="str" cm="1">
        <f t="array" ref="L1451">IFERROR(_xlfn.IFS(
    LEN($A1451)-LEN(SUBSTITUTE($A1451,"|",""))=12, RIGHT(A1451, LEN(A1451)-FIND("~", SUBSTITUTE(A1451,"|","~", LEN(A1451)-LEN(SUBSTITUTE(A1451,"|",""))))),
    LEN($A1451)-LEN(SUBSTITUTE($A1451,"|",""))=13, MID($A1451, FIND("~", SUBSTITUTE($A1451,"|","~", 11))+1, FIND("~", SUBSTITUTE($A1451,"|","~", 12))-FIND("~", SUBSTITUTE($A1451,"|","~", 11))-1),
    LEN($A1451)-LEN(SUBSTITUTE($A1451,"|",""))=14, MID($A1451, FIND("~", SUBSTITUTE($A1451,"|","~", 11))+1, FIND("~", SUBSTITUTE($A1451,"|","~", 12))-FIND("~", SUBSTITUTE($A1451,"|","~", 11))-1)
), "")</f>
        <v>E483074</v>
      </c>
      <c r="M1451" s="72" t="str">
        <f t="shared" si="189"/>
        <v>SB120179/1/25</v>
      </c>
      <c r="N1451" s="46" t="str">
        <f t="shared" si="175"/>
        <v/>
      </c>
      <c r="O1451" s="76">
        <v>72</v>
      </c>
      <c r="P1451" s="76">
        <v>1028</v>
      </c>
      <c r="Q1451" s="77">
        <v>2210</v>
      </c>
      <c r="R1451" s="77">
        <v>856</v>
      </c>
      <c r="S1451" s="77"/>
      <c r="T1451" s="77"/>
      <c r="U1451" s="83"/>
      <c r="V1451" s="83"/>
      <c r="W1451" s="78"/>
      <c r="X1451" s="51">
        <f>IF(A1451="", "", IF(COUNTIFS(C$3:C1450, C1451, D$3:D1450, D1451, G$3:G1450, G1451) &gt; 0, "", "11:00"-AW1451))</f>
        <v>0.29861111111111105</v>
      </c>
      <c r="Y1451" s="79"/>
      <c r="Z1451" s="80">
        <v>3.4722222222222224E-2</v>
      </c>
      <c r="AA1451" s="81" t="s">
        <v>67</v>
      </c>
      <c r="AB1451" s="81"/>
      <c r="AC1451" s="81"/>
      <c r="AD1451" s="81"/>
      <c r="AE1451" s="81"/>
      <c r="AF1451" s="81"/>
      <c r="AG1451" s="81"/>
      <c r="AH1451" s="82"/>
      <c r="AI1451" s="81"/>
      <c r="AJ1451" s="81"/>
      <c r="AK1451" s="81"/>
      <c r="AL1451" s="81"/>
      <c r="AM1451" s="81"/>
      <c r="AN1451" s="81"/>
      <c r="AO1451" s="81"/>
      <c r="AP1451" s="81"/>
      <c r="AQ1451" s="81">
        <v>4.1666666666666664E-2</v>
      </c>
      <c r="AR1451" s="81" t="s">
        <v>37</v>
      </c>
      <c r="AS1451" s="81">
        <v>4.1666666666666664E-2</v>
      </c>
      <c r="AT1451" s="81" t="s">
        <v>37</v>
      </c>
      <c r="AU1451" s="53">
        <v>4.1666666666666699E-2</v>
      </c>
      <c r="AV1451" s="54" t="s">
        <v>37</v>
      </c>
      <c r="AW1451" s="57">
        <f t="shared" si="193"/>
        <v>0.15972222222222227</v>
      </c>
      <c r="AX1451" s="58" t="s">
        <v>48</v>
      </c>
    </row>
    <row r="1452" spans="1:50" ht="28.5" customHeight="1">
      <c r="A1452" s="66" t="s">
        <v>1231</v>
      </c>
      <c r="B1452" s="39">
        <f t="shared" si="192"/>
        <v>1448</v>
      </c>
      <c r="C1452" s="40">
        <v>46053</v>
      </c>
      <c r="D1452" s="40" t="s">
        <v>32</v>
      </c>
      <c r="E1452" s="40" t="s">
        <v>81</v>
      </c>
      <c r="F1452" s="41">
        <v>146.80000000000001</v>
      </c>
      <c r="G1452" s="42" t="s">
        <v>44</v>
      </c>
      <c r="H1452" s="43" t="str">
        <f>IFERROR(VLOOKUP($J1452,'[9]FROM (3)'!$E$4:$F$230,2,FALSE),"")</f>
        <v>DNTH</v>
      </c>
      <c r="I1452" s="44" t="str">
        <f t="shared" si="191"/>
        <v>SHAFT, 2W</v>
      </c>
      <c r="J1452" s="44" t="str">
        <f t="shared" si="188"/>
        <v>TG028383-0040</v>
      </c>
      <c r="K1452" s="59" t="str">
        <f t="shared" si="190"/>
        <v>PD25121287</v>
      </c>
      <c r="L1452" s="46" t="str" cm="1">
        <f t="array" ref="L1452">IFERROR(_xlfn.IFS(
    LEN($A1452)-LEN(SUBSTITUTE($A1452,"|",""))=12, RIGHT(A1452, LEN(A1452)-FIND("~", SUBSTITUTE(A1452,"|","~", LEN(A1452)-LEN(SUBSTITUTE(A1452,"|",""))))),
    LEN($A1452)-LEN(SUBSTITUTE($A1452,"|",""))=13, MID($A1452, FIND("~", SUBSTITUTE($A1452,"|","~", 11))+1, FIND("~", SUBSTITUTE($A1452,"|","~", 12))-FIND("~", SUBSTITUTE($A1452,"|","~", 11))-1),
    LEN($A1452)-LEN(SUBSTITUTE($A1452,"|",""))=14, MID($A1452, FIND("~", SUBSTITUTE($A1452,"|","~", 11))+1, FIND("~", SUBSTITUTE($A1452,"|","~", 12))-FIND("~", SUBSTITUTE($A1452,"|","~", 11))-1)
), "")</f>
        <v>E483074</v>
      </c>
      <c r="M1452" s="72" t="str">
        <f t="shared" si="189"/>
        <v>SB120179/2/25</v>
      </c>
      <c r="N1452" s="46" t="str">
        <f t="shared" si="175"/>
        <v/>
      </c>
      <c r="O1452" s="76">
        <v>74</v>
      </c>
      <c r="P1452" s="76">
        <v>1057</v>
      </c>
      <c r="Q1452" s="77">
        <v>790</v>
      </c>
      <c r="R1452" s="77">
        <v>306</v>
      </c>
      <c r="S1452" s="77"/>
      <c r="T1452" s="77"/>
      <c r="U1452" s="83"/>
      <c r="V1452" s="83"/>
      <c r="W1452" s="78"/>
      <c r="X1452" s="51" t="str">
        <f>IF(A1452="", "", IF(COUNTIFS(C$3:C1451, C1452, D$3:D1451, D1452, G$3:G1451, G1452) &gt; 0, "", "11:00"-AW1452))</f>
        <v/>
      </c>
      <c r="Y1452" s="79"/>
      <c r="Z1452" s="80"/>
      <c r="AA1452" s="81"/>
      <c r="AB1452" s="81"/>
      <c r="AC1452" s="81"/>
      <c r="AD1452" s="81"/>
      <c r="AE1452" s="81"/>
      <c r="AF1452" s="81"/>
      <c r="AG1452" s="81"/>
      <c r="AH1452" s="82"/>
      <c r="AI1452" s="81"/>
      <c r="AJ1452" s="81"/>
      <c r="AK1452" s="81"/>
      <c r="AL1452" s="81"/>
      <c r="AM1452" s="81"/>
      <c r="AN1452" s="81"/>
      <c r="AO1452" s="81"/>
      <c r="AP1452" s="81"/>
      <c r="AQ1452" s="81">
        <v>4.1666666666666664E-2</v>
      </c>
      <c r="AR1452" s="81" t="s">
        <v>37</v>
      </c>
      <c r="AS1452" s="81">
        <v>4.1666666666666664E-2</v>
      </c>
      <c r="AT1452" s="81" t="s">
        <v>37</v>
      </c>
      <c r="AU1452" s="53">
        <v>4.1666666666666699E-2</v>
      </c>
      <c r="AV1452" s="54" t="s">
        <v>37</v>
      </c>
      <c r="AW1452" s="57">
        <f t="shared" si="193"/>
        <v>0.12500000000000003</v>
      </c>
      <c r="AX1452" s="58" t="s">
        <v>48</v>
      </c>
    </row>
    <row r="1453" spans="1:50" ht="28.5" customHeight="1">
      <c r="A1453" s="66" t="s">
        <v>1221</v>
      </c>
      <c r="B1453" s="39">
        <f t="shared" si="192"/>
        <v>1449</v>
      </c>
      <c r="C1453" s="40">
        <v>46053</v>
      </c>
      <c r="D1453" s="40" t="s">
        <v>32</v>
      </c>
      <c r="E1453" s="40" t="s">
        <v>81</v>
      </c>
      <c r="F1453" s="41">
        <v>695.3</v>
      </c>
      <c r="G1453" s="42" t="s">
        <v>75</v>
      </c>
      <c r="H1453" s="43" t="str">
        <f>IFERROR(VLOOKUP($J1453,'[9]FROM (3)'!$E$4:$F$230,2,FALSE),"")</f>
        <v>JTCS</v>
      </c>
      <c r="I1453" s="44" t="str">
        <f t="shared" si="191"/>
        <v>Rack, PS</v>
      </c>
      <c r="J1453" s="44" t="str">
        <f t="shared" si="188"/>
        <v>JGD10-001150-40-1</v>
      </c>
      <c r="K1453" s="59" t="str">
        <f t="shared" si="190"/>
        <v>PD26010778</v>
      </c>
      <c r="L1453" s="46" t="str" cm="1">
        <f t="array" ref="L1453">IFERROR(_xlfn.IFS(
    LEN($A1453)-LEN(SUBSTITUTE($A1453,"|",""))=12, RIGHT(A1453, LEN(A1453)-FIND("~", SUBSTITUTE(A1453,"|","~", LEN(A1453)-LEN(SUBSTITUTE(A1453,"|",""))))),
    LEN($A1453)-LEN(SUBSTITUTE($A1453,"|",""))=13, MID($A1453, FIND("~", SUBSTITUTE($A1453,"|","~", 11))+1, FIND("~", SUBSTITUTE($A1453,"|","~", 12))-FIND("~", SUBSTITUTE($A1453,"|","~", 11))-1),
    LEN($A1453)-LEN(SUBSTITUTE($A1453,"|",""))=14, MID($A1453, FIND("~", SUBSTITUTE($A1453,"|","~", 11))+1, FIND("~", SUBSTITUTE($A1453,"|","~", 12))-FIND("~", SUBSTITUTE($A1453,"|","~", 11))-1)
), "")</f>
        <v>E585970</v>
      </c>
      <c r="M1453" s="72" t="str">
        <f t="shared" si="189"/>
        <v>SB010099/2/26</v>
      </c>
      <c r="N1453" s="46" t="str">
        <f t="shared" si="175"/>
        <v/>
      </c>
      <c r="O1453" s="76">
        <v>0</v>
      </c>
      <c r="P1453" s="76">
        <v>0</v>
      </c>
      <c r="Q1453" s="77">
        <v>145</v>
      </c>
      <c r="R1453" s="77">
        <v>486</v>
      </c>
      <c r="S1453" s="77"/>
      <c r="T1453" s="77"/>
      <c r="U1453" s="83"/>
      <c r="V1453" s="83"/>
      <c r="W1453" s="78"/>
      <c r="X1453" s="51">
        <f>IF(A1453="", "", IF(COUNTIFS(C$3:C1452, C1453, D$3:D1452, D1453, G$3:G1452, G1453) &gt; 0, "", "11:00"-AW1453))</f>
        <v>0.33333333333333326</v>
      </c>
      <c r="Y1453" s="79"/>
      <c r="Z1453" s="80"/>
      <c r="AA1453" s="81"/>
      <c r="AB1453" s="81"/>
      <c r="AC1453" s="81"/>
      <c r="AD1453" s="81"/>
      <c r="AE1453" s="81"/>
      <c r="AF1453" s="81"/>
      <c r="AG1453" s="81" t="s">
        <v>122</v>
      </c>
      <c r="AH1453" s="82"/>
      <c r="AI1453" s="81"/>
      <c r="AJ1453" s="81"/>
      <c r="AK1453" s="81"/>
      <c r="AL1453" s="81"/>
      <c r="AM1453" s="81"/>
      <c r="AN1453" s="81"/>
      <c r="AO1453" s="81"/>
      <c r="AP1453" s="81"/>
      <c r="AQ1453" s="81">
        <v>4.1666666666666664E-2</v>
      </c>
      <c r="AR1453" s="81" t="s">
        <v>37</v>
      </c>
      <c r="AS1453" s="81">
        <v>4.1666666666666664E-2</v>
      </c>
      <c r="AT1453" s="81" t="s">
        <v>37</v>
      </c>
      <c r="AU1453" s="53">
        <v>4.1666666666666699E-2</v>
      </c>
      <c r="AV1453" s="54" t="s">
        <v>37</v>
      </c>
      <c r="AW1453" s="57">
        <f t="shared" si="193"/>
        <v>0.12500000000000003</v>
      </c>
      <c r="AX1453" s="58" t="s">
        <v>77</v>
      </c>
    </row>
    <row r="1454" spans="1:50" ht="28.5" customHeight="1">
      <c r="A1454" s="66" t="s">
        <v>1232</v>
      </c>
      <c r="B1454" s="39">
        <f t="shared" si="192"/>
        <v>1450</v>
      </c>
      <c r="C1454" s="40">
        <v>46053</v>
      </c>
      <c r="D1454" s="40" t="s">
        <v>32</v>
      </c>
      <c r="E1454" s="40" t="s">
        <v>81</v>
      </c>
      <c r="F1454" s="41">
        <v>695.3</v>
      </c>
      <c r="G1454" s="42" t="s">
        <v>75</v>
      </c>
      <c r="H1454" s="43" t="str">
        <f>IFERROR(VLOOKUP($J1454,'[9]FROM (3)'!$E$4:$F$230,2,FALSE),"")</f>
        <v>JTCS</v>
      </c>
      <c r="I1454" s="44" t="str">
        <f t="shared" si="191"/>
        <v>Rack, PS</v>
      </c>
      <c r="J1454" s="44" t="str">
        <f t="shared" si="188"/>
        <v>JGD10-001150-40-1</v>
      </c>
      <c r="K1454" s="59" t="str">
        <f t="shared" si="190"/>
        <v>PD26010778</v>
      </c>
      <c r="L1454" s="46" t="str" cm="1">
        <f t="array" ref="L1454">IFERROR(_xlfn.IFS(
    LEN($A1454)-LEN(SUBSTITUTE($A1454,"|",""))=12, RIGHT(A1454, LEN(A1454)-FIND("~", SUBSTITUTE(A1454,"|","~", LEN(A1454)-LEN(SUBSTITUTE(A1454,"|",""))))),
    LEN($A1454)-LEN(SUBSTITUTE($A1454,"|",""))=13, MID($A1454, FIND("~", SUBSTITUTE($A1454,"|","~", 11))+1, FIND("~", SUBSTITUTE($A1454,"|","~", 12))-FIND("~", SUBSTITUTE($A1454,"|","~", 11))-1),
    LEN($A1454)-LEN(SUBSTITUTE($A1454,"|",""))=14, MID($A1454, FIND("~", SUBSTITUTE($A1454,"|","~", 11))+1, FIND("~", SUBSTITUTE($A1454,"|","~", 12))-FIND("~", SUBSTITUTE($A1454,"|","~", 11))-1)
), "")</f>
        <v>E585970</v>
      </c>
      <c r="M1454" s="72" t="str">
        <f t="shared" si="189"/>
        <v>SB010099/1/26</v>
      </c>
      <c r="N1454" s="46" t="str">
        <f t="shared" si="175"/>
        <v/>
      </c>
      <c r="O1454" s="76">
        <v>59</v>
      </c>
      <c r="P1454" s="76">
        <v>852</v>
      </c>
      <c r="Q1454" s="77">
        <v>236</v>
      </c>
      <c r="R1454" s="77">
        <v>791</v>
      </c>
      <c r="S1454" s="77"/>
      <c r="T1454" s="77"/>
      <c r="U1454" s="83">
        <v>110</v>
      </c>
      <c r="V1454" s="83">
        <v>6</v>
      </c>
      <c r="W1454" s="78"/>
      <c r="X1454" s="51" t="str">
        <f>IF(A1454="", "", IF(COUNTIFS(C$3:C1453, C1454, D$3:D1453, D1454, G$3:G1453, G1454) &gt; 0, "", "11:00"-AW1454))</f>
        <v/>
      </c>
      <c r="Y1454" s="79"/>
      <c r="Z1454" s="80"/>
      <c r="AA1454" s="81"/>
      <c r="AB1454" s="81"/>
      <c r="AC1454" s="81"/>
      <c r="AD1454" s="81"/>
      <c r="AE1454" s="81"/>
      <c r="AF1454" s="81"/>
      <c r="AG1454" s="81"/>
      <c r="AH1454" s="82"/>
      <c r="AI1454" s="81"/>
      <c r="AJ1454" s="81"/>
      <c r="AK1454" s="81"/>
      <c r="AL1454" s="81"/>
      <c r="AM1454" s="81"/>
      <c r="AN1454" s="81"/>
      <c r="AO1454" s="81"/>
      <c r="AP1454" s="81"/>
      <c r="AQ1454" s="81"/>
      <c r="AR1454" s="81"/>
      <c r="AS1454" s="81"/>
      <c r="AT1454" s="81"/>
      <c r="AU1454" s="53">
        <v>4.1666666666666699E-2</v>
      </c>
      <c r="AV1454" s="54" t="s">
        <v>37</v>
      </c>
      <c r="AW1454" s="57">
        <f t="shared" si="193"/>
        <v>4.1666666666666699E-2</v>
      </c>
      <c r="AX1454" s="58" t="s">
        <v>77</v>
      </c>
    </row>
    <row r="1455" spans="1:50" ht="28.5" customHeight="1">
      <c r="A1455" s="66" t="s">
        <v>1233</v>
      </c>
      <c r="B1455" s="39">
        <f t="shared" si="192"/>
        <v>1451</v>
      </c>
      <c r="C1455" s="40">
        <v>46053</v>
      </c>
      <c r="D1455" s="40" t="s">
        <v>32</v>
      </c>
      <c r="E1455" s="40" t="s">
        <v>81</v>
      </c>
      <c r="F1455" s="41">
        <v>695.3</v>
      </c>
      <c r="G1455" s="42" t="s">
        <v>75</v>
      </c>
      <c r="H1455" s="43" t="str">
        <f>IFERROR(VLOOKUP($J1455,'[9]FROM (3)'!$E$4:$F$230,2,FALSE),"")</f>
        <v>JTCS</v>
      </c>
      <c r="I1455" s="44" t="str">
        <f t="shared" si="191"/>
        <v>Rack, PS</v>
      </c>
      <c r="J1455" s="44" t="str">
        <f t="shared" si="188"/>
        <v>JGD10-001150-40-1</v>
      </c>
      <c r="K1455" s="59" t="str">
        <f t="shared" si="190"/>
        <v>PD26010780</v>
      </c>
      <c r="L1455" s="46" t="str" cm="1">
        <f t="array" ref="L1455">IFERROR(_xlfn.IFS(
    LEN($A1455)-LEN(SUBSTITUTE($A1455,"|",""))=12, RIGHT(A1455, LEN(A1455)-FIND("~", SUBSTITUTE(A1455,"|","~", LEN(A1455)-LEN(SUBSTITUTE(A1455,"|",""))))),
    LEN($A1455)-LEN(SUBSTITUTE($A1455,"|",""))=13, MID($A1455, FIND("~", SUBSTITUTE($A1455,"|","~", 11))+1, FIND("~", SUBSTITUTE($A1455,"|","~", 12))-FIND("~", SUBSTITUTE($A1455,"|","~", 11))-1),
    LEN($A1455)-LEN(SUBSTITUTE($A1455,"|",""))=14, MID($A1455, FIND("~", SUBSTITUTE($A1455,"|","~", 11))+1, FIND("~", SUBSTITUTE($A1455,"|","~", 12))-FIND("~", SUBSTITUTE($A1455,"|","~", 11))-1)
), "")</f>
        <v>E585970</v>
      </c>
      <c r="M1455" s="72" t="str">
        <f t="shared" si="189"/>
        <v>SB010099/7/26</v>
      </c>
      <c r="N1455" s="46" t="str">
        <f t="shared" si="175"/>
        <v/>
      </c>
      <c r="O1455" s="76">
        <v>7</v>
      </c>
      <c r="P1455" s="76">
        <v>101</v>
      </c>
      <c r="Q1455" s="77">
        <v>20</v>
      </c>
      <c r="R1455" s="77">
        <v>67</v>
      </c>
      <c r="S1455" s="77">
        <v>8</v>
      </c>
      <c r="T1455" s="77" t="s">
        <v>167</v>
      </c>
      <c r="U1455" s="83"/>
      <c r="V1455" s="83"/>
      <c r="W1455" s="78"/>
      <c r="X1455" s="51" t="str">
        <f>IF(A1455="", "", IF(COUNTIFS(C$3:C1454, C1455, D$3:D1454, D1455, G$3:G1454, G1455) &gt; 0, "", "11:00"-AW1455))</f>
        <v/>
      </c>
      <c r="Y1455" s="79"/>
      <c r="Z1455" s="80"/>
      <c r="AA1455" s="81"/>
      <c r="AB1455" s="81"/>
      <c r="AC1455" s="81"/>
      <c r="AD1455" s="81"/>
      <c r="AE1455" s="81"/>
      <c r="AF1455" s="81"/>
      <c r="AG1455" s="81"/>
      <c r="AH1455" s="82"/>
      <c r="AI1455" s="81"/>
      <c r="AJ1455" s="81"/>
      <c r="AK1455" s="81"/>
      <c r="AL1455" s="81"/>
      <c r="AM1455" s="81"/>
      <c r="AN1455" s="81"/>
      <c r="AO1455" s="81"/>
      <c r="AP1455" s="81"/>
      <c r="AQ1455" s="81"/>
      <c r="AR1455" s="81"/>
      <c r="AS1455" s="81"/>
      <c r="AT1455" s="81"/>
      <c r="AU1455" s="53">
        <v>4.1666666666666699E-2</v>
      </c>
      <c r="AV1455" s="54" t="s">
        <v>37</v>
      </c>
      <c r="AW1455" s="57">
        <f t="shared" si="193"/>
        <v>4.1666666666666699E-2</v>
      </c>
      <c r="AX1455" s="58" t="s">
        <v>77</v>
      </c>
    </row>
    <row r="1456" spans="1:50" ht="28.5" customHeight="1">
      <c r="A1456" s="66" t="s">
        <v>1234</v>
      </c>
      <c r="B1456" s="39">
        <f t="shared" si="192"/>
        <v>1452</v>
      </c>
      <c r="C1456" s="40">
        <v>46053</v>
      </c>
      <c r="D1456" s="40" t="s">
        <v>32</v>
      </c>
      <c r="E1456" s="40" t="s">
        <v>81</v>
      </c>
      <c r="F1456" s="41">
        <v>695.3</v>
      </c>
      <c r="G1456" s="42" t="s">
        <v>75</v>
      </c>
      <c r="H1456" s="43" t="str">
        <f>IFERROR(VLOOKUP($J1456,'[9]FROM (3)'!$E$4:$F$230,2,FALSE),"")</f>
        <v>JTCS</v>
      </c>
      <c r="I1456" s="44" t="str">
        <f t="shared" si="191"/>
        <v>Rack, PS</v>
      </c>
      <c r="J1456" s="44" t="str">
        <f t="shared" si="188"/>
        <v>JGD10-001150-40-1</v>
      </c>
      <c r="K1456" s="59" t="str">
        <f t="shared" si="190"/>
        <v>PD26010780</v>
      </c>
      <c r="L1456" s="46" t="str" cm="1">
        <f t="array" ref="L1456">IFERROR(_xlfn.IFS(
    LEN($A1456)-LEN(SUBSTITUTE($A1456,"|",""))=12, RIGHT(A1456, LEN(A1456)-FIND("~", SUBSTITUTE(A1456,"|","~", LEN(A1456)-LEN(SUBSTITUTE(A1456,"|",""))))),
    LEN($A1456)-LEN(SUBSTITUTE($A1456,"|",""))=13, MID($A1456, FIND("~", SUBSTITUTE($A1456,"|","~", 11))+1, FIND("~", SUBSTITUTE($A1456,"|","~", 12))-FIND("~", SUBSTITUTE($A1456,"|","~", 11))-1),
    LEN($A1456)-LEN(SUBSTITUTE($A1456,"|",""))=14, MID($A1456, FIND("~", SUBSTITUTE($A1456,"|","~", 11))+1, FIND("~", SUBSTITUTE($A1456,"|","~", 12))-FIND("~", SUBSTITUTE($A1456,"|","~", 11))-1)
), "")</f>
        <v>E585970</v>
      </c>
      <c r="M1456" s="72" t="str">
        <f t="shared" si="189"/>
        <v>SB010099/6/26</v>
      </c>
      <c r="N1456" s="46" t="str">
        <f t="shared" si="175"/>
        <v/>
      </c>
      <c r="O1456" s="76">
        <v>53</v>
      </c>
      <c r="P1456" s="76">
        <v>765</v>
      </c>
      <c r="Q1456" s="77">
        <v>212</v>
      </c>
      <c r="R1456" s="77">
        <v>710</v>
      </c>
      <c r="S1456" s="77"/>
      <c r="T1456" s="77"/>
      <c r="U1456" s="83"/>
      <c r="V1456" s="83"/>
      <c r="W1456" s="78"/>
      <c r="X1456" s="51" t="str">
        <f>IF(A1456="", "", IF(COUNTIFS(C$3:C1455, C1456, D$3:D1455, D1456, G$3:G1455, G1456) &gt; 0, "", "11:00"-AW1456))</f>
        <v/>
      </c>
      <c r="Y1456" s="79"/>
      <c r="Z1456" s="80"/>
      <c r="AA1456" s="81"/>
      <c r="AB1456" s="81"/>
      <c r="AC1456" s="81"/>
      <c r="AD1456" s="81"/>
      <c r="AE1456" s="81"/>
      <c r="AF1456" s="81"/>
      <c r="AG1456" s="81"/>
      <c r="AH1456" s="82"/>
      <c r="AI1456" s="81"/>
      <c r="AJ1456" s="81"/>
      <c r="AK1456" s="81"/>
      <c r="AL1456" s="81"/>
      <c r="AM1456" s="81"/>
      <c r="AN1456" s="81"/>
      <c r="AO1456" s="81"/>
      <c r="AP1456" s="81"/>
      <c r="AQ1456" s="81"/>
      <c r="AR1456" s="81"/>
      <c r="AS1456" s="81"/>
      <c r="AT1456" s="81"/>
      <c r="AU1456" s="53">
        <v>4.1666666666666699E-2</v>
      </c>
      <c r="AV1456" s="54" t="s">
        <v>37</v>
      </c>
      <c r="AW1456" s="57">
        <f t="shared" si="193"/>
        <v>4.1666666666666699E-2</v>
      </c>
      <c r="AX1456" s="58" t="s">
        <v>77</v>
      </c>
    </row>
    <row r="1457" spans="1:50" ht="28.5" customHeight="1">
      <c r="A1457" s="66" t="s">
        <v>1235</v>
      </c>
      <c r="B1457" s="39">
        <f t="shared" si="192"/>
        <v>1453</v>
      </c>
      <c r="C1457" s="40">
        <v>46053</v>
      </c>
      <c r="D1457" s="40" t="s">
        <v>32</v>
      </c>
      <c r="E1457" s="40" t="s">
        <v>81</v>
      </c>
      <c r="F1457" s="41">
        <v>695.3</v>
      </c>
      <c r="G1457" s="42" t="s">
        <v>75</v>
      </c>
      <c r="H1457" s="43" t="str">
        <f>IFERROR(VLOOKUP($J1457,'[9]FROM (3)'!$E$4:$F$230,2,FALSE),"")</f>
        <v>JTCS</v>
      </c>
      <c r="I1457" s="44" t="str">
        <f t="shared" si="191"/>
        <v>Rack, PS</v>
      </c>
      <c r="J1457" s="44" t="str">
        <f t="shared" si="188"/>
        <v>JGD10-001150-40-1</v>
      </c>
      <c r="K1457" s="59" t="str">
        <f t="shared" si="190"/>
        <v>PD26010780</v>
      </c>
      <c r="L1457" s="46" t="str" cm="1">
        <f t="array" ref="L1457">IFERROR(_xlfn.IFS(
    LEN($A1457)-LEN(SUBSTITUTE($A1457,"|",""))=12, RIGHT(A1457, LEN(A1457)-FIND("~", SUBSTITUTE(A1457,"|","~", LEN(A1457)-LEN(SUBSTITUTE(A1457,"|",""))))),
    LEN($A1457)-LEN(SUBSTITUTE($A1457,"|",""))=13, MID($A1457, FIND("~", SUBSTITUTE($A1457,"|","~", 11))+1, FIND("~", SUBSTITUTE($A1457,"|","~", 12))-FIND("~", SUBSTITUTE($A1457,"|","~", 11))-1),
    LEN($A1457)-LEN(SUBSTITUTE($A1457,"|",""))=14, MID($A1457, FIND("~", SUBSTITUTE($A1457,"|","~", 11))+1, FIND("~", SUBSTITUTE($A1457,"|","~", 12))-FIND("~", SUBSTITUTE($A1457,"|","~", 11))-1)
), "")</f>
        <v>E585970</v>
      </c>
      <c r="M1457" s="72" t="str">
        <f t="shared" si="189"/>
        <v>SB010099/5/26</v>
      </c>
      <c r="N1457" s="46" t="str">
        <f t="shared" si="175"/>
        <v/>
      </c>
      <c r="O1457" s="76">
        <v>60</v>
      </c>
      <c r="P1457" s="76">
        <v>866</v>
      </c>
      <c r="Q1457" s="77">
        <v>240</v>
      </c>
      <c r="R1457" s="77">
        <v>804</v>
      </c>
      <c r="S1457" s="77"/>
      <c r="T1457" s="77"/>
      <c r="U1457" s="83">
        <v>109</v>
      </c>
      <c r="V1457" s="83">
        <v>6</v>
      </c>
      <c r="W1457" s="78"/>
      <c r="X1457" s="51" t="str">
        <f>IF(A1457="", "", IF(COUNTIFS(C$3:C1456, C1457, D$3:D1456, D1457, G$3:G1456, G1457) &gt; 0, "", "11:00"-AW1457))</f>
        <v/>
      </c>
      <c r="Y1457" s="79"/>
      <c r="Z1457" s="80"/>
      <c r="AA1457" s="81"/>
      <c r="AB1457" s="81"/>
      <c r="AC1457" s="81"/>
      <c r="AD1457" s="81"/>
      <c r="AE1457" s="81"/>
      <c r="AF1457" s="81"/>
      <c r="AG1457" s="81"/>
      <c r="AH1457" s="82"/>
      <c r="AI1457" s="81"/>
      <c r="AJ1457" s="81"/>
      <c r="AK1457" s="81"/>
      <c r="AL1457" s="81"/>
      <c r="AM1457" s="81"/>
      <c r="AN1457" s="81"/>
      <c r="AO1457" s="81"/>
      <c r="AP1457" s="81"/>
      <c r="AQ1457" s="81"/>
      <c r="AR1457" s="81"/>
      <c r="AS1457" s="81"/>
      <c r="AT1457" s="81"/>
      <c r="AU1457" s="53">
        <v>4.1666666666666699E-2</v>
      </c>
      <c r="AV1457" s="54" t="s">
        <v>37</v>
      </c>
      <c r="AW1457" s="57">
        <f t="shared" si="193"/>
        <v>4.1666666666666699E-2</v>
      </c>
      <c r="AX1457" s="58" t="s">
        <v>77</v>
      </c>
    </row>
    <row r="1458" spans="1:50" ht="28.5" customHeight="1">
      <c r="A1458" s="66" t="s">
        <v>1222</v>
      </c>
      <c r="B1458" s="39">
        <f t="shared" si="192"/>
        <v>1454</v>
      </c>
      <c r="C1458" s="40">
        <v>46053</v>
      </c>
      <c r="D1458" s="40" t="s">
        <v>32</v>
      </c>
      <c r="E1458" s="40" t="s">
        <v>81</v>
      </c>
      <c r="F1458" s="41">
        <v>143.4</v>
      </c>
      <c r="G1458" s="42" t="s">
        <v>62</v>
      </c>
      <c r="H1458" s="43" t="str">
        <f>IFERROR(VLOOKUP($J1458,'[9]FROM (3)'!$E$4:$F$230,2,FALSE),"")</f>
        <v>DNTH</v>
      </c>
      <c r="I1458" s="44" t="str">
        <f t="shared" si="191"/>
        <v>SHAFT STARTER ARMATURE, 1W</v>
      </c>
      <c r="J1458" s="44" t="str">
        <f t="shared" si="188"/>
        <v>TG028993-540B</v>
      </c>
      <c r="K1458" s="59" t="str">
        <f t="shared" si="190"/>
        <v>PD26011374</v>
      </c>
      <c r="L1458" s="46" t="str" cm="1">
        <f t="array" ref="L1458">IFERROR(_xlfn.IFS(
    LEN($A1458)-LEN(SUBSTITUTE($A1458,"|",""))=12, RIGHT(A1458, LEN(A1458)-FIND("~", SUBSTITUTE(A1458,"|","~", LEN(A1458)-LEN(SUBSTITUTE(A1458,"|",""))))),
    LEN($A1458)-LEN(SUBSTITUTE($A1458,"|",""))=13, MID($A1458, FIND("~", SUBSTITUTE($A1458,"|","~", 11))+1, FIND("~", SUBSTITUTE($A1458,"|","~", 12))-FIND("~", SUBSTITUTE($A1458,"|","~", 11))-1),
    LEN($A1458)-LEN(SUBSTITUTE($A1458,"|",""))=14, MID($A1458, FIND("~", SUBSTITUTE($A1458,"|","~", 11))+1, FIND("~", SUBSTITUTE($A1458,"|","~", 12))-FIND("~", SUBSTITUTE($A1458,"|","~", 11))-1)
), "")</f>
        <v>E586473</v>
      </c>
      <c r="M1458" s="72" t="str">
        <f t="shared" si="189"/>
        <v>SB010082/6/26</v>
      </c>
      <c r="N1458" s="46" t="str">
        <f t="shared" si="175"/>
        <v/>
      </c>
      <c r="O1458" s="76">
        <v>0</v>
      </c>
      <c r="P1458" s="76">
        <v>0</v>
      </c>
      <c r="Q1458" s="77">
        <v>243</v>
      </c>
      <c r="R1458" s="77">
        <v>50</v>
      </c>
      <c r="S1458" s="77"/>
      <c r="T1458" s="77"/>
      <c r="U1458" s="83"/>
      <c r="V1458" s="83"/>
      <c r="W1458" s="78"/>
      <c r="X1458" s="51">
        <f>IF(A1458="", "", IF(COUNTIFS(C$3:C1457, C1458, D$3:D1457, D1458, G$3:G1457, G1458) &gt; 0, "", "11:00"-AW1458))</f>
        <v>0.31249999999999994</v>
      </c>
      <c r="Y1458" s="79"/>
      <c r="Z1458" s="80">
        <v>2.0833333333333332E-2</v>
      </c>
      <c r="AA1458" s="81" t="s">
        <v>63</v>
      </c>
      <c r="AB1458" s="81"/>
      <c r="AC1458" s="81"/>
      <c r="AD1458" s="81"/>
      <c r="AE1458" s="81"/>
      <c r="AF1458" s="81"/>
      <c r="AG1458" s="81"/>
      <c r="AH1458" s="82"/>
      <c r="AI1458" s="81"/>
      <c r="AJ1458" s="81"/>
      <c r="AK1458" s="81"/>
      <c r="AL1458" s="81"/>
      <c r="AM1458" s="81"/>
      <c r="AN1458" s="81"/>
      <c r="AO1458" s="81"/>
      <c r="AP1458" s="81"/>
      <c r="AQ1458" s="81">
        <v>4.1666666666666664E-2</v>
      </c>
      <c r="AR1458" s="81" t="s">
        <v>37</v>
      </c>
      <c r="AS1458" s="81">
        <v>4.1666666666666664E-2</v>
      </c>
      <c r="AT1458" s="81" t="s">
        <v>37</v>
      </c>
      <c r="AU1458" s="53">
        <v>4.1666666666666699E-2</v>
      </c>
      <c r="AV1458" s="54" t="s">
        <v>37</v>
      </c>
      <c r="AW1458" s="57">
        <f t="shared" si="193"/>
        <v>0.14583333333333337</v>
      </c>
      <c r="AX1458" s="58" t="s">
        <v>64</v>
      </c>
    </row>
    <row r="1459" spans="1:50" ht="28.5" customHeight="1">
      <c r="A1459" s="66" t="s">
        <v>1236</v>
      </c>
      <c r="B1459" s="39">
        <f t="shared" si="192"/>
        <v>1455</v>
      </c>
      <c r="C1459" s="40">
        <v>46053</v>
      </c>
      <c r="D1459" s="40" t="s">
        <v>32</v>
      </c>
      <c r="E1459" s="40" t="s">
        <v>81</v>
      </c>
      <c r="F1459" s="41">
        <v>143.4</v>
      </c>
      <c r="G1459" s="42" t="s">
        <v>62</v>
      </c>
      <c r="H1459" s="43" t="str">
        <f>IFERROR(VLOOKUP($J1459,'[9]FROM (3)'!$E$4:$F$230,2,FALSE),"")</f>
        <v>DNTH</v>
      </c>
      <c r="I1459" s="44" t="str">
        <f t="shared" si="191"/>
        <v>SHAFT STARTER ARMATURE, 1W</v>
      </c>
      <c r="J1459" s="44" t="str">
        <f t="shared" si="188"/>
        <v>TG028993-540B</v>
      </c>
      <c r="K1459" s="59" t="str">
        <f t="shared" si="190"/>
        <v>PD26011374</v>
      </c>
      <c r="L1459" s="46" t="str" cm="1">
        <f t="array" ref="L1459">IFERROR(_xlfn.IFS(
    LEN($A1459)-LEN(SUBSTITUTE($A1459,"|",""))=12, RIGHT(A1459, LEN(A1459)-FIND("~", SUBSTITUTE(A1459,"|","~", LEN(A1459)-LEN(SUBSTITUTE(A1459,"|",""))))),
    LEN($A1459)-LEN(SUBSTITUTE($A1459,"|",""))=13, MID($A1459, FIND("~", SUBSTITUTE($A1459,"|","~", 11))+1, FIND("~", SUBSTITUTE($A1459,"|","~", 12))-FIND("~", SUBSTITUTE($A1459,"|","~", 11))-1),
    LEN($A1459)-LEN(SUBSTITUTE($A1459,"|",""))=14, MID($A1459, FIND("~", SUBSTITUTE($A1459,"|","~", 11))+1, FIND("~", SUBSTITUTE($A1459,"|","~", 12))-FIND("~", SUBSTITUTE($A1459,"|","~", 11))-1)
), "")</f>
        <v>E586473</v>
      </c>
      <c r="M1459" s="72" t="str">
        <f t="shared" si="189"/>
        <v>SB010082/4/26</v>
      </c>
      <c r="N1459" s="46" t="str">
        <f t="shared" si="175"/>
        <v/>
      </c>
      <c r="O1459" s="76">
        <v>36</v>
      </c>
      <c r="P1459" s="76">
        <v>209</v>
      </c>
      <c r="Q1459" s="77">
        <v>643</v>
      </c>
      <c r="R1459" s="77">
        <v>131</v>
      </c>
      <c r="S1459" s="77"/>
      <c r="T1459" s="77"/>
      <c r="U1459" s="83"/>
      <c r="V1459" s="83"/>
      <c r="W1459" s="78"/>
      <c r="X1459" s="51" t="str">
        <f>IF(A1459="", "", IF(COUNTIFS(C$3:C1458, C1459, D$3:D1458, D1459, G$3:G1458, G1459) &gt; 0, "", "11:00"-AW1459))</f>
        <v/>
      </c>
      <c r="Y1459" s="79"/>
      <c r="Z1459" s="80"/>
      <c r="AA1459" s="81"/>
      <c r="AB1459" s="81"/>
      <c r="AC1459" s="81"/>
      <c r="AD1459" s="81"/>
      <c r="AE1459" s="81"/>
      <c r="AF1459" s="81"/>
      <c r="AG1459" s="81"/>
      <c r="AH1459" s="82"/>
      <c r="AI1459" s="81"/>
      <c r="AJ1459" s="81"/>
      <c r="AK1459" s="81"/>
      <c r="AL1459" s="81"/>
      <c r="AM1459" s="81"/>
      <c r="AN1459" s="81"/>
      <c r="AO1459" s="81"/>
      <c r="AP1459" s="81"/>
      <c r="AQ1459" s="81"/>
      <c r="AR1459" s="81" t="s">
        <v>37</v>
      </c>
      <c r="AS1459" s="81"/>
      <c r="AT1459" s="81" t="s">
        <v>37</v>
      </c>
      <c r="AU1459" s="53">
        <v>4.1666666666666699E-2</v>
      </c>
      <c r="AV1459" s="54" t="s">
        <v>37</v>
      </c>
      <c r="AW1459" s="57">
        <f t="shared" si="193"/>
        <v>4.1666666666666699E-2</v>
      </c>
      <c r="AX1459" s="58" t="s">
        <v>64</v>
      </c>
    </row>
    <row r="1460" spans="1:50" ht="28.5" customHeight="1">
      <c r="A1460" s="66" t="s">
        <v>1237</v>
      </c>
      <c r="B1460" s="39">
        <f t="shared" si="192"/>
        <v>1456</v>
      </c>
      <c r="C1460" s="40">
        <v>46053</v>
      </c>
      <c r="D1460" s="40" t="s">
        <v>32</v>
      </c>
      <c r="E1460" s="40" t="s">
        <v>81</v>
      </c>
      <c r="F1460" s="41">
        <v>732.8</v>
      </c>
      <c r="G1460" s="42" t="s">
        <v>192</v>
      </c>
      <c r="H1460" s="43" t="str">
        <f>IFERROR(VLOOKUP($J1460,'[9]FROM (3)'!$E$4:$F$230,2,FALSE),"")</f>
        <v>JATH</v>
      </c>
      <c r="I1460" s="44" t="str">
        <f t="shared" si="191"/>
        <v>JGF02-002060-31-3</v>
      </c>
      <c r="J1460" s="44" t="str">
        <f t="shared" si="188"/>
        <v>RACK BAR BLANK (JGF02-002060-31-3) 58*D</v>
      </c>
      <c r="K1460" s="59" t="str">
        <f t="shared" si="190"/>
        <v>PD25120622</v>
      </c>
      <c r="L1460" s="46" t="str" cm="1">
        <f t="array" ref="L1460">IFERROR(_xlfn.IFS(
    LEN($A1460)-LEN(SUBSTITUTE($A1460,"|",""))=12, RIGHT(A1460, LEN(A1460)-FIND("~", SUBSTITUTE(A1460,"|","~", LEN(A1460)-LEN(SUBSTITUTE(A1460,"|",""))))),
    LEN($A1460)-LEN(SUBSTITUTE($A1460,"|",""))=13, MID($A1460, FIND("~", SUBSTITUTE($A1460,"|","~", 11))+1, FIND("~", SUBSTITUTE($A1460,"|","~", 12))-FIND("~", SUBSTITUTE($A1460,"|","~", 11))-1),
    LEN($A1460)-LEN(SUBSTITUTE($A1460,"|",""))=14, MID($A1460, FIND("~", SUBSTITUTE($A1460,"|","~", 11))+1, FIND("~", SUBSTITUTE($A1460,"|","~", 12))-FIND("~", SUBSTITUTE($A1460,"|","~", 11))-1)
), "")</f>
        <v>5B0230</v>
      </c>
      <c r="M1460" s="72" t="str">
        <f t="shared" si="189"/>
        <v>TSK2</v>
      </c>
      <c r="N1460" s="46" t="str">
        <f t="shared" si="175"/>
        <v>FB010143/3/26</v>
      </c>
      <c r="O1460" s="76">
        <v>58</v>
      </c>
      <c r="P1460" s="76">
        <v>271</v>
      </c>
      <c r="Q1460" s="77">
        <v>58</v>
      </c>
      <c r="R1460" s="77">
        <v>271</v>
      </c>
      <c r="S1460" s="77"/>
      <c r="T1460" s="77"/>
      <c r="U1460" s="83"/>
      <c r="V1460" s="83"/>
      <c r="W1460" s="78"/>
      <c r="X1460" s="51">
        <f>IF(A1460="", "", IF(COUNTIFS(C$3:C1459, C1460, D$3:D1459, D1460, G$3:G1459, G1460) &gt; 0, "", "11:00"-AW1460))</f>
        <v>0.33333333333333326</v>
      </c>
      <c r="Y1460" s="79"/>
      <c r="Z1460" s="80"/>
      <c r="AA1460" s="81"/>
      <c r="AB1460" s="81"/>
      <c r="AC1460" s="81"/>
      <c r="AD1460" s="81"/>
      <c r="AE1460" s="81"/>
      <c r="AF1460" s="81"/>
      <c r="AG1460" s="81"/>
      <c r="AH1460" s="82"/>
      <c r="AI1460" s="81"/>
      <c r="AJ1460" s="81"/>
      <c r="AK1460" s="81"/>
      <c r="AL1460" s="81"/>
      <c r="AM1460" s="81"/>
      <c r="AN1460" s="81"/>
      <c r="AO1460" s="81"/>
      <c r="AP1460" s="81"/>
      <c r="AQ1460" s="81">
        <v>4.1666666666666664E-2</v>
      </c>
      <c r="AR1460" s="81" t="s">
        <v>37</v>
      </c>
      <c r="AS1460" s="81">
        <v>4.1666666666666664E-2</v>
      </c>
      <c r="AT1460" s="81" t="s">
        <v>37</v>
      </c>
      <c r="AU1460" s="53">
        <v>4.1666666666666699E-2</v>
      </c>
      <c r="AV1460" s="54" t="s">
        <v>37</v>
      </c>
      <c r="AW1460" s="57">
        <f t="shared" si="193"/>
        <v>0.12500000000000003</v>
      </c>
      <c r="AX1460" s="58" t="s">
        <v>380</v>
      </c>
    </row>
    <row r="1461" spans="1:50" ht="28.5" customHeight="1">
      <c r="A1461" s="66" t="s">
        <v>1238</v>
      </c>
      <c r="B1461" s="39">
        <f t="shared" si="192"/>
        <v>1457</v>
      </c>
      <c r="C1461" s="40">
        <v>46053</v>
      </c>
      <c r="D1461" s="40" t="s">
        <v>32</v>
      </c>
      <c r="E1461" s="40" t="s">
        <v>81</v>
      </c>
      <c r="F1461" s="41">
        <v>732.8</v>
      </c>
      <c r="G1461" s="42" t="s">
        <v>192</v>
      </c>
      <c r="H1461" s="43" t="str">
        <f>IFERROR(VLOOKUP($J1461,'[9]FROM (3)'!$E$4:$F$230,2,FALSE),"")</f>
        <v>JATH</v>
      </c>
      <c r="I1461" s="44" t="str">
        <f t="shared" si="191"/>
        <v>JGF02-002060-31-3</v>
      </c>
      <c r="J1461" s="44" t="str">
        <f t="shared" si="188"/>
        <v>RACK BAR BLANK (JGF02-002060-31-3) 58*D</v>
      </c>
      <c r="K1461" s="59" t="str">
        <f t="shared" si="190"/>
        <v>PD25120622</v>
      </c>
      <c r="L1461" s="46" t="str" cm="1">
        <f t="array" ref="L1461">IFERROR(_xlfn.IFS(
    LEN($A1461)-LEN(SUBSTITUTE($A1461,"|",""))=12, RIGHT(A1461, LEN(A1461)-FIND("~", SUBSTITUTE(A1461,"|","~", LEN(A1461)-LEN(SUBSTITUTE(A1461,"|",""))))),
    LEN($A1461)-LEN(SUBSTITUTE($A1461,"|",""))=13, MID($A1461, FIND("~", SUBSTITUTE($A1461,"|","~", 11))+1, FIND("~", SUBSTITUTE($A1461,"|","~", 12))-FIND("~", SUBSTITUTE($A1461,"|","~", 11))-1),
    LEN($A1461)-LEN(SUBSTITUTE($A1461,"|",""))=14, MID($A1461, FIND("~", SUBSTITUTE($A1461,"|","~", 11))+1, FIND("~", SUBSTITUTE($A1461,"|","~", 12))-FIND("~", SUBSTITUTE($A1461,"|","~", 11))-1)
), "")</f>
        <v>5B0230</v>
      </c>
      <c r="M1461" s="72" t="str">
        <f t="shared" si="189"/>
        <v>TSK2</v>
      </c>
      <c r="N1461" s="46" t="str">
        <f t="shared" si="175"/>
        <v>FB010143/2/26</v>
      </c>
      <c r="O1461" s="76">
        <v>58</v>
      </c>
      <c r="P1461" s="76">
        <v>271</v>
      </c>
      <c r="Q1461" s="77">
        <v>58</v>
      </c>
      <c r="R1461" s="77">
        <v>271</v>
      </c>
      <c r="S1461" s="77"/>
      <c r="T1461" s="77"/>
      <c r="U1461" s="83"/>
      <c r="V1461" s="83"/>
      <c r="W1461" s="78"/>
      <c r="X1461" s="51" t="str">
        <f>IF(A1461="", "", IF(COUNTIFS(C$3:C1460, C1461, D$3:D1460, D1461, G$3:G1460, G1461) &gt; 0, "", "11:00"-AW1461))</f>
        <v/>
      </c>
      <c r="Y1461" s="79"/>
      <c r="Z1461" s="80"/>
      <c r="AA1461" s="81"/>
      <c r="AB1461" s="81"/>
      <c r="AC1461" s="81"/>
      <c r="AD1461" s="81"/>
      <c r="AE1461" s="81"/>
      <c r="AF1461" s="81"/>
      <c r="AG1461" s="81"/>
      <c r="AH1461" s="82"/>
      <c r="AI1461" s="81"/>
      <c r="AJ1461" s="81"/>
      <c r="AK1461" s="81"/>
      <c r="AL1461" s="81"/>
      <c r="AM1461" s="81"/>
      <c r="AN1461" s="81"/>
      <c r="AO1461" s="81"/>
      <c r="AP1461" s="81"/>
      <c r="AQ1461" s="81"/>
      <c r="AR1461" s="81"/>
      <c r="AS1461" s="81"/>
      <c r="AT1461" s="81"/>
      <c r="AU1461" s="53">
        <v>4.1666666666666699E-2</v>
      </c>
      <c r="AV1461" s="54" t="s">
        <v>37</v>
      </c>
      <c r="AW1461" s="57">
        <f t="shared" si="193"/>
        <v>4.1666666666666699E-2</v>
      </c>
      <c r="AX1461" s="58" t="s">
        <v>380</v>
      </c>
    </row>
    <row r="1462" spans="1:50" ht="28.5" customHeight="1">
      <c r="A1462" s="66" t="s">
        <v>1239</v>
      </c>
      <c r="B1462" s="39">
        <f t="shared" si="192"/>
        <v>1458</v>
      </c>
      <c r="C1462" s="40">
        <v>46053</v>
      </c>
      <c r="D1462" s="40" t="s">
        <v>32</v>
      </c>
      <c r="E1462" s="40" t="s">
        <v>81</v>
      </c>
      <c r="F1462" s="41">
        <v>732.8</v>
      </c>
      <c r="G1462" s="42" t="s">
        <v>192</v>
      </c>
      <c r="H1462" s="43" t="str">
        <f>IFERROR(VLOOKUP($J1462,'[9]FROM (3)'!$E$4:$F$230,2,FALSE),"")</f>
        <v>JATH</v>
      </c>
      <c r="I1462" s="44" t="str">
        <f t="shared" si="191"/>
        <v>JGF02-002060-31-3</v>
      </c>
      <c r="J1462" s="44" t="str">
        <f t="shared" si="188"/>
        <v>RACK BAR BLANK (JGF02-002060-31-3) 58*D</v>
      </c>
      <c r="K1462" s="59" t="str">
        <f t="shared" si="190"/>
        <v>PD25120622</v>
      </c>
      <c r="L1462" s="46" t="str" cm="1">
        <f t="array" ref="L1462">IFERROR(_xlfn.IFS(
    LEN($A1462)-LEN(SUBSTITUTE($A1462,"|",""))=12, RIGHT(A1462, LEN(A1462)-FIND("~", SUBSTITUTE(A1462,"|","~", LEN(A1462)-LEN(SUBSTITUTE(A1462,"|",""))))),
    LEN($A1462)-LEN(SUBSTITUTE($A1462,"|",""))=13, MID($A1462, FIND("~", SUBSTITUTE($A1462,"|","~", 11))+1, FIND("~", SUBSTITUTE($A1462,"|","~", 12))-FIND("~", SUBSTITUTE($A1462,"|","~", 11))-1),
    LEN($A1462)-LEN(SUBSTITUTE($A1462,"|",""))=14, MID($A1462, FIND("~", SUBSTITUTE($A1462,"|","~", 11))+1, FIND("~", SUBSTITUTE($A1462,"|","~", 12))-FIND("~", SUBSTITUTE($A1462,"|","~", 11))-1)
), "")</f>
        <v>5B0230</v>
      </c>
      <c r="M1462" s="72" t="str">
        <f t="shared" si="189"/>
        <v>TSK2</v>
      </c>
      <c r="N1462" s="46" t="str">
        <f t="shared" si="175"/>
        <v>FB010143/9/26</v>
      </c>
      <c r="O1462" s="76">
        <v>58</v>
      </c>
      <c r="P1462" s="76">
        <v>271</v>
      </c>
      <c r="Q1462" s="77">
        <v>58</v>
      </c>
      <c r="R1462" s="77">
        <v>271</v>
      </c>
      <c r="S1462" s="77"/>
      <c r="T1462" s="77"/>
      <c r="U1462" s="83"/>
      <c r="V1462" s="83"/>
      <c r="W1462" s="78"/>
      <c r="X1462" s="51" t="str">
        <f>IF(A1462="", "", IF(COUNTIFS(C$3:C1461, C1462, D$3:D1461, D1462, G$3:G1461, G1462) &gt; 0, "", "11:00"-AW1462))</f>
        <v/>
      </c>
      <c r="Y1462" s="79"/>
      <c r="Z1462" s="80"/>
      <c r="AA1462" s="81"/>
      <c r="AB1462" s="81"/>
      <c r="AC1462" s="81"/>
      <c r="AD1462" s="81"/>
      <c r="AE1462" s="81"/>
      <c r="AF1462" s="81"/>
      <c r="AG1462" s="81"/>
      <c r="AH1462" s="82"/>
      <c r="AI1462" s="81"/>
      <c r="AJ1462" s="81"/>
      <c r="AK1462" s="81"/>
      <c r="AL1462" s="81"/>
      <c r="AM1462" s="81"/>
      <c r="AN1462" s="81"/>
      <c r="AO1462" s="81"/>
      <c r="AP1462" s="81"/>
      <c r="AQ1462" s="81"/>
      <c r="AR1462" s="81"/>
      <c r="AS1462" s="81"/>
      <c r="AT1462" s="81"/>
      <c r="AU1462" s="53">
        <v>4.1666666666666699E-2</v>
      </c>
      <c r="AV1462" s="54" t="s">
        <v>37</v>
      </c>
      <c r="AW1462" s="57">
        <f t="shared" si="193"/>
        <v>4.1666666666666699E-2</v>
      </c>
      <c r="AX1462" s="58" t="s">
        <v>380</v>
      </c>
    </row>
    <row r="1463" spans="1:50" ht="28.5" customHeight="1">
      <c r="A1463" s="66" t="s">
        <v>1240</v>
      </c>
      <c r="B1463" s="39">
        <f t="shared" si="192"/>
        <v>1459</v>
      </c>
      <c r="C1463" s="40">
        <v>46053</v>
      </c>
      <c r="D1463" s="40" t="s">
        <v>32</v>
      </c>
      <c r="E1463" s="40" t="s">
        <v>81</v>
      </c>
      <c r="F1463" s="41">
        <v>732.8</v>
      </c>
      <c r="G1463" s="42" t="s">
        <v>192</v>
      </c>
      <c r="H1463" s="43" t="str">
        <f>IFERROR(VLOOKUP($J1463,'[9]FROM (3)'!$E$4:$F$230,2,FALSE),"")</f>
        <v>JATH</v>
      </c>
      <c r="I1463" s="44" t="str">
        <f t="shared" si="191"/>
        <v>JGF02-002060-31-3</v>
      </c>
      <c r="J1463" s="44" t="str">
        <f t="shared" si="188"/>
        <v>RACK BAR BLANK (JGF02-002060-31-3) 58*D</v>
      </c>
      <c r="K1463" s="59" t="str">
        <f t="shared" si="190"/>
        <v>PD25120622</v>
      </c>
      <c r="L1463" s="46" t="str" cm="1">
        <f t="array" ref="L1463">IFERROR(_xlfn.IFS(
    LEN($A1463)-LEN(SUBSTITUTE($A1463,"|",""))=12, RIGHT(A1463, LEN(A1463)-FIND("~", SUBSTITUTE(A1463,"|","~", LEN(A1463)-LEN(SUBSTITUTE(A1463,"|",""))))),
    LEN($A1463)-LEN(SUBSTITUTE($A1463,"|",""))=13, MID($A1463, FIND("~", SUBSTITUTE($A1463,"|","~", 11))+1, FIND("~", SUBSTITUTE($A1463,"|","~", 12))-FIND("~", SUBSTITUTE($A1463,"|","~", 11))-1),
    LEN($A1463)-LEN(SUBSTITUTE($A1463,"|",""))=14, MID($A1463, FIND("~", SUBSTITUTE($A1463,"|","~", 11))+1, FIND("~", SUBSTITUTE($A1463,"|","~", 12))-FIND("~", SUBSTITUTE($A1463,"|","~", 11))-1)
), "")</f>
        <v>5B0230</v>
      </c>
      <c r="M1463" s="72" t="str">
        <f t="shared" si="189"/>
        <v>TSK2</v>
      </c>
      <c r="N1463" s="46" t="str">
        <f t="shared" si="175"/>
        <v>FB010143/18/26</v>
      </c>
      <c r="O1463" s="76">
        <v>58</v>
      </c>
      <c r="P1463" s="76">
        <v>271</v>
      </c>
      <c r="Q1463" s="77">
        <v>58</v>
      </c>
      <c r="R1463" s="77">
        <v>271</v>
      </c>
      <c r="S1463" s="77"/>
      <c r="T1463" s="77"/>
      <c r="U1463" s="83"/>
      <c r="V1463" s="83"/>
      <c r="W1463" s="78"/>
      <c r="X1463" s="51" t="str">
        <f>IF(A1463="", "", IF(COUNTIFS(C$3:C1462, C1463, D$3:D1462, D1463, G$3:G1462, G1463) &gt; 0, "", "11:00"-AW1463))</f>
        <v/>
      </c>
      <c r="Y1463" s="79"/>
      <c r="Z1463" s="80"/>
      <c r="AA1463" s="81"/>
      <c r="AB1463" s="81"/>
      <c r="AC1463" s="81"/>
      <c r="AD1463" s="81"/>
      <c r="AE1463" s="81"/>
      <c r="AF1463" s="81"/>
      <c r="AG1463" s="81"/>
      <c r="AH1463" s="82"/>
      <c r="AI1463" s="81"/>
      <c r="AJ1463" s="81"/>
      <c r="AK1463" s="81"/>
      <c r="AL1463" s="81"/>
      <c r="AM1463" s="81"/>
      <c r="AN1463" s="81"/>
      <c r="AO1463" s="81"/>
      <c r="AP1463" s="81"/>
      <c r="AQ1463" s="81"/>
      <c r="AR1463" s="81"/>
      <c r="AS1463" s="81"/>
      <c r="AT1463" s="81"/>
      <c r="AU1463" s="53">
        <v>4.1666666666666699E-2</v>
      </c>
      <c r="AV1463" s="54" t="s">
        <v>37</v>
      </c>
      <c r="AW1463" s="57">
        <f t="shared" si="193"/>
        <v>4.1666666666666699E-2</v>
      </c>
      <c r="AX1463" s="58" t="s">
        <v>380</v>
      </c>
    </row>
    <row r="1464" spans="1:50" ht="28.5" customHeight="1">
      <c r="A1464" s="66" t="s">
        <v>1241</v>
      </c>
      <c r="B1464" s="39">
        <f t="shared" si="192"/>
        <v>1460</v>
      </c>
      <c r="C1464" s="40">
        <v>46053</v>
      </c>
      <c r="D1464" s="40" t="s">
        <v>32</v>
      </c>
      <c r="E1464" s="40" t="s">
        <v>81</v>
      </c>
      <c r="F1464" s="41">
        <v>732.8</v>
      </c>
      <c r="G1464" s="42" t="s">
        <v>192</v>
      </c>
      <c r="H1464" s="43" t="str">
        <f>IFERROR(VLOOKUP($J1464,'[9]FROM (3)'!$E$4:$F$230,2,FALSE),"")</f>
        <v>JATH</v>
      </c>
      <c r="I1464" s="44" t="str">
        <f t="shared" si="191"/>
        <v>JGF02-002060-31-3</v>
      </c>
      <c r="J1464" s="44" t="str">
        <f t="shared" si="188"/>
        <v>RACK BAR BLANK (JGF02-002060-31-3) 58*D</v>
      </c>
      <c r="K1464" s="59" t="str">
        <f t="shared" si="190"/>
        <v>PD25120622</v>
      </c>
      <c r="L1464" s="46" t="str" cm="1">
        <f t="array" ref="L1464">IFERROR(_xlfn.IFS(
    LEN($A1464)-LEN(SUBSTITUTE($A1464,"|",""))=12, RIGHT(A1464, LEN(A1464)-FIND("~", SUBSTITUTE(A1464,"|","~", LEN(A1464)-LEN(SUBSTITUTE(A1464,"|",""))))),
    LEN($A1464)-LEN(SUBSTITUTE($A1464,"|",""))=13, MID($A1464, FIND("~", SUBSTITUTE($A1464,"|","~", 11))+1, FIND("~", SUBSTITUTE($A1464,"|","~", 12))-FIND("~", SUBSTITUTE($A1464,"|","~", 11))-1),
    LEN($A1464)-LEN(SUBSTITUTE($A1464,"|",""))=14, MID($A1464, FIND("~", SUBSTITUTE($A1464,"|","~", 11))+1, FIND("~", SUBSTITUTE($A1464,"|","~", 12))-FIND("~", SUBSTITUTE($A1464,"|","~", 11))-1)
), "")</f>
        <v>5B0230</v>
      </c>
      <c r="M1464" s="72" t="str">
        <f t="shared" si="189"/>
        <v>TSK2</v>
      </c>
      <c r="N1464" s="46" t="str">
        <f t="shared" si="175"/>
        <v>FB010143/5/26</v>
      </c>
      <c r="O1464" s="76">
        <v>58</v>
      </c>
      <c r="P1464" s="76">
        <v>271</v>
      </c>
      <c r="Q1464" s="77">
        <v>58</v>
      </c>
      <c r="R1464" s="77">
        <v>271</v>
      </c>
      <c r="S1464" s="77"/>
      <c r="T1464" s="77"/>
      <c r="U1464" s="83"/>
      <c r="V1464" s="83"/>
      <c r="W1464" s="78"/>
      <c r="X1464" s="51" t="str">
        <f>IF(A1464="", "", IF(COUNTIFS(C$3:C1463, C1464, D$3:D1463, D1464, G$3:G1463, G1464) &gt; 0, "", "11:00"-AW1464))</f>
        <v/>
      </c>
      <c r="Y1464" s="79"/>
      <c r="Z1464" s="80"/>
      <c r="AA1464" s="81"/>
      <c r="AB1464" s="81"/>
      <c r="AC1464" s="81"/>
      <c r="AD1464" s="81"/>
      <c r="AE1464" s="81"/>
      <c r="AF1464" s="81"/>
      <c r="AG1464" s="81"/>
      <c r="AH1464" s="82"/>
      <c r="AI1464" s="81"/>
      <c r="AJ1464" s="81"/>
      <c r="AK1464" s="81"/>
      <c r="AL1464" s="81"/>
      <c r="AM1464" s="81"/>
      <c r="AN1464" s="81"/>
      <c r="AO1464" s="81"/>
      <c r="AP1464" s="81"/>
      <c r="AQ1464" s="81"/>
      <c r="AR1464" s="81"/>
      <c r="AS1464" s="81"/>
      <c r="AT1464" s="81"/>
      <c r="AU1464" s="53">
        <v>4.1666666666666699E-2</v>
      </c>
      <c r="AV1464" s="54" t="s">
        <v>37</v>
      </c>
      <c r="AW1464" s="57">
        <f t="shared" si="193"/>
        <v>4.1666666666666699E-2</v>
      </c>
      <c r="AX1464" s="58" t="s">
        <v>380</v>
      </c>
    </row>
    <row r="1465" spans="1:50" ht="28.5" customHeight="1">
      <c r="A1465" s="66" t="s">
        <v>1242</v>
      </c>
      <c r="B1465" s="39">
        <f t="shared" si="192"/>
        <v>1461</v>
      </c>
      <c r="C1465" s="40">
        <v>46053</v>
      </c>
      <c r="D1465" s="40" t="s">
        <v>32</v>
      </c>
      <c r="E1465" s="40" t="s">
        <v>81</v>
      </c>
      <c r="F1465" s="41">
        <v>732.8</v>
      </c>
      <c r="G1465" s="42" t="s">
        <v>192</v>
      </c>
      <c r="H1465" s="43" t="str">
        <f>IFERROR(VLOOKUP($J1465,'[9]FROM (3)'!$E$4:$F$230,2,FALSE),"")</f>
        <v>JATH</v>
      </c>
      <c r="I1465" s="44" t="str">
        <f t="shared" si="191"/>
        <v>JGF02-002060-31-3</v>
      </c>
      <c r="J1465" s="44" t="str">
        <f t="shared" ref="J1465:J1528" si="194">IFERROR(MID(A1465,FIND("~",SUBSTITUTE(A1465,"|","~",3))+1,FIND("~",SUBSTITUTE(A1465,"|","~",4))-FIND("~",SUBSTITUTE(A1465,"|","~",3))-1),"")</f>
        <v>RACK BAR BLANK (JGF02-002060-31-3) 58*D</v>
      </c>
      <c r="K1465" s="59" t="str">
        <f t="shared" si="190"/>
        <v>PD25120622</v>
      </c>
      <c r="L1465" s="46" t="str" cm="1">
        <f t="array" ref="L1465">IFERROR(_xlfn.IFS(
    LEN($A1465)-LEN(SUBSTITUTE($A1465,"|",""))=12, RIGHT(A1465, LEN(A1465)-FIND("~", SUBSTITUTE(A1465,"|","~", LEN(A1465)-LEN(SUBSTITUTE(A1465,"|",""))))),
    LEN($A1465)-LEN(SUBSTITUTE($A1465,"|",""))=13, MID($A1465, FIND("~", SUBSTITUTE($A1465,"|","~", 11))+1, FIND("~", SUBSTITUTE($A1465,"|","~", 12))-FIND("~", SUBSTITUTE($A1465,"|","~", 11))-1),
    LEN($A1465)-LEN(SUBSTITUTE($A1465,"|",""))=14, MID($A1465, FIND("~", SUBSTITUTE($A1465,"|","~", 11))+1, FIND("~", SUBSTITUTE($A1465,"|","~", 12))-FIND("~", SUBSTITUTE($A1465,"|","~", 11))-1)
), "")</f>
        <v>5B0230</v>
      </c>
      <c r="M1465" s="72" t="str">
        <f t="shared" si="189"/>
        <v>TSK2</v>
      </c>
      <c r="N1465" s="46" t="str">
        <f t="shared" si="175"/>
        <v>FB010143/7/26</v>
      </c>
      <c r="O1465" s="76">
        <v>58</v>
      </c>
      <c r="P1465" s="76">
        <v>271</v>
      </c>
      <c r="Q1465" s="77">
        <v>58</v>
      </c>
      <c r="R1465" s="77">
        <v>271</v>
      </c>
      <c r="S1465" s="77"/>
      <c r="T1465" s="77"/>
      <c r="U1465" s="83"/>
      <c r="V1465" s="83"/>
      <c r="W1465" s="78"/>
      <c r="X1465" s="51" t="str">
        <f>IF(A1465="", "", IF(COUNTIFS(C$3:C1464, C1465, D$3:D1464, D1465, G$3:G1464, G1465) &gt; 0, "", "11:00"-AW1465))</f>
        <v/>
      </c>
      <c r="Y1465" s="79"/>
      <c r="Z1465" s="80"/>
      <c r="AA1465" s="81"/>
      <c r="AB1465" s="81"/>
      <c r="AC1465" s="81"/>
      <c r="AD1465" s="81"/>
      <c r="AE1465" s="81"/>
      <c r="AF1465" s="81"/>
      <c r="AG1465" s="81"/>
      <c r="AH1465" s="82"/>
      <c r="AI1465" s="81"/>
      <c r="AJ1465" s="81"/>
      <c r="AK1465" s="81"/>
      <c r="AL1465" s="81"/>
      <c r="AM1465" s="81"/>
      <c r="AN1465" s="81"/>
      <c r="AO1465" s="81"/>
      <c r="AP1465" s="81"/>
      <c r="AQ1465" s="81"/>
      <c r="AR1465" s="81"/>
      <c r="AS1465" s="81"/>
      <c r="AT1465" s="81"/>
      <c r="AU1465" s="53">
        <v>4.1666666666666699E-2</v>
      </c>
      <c r="AV1465" s="54" t="s">
        <v>37</v>
      </c>
      <c r="AW1465" s="57">
        <f t="shared" si="193"/>
        <v>4.1666666666666699E-2</v>
      </c>
      <c r="AX1465" s="58" t="s">
        <v>380</v>
      </c>
    </row>
    <row r="1466" spans="1:50" ht="28.5" customHeight="1">
      <c r="A1466" s="66" t="s">
        <v>1243</v>
      </c>
      <c r="B1466" s="39">
        <f t="shared" si="192"/>
        <v>1462</v>
      </c>
      <c r="C1466" s="40">
        <v>46053</v>
      </c>
      <c r="D1466" s="40" t="s">
        <v>32</v>
      </c>
      <c r="E1466" s="40" t="s">
        <v>81</v>
      </c>
      <c r="F1466" s="41">
        <v>732.8</v>
      </c>
      <c r="G1466" s="42" t="s">
        <v>192</v>
      </c>
      <c r="H1466" s="43" t="str">
        <f>IFERROR(VLOOKUP($J1466,'[9]FROM (3)'!$E$4:$F$230,2,FALSE),"")</f>
        <v>JATH</v>
      </c>
      <c r="I1466" s="44" t="str">
        <f t="shared" si="191"/>
        <v>JGF02-002060-31-3</v>
      </c>
      <c r="J1466" s="44" t="str">
        <f t="shared" si="194"/>
        <v>RACK BAR BLANK (JGF02-002060-31-3) 58*D</v>
      </c>
      <c r="K1466" s="59" t="str">
        <f t="shared" si="190"/>
        <v>PD25120622</v>
      </c>
      <c r="L1466" s="46" t="str" cm="1">
        <f t="array" ref="L1466">IFERROR(_xlfn.IFS(
    LEN($A1466)-LEN(SUBSTITUTE($A1466,"|",""))=12, RIGHT(A1466, LEN(A1466)-FIND("~", SUBSTITUTE(A1466,"|","~", LEN(A1466)-LEN(SUBSTITUTE(A1466,"|",""))))),
    LEN($A1466)-LEN(SUBSTITUTE($A1466,"|",""))=13, MID($A1466, FIND("~", SUBSTITUTE($A1466,"|","~", 11))+1, FIND("~", SUBSTITUTE($A1466,"|","~", 12))-FIND("~", SUBSTITUTE($A1466,"|","~", 11))-1),
    LEN($A1466)-LEN(SUBSTITUTE($A1466,"|",""))=14, MID($A1466, FIND("~", SUBSTITUTE($A1466,"|","~", 11))+1, FIND("~", SUBSTITUTE($A1466,"|","~", 12))-FIND("~", SUBSTITUTE($A1466,"|","~", 11))-1)
), "")</f>
        <v>5B0230</v>
      </c>
      <c r="M1466" s="72" t="str">
        <f t="shared" si="189"/>
        <v>TSK2</v>
      </c>
      <c r="N1466" s="46" t="str">
        <f t="shared" si="175"/>
        <v>FB010143/20/26</v>
      </c>
      <c r="O1466" s="76">
        <v>58</v>
      </c>
      <c r="P1466" s="76">
        <v>271</v>
      </c>
      <c r="Q1466" s="77">
        <v>58</v>
      </c>
      <c r="R1466" s="77">
        <v>271</v>
      </c>
      <c r="S1466" s="77"/>
      <c r="T1466" s="77"/>
      <c r="U1466" s="83"/>
      <c r="V1466" s="83"/>
      <c r="W1466" s="78"/>
      <c r="X1466" s="51" t="str">
        <f>IF(A1466="", "", IF(COUNTIFS(C$3:C1465, C1466, D$3:D1465, D1466, G$3:G1465, G1466) &gt; 0, "", "11:00"-AW1466))</f>
        <v/>
      </c>
      <c r="Y1466" s="79"/>
      <c r="Z1466" s="80"/>
      <c r="AA1466" s="81"/>
      <c r="AB1466" s="81"/>
      <c r="AC1466" s="81"/>
      <c r="AD1466" s="81"/>
      <c r="AE1466" s="81"/>
      <c r="AF1466" s="81"/>
      <c r="AG1466" s="81"/>
      <c r="AH1466" s="82"/>
      <c r="AI1466" s="81"/>
      <c r="AJ1466" s="81"/>
      <c r="AK1466" s="81"/>
      <c r="AL1466" s="81"/>
      <c r="AM1466" s="81"/>
      <c r="AN1466" s="81"/>
      <c r="AO1466" s="81"/>
      <c r="AP1466" s="81"/>
      <c r="AQ1466" s="81"/>
      <c r="AR1466" s="81"/>
      <c r="AS1466" s="81"/>
      <c r="AT1466" s="81"/>
      <c r="AU1466" s="53">
        <v>4.1666666666666699E-2</v>
      </c>
      <c r="AV1466" s="54" t="s">
        <v>37</v>
      </c>
      <c r="AW1466" s="57">
        <f t="shared" si="193"/>
        <v>4.1666666666666699E-2</v>
      </c>
      <c r="AX1466" s="58" t="s">
        <v>380</v>
      </c>
    </row>
    <row r="1467" spans="1:50" ht="28.5" customHeight="1">
      <c r="A1467" s="66" t="s">
        <v>1244</v>
      </c>
      <c r="B1467" s="39">
        <f t="shared" si="192"/>
        <v>1463</v>
      </c>
      <c r="C1467" s="40">
        <v>46053</v>
      </c>
      <c r="D1467" s="40" t="s">
        <v>32</v>
      </c>
      <c r="E1467" s="40" t="s">
        <v>81</v>
      </c>
      <c r="F1467" s="41">
        <v>732.8</v>
      </c>
      <c r="G1467" s="42" t="s">
        <v>192</v>
      </c>
      <c r="H1467" s="43" t="str">
        <f>IFERROR(VLOOKUP($J1467,'[9]FROM (3)'!$E$4:$F$230,2,FALSE),"")</f>
        <v>JATH</v>
      </c>
      <c r="I1467" s="44" t="str">
        <f t="shared" si="191"/>
        <v>JGF02-002060-31-3</v>
      </c>
      <c r="J1467" s="44" t="str">
        <f t="shared" si="194"/>
        <v>RACK BAR BLANK (JGF02-002060-31-3) 58*D</v>
      </c>
      <c r="K1467" s="59" t="str">
        <f t="shared" si="190"/>
        <v>PD25120622</v>
      </c>
      <c r="L1467" s="46" t="str" cm="1">
        <f t="array" ref="L1467">IFERROR(_xlfn.IFS(
    LEN($A1467)-LEN(SUBSTITUTE($A1467,"|",""))=12, RIGHT(A1467, LEN(A1467)-FIND("~", SUBSTITUTE(A1467,"|","~", LEN(A1467)-LEN(SUBSTITUTE(A1467,"|",""))))),
    LEN($A1467)-LEN(SUBSTITUTE($A1467,"|",""))=13, MID($A1467, FIND("~", SUBSTITUTE($A1467,"|","~", 11))+1, FIND("~", SUBSTITUTE($A1467,"|","~", 12))-FIND("~", SUBSTITUTE($A1467,"|","~", 11))-1),
    LEN($A1467)-LEN(SUBSTITUTE($A1467,"|",""))=14, MID($A1467, FIND("~", SUBSTITUTE($A1467,"|","~", 11))+1, FIND("~", SUBSTITUTE($A1467,"|","~", 12))-FIND("~", SUBSTITUTE($A1467,"|","~", 11))-1)
), "")</f>
        <v>5B0230</v>
      </c>
      <c r="M1467" s="72" t="str">
        <f t="shared" si="189"/>
        <v>TSK2</v>
      </c>
      <c r="N1467" s="46" t="str">
        <f t="shared" si="175"/>
        <v>FB010143/21/26</v>
      </c>
      <c r="O1467" s="76">
        <v>46</v>
      </c>
      <c r="P1467" s="76">
        <v>215</v>
      </c>
      <c r="Q1467" s="77">
        <v>46</v>
      </c>
      <c r="R1467" s="77">
        <v>215</v>
      </c>
      <c r="S1467" s="77"/>
      <c r="T1467" s="77"/>
      <c r="U1467" s="83"/>
      <c r="V1467" s="83"/>
      <c r="W1467" s="78"/>
      <c r="X1467" s="51" t="str">
        <f>IF(A1467="", "", IF(COUNTIFS(C$3:C1466, C1467, D$3:D1466, D1467, G$3:G1466, G1467) &gt; 0, "", "11:00"-AW1467))</f>
        <v/>
      </c>
      <c r="Y1467" s="79"/>
      <c r="Z1467" s="80"/>
      <c r="AA1467" s="81"/>
      <c r="AB1467" s="81"/>
      <c r="AC1467" s="81"/>
      <c r="AD1467" s="81"/>
      <c r="AE1467" s="81"/>
      <c r="AF1467" s="81"/>
      <c r="AG1467" s="81"/>
      <c r="AH1467" s="82"/>
      <c r="AI1467" s="81"/>
      <c r="AJ1467" s="81"/>
      <c r="AK1467" s="81"/>
      <c r="AL1467" s="81"/>
      <c r="AM1467" s="81"/>
      <c r="AN1467" s="81"/>
      <c r="AO1467" s="81"/>
      <c r="AP1467" s="81"/>
      <c r="AQ1467" s="81"/>
      <c r="AR1467" s="81"/>
      <c r="AS1467" s="81"/>
      <c r="AT1467" s="81"/>
      <c r="AU1467" s="53">
        <v>4.1666666666666699E-2</v>
      </c>
      <c r="AV1467" s="54" t="s">
        <v>37</v>
      </c>
      <c r="AW1467" s="57">
        <f t="shared" si="193"/>
        <v>4.1666666666666699E-2</v>
      </c>
      <c r="AX1467" s="58" t="s">
        <v>380</v>
      </c>
    </row>
    <row r="1468" spans="1:50" ht="28.5" customHeight="1">
      <c r="A1468" s="66" t="s">
        <v>1245</v>
      </c>
      <c r="B1468" s="39">
        <f t="shared" si="192"/>
        <v>1464</v>
      </c>
      <c r="C1468" s="40">
        <v>46053</v>
      </c>
      <c r="D1468" s="40" t="s">
        <v>32</v>
      </c>
      <c r="E1468" s="40" t="s">
        <v>81</v>
      </c>
      <c r="F1468" s="41">
        <v>732.8</v>
      </c>
      <c r="G1468" s="42" t="s">
        <v>192</v>
      </c>
      <c r="H1468" s="43" t="str">
        <f>IFERROR(VLOOKUP($J1468,'[9]FROM (3)'!$E$4:$F$230,2,FALSE),"")</f>
        <v>JATH</v>
      </c>
      <c r="I1468" s="44" t="str">
        <f t="shared" si="191"/>
        <v>JGF02-002060-31-3</v>
      </c>
      <c r="J1468" s="44" t="str">
        <f t="shared" si="194"/>
        <v>RACK BAR BLANK (JGF02-002060-31-3) 58*D</v>
      </c>
      <c r="K1468" s="59" t="str">
        <f t="shared" si="190"/>
        <v>PD25120620</v>
      </c>
      <c r="L1468" s="46" t="str" cm="1">
        <f t="array" ref="L1468">IFERROR(_xlfn.IFS(
    LEN($A1468)-LEN(SUBSTITUTE($A1468,"|",""))=12, RIGHT(A1468, LEN(A1468)-FIND("~", SUBSTITUTE(A1468,"|","~", LEN(A1468)-LEN(SUBSTITUTE(A1468,"|",""))))),
    LEN($A1468)-LEN(SUBSTITUTE($A1468,"|",""))=13, MID($A1468, FIND("~", SUBSTITUTE($A1468,"|","~", 11))+1, FIND("~", SUBSTITUTE($A1468,"|","~", 12))-FIND("~", SUBSTITUTE($A1468,"|","~", 11))-1),
    LEN($A1468)-LEN(SUBSTITUTE($A1468,"|",""))=14, MID($A1468, FIND("~", SUBSTITUTE($A1468,"|","~", 11))+1, FIND("~", SUBSTITUTE($A1468,"|","~", 12))-FIND("~", SUBSTITUTE($A1468,"|","~", 11))-1)
), "")</f>
        <v>5B0230</v>
      </c>
      <c r="M1468" s="72" t="str">
        <f t="shared" si="189"/>
        <v>TSK2</v>
      </c>
      <c r="N1468" s="46" t="str">
        <f t="shared" si="175"/>
        <v>FB010164/1/26</v>
      </c>
      <c r="O1468" s="76">
        <v>12</v>
      </c>
      <c r="P1468" s="76">
        <v>56</v>
      </c>
      <c r="Q1468" s="77">
        <v>12</v>
      </c>
      <c r="R1468" s="77">
        <v>56</v>
      </c>
      <c r="S1468" s="77"/>
      <c r="T1468" s="77"/>
      <c r="U1468" s="83"/>
      <c r="V1468" s="83"/>
      <c r="W1468" s="78"/>
      <c r="X1468" s="51" t="str">
        <f>IF(A1468="", "", IF(COUNTIFS(C$3:C1467, C1468, D$3:D1467, D1468, G$3:G1467, G1468) &gt; 0, "", "11:00"-AW1468))</f>
        <v/>
      </c>
      <c r="Y1468" s="79"/>
      <c r="Z1468" s="80"/>
      <c r="AA1468" s="81"/>
      <c r="AB1468" s="81"/>
      <c r="AC1468" s="81"/>
      <c r="AD1468" s="81"/>
      <c r="AE1468" s="81"/>
      <c r="AF1468" s="81"/>
      <c r="AG1468" s="81"/>
      <c r="AH1468" s="82"/>
      <c r="AI1468" s="81"/>
      <c r="AJ1468" s="81"/>
      <c r="AK1468" s="81"/>
      <c r="AL1468" s="81"/>
      <c r="AM1468" s="81"/>
      <c r="AN1468" s="81"/>
      <c r="AO1468" s="81"/>
      <c r="AP1468" s="81"/>
      <c r="AQ1468" s="81"/>
      <c r="AR1468" s="81"/>
      <c r="AS1468" s="81"/>
      <c r="AT1468" s="81"/>
      <c r="AU1468" s="53">
        <v>4.1666666666666699E-2</v>
      </c>
      <c r="AV1468" s="54" t="s">
        <v>37</v>
      </c>
      <c r="AW1468" s="57">
        <f t="shared" si="193"/>
        <v>4.1666666666666699E-2</v>
      </c>
      <c r="AX1468" s="58" t="s">
        <v>380</v>
      </c>
    </row>
    <row r="1469" spans="1:50" ht="28.5" customHeight="1">
      <c r="A1469" s="66" t="s">
        <v>1246</v>
      </c>
      <c r="B1469" s="39">
        <f t="shared" si="192"/>
        <v>1465</v>
      </c>
      <c r="C1469" s="40">
        <v>46053</v>
      </c>
      <c r="D1469" s="40" t="s">
        <v>32</v>
      </c>
      <c r="E1469" s="40" t="s">
        <v>81</v>
      </c>
      <c r="F1469" s="41">
        <v>732.8</v>
      </c>
      <c r="G1469" s="42" t="s">
        <v>192</v>
      </c>
      <c r="H1469" s="43" t="str">
        <f>IFERROR(VLOOKUP($J1469,'[9]FROM (3)'!$E$4:$F$230,2,FALSE),"")</f>
        <v>JATH</v>
      </c>
      <c r="I1469" s="44" t="str">
        <f t="shared" si="191"/>
        <v>JGF02-002060-31-3</v>
      </c>
      <c r="J1469" s="44" t="str">
        <f t="shared" si="194"/>
        <v>RACK BAR BLANK (JGF02-002060-31-3) 58*D</v>
      </c>
      <c r="K1469" s="59" t="str">
        <f t="shared" si="190"/>
        <v>PD25120620</v>
      </c>
      <c r="L1469" s="46" t="str" cm="1">
        <f t="array" ref="L1469">IFERROR(_xlfn.IFS(
    LEN($A1469)-LEN(SUBSTITUTE($A1469,"|",""))=12, RIGHT(A1469, LEN(A1469)-FIND("~", SUBSTITUTE(A1469,"|","~", LEN(A1469)-LEN(SUBSTITUTE(A1469,"|",""))))),
    LEN($A1469)-LEN(SUBSTITUTE($A1469,"|",""))=13, MID($A1469, FIND("~", SUBSTITUTE($A1469,"|","~", 11))+1, FIND("~", SUBSTITUTE($A1469,"|","~", 12))-FIND("~", SUBSTITUTE($A1469,"|","~", 11))-1),
    LEN($A1469)-LEN(SUBSTITUTE($A1469,"|",""))=14, MID($A1469, FIND("~", SUBSTITUTE($A1469,"|","~", 11))+1, FIND("~", SUBSTITUTE($A1469,"|","~", 12))-FIND("~", SUBSTITUTE($A1469,"|","~", 11))-1)
), "")</f>
        <v>5B0230</v>
      </c>
      <c r="M1469" s="72" t="str">
        <f t="shared" si="189"/>
        <v>TSK2</v>
      </c>
      <c r="N1469" s="46" t="str">
        <f t="shared" si="175"/>
        <v>FB010164/3/26</v>
      </c>
      <c r="O1469" s="76">
        <v>58</v>
      </c>
      <c r="P1469" s="76">
        <v>271</v>
      </c>
      <c r="Q1469" s="77">
        <v>58</v>
      </c>
      <c r="R1469" s="77">
        <v>271</v>
      </c>
      <c r="S1469" s="77"/>
      <c r="T1469" s="77"/>
      <c r="U1469" s="83"/>
      <c r="V1469" s="83"/>
      <c r="W1469" s="78"/>
      <c r="X1469" s="51" t="str">
        <f>IF(A1469="", "", IF(COUNTIFS(C$3:C1468, C1469, D$3:D1468, D1469, G$3:G1468, G1469) &gt; 0, "", "11:00"-AW1469))</f>
        <v/>
      </c>
      <c r="Y1469" s="79"/>
      <c r="Z1469" s="80"/>
      <c r="AA1469" s="81"/>
      <c r="AB1469" s="81"/>
      <c r="AC1469" s="81"/>
      <c r="AD1469" s="81"/>
      <c r="AE1469" s="81"/>
      <c r="AF1469" s="81"/>
      <c r="AG1469" s="81"/>
      <c r="AH1469" s="82"/>
      <c r="AI1469" s="81"/>
      <c r="AJ1469" s="81"/>
      <c r="AK1469" s="81"/>
      <c r="AL1469" s="81"/>
      <c r="AM1469" s="81"/>
      <c r="AN1469" s="81"/>
      <c r="AO1469" s="81"/>
      <c r="AP1469" s="81"/>
      <c r="AQ1469" s="81"/>
      <c r="AR1469" s="81"/>
      <c r="AS1469" s="81"/>
      <c r="AT1469" s="81"/>
      <c r="AU1469" s="53">
        <v>4.1666666666666699E-2</v>
      </c>
      <c r="AV1469" s="54" t="s">
        <v>37</v>
      </c>
      <c r="AW1469" s="57">
        <f t="shared" si="193"/>
        <v>4.1666666666666699E-2</v>
      </c>
      <c r="AX1469" s="58" t="s">
        <v>380</v>
      </c>
    </row>
    <row r="1470" spans="1:50" ht="28.5" customHeight="1">
      <c r="A1470" s="66" t="s">
        <v>1247</v>
      </c>
      <c r="B1470" s="39">
        <f t="shared" si="192"/>
        <v>1466</v>
      </c>
      <c r="C1470" s="40">
        <v>46053</v>
      </c>
      <c r="D1470" s="40" t="s">
        <v>32</v>
      </c>
      <c r="E1470" s="40" t="s">
        <v>81</v>
      </c>
      <c r="F1470" s="41">
        <v>732.8</v>
      </c>
      <c r="G1470" s="42" t="s">
        <v>192</v>
      </c>
      <c r="H1470" s="43" t="str">
        <f>IFERROR(VLOOKUP($J1470,'[9]FROM (3)'!$E$4:$F$230,2,FALSE),"")</f>
        <v>JATH</v>
      </c>
      <c r="I1470" s="44" t="str">
        <f t="shared" si="191"/>
        <v>JGF02-002060-31-3</v>
      </c>
      <c r="J1470" s="44" t="str">
        <f t="shared" si="194"/>
        <v>RACK BAR BLANK (JGF02-002060-31-3) 58*D</v>
      </c>
      <c r="K1470" s="59" t="str">
        <f t="shared" si="190"/>
        <v>PD25120620</v>
      </c>
      <c r="L1470" s="46" t="str" cm="1">
        <f t="array" ref="L1470">IFERROR(_xlfn.IFS(
    LEN($A1470)-LEN(SUBSTITUTE($A1470,"|",""))=12, RIGHT(A1470, LEN(A1470)-FIND("~", SUBSTITUTE(A1470,"|","~", LEN(A1470)-LEN(SUBSTITUTE(A1470,"|",""))))),
    LEN($A1470)-LEN(SUBSTITUTE($A1470,"|",""))=13, MID($A1470, FIND("~", SUBSTITUTE($A1470,"|","~", 11))+1, FIND("~", SUBSTITUTE($A1470,"|","~", 12))-FIND("~", SUBSTITUTE($A1470,"|","~", 11))-1),
    LEN($A1470)-LEN(SUBSTITUTE($A1470,"|",""))=14, MID($A1470, FIND("~", SUBSTITUTE($A1470,"|","~", 11))+1, FIND("~", SUBSTITUTE($A1470,"|","~", 12))-FIND("~", SUBSTITUTE($A1470,"|","~", 11))-1)
), "")</f>
        <v>5B0230</v>
      </c>
      <c r="M1470" s="72" t="str">
        <f t="shared" si="189"/>
        <v>TSK2</v>
      </c>
      <c r="N1470" s="46" t="str">
        <f t="shared" si="175"/>
        <v>FB010164/2/26</v>
      </c>
      <c r="O1470" s="76">
        <v>58</v>
      </c>
      <c r="P1470" s="76">
        <v>271</v>
      </c>
      <c r="Q1470" s="77">
        <v>58</v>
      </c>
      <c r="R1470" s="77">
        <v>271</v>
      </c>
      <c r="S1470" s="77"/>
      <c r="T1470" s="77"/>
      <c r="U1470" s="83"/>
      <c r="V1470" s="83"/>
      <c r="W1470" s="78"/>
      <c r="X1470" s="51" t="str">
        <f>IF(A1470="", "", IF(COUNTIFS(C$3:C1469, C1470, D$3:D1469, D1470, G$3:G1469, G1470) &gt; 0, "", "11:00"-AW1470))</f>
        <v/>
      </c>
      <c r="Y1470" s="79"/>
      <c r="Z1470" s="80"/>
      <c r="AA1470" s="81"/>
      <c r="AB1470" s="81"/>
      <c r="AC1470" s="81"/>
      <c r="AD1470" s="81"/>
      <c r="AE1470" s="81"/>
      <c r="AF1470" s="81"/>
      <c r="AG1470" s="81"/>
      <c r="AH1470" s="82"/>
      <c r="AI1470" s="81"/>
      <c r="AJ1470" s="81"/>
      <c r="AK1470" s="81"/>
      <c r="AL1470" s="81"/>
      <c r="AM1470" s="81"/>
      <c r="AN1470" s="81"/>
      <c r="AO1470" s="81"/>
      <c r="AP1470" s="81"/>
      <c r="AQ1470" s="81"/>
      <c r="AR1470" s="81"/>
      <c r="AS1470" s="81"/>
      <c r="AT1470" s="81"/>
      <c r="AU1470" s="53">
        <v>4.1666666666666699E-2</v>
      </c>
      <c r="AV1470" s="54" t="s">
        <v>37</v>
      </c>
      <c r="AW1470" s="57">
        <f t="shared" si="193"/>
        <v>4.1666666666666699E-2</v>
      </c>
      <c r="AX1470" s="58" t="s">
        <v>380</v>
      </c>
    </row>
    <row r="1471" spans="1:50" ht="28.5" customHeight="1">
      <c r="A1471" s="66"/>
      <c r="B1471" s="39" t="str">
        <f t="shared" si="192"/>
        <v/>
      </c>
      <c r="C1471" s="40"/>
      <c r="D1471" s="40"/>
      <c r="E1471" s="40"/>
      <c r="F1471" s="41"/>
      <c r="G1471" s="42"/>
      <c r="H1471" s="43" t="str">
        <f>IFERROR(VLOOKUP($J1471,'[9]FROM (3)'!$E$4:$F$230,2,FALSE),"")</f>
        <v/>
      </c>
      <c r="I1471" s="44" t="str">
        <f t="shared" si="191"/>
        <v/>
      </c>
      <c r="J1471" s="44" t="str">
        <f t="shared" si="194"/>
        <v/>
      </c>
      <c r="K1471" s="59" t="str">
        <f t="shared" si="190"/>
        <v/>
      </c>
      <c r="L1471" s="46" t="str" cm="1">
        <f t="array" ref="L1471">IFERROR(_xlfn.IFS(
    LEN($A1471)-LEN(SUBSTITUTE($A1471,"|",""))=12, RIGHT(A1471, LEN(A1471)-FIND("~", SUBSTITUTE(A1471,"|","~", LEN(A1471)-LEN(SUBSTITUTE(A1471,"|",""))))),
    LEN($A1471)-LEN(SUBSTITUTE($A1471,"|",""))=13, MID($A1471, FIND("~", SUBSTITUTE($A1471,"|","~", 11))+1, FIND("~", SUBSTITUTE($A1471,"|","~", 12))-FIND("~", SUBSTITUTE($A1471,"|","~", 11))-1),
    LEN($A1471)-LEN(SUBSTITUTE($A1471,"|",""))=14, MID($A1471, FIND("~", SUBSTITUTE($A1471,"|","~", 11))+1, FIND("~", SUBSTITUTE($A1471,"|","~", 12))-FIND("~", SUBSTITUTE($A1471,"|","~", 11))-1)
), "")</f>
        <v/>
      </c>
      <c r="M1471" s="72" t="str">
        <f t="shared" si="189"/>
        <v/>
      </c>
      <c r="N1471" s="46" t="str">
        <f t="shared" si="175"/>
        <v/>
      </c>
      <c r="O1471" s="76"/>
      <c r="P1471" s="76"/>
      <c r="Q1471" s="77"/>
      <c r="R1471" s="77"/>
      <c r="S1471" s="77"/>
      <c r="T1471" s="77"/>
      <c r="U1471" s="83"/>
      <c r="V1471" s="83"/>
      <c r="W1471" s="78"/>
      <c r="X1471" s="51" t="str">
        <f>IF(A1471="", "", IF(COUNTIFS(C$3:C1470, C1471, D$3:D1470, D1471, G$3:G1470, G1471) &gt; 0, "", "11:00"-AW1471))</f>
        <v/>
      </c>
      <c r="Y1471" s="79"/>
      <c r="Z1471" s="80"/>
      <c r="AA1471" s="81"/>
      <c r="AB1471" s="81"/>
      <c r="AC1471" s="81"/>
      <c r="AD1471" s="81"/>
      <c r="AE1471" s="81"/>
      <c r="AF1471" s="81"/>
      <c r="AG1471" s="81"/>
      <c r="AH1471" s="82"/>
      <c r="AI1471" s="81"/>
      <c r="AJ1471" s="81"/>
      <c r="AK1471" s="81"/>
      <c r="AL1471" s="81"/>
      <c r="AM1471" s="81"/>
      <c r="AN1471" s="81"/>
      <c r="AO1471" s="81"/>
      <c r="AP1471" s="81"/>
      <c r="AQ1471" s="81"/>
      <c r="AR1471" s="81"/>
      <c r="AS1471" s="81"/>
      <c r="AT1471" s="81"/>
      <c r="AU1471" s="53">
        <v>4.1666666666666699E-2</v>
      </c>
      <c r="AV1471" s="54" t="s">
        <v>37</v>
      </c>
      <c r="AW1471" s="57">
        <f t="shared" si="193"/>
        <v>4.1666666666666699E-2</v>
      </c>
      <c r="AX1471" s="58"/>
    </row>
    <row r="1472" spans="1:50" ht="28.5" customHeight="1">
      <c r="A1472" s="66"/>
      <c r="B1472" s="39" t="str">
        <f t="shared" si="192"/>
        <v/>
      </c>
      <c r="C1472" s="40"/>
      <c r="D1472" s="40"/>
      <c r="E1472" s="40"/>
      <c r="F1472" s="41"/>
      <c r="G1472" s="42"/>
      <c r="H1472" s="43" t="str">
        <f>IFERROR(VLOOKUP($J1472,'[9]FROM (3)'!$E$4:$F$230,2,FALSE),"")</f>
        <v/>
      </c>
      <c r="I1472" s="44" t="str">
        <f t="shared" si="191"/>
        <v/>
      </c>
      <c r="J1472" s="44" t="str">
        <f t="shared" si="194"/>
        <v/>
      </c>
      <c r="K1472" s="59" t="str">
        <f t="shared" si="190"/>
        <v/>
      </c>
      <c r="L1472" s="46" t="str" cm="1">
        <f t="array" ref="L1472">IFERROR(_xlfn.IFS(
    LEN($A1472)-LEN(SUBSTITUTE($A1472,"|",""))=12, RIGHT(A1472, LEN(A1472)-FIND("~", SUBSTITUTE(A1472,"|","~", LEN(A1472)-LEN(SUBSTITUTE(A1472,"|",""))))),
    LEN($A1472)-LEN(SUBSTITUTE($A1472,"|",""))=13, MID($A1472, FIND("~", SUBSTITUTE($A1472,"|","~", 11))+1, FIND("~", SUBSTITUTE($A1472,"|","~", 12))-FIND("~", SUBSTITUTE($A1472,"|","~", 11))-1),
    LEN($A1472)-LEN(SUBSTITUTE($A1472,"|",""))=14, MID($A1472, FIND("~", SUBSTITUTE($A1472,"|","~", 11))+1, FIND("~", SUBSTITUTE($A1472,"|","~", 12))-FIND("~", SUBSTITUTE($A1472,"|","~", 11))-1)
), "")</f>
        <v/>
      </c>
      <c r="M1472" s="72" t="str">
        <f t="shared" si="189"/>
        <v/>
      </c>
      <c r="N1472" s="46" t="str">
        <f t="shared" si="175"/>
        <v/>
      </c>
      <c r="O1472" s="76"/>
      <c r="P1472" s="76"/>
      <c r="Q1472" s="77"/>
      <c r="R1472" s="77"/>
      <c r="S1472" s="77"/>
      <c r="T1472" s="77"/>
      <c r="U1472" s="83"/>
      <c r="V1472" s="83"/>
      <c r="W1472" s="78"/>
      <c r="X1472" s="51" t="str">
        <f>IF(A1472="", "", IF(COUNTIFS(C$3:C1471, C1472, D$3:D1471, D1472, G$3:G1471, G1472) &gt; 0, "", "11:00"-AW1472))</f>
        <v/>
      </c>
      <c r="Y1472" s="79"/>
      <c r="Z1472" s="80"/>
      <c r="AA1472" s="81"/>
      <c r="AB1472" s="81"/>
      <c r="AC1472" s="81"/>
      <c r="AD1472" s="81"/>
      <c r="AE1472" s="81"/>
      <c r="AF1472" s="81"/>
      <c r="AG1472" s="81"/>
      <c r="AH1472" s="82"/>
      <c r="AI1472" s="81"/>
      <c r="AJ1472" s="81"/>
      <c r="AK1472" s="81"/>
      <c r="AL1472" s="81"/>
      <c r="AM1472" s="81"/>
      <c r="AN1472" s="81"/>
      <c r="AO1472" s="81"/>
      <c r="AP1472" s="81"/>
      <c r="AQ1472" s="81"/>
      <c r="AR1472" s="81"/>
      <c r="AS1472" s="81"/>
      <c r="AT1472" s="81"/>
      <c r="AU1472" s="53">
        <v>4.1666666666666699E-2</v>
      </c>
      <c r="AV1472" s="54" t="s">
        <v>37</v>
      </c>
      <c r="AW1472" s="57">
        <f t="shared" si="193"/>
        <v>4.1666666666666699E-2</v>
      </c>
      <c r="AX1472" s="58"/>
    </row>
    <row r="1473" spans="1:50" ht="28.5" customHeight="1">
      <c r="A1473" s="66"/>
      <c r="B1473" s="39" t="str">
        <f t="shared" si="192"/>
        <v/>
      </c>
      <c r="C1473" s="40"/>
      <c r="D1473" s="40"/>
      <c r="E1473" s="40"/>
      <c r="F1473" s="41"/>
      <c r="G1473" s="42"/>
      <c r="H1473" s="43" t="str">
        <f>IFERROR(VLOOKUP($J1473,'[9]FROM (3)'!$E$4:$F$230,2,FALSE),"")</f>
        <v/>
      </c>
      <c r="I1473" s="44" t="str">
        <f t="shared" si="191"/>
        <v/>
      </c>
      <c r="J1473" s="44" t="str">
        <f t="shared" si="194"/>
        <v/>
      </c>
      <c r="K1473" s="59" t="str">
        <f t="shared" si="190"/>
        <v/>
      </c>
      <c r="L1473" s="46" t="str" cm="1">
        <f t="array" ref="L1473">IFERROR(_xlfn.IFS(
    LEN($A1473)-LEN(SUBSTITUTE($A1473,"|",""))=12, RIGHT(A1473, LEN(A1473)-FIND("~", SUBSTITUTE(A1473,"|","~", LEN(A1473)-LEN(SUBSTITUTE(A1473,"|",""))))),
    LEN($A1473)-LEN(SUBSTITUTE($A1473,"|",""))=13, MID($A1473, FIND("~", SUBSTITUTE($A1473,"|","~", 11))+1, FIND("~", SUBSTITUTE($A1473,"|","~", 12))-FIND("~", SUBSTITUTE($A1473,"|","~", 11))-1),
    LEN($A1473)-LEN(SUBSTITUTE($A1473,"|",""))=14, MID($A1473, FIND("~", SUBSTITUTE($A1473,"|","~", 11))+1, FIND("~", SUBSTITUTE($A1473,"|","~", 12))-FIND("~", SUBSTITUTE($A1473,"|","~", 11))-1)
), "")</f>
        <v/>
      </c>
      <c r="M1473" s="72" t="str">
        <f t="shared" si="189"/>
        <v/>
      </c>
      <c r="N1473" s="46" t="str">
        <f t="shared" si="175"/>
        <v/>
      </c>
      <c r="O1473" s="76"/>
      <c r="P1473" s="76"/>
      <c r="Q1473" s="77"/>
      <c r="R1473" s="77"/>
      <c r="S1473" s="77"/>
      <c r="T1473" s="77"/>
      <c r="U1473" s="83"/>
      <c r="V1473" s="83"/>
      <c r="W1473" s="78"/>
      <c r="X1473" s="51" t="str">
        <f>IF(A1473="", "", IF(COUNTIFS(C$3:C1472, C1473, D$3:D1472, D1473, G$3:G1472, G1473) &gt; 0, "", "11:00"-AW1473))</f>
        <v/>
      </c>
      <c r="Y1473" s="79"/>
      <c r="Z1473" s="80"/>
      <c r="AA1473" s="81"/>
      <c r="AB1473" s="81"/>
      <c r="AC1473" s="81"/>
      <c r="AD1473" s="81"/>
      <c r="AE1473" s="81"/>
      <c r="AF1473" s="81"/>
      <c r="AG1473" s="81"/>
      <c r="AH1473" s="82"/>
      <c r="AI1473" s="81"/>
      <c r="AJ1473" s="81"/>
      <c r="AK1473" s="81"/>
      <c r="AL1473" s="81"/>
      <c r="AM1473" s="81"/>
      <c r="AN1473" s="81"/>
      <c r="AO1473" s="81"/>
      <c r="AP1473" s="81"/>
      <c r="AQ1473" s="81"/>
      <c r="AR1473" s="81"/>
      <c r="AS1473" s="81"/>
      <c r="AT1473" s="81"/>
      <c r="AU1473" s="53">
        <v>4.1666666666666699E-2</v>
      </c>
      <c r="AV1473" s="54" t="s">
        <v>37</v>
      </c>
      <c r="AW1473" s="57">
        <f t="shared" si="193"/>
        <v>4.1666666666666699E-2</v>
      </c>
      <c r="AX1473" s="58"/>
    </row>
    <row r="1474" spans="1:50" ht="28.5" customHeight="1">
      <c r="A1474" s="66"/>
      <c r="B1474" s="39" t="str">
        <f t="shared" si="192"/>
        <v/>
      </c>
      <c r="C1474" s="40"/>
      <c r="D1474" s="40"/>
      <c r="E1474" s="40"/>
      <c r="F1474" s="41"/>
      <c r="G1474" s="42"/>
      <c r="H1474" s="43" t="str">
        <f>IFERROR(VLOOKUP($J1474,'[9]FROM (3)'!$E$4:$F$230,2,FALSE),"")</f>
        <v/>
      </c>
      <c r="I1474" s="44" t="str">
        <f t="shared" si="191"/>
        <v/>
      </c>
      <c r="J1474" s="44" t="str">
        <f t="shared" si="194"/>
        <v/>
      </c>
      <c r="K1474" s="59" t="str">
        <f t="shared" si="190"/>
        <v/>
      </c>
      <c r="L1474" s="46" t="str" cm="1">
        <f t="array" ref="L1474">IFERROR(_xlfn.IFS(
    LEN($A1474)-LEN(SUBSTITUTE($A1474,"|",""))=12, RIGHT(A1474, LEN(A1474)-FIND("~", SUBSTITUTE(A1474,"|","~", LEN(A1474)-LEN(SUBSTITUTE(A1474,"|",""))))),
    LEN($A1474)-LEN(SUBSTITUTE($A1474,"|",""))=13, MID($A1474, FIND("~", SUBSTITUTE($A1474,"|","~", 11))+1, FIND("~", SUBSTITUTE($A1474,"|","~", 12))-FIND("~", SUBSTITUTE($A1474,"|","~", 11))-1),
    LEN($A1474)-LEN(SUBSTITUTE($A1474,"|",""))=14, MID($A1474, FIND("~", SUBSTITUTE($A1474,"|","~", 11))+1, FIND("~", SUBSTITUTE($A1474,"|","~", 12))-FIND("~", SUBSTITUTE($A1474,"|","~", 11))-1)
), "")</f>
        <v/>
      </c>
      <c r="M1474" s="72" t="str">
        <f t="shared" si="189"/>
        <v/>
      </c>
      <c r="N1474" s="46" t="str">
        <f t="shared" si="175"/>
        <v/>
      </c>
      <c r="O1474" s="76"/>
      <c r="P1474" s="76"/>
      <c r="Q1474" s="77"/>
      <c r="R1474" s="77"/>
      <c r="S1474" s="77"/>
      <c r="T1474" s="77"/>
      <c r="U1474" s="83"/>
      <c r="V1474" s="83"/>
      <c r="W1474" s="78"/>
      <c r="X1474" s="51" t="str">
        <f>IF(A1474="", "", IF(COUNTIFS(C$3:C1473, C1474, D$3:D1473, D1474, G$3:G1473, G1474) &gt; 0, "", "11:00"-AW1474))</f>
        <v/>
      </c>
      <c r="Y1474" s="79"/>
      <c r="Z1474" s="80"/>
      <c r="AA1474" s="81"/>
      <c r="AB1474" s="81"/>
      <c r="AC1474" s="81"/>
      <c r="AD1474" s="81"/>
      <c r="AE1474" s="81"/>
      <c r="AF1474" s="81"/>
      <c r="AG1474" s="81"/>
      <c r="AH1474" s="82"/>
      <c r="AI1474" s="81"/>
      <c r="AJ1474" s="81"/>
      <c r="AK1474" s="81"/>
      <c r="AL1474" s="81"/>
      <c r="AM1474" s="81"/>
      <c r="AN1474" s="81"/>
      <c r="AO1474" s="81"/>
      <c r="AP1474" s="81"/>
      <c r="AQ1474" s="81"/>
      <c r="AR1474" s="81"/>
      <c r="AS1474" s="81"/>
      <c r="AT1474" s="81"/>
      <c r="AU1474" s="53">
        <v>4.1666666666666699E-2</v>
      </c>
      <c r="AV1474" s="54" t="s">
        <v>37</v>
      </c>
      <c r="AW1474" s="57">
        <f t="shared" si="193"/>
        <v>4.1666666666666699E-2</v>
      </c>
      <c r="AX1474" s="58"/>
    </row>
    <row r="1475" spans="1:50" ht="28.5" customHeight="1">
      <c r="A1475" s="66"/>
      <c r="B1475" s="39" t="str">
        <f t="shared" si="192"/>
        <v/>
      </c>
      <c r="C1475" s="40"/>
      <c r="D1475" s="40"/>
      <c r="E1475" s="40"/>
      <c r="F1475" s="41"/>
      <c r="G1475" s="42"/>
      <c r="H1475" s="43" t="str">
        <f>IFERROR(VLOOKUP($J1475,'[9]FROM (3)'!$E$4:$F$230,2,FALSE),"")</f>
        <v/>
      </c>
      <c r="I1475" s="44" t="str">
        <f t="shared" si="191"/>
        <v/>
      </c>
      <c r="J1475" s="44" t="str">
        <f t="shared" si="194"/>
        <v/>
      </c>
      <c r="K1475" s="59" t="str">
        <f t="shared" si="190"/>
        <v/>
      </c>
      <c r="L1475" s="46" t="str" cm="1">
        <f t="array" ref="L1475">IFERROR(_xlfn.IFS(
    LEN($A1475)-LEN(SUBSTITUTE($A1475,"|",""))=12, RIGHT(A1475, LEN(A1475)-FIND("~", SUBSTITUTE(A1475,"|","~", LEN(A1475)-LEN(SUBSTITUTE(A1475,"|",""))))),
    LEN($A1475)-LEN(SUBSTITUTE($A1475,"|",""))=13, MID($A1475, FIND("~", SUBSTITUTE($A1475,"|","~", 11))+1, FIND("~", SUBSTITUTE($A1475,"|","~", 12))-FIND("~", SUBSTITUTE($A1475,"|","~", 11))-1),
    LEN($A1475)-LEN(SUBSTITUTE($A1475,"|",""))=14, MID($A1475, FIND("~", SUBSTITUTE($A1475,"|","~", 11))+1, FIND("~", SUBSTITUTE($A1475,"|","~", 12))-FIND("~", SUBSTITUTE($A1475,"|","~", 11))-1)
), "")</f>
        <v/>
      </c>
      <c r="M1475" s="72" t="str">
        <f t="shared" si="189"/>
        <v/>
      </c>
      <c r="N1475" s="46" t="str">
        <f t="shared" si="175"/>
        <v/>
      </c>
      <c r="O1475" s="76"/>
      <c r="P1475" s="76"/>
      <c r="Q1475" s="77"/>
      <c r="R1475" s="77"/>
      <c r="S1475" s="77"/>
      <c r="T1475" s="77"/>
      <c r="U1475" s="83"/>
      <c r="V1475" s="83"/>
      <c r="W1475" s="78"/>
      <c r="X1475" s="51" t="str">
        <f>IF(A1475="", "", IF(COUNTIFS(C$3:C1474, C1475, D$3:D1474, D1475, G$3:G1474, G1475) &gt; 0, "", "11:00"-AW1475))</f>
        <v/>
      </c>
      <c r="Y1475" s="79"/>
      <c r="Z1475" s="80"/>
      <c r="AA1475" s="81"/>
      <c r="AB1475" s="81"/>
      <c r="AC1475" s="81"/>
      <c r="AD1475" s="81"/>
      <c r="AE1475" s="81"/>
      <c r="AF1475" s="81"/>
      <c r="AG1475" s="81"/>
      <c r="AH1475" s="82"/>
      <c r="AI1475" s="81"/>
      <c r="AJ1475" s="81"/>
      <c r="AK1475" s="81"/>
      <c r="AL1475" s="81"/>
      <c r="AM1475" s="81"/>
      <c r="AN1475" s="81"/>
      <c r="AO1475" s="81"/>
      <c r="AP1475" s="81"/>
      <c r="AQ1475" s="81"/>
      <c r="AR1475" s="81"/>
      <c r="AS1475" s="81"/>
      <c r="AT1475" s="81"/>
      <c r="AU1475" s="53">
        <v>4.1666666666666699E-2</v>
      </c>
      <c r="AV1475" s="54" t="s">
        <v>37</v>
      </c>
      <c r="AW1475" s="57">
        <f t="shared" si="193"/>
        <v>4.1666666666666699E-2</v>
      </c>
      <c r="AX1475" s="58"/>
    </row>
    <row r="1476" spans="1:50" ht="28.5" customHeight="1">
      <c r="A1476" s="66"/>
      <c r="B1476" s="39" t="str">
        <f t="shared" si="192"/>
        <v/>
      </c>
      <c r="C1476" s="40"/>
      <c r="D1476" s="40"/>
      <c r="E1476" s="40"/>
      <c r="F1476" s="41"/>
      <c r="G1476" s="42"/>
      <c r="H1476" s="43" t="str">
        <f>IFERROR(VLOOKUP($J1476,'[9]FROM (3)'!$E$4:$F$230,2,FALSE),"")</f>
        <v/>
      </c>
      <c r="I1476" s="44" t="str">
        <f t="shared" si="191"/>
        <v/>
      </c>
      <c r="J1476" s="44" t="str">
        <f t="shared" si="194"/>
        <v/>
      </c>
      <c r="K1476" s="59" t="str">
        <f t="shared" si="190"/>
        <v/>
      </c>
      <c r="L1476" s="46" t="str" cm="1">
        <f t="array" ref="L1476">IFERROR(_xlfn.IFS(
    LEN($A1476)-LEN(SUBSTITUTE($A1476,"|",""))=12, RIGHT(A1476, LEN(A1476)-FIND("~", SUBSTITUTE(A1476,"|","~", LEN(A1476)-LEN(SUBSTITUTE(A1476,"|",""))))),
    LEN($A1476)-LEN(SUBSTITUTE($A1476,"|",""))=13, MID($A1476, FIND("~", SUBSTITUTE($A1476,"|","~", 11))+1, FIND("~", SUBSTITUTE($A1476,"|","~", 12))-FIND("~", SUBSTITUTE($A1476,"|","~", 11))-1),
    LEN($A1476)-LEN(SUBSTITUTE($A1476,"|",""))=14, MID($A1476, FIND("~", SUBSTITUTE($A1476,"|","~", 11))+1, FIND("~", SUBSTITUTE($A1476,"|","~", 12))-FIND("~", SUBSTITUTE($A1476,"|","~", 11))-1)
), "")</f>
        <v/>
      </c>
      <c r="M1476" s="72" t="str">
        <f t="shared" ref="M1476:M1539" si="195">IFERROR(MID(A1476,FIND("~",SUBSTITUTE(A1476,"|","~",10))+1,FIND("~",SUBSTITUTE(A1476,"|","~",11))-FIND("~",SUBSTITUTE(A1476,"|","~",10))-1),"")</f>
        <v/>
      </c>
      <c r="N1476" s="46" t="str">
        <f t="shared" si="175"/>
        <v/>
      </c>
      <c r="O1476" s="76"/>
      <c r="P1476" s="76"/>
      <c r="Q1476" s="77"/>
      <c r="R1476" s="77"/>
      <c r="S1476" s="77"/>
      <c r="T1476" s="77"/>
      <c r="U1476" s="83"/>
      <c r="V1476" s="83"/>
      <c r="W1476" s="78"/>
      <c r="X1476" s="51" t="str">
        <f>IF(A1476="", "", IF(COUNTIFS(C$3:C1475, C1476, D$3:D1475, D1476, G$3:G1475, G1476) &gt; 0, "", "11:00"-AW1476))</f>
        <v/>
      </c>
      <c r="Y1476" s="79"/>
      <c r="Z1476" s="80"/>
      <c r="AA1476" s="81"/>
      <c r="AB1476" s="81"/>
      <c r="AC1476" s="81"/>
      <c r="AD1476" s="81"/>
      <c r="AE1476" s="81"/>
      <c r="AF1476" s="81"/>
      <c r="AG1476" s="81"/>
      <c r="AH1476" s="82"/>
      <c r="AI1476" s="81"/>
      <c r="AJ1476" s="81"/>
      <c r="AK1476" s="81"/>
      <c r="AL1476" s="81"/>
      <c r="AM1476" s="81"/>
      <c r="AN1476" s="81"/>
      <c r="AO1476" s="81"/>
      <c r="AP1476" s="81"/>
      <c r="AQ1476" s="81"/>
      <c r="AR1476" s="81"/>
      <c r="AS1476" s="81"/>
      <c r="AT1476" s="81"/>
      <c r="AU1476" s="53">
        <v>4.1666666666666699E-2</v>
      </c>
      <c r="AV1476" s="54" t="s">
        <v>37</v>
      </c>
      <c r="AW1476" s="57">
        <f t="shared" si="193"/>
        <v>4.1666666666666699E-2</v>
      </c>
      <c r="AX1476" s="58"/>
    </row>
    <row r="1477" spans="1:50" ht="28.5" customHeight="1">
      <c r="A1477" s="66"/>
      <c r="B1477" s="39" t="str">
        <f t="shared" si="192"/>
        <v/>
      </c>
      <c r="C1477" s="40"/>
      <c r="D1477" s="40"/>
      <c r="E1477" s="40"/>
      <c r="F1477" s="41"/>
      <c r="G1477" s="42"/>
      <c r="H1477" s="43" t="str">
        <f>IFERROR(VLOOKUP($J1477,'[9]FROM (3)'!$E$4:$F$230,2,FALSE),"")</f>
        <v/>
      </c>
      <c r="I1477" s="44" t="str">
        <f t="shared" si="191"/>
        <v/>
      </c>
      <c r="J1477" s="44" t="str">
        <f t="shared" si="194"/>
        <v/>
      </c>
      <c r="K1477" s="59" t="str">
        <f t="shared" si="190"/>
        <v/>
      </c>
      <c r="L1477" s="46" t="str" cm="1">
        <f t="array" ref="L1477">IFERROR(_xlfn.IFS(
    LEN($A1477)-LEN(SUBSTITUTE($A1477,"|",""))=12, RIGHT(A1477, LEN(A1477)-FIND("~", SUBSTITUTE(A1477,"|","~", LEN(A1477)-LEN(SUBSTITUTE(A1477,"|",""))))),
    LEN($A1477)-LEN(SUBSTITUTE($A1477,"|",""))=13, MID($A1477, FIND("~", SUBSTITUTE($A1477,"|","~", 11))+1, FIND("~", SUBSTITUTE($A1477,"|","~", 12))-FIND("~", SUBSTITUTE($A1477,"|","~", 11))-1),
    LEN($A1477)-LEN(SUBSTITUTE($A1477,"|",""))=14, MID($A1477, FIND("~", SUBSTITUTE($A1477,"|","~", 11))+1, FIND("~", SUBSTITUTE($A1477,"|","~", 12))-FIND("~", SUBSTITUTE($A1477,"|","~", 11))-1)
), "")</f>
        <v/>
      </c>
      <c r="M1477" s="72" t="str">
        <f t="shared" si="195"/>
        <v/>
      </c>
      <c r="N1477" s="46" t="str">
        <f t="shared" si="175"/>
        <v/>
      </c>
      <c r="O1477" s="76"/>
      <c r="P1477" s="76"/>
      <c r="Q1477" s="77"/>
      <c r="R1477" s="77"/>
      <c r="S1477" s="77"/>
      <c r="T1477" s="77"/>
      <c r="U1477" s="83"/>
      <c r="V1477" s="83"/>
      <c r="W1477" s="78"/>
      <c r="X1477" s="51" t="str">
        <f>IF(A1477="", "", IF(COUNTIFS(C$3:C1476, C1477, D$3:D1476, D1477, G$3:G1476, G1477) &gt; 0, "", "11:00"-AW1477))</f>
        <v/>
      </c>
      <c r="Y1477" s="79"/>
      <c r="Z1477" s="80"/>
      <c r="AA1477" s="81"/>
      <c r="AB1477" s="81"/>
      <c r="AC1477" s="81"/>
      <c r="AD1477" s="81"/>
      <c r="AE1477" s="81"/>
      <c r="AF1477" s="81"/>
      <c r="AG1477" s="81"/>
      <c r="AH1477" s="82"/>
      <c r="AI1477" s="81"/>
      <c r="AJ1477" s="81"/>
      <c r="AK1477" s="81"/>
      <c r="AL1477" s="81"/>
      <c r="AM1477" s="81"/>
      <c r="AN1477" s="81"/>
      <c r="AO1477" s="81"/>
      <c r="AP1477" s="81"/>
      <c r="AQ1477" s="81"/>
      <c r="AR1477" s="81"/>
      <c r="AS1477" s="81"/>
      <c r="AT1477" s="81"/>
      <c r="AU1477" s="53">
        <v>4.1666666666666699E-2</v>
      </c>
      <c r="AV1477" s="54" t="s">
        <v>37</v>
      </c>
      <c r="AW1477" s="57">
        <f t="shared" si="193"/>
        <v>4.1666666666666699E-2</v>
      </c>
      <c r="AX1477" s="58"/>
    </row>
    <row r="1478" spans="1:50" ht="28.5" customHeight="1">
      <c r="A1478" s="66"/>
      <c r="B1478" s="39" t="str">
        <f t="shared" si="192"/>
        <v/>
      </c>
      <c r="C1478" s="40"/>
      <c r="D1478" s="40"/>
      <c r="E1478" s="40"/>
      <c r="F1478" s="41"/>
      <c r="G1478" s="42"/>
      <c r="H1478" s="43" t="str">
        <f>IFERROR(VLOOKUP($J1478,'[9]FROM (3)'!$E$4:$F$230,2,FALSE),"")</f>
        <v/>
      </c>
      <c r="I1478" s="44" t="str">
        <f t="shared" si="191"/>
        <v/>
      </c>
      <c r="J1478" s="44" t="str">
        <f t="shared" si="194"/>
        <v/>
      </c>
      <c r="K1478" s="59" t="str">
        <f t="shared" ref="K1478:K1541" si="196">IFERROR(LEFT(A1478,SEARCH("|",A1478)-1),"")</f>
        <v/>
      </c>
      <c r="L1478" s="46" t="str" cm="1">
        <f t="array" ref="L1478">IFERROR(_xlfn.IFS(
    LEN($A1478)-LEN(SUBSTITUTE($A1478,"|",""))=12, RIGHT(A1478, LEN(A1478)-FIND("~", SUBSTITUTE(A1478,"|","~", LEN(A1478)-LEN(SUBSTITUTE(A1478,"|",""))))),
    LEN($A1478)-LEN(SUBSTITUTE($A1478,"|",""))=13, MID($A1478, FIND("~", SUBSTITUTE($A1478,"|","~", 11))+1, FIND("~", SUBSTITUTE($A1478,"|","~", 12))-FIND("~", SUBSTITUTE($A1478,"|","~", 11))-1),
    LEN($A1478)-LEN(SUBSTITUTE($A1478,"|",""))=14, MID($A1478, FIND("~", SUBSTITUTE($A1478,"|","~", 11))+1, FIND("~", SUBSTITUTE($A1478,"|","~", 12))-FIND("~", SUBSTITUTE($A1478,"|","~", 11))-1)
), "")</f>
        <v/>
      </c>
      <c r="M1478" s="72" t="str">
        <f t="shared" si="195"/>
        <v/>
      </c>
      <c r="N1478" s="46" t="str">
        <f t="shared" si="175"/>
        <v/>
      </c>
      <c r="O1478" s="76"/>
      <c r="P1478" s="76"/>
      <c r="Q1478" s="77"/>
      <c r="R1478" s="77"/>
      <c r="S1478" s="77"/>
      <c r="T1478" s="77"/>
      <c r="U1478" s="83"/>
      <c r="V1478" s="83"/>
      <c r="W1478" s="78"/>
      <c r="X1478" s="51" t="str">
        <f>IF(A1478="", "", IF(COUNTIFS(C$3:C1477, C1478, D$3:D1477, D1478, G$3:G1477, G1478) &gt; 0, "", "11:00"-AW1478))</f>
        <v/>
      </c>
      <c r="Y1478" s="79"/>
      <c r="Z1478" s="80"/>
      <c r="AA1478" s="81"/>
      <c r="AB1478" s="81"/>
      <c r="AC1478" s="81"/>
      <c r="AD1478" s="81"/>
      <c r="AE1478" s="81"/>
      <c r="AF1478" s="81"/>
      <c r="AG1478" s="81"/>
      <c r="AH1478" s="82"/>
      <c r="AI1478" s="81"/>
      <c r="AJ1478" s="81"/>
      <c r="AK1478" s="81"/>
      <c r="AL1478" s="81"/>
      <c r="AM1478" s="81"/>
      <c r="AN1478" s="81"/>
      <c r="AO1478" s="81"/>
      <c r="AP1478" s="81"/>
      <c r="AQ1478" s="81"/>
      <c r="AR1478" s="81"/>
      <c r="AS1478" s="81"/>
      <c r="AT1478" s="81"/>
      <c r="AU1478" s="53">
        <v>4.1666666666666699E-2</v>
      </c>
      <c r="AV1478" s="54" t="s">
        <v>37</v>
      </c>
      <c r="AW1478" s="57">
        <f t="shared" si="193"/>
        <v>4.1666666666666699E-2</v>
      </c>
      <c r="AX1478" s="58"/>
    </row>
    <row r="1479" spans="1:50" ht="28.5" customHeight="1">
      <c r="A1479" s="66"/>
      <c r="B1479" s="39" t="str">
        <f t="shared" si="192"/>
        <v/>
      </c>
      <c r="C1479" s="40"/>
      <c r="D1479" s="40"/>
      <c r="E1479" s="40"/>
      <c r="F1479" s="41"/>
      <c r="G1479" s="42"/>
      <c r="H1479" s="43" t="str">
        <f>IFERROR(VLOOKUP($J1479,'[9]FROM (3)'!$E$4:$F$230,2,FALSE),"")</f>
        <v/>
      </c>
      <c r="I1479" s="44" t="str">
        <f t="shared" ref="I1479:I1542" si="197">IFERROR(MID(A1479,FIND("~",SUBSTITUTE(A1479,"|","~",4))+1,FIND("~",SUBSTITUTE(A1479,"|","~",5))-FIND("~",SUBSTITUTE(A1479,"|","~",4))-1),"")</f>
        <v/>
      </c>
      <c r="J1479" s="44" t="str">
        <f t="shared" si="194"/>
        <v/>
      </c>
      <c r="K1479" s="59" t="str">
        <f t="shared" si="196"/>
        <v/>
      </c>
      <c r="L1479" s="46" t="str" cm="1">
        <f t="array" ref="L1479">IFERROR(_xlfn.IFS(
    LEN($A1479)-LEN(SUBSTITUTE($A1479,"|",""))=12, RIGHT(A1479, LEN(A1479)-FIND("~", SUBSTITUTE(A1479,"|","~", LEN(A1479)-LEN(SUBSTITUTE(A1479,"|",""))))),
    LEN($A1479)-LEN(SUBSTITUTE($A1479,"|",""))=13, MID($A1479, FIND("~", SUBSTITUTE($A1479,"|","~", 11))+1, FIND("~", SUBSTITUTE($A1479,"|","~", 12))-FIND("~", SUBSTITUTE($A1479,"|","~", 11))-1),
    LEN($A1479)-LEN(SUBSTITUTE($A1479,"|",""))=14, MID($A1479, FIND("~", SUBSTITUTE($A1479,"|","~", 11))+1, FIND("~", SUBSTITUTE($A1479,"|","~", 12))-FIND("~", SUBSTITUTE($A1479,"|","~", 11))-1)
), "")</f>
        <v/>
      </c>
      <c r="M1479" s="72" t="str">
        <f t="shared" si="195"/>
        <v/>
      </c>
      <c r="N1479" s="46" t="str">
        <f t="shared" si="175"/>
        <v/>
      </c>
      <c r="O1479" s="76"/>
      <c r="P1479" s="76"/>
      <c r="Q1479" s="77"/>
      <c r="R1479" s="77"/>
      <c r="S1479" s="77"/>
      <c r="T1479" s="77"/>
      <c r="U1479" s="83"/>
      <c r="V1479" s="83"/>
      <c r="W1479" s="78"/>
      <c r="X1479" s="51" t="str">
        <f>IF(A1479="", "", IF(COUNTIFS(C$3:C1478, C1479, D$3:D1478, D1479, G$3:G1478, G1479) &gt; 0, "", "11:00"-AW1479))</f>
        <v/>
      </c>
      <c r="Y1479" s="79"/>
      <c r="Z1479" s="80"/>
      <c r="AA1479" s="81"/>
      <c r="AB1479" s="81"/>
      <c r="AC1479" s="81"/>
      <c r="AD1479" s="81"/>
      <c r="AE1479" s="81"/>
      <c r="AF1479" s="81"/>
      <c r="AG1479" s="81"/>
      <c r="AH1479" s="82"/>
      <c r="AI1479" s="81"/>
      <c r="AJ1479" s="81"/>
      <c r="AK1479" s="81"/>
      <c r="AL1479" s="81"/>
      <c r="AM1479" s="81"/>
      <c r="AN1479" s="81"/>
      <c r="AO1479" s="81"/>
      <c r="AP1479" s="81"/>
      <c r="AQ1479" s="81"/>
      <c r="AR1479" s="81"/>
      <c r="AS1479" s="81"/>
      <c r="AT1479" s="81"/>
      <c r="AU1479" s="53">
        <v>4.1666666666666699E-2</v>
      </c>
      <c r="AV1479" s="54" t="s">
        <v>37</v>
      </c>
      <c r="AW1479" s="57">
        <f t="shared" si="193"/>
        <v>4.1666666666666699E-2</v>
      </c>
      <c r="AX1479" s="58"/>
    </row>
    <row r="1480" spans="1:50" ht="28.5" customHeight="1">
      <c r="A1480" s="66"/>
      <c r="B1480" s="39" t="str">
        <f t="shared" si="192"/>
        <v/>
      </c>
      <c r="C1480" s="40"/>
      <c r="D1480" s="40"/>
      <c r="E1480" s="40"/>
      <c r="F1480" s="41"/>
      <c r="G1480" s="42"/>
      <c r="H1480" s="43" t="str">
        <f>IFERROR(VLOOKUP($J1480,'[9]FROM (3)'!$E$4:$F$230,2,FALSE),"")</f>
        <v/>
      </c>
      <c r="I1480" s="44" t="str">
        <f t="shared" si="197"/>
        <v/>
      </c>
      <c r="J1480" s="44" t="str">
        <f t="shared" si="194"/>
        <v/>
      </c>
      <c r="K1480" s="59" t="str">
        <f t="shared" si="196"/>
        <v/>
      </c>
      <c r="L1480" s="46" t="str" cm="1">
        <f t="array" ref="L1480">IFERROR(_xlfn.IFS(
    LEN($A1480)-LEN(SUBSTITUTE($A1480,"|",""))=12, RIGHT(A1480, LEN(A1480)-FIND("~", SUBSTITUTE(A1480,"|","~", LEN(A1480)-LEN(SUBSTITUTE(A1480,"|",""))))),
    LEN($A1480)-LEN(SUBSTITUTE($A1480,"|",""))=13, MID($A1480, FIND("~", SUBSTITUTE($A1480,"|","~", 11))+1, FIND("~", SUBSTITUTE($A1480,"|","~", 12))-FIND("~", SUBSTITUTE($A1480,"|","~", 11))-1),
    LEN($A1480)-LEN(SUBSTITUTE($A1480,"|",""))=14, MID($A1480, FIND("~", SUBSTITUTE($A1480,"|","~", 11))+1, FIND("~", SUBSTITUTE($A1480,"|","~", 12))-FIND("~", SUBSTITUTE($A1480,"|","~", 11))-1)
), "")</f>
        <v/>
      </c>
      <c r="M1480" s="72" t="str">
        <f t="shared" si="195"/>
        <v/>
      </c>
      <c r="N1480" s="46" t="str">
        <f t="shared" si="175"/>
        <v/>
      </c>
      <c r="O1480" s="76"/>
      <c r="P1480" s="76"/>
      <c r="Q1480" s="77"/>
      <c r="R1480" s="77"/>
      <c r="S1480" s="77"/>
      <c r="T1480" s="77"/>
      <c r="U1480" s="83"/>
      <c r="V1480" s="83"/>
      <c r="W1480" s="78"/>
      <c r="X1480" s="51" t="str">
        <f>IF(A1480="", "", IF(COUNTIFS(C$3:C1479, C1480, D$3:D1479, D1480, G$3:G1479, G1480) &gt; 0, "", "11:00"-AW1480))</f>
        <v/>
      </c>
      <c r="Y1480" s="79"/>
      <c r="Z1480" s="80"/>
      <c r="AA1480" s="81"/>
      <c r="AB1480" s="81"/>
      <c r="AC1480" s="81"/>
      <c r="AD1480" s="81"/>
      <c r="AE1480" s="81"/>
      <c r="AF1480" s="81"/>
      <c r="AG1480" s="81"/>
      <c r="AH1480" s="82"/>
      <c r="AI1480" s="81"/>
      <c r="AJ1480" s="81"/>
      <c r="AK1480" s="81"/>
      <c r="AL1480" s="81"/>
      <c r="AM1480" s="81"/>
      <c r="AN1480" s="81"/>
      <c r="AO1480" s="81"/>
      <c r="AP1480" s="81"/>
      <c r="AQ1480" s="81"/>
      <c r="AR1480" s="81"/>
      <c r="AS1480" s="81"/>
      <c r="AT1480" s="81"/>
      <c r="AU1480" s="53">
        <v>4.1666666666666699E-2</v>
      </c>
      <c r="AV1480" s="54" t="s">
        <v>37</v>
      </c>
      <c r="AW1480" s="57">
        <f t="shared" si="193"/>
        <v>4.1666666666666699E-2</v>
      </c>
      <c r="AX1480" s="58"/>
    </row>
    <row r="1481" spans="1:50" ht="28.5" customHeight="1">
      <c r="A1481" s="66"/>
      <c r="B1481" s="39" t="str">
        <f t="shared" si="192"/>
        <v/>
      </c>
      <c r="C1481" s="40"/>
      <c r="D1481" s="40"/>
      <c r="E1481" s="40"/>
      <c r="F1481" s="41"/>
      <c r="G1481" s="42"/>
      <c r="H1481" s="43" t="str">
        <f>IFERROR(VLOOKUP($J1481,'[9]FROM (3)'!$E$4:$F$230,2,FALSE),"")</f>
        <v/>
      </c>
      <c r="I1481" s="44" t="str">
        <f t="shared" si="197"/>
        <v/>
      </c>
      <c r="J1481" s="44" t="str">
        <f t="shared" si="194"/>
        <v/>
      </c>
      <c r="K1481" s="59" t="str">
        <f t="shared" si="196"/>
        <v/>
      </c>
      <c r="L1481" s="46" t="str" cm="1">
        <f t="array" ref="L1481">IFERROR(_xlfn.IFS(
    LEN($A1481)-LEN(SUBSTITUTE($A1481,"|",""))=12, RIGHT(A1481, LEN(A1481)-FIND("~", SUBSTITUTE(A1481,"|","~", LEN(A1481)-LEN(SUBSTITUTE(A1481,"|",""))))),
    LEN($A1481)-LEN(SUBSTITUTE($A1481,"|",""))=13, MID($A1481, FIND("~", SUBSTITUTE($A1481,"|","~", 11))+1, FIND("~", SUBSTITUTE($A1481,"|","~", 12))-FIND("~", SUBSTITUTE($A1481,"|","~", 11))-1),
    LEN($A1481)-LEN(SUBSTITUTE($A1481,"|",""))=14, MID($A1481, FIND("~", SUBSTITUTE($A1481,"|","~", 11))+1, FIND("~", SUBSTITUTE($A1481,"|","~", 12))-FIND("~", SUBSTITUTE($A1481,"|","~", 11))-1)
), "")</f>
        <v/>
      </c>
      <c r="M1481" s="72" t="str">
        <f t="shared" si="195"/>
        <v/>
      </c>
      <c r="N1481" s="46" t="str">
        <f t="shared" si="175"/>
        <v/>
      </c>
      <c r="O1481" s="76"/>
      <c r="P1481" s="76"/>
      <c r="Q1481" s="77"/>
      <c r="R1481" s="77"/>
      <c r="S1481" s="77"/>
      <c r="T1481" s="77"/>
      <c r="U1481" s="83"/>
      <c r="V1481" s="83"/>
      <c r="W1481" s="78"/>
      <c r="X1481" s="51" t="str">
        <f>IF(A1481="", "", IF(COUNTIFS(C$3:C1480, C1481, D$3:D1480, D1481, G$3:G1480, G1481) &gt; 0, "", "11:00"-AW1481))</f>
        <v/>
      </c>
      <c r="Y1481" s="79"/>
      <c r="Z1481" s="80"/>
      <c r="AA1481" s="81"/>
      <c r="AB1481" s="81"/>
      <c r="AC1481" s="81"/>
      <c r="AD1481" s="81"/>
      <c r="AE1481" s="81"/>
      <c r="AF1481" s="81"/>
      <c r="AG1481" s="81"/>
      <c r="AH1481" s="82"/>
      <c r="AI1481" s="81"/>
      <c r="AJ1481" s="81"/>
      <c r="AK1481" s="81"/>
      <c r="AL1481" s="81"/>
      <c r="AM1481" s="81"/>
      <c r="AN1481" s="81"/>
      <c r="AO1481" s="81"/>
      <c r="AP1481" s="81"/>
      <c r="AQ1481" s="81"/>
      <c r="AR1481" s="81"/>
      <c r="AS1481" s="81"/>
      <c r="AT1481" s="81"/>
      <c r="AU1481" s="53">
        <v>4.1666666666666699E-2</v>
      </c>
      <c r="AV1481" s="54" t="s">
        <v>37</v>
      </c>
      <c r="AW1481" s="57">
        <f t="shared" si="193"/>
        <v>4.1666666666666699E-2</v>
      </c>
      <c r="AX1481" s="58"/>
    </row>
    <row r="1482" spans="1:50" ht="28.5" customHeight="1">
      <c r="A1482" s="66"/>
      <c r="B1482" s="39" t="str">
        <f t="shared" ref="B1482:B1545" si="198">IF(A1482="","",B1481+1)</f>
        <v/>
      </c>
      <c r="C1482" s="40"/>
      <c r="D1482" s="40"/>
      <c r="E1482" s="40"/>
      <c r="F1482" s="41"/>
      <c r="G1482" s="42"/>
      <c r="H1482" s="43" t="str">
        <f>IFERROR(VLOOKUP($J1482,'[9]FROM (3)'!$E$4:$F$230,2,FALSE),"")</f>
        <v/>
      </c>
      <c r="I1482" s="44" t="str">
        <f t="shared" si="197"/>
        <v/>
      </c>
      <c r="J1482" s="44" t="str">
        <f t="shared" si="194"/>
        <v/>
      </c>
      <c r="K1482" s="59" t="str">
        <f t="shared" si="196"/>
        <v/>
      </c>
      <c r="L1482" s="46" t="str" cm="1">
        <f t="array" ref="L1482">IFERROR(_xlfn.IFS(
    LEN($A1482)-LEN(SUBSTITUTE($A1482,"|",""))=12, RIGHT(A1482, LEN(A1482)-FIND("~", SUBSTITUTE(A1482,"|","~", LEN(A1482)-LEN(SUBSTITUTE(A1482,"|",""))))),
    LEN($A1482)-LEN(SUBSTITUTE($A1482,"|",""))=13, MID($A1482, FIND("~", SUBSTITUTE($A1482,"|","~", 11))+1, FIND("~", SUBSTITUTE($A1482,"|","~", 12))-FIND("~", SUBSTITUTE($A1482,"|","~", 11))-1),
    LEN($A1482)-LEN(SUBSTITUTE($A1482,"|",""))=14, MID($A1482, FIND("~", SUBSTITUTE($A1482,"|","~", 11))+1, FIND("~", SUBSTITUTE($A1482,"|","~", 12))-FIND("~", SUBSTITUTE($A1482,"|","~", 11))-1)
), "")</f>
        <v/>
      </c>
      <c r="M1482" s="72" t="str">
        <f t="shared" si="195"/>
        <v/>
      </c>
      <c r="N1482" s="46" t="str">
        <f t="shared" si="175"/>
        <v/>
      </c>
      <c r="O1482" s="76"/>
      <c r="P1482" s="76"/>
      <c r="Q1482" s="77"/>
      <c r="R1482" s="77"/>
      <c r="S1482" s="77"/>
      <c r="T1482" s="77"/>
      <c r="U1482" s="83"/>
      <c r="V1482" s="83"/>
      <c r="W1482" s="78"/>
      <c r="X1482" s="51" t="str">
        <f>IF(A1482="", "", IF(COUNTIFS(C$3:C1481, C1482, D$3:D1481, D1482, G$3:G1481, G1482) &gt; 0, "", "11:00"-AW1482))</f>
        <v/>
      </c>
      <c r="Y1482" s="79"/>
      <c r="Z1482" s="80"/>
      <c r="AA1482" s="81"/>
      <c r="AB1482" s="81"/>
      <c r="AC1482" s="81"/>
      <c r="AD1482" s="81"/>
      <c r="AE1482" s="81"/>
      <c r="AF1482" s="81"/>
      <c r="AG1482" s="81"/>
      <c r="AH1482" s="82"/>
      <c r="AI1482" s="81"/>
      <c r="AJ1482" s="81"/>
      <c r="AK1482" s="81"/>
      <c r="AL1482" s="81"/>
      <c r="AM1482" s="81"/>
      <c r="AN1482" s="81"/>
      <c r="AO1482" s="81"/>
      <c r="AP1482" s="81"/>
      <c r="AQ1482" s="81"/>
      <c r="AR1482" s="81"/>
      <c r="AS1482" s="81"/>
      <c r="AT1482" s="81"/>
      <c r="AU1482" s="53">
        <v>4.1666666666666699E-2</v>
      </c>
      <c r="AV1482" s="54" t="s">
        <v>37</v>
      </c>
      <c r="AW1482" s="57">
        <f t="shared" si="193"/>
        <v>4.1666666666666699E-2</v>
      </c>
      <c r="AX1482" s="58"/>
    </row>
    <row r="1483" spans="1:50" ht="28.5" customHeight="1">
      <c r="A1483" s="66"/>
      <c r="B1483" s="39" t="str">
        <f t="shared" si="198"/>
        <v/>
      </c>
      <c r="C1483" s="40"/>
      <c r="D1483" s="40"/>
      <c r="E1483" s="40"/>
      <c r="F1483" s="41"/>
      <c r="G1483" s="42"/>
      <c r="H1483" s="43" t="str">
        <f>IFERROR(VLOOKUP($J1483,'[9]FROM (3)'!$E$4:$F$230,2,FALSE),"")</f>
        <v/>
      </c>
      <c r="I1483" s="44" t="str">
        <f t="shared" si="197"/>
        <v/>
      </c>
      <c r="J1483" s="44" t="str">
        <f t="shared" si="194"/>
        <v/>
      </c>
      <c r="K1483" s="59" t="str">
        <f t="shared" si="196"/>
        <v/>
      </c>
      <c r="L1483" s="46" t="str" cm="1">
        <f t="array" ref="L1483">IFERROR(_xlfn.IFS(
    LEN($A1483)-LEN(SUBSTITUTE($A1483,"|",""))=12, RIGHT(A1483, LEN(A1483)-FIND("~", SUBSTITUTE(A1483,"|","~", LEN(A1483)-LEN(SUBSTITUTE(A1483,"|",""))))),
    LEN($A1483)-LEN(SUBSTITUTE($A1483,"|",""))=13, MID($A1483, FIND("~", SUBSTITUTE($A1483,"|","~", 11))+1, FIND("~", SUBSTITUTE($A1483,"|","~", 12))-FIND("~", SUBSTITUTE($A1483,"|","~", 11))-1),
    LEN($A1483)-LEN(SUBSTITUTE($A1483,"|",""))=14, MID($A1483, FIND("~", SUBSTITUTE($A1483,"|","~", 11))+1, FIND("~", SUBSTITUTE($A1483,"|","~", 12))-FIND("~", SUBSTITUTE($A1483,"|","~", 11))-1)
), "")</f>
        <v/>
      </c>
      <c r="M1483" s="72" t="str">
        <f t="shared" si="195"/>
        <v/>
      </c>
      <c r="N1483" s="46" t="str">
        <f t="shared" si="175"/>
        <v/>
      </c>
      <c r="O1483" s="76"/>
      <c r="P1483" s="76"/>
      <c r="Q1483" s="77"/>
      <c r="R1483" s="77"/>
      <c r="S1483" s="77"/>
      <c r="T1483" s="77"/>
      <c r="U1483" s="83"/>
      <c r="V1483" s="83"/>
      <c r="W1483" s="78"/>
      <c r="X1483" s="51" t="str">
        <f>IF(A1483="", "", IF(COUNTIFS(C$3:C1482, C1483, D$3:D1482, D1483, G$3:G1482, G1483) &gt; 0, "", "11:00"-AW1483))</f>
        <v/>
      </c>
      <c r="Y1483" s="79"/>
      <c r="Z1483" s="80"/>
      <c r="AA1483" s="81"/>
      <c r="AB1483" s="81"/>
      <c r="AC1483" s="81"/>
      <c r="AD1483" s="81"/>
      <c r="AE1483" s="81"/>
      <c r="AF1483" s="81"/>
      <c r="AG1483" s="81"/>
      <c r="AH1483" s="82"/>
      <c r="AI1483" s="81"/>
      <c r="AJ1483" s="81"/>
      <c r="AK1483" s="81"/>
      <c r="AL1483" s="81"/>
      <c r="AM1483" s="81"/>
      <c r="AN1483" s="81"/>
      <c r="AO1483" s="81"/>
      <c r="AP1483" s="81"/>
      <c r="AQ1483" s="81"/>
      <c r="AR1483" s="81"/>
      <c r="AS1483" s="81"/>
      <c r="AT1483" s="81"/>
      <c r="AU1483" s="53">
        <v>4.1666666666666699E-2</v>
      </c>
      <c r="AV1483" s="54" t="s">
        <v>37</v>
      </c>
      <c r="AW1483" s="57">
        <f t="shared" si="193"/>
        <v>4.1666666666666699E-2</v>
      </c>
      <c r="AX1483" s="58"/>
    </row>
    <row r="1484" spans="1:50" ht="28.5" customHeight="1">
      <c r="A1484" s="66"/>
      <c r="B1484" s="39" t="str">
        <f t="shared" si="198"/>
        <v/>
      </c>
      <c r="C1484" s="40"/>
      <c r="D1484" s="40"/>
      <c r="E1484" s="40"/>
      <c r="F1484" s="41"/>
      <c r="G1484" s="42"/>
      <c r="H1484" s="43" t="str">
        <f>IFERROR(VLOOKUP($J1484,'[9]FROM (3)'!$E$4:$F$230,2,FALSE),"")</f>
        <v/>
      </c>
      <c r="I1484" s="44" t="str">
        <f t="shared" si="197"/>
        <v/>
      </c>
      <c r="J1484" s="44" t="str">
        <f t="shared" si="194"/>
        <v/>
      </c>
      <c r="K1484" s="59" t="str">
        <f t="shared" si="196"/>
        <v/>
      </c>
      <c r="L1484" s="46" t="str" cm="1">
        <f t="array" ref="L1484">IFERROR(_xlfn.IFS(
    LEN($A1484)-LEN(SUBSTITUTE($A1484,"|",""))=12, RIGHT(A1484, LEN(A1484)-FIND("~", SUBSTITUTE(A1484,"|","~", LEN(A1484)-LEN(SUBSTITUTE(A1484,"|",""))))),
    LEN($A1484)-LEN(SUBSTITUTE($A1484,"|",""))=13, MID($A1484, FIND("~", SUBSTITUTE($A1484,"|","~", 11))+1, FIND("~", SUBSTITUTE($A1484,"|","~", 12))-FIND("~", SUBSTITUTE($A1484,"|","~", 11))-1),
    LEN($A1484)-LEN(SUBSTITUTE($A1484,"|",""))=14, MID($A1484, FIND("~", SUBSTITUTE($A1484,"|","~", 11))+1, FIND("~", SUBSTITUTE($A1484,"|","~", 12))-FIND("~", SUBSTITUTE($A1484,"|","~", 11))-1)
), "")</f>
        <v/>
      </c>
      <c r="M1484" s="72" t="str">
        <f t="shared" si="195"/>
        <v/>
      </c>
      <c r="N1484" s="46" t="str">
        <f t="shared" si="175"/>
        <v/>
      </c>
      <c r="O1484" s="76"/>
      <c r="P1484" s="76"/>
      <c r="Q1484" s="77"/>
      <c r="R1484" s="77"/>
      <c r="S1484" s="77"/>
      <c r="T1484" s="77"/>
      <c r="U1484" s="83"/>
      <c r="V1484" s="83"/>
      <c r="W1484" s="78"/>
      <c r="X1484" s="51" t="str">
        <f>IF(A1484="", "", IF(COUNTIFS(C$3:C1483, C1484, D$3:D1483, D1484, G$3:G1483, G1484) &gt; 0, "", "11:00"-AW1484))</f>
        <v/>
      </c>
      <c r="Y1484" s="79"/>
      <c r="Z1484" s="80"/>
      <c r="AA1484" s="81"/>
      <c r="AB1484" s="81"/>
      <c r="AC1484" s="81"/>
      <c r="AD1484" s="81"/>
      <c r="AE1484" s="81"/>
      <c r="AF1484" s="81"/>
      <c r="AG1484" s="81"/>
      <c r="AH1484" s="82"/>
      <c r="AI1484" s="81"/>
      <c r="AJ1484" s="81"/>
      <c r="AK1484" s="81"/>
      <c r="AL1484" s="81"/>
      <c r="AM1484" s="81"/>
      <c r="AN1484" s="81"/>
      <c r="AO1484" s="81"/>
      <c r="AP1484" s="81"/>
      <c r="AQ1484" s="81"/>
      <c r="AR1484" s="81"/>
      <c r="AS1484" s="81"/>
      <c r="AT1484" s="81"/>
      <c r="AU1484" s="53">
        <v>4.1666666666666699E-2</v>
      </c>
      <c r="AV1484" s="54" t="s">
        <v>37</v>
      </c>
      <c r="AW1484" s="57">
        <f t="shared" si="193"/>
        <v>4.1666666666666699E-2</v>
      </c>
      <c r="AX1484" s="58"/>
    </row>
    <row r="1485" spans="1:50" ht="28.5" customHeight="1">
      <c r="A1485" s="66"/>
      <c r="B1485" s="39" t="str">
        <f t="shared" si="198"/>
        <v/>
      </c>
      <c r="C1485" s="40"/>
      <c r="D1485" s="40"/>
      <c r="E1485" s="40"/>
      <c r="F1485" s="41"/>
      <c r="G1485" s="42"/>
      <c r="H1485" s="43" t="str">
        <f>IFERROR(VLOOKUP($J1485,'[9]FROM (3)'!$E$4:$F$230,2,FALSE),"")</f>
        <v/>
      </c>
      <c r="I1485" s="44" t="str">
        <f t="shared" si="197"/>
        <v/>
      </c>
      <c r="J1485" s="44" t="str">
        <f t="shared" si="194"/>
        <v/>
      </c>
      <c r="K1485" s="59" t="str">
        <f t="shared" si="196"/>
        <v/>
      </c>
      <c r="L1485" s="46" t="str" cm="1">
        <f t="array" ref="L1485">IFERROR(_xlfn.IFS(
    LEN($A1485)-LEN(SUBSTITUTE($A1485,"|",""))=12, RIGHT(A1485, LEN(A1485)-FIND("~", SUBSTITUTE(A1485,"|","~", LEN(A1485)-LEN(SUBSTITUTE(A1485,"|",""))))),
    LEN($A1485)-LEN(SUBSTITUTE($A1485,"|",""))=13, MID($A1485, FIND("~", SUBSTITUTE($A1485,"|","~", 11))+1, FIND("~", SUBSTITUTE($A1485,"|","~", 12))-FIND("~", SUBSTITUTE($A1485,"|","~", 11))-1),
    LEN($A1485)-LEN(SUBSTITUTE($A1485,"|",""))=14, MID($A1485, FIND("~", SUBSTITUTE($A1485,"|","~", 11))+1, FIND("~", SUBSTITUTE($A1485,"|","~", 12))-FIND("~", SUBSTITUTE($A1485,"|","~", 11))-1)
), "")</f>
        <v/>
      </c>
      <c r="M1485" s="72" t="str">
        <f t="shared" si="195"/>
        <v/>
      </c>
      <c r="N1485" s="46" t="str">
        <f t="shared" si="175"/>
        <v/>
      </c>
      <c r="O1485" s="76"/>
      <c r="P1485" s="76"/>
      <c r="Q1485" s="77"/>
      <c r="R1485" s="77"/>
      <c r="S1485" s="77"/>
      <c r="T1485" s="77"/>
      <c r="U1485" s="83"/>
      <c r="V1485" s="83"/>
      <c r="W1485" s="78"/>
      <c r="X1485" s="51" t="str">
        <f>IF(A1485="", "", IF(COUNTIFS(C$3:C1484, C1485, D$3:D1484, D1485, G$3:G1484, G1485) &gt; 0, "", "11:00"-AW1485))</f>
        <v/>
      </c>
      <c r="Y1485" s="79"/>
      <c r="Z1485" s="80"/>
      <c r="AA1485" s="81"/>
      <c r="AB1485" s="81"/>
      <c r="AC1485" s="81"/>
      <c r="AD1485" s="81"/>
      <c r="AE1485" s="81"/>
      <c r="AF1485" s="81"/>
      <c r="AG1485" s="81"/>
      <c r="AH1485" s="82"/>
      <c r="AI1485" s="81"/>
      <c r="AJ1485" s="81"/>
      <c r="AK1485" s="81"/>
      <c r="AL1485" s="81"/>
      <c r="AM1485" s="81"/>
      <c r="AN1485" s="81"/>
      <c r="AO1485" s="81"/>
      <c r="AP1485" s="81"/>
      <c r="AQ1485" s="81"/>
      <c r="AR1485" s="81"/>
      <c r="AS1485" s="81"/>
      <c r="AT1485" s="81"/>
      <c r="AU1485" s="53">
        <v>4.1666666666666699E-2</v>
      </c>
      <c r="AV1485" s="54" t="s">
        <v>37</v>
      </c>
      <c r="AW1485" s="57">
        <f t="shared" si="193"/>
        <v>4.1666666666666699E-2</v>
      </c>
      <c r="AX1485" s="58"/>
    </row>
    <row r="1486" spans="1:50" ht="28.5" customHeight="1">
      <c r="A1486" s="66"/>
      <c r="B1486" s="39" t="str">
        <f t="shared" si="198"/>
        <v/>
      </c>
      <c r="C1486" s="40"/>
      <c r="D1486" s="40"/>
      <c r="E1486" s="40"/>
      <c r="F1486" s="41"/>
      <c r="G1486" s="42"/>
      <c r="H1486" s="43" t="str">
        <f>IFERROR(VLOOKUP($J1486,'[9]FROM (3)'!$E$4:$F$230,2,FALSE),"")</f>
        <v/>
      </c>
      <c r="I1486" s="44" t="str">
        <f t="shared" si="197"/>
        <v/>
      </c>
      <c r="J1486" s="44" t="str">
        <f t="shared" si="194"/>
        <v/>
      </c>
      <c r="K1486" s="59" t="str">
        <f t="shared" si="196"/>
        <v/>
      </c>
      <c r="L1486" s="46" t="str" cm="1">
        <f t="array" ref="L1486">IFERROR(_xlfn.IFS(
    LEN($A1486)-LEN(SUBSTITUTE($A1486,"|",""))=12, RIGHT(A1486, LEN(A1486)-FIND("~", SUBSTITUTE(A1486,"|","~", LEN(A1486)-LEN(SUBSTITUTE(A1486,"|",""))))),
    LEN($A1486)-LEN(SUBSTITUTE($A1486,"|",""))=13, MID($A1486, FIND("~", SUBSTITUTE($A1486,"|","~", 11))+1, FIND("~", SUBSTITUTE($A1486,"|","~", 12))-FIND("~", SUBSTITUTE($A1486,"|","~", 11))-1),
    LEN($A1486)-LEN(SUBSTITUTE($A1486,"|",""))=14, MID($A1486, FIND("~", SUBSTITUTE($A1486,"|","~", 11))+1, FIND("~", SUBSTITUTE($A1486,"|","~", 12))-FIND("~", SUBSTITUTE($A1486,"|","~", 11))-1)
), "")</f>
        <v/>
      </c>
      <c r="M1486" s="72" t="str">
        <f t="shared" si="195"/>
        <v/>
      </c>
      <c r="N1486" s="46" t="str">
        <f t="shared" si="175"/>
        <v/>
      </c>
      <c r="O1486" s="76"/>
      <c r="P1486" s="76"/>
      <c r="Q1486" s="77"/>
      <c r="R1486" s="77"/>
      <c r="S1486" s="77"/>
      <c r="T1486" s="77"/>
      <c r="U1486" s="83"/>
      <c r="V1486" s="83"/>
      <c r="W1486" s="78"/>
      <c r="X1486" s="51" t="str">
        <f>IF(A1486="", "", IF(COUNTIFS(C$3:C1485, C1486, D$3:D1485, D1486, G$3:G1485, G1486) &gt; 0, "", "11:00"-AW1486))</f>
        <v/>
      </c>
      <c r="Y1486" s="79"/>
      <c r="Z1486" s="80"/>
      <c r="AA1486" s="81"/>
      <c r="AB1486" s="81"/>
      <c r="AC1486" s="81"/>
      <c r="AD1486" s="81"/>
      <c r="AE1486" s="81"/>
      <c r="AF1486" s="81"/>
      <c r="AG1486" s="81"/>
      <c r="AH1486" s="82"/>
      <c r="AI1486" s="81"/>
      <c r="AJ1486" s="81"/>
      <c r="AK1486" s="81"/>
      <c r="AL1486" s="81"/>
      <c r="AM1486" s="81"/>
      <c r="AN1486" s="81"/>
      <c r="AO1486" s="81"/>
      <c r="AP1486" s="81"/>
      <c r="AQ1486" s="81"/>
      <c r="AR1486" s="81"/>
      <c r="AS1486" s="81"/>
      <c r="AT1486" s="81"/>
      <c r="AU1486" s="53">
        <v>4.1666666666666699E-2</v>
      </c>
      <c r="AV1486" s="54" t="s">
        <v>37</v>
      </c>
      <c r="AW1486" s="57">
        <f t="shared" si="193"/>
        <v>4.1666666666666699E-2</v>
      </c>
      <c r="AX1486" s="58"/>
    </row>
    <row r="1487" spans="1:50" ht="28.5" customHeight="1">
      <c r="A1487" s="66"/>
      <c r="B1487" s="39" t="str">
        <f t="shared" si="198"/>
        <v/>
      </c>
      <c r="C1487" s="40"/>
      <c r="D1487" s="40"/>
      <c r="E1487" s="40"/>
      <c r="F1487" s="41"/>
      <c r="G1487" s="42"/>
      <c r="H1487" s="43" t="str">
        <f>IFERROR(VLOOKUP($J1487,'[9]FROM (3)'!$E$4:$F$230,2,FALSE),"")</f>
        <v/>
      </c>
      <c r="I1487" s="44" t="str">
        <f t="shared" si="197"/>
        <v/>
      </c>
      <c r="J1487" s="44" t="str">
        <f t="shared" si="194"/>
        <v/>
      </c>
      <c r="K1487" s="59" t="str">
        <f t="shared" si="196"/>
        <v/>
      </c>
      <c r="L1487" s="46" t="str" cm="1">
        <f t="array" ref="L1487">IFERROR(_xlfn.IFS(
    LEN($A1487)-LEN(SUBSTITUTE($A1487,"|",""))=12, RIGHT(A1487, LEN(A1487)-FIND("~", SUBSTITUTE(A1487,"|","~", LEN(A1487)-LEN(SUBSTITUTE(A1487,"|",""))))),
    LEN($A1487)-LEN(SUBSTITUTE($A1487,"|",""))=13, MID($A1487, FIND("~", SUBSTITUTE($A1487,"|","~", 11))+1, FIND("~", SUBSTITUTE($A1487,"|","~", 12))-FIND("~", SUBSTITUTE($A1487,"|","~", 11))-1),
    LEN($A1487)-LEN(SUBSTITUTE($A1487,"|",""))=14, MID($A1487, FIND("~", SUBSTITUTE($A1487,"|","~", 11))+1, FIND("~", SUBSTITUTE($A1487,"|","~", 12))-FIND("~", SUBSTITUTE($A1487,"|","~", 11))-1)
), "")</f>
        <v/>
      </c>
      <c r="M1487" s="72" t="str">
        <f t="shared" si="195"/>
        <v/>
      </c>
      <c r="N1487" s="46" t="str">
        <f t="shared" si="175"/>
        <v/>
      </c>
      <c r="O1487" s="76"/>
      <c r="P1487" s="76"/>
      <c r="Q1487" s="77"/>
      <c r="R1487" s="77"/>
      <c r="S1487" s="77"/>
      <c r="T1487" s="77"/>
      <c r="U1487" s="83"/>
      <c r="V1487" s="83"/>
      <c r="W1487" s="78"/>
      <c r="X1487" s="51" t="str">
        <f>IF(A1487="", "", IF(COUNTIFS(C$3:C1486, C1487, D$3:D1486, D1487, G$3:G1486, G1487) &gt; 0, "", "11:00"-AW1487))</f>
        <v/>
      </c>
      <c r="Y1487" s="79"/>
      <c r="Z1487" s="80"/>
      <c r="AA1487" s="81"/>
      <c r="AB1487" s="81"/>
      <c r="AC1487" s="81"/>
      <c r="AD1487" s="81"/>
      <c r="AE1487" s="81"/>
      <c r="AF1487" s="81"/>
      <c r="AG1487" s="81"/>
      <c r="AH1487" s="82"/>
      <c r="AI1487" s="81"/>
      <c r="AJ1487" s="81"/>
      <c r="AK1487" s="81"/>
      <c r="AL1487" s="81"/>
      <c r="AM1487" s="81"/>
      <c r="AN1487" s="81"/>
      <c r="AO1487" s="81"/>
      <c r="AP1487" s="81"/>
      <c r="AQ1487" s="81"/>
      <c r="AR1487" s="81"/>
      <c r="AS1487" s="81"/>
      <c r="AT1487" s="81"/>
      <c r="AU1487" s="53">
        <v>4.1666666666666699E-2</v>
      </c>
      <c r="AV1487" s="54" t="s">
        <v>37</v>
      </c>
      <c r="AW1487" s="57">
        <f t="shared" si="193"/>
        <v>4.1666666666666699E-2</v>
      </c>
      <c r="AX1487" s="58"/>
    </row>
    <row r="1488" spans="1:50" ht="28.5" customHeight="1">
      <c r="A1488" s="66"/>
      <c r="B1488" s="39" t="str">
        <f t="shared" si="198"/>
        <v/>
      </c>
      <c r="C1488" s="40"/>
      <c r="D1488" s="40"/>
      <c r="E1488" s="40"/>
      <c r="F1488" s="41"/>
      <c r="G1488" s="42"/>
      <c r="H1488" s="43" t="str">
        <f>IFERROR(VLOOKUP($J1488,'[9]FROM (3)'!$E$4:$F$230,2,FALSE),"")</f>
        <v/>
      </c>
      <c r="I1488" s="44" t="str">
        <f t="shared" si="197"/>
        <v/>
      </c>
      <c r="J1488" s="44" t="str">
        <f t="shared" si="194"/>
        <v/>
      </c>
      <c r="K1488" s="59" t="str">
        <f t="shared" si="196"/>
        <v/>
      </c>
      <c r="L1488" s="46" t="str" cm="1">
        <f t="array" ref="L1488">IFERROR(_xlfn.IFS(
    LEN($A1488)-LEN(SUBSTITUTE($A1488,"|",""))=12, RIGHT(A1488, LEN(A1488)-FIND("~", SUBSTITUTE(A1488,"|","~", LEN(A1488)-LEN(SUBSTITUTE(A1488,"|",""))))),
    LEN($A1488)-LEN(SUBSTITUTE($A1488,"|",""))=13, MID($A1488, FIND("~", SUBSTITUTE($A1488,"|","~", 11))+1, FIND("~", SUBSTITUTE($A1488,"|","~", 12))-FIND("~", SUBSTITUTE($A1488,"|","~", 11))-1),
    LEN($A1488)-LEN(SUBSTITUTE($A1488,"|",""))=14, MID($A1488, FIND("~", SUBSTITUTE($A1488,"|","~", 11))+1, FIND("~", SUBSTITUTE($A1488,"|","~", 12))-FIND("~", SUBSTITUTE($A1488,"|","~", 11))-1)
), "")</f>
        <v/>
      </c>
      <c r="M1488" s="72" t="str">
        <f t="shared" si="195"/>
        <v/>
      </c>
      <c r="N1488" s="46" t="str">
        <f t="shared" si="175"/>
        <v/>
      </c>
      <c r="O1488" s="76"/>
      <c r="P1488" s="76"/>
      <c r="Q1488" s="77"/>
      <c r="R1488" s="77"/>
      <c r="S1488" s="77"/>
      <c r="T1488" s="77"/>
      <c r="U1488" s="83"/>
      <c r="V1488" s="83"/>
      <c r="W1488" s="78"/>
      <c r="X1488" s="51" t="str">
        <f>IF(A1488="", "", IF(COUNTIFS(C$3:C1487, C1488, D$3:D1487, D1488, G$3:G1487, G1488) &gt; 0, "", "11:00"-AW1488))</f>
        <v/>
      </c>
      <c r="Y1488" s="79"/>
      <c r="Z1488" s="80"/>
      <c r="AA1488" s="81"/>
      <c r="AB1488" s="81"/>
      <c r="AC1488" s="81"/>
      <c r="AD1488" s="81"/>
      <c r="AE1488" s="81"/>
      <c r="AF1488" s="81"/>
      <c r="AG1488" s="81"/>
      <c r="AH1488" s="82"/>
      <c r="AI1488" s="81"/>
      <c r="AJ1488" s="81"/>
      <c r="AK1488" s="81"/>
      <c r="AL1488" s="81"/>
      <c r="AM1488" s="81"/>
      <c r="AN1488" s="81"/>
      <c r="AO1488" s="81"/>
      <c r="AP1488" s="81"/>
      <c r="AQ1488" s="81"/>
      <c r="AR1488" s="81"/>
      <c r="AS1488" s="81"/>
      <c r="AT1488" s="81"/>
      <c r="AU1488" s="53">
        <v>4.1666666666666699E-2</v>
      </c>
      <c r="AV1488" s="54" t="s">
        <v>37</v>
      </c>
      <c r="AW1488" s="57">
        <f t="shared" si="193"/>
        <v>4.1666666666666699E-2</v>
      </c>
      <c r="AX1488" s="58"/>
    </row>
    <row r="1489" spans="1:50" ht="28.5" customHeight="1">
      <c r="A1489" s="66"/>
      <c r="B1489" s="39" t="str">
        <f t="shared" si="198"/>
        <v/>
      </c>
      <c r="C1489" s="40"/>
      <c r="D1489" s="40"/>
      <c r="E1489" s="40"/>
      <c r="F1489" s="41"/>
      <c r="G1489" s="42"/>
      <c r="H1489" s="43" t="str">
        <f>IFERROR(VLOOKUP($J1489,'[9]FROM (3)'!$E$4:$F$230,2,FALSE),"")</f>
        <v/>
      </c>
      <c r="I1489" s="44" t="str">
        <f t="shared" si="197"/>
        <v/>
      </c>
      <c r="J1489" s="44" t="str">
        <f t="shared" si="194"/>
        <v/>
      </c>
      <c r="K1489" s="59" t="str">
        <f t="shared" si="196"/>
        <v/>
      </c>
      <c r="L1489" s="46" t="str" cm="1">
        <f t="array" ref="L1489">IFERROR(_xlfn.IFS(
    LEN($A1489)-LEN(SUBSTITUTE($A1489,"|",""))=12, RIGHT(A1489, LEN(A1489)-FIND("~", SUBSTITUTE(A1489,"|","~", LEN(A1489)-LEN(SUBSTITUTE(A1489,"|",""))))),
    LEN($A1489)-LEN(SUBSTITUTE($A1489,"|",""))=13, MID($A1489, FIND("~", SUBSTITUTE($A1489,"|","~", 11))+1, FIND("~", SUBSTITUTE($A1489,"|","~", 12))-FIND("~", SUBSTITUTE($A1489,"|","~", 11))-1),
    LEN($A1489)-LEN(SUBSTITUTE($A1489,"|",""))=14, MID($A1489, FIND("~", SUBSTITUTE($A1489,"|","~", 11))+1, FIND("~", SUBSTITUTE($A1489,"|","~", 12))-FIND("~", SUBSTITUTE($A1489,"|","~", 11))-1)
), "")</f>
        <v/>
      </c>
      <c r="M1489" s="72" t="str">
        <f t="shared" si="195"/>
        <v/>
      </c>
      <c r="N1489" s="46" t="str">
        <f t="shared" si="175"/>
        <v/>
      </c>
      <c r="O1489" s="76"/>
      <c r="P1489" s="76"/>
      <c r="Q1489" s="77"/>
      <c r="R1489" s="77"/>
      <c r="S1489" s="77"/>
      <c r="T1489" s="77"/>
      <c r="U1489" s="83"/>
      <c r="V1489" s="83"/>
      <c r="W1489" s="78"/>
      <c r="X1489" s="51" t="str">
        <f>IF(A1489="", "", IF(COUNTIFS(C$3:C1488, C1489, D$3:D1488, D1489, G$3:G1488, G1489) &gt; 0, "", "11:00"-AW1489))</f>
        <v/>
      </c>
      <c r="Y1489" s="79"/>
      <c r="Z1489" s="80"/>
      <c r="AA1489" s="81"/>
      <c r="AB1489" s="81"/>
      <c r="AC1489" s="81"/>
      <c r="AD1489" s="81"/>
      <c r="AE1489" s="81"/>
      <c r="AF1489" s="81"/>
      <c r="AG1489" s="81"/>
      <c r="AH1489" s="82"/>
      <c r="AI1489" s="81"/>
      <c r="AJ1489" s="81"/>
      <c r="AK1489" s="81"/>
      <c r="AL1489" s="81"/>
      <c r="AM1489" s="81"/>
      <c r="AN1489" s="81"/>
      <c r="AO1489" s="81"/>
      <c r="AP1489" s="81"/>
      <c r="AQ1489" s="81"/>
      <c r="AR1489" s="81"/>
      <c r="AS1489" s="81"/>
      <c r="AT1489" s="81"/>
      <c r="AU1489" s="53">
        <v>4.1666666666666699E-2</v>
      </c>
      <c r="AV1489" s="54" t="s">
        <v>37</v>
      </c>
      <c r="AW1489" s="57">
        <f t="shared" si="193"/>
        <v>4.1666666666666699E-2</v>
      </c>
      <c r="AX1489" s="58"/>
    </row>
    <row r="1490" spans="1:50" ht="28.5" customHeight="1">
      <c r="A1490" s="66"/>
      <c r="B1490" s="39" t="str">
        <f t="shared" si="198"/>
        <v/>
      </c>
      <c r="C1490" s="40"/>
      <c r="D1490" s="40"/>
      <c r="E1490" s="40"/>
      <c r="F1490" s="41"/>
      <c r="G1490" s="42"/>
      <c r="H1490" s="43" t="str">
        <f>IFERROR(VLOOKUP($J1490,'[9]FROM (3)'!$E$4:$F$230,2,FALSE),"")</f>
        <v/>
      </c>
      <c r="I1490" s="44" t="str">
        <f t="shared" si="197"/>
        <v/>
      </c>
      <c r="J1490" s="44" t="str">
        <f t="shared" si="194"/>
        <v/>
      </c>
      <c r="K1490" s="59" t="str">
        <f t="shared" si="196"/>
        <v/>
      </c>
      <c r="L1490" s="46" t="str" cm="1">
        <f t="array" ref="L1490">IFERROR(_xlfn.IFS(
    LEN($A1490)-LEN(SUBSTITUTE($A1490,"|",""))=12, RIGHT(A1490, LEN(A1490)-FIND("~", SUBSTITUTE(A1490,"|","~", LEN(A1490)-LEN(SUBSTITUTE(A1490,"|",""))))),
    LEN($A1490)-LEN(SUBSTITUTE($A1490,"|",""))=13, MID($A1490, FIND("~", SUBSTITUTE($A1490,"|","~", 11))+1, FIND("~", SUBSTITUTE($A1490,"|","~", 12))-FIND("~", SUBSTITUTE($A1490,"|","~", 11))-1),
    LEN($A1490)-LEN(SUBSTITUTE($A1490,"|",""))=14, MID($A1490, FIND("~", SUBSTITUTE($A1490,"|","~", 11))+1, FIND("~", SUBSTITUTE($A1490,"|","~", 12))-FIND("~", SUBSTITUTE($A1490,"|","~", 11))-1)
), "")</f>
        <v/>
      </c>
      <c r="M1490" s="72" t="str">
        <f t="shared" si="195"/>
        <v/>
      </c>
      <c r="N1490" s="46" t="str">
        <f t="shared" si="175"/>
        <v/>
      </c>
      <c r="O1490" s="76"/>
      <c r="P1490" s="76"/>
      <c r="Q1490" s="77"/>
      <c r="R1490" s="77"/>
      <c r="S1490" s="77"/>
      <c r="T1490" s="77"/>
      <c r="U1490" s="83"/>
      <c r="V1490" s="83"/>
      <c r="W1490" s="78"/>
      <c r="X1490" s="51" t="str">
        <f>IF(A1490="", "", IF(COUNTIFS(C$3:C1489, C1490, D$3:D1489, D1490, G$3:G1489, G1490) &gt; 0, "", "11:00"-AW1490))</f>
        <v/>
      </c>
      <c r="Y1490" s="79"/>
      <c r="Z1490" s="80"/>
      <c r="AA1490" s="81"/>
      <c r="AB1490" s="81"/>
      <c r="AC1490" s="81"/>
      <c r="AD1490" s="81"/>
      <c r="AE1490" s="81"/>
      <c r="AF1490" s="81"/>
      <c r="AG1490" s="81"/>
      <c r="AH1490" s="82"/>
      <c r="AI1490" s="81"/>
      <c r="AJ1490" s="81"/>
      <c r="AK1490" s="81"/>
      <c r="AL1490" s="81"/>
      <c r="AM1490" s="81"/>
      <c r="AN1490" s="81"/>
      <c r="AO1490" s="81"/>
      <c r="AP1490" s="81"/>
      <c r="AQ1490" s="81"/>
      <c r="AR1490" s="81"/>
      <c r="AS1490" s="81"/>
      <c r="AT1490" s="81"/>
      <c r="AU1490" s="53">
        <v>4.1666666666666699E-2</v>
      </c>
      <c r="AV1490" s="54" t="s">
        <v>37</v>
      </c>
      <c r="AW1490" s="57">
        <f t="shared" si="193"/>
        <v>4.1666666666666699E-2</v>
      </c>
      <c r="AX1490" s="58"/>
    </row>
    <row r="1491" spans="1:50" ht="28.5" customHeight="1">
      <c r="A1491" s="66"/>
      <c r="B1491" s="39" t="str">
        <f t="shared" si="198"/>
        <v/>
      </c>
      <c r="C1491" s="40"/>
      <c r="D1491" s="40"/>
      <c r="E1491" s="40"/>
      <c r="F1491" s="41"/>
      <c r="G1491" s="42"/>
      <c r="H1491" s="43" t="str">
        <f>IFERROR(VLOOKUP($J1491,'[9]FROM (3)'!$E$4:$F$230,2,FALSE),"")</f>
        <v/>
      </c>
      <c r="I1491" s="44" t="str">
        <f t="shared" si="197"/>
        <v/>
      </c>
      <c r="J1491" s="44" t="str">
        <f t="shared" si="194"/>
        <v/>
      </c>
      <c r="K1491" s="59" t="str">
        <f t="shared" si="196"/>
        <v/>
      </c>
      <c r="L1491" s="46" t="str" cm="1">
        <f t="array" ref="L1491">IFERROR(_xlfn.IFS(
    LEN($A1491)-LEN(SUBSTITUTE($A1491,"|",""))=12, RIGHT(A1491, LEN(A1491)-FIND("~", SUBSTITUTE(A1491,"|","~", LEN(A1491)-LEN(SUBSTITUTE(A1491,"|",""))))),
    LEN($A1491)-LEN(SUBSTITUTE($A1491,"|",""))=13, MID($A1491, FIND("~", SUBSTITUTE($A1491,"|","~", 11))+1, FIND("~", SUBSTITUTE($A1491,"|","~", 12))-FIND("~", SUBSTITUTE($A1491,"|","~", 11))-1),
    LEN($A1491)-LEN(SUBSTITUTE($A1491,"|",""))=14, MID($A1491, FIND("~", SUBSTITUTE($A1491,"|","~", 11))+1, FIND("~", SUBSTITUTE($A1491,"|","~", 12))-FIND("~", SUBSTITUTE($A1491,"|","~", 11))-1)
), "")</f>
        <v/>
      </c>
      <c r="M1491" s="72" t="str">
        <f t="shared" si="195"/>
        <v/>
      </c>
      <c r="N1491" s="46" t="str">
        <f t="shared" si="175"/>
        <v/>
      </c>
      <c r="O1491" s="76"/>
      <c r="P1491" s="76"/>
      <c r="Q1491" s="77"/>
      <c r="R1491" s="77"/>
      <c r="S1491" s="77"/>
      <c r="T1491" s="77"/>
      <c r="U1491" s="83"/>
      <c r="V1491" s="83"/>
      <c r="W1491" s="78"/>
      <c r="X1491" s="51" t="str">
        <f>IF(A1491="", "", IF(COUNTIFS(C$3:C1490, C1491, D$3:D1490, D1491, G$3:G1490, G1491) &gt; 0, "", "11:00"-AW1491))</f>
        <v/>
      </c>
      <c r="Y1491" s="79"/>
      <c r="Z1491" s="80"/>
      <c r="AA1491" s="81"/>
      <c r="AB1491" s="81"/>
      <c r="AC1491" s="81"/>
      <c r="AD1491" s="81"/>
      <c r="AE1491" s="81"/>
      <c r="AF1491" s="81"/>
      <c r="AG1491" s="81"/>
      <c r="AH1491" s="82"/>
      <c r="AI1491" s="81"/>
      <c r="AJ1491" s="81"/>
      <c r="AK1491" s="81"/>
      <c r="AL1491" s="81"/>
      <c r="AM1491" s="81"/>
      <c r="AN1491" s="81"/>
      <c r="AO1491" s="81"/>
      <c r="AP1491" s="81"/>
      <c r="AQ1491" s="81"/>
      <c r="AR1491" s="81"/>
      <c r="AS1491" s="81"/>
      <c r="AT1491" s="81"/>
      <c r="AU1491" s="53">
        <v>4.1666666666666699E-2</v>
      </c>
      <c r="AV1491" s="54" t="s">
        <v>37</v>
      </c>
      <c r="AW1491" s="57">
        <f t="shared" si="193"/>
        <v>4.1666666666666699E-2</v>
      </c>
      <c r="AX1491" s="58"/>
    </row>
    <row r="1492" spans="1:50" ht="28.5" customHeight="1">
      <c r="A1492" s="66"/>
      <c r="B1492" s="39" t="str">
        <f t="shared" si="198"/>
        <v/>
      </c>
      <c r="C1492" s="40"/>
      <c r="D1492" s="40"/>
      <c r="E1492" s="40"/>
      <c r="F1492" s="41"/>
      <c r="G1492" s="42"/>
      <c r="H1492" s="43" t="str">
        <f>IFERROR(VLOOKUP($J1492,'[9]FROM (3)'!$E$4:$F$230,2,FALSE),"")</f>
        <v/>
      </c>
      <c r="I1492" s="44" t="str">
        <f t="shared" si="197"/>
        <v/>
      </c>
      <c r="J1492" s="44" t="str">
        <f t="shared" si="194"/>
        <v/>
      </c>
      <c r="K1492" s="59" t="str">
        <f t="shared" si="196"/>
        <v/>
      </c>
      <c r="L1492" s="46" t="str" cm="1">
        <f t="array" ref="L1492">IFERROR(_xlfn.IFS(
    LEN($A1492)-LEN(SUBSTITUTE($A1492,"|",""))=12, RIGHT(A1492, LEN(A1492)-FIND("~", SUBSTITUTE(A1492,"|","~", LEN(A1492)-LEN(SUBSTITUTE(A1492,"|",""))))),
    LEN($A1492)-LEN(SUBSTITUTE($A1492,"|",""))=13, MID($A1492, FIND("~", SUBSTITUTE($A1492,"|","~", 11))+1, FIND("~", SUBSTITUTE($A1492,"|","~", 12))-FIND("~", SUBSTITUTE($A1492,"|","~", 11))-1),
    LEN($A1492)-LEN(SUBSTITUTE($A1492,"|",""))=14, MID($A1492, FIND("~", SUBSTITUTE($A1492,"|","~", 11))+1, FIND("~", SUBSTITUTE($A1492,"|","~", 12))-FIND("~", SUBSTITUTE($A1492,"|","~", 11))-1)
), "")</f>
        <v/>
      </c>
      <c r="M1492" s="72" t="str">
        <f t="shared" si="195"/>
        <v/>
      </c>
      <c r="N1492" s="46" t="str">
        <f t="shared" si="175"/>
        <v/>
      </c>
      <c r="O1492" s="76"/>
      <c r="P1492" s="76"/>
      <c r="Q1492" s="77"/>
      <c r="R1492" s="77"/>
      <c r="S1492" s="77"/>
      <c r="T1492" s="77"/>
      <c r="U1492" s="83"/>
      <c r="V1492" s="83"/>
      <c r="W1492" s="78"/>
      <c r="X1492" s="51" t="str">
        <f>IF(A1492="", "", IF(COUNTIFS(C$3:C1491, C1492, D$3:D1491, D1492, G$3:G1491, G1492) &gt; 0, "", "11:00"-AW1492))</f>
        <v/>
      </c>
      <c r="Y1492" s="79"/>
      <c r="Z1492" s="80"/>
      <c r="AA1492" s="81"/>
      <c r="AB1492" s="81"/>
      <c r="AC1492" s="81"/>
      <c r="AD1492" s="81"/>
      <c r="AE1492" s="81"/>
      <c r="AF1492" s="81"/>
      <c r="AG1492" s="81"/>
      <c r="AH1492" s="82"/>
      <c r="AI1492" s="81"/>
      <c r="AJ1492" s="81"/>
      <c r="AK1492" s="81"/>
      <c r="AL1492" s="81"/>
      <c r="AM1492" s="81"/>
      <c r="AN1492" s="81"/>
      <c r="AO1492" s="81"/>
      <c r="AP1492" s="81"/>
      <c r="AQ1492" s="81"/>
      <c r="AR1492" s="81"/>
      <c r="AS1492" s="81"/>
      <c r="AT1492" s="81"/>
      <c r="AU1492" s="53">
        <v>4.1666666666666699E-2</v>
      </c>
      <c r="AV1492" s="54" t="s">
        <v>37</v>
      </c>
      <c r="AW1492" s="57">
        <f t="shared" si="193"/>
        <v>4.1666666666666699E-2</v>
      </c>
      <c r="AX1492" s="58"/>
    </row>
    <row r="1493" spans="1:50" ht="28.5" customHeight="1">
      <c r="A1493" s="66"/>
      <c r="B1493" s="39" t="str">
        <f t="shared" si="198"/>
        <v/>
      </c>
      <c r="C1493" s="40"/>
      <c r="D1493" s="40"/>
      <c r="E1493" s="40"/>
      <c r="F1493" s="41"/>
      <c r="G1493" s="42"/>
      <c r="H1493" s="43" t="str">
        <f>IFERROR(VLOOKUP($J1493,'[9]FROM (3)'!$E$4:$F$230,2,FALSE),"")</f>
        <v/>
      </c>
      <c r="I1493" s="44" t="str">
        <f t="shared" si="197"/>
        <v/>
      </c>
      <c r="J1493" s="44" t="str">
        <f t="shared" si="194"/>
        <v/>
      </c>
      <c r="K1493" s="59" t="str">
        <f t="shared" si="196"/>
        <v/>
      </c>
      <c r="L1493" s="46" t="str" cm="1">
        <f t="array" ref="L1493">IFERROR(_xlfn.IFS(
    LEN($A1493)-LEN(SUBSTITUTE($A1493,"|",""))=12, RIGHT(A1493, LEN(A1493)-FIND("~", SUBSTITUTE(A1493,"|","~", LEN(A1493)-LEN(SUBSTITUTE(A1493,"|",""))))),
    LEN($A1493)-LEN(SUBSTITUTE($A1493,"|",""))=13, MID($A1493, FIND("~", SUBSTITUTE($A1493,"|","~", 11))+1, FIND("~", SUBSTITUTE($A1493,"|","~", 12))-FIND("~", SUBSTITUTE($A1493,"|","~", 11))-1),
    LEN($A1493)-LEN(SUBSTITUTE($A1493,"|",""))=14, MID($A1493, FIND("~", SUBSTITUTE($A1493,"|","~", 11))+1, FIND("~", SUBSTITUTE($A1493,"|","~", 12))-FIND("~", SUBSTITUTE($A1493,"|","~", 11))-1)
), "")</f>
        <v/>
      </c>
      <c r="M1493" s="72" t="str">
        <f t="shared" si="195"/>
        <v/>
      </c>
      <c r="N1493" s="46" t="str">
        <f t="shared" si="175"/>
        <v/>
      </c>
      <c r="O1493" s="76"/>
      <c r="P1493" s="76"/>
      <c r="Q1493" s="77"/>
      <c r="R1493" s="77"/>
      <c r="S1493" s="77"/>
      <c r="T1493" s="77"/>
      <c r="U1493" s="83"/>
      <c r="V1493" s="83"/>
      <c r="W1493" s="78"/>
      <c r="X1493" s="51" t="str">
        <f>IF(A1493="", "", IF(COUNTIFS(C$3:C1492, C1493, D$3:D1492, D1493, G$3:G1492, G1493) &gt; 0, "", "11:00"-AW1493))</f>
        <v/>
      </c>
      <c r="Y1493" s="79"/>
      <c r="Z1493" s="80"/>
      <c r="AA1493" s="81"/>
      <c r="AB1493" s="81"/>
      <c r="AC1493" s="81"/>
      <c r="AD1493" s="81"/>
      <c r="AE1493" s="81"/>
      <c r="AF1493" s="81"/>
      <c r="AG1493" s="81"/>
      <c r="AH1493" s="82"/>
      <c r="AI1493" s="81"/>
      <c r="AJ1493" s="81"/>
      <c r="AK1493" s="81"/>
      <c r="AL1493" s="81"/>
      <c r="AM1493" s="81"/>
      <c r="AN1493" s="81"/>
      <c r="AO1493" s="81"/>
      <c r="AP1493" s="81"/>
      <c r="AQ1493" s="81"/>
      <c r="AR1493" s="81"/>
      <c r="AS1493" s="81"/>
      <c r="AT1493" s="81"/>
      <c r="AU1493" s="53">
        <v>4.1666666666666699E-2</v>
      </c>
      <c r="AV1493" s="54" t="s">
        <v>37</v>
      </c>
      <c r="AW1493" s="57">
        <f t="shared" si="193"/>
        <v>4.1666666666666699E-2</v>
      </c>
      <c r="AX1493" s="58"/>
    </row>
    <row r="1494" spans="1:50" ht="28.5" customHeight="1">
      <c r="A1494" s="66"/>
      <c r="B1494" s="39" t="str">
        <f t="shared" si="198"/>
        <v/>
      </c>
      <c r="C1494" s="40"/>
      <c r="D1494" s="40"/>
      <c r="E1494" s="40"/>
      <c r="F1494" s="41"/>
      <c r="G1494" s="42"/>
      <c r="H1494" s="43" t="str">
        <f>IFERROR(VLOOKUP($J1494,'[9]FROM (3)'!$E$4:$F$230,2,FALSE),"")</f>
        <v/>
      </c>
      <c r="I1494" s="44" t="str">
        <f t="shared" si="197"/>
        <v/>
      </c>
      <c r="J1494" s="44" t="str">
        <f t="shared" si="194"/>
        <v/>
      </c>
      <c r="K1494" s="59" t="str">
        <f t="shared" si="196"/>
        <v/>
      </c>
      <c r="L1494" s="46" t="str" cm="1">
        <f t="array" ref="L1494">IFERROR(_xlfn.IFS(
    LEN($A1494)-LEN(SUBSTITUTE($A1494,"|",""))=12, RIGHT(A1494, LEN(A1494)-FIND("~", SUBSTITUTE(A1494,"|","~", LEN(A1494)-LEN(SUBSTITUTE(A1494,"|",""))))),
    LEN($A1494)-LEN(SUBSTITUTE($A1494,"|",""))=13, MID($A1494, FIND("~", SUBSTITUTE($A1494,"|","~", 11))+1, FIND("~", SUBSTITUTE($A1494,"|","~", 12))-FIND("~", SUBSTITUTE($A1494,"|","~", 11))-1),
    LEN($A1494)-LEN(SUBSTITUTE($A1494,"|",""))=14, MID($A1494, FIND("~", SUBSTITUTE($A1494,"|","~", 11))+1, FIND("~", SUBSTITUTE($A1494,"|","~", 12))-FIND("~", SUBSTITUTE($A1494,"|","~", 11))-1)
), "")</f>
        <v/>
      </c>
      <c r="M1494" s="72" t="str">
        <f t="shared" si="195"/>
        <v/>
      </c>
      <c r="N1494" s="46" t="str">
        <f t="shared" si="175"/>
        <v/>
      </c>
      <c r="O1494" s="76"/>
      <c r="P1494" s="76"/>
      <c r="Q1494" s="77"/>
      <c r="R1494" s="77"/>
      <c r="S1494" s="77"/>
      <c r="T1494" s="77"/>
      <c r="U1494" s="83"/>
      <c r="V1494" s="83"/>
      <c r="W1494" s="78"/>
      <c r="X1494" s="51" t="str">
        <f>IF(A1494="", "", IF(COUNTIFS(C$3:C1493, C1494, D$3:D1493, D1494, G$3:G1493, G1494) &gt; 0, "", "11:00"-AW1494))</f>
        <v/>
      </c>
      <c r="Y1494" s="79"/>
      <c r="Z1494" s="80"/>
      <c r="AA1494" s="81"/>
      <c r="AB1494" s="81"/>
      <c r="AC1494" s="81"/>
      <c r="AD1494" s="81"/>
      <c r="AE1494" s="81"/>
      <c r="AF1494" s="81"/>
      <c r="AG1494" s="81"/>
      <c r="AH1494" s="82"/>
      <c r="AI1494" s="81"/>
      <c r="AJ1494" s="81"/>
      <c r="AK1494" s="81"/>
      <c r="AL1494" s="81"/>
      <c r="AM1494" s="81"/>
      <c r="AN1494" s="81"/>
      <c r="AO1494" s="81"/>
      <c r="AP1494" s="81"/>
      <c r="AQ1494" s="81"/>
      <c r="AR1494" s="81"/>
      <c r="AS1494" s="81"/>
      <c r="AT1494" s="81"/>
      <c r="AU1494" s="53">
        <v>4.1666666666666699E-2</v>
      </c>
      <c r="AV1494" s="54" t="s">
        <v>37</v>
      </c>
      <c r="AW1494" s="57">
        <f t="shared" si="193"/>
        <v>4.1666666666666699E-2</v>
      </c>
      <c r="AX1494" s="58"/>
    </row>
    <row r="1495" spans="1:50" ht="28.5" customHeight="1">
      <c r="A1495" s="66"/>
      <c r="B1495" s="39" t="str">
        <f t="shared" si="198"/>
        <v/>
      </c>
      <c r="C1495" s="40"/>
      <c r="D1495" s="40"/>
      <c r="E1495" s="40"/>
      <c r="F1495" s="41"/>
      <c r="G1495" s="42"/>
      <c r="H1495" s="43" t="str">
        <f>IFERROR(VLOOKUP($J1495,'[9]FROM (3)'!$E$4:$F$230,2,FALSE),"")</f>
        <v/>
      </c>
      <c r="I1495" s="44" t="str">
        <f t="shared" si="197"/>
        <v/>
      </c>
      <c r="J1495" s="44" t="str">
        <f t="shared" si="194"/>
        <v/>
      </c>
      <c r="K1495" s="59" t="str">
        <f t="shared" si="196"/>
        <v/>
      </c>
      <c r="L1495" s="46" t="str" cm="1">
        <f t="array" ref="L1495">IFERROR(_xlfn.IFS(
    LEN($A1495)-LEN(SUBSTITUTE($A1495,"|",""))=12, RIGHT(A1495, LEN(A1495)-FIND("~", SUBSTITUTE(A1495,"|","~", LEN(A1495)-LEN(SUBSTITUTE(A1495,"|",""))))),
    LEN($A1495)-LEN(SUBSTITUTE($A1495,"|",""))=13, MID($A1495, FIND("~", SUBSTITUTE($A1495,"|","~", 11))+1, FIND("~", SUBSTITUTE($A1495,"|","~", 12))-FIND("~", SUBSTITUTE($A1495,"|","~", 11))-1),
    LEN($A1495)-LEN(SUBSTITUTE($A1495,"|",""))=14, MID($A1495, FIND("~", SUBSTITUTE($A1495,"|","~", 11))+1, FIND("~", SUBSTITUTE($A1495,"|","~", 12))-FIND("~", SUBSTITUTE($A1495,"|","~", 11))-1)
), "")</f>
        <v/>
      </c>
      <c r="M1495" s="72" t="str">
        <f t="shared" si="195"/>
        <v/>
      </c>
      <c r="N1495" s="46" t="str">
        <f t="shared" si="175"/>
        <v/>
      </c>
      <c r="O1495" s="76"/>
      <c r="P1495" s="76"/>
      <c r="Q1495" s="77"/>
      <c r="R1495" s="77"/>
      <c r="S1495" s="77"/>
      <c r="T1495" s="77"/>
      <c r="U1495" s="83"/>
      <c r="V1495" s="83"/>
      <c r="W1495" s="78"/>
      <c r="X1495" s="51" t="str">
        <f>IF(A1495="", "", IF(COUNTIFS(C$3:C1494, C1495, D$3:D1494, D1495, G$3:G1494, G1495) &gt; 0, "", "11:00"-AW1495))</f>
        <v/>
      </c>
      <c r="Y1495" s="79"/>
      <c r="Z1495" s="80"/>
      <c r="AA1495" s="81"/>
      <c r="AB1495" s="81"/>
      <c r="AC1495" s="81"/>
      <c r="AD1495" s="81"/>
      <c r="AE1495" s="81"/>
      <c r="AF1495" s="81"/>
      <c r="AG1495" s="81"/>
      <c r="AH1495" s="82"/>
      <c r="AI1495" s="81"/>
      <c r="AJ1495" s="81"/>
      <c r="AK1495" s="81"/>
      <c r="AL1495" s="81"/>
      <c r="AM1495" s="81"/>
      <c r="AN1495" s="81"/>
      <c r="AO1495" s="81"/>
      <c r="AP1495" s="81"/>
      <c r="AQ1495" s="81"/>
      <c r="AR1495" s="81"/>
      <c r="AS1495" s="81"/>
      <c r="AT1495" s="81"/>
      <c r="AU1495" s="53">
        <v>4.1666666666666699E-2</v>
      </c>
      <c r="AV1495" s="54" t="s">
        <v>37</v>
      </c>
      <c r="AW1495" s="57">
        <f t="shared" si="193"/>
        <v>4.1666666666666699E-2</v>
      </c>
      <c r="AX1495" s="58"/>
    </row>
    <row r="1496" spans="1:50" ht="28.5" customHeight="1">
      <c r="A1496" s="66"/>
      <c r="B1496" s="39" t="str">
        <f t="shared" si="198"/>
        <v/>
      </c>
      <c r="C1496" s="40"/>
      <c r="D1496" s="40"/>
      <c r="E1496" s="40"/>
      <c r="F1496" s="41"/>
      <c r="G1496" s="42"/>
      <c r="H1496" s="43" t="str">
        <f>IFERROR(VLOOKUP($J1496,'[9]FROM (3)'!$E$4:$F$230,2,FALSE),"")</f>
        <v/>
      </c>
      <c r="I1496" s="44" t="str">
        <f t="shared" si="197"/>
        <v/>
      </c>
      <c r="J1496" s="44" t="str">
        <f t="shared" si="194"/>
        <v/>
      </c>
      <c r="K1496" s="59" t="str">
        <f t="shared" si="196"/>
        <v/>
      </c>
      <c r="L1496" s="46" t="str" cm="1">
        <f t="array" ref="L1496">IFERROR(_xlfn.IFS(
    LEN($A1496)-LEN(SUBSTITUTE($A1496,"|",""))=12, RIGHT(A1496, LEN(A1496)-FIND("~", SUBSTITUTE(A1496,"|","~", LEN(A1496)-LEN(SUBSTITUTE(A1496,"|",""))))),
    LEN($A1496)-LEN(SUBSTITUTE($A1496,"|",""))=13, MID($A1496, FIND("~", SUBSTITUTE($A1496,"|","~", 11))+1, FIND("~", SUBSTITUTE($A1496,"|","~", 12))-FIND("~", SUBSTITUTE($A1496,"|","~", 11))-1),
    LEN($A1496)-LEN(SUBSTITUTE($A1496,"|",""))=14, MID($A1496, FIND("~", SUBSTITUTE($A1496,"|","~", 11))+1, FIND("~", SUBSTITUTE($A1496,"|","~", 12))-FIND("~", SUBSTITUTE($A1496,"|","~", 11))-1)
), "")</f>
        <v/>
      </c>
      <c r="M1496" s="72" t="str">
        <f t="shared" si="195"/>
        <v/>
      </c>
      <c r="N1496" s="46" t="str">
        <f t="shared" si="175"/>
        <v/>
      </c>
      <c r="O1496" s="76"/>
      <c r="P1496" s="76"/>
      <c r="Q1496" s="77"/>
      <c r="R1496" s="77"/>
      <c r="S1496" s="77"/>
      <c r="T1496" s="77"/>
      <c r="U1496" s="83"/>
      <c r="V1496" s="83"/>
      <c r="W1496" s="78"/>
      <c r="X1496" s="51" t="str">
        <f>IF(A1496="", "", IF(COUNTIFS(C$3:C1495, C1496, D$3:D1495, D1496, G$3:G1495, G1496) &gt; 0, "", "11:00"-AW1496))</f>
        <v/>
      </c>
      <c r="Y1496" s="79"/>
      <c r="Z1496" s="80"/>
      <c r="AA1496" s="81"/>
      <c r="AB1496" s="81"/>
      <c r="AC1496" s="81"/>
      <c r="AD1496" s="81"/>
      <c r="AE1496" s="81"/>
      <c r="AF1496" s="81"/>
      <c r="AG1496" s="81"/>
      <c r="AH1496" s="82"/>
      <c r="AI1496" s="81"/>
      <c r="AJ1496" s="81"/>
      <c r="AK1496" s="81"/>
      <c r="AL1496" s="81"/>
      <c r="AM1496" s="81"/>
      <c r="AN1496" s="81"/>
      <c r="AO1496" s="81"/>
      <c r="AP1496" s="81"/>
      <c r="AQ1496" s="81"/>
      <c r="AR1496" s="81"/>
      <c r="AS1496" s="81"/>
      <c r="AT1496" s="81"/>
      <c r="AU1496" s="53">
        <v>4.1666666666666699E-2</v>
      </c>
      <c r="AV1496" s="54" t="s">
        <v>37</v>
      </c>
      <c r="AW1496" s="57">
        <f t="shared" si="193"/>
        <v>4.1666666666666699E-2</v>
      </c>
      <c r="AX1496" s="58"/>
    </row>
    <row r="1497" spans="1:50" ht="28.5" customHeight="1">
      <c r="A1497" s="66"/>
      <c r="B1497" s="39" t="str">
        <f t="shared" si="198"/>
        <v/>
      </c>
      <c r="C1497" s="40"/>
      <c r="D1497" s="40"/>
      <c r="E1497" s="40"/>
      <c r="F1497" s="41"/>
      <c r="G1497" s="42"/>
      <c r="H1497" s="43" t="str">
        <f>IFERROR(VLOOKUP($J1497,'[9]FROM (3)'!$E$4:$F$230,2,FALSE),"")</f>
        <v/>
      </c>
      <c r="I1497" s="44" t="str">
        <f t="shared" si="197"/>
        <v/>
      </c>
      <c r="J1497" s="44" t="str">
        <f t="shared" si="194"/>
        <v/>
      </c>
      <c r="K1497" s="59" t="str">
        <f t="shared" si="196"/>
        <v/>
      </c>
      <c r="L1497" s="46" t="str" cm="1">
        <f t="array" ref="L1497">IFERROR(_xlfn.IFS(
    LEN($A1497)-LEN(SUBSTITUTE($A1497,"|",""))=12, RIGHT(A1497, LEN(A1497)-FIND("~", SUBSTITUTE(A1497,"|","~", LEN(A1497)-LEN(SUBSTITUTE(A1497,"|",""))))),
    LEN($A1497)-LEN(SUBSTITUTE($A1497,"|",""))=13, MID($A1497, FIND("~", SUBSTITUTE($A1497,"|","~", 11))+1, FIND("~", SUBSTITUTE($A1497,"|","~", 12))-FIND("~", SUBSTITUTE($A1497,"|","~", 11))-1),
    LEN($A1497)-LEN(SUBSTITUTE($A1497,"|",""))=14, MID($A1497, FIND("~", SUBSTITUTE($A1497,"|","~", 11))+1, FIND("~", SUBSTITUTE($A1497,"|","~", 12))-FIND("~", SUBSTITUTE($A1497,"|","~", 11))-1)
), "")</f>
        <v/>
      </c>
      <c r="M1497" s="72" t="str">
        <f t="shared" si="195"/>
        <v/>
      </c>
      <c r="N1497" s="46" t="str">
        <f t="shared" si="175"/>
        <v/>
      </c>
      <c r="O1497" s="76"/>
      <c r="P1497" s="76"/>
      <c r="Q1497" s="77"/>
      <c r="R1497" s="77"/>
      <c r="S1497" s="77"/>
      <c r="T1497" s="77"/>
      <c r="U1497" s="83"/>
      <c r="V1497" s="83"/>
      <c r="W1497" s="78"/>
      <c r="X1497" s="51" t="str">
        <f>IF(A1497="", "", IF(COUNTIFS(C$3:C1496, C1497, D$3:D1496, D1497, G$3:G1496, G1497) &gt; 0, "", "11:00"-AW1497))</f>
        <v/>
      </c>
      <c r="Y1497" s="79"/>
      <c r="Z1497" s="80"/>
      <c r="AA1497" s="81"/>
      <c r="AB1497" s="81"/>
      <c r="AC1497" s="81"/>
      <c r="AD1497" s="81"/>
      <c r="AE1497" s="81"/>
      <c r="AF1497" s="81"/>
      <c r="AG1497" s="81"/>
      <c r="AH1497" s="82"/>
      <c r="AI1497" s="81"/>
      <c r="AJ1497" s="81"/>
      <c r="AK1497" s="81"/>
      <c r="AL1497" s="81"/>
      <c r="AM1497" s="81"/>
      <c r="AN1497" s="81"/>
      <c r="AO1497" s="81"/>
      <c r="AP1497" s="81"/>
      <c r="AQ1497" s="81"/>
      <c r="AR1497" s="81"/>
      <c r="AS1497" s="81"/>
      <c r="AT1497" s="81"/>
      <c r="AU1497" s="53">
        <v>4.1666666666666699E-2</v>
      </c>
      <c r="AV1497" s="54" t="s">
        <v>37</v>
      </c>
      <c r="AW1497" s="57">
        <f t="shared" si="193"/>
        <v>4.1666666666666699E-2</v>
      </c>
      <c r="AX1497" s="58"/>
    </row>
    <row r="1498" spans="1:50" ht="28.5" customHeight="1">
      <c r="A1498" s="66"/>
      <c r="B1498" s="39" t="str">
        <f t="shared" si="198"/>
        <v/>
      </c>
      <c r="C1498" s="40"/>
      <c r="D1498" s="40"/>
      <c r="E1498" s="40"/>
      <c r="F1498" s="41"/>
      <c r="G1498" s="42"/>
      <c r="H1498" s="43" t="str">
        <f>IFERROR(VLOOKUP($J1498,'[9]FROM (3)'!$E$4:$F$230,2,FALSE),"")</f>
        <v/>
      </c>
      <c r="I1498" s="44" t="str">
        <f t="shared" si="197"/>
        <v/>
      </c>
      <c r="J1498" s="44" t="str">
        <f t="shared" si="194"/>
        <v/>
      </c>
      <c r="K1498" s="59" t="str">
        <f t="shared" si="196"/>
        <v/>
      </c>
      <c r="L1498" s="46" t="str" cm="1">
        <f t="array" ref="L1498">IFERROR(_xlfn.IFS(
    LEN($A1498)-LEN(SUBSTITUTE($A1498,"|",""))=12, RIGHT(A1498, LEN(A1498)-FIND("~", SUBSTITUTE(A1498,"|","~", LEN(A1498)-LEN(SUBSTITUTE(A1498,"|",""))))),
    LEN($A1498)-LEN(SUBSTITUTE($A1498,"|",""))=13, MID($A1498, FIND("~", SUBSTITUTE($A1498,"|","~", 11))+1, FIND("~", SUBSTITUTE($A1498,"|","~", 12))-FIND("~", SUBSTITUTE($A1498,"|","~", 11))-1),
    LEN($A1498)-LEN(SUBSTITUTE($A1498,"|",""))=14, MID($A1498, FIND("~", SUBSTITUTE($A1498,"|","~", 11))+1, FIND("~", SUBSTITUTE($A1498,"|","~", 12))-FIND("~", SUBSTITUTE($A1498,"|","~", 11))-1)
), "")</f>
        <v/>
      </c>
      <c r="M1498" s="72" t="str">
        <f t="shared" si="195"/>
        <v/>
      </c>
      <c r="N1498" s="46" t="str">
        <f t="shared" si="175"/>
        <v/>
      </c>
      <c r="O1498" s="76"/>
      <c r="P1498" s="76"/>
      <c r="Q1498" s="77"/>
      <c r="R1498" s="77"/>
      <c r="S1498" s="77"/>
      <c r="T1498" s="77"/>
      <c r="U1498" s="83"/>
      <c r="V1498" s="83"/>
      <c r="W1498" s="78"/>
      <c r="X1498" s="51" t="str">
        <f>IF(A1498="", "", IF(COUNTIFS(C$3:C1497, C1498, D$3:D1497, D1498, G$3:G1497, G1498) &gt; 0, "", "11:00"-AW1498))</f>
        <v/>
      </c>
      <c r="Y1498" s="79"/>
      <c r="Z1498" s="80"/>
      <c r="AA1498" s="81"/>
      <c r="AB1498" s="81"/>
      <c r="AC1498" s="81"/>
      <c r="AD1498" s="81"/>
      <c r="AE1498" s="81"/>
      <c r="AF1498" s="81"/>
      <c r="AG1498" s="81"/>
      <c r="AH1498" s="82"/>
      <c r="AI1498" s="81"/>
      <c r="AJ1498" s="81"/>
      <c r="AK1498" s="81"/>
      <c r="AL1498" s="81"/>
      <c r="AM1498" s="81"/>
      <c r="AN1498" s="81"/>
      <c r="AO1498" s="81"/>
      <c r="AP1498" s="81"/>
      <c r="AQ1498" s="81"/>
      <c r="AR1498" s="81"/>
      <c r="AS1498" s="81"/>
      <c r="AT1498" s="81"/>
      <c r="AU1498" s="53">
        <v>4.1666666666666699E-2</v>
      </c>
      <c r="AV1498" s="54" t="s">
        <v>37</v>
      </c>
      <c r="AW1498" s="57">
        <f t="shared" si="193"/>
        <v>4.1666666666666699E-2</v>
      </c>
      <c r="AX1498" s="58"/>
    </row>
    <row r="1499" spans="1:50" ht="28.5" customHeight="1">
      <c r="A1499" s="66"/>
      <c r="B1499" s="39" t="str">
        <f t="shared" si="198"/>
        <v/>
      </c>
      <c r="C1499" s="40"/>
      <c r="D1499" s="40"/>
      <c r="E1499" s="40"/>
      <c r="F1499" s="41"/>
      <c r="G1499" s="42"/>
      <c r="H1499" s="43" t="str">
        <f>IFERROR(VLOOKUP($J1499,'[9]FROM (3)'!$E$4:$F$230,2,FALSE),"")</f>
        <v/>
      </c>
      <c r="I1499" s="44" t="str">
        <f t="shared" si="197"/>
        <v/>
      </c>
      <c r="J1499" s="44" t="str">
        <f t="shared" si="194"/>
        <v/>
      </c>
      <c r="K1499" s="59" t="str">
        <f t="shared" si="196"/>
        <v/>
      </c>
      <c r="L1499" s="46" t="str" cm="1">
        <f t="array" ref="L1499">IFERROR(_xlfn.IFS(
    LEN($A1499)-LEN(SUBSTITUTE($A1499,"|",""))=12, RIGHT(A1499, LEN(A1499)-FIND("~", SUBSTITUTE(A1499,"|","~", LEN(A1499)-LEN(SUBSTITUTE(A1499,"|",""))))),
    LEN($A1499)-LEN(SUBSTITUTE($A1499,"|",""))=13, MID($A1499, FIND("~", SUBSTITUTE($A1499,"|","~", 11))+1, FIND("~", SUBSTITUTE($A1499,"|","~", 12))-FIND("~", SUBSTITUTE($A1499,"|","~", 11))-1),
    LEN($A1499)-LEN(SUBSTITUTE($A1499,"|",""))=14, MID($A1499, FIND("~", SUBSTITUTE($A1499,"|","~", 11))+1, FIND("~", SUBSTITUTE($A1499,"|","~", 12))-FIND("~", SUBSTITUTE($A1499,"|","~", 11))-1)
), "")</f>
        <v/>
      </c>
      <c r="M1499" s="72" t="str">
        <f t="shared" si="195"/>
        <v/>
      </c>
      <c r="N1499" s="46" t="str">
        <f t="shared" si="175"/>
        <v/>
      </c>
      <c r="O1499" s="76"/>
      <c r="P1499" s="76"/>
      <c r="Q1499" s="77"/>
      <c r="R1499" s="77"/>
      <c r="S1499" s="77"/>
      <c r="T1499" s="77"/>
      <c r="U1499" s="83"/>
      <c r="V1499" s="83"/>
      <c r="W1499" s="78"/>
      <c r="X1499" s="51" t="str">
        <f>IF(A1499="", "", IF(COUNTIFS(C$3:C1498, C1499, D$3:D1498, D1499, G$3:G1498, G1499) &gt; 0, "", "11:00"-AW1499))</f>
        <v/>
      </c>
      <c r="Y1499" s="79"/>
      <c r="Z1499" s="80"/>
      <c r="AA1499" s="81"/>
      <c r="AB1499" s="81"/>
      <c r="AC1499" s="81"/>
      <c r="AD1499" s="81"/>
      <c r="AE1499" s="81"/>
      <c r="AF1499" s="81"/>
      <c r="AG1499" s="81"/>
      <c r="AH1499" s="82"/>
      <c r="AI1499" s="81"/>
      <c r="AJ1499" s="81"/>
      <c r="AK1499" s="81"/>
      <c r="AL1499" s="81"/>
      <c r="AM1499" s="81"/>
      <c r="AN1499" s="81"/>
      <c r="AO1499" s="81"/>
      <c r="AP1499" s="81"/>
      <c r="AQ1499" s="81"/>
      <c r="AR1499" s="81"/>
      <c r="AS1499" s="81"/>
      <c r="AT1499" s="81"/>
      <c r="AU1499" s="53">
        <v>4.1666666666666699E-2</v>
      </c>
      <c r="AV1499" s="54" t="s">
        <v>37</v>
      </c>
      <c r="AW1499" s="57">
        <f t="shared" si="193"/>
        <v>4.1666666666666699E-2</v>
      </c>
      <c r="AX1499" s="58"/>
    </row>
    <row r="1500" spans="1:50" ht="28.5" customHeight="1">
      <c r="A1500" s="66"/>
      <c r="B1500" s="39" t="str">
        <f t="shared" si="198"/>
        <v/>
      </c>
      <c r="C1500" s="40"/>
      <c r="D1500" s="40"/>
      <c r="E1500" s="40"/>
      <c r="F1500" s="41"/>
      <c r="G1500" s="42"/>
      <c r="H1500" s="43" t="str">
        <f>IFERROR(VLOOKUP($J1500,'[9]FROM (3)'!$E$4:$F$230,2,FALSE),"")</f>
        <v/>
      </c>
      <c r="I1500" s="44" t="str">
        <f t="shared" si="197"/>
        <v/>
      </c>
      <c r="J1500" s="44" t="str">
        <f t="shared" si="194"/>
        <v/>
      </c>
      <c r="K1500" s="59" t="str">
        <f t="shared" si="196"/>
        <v/>
      </c>
      <c r="L1500" s="46" t="str" cm="1">
        <f t="array" ref="L1500">IFERROR(_xlfn.IFS(
    LEN($A1500)-LEN(SUBSTITUTE($A1500,"|",""))=12, RIGHT(A1500, LEN(A1500)-FIND("~", SUBSTITUTE(A1500,"|","~", LEN(A1500)-LEN(SUBSTITUTE(A1500,"|",""))))),
    LEN($A1500)-LEN(SUBSTITUTE($A1500,"|",""))=13, MID($A1500, FIND("~", SUBSTITUTE($A1500,"|","~", 11))+1, FIND("~", SUBSTITUTE($A1500,"|","~", 12))-FIND("~", SUBSTITUTE($A1500,"|","~", 11))-1),
    LEN($A1500)-LEN(SUBSTITUTE($A1500,"|",""))=14, MID($A1500, FIND("~", SUBSTITUTE($A1500,"|","~", 11))+1, FIND("~", SUBSTITUTE($A1500,"|","~", 12))-FIND("~", SUBSTITUTE($A1500,"|","~", 11))-1)
), "")</f>
        <v/>
      </c>
      <c r="M1500" s="72" t="str">
        <f t="shared" si="195"/>
        <v/>
      </c>
      <c r="N1500" s="46" t="str">
        <f t="shared" si="175"/>
        <v/>
      </c>
      <c r="O1500" s="76"/>
      <c r="P1500" s="76"/>
      <c r="Q1500" s="77"/>
      <c r="R1500" s="77"/>
      <c r="S1500" s="77"/>
      <c r="T1500" s="77"/>
      <c r="U1500" s="83"/>
      <c r="V1500" s="83"/>
      <c r="W1500" s="78"/>
      <c r="X1500" s="51" t="str">
        <f>IF(A1500="", "", IF(COUNTIFS(C$3:C1499, C1500, D$3:D1499, D1500, G$3:G1499, G1500) &gt; 0, "", "11:00"-AW1500))</f>
        <v/>
      </c>
      <c r="Y1500" s="79"/>
      <c r="Z1500" s="80"/>
      <c r="AA1500" s="81"/>
      <c r="AB1500" s="81"/>
      <c r="AC1500" s="81"/>
      <c r="AD1500" s="81"/>
      <c r="AE1500" s="81"/>
      <c r="AF1500" s="81"/>
      <c r="AG1500" s="81"/>
      <c r="AH1500" s="82"/>
      <c r="AI1500" s="81"/>
      <c r="AJ1500" s="81"/>
      <c r="AK1500" s="81"/>
      <c r="AL1500" s="81"/>
      <c r="AM1500" s="81"/>
      <c r="AN1500" s="81"/>
      <c r="AO1500" s="81"/>
      <c r="AP1500" s="81"/>
      <c r="AQ1500" s="81"/>
      <c r="AR1500" s="81"/>
      <c r="AS1500" s="81"/>
      <c r="AT1500" s="81"/>
      <c r="AU1500" s="53">
        <v>4.1666666666666699E-2</v>
      </c>
      <c r="AV1500" s="54" t="s">
        <v>37</v>
      </c>
      <c r="AW1500" s="57">
        <f t="shared" si="193"/>
        <v>4.1666666666666699E-2</v>
      </c>
      <c r="AX1500" s="58"/>
    </row>
    <row r="1501" spans="1:50" ht="28.5" customHeight="1">
      <c r="A1501" s="66"/>
      <c r="B1501" s="39" t="str">
        <f t="shared" si="198"/>
        <v/>
      </c>
      <c r="C1501" s="40"/>
      <c r="D1501" s="40"/>
      <c r="E1501" s="40"/>
      <c r="F1501" s="41"/>
      <c r="G1501" s="42"/>
      <c r="H1501" s="43" t="str">
        <f>IFERROR(VLOOKUP($J1501,'[9]FROM (3)'!$E$4:$F$230,2,FALSE),"")</f>
        <v/>
      </c>
      <c r="I1501" s="44" t="str">
        <f t="shared" si="197"/>
        <v/>
      </c>
      <c r="J1501" s="44" t="str">
        <f t="shared" si="194"/>
        <v/>
      </c>
      <c r="K1501" s="59" t="str">
        <f t="shared" si="196"/>
        <v/>
      </c>
      <c r="L1501" s="46" t="str" cm="1">
        <f t="array" ref="L1501">IFERROR(_xlfn.IFS(
    LEN($A1501)-LEN(SUBSTITUTE($A1501,"|",""))=12, RIGHT(A1501, LEN(A1501)-FIND("~", SUBSTITUTE(A1501,"|","~", LEN(A1501)-LEN(SUBSTITUTE(A1501,"|",""))))),
    LEN($A1501)-LEN(SUBSTITUTE($A1501,"|",""))=13, MID($A1501, FIND("~", SUBSTITUTE($A1501,"|","~", 11))+1, FIND("~", SUBSTITUTE($A1501,"|","~", 12))-FIND("~", SUBSTITUTE($A1501,"|","~", 11))-1),
    LEN($A1501)-LEN(SUBSTITUTE($A1501,"|",""))=14, MID($A1501, FIND("~", SUBSTITUTE($A1501,"|","~", 11))+1, FIND("~", SUBSTITUTE($A1501,"|","~", 12))-FIND("~", SUBSTITUTE($A1501,"|","~", 11))-1)
), "")</f>
        <v/>
      </c>
      <c r="M1501" s="72" t="str">
        <f t="shared" si="195"/>
        <v/>
      </c>
      <c r="N1501" s="46" t="str">
        <f t="shared" si="175"/>
        <v/>
      </c>
      <c r="O1501" s="76"/>
      <c r="P1501" s="76"/>
      <c r="Q1501" s="77"/>
      <c r="R1501" s="77"/>
      <c r="S1501" s="77"/>
      <c r="T1501" s="77"/>
      <c r="U1501" s="83"/>
      <c r="V1501" s="83"/>
      <c r="W1501" s="78"/>
      <c r="X1501" s="51" t="str">
        <f>IF(A1501="", "", IF(COUNTIFS(C$3:C1500, C1501, D$3:D1500, D1501, G$3:G1500, G1501) &gt; 0, "", "11:00"-AW1501))</f>
        <v/>
      </c>
      <c r="Y1501" s="79"/>
      <c r="Z1501" s="80"/>
      <c r="AA1501" s="81"/>
      <c r="AB1501" s="81"/>
      <c r="AC1501" s="81"/>
      <c r="AD1501" s="81"/>
      <c r="AE1501" s="81"/>
      <c r="AF1501" s="81"/>
      <c r="AG1501" s="81"/>
      <c r="AH1501" s="82"/>
      <c r="AI1501" s="81"/>
      <c r="AJ1501" s="81"/>
      <c r="AK1501" s="81"/>
      <c r="AL1501" s="81"/>
      <c r="AM1501" s="81"/>
      <c r="AN1501" s="81"/>
      <c r="AO1501" s="81"/>
      <c r="AP1501" s="81"/>
      <c r="AQ1501" s="81"/>
      <c r="AR1501" s="81"/>
      <c r="AS1501" s="81"/>
      <c r="AT1501" s="81"/>
      <c r="AU1501" s="87"/>
      <c r="AV1501" s="81"/>
      <c r="AW1501" s="88"/>
      <c r="AX1501" s="58"/>
    </row>
    <row r="1502" spans="1:50" ht="28.5" customHeight="1">
      <c r="A1502" s="66"/>
      <c r="B1502" s="39" t="str">
        <f t="shared" si="198"/>
        <v/>
      </c>
      <c r="C1502" s="40"/>
      <c r="D1502" s="40"/>
      <c r="E1502" s="40"/>
      <c r="F1502" s="41"/>
      <c r="G1502" s="42"/>
      <c r="H1502" s="43" t="str">
        <f>IFERROR(VLOOKUP($J1502,'[9]FROM (3)'!$E$4:$F$230,2,FALSE),"")</f>
        <v/>
      </c>
      <c r="I1502" s="44" t="str">
        <f t="shared" si="197"/>
        <v/>
      </c>
      <c r="J1502" s="44" t="str">
        <f t="shared" si="194"/>
        <v/>
      </c>
      <c r="K1502" s="59" t="str">
        <f t="shared" si="196"/>
        <v/>
      </c>
      <c r="L1502" s="46" t="str" cm="1">
        <f t="array" ref="L1502">IFERROR(_xlfn.IFS(
    LEN($A1502)-LEN(SUBSTITUTE($A1502,"|",""))=12, RIGHT(A1502, LEN(A1502)-FIND("~", SUBSTITUTE(A1502,"|","~", LEN(A1502)-LEN(SUBSTITUTE(A1502,"|",""))))),
    LEN($A1502)-LEN(SUBSTITUTE($A1502,"|",""))=13, MID($A1502, FIND("~", SUBSTITUTE($A1502,"|","~", 11))+1, FIND("~", SUBSTITUTE($A1502,"|","~", 12))-FIND("~", SUBSTITUTE($A1502,"|","~", 11))-1),
    LEN($A1502)-LEN(SUBSTITUTE($A1502,"|",""))=14, MID($A1502, FIND("~", SUBSTITUTE($A1502,"|","~", 11))+1, FIND("~", SUBSTITUTE($A1502,"|","~", 12))-FIND("~", SUBSTITUTE($A1502,"|","~", 11))-1)
), "")</f>
        <v/>
      </c>
      <c r="M1502" s="72" t="str">
        <f t="shared" si="195"/>
        <v/>
      </c>
      <c r="N1502" s="46" t="str">
        <f t="shared" si="175"/>
        <v/>
      </c>
      <c r="O1502" s="76"/>
      <c r="P1502" s="76"/>
      <c r="Q1502" s="77"/>
      <c r="R1502" s="77"/>
      <c r="S1502" s="77"/>
      <c r="T1502" s="77"/>
      <c r="U1502" s="83"/>
      <c r="V1502" s="83"/>
      <c r="W1502" s="78"/>
      <c r="X1502" s="51" t="str">
        <f>IF(A1502="", "", IF(COUNTIFS(C$3:C1501, C1502, D$3:D1501, D1502, G$3:G1501, G1502) &gt; 0, "", "11:00"-AW1502))</f>
        <v/>
      </c>
      <c r="Y1502" s="79"/>
      <c r="Z1502" s="80"/>
      <c r="AA1502" s="81"/>
      <c r="AB1502" s="81"/>
      <c r="AC1502" s="81"/>
      <c r="AD1502" s="81"/>
      <c r="AE1502" s="81"/>
      <c r="AF1502" s="81"/>
      <c r="AG1502" s="81"/>
      <c r="AH1502" s="82"/>
      <c r="AI1502" s="81"/>
      <c r="AJ1502" s="81"/>
      <c r="AK1502" s="81"/>
      <c r="AL1502" s="81"/>
      <c r="AM1502" s="81"/>
      <c r="AN1502" s="81"/>
      <c r="AO1502" s="81"/>
      <c r="AP1502" s="81"/>
      <c r="AQ1502" s="81"/>
      <c r="AR1502" s="81"/>
      <c r="AS1502" s="81"/>
      <c r="AT1502" s="81"/>
      <c r="AU1502" s="87"/>
      <c r="AV1502" s="81"/>
      <c r="AW1502" s="88"/>
      <c r="AX1502" s="58"/>
    </row>
    <row r="1503" spans="1:50" ht="28.5" customHeight="1">
      <c r="A1503" s="66"/>
      <c r="B1503" s="39" t="str">
        <f t="shared" si="198"/>
        <v/>
      </c>
      <c r="C1503" s="40"/>
      <c r="D1503" s="40"/>
      <c r="E1503" s="40"/>
      <c r="F1503" s="41"/>
      <c r="G1503" s="42"/>
      <c r="H1503" s="43" t="str">
        <f>IFERROR(VLOOKUP($J1503,'[9]FROM (3)'!$E$4:$F$230,2,FALSE),"")</f>
        <v/>
      </c>
      <c r="I1503" s="44" t="str">
        <f t="shared" si="197"/>
        <v/>
      </c>
      <c r="J1503" s="44" t="str">
        <f t="shared" si="194"/>
        <v/>
      </c>
      <c r="K1503" s="59" t="str">
        <f t="shared" si="196"/>
        <v/>
      </c>
      <c r="L1503" s="46" t="str" cm="1">
        <f t="array" ref="L1503">IFERROR(_xlfn.IFS(
    LEN($A1503)-LEN(SUBSTITUTE($A1503,"|",""))=12, RIGHT(A1503, LEN(A1503)-FIND("~", SUBSTITUTE(A1503,"|","~", LEN(A1503)-LEN(SUBSTITUTE(A1503,"|",""))))),
    LEN($A1503)-LEN(SUBSTITUTE($A1503,"|",""))=13, MID($A1503, FIND("~", SUBSTITUTE($A1503,"|","~", 11))+1, FIND("~", SUBSTITUTE($A1503,"|","~", 12))-FIND("~", SUBSTITUTE($A1503,"|","~", 11))-1),
    LEN($A1503)-LEN(SUBSTITUTE($A1503,"|",""))=14, MID($A1503, FIND("~", SUBSTITUTE($A1503,"|","~", 11))+1, FIND("~", SUBSTITUTE($A1503,"|","~", 12))-FIND("~", SUBSTITUTE($A1503,"|","~", 11))-1)
), "")</f>
        <v/>
      </c>
      <c r="M1503" s="72" t="str">
        <f t="shared" si="195"/>
        <v/>
      </c>
      <c r="N1503" s="46" t="str">
        <f t="shared" si="175"/>
        <v/>
      </c>
      <c r="O1503" s="76"/>
      <c r="P1503" s="76"/>
      <c r="Q1503" s="77"/>
      <c r="R1503" s="77"/>
      <c r="S1503" s="77"/>
      <c r="T1503" s="77"/>
      <c r="U1503" s="83"/>
      <c r="V1503" s="83"/>
      <c r="W1503" s="78"/>
      <c r="X1503" s="51" t="str">
        <f>IF(A1503="", "", IF(COUNTIFS(C$3:C1502, C1503, D$3:D1502, D1503, G$3:G1502, G1503) &gt; 0, "", "11:00"-AW1503))</f>
        <v/>
      </c>
      <c r="Y1503" s="79"/>
      <c r="Z1503" s="80"/>
      <c r="AA1503" s="81"/>
      <c r="AB1503" s="81"/>
      <c r="AC1503" s="81"/>
      <c r="AD1503" s="81"/>
      <c r="AE1503" s="81"/>
      <c r="AF1503" s="81"/>
      <c r="AG1503" s="81"/>
      <c r="AH1503" s="82"/>
      <c r="AI1503" s="81"/>
      <c r="AJ1503" s="81"/>
      <c r="AK1503" s="81"/>
      <c r="AL1503" s="81"/>
      <c r="AM1503" s="81"/>
      <c r="AN1503" s="81"/>
      <c r="AO1503" s="81"/>
      <c r="AP1503" s="81"/>
      <c r="AQ1503" s="81"/>
      <c r="AR1503" s="81"/>
      <c r="AS1503" s="81"/>
      <c r="AT1503" s="81"/>
      <c r="AU1503" s="87"/>
      <c r="AV1503" s="81"/>
      <c r="AW1503" s="88"/>
      <c r="AX1503" s="58"/>
    </row>
    <row r="1504" spans="1:50" ht="28.5" customHeight="1">
      <c r="A1504" s="66"/>
      <c r="B1504" s="39" t="str">
        <f t="shared" si="198"/>
        <v/>
      </c>
      <c r="C1504" s="40"/>
      <c r="D1504" s="40"/>
      <c r="E1504" s="40"/>
      <c r="F1504" s="41"/>
      <c r="G1504" s="42"/>
      <c r="H1504" s="43" t="str">
        <f>IFERROR(VLOOKUP($J1504,'[9]FROM (3)'!$E$4:$F$230,2,FALSE),"")</f>
        <v/>
      </c>
      <c r="I1504" s="44" t="str">
        <f t="shared" si="197"/>
        <v/>
      </c>
      <c r="J1504" s="44" t="str">
        <f t="shared" si="194"/>
        <v/>
      </c>
      <c r="K1504" s="59" t="str">
        <f t="shared" si="196"/>
        <v/>
      </c>
      <c r="L1504" s="46" t="str" cm="1">
        <f t="array" ref="L1504">IFERROR(_xlfn.IFS(
    LEN($A1504)-LEN(SUBSTITUTE($A1504,"|",""))=12, RIGHT(A1504, LEN(A1504)-FIND("~", SUBSTITUTE(A1504,"|","~", LEN(A1504)-LEN(SUBSTITUTE(A1504,"|",""))))),
    LEN($A1504)-LEN(SUBSTITUTE($A1504,"|",""))=13, MID($A1504, FIND("~", SUBSTITUTE($A1504,"|","~", 11))+1, FIND("~", SUBSTITUTE($A1504,"|","~", 12))-FIND("~", SUBSTITUTE($A1504,"|","~", 11))-1),
    LEN($A1504)-LEN(SUBSTITUTE($A1504,"|",""))=14, MID($A1504, FIND("~", SUBSTITUTE($A1504,"|","~", 11))+1, FIND("~", SUBSTITUTE($A1504,"|","~", 12))-FIND("~", SUBSTITUTE($A1504,"|","~", 11))-1)
), "")</f>
        <v/>
      </c>
      <c r="M1504" s="72" t="str">
        <f t="shared" si="195"/>
        <v/>
      </c>
      <c r="N1504" s="46" t="str">
        <f t="shared" si="175"/>
        <v/>
      </c>
      <c r="O1504" s="76"/>
      <c r="P1504" s="76"/>
      <c r="Q1504" s="77"/>
      <c r="R1504" s="77"/>
      <c r="S1504" s="77"/>
      <c r="T1504" s="77"/>
      <c r="U1504" s="83"/>
      <c r="V1504" s="83"/>
      <c r="W1504" s="78"/>
      <c r="X1504" s="51" t="str">
        <f>IF(A1504="", "", IF(COUNTIFS(C$3:C1503, C1504, D$3:D1503, D1504, G$3:G1503, G1504) &gt; 0, "", "11:00"-AW1504))</f>
        <v/>
      </c>
      <c r="Y1504" s="79"/>
      <c r="Z1504" s="80"/>
      <c r="AA1504" s="81"/>
      <c r="AB1504" s="81"/>
      <c r="AC1504" s="81"/>
      <c r="AD1504" s="81"/>
      <c r="AE1504" s="81"/>
      <c r="AF1504" s="81"/>
      <c r="AG1504" s="81"/>
      <c r="AH1504" s="82"/>
      <c r="AI1504" s="81"/>
      <c r="AJ1504" s="81"/>
      <c r="AK1504" s="81"/>
      <c r="AL1504" s="81"/>
      <c r="AM1504" s="81"/>
      <c r="AN1504" s="81"/>
      <c r="AO1504" s="81"/>
      <c r="AP1504" s="81"/>
      <c r="AQ1504" s="81"/>
      <c r="AR1504" s="81"/>
      <c r="AS1504" s="81"/>
      <c r="AT1504" s="81"/>
      <c r="AU1504" s="87"/>
      <c r="AV1504" s="81"/>
      <c r="AW1504" s="88"/>
      <c r="AX1504" s="58"/>
    </row>
    <row r="1505" spans="1:50" ht="28.5" customHeight="1">
      <c r="A1505" s="66"/>
      <c r="B1505" s="39" t="str">
        <f t="shared" si="198"/>
        <v/>
      </c>
      <c r="C1505" s="40"/>
      <c r="D1505" s="40"/>
      <c r="E1505" s="40"/>
      <c r="F1505" s="41"/>
      <c r="G1505" s="42"/>
      <c r="H1505" s="43" t="str">
        <f>IFERROR(VLOOKUP($J1505,'[9]FROM (3)'!$E$4:$F$230,2,FALSE),"")</f>
        <v/>
      </c>
      <c r="I1505" s="44" t="str">
        <f t="shared" si="197"/>
        <v/>
      </c>
      <c r="J1505" s="44" t="str">
        <f t="shared" si="194"/>
        <v/>
      </c>
      <c r="K1505" s="59" t="str">
        <f t="shared" si="196"/>
        <v/>
      </c>
      <c r="L1505" s="46" t="str" cm="1">
        <f t="array" ref="L1505">IFERROR(_xlfn.IFS(
    LEN($A1505)-LEN(SUBSTITUTE($A1505,"|",""))=12, RIGHT(A1505, LEN(A1505)-FIND("~", SUBSTITUTE(A1505,"|","~", LEN(A1505)-LEN(SUBSTITUTE(A1505,"|",""))))),
    LEN($A1505)-LEN(SUBSTITUTE($A1505,"|",""))=13, MID($A1505, FIND("~", SUBSTITUTE($A1505,"|","~", 11))+1, FIND("~", SUBSTITUTE($A1505,"|","~", 12))-FIND("~", SUBSTITUTE($A1505,"|","~", 11))-1),
    LEN($A1505)-LEN(SUBSTITUTE($A1505,"|",""))=14, MID($A1505, FIND("~", SUBSTITUTE($A1505,"|","~", 11))+1, FIND("~", SUBSTITUTE($A1505,"|","~", 12))-FIND("~", SUBSTITUTE($A1505,"|","~", 11))-1)
), "")</f>
        <v/>
      </c>
      <c r="M1505" s="72" t="str">
        <f t="shared" si="195"/>
        <v/>
      </c>
      <c r="N1505" s="46" t="str">
        <f t="shared" si="175"/>
        <v/>
      </c>
      <c r="O1505" s="76"/>
      <c r="P1505" s="76"/>
      <c r="Q1505" s="77"/>
      <c r="R1505" s="77"/>
      <c r="S1505" s="77"/>
      <c r="T1505" s="77"/>
      <c r="U1505" s="83"/>
      <c r="V1505" s="83"/>
      <c r="W1505" s="78"/>
      <c r="X1505" s="51" t="str">
        <f>IF(A1505="", "", IF(COUNTIFS(C$3:C1504, C1505, D$3:D1504, D1505, G$3:G1504, G1505) &gt; 0, "", "11:00"-AW1505))</f>
        <v/>
      </c>
      <c r="Y1505" s="79"/>
      <c r="Z1505" s="80"/>
      <c r="AA1505" s="81"/>
      <c r="AB1505" s="81"/>
      <c r="AC1505" s="81"/>
      <c r="AD1505" s="81"/>
      <c r="AE1505" s="81"/>
      <c r="AF1505" s="81"/>
      <c r="AG1505" s="81"/>
      <c r="AH1505" s="82"/>
      <c r="AI1505" s="81"/>
      <c r="AJ1505" s="81"/>
      <c r="AK1505" s="81"/>
      <c r="AL1505" s="81"/>
      <c r="AM1505" s="81"/>
      <c r="AN1505" s="81"/>
      <c r="AO1505" s="81"/>
      <c r="AP1505" s="81"/>
      <c r="AQ1505" s="81"/>
      <c r="AR1505" s="81"/>
      <c r="AS1505" s="81"/>
      <c r="AT1505" s="81"/>
      <c r="AU1505" s="87"/>
      <c r="AV1505" s="81"/>
      <c r="AW1505" s="88"/>
      <c r="AX1505" s="58"/>
    </row>
    <row r="1506" spans="1:50" ht="28.5" customHeight="1">
      <c r="A1506" s="66"/>
      <c r="B1506" s="39" t="str">
        <f t="shared" si="198"/>
        <v/>
      </c>
      <c r="C1506" s="40"/>
      <c r="D1506" s="40"/>
      <c r="E1506" s="40"/>
      <c r="F1506" s="41"/>
      <c r="G1506" s="42"/>
      <c r="H1506" s="43" t="str">
        <f>IFERROR(VLOOKUP($J1506,'[9]FROM (3)'!$E$4:$F$230,2,FALSE),"")</f>
        <v/>
      </c>
      <c r="I1506" s="44" t="str">
        <f t="shared" si="197"/>
        <v/>
      </c>
      <c r="J1506" s="44" t="str">
        <f t="shared" si="194"/>
        <v/>
      </c>
      <c r="K1506" s="59" t="str">
        <f t="shared" si="196"/>
        <v/>
      </c>
      <c r="L1506" s="46" t="str" cm="1">
        <f t="array" ref="L1506">IFERROR(_xlfn.IFS(
    LEN($A1506)-LEN(SUBSTITUTE($A1506,"|",""))=12, RIGHT(A1506, LEN(A1506)-FIND("~", SUBSTITUTE(A1506,"|","~", LEN(A1506)-LEN(SUBSTITUTE(A1506,"|",""))))),
    LEN($A1506)-LEN(SUBSTITUTE($A1506,"|",""))=13, MID($A1506, FIND("~", SUBSTITUTE($A1506,"|","~", 11))+1, FIND("~", SUBSTITUTE($A1506,"|","~", 12))-FIND("~", SUBSTITUTE($A1506,"|","~", 11))-1),
    LEN($A1506)-LEN(SUBSTITUTE($A1506,"|",""))=14, MID($A1506, FIND("~", SUBSTITUTE($A1506,"|","~", 11))+1, FIND("~", SUBSTITUTE($A1506,"|","~", 12))-FIND("~", SUBSTITUTE($A1506,"|","~", 11))-1)
), "")</f>
        <v/>
      </c>
      <c r="M1506" s="72" t="str">
        <f t="shared" si="195"/>
        <v/>
      </c>
      <c r="N1506" s="46" t="str">
        <f t="shared" si="175"/>
        <v/>
      </c>
      <c r="O1506" s="76"/>
      <c r="P1506" s="76"/>
      <c r="Q1506" s="77"/>
      <c r="R1506" s="77"/>
      <c r="S1506" s="77"/>
      <c r="T1506" s="77"/>
      <c r="U1506" s="83"/>
      <c r="V1506" s="83"/>
      <c r="W1506" s="78"/>
      <c r="X1506" s="51" t="str">
        <f>IF(A1506="", "", IF(COUNTIFS(C$3:C1505, C1506, D$3:D1505, D1506, G$3:G1505, G1506) &gt; 0, "", "11:00"-AW1506))</f>
        <v/>
      </c>
      <c r="Y1506" s="79"/>
      <c r="Z1506" s="80"/>
      <c r="AA1506" s="81"/>
      <c r="AB1506" s="81"/>
      <c r="AC1506" s="81"/>
      <c r="AD1506" s="81"/>
      <c r="AE1506" s="81"/>
      <c r="AF1506" s="81"/>
      <c r="AG1506" s="81"/>
      <c r="AH1506" s="82"/>
      <c r="AI1506" s="81"/>
      <c r="AJ1506" s="81"/>
      <c r="AK1506" s="81"/>
      <c r="AL1506" s="81"/>
      <c r="AM1506" s="81"/>
      <c r="AN1506" s="81"/>
      <c r="AO1506" s="81"/>
      <c r="AP1506" s="81"/>
      <c r="AQ1506" s="81"/>
      <c r="AR1506" s="81"/>
      <c r="AS1506" s="81"/>
      <c r="AT1506" s="81"/>
      <c r="AU1506" s="87"/>
      <c r="AV1506" s="81"/>
      <c r="AW1506" s="88"/>
      <c r="AX1506" s="58"/>
    </row>
    <row r="1507" spans="1:50" ht="28.5" customHeight="1">
      <c r="A1507" s="66"/>
      <c r="B1507" s="39" t="str">
        <f t="shared" si="198"/>
        <v/>
      </c>
      <c r="C1507" s="40"/>
      <c r="D1507" s="40"/>
      <c r="E1507" s="40"/>
      <c r="F1507" s="41"/>
      <c r="G1507" s="42"/>
      <c r="H1507" s="43" t="str">
        <f>IFERROR(VLOOKUP($J1507,'[9]FROM (3)'!$E$4:$F$230,2,FALSE),"")</f>
        <v/>
      </c>
      <c r="I1507" s="44" t="str">
        <f t="shared" si="197"/>
        <v/>
      </c>
      <c r="J1507" s="44" t="str">
        <f t="shared" si="194"/>
        <v/>
      </c>
      <c r="K1507" s="59" t="str">
        <f t="shared" si="196"/>
        <v/>
      </c>
      <c r="L1507" s="46" t="str" cm="1">
        <f t="array" ref="L1507">IFERROR(_xlfn.IFS(
    LEN($A1507)-LEN(SUBSTITUTE($A1507,"|",""))=12, RIGHT(A1507, LEN(A1507)-FIND("~", SUBSTITUTE(A1507,"|","~", LEN(A1507)-LEN(SUBSTITUTE(A1507,"|",""))))),
    LEN($A1507)-LEN(SUBSTITUTE($A1507,"|",""))=13, MID($A1507, FIND("~", SUBSTITUTE($A1507,"|","~", 11))+1, FIND("~", SUBSTITUTE($A1507,"|","~", 12))-FIND("~", SUBSTITUTE($A1507,"|","~", 11))-1),
    LEN($A1507)-LEN(SUBSTITUTE($A1507,"|",""))=14, MID($A1507, FIND("~", SUBSTITUTE($A1507,"|","~", 11))+1, FIND("~", SUBSTITUTE($A1507,"|","~", 12))-FIND("~", SUBSTITUTE($A1507,"|","~", 11))-1)
), "")</f>
        <v/>
      </c>
      <c r="M1507" s="72" t="str">
        <f t="shared" si="195"/>
        <v/>
      </c>
      <c r="N1507" s="46" t="str">
        <f t="shared" si="175"/>
        <v/>
      </c>
      <c r="O1507" s="76"/>
      <c r="P1507" s="76"/>
      <c r="Q1507" s="77"/>
      <c r="R1507" s="77"/>
      <c r="S1507" s="77"/>
      <c r="T1507" s="77"/>
      <c r="U1507" s="83"/>
      <c r="V1507" s="83"/>
      <c r="W1507" s="78"/>
      <c r="X1507" s="51" t="str">
        <f>IF(A1507="", "", IF(COUNTIFS(C$3:C1506, C1507, D$3:D1506, D1507, G$3:G1506, G1507) &gt; 0, "", "11:00"-AW1507))</f>
        <v/>
      </c>
      <c r="Y1507" s="79"/>
      <c r="Z1507" s="80"/>
      <c r="AA1507" s="81"/>
      <c r="AB1507" s="81"/>
      <c r="AC1507" s="81"/>
      <c r="AD1507" s="81"/>
      <c r="AE1507" s="81"/>
      <c r="AF1507" s="81"/>
      <c r="AG1507" s="81"/>
      <c r="AH1507" s="82"/>
      <c r="AI1507" s="81"/>
      <c r="AJ1507" s="81"/>
      <c r="AK1507" s="81"/>
      <c r="AL1507" s="81"/>
      <c r="AM1507" s="81"/>
      <c r="AN1507" s="81"/>
      <c r="AO1507" s="81"/>
      <c r="AP1507" s="81"/>
      <c r="AQ1507" s="81"/>
      <c r="AR1507" s="81"/>
      <c r="AS1507" s="81"/>
      <c r="AT1507" s="81"/>
      <c r="AU1507" s="87"/>
      <c r="AV1507" s="81"/>
      <c r="AW1507" s="88"/>
      <c r="AX1507" s="58"/>
    </row>
    <row r="1508" spans="1:50" ht="28.5" customHeight="1">
      <c r="A1508" s="66"/>
      <c r="B1508" s="39" t="str">
        <f t="shared" si="198"/>
        <v/>
      </c>
      <c r="C1508" s="40"/>
      <c r="D1508" s="40"/>
      <c r="E1508" s="40"/>
      <c r="F1508" s="41"/>
      <c r="G1508" s="42"/>
      <c r="H1508" s="43" t="str">
        <f>IFERROR(VLOOKUP($J1508,'[9]FROM (3)'!$E$4:$F$230,2,FALSE),"")</f>
        <v/>
      </c>
      <c r="I1508" s="44" t="str">
        <f t="shared" si="197"/>
        <v/>
      </c>
      <c r="J1508" s="44" t="str">
        <f t="shared" si="194"/>
        <v/>
      </c>
      <c r="K1508" s="59" t="str">
        <f t="shared" si="196"/>
        <v/>
      </c>
      <c r="L1508" s="46" t="str" cm="1">
        <f t="array" ref="L1508">IFERROR(_xlfn.IFS(
    LEN($A1508)-LEN(SUBSTITUTE($A1508,"|",""))=12, RIGHT(A1508, LEN(A1508)-FIND("~", SUBSTITUTE(A1508,"|","~", LEN(A1508)-LEN(SUBSTITUTE(A1508,"|",""))))),
    LEN($A1508)-LEN(SUBSTITUTE($A1508,"|",""))=13, MID($A1508, FIND("~", SUBSTITUTE($A1508,"|","~", 11))+1, FIND("~", SUBSTITUTE($A1508,"|","~", 12))-FIND("~", SUBSTITUTE($A1508,"|","~", 11))-1),
    LEN($A1508)-LEN(SUBSTITUTE($A1508,"|",""))=14, MID($A1508, FIND("~", SUBSTITUTE($A1508,"|","~", 11))+1, FIND("~", SUBSTITUTE($A1508,"|","~", 12))-FIND("~", SUBSTITUTE($A1508,"|","~", 11))-1)
), "")</f>
        <v/>
      </c>
      <c r="M1508" s="72" t="str">
        <f t="shared" si="195"/>
        <v/>
      </c>
      <c r="N1508" s="46" t="str">
        <f t="shared" si="175"/>
        <v/>
      </c>
      <c r="O1508" s="76"/>
      <c r="P1508" s="76"/>
      <c r="Q1508" s="77"/>
      <c r="R1508" s="77"/>
      <c r="S1508" s="77"/>
      <c r="T1508" s="77"/>
      <c r="U1508" s="83"/>
      <c r="V1508" s="83"/>
      <c r="W1508" s="78"/>
      <c r="X1508" s="51" t="str">
        <f>IF(A1508="", "", IF(COUNTIFS(C$3:C1507, C1508, D$3:D1507, D1508, G$3:G1507, G1508) &gt; 0, "", "11:00"-AW1508))</f>
        <v/>
      </c>
      <c r="Y1508" s="79"/>
      <c r="Z1508" s="80"/>
      <c r="AA1508" s="81"/>
      <c r="AB1508" s="81"/>
      <c r="AC1508" s="81"/>
      <c r="AD1508" s="81"/>
      <c r="AE1508" s="81"/>
      <c r="AF1508" s="81"/>
      <c r="AG1508" s="81"/>
      <c r="AH1508" s="82"/>
      <c r="AI1508" s="81"/>
      <c r="AJ1508" s="81"/>
      <c r="AK1508" s="81"/>
      <c r="AL1508" s="81"/>
      <c r="AM1508" s="81"/>
      <c r="AN1508" s="81"/>
      <c r="AO1508" s="81"/>
      <c r="AP1508" s="81"/>
      <c r="AQ1508" s="81"/>
      <c r="AR1508" s="81"/>
      <c r="AS1508" s="81"/>
      <c r="AT1508" s="81"/>
      <c r="AU1508" s="87"/>
      <c r="AV1508" s="81"/>
      <c r="AW1508" s="88"/>
      <c r="AX1508" s="58"/>
    </row>
    <row r="1509" spans="1:50" ht="28.5" customHeight="1">
      <c r="A1509" s="66"/>
      <c r="B1509" s="39" t="str">
        <f t="shared" si="198"/>
        <v/>
      </c>
      <c r="C1509" s="40"/>
      <c r="D1509" s="40"/>
      <c r="E1509" s="40"/>
      <c r="F1509" s="41"/>
      <c r="G1509" s="42"/>
      <c r="H1509" s="43" t="str">
        <f>IFERROR(VLOOKUP($J1509,'[9]FROM (3)'!$E$4:$F$230,2,FALSE),"")</f>
        <v/>
      </c>
      <c r="I1509" s="44" t="str">
        <f t="shared" si="197"/>
        <v/>
      </c>
      <c r="J1509" s="44" t="str">
        <f t="shared" si="194"/>
        <v/>
      </c>
      <c r="K1509" s="59" t="str">
        <f t="shared" si="196"/>
        <v/>
      </c>
      <c r="L1509" s="46" t="str" cm="1">
        <f t="array" ref="L1509">IFERROR(_xlfn.IFS(
    LEN($A1509)-LEN(SUBSTITUTE($A1509,"|",""))=12, RIGHT(A1509, LEN(A1509)-FIND("~", SUBSTITUTE(A1509,"|","~", LEN(A1509)-LEN(SUBSTITUTE(A1509,"|",""))))),
    LEN($A1509)-LEN(SUBSTITUTE($A1509,"|",""))=13, MID($A1509, FIND("~", SUBSTITUTE($A1509,"|","~", 11))+1, FIND("~", SUBSTITUTE($A1509,"|","~", 12))-FIND("~", SUBSTITUTE($A1509,"|","~", 11))-1),
    LEN($A1509)-LEN(SUBSTITUTE($A1509,"|",""))=14, MID($A1509, FIND("~", SUBSTITUTE($A1509,"|","~", 11))+1, FIND("~", SUBSTITUTE($A1509,"|","~", 12))-FIND("~", SUBSTITUTE($A1509,"|","~", 11))-1)
), "")</f>
        <v/>
      </c>
      <c r="M1509" s="72" t="str">
        <f t="shared" si="195"/>
        <v/>
      </c>
      <c r="N1509" s="46" t="str">
        <f t="shared" si="175"/>
        <v/>
      </c>
      <c r="O1509" s="76"/>
      <c r="P1509" s="76"/>
      <c r="Q1509" s="77"/>
      <c r="R1509" s="77"/>
      <c r="S1509" s="77"/>
      <c r="T1509" s="77"/>
      <c r="U1509" s="83"/>
      <c r="V1509" s="83"/>
      <c r="W1509" s="78"/>
      <c r="X1509" s="51" t="str">
        <f>IF(A1509="", "", IF(COUNTIFS(C$3:C1508, C1509, D$3:D1508, D1509, G$3:G1508, G1509) &gt; 0, "", "11:00"-AW1509))</f>
        <v/>
      </c>
      <c r="Y1509" s="79"/>
      <c r="Z1509" s="80"/>
      <c r="AA1509" s="81"/>
      <c r="AB1509" s="81"/>
      <c r="AC1509" s="81"/>
      <c r="AD1509" s="81"/>
      <c r="AE1509" s="81"/>
      <c r="AF1509" s="81"/>
      <c r="AG1509" s="81"/>
      <c r="AH1509" s="82"/>
      <c r="AI1509" s="81"/>
      <c r="AJ1509" s="81"/>
      <c r="AK1509" s="81"/>
      <c r="AL1509" s="81"/>
      <c r="AM1509" s="81"/>
      <c r="AN1509" s="81"/>
      <c r="AO1509" s="81"/>
      <c r="AP1509" s="81"/>
      <c r="AQ1509" s="81"/>
      <c r="AR1509" s="81"/>
      <c r="AS1509" s="81"/>
      <c r="AT1509" s="81"/>
      <c r="AU1509" s="87"/>
      <c r="AV1509" s="81"/>
      <c r="AW1509" s="88"/>
      <c r="AX1509" s="58"/>
    </row>
    <row r="1510" spans="1:50" ht="28.5" customHeight="1">
      <c r="A1510" s="66"/>
      <c r="B1510" s="39" t="str">
        <f t="shared" si="198"/>
        <v/>
      </c>
      <c r="C1510" s="40"/>
      <c r="D1510" s="40"/>
      <c r="E1510" s="40"/>
      <c r="F1510" s="41"/>
      <c r="G1510" s="42"/>
      <c r="H1510" s="43" t="str">
        <f>IFERROR(VLOOKUP($J1510,'[9]FROM (3)'!$E$4:$F$230,2,FALSE),"")</f>
        <v/>
      </c>
      <c r="I1510" s="44" t="str">
        <f t="shared" si="197"/>
        <v/>
      </c>
      <c r="J1510" s="44" t="str">
        <f t="shared" si="194"/>
        <v/>
      </c>
      <c r="K1510" s="59" t="str">
        <f t="shared" si="196"/>
        <v/>
      </c>
      <c r="L1510" s="46" t="str" cm="1">
        <f t="array" ref="L1510">IFERROR(_xlfn.IFS(
    LEN($A1510)-LEN(SUBSTITUTE($A1510,"|",""))=12, RIGHT(A1510, LEN(A1510)-FIND("~", SUBSTITUTE(A1510,"|","~", LEN(A1510)-LEN(SUBSTITUTE(A1510,"|",""))))),
    LEN($A1510)-LEN(SUBSTITUTE($A1510,"|",""))=13, MID($A1510, FIND("~", SUBSTITUTE($A1510,"|","~", 11))+1, FIND("~", SUBSTITUTE($A1510,"|","~", 12))-FIND("~", SUBSTITUTE($A1510,"|","~", 11))-1),
    LEN($A1510)-LEN(SUBSTITUTE($A1510,"|",""))=14, MID($A1510, FIND("~", SUBSTITUTE($A1510,"|","~", 11))+1, FIND("~", SUBSTITUTE($A1510,"|","~", 12))-FIND("~", SUBSTITUTE($A1510,"|","~", 11))-1)
), "")</f>
        <v/>
      </c>
      <c r="M1510" s="72" t="str">
        <f t="shared" si="195"/>
        <v/>
      </c>
      <c r="N1510" s="46" t="str">
        <f t="shared" si="175"/>
        <v/>
      </c>
      <c r="O1510" s="76"/>
      <c r="P1510" s="76"/>
      <c r="Q1510" s="77"/>
      <c r="R1510" s="77"/>
      <c r="S1510" s="77"/>
      <c r="T1510" s="77"/>
      <c r="U1510" s="83"/>
      <c r="V1510" s="83"/>
      <c r="W1510" s="78"/>
      <c r="X1510" s="51" t="str">
        <f>IF(A1510="", "", IF(COUNTIFS(C$3:C1509, C1510, D$3:D1509, D1510, G$3:G1509, G1510) &gt; 0, "", "11:00"-AW1510))</f>
        <v/>
      </c>
      <c r="Y1510" s="79"/>
      <c r="Z1510" s="80"/>
      <c r="AA1510" s="81"/>
      <c r="AB1510" s="81"/>
      <c r="AC1510" s="81"/>
      <c r="AD1510" s="81"/>
      <c r="AE1510" s="81"/>
      <c r="AF1510" s="81"/>
      <c r="AG1510" s="81"/>
      <c r="AH1510" s="82"/>
      <c r="AI1510" s="81"/>
      <c r="AJ1510" s="81"/>
      <c r="AK1510" s="81"/>
      <c r="AL1510" s="81"/>
      <c r="AM1510" s="81"/>
      <c r="AN1510" s="81"/>
      <c r="AO1510" s="81"/>
      <c r="AP1510" s="81"/>
      <c r="AQ1510" s="81"/>
      <c r="AR1510" s="81"/>
      <c r="AS1510" s="81"/>
      <c r="AT1510" s="81"/>
      <c r="AU1510" s="87"/>
      <c r="AV1510" s="81"/>
      <c r="AW1510" s="88"/>
      <c r="AX1510" s="58"/>
    </row>
    <row r="1511" spans="1:50" ht="28.5" customHeight="1">
      <c r="A1511" s="66"/>
      <c r="B1511" s="39" t="str">
        <f t="shared" si="198"/>
        <v/>
      </c>
      <c r="C1511" s="40"/>
      <c r="D1511" s="40"/>
      <c r="E1511" s="40"/>
      <c r="F1511" s="41"/>
      <c r="G1511" s="42"/>
      <c r="H1511" s="43" t="str">
        <f>IFERROR(VLOOKUP($J1511,'[9]FROM (3)'!$E$4:$F$230,2,FALSE),"")</f>
        <v/>
      </c>
      <c r="I1511" s="44" t="str">
        <f t="shared" si="197"/>
        <v/>
      </c>
      <c r="J1511" s="44" t="str">
        <f t="shared" si="194"/>
        <v/>
      </c>
      <c r="K1511" s="59" t="str">
        <f t="shared" si="196"/>
        <v/>
      </c>
      <c r="L1511" s="46" t="str" cm="1">
        <f t="array" ref="L1511">IFERROR(_xlfn.IFS(
    LEN($A1511)-LEN(SUBSTITUTE($A1511,"|",""))=12, RIGHT(A1511, LEN(A1511)-FIND("~", SUBSTITUTE(A1511,"|","~", LEN(A1511)-LEN(SUBSTITUTE(A1511,"|",""))))),
    LEN($A1511)-LEN(SUBSTITUTE($A1511,"|",""))=13, MID($A1511, FIND("~", SUBSTITUTE($A1511,"|","~", 11))+1, FIND("~", SUBSTITUTE($A1511,"|","~", 12))-FIND("~", SUBSTITUTE($A1511,"|","~", 11))-1),
    LEN($A1511)-LEN(SUBSTITUTE($A1511,"|",""))=14, MID($A1511, FIND("~", SUBSTITUTE($A1511,"|","~", 11))+1, FIND("~", SUBSTITUTE($A1511,"|","~", 12))-FIND("~", SUBSTITUTE($A1511,"|","~", 11))-1)
), "")</f>
        <v/>
      </c>
      <c r="M1511" s="72" t="str">
        <f t="shared" si="195"/>
        <v/>
      </c>
      <c r="N1511" s="46" t="str">
        <f t="shared" si="175"/>
        <v/>
      </c>
      <c r="O1511" s="76"/>
      <c r="P1511" s="76"/>
      <c r="Q1511" s="77"/>
      <c r="R1511" s="77"/>
      <c r="S1511" s="77"/>
      <c r="T1511" s="77"/>
      <c r="U1511" s="83"/>
      <c r="V1511" s="83"/>
      <c r="W1511" s="78"/>
      <c r="X1511" s="51" t="str">
        <f>IF(A1511="", "", IF(COUNTIFS(C$3:C1510, C1511, D$3:D1510, D1511, G$3:G1510, G1511) &gt; 0, "", "11:00"-AW1511))</f>
        <v/>
      </c>
      <c r="Y1511" s="79"/>
      <c r="Z1511" s="80"/>
      <c r="AA1511" s="81"/>
      <c r="AB1511" s="81"/>
      <c r="AC1511" s="81"/>
      <c r="AD1511" s="81"/>
      <c r="AE1511" s="81"/>
      <c r="AF1511" s="81"/>
      <c r="AG1511" s="81"/>
      <c r="AH1511" s="82"/>
      <c r="AI1511" s="81"/>
      <c r="AJ1511" s="81"/>
      <c r="AK1511" s="81"/>
      <c r="AL1511" s="81"/>
      <c r="AM1511" s="81"/>
      <c r="AN1511" s="81"/>
      <c r="AO1511" s="81"/>
      <c r="AP1511" s="81"/>
      <c r="AQ1511" s="81"/>
      <c r="AR1511" s="81"/>
      <c r="AS1511" s="81"/>
      <c r="AT1511" s="81"/>
      <c r="AU1511" s="87"/>
      <c r="AV1511" s="81"/>
      <c r="AW1511" s="88"/>
      <c r="AX1511" s="58"/>
    </row>
    <row r="1512" spans="1:50" ht="28.5" customHeight="1">
      <c r="A1512" s="66"/>
      <c r="B1512" s="39" t="str">
        <f t="shared" si="198"/>
        <v/>
      </c>
      <c r="C1512" s="40"/>
      <c r="D1512" s="40"/>
      <c r="E1512" s="40"/>
      <c r="F1512" s="41"/>
      <c r="G1512" s="42"/>
      <c r="H1512" s="43" t="str">
        <f>IFERROR(VLOOKUP($J1512,'[9]FROM (3)'!$E$4:$F$230,2,FALSE),"")</f>
        <v/>
      </c>
      <c r="I1512" s="44" t="str">
        <f t="shared" si="197"/>
        <v/>
      </c>
      <c r="J1512" s="44" t="str">
        <f t="shared" si="194"/>
        <v/>
      </c>
      <c r="K1512" s="59" t="str">
        <f t="shared" si="196"/>
        <v/>
      </c>
      <c r="L1512" s="46" t="str" cm="1">
        <f t="array" ref="L1512">IFERROR(_xlfn.IFS(
    LEN($A1512)-LEN(SUBSTITUTE($A1512,"|",""))=12, RIGHT(A1512, LEN(A1512)-FIND("~", SUBSTITUTE(A1512,"|","~", LEN(A1512)-LEN(SUBSTITUTE(A1512,"|",""))))),
    LEN($A1512)-LEN(SUBSTITUTE($A1512,"|",""))=13, MID($A1512, FIND("~", SUBSTITUTE($A1512,"|","~", 11))+1, FIND("~", SUBSTITUTE($A1512,"|","~", 12))-FIND("~", SUBSTITUTE($A1512,"|","~", 11))-1),
    LEN($A1512)-LEN(SUBSTITUTE($A1512,"|",""))=14, MID($A1512, FIND("~", SUBSTITUTE($A1512,"|","~", 11))+1, FIND("~", SUBSTITUTE($A1512,"|","~", 12))-FIND("~", SUBSTITUTE($A1512,"|","~", 11))-1)
), "")</f>
        <v/>
      </c>
      <c r="M1512" s="72" t="str">
        <f t="shared" si="195"/>
        <v/>
      </c>
      <c r="N1512" s="46" t="str">
        <f t="shared" si="175"/>
        <v/>
      </c>
      <c r="O1512" s="76"/>
      <c r="P1512" s="76"/>
      <c r="Q1512" s="77"/>
      <c r="R1512" s="77"/>
      <c r="S1512" s="77"/>
      <c r="T1512" s="77"/>
      <c r="U1512" s="83"/>
      <c r="V1512" s="83"/>
      <c r="W1512" s="78"/>
      <c r="X1512" s="51" t="str">
        <f>IF(A1512="", "", IF(COUNTIFS(C$3:C1511, C1512, D$3:D1511, D1512, G$3:G1511, G1512) &gt; 0, "", "11:00"-AW1512))</f>
        <v/>
      </c>
      <c r="Y1512" s="79"/>
      <c r="Z1512" s="80"/>
      <c r="AA1512" s="81"/>
      <c r="AB1512" s="81"/>
      <c r="AC1512" s="81"/>
      <c r="AD1512" s="81"/>
      <c r="AE1512" s="81"/>
      <c r="AF1512" s="81"/>
      <c r="AG1512" s="81"/>
      <c r="AH1512" s="82"/>
      <c r="AI1512" s="81"/>
      <c r="AJ1512" s="81"/>
      <c r="AK1512" s="81"/>
      <c r="AL1512" s="81"/>
      <c r="AM1512" s="81"/>
      <c r="AN1512" s="81"/>
      <c r="AO1512" s="81"/>
      <c r="AP1512" s="81"/>
      <c r="AQ1512" s="81"/>
      <c r="AR1512" s="81"/>
      <c r="AS1512" s="81"/>
      <c r="AT1512" s="81"/>
      <c r="AU1512" s="87"/>
      <c r="AV1512" s="81"/>
      <c r="AW1512" s="88"/>
      <c r="AX1512" s="58"/>
    </row>
    <row r="1513" spans="1:50" ht="28.5" customHeight="1">
      <c r="A1513" s="66"/>
      <c r="B1513" s="39" t="str">
        <f t="shared" si="198"/>
        <v/>
      </c>
      <c r="C1513" s="40"/>
      <c r="D1513" s="40"/>
      <c r="E1513" s="40"/>
      <c r="F1513" s="41"/>
      <c r="G1513" s="42"/>
      <c r="H1513" s="43" t="str">
        <f>IFERROR(VLOOKUP($J1513,'[9]FROM (3)'!$E$4:$F$230,2,FALSE),"")</f>
        <v/>
      </c>
      <c r="I1513" s="44" t="str">
        <f t="shared" si="197"/>
        <v/>
      </c>
      <c r="J1513" s="44" t="str">
        <f t="shared" si="194"/>
        <v/>
      </c>
      <c r="K1513" s="59" t="str">
        <f t="shared" si="196"/>
        <v/>
      </c>
      <c r="L1513" s="46" t="str" cm="1">
        <f t="array" ref="L1513">IFERROR(_xlfn.IFS(
    LEN($A1513)-LEN(SUBSTITUTE($A1513,"|",""))=12, RIGHT(A1513, LEN(A1513)-FIND("~", SUBSTITUTE(A1513,"|","~", LEN(A1513)-LEN(SUBSTITUTE(A1513,"|",""))))),
    LEN($A1513)-LEN(SUBSTITUTE($A1513,"|",""))=13, MID($A1513, FIND("~", SUBSTITUTE($A1513,"|","~", 11))+1, FIND("~", SUBSTITUTE($A1513,"|","~", 12))-FIND("~", SUBSTITUTE($A1513,"|","~", 11))-1),
    LEN($A1513)-LEN(SUBSTITUTE($A1513,"|",""))=14, MID($A1513, FIND("~", SUBSTITUTE($A1513,"|","~", 11))+1, FIND("~", SUBSTITUTE($A1513,"|","~", 12))-FIND("~", SUBSTITUTE($A1513,"|","~", 11))-1)
), "")</f>
        <v/>
      </c>
      <c r="M1513" s="72" t="str">
        <f t="shared" si="195"/>
        <v/>
      </c>
      <c r="N1513" s="46" t="str">
        <f t="shared" si="175"/>
        <v/>
      </c>
      <c r="O1513" s="76"/>
      <c r="P1513" s="76"/>
      <c r="Q1513" s="77"/>
      <c r="R1513" s="77"/>
      <c r="S1513" s="77"/>
      <c r="T1513" s="77"/>
      <c r="U1513" s="83"/>
      <c r="V1513" s="83"/>
      <c r="W1513" s="78"/>
      <c r="X1513" s="51" t="str">
        <f>IF(A1513="", "", IF(COUNTIFS(C$3:C1512, C1513, D$3:D1512, D1513, G$3:G1512, G1513) &gt; 0, "", "11:00"-AW1513))</f>
        <v/>
      </c>
      <c r="Y1513" s="79"/>
      <c r="Z1513" s="80"/>
      <c r="AA1513" s="81"/>
      <c r="AB1513" s="81"/>
      <c r="AC1513" s="81"/>
      <c r="AD1513" s="81"/>
      <c r="AE1513" s="81"/>
      <c r="AF1513" s="81"/>
      <c r="AG1513" s="81"/>
      <c r="AH1513" s="82"/>
      <c r="AI1513" s="81"/>
      <c r="AJ1513" s="81"/>
      <c r="AK1513" s="81"/>
      <c r="AL1513" s="81"/>
      <c r="AM1513" s="81"/>
      <c r="AN1513" s="81"/>
      <c r="AO1513" s="81"/>
      <c r="AP1513" s="81"/>
      <c r="AQ1513" s="81"/>
      <c r="AR1513" s="81"/>
      <c r="AS1513" s="81"/>
      <c r="AT1513" s="81"/>
      <c r="AU1513" s="87"/>
      <c r="AV1513" s="81"/>
      <c r="AW1513" s="88"/>
      <c r="AX1513" s="58"/>
    </row>
    <row r="1514" spans="1:50" ht="28.5" customHeight="1">
      <c r="A1514" s="66"/>
      <c r="B1514" s="39" t="str">
        <f t="shared" si="198"/>
        <v/>
      </c>
      <c r="C1514" s="40"/>
      <c r="D1514" s="40"/>
      <c r="E1514" s="40"/>
      <c r="F1514" s="41"/>
      <c r="G1514" s="42"/>
      <c r="H1514" s="43" t="str">
        <f>IFERROR(VLOOKUP($J1514,'[9]FROM (3)'!$E$4:$F$230,2,FALSE),"")</f>
        <v/>
      </c>
      <c r="I1514" s="44" t="str">
        <f t="shared" si="197"/>
        <v/>
      </c>
      <c r="J1514" s="44" t="str">
        <f t="shared" si="194"/>
        <v/>
      </c>
      <c r="K1514" s="59" t="str">
        <f t="shared" si="196"/>
        <v/>
      </c>
      <c r="L1514" s="46" t="str" cm="1">
        <f t="array" ref="L1514">IFERROR(_xlfn.IFS(
    LEN($A1514)-LEN(SUBSTITUTE($A1514,"|",""))=12, RIGHT(A1514, LEN(A1514)-FIND("~", SUBSTITUTE(A1514,"|","~", LEN(A1514)-LEN(SUBSTITUTE(A1514,"|",""))))),
    LEN($A1514)-LEN(SUBSTITUTE($A1514,"|",""))=13, MID($A1514, FIND("~", SUBSTITUTE($A1514,"|","~", 11))+1, FIND("~", SUBSTITUTE($A1514,"|","~", 12))-FIND("~", SUBSTITUTE($A1514,"|","~", 11))-1),
    LEN($A1514)-LEN(SUBSTITUTE($A1514,"|",""))=14, MID($A1514, FIND("~", SUBSTITUTE($A1514,"|","~", 11))+1, FIND("~", SUBSTITUTE($A1514,"|","~", 12))-FIND("~", SUBSTITUTE($A1514,"|","~", 11))-1)
), "")</f>
        <v/>
      </c>
      <c r="M1514" s="72" t="str">
        <f t="shared" si="195"/>
        <v/>
      </c>
      <c r="N1514" s="46" t="str">
        <f t="shared" si="175"/>
        <v/>
      </c>
      <c r="O1514" s="76"/>
      <c r="P1514" s="76"/>
      <c r="Q1514" s="77"/>
      <c r="R1514" s="77"/>
      <c r="S1514" s="77"/>
      <c r="T1514" s="77"/>
      <c r="U1514" s="83"/>
      <c r="V1514" s="83"/>
      <c r="W1514" s="78"/>
      <c r="X1514" s="51" t="str">
        <f>IF(A1514="", "", IF(COUNTIFS(C$3:C1513, C1514, D$3:D1513, D1514, G$3:G1513, G1514) &gt; 0, "", "11:00"-AW1514))</f>
        <v/>
      </c>
      <c r="Y1514" s="79"/>
      <c r="Z1514" s="80"/>
      <c r="AA1514" s="81"/>
      <c r="AB1514" s="81"/>
      <c r="AC1514" s="81"/>
      <c r="AD1514" s="81"/>
      <c r="AE1514" s="81"/>
      <c r="AF1514" s="81"/>
      <c r="AG1514" s="81"/>
      <c r="AH1514" s="82"/>
      <c r="AI1514" s="81"/>
      <c r="AJ1514" s="81"/>
      <c r="AK1514" s="81"/>
      <c r="AL1514" s="81"/>
      <c r="AM1514" s="81"/>
      <c r="AN1514" s="81"/>
      <c r="AO1514" s="81"/>
      <c r="AP1514" s="81"/>
      <c r="AQ1514" s="81"/>
      <c r="AR1514" s="81"/>
      <c r="AS1514" s="81"/>
      <c r="AT1514" s="81"/>
      <c r="AU1514" s="87"/>
      <c r="AV1514" s="81"/>
      <c r="AW1514" s="88"/>
      <c r="AX1514" s="58"/>
    </row>
    <row r="1515" spans="1:50" ht="28.5" customHeight="1">
      <c r="A1515" s="66"/>
      <c r="B1515" s="39" t="str">
        <f t="shared" si="198"/>
        <v/>
      </c>
      <c r="C1515" s="40"/>
      <c r="D1515" s="40"/>
      <c r="E1515" s="40"/>
      <c r="F1515" s="41"/>
      <c r="G1515" s="42"/>
      <c r="H1515" s="43" t="str">
        <f>IFERROR(VLOOKUP($J1515,'[9]FROM (3)'!$E$4:$F$230,2,FALSE),"")</f>
        <v/>
      </c>
      <c r="I1515" s="44" t="str">
        <f t="shared" si="197"/>
        <v/>
      </c>
      <c r="J1515" s="44" t="str">
        <f t="shared" si="194"/>
        <v/>
      </c>
      <c r="K1515" s="59" t="str">
        <f t="shared" si="196"/>
        <v/>
      </c>
      <c r="L1515" s="46" t="str" cm="1">
        <f t="array" ref="L1515">IFERROR(_xlfn.IFS(
    LEN($A1515)-LEN(SUBSTITUTE($A1515,"|",""))=12, RIGHT(A1515, LEN(A1515)-FIND("~", SUBSTITUTE(A1515,"|","~", LEN(A1515)-LEN(SUBSTITUTE(A1515,"|",""))))),
    LEN($A1515)-LEN(SUBSTITUTE($A1515,"|",""))=13, MID($A1515, FIND("~", SUBSTITUTE($A1515,"|","~", 11))+1, FIND("~", SUBSTITUTE($A1515,"|","~", 12))-FIND("~", SUBSTITUTE($A1515,"|","~", 11))-1),
    LEN($A1515)-LEN(SUBSTITUTE($A1515,"|",""))=14, MID($A1515, FIND("~", SUBSTITUTE($A1515,"|","~", 11))+1, FIND("~", SUBSTITUTE($A1515,"|","~", 12))-FIND("~", SUBSTITUTE($A1515,"|","~", 11))-1)
), "")</f>
        <v/>
      </c>
      <c r="M1515" s="72" t="str">
        <f t="shared" si="195"/>
        <v/>
      </c>
      <c r="N1515" s="46" t="str">
        <f t="shared" ref="N1515:N1578" si="199">IFERROR(IF(LEN($A1515)-LEN(SUBSTITUTE($A1515,"|",""))=12,MID($A1515,FIND("~",SUBSTITUTE($A1515,"|","~",11))+1,FIND("~",SUBSTITUTE($A1515,"|","~",12))-FIND("~",SUBSTITUTE($A1515,"|","~",11))-1),IF(LEN($A1515)-LEN(SUBSTITUTE($A1515,"|",""))=13,MID($A1515,FIND("~",SUBSTITUTE($A1515,"|","~",10))+1,FIND("~",SUBSTITUTE($A1515,"|","~",11))-FIND("~",SUBSTITUTE($A1515,"|","~",10))-1), "")),"")</f>
        <v/>
      </c>
      <c r="O1515" s="76"/>
      <c r="P1515" s="76"/>
      <c r="Q1515" s="77"/>
      <c r="R1515" s="77"/>
      <c r="S1515" s="77"/>
      <c r="T1515" s="77"/>
      <c r="U1515" s="83"/>
      <c r="V1515" s="83"/>
      <c r="W1515" s="78"/>
      <c r="X1515" s="51" t="str">
        <f>IF(A1515="", "", IF(COUNTIFS(C$3:C1514, C1515, D$3:D1514, D1515, G$3:G1514, G1515) &gt; 0, "", "11:00"-AW1515))</f>
        <v/>
      </c>
      <c r="Y1515" s="79"/>
      <c r="Z1515" s="80"/>
      <c r="AA1515" s="81"/>
      <c r="AB1515" s="81"/>
      <c r="AC1515" s="81"/>
      <c r="AD1515" s="81"/>
      <c r="AE1515" s="81"/>
      <c r="AF1515" s="81"/>
      <c r="AG1515" s="81"/>
      <c r="AH1515" s="82"/>
      <c r="AI1515" s="81"/>
      <c r="AJ1515" s="81"/>
      <c r="AK1515" s="81"/>
      <c r="AL1515" s="81"/>
      <c r="AM1515" s="81"/>
      <c r="AN1515" s="81"/>
      <c r="AO1515" s="81"/>
      <c r="AP1515" s="81"/>
      <c r="AQ1515" s="81"/>
      <c r="AR1515" s="81"/>
      <c r="AS1515" s="81"/>
      <c r="AT1515" s="81"/>
      <c r="AU1515" s="87"/>
      <c r="AV1515" s="81"/>
      <c r="AW1515" s="88"/>
      <c r="AX1515" s="58"/>
    </row>
    <row r="1516" spans="1:50" ht="28.5" customHeight="1">
      <c r="A1516" s="66"/>
      <c r="B1516" s="39" t="str">
        <f t="shared" si="198"/>
        <v/>
      </c>
      <c r="C1516" s="40"/>
      <c r="D1516" s="40"/>
      <c r="E1516" s="40"/>
      <c r="F1516" s="41"/>
      <c r="G1516" s="42"/>
      <c r="H1516" s="43" t="str">
        <f>IFERROR(VLOOKUP($J1516,'[9]FROM (3)'!$E$4:$F$230,2,FALSE),"")</f>
        <v/>
      </c>
      <c r="I1516" s="44" t="str">
        <f t="shared" si="197"/>
        <v/>
      </c>
      <c r="J1516" s="44" t="str">
        <f t="shared" si="194"/>
        <v/>
      </c>
      <c r="K1516" s="59" t="str">
        <f t="shared" si="196"/>
        <v/>
      </c>
      <c r="L1516" s="46" t="str" cm="1">
        <f t="array" ref="L1516">IFERROR(_xlfn.IFS(
    LEN($A1516)-LEN(SUBSTITUTE($A1516,"|",""))=12, RIGHT(A1516, LEN(A1516)-FIND("~", SUBSTITUTE(A1516,"|","~", LEN(A1516)-LEN(SUBSTITUTE(A1516,"|",""))))),
    LEN($A1516)-LEN(SUBSTITUTE($A1516,"|",""))=13, MID($A1516, FIND("~", SUBSTITUTE($A1516,"|","~", 11))+1, FIND("~", SUBSTITUTE($A1516,"|","~", 12))-FIND("~", SUBSTITUTE($A1516,"|","~", 11))-1),
    LEN($A1516)-LEN(SUBSTITUTE($A1516,"|",""))=14, MID($A1516, FIND("~", SUBSTITUTE($A1516,"|","~", 11))+1, FIND("~", SUBSTITUTE($A1516,"|","~", 12))-FIND("~", SUBSTITUTE($A1516,"|","~", 11))-1)
), "")</f>
        <v/>
      </c>
      <c r="M1516" s="72" t="str">
        <f t="shared" si="195"/>
        <v/>
      </c>
      <c r="N1516" s="46" t="str">
        <f t="shared" si="199"/>
        <v/>
      </c>
      <c r="O1516" s="76"/>
      <c r="P1516" s="76"/>
      <c r="Q1516" s="77"/>
      <c r="R1516" s="77"/>
      <c r="S1516" s="77"/>
      <c r="T1516" s="77"/>
      <c r="U1516" s="83"/>
      <c r="V1516" s="83"/>
      <c r="W1516" s="78"/>
      <c r="X1516" s="51" t="str">
        <f>IF(A1516="", "", IF(COUNTIFS(C$3:C1515, C1516, D$3:D1515, D1516, G$3:G1515, G1516) &gt; 0, "", "11:00"-AW1516))</f>
        <v/>
      </c>
      <c r="Y1516" s="79"/>
      <c r="Z1516" s="80"/>
      <c r="AA1516" s="81"/>
      <c r="AB1516" s="81"/>
      <c r="AC1516" s="81"/>
      <c r="AD1516" s="81"/>
      <c r="AE1516" s="81"/>
      <c r="AF1516" s="81"/>
      <c r="AG1516" s="81"/>
      <c r="AH1516" s="82"/>
      <c r="AI1516" s="81"/>
      <c r="AJ1516" s="81"/>
      <c r="AK1516" s="81"/>
      <c r="AL1516" s="81"/>
      <c r="AM1516" s="81"/>
      <c r="AN1516" s="81"/>
      <c r="AO1516" s="81"/>
      <c r="AP1516" s="81"/>
      <c r="AQ1516" s="81"/>
      <c r="AR1516" s="81"/>
      <c r="AS1516" s="81"/>
      <c r="AT1516" s="81"/>
      <c r="AU1516" s="87"/>
      <c r="AV1516" s="81"/>
      <c r="AW1516" s="88"/>
      <c r="AX1516" s="58"/>
    </row>
    <row r="1517" spans="1:50" ht="28.5" customHeight="1">
      <c r="A1517" s="66"/>
      <c r="B1517" s="39" t="str">
        <f t="shared" si="198"/>
        <v/>
      </c>
      <c r="C1517" s="40"/>
      <c r="D1517" s="40"/>
      <c r="E1517" s="40"/>
      <c r="F1517" s="41"/>
      <c r="G1517" s="42"/>
      <c r="H1517" s="43" t="str">
        <f>IFERROR(VLOOKUP($J1517,'[9]FROM (3)'!$E$4:$F$230,2,FALSE),"")</f>
        <v/>
      </c>
      <c r="I1517" s="44" t="str">
        <f t="shared" si="197"/>
        <v/>
      </c>
      <c r="J1517" s="44" t="str">
        <f t="shared" si="194"/>
        <v/>
      </c>
      <c r="K1517" s="59" t="str">
        <f t="shared" si="196"/>
        <v/>
      </c>
      <c r="L1517" s="46" t="str" cm="1">
        <f t="array" ref="L1517">IFERROR(_xlfn.IFS(
    LEN($A1517)-LEN(SUBSTITUTE($A1517,"|",""))=12, RIGHT(A1517, LEN(A1517)-FIND("~", SUBSTITUTE(A1517,"|","~", LEN(A1517)-LEN(SUBSTITUTE(A1517,"|",""))))),
    LEN($A1517)-LEN(SUBSTITUTE($A1517,"|",""))=13, MID($A1517, FIND("~", SUBSTITUTE($A1517,"|","~", 11))+1, FIND("~", SUBSTITUTE($A1517,"|","~", 12))-FIND("~", SUBSTITUTE($A1517,"|","~", 11))-1),
    LEN($A1517)-LEN(SUBSTITUTE($A1517,"|",""))=14, MID($A1517, FIND("~", SUBSTITUTE($A1517,"|","~", 11))+1, FIND("~", SUBSTITUTE($A1517,"|","~", 12))-FIND("~", SUBSTITUTE($A1517,"|","~", 11))-1)
), "")</f>
        <v/>
      </c>
      <c r="M1517" s="72" t="str">
        <f t="shared" si="195"/>
        <v/>
      </c>
      <c r="N1517" s="46" t="str">
        <f t="shared" si="199"/>
        <v/>
      </c>
      <c r="O1517" s="76"/>
      <c r="P1517" s="76"/>
      <c r="Q1517" s="77"/>
      <c r="R1517" s="77"/>
      <c r="S1517" s="77"/>
      <c r="T1517" s="77"/>
      <c r="U1517" s="83"/>
      <c r="V1517" s="83"/>
      <c r="W1517" s="78"/>
      <c r="X1517" s="51" t="str">
        <f>IF(A1517="", "", IF(COUNTIFS(C$3:C1516, C1517, D$3:D1516, D1517, G$3:G1516, G1517) &gt; 0, "", "11:00"-AW1517))</f>
        <v/>
      </c>
      <c r="Y1517" s="79"/>
      <c r="Z1517" s="80"/>
      <c r="AA1517" s="81"/>
      <c r="AB1517" s="81"/>
      <c r="AC1517" s="81"/>
      <c r="AD1517" s="81"/>
      <c r="AE1517" s="81"/>
      <c r="AF1517" s="81"/>
      <c r="AG1517" s="81"/>
      <c r="AH1517" s="82"/>
      <c r="AI1517" s="81"/>
      <c r="AJ1517" s="81"/>
      <c r="AK1517" s="81"/>
      <c r="AL1517" s="81"/>
      <c r="AM1517" s="81"/>
      <c r="AN1517" s="81"/>
      <c r="AO1517" s="81"/>
      <c r="AP1517" s="81"/>
      <c r="AQ1517" s="81"/>
      <c r="AR1517" s="81"/>
      <c r="AS1517" s="81"/>
      <c r="AT1517" s="81"/>
      <c r="AU1517" s="87"/>
      <c r="AV1517" s="81"/>
      <c r="AW1517" s="88"/>
      <c r="AX1517" s="58"/>
    </row>
    <row r="1518" spans="1:50" ht="28.5" customHeight="1">
      <c r="A1518" s="66"/>
      <c r="B1518" s="39" t="str">
        <f t="shared" si="198"/>
        <v/>
      </c>
      <c r="C1518" s="40"/>
      <c r="D1518" s="40"/>
      <c r="E1518" s="40"/>
      <c r="F1518" s="41"/>
      <c r="G1518" s="42"/>
      <c r="H1518" s="43" t="str">
        <f>IFERROR(VLOOKUP($J1518,'[9]FROM (3)'!$E$4:$F$230,2,FALSE),"")</f>
        <v/>
      </c>
      <c r="I1518" s="44" t="str">
        <f t="shared" si="197"/>
        <v/>
      </c>
      <c r="J1518" s="44" t="str">
        <f t="shared" si="194"/>
        <v/>
      </c>
      <c r="K1518" s="59" t="str">
        <f t="shared" si="196"/>
        <v/>
      </c>
      <c r="L1518" s="46" t="str" cm="1">
        <f t="array" ref="L1518">IFERROR(_xlfn.IFS(
    LEN($A1518)-LEN(SUBSTITUTE($A1518,"|",""))=12, RIGHT(A1518, LEN(A1518)-FIND("~", SUBSTITUTE(A1518,"|","~", LEN(A1518)-LEN(SUBSTITUTE(A1518,"|",""))))),
    LEN($A1518)-LEN(SUBSTITUTE($A1518,"|",""))=13, MID($A1518, FIND("~", SUBSTITUTE($A1518,"|","~", 11))+1, FIND("~", SUBSTITUTE($A1518,"|","~", 12))-FIND("~", SUBSTITUTE($A1518,"|","~", 11))-1),
    LEN($A1518)-LEN(SUBSTITUTE($A1518,"|",""))=14, MID($A1518, FIND("~", SUBSTITUTE($A1518,"|","~", 11))+1, FIND("~", SUBSTITUTE($A1518,"|","~", 12))-FIND("~", SUBSTITUTE($A1518,"|","~", 11))-1)
), "")</f>
        <v/>
      </c>
      <c r="M1518" s="72" t="str">
        <f t="shared" si="195"/>
        <v/>
      </c>
      <c r="N1518" s="46" t="str">
        <f t="shared" si="199"/>
        <v/>
      </c>
      <c r="O1518" s="76"/>
      <c r="P1518" s="76"/>
      <c r="Q1518" s="77"/>
      <c r="R1518" s="77"/>
      <c r="S1518" s="77"/>
      <c r="T1518" s="77"/>
      <c r="U1518" s="83"/>
      <c r="V1518" s="83"/>
      <c r="W1518" s="78"/>
      <c r="X1518" s="51" t="str">
        <f>IF(A1518="", "", IF(COUNTIFS(C$3:C1517, C1518, D$3:D1517, D1518, G$3:G1517, G1518) &gt; 0, "", "11:00"-AW1518))</f>
        <v/>
      </c>
      <c r="Y1518" s="79"/>
      <c r="Z1518" s="80"/>
      <c r="AA1518" s="81"/>
      <c r="AB1518" s="81"/>
      <c r="AC1518" s="81"/>
      <c r="AD1518" s="81"/>
      <c r="AE1518" s="81"/>
      <c r="AF1518" s="81"/>
      <c r="AG1518" s="81"/>
      <c r="AH1518" s="82"/>
      <c r="AI1518" s="81"/>
      <c r="AJ1518" s="81"/>
      <c r="AK1518" s="81"/>
      <c r="AL1518" s="81"/>
      <c r="AM1518" s="81"/>
      <c r="AN1518" s="81"/>
      <c r="AO1518" s="81"/>
      <c r="AP1518" s="81"/>
      <c r="AQ1518" s="81"/>
      <c r="AR1518" s="81"/>
      <c r="AS1518" s="81"/>
      <c r="AT1518" s="81"/>
      <c r="AU1518" s="87"/>
      <c r="AV1518" s="81"/>
      <c r="AW1518" s="88"/>
      <c r="AX1518" s="58"/>
    </row>
    <row r="1519" spans="1:50" ht="28.5" customHeight="1">
      <c r="A1519" s="66"/>
      <c r="B1519" s="39" t="str">
        <f t="shared" si="198"/>
        <v/>
      </c>
      <c r="C1519" s="40"/>
      <c r="D1519" s="40"/>
      <c r="E1519" s="40"/>
      <c r="F1519" s="41"/>
      <c r="G1519" s="42"/>
      <c r="H1519" s="43" t="str">
        <f>IFERROR(VLOOKUP($J1519,'[9]FROM (3)'!$E$4:$F$230,2,FALSE),"")</f>
        <v/>
      </c>
      <c r="I1519" s="44" t="str">
        <f t="shared" si="197"/>
        <v/>
      </c>
      <c r="J1519" s="44" t="str">
        <f t="shared" si="194"/>
        <v/>
      </c>
      <c r="K1519" s="59" t="str">
        <f t="shared" si="196"/>
        <v/>
      </c>
      <c r="L1519" s="46" t="str" cm="1">
        <f t="array" ref="L1519">IFERROR(_xlfn.IFS(
    LEN($A1519)-LEN(SUBSTITUTE($A1519,"|",""))=12, RIGHT(A1519, LEN(A1519)-FIND("~", SUBSTITUTE(A1519,"|","~", LEN(A1519)-LEN(SUBSTITUTE(A1519,"|",""))))),
    LEN($A1519)-LEN(SUBSTITUTE($A1519,"|",""))=13, MID($A1519, FIND("~", SUBSTITUTE($A1519,"|","~", 11))+1, FIND("~", SUBSTITUTE($A1519,"|","~", 12))-FIND("~", SUBSTITUTE($A1519,"|","~", 11))-1),
    LEN($A1519)-LEN(SUBSTITUTE($A1519,"|",""))=14, MID($A1519, FIND("~", SUBSTITUTE($A1519,"|","~", 11))+1, FIND("~", SUBSTITUTE($A1519,"|","~", 12))-FIND("~", SUBSTITUTE($A1519,"|","~", 11))-1)
), "")</f>
        <v/>
      </c>
      <c r="M1519" s="72" t="str">
        <f t="shared" si="195"/>
        <v/>
      </c>
      <c r="N1519" s="46" t="str">
        <f t="shared" si="199"/>
        <v/>
      </c>
      <c r="O1519" s="76"/>
      <c r="P1519" s="76"/>
      <c r="Q1519" s="77"/>
      <c r="R1519" s="77"/>
      <c r="S1519" s="77"/>
      <c r="T1519" s="77"/>
      <c r="U1519" s="83"/>
      <c r="V1519" s="83"/>
      <c r="W1519" s="78"/>
      <c r="X1519" s="51" t="str">
        <f>IF(A1519="", "", IF(COUNTIFS(C$3:C1518, C1519, D$3:D1518, D1519, G$3:G1518, G1519) &gt; 0, "", "11:00"-AW1519))</f>
        <v/>
      </c>
      <c r="Y1519" s="79"/>
      <c r="Z1519" s="80"/>
      <c r="AA1519" s="81"/>
      <c r="AB1519" s="81"/>
      <c r="AC1519" s="81"/>
      <c r="AD1519" s="81"/>
      <c r="AE1519" s="81"/>
      <c r="AF1519" s="81"/>
      <c r="AG1519" s="81"/>
      <c r="AH1519" s="82"/>
      <c r="AI1519" s="81"/>
      <c r="AJ1519" s="81"/>
      <c r="AK1519" s="81"/>
      <c r="AL1519" s="81"/>
      <c r="AM1519" s="81"/>
      <c r="AN1519" s="81"/>
      <c r="AO1519" s="81"/>
      <c r="AP1519" s="81"/>
      <c r="AQ1519" s="81"/>
      <c r="AR1519" s="81"/>
      <c r="AS1519" s="81"/>
      <c r="AT1519" s="81"/>
      <c r="AU1519" s="87"/>
      <c r="AV1519" s="81"/>
      <c r="AW1519" s="88"/>
      <c r="AX1519" s="58"/>
    </row>
    <row r="1520" spans="1:50" ht="28.5" customHeight="1">
      <c r="A1520" s="66"/>
      <c r="B1520" s="39" t="str">
        <f t="shared" si="198"/>
        <v/>
      </c>
      <c r="C1520" s="40"/>
      <c r="D1520" s="40"/>
      <c r="E1520" s="40"/>
      <c r="F1520" s="41"/>
      <c r="G1520" s="42"/>
      <c r="H1520" s="43" t="str">
        <f>IFERROR(VLOOKUP($J1520,'[9]FROM (3)'!$E$4:$F$230,2,FALSE),"")</f>
        <v/>
      </c>
      <c r="I1520" s="44" t="str">
        <f t="shared" si="197"/>
        <v/>
      </c>
      <c r="J1520" s="44" t="str">
        <f t="shared" si="194"/>
        <v/>
      </c>
      <c r="K1520" s="59" t="str">
        <f t="shared" si="196"/>
        <v/>
      </c>
      <c r="L1520" s="46" t="str" cm="1">
        <f t="array" ref="L1520">IFERROR(_xlfn.IFS(
    LEN($A1520)-LEN(SUBSTITUTE($A1520,"|",""))=12, RIGHT(A1520, LEN(A1520)-FIND("~", SUBSTITUTE(A1520,"|","~", LEN(A1520)-LEN(SUBSTITUTE(A1520,"|",""))))),
    LEN($A1520)-LEN(SUBSTITUTE($A1520,"|",""))=13, MID($A1520, FIND("~", SUBSTITUTE($A1520,"|","~", 11))+1, FIND("~", SUBSTITUTE($A1520,"|","~", 12))-FIND("~", SUBSTITUTE($A1520,"|","~", 11))-1),
    LEN($A1520)-LEN(SUBSTITUTE($A1520,"|",""))=14, MID($A1520, FIND("~", SUBSTITUTE($A1520,"|","~", 11))+1, FIND("~", SUBSTITUTE($A1520,"|","~", 12))-FIND("~", SUBSTITUTE($A1520,"|","~", 11))-1)
), "")</f>
        <v/>
      </c>
      <c r="M1520" s="72" t="str">
        <f t="shared" si="195"/>
        <v/>
      </c>
      <c r="N1520" s="46" t="str">
        <f t="shared" si="199"/>
        <v/>
      </c>
      <c r="O1520" s="76"/>
      <c r="P1520" s="76"/>
      <c r="Q1520" s="77"/>
      <c r="R1520" s="77"/>
      <c r="S1520" s="77"/>
      <c r="T1520" s="77"/>
      <c r="U1520" s="83"/>
      <c r="V1520" s="83"/>
      <c r="W1520" s="78"/>
      <c r="X1520" s="51" t="str">
        <f>IF(A1520="", "", IF(COUNTIFS(C$3:C1519, C1520, D$3:D1519, D1520, G$3:G1519, G1520) &gt; 0, "", "11:00"-AW1520))</f>
        <v/>
      </c>
      <c r="Y1520" s="79"/>
      <c r="Z1520" s="80"/>
      <c r="AA1520" s="81"/>
      <c r="AB1520" s="81"/>
      <c r="AC1520" s="81"/>
      <c r="AD1520" s="81"/>
      <c r="AE1520" s="81"/>
      <c r="AF1520" s="81"/>
      <c r="AG1520" s="81"/>
      <c r="AH1520" s="82"/>
      <c r="AI1520" s="81"/>
      <c r="AJ1520" s="81"/>
      <c r="AK1520" s="81"/>
      <c r="AL1520" s="81"/>
      <c r="AM1520" s="81"/>
      <c r="AN1520" s="81"/>
      <c r="AO1520" s="81"/>
      <c r="AP1520" s="81"/>
      <c r="AQ1520" s="81"/>
      <c r="AR1520" s="81"/>
      <c r="AS1520" s="81"/>
      <c r="AT1520" s="81"/>
      <c r="AU1520" s="87"/>
      <c r="AV1520" s="81"/>
      <c r="AW1520" s="88"/>
      <c r="AX1520" s="58"/>
    </row>
    <row r="1521" spans="1:50" ht="28.5" customHeight="1">
      <c r="A1521" s="66"/>
      <c r="B1521" s="39" t="str">
        <f t="shared" si="198"/>
        <v/>
      </c>
      <c r="C1521" s="40"/>
      <c r="D1521" s="40"/>
      <c r="E1521" s="40"/>
      <c r="F1521" s="41"/>
      <c r="G1521" s="42"/>
      <c r="H1521" s="43" t="str">
        <f>IFERROR(VLOOKUP($J1521,'[9]FROM (3)'!$E$4:$F$230,2,FALSE),"")</f>
        <v/>
      </c>
      <c r="I1521" s="44" t="str">
        <f t="shared" si="197"/>
        <v/>
      </c>
      <c r="J1521" s="44" t="str">
        <f t="shared" si="194"/>
        <v/>
      </c>
      <c r="K1521" s="59" t="str">
        <f t="shared" si="196"/>
        <v/>
      </c>
      <c r="L1521" s="46" t="str" cm="1">
        <f t="array" ref="L1521">IFERROR(_xlfn.IFS(
    LEN($A1521)-LEN(SUBSTITUTE($A1521,"|",""))=12, RIGHT(A1521, LEN(A1521)-FIND("~", SUBSTITUTE(A1521,"|","~", LEN(A1521)-LEN(SUBSTITUTE(A1521,"|",""))))),
    LEN($A1521)-LEN(SUBSTITUTE($A1521,"|",""))=13, MID($A1521, FIND("~", SUBSTITUTE($A1521,"|","~", 11))+1, FIND("~", SUBSTITUTE($A1521,"|","~", 12))-FIND("~", SUBSTITUTE($A1521,"|","~", 11))-1),
    LEN($A1521)-LEN(SUBSTITUTE($A1521,"|",""))=14, MID($A1521, FIND("~", SUBSTITUTE($A1521,"|","~", 11))+1, FIND("~", SUBSTITUTE($A1521,"|","~", 12))-FIND("~", SUBSTITUTE($A1521,"|","~", 11))-1)
), "")</f>
        <v/>
      </c>
      <c r="M1521" s="72" t="str">
        <f t="shared" si="195"/>
        <v/>
      </c>
      <c r="N1521" s="46" t="str">
        <f t="shared" si="199"/>
        <v/>
      </c>
      <c r="O1521" s="76"/>
      <c r="P1521" s="76"/>
      <c r="Q1521" s="77"/>
      <c r="R1521" s="77"/>
      <c r="S1521" s="77"/>
      <c r="T1521" s="77"/>
      <c r="U1521" s="83"/>
      <c r="V1521" s="83"/>
      <c r="W1521" s="78"/>
      <c r="X1521" s="51" t="str">
        <f>IF(A1521="", "", IF(COUNTIFS(C$3:C1520, C1521, D$3:D1520, D1521, G$3:G1520, G1521) &gt; 0, "", "11:00"-AW1521))</f>
        <v/>
      </c>
      <c r="Y1521" s="79"/>
      <c r="Z1521" s="80"/>
      <c r="AA1521" s="81"/>
      <c r="AB1521" s="81"/>
      <c r="AC1521" s="81"/>
      <c r="AD1521" s="81"/>
      <c r="AE1521" s="81"/>
      <c r="AF1521" s="81"/>
      <c r="AG1521" s="81"/>
      <c r="AH1521" s="82"/>
      <c r="AI1521" s="81"/>
      <c r="AJ1521" s="81"/>
      <c r="AK1521" s="81"/>
      <c r="AL1521" s="81"/>
      <c r="AM1521" s="81"/>
      <c r="AN1521" s="81"/>
      <c r="AO1521" s="81"/>
      <c r="AP1521" s="81"/>
      <c r="AQ1521" s="81"/>
      <c r="AR1521" s="81"/>
      <c r="AS1521" s="81"/>
      <c r="AT1521" s="81"/>
      <c r="AU1521" s="87"/>
      <c r="AV1521" s="81"/>
      <c r="AW1521" s="88"/>
      <c r="AX1521" s="58"/>
    </row>
    <row r="1522" spans="1:50" ht="28.5" customHeight="1">
      <c r="A1522" s="66"/>
      <c r="B1522" s="39" t="str">
        <f t="shared" si="198"/>
        <v/>
      </c>
      <c r="C1522" s="40"/>
      <c r="D1522" s="40"/>
      <c r="E1522" s="40"/>
      <c r="F1522" s="41"/>
      <c r="G1522" s="42"/>
      <c r="H1522" s="43" t="str">
        <f>IFERROR(VLOOKUP($J1522,'[9]FROM (3)'!$E$4:$F$230,2,FALSE),"")</f>
        <v/>
      </c>
      <c r="I1522" s="44" t="str">
        <f t="shared" si="197"/>
        <v/>
      </c>
      <c r="J1522" s="44" t="str">
        <f t="shared" si="194"/>
        <v/>
      </c>
      <c r="K1522" s="59" t="str">
        <f t="shared" si="196"/>
        <v/>
      </c>
      <c r="L1522" s="46" t="str" cm="1">
        <f t="array" ref="L1522">IFERROR(_xlfn.IFS(
    LEN($A1522)-LEN(SUBSTITUTE($A1522,"|",""))=12, RIGHT(A1522, LEN(A1522)-FIND("~", SUBSTITUTE(A1522,"|","~", LEN(A1522)-LEN(SUBSTITUTE(A1522,"|",""))))),
    LEN($A1522)-LEN(SUBSTITUTE($A1522,"|",""))=13, MID($A1522, FIND("~", SUBSTITUTE($A1522,"|","~", 11))+1, FIND("~", SUBSTITUTE($A1522,"|","~", 12))-FIND("~", SUBSTITUTE($A1522,"|","~", 11))-1),
    LEN($A1522)-LEN(SUBSTITUTE($A1522,"|",""))=14, MID($A1522, FIND("~", SUBSTITUTE($A1522,"|","~", 11))+1, FIND("~", SUBSTITUTE($A1522,"|","~", 12))-FIND("~", SUBSTITUTE($A1522,"|","~", 11))-1)
), "")</f>
        <v/>
      </c>
      <c r="M1522" s="72" t="str">
        <f t="shared" si="195"/>
        <v/>
      </c>
      <c r="N1522" s="46" t="str">
        <f t="shared" si="199"/>
        <v/>
      </c>
      <c r="O1522" s="76"/>
      <c r="P1522" s="76"/>
      <c r="Q1522" s="77"/>
      <c r="R1522" s="77"/>
      <c r="S1522" s="77"/>
      <c r="T1522" s="77"/>
      <c r="U1522" s="83"/>
      <c r="V1522" s="83"/>
      <c r="W1522" s="78"/>
      <c r="X1522" s="51" t="str">
        <f>IF(A1522="", "", IF(COUNTIFS(C$3:C1521, C1522, D$3:D1521, D1522, G$3:G1521, G1522) &gt; 0, "", "11:00"-AW1522))</f>
        <v/>
      </c>
      <c r="Y1522" s="79"/>
      <c r="Z1522" s="80"/>
      <c r="AA1522" s="81"/>
      <c r="AB1522" s="81"/>
      <c r="AC1522" s="81"/>
      <c r="AD1522" s="81"/>
      <c r="AE1522" s="81"/>
      <c r="AF1522" s="81"/>
      <c r="AG1522" s="81"/>
      <c r="AH1522" s="82"/>
      <c r="AI1522" s="81"/>
      <c r="AJ1522" s="81"/>
      <c r="AK1522" s="81"/>
      <c r="AL1522" s="81"/>
      <c r="AM1522" s="81"/>
      <c r="AN1522" s="81"/>
      <c r="AO1522" s="81"/>
      <c r="AP1522" s="81"/>
      <c r="AQ1522" s="81"/>
      <c r="AR1522" s="81"/>
      <c r="AS1522" s="81"/>
      <c r="AT1522" s="81"/>
      <c r="AU1522" s="87"/>
      <c r="AV1522" s="81"/>
      <c r="AW1522" s="88"/>
      <c r="AX1522" s="58"/>
    </row>
    <row r="1523" spans="1:50" ht="28.5" customHeight="1">
      <c r="A1523" s="66"/>
      <c r="B1523" s="39" t="str">
        <f t="shared" si="198"/>
        <v/>
      </c>
      <c r="C1523" s="40"/>
      <c r="D1523" s="40"/>
      <c r="E1523" s="40"/>
      <c r="F1523" s="41"/>
      <c r="G1523" s="42"/>
      <c r="H1523" s="43" t="str">
        <f>IFERROR(VLOOKUP($J1523,'[9]FROM (3)'!$E$4:$F$230,2,FALSE),"")</f>
        <v/>
      </c>
      <c r="I1523" s="44" t="str">
        <f t="shared" si="197"/>
        <v/>
      </c>
      <c r="J1523" s="44" t="str">
        <f t="shared" si="194"/>
        <v/>
      </c>
      <c r="K1523" s="59" t="str">
        <f t="shared" si="196"/>
        <v/>
      </c>
      <c r="L1523" s="46" t="str" cm="1">
        <f t="array" ref="L1523">IFERROR(_xlfn.IFS(
    LEN($A1523)-LEN(SUBSTITUTE($A1523,"|",""))=12, RIGHT(A1523, LEN(A1523)-FIND("~", SUBSTITUTE(A1523,"|","~", LEN(A1523)-LEN(SUBSTITUTE(A1523,"|",""))))),
    LEN($A1523)-LEN(SUBSTITUTE($A1523,"|",""))=13, MID($A1523, FIND("~", SUBSTITUTE($A1523,"|","~", 11))+1, FIND("~", SUBSTITUTE($A1523,"|","~", 12))-FIND("~", SUBSTITUTE($A1523,"|","~", 11))-1),
    LEN($A1523)-LEN(SUBSTITUTE($A1523,"|",""))=14, MID($A1523, FIND("~", SUBSTITUTE($A1523,"|","~", 11))+1, FIND("~", SUBSTITUTE($A1523,"|","~", 12))-FIND("~", SUBSTITUTE($A1523,"|","~", 11))-1)
), "")</f>
        <v/>
      </c>
      <c r="M1523" s="72" t="str">
        <f t="shared" si="195"/>
        <v/>
      </c>
      <c r="N1523" s="46" t="str">
        <f t="shared" si="199"/>
        <v/>
      </c>
      <c r="O1523" s="76"/>
      <c r="P1523" s="76"/>
      <c r="Q1523" s="77"/>
      <c r="R1523" s="77"/>
      <c r="S1523" s="77"/>
      <c r="T1523" s="77"/>
      <c r="U1523" s="83"/>
      <c r="V1523" s="83"/>
      <c r="W1523" s="78"/>
      <c r="X1523" s="51" t="str">
        <f>IF(A1523="", "", IF(COUNTIFS(C$3:C1522, C1523, D$3:D1522, D1523, G$3:G1522, G1523) &gt; 0, "", "11:00"-AW1523))</f>
        <v/>
      </c>
      <c r="Y1523" s="79"/>
      <c r="Z1523" s="80"/>
      <c r="AA1523" s="81"/>
      <c r="AB1523" s="81"/>
      <c r="AC1523" s="81"/>
      <c r="AD1523" s="81"/>
      <c r="AE1523" s="81"/>
      <c r="AF1523" s="81"/>
      <c r="AG1523" s="81"/>
      <c r="AH1523" s="82"/>
      <c r="AI1523" s="81"/>
      <c r="AJ1523" s="81"/>
      <c r="AK1523" s="81"/>
      <c r="AL1523" s="81"/>
      <c r="AM1523" s="81"/>
      <c r="AN1523" s="81"/>
      <c r="AO1523" s="81"/>
      <c r="AP1523" s="81"/>
      <c r="AQ1523" s="81"/>
      <c r="AR1523" s="81"/>
      <c r="AS1523" s="81"/>
      <c r="AT1523" s="81"/>
      <c r="AU1523" s="87"/>
      <c r="AV1523" s="81"/>
      <c r="AW1523" s="88"/>
      <c r="AX1523" s="58"/>
    </row>
    <row r="1524" spans="1:50" ht="28.5" customHeight="1">
      <c r="A1524" s="66"/>
      <c r="B1524" s="39" t="str">
        <f t="shared" si="198"/>
        <v/>
      </c>
      <c r="C1524" s="40"/>
      <c r="D1524" s="40"/>
      <c r="E1524" s="40"/>
      <c r="F1524" s="41"/>
      <c r="G1524" s="42"/>
      <c r="H1524" s="43" t="str">
        <f>IFERROR(VLOOKUP($J1524,'[9]FROM (3)'!$E$4:$F$230,2,FALSE),"")</f>
        <v/>
      </c>
      <c r="I1524" s="44" t="str">
        <f t="shared" si="197"/>
        <v/>
      </c>
      <c r="J1524" s="44" t="str">
        <f t="shared" si="194"/>
        <v/>
      </c>
      <c r="K1524" s="59" t="str">
        <f t="shared" si="196"/>
        <v/>
      </c>
      <c r="L1524" s="46" t="str" cm="1">
        <f t="array" ref="L1524">IFERROR(_xlfn.IFS(
    LEN($A1524)-LEN(SUBSTITUTE($A1524,"|",""))=12, RIGHT(A1524, LEN(A1524)-FIND("~", SUBSTITUTE(A1524,"|","~", LEN(A1524)-LEN(SUBSTITUTE(A1524,"|",""))))),
    LEN($A1524)-LEN(SUBSTITUTE($A1524,"|",""))=13, MID($A1524, FIND("~", SUBSTITUTE($A1524,"|","~", 11))+1, FIND("~", SUBSTITUTE($A1524,"|","~", 12))-FIND("~", SUBSTITUTE($A1524,"|","~", 11))-1),
    LEN($A1524)-LEN(SUBSTITUTE($A1524,"|",""))=14, MID($A1524, FIND("~", SUBSTITUTE($A1524,"|","~", 11))+1, FIND("~", SUBSTITUTE($A1524,"|","~", 12))-FIND("~", SUBSTITUTE($A1524,"|","~", 11))-1)
), "")</f>
        <v/>
      </c>
      <c r="M1524" s="72" t="str">
        <f t="shared" si="195"/>
        <v/>
      </c>
      <c r="N1524" s="46" t="str">
        <f t="shared" si="199"/>
        <v/>
      </c>
      <c r="O1524" s="76"/>
      <c r="P1524" s="76"/>
      <c r="Q1524" s="77"/>
      <c r="R1524" s="77"/>
      <c r="S1524" s="77"/>
      <c r="T1524" s="77"/>
      <c r="U1524" s="83"/>
      <c r="V1524" s="83"/>
      <c r="W1524" s="78"/>
      <c r="X1524" s="51" t="str">
        <f>IF(A1524="", "", IF(COUNTIFS(C$3:C1523, C1524, D$3:D1523, D1524, G$3:G1523, G1524) &gt; 0, "", "11:00"-AW1524))</f>
        <v/>
      </c>
      <c r="Y1524" s="79"/>
      <c r="Z1524" s="80"/>
      <c r="AA1524" s="81"/>
      <c r="AB1524" s="81"/>
      <c r="AC1524" s="81"/>
      <c r="AD1524" s="81"/>
      <c r="AE1524" s="81"/>
      <c r="AF1524" s="81"/>
      <c r="AG1524" s="81"/>
      <c r="AH1524" s="82"/>
      <c r="AI1524" s="81"/>
      <c r="AJ1524" s="81"/>
      <c r="AK1524" s="81"/>
      <c r="AL1524" s="81"/>
      <c r="AM1524" s="81"/>
      <c r="AN1524" s="81"/>
      <c r="AO1524" s="81"/>
      <c r="AP1524" s="81"/>
      <c r="AQ1524" s="81"/>
      <c r="AR1524" s="81"/>
      <c r="AS1524" s="81"/>
      <c r="AT1524" s="81"/>
      <c r="AU1524" s="87"/>
      <c r="AV1524" s="81"/>
      <c r="AW1524" s="88"/>
      <c r="AX1524" s="58"/>
    </row>
    <row r="1525" spans="1:50" ht="28.5" customHeight="1">
      <c r="A1525" s="66"/>
      <c r="B1525" s="39" t="str">
        <f t="shared" si="198"/>
        <v/>
      </c>
      <c r="C1525" s="40"/>
      <c r="D1525" s="40"/>
      <c r="E1525" s="40"/>
      <c r="F1525" s="41"/>
      <c r="G1525" s="42"/>
      <c r="H1525" s="43" t="str">
        <f>IFERROR(VLOOKUP($J1525,'[9]FROM (3)'!$E$4:$F$230,2,FALSE),"")</f>
        <v/>
      </c>
      <c r="I1525" s="44" t="str">
        <f t="shared" si="197"/>
        <v/>
      </c>
      <c r="J1525" s="44" t="str">
        <f t="shared" si="194"/>
        <v/>
      </c>
      <c r="K1525" s="59" t="str">
        <f t="shared" si="196"/>
        <v/>
      </c>
      <c r="L1525" s="46" t="str" cm="1">
        <f t="array" ref="L1525">IFERROR(_xlfn.IFS(
    LEN($A1525)-LEN(SUBSTITUTE($A1525,"|",""))=12, RIGHT(A1525, LEN(A1525)-FIND("~", SUBSTITUTE(A1525,"|","~", LEN(A1525)-LEN(SUBSTITUTE(A1525,"|",""))))),
    LEN($A1525)-LEN(SUBSTITUTE($A1525,"|",""))=13, MID($A1525, FIND("~", SUBSTITUTE($A1525,"|","~", 11))+1, FIND("~", SUBSTITUTE($A1525,"|","~", 12))-FIND("~", SUBSTITUTE($A1525,"|","~", 11))-1),
    LEN($A1525)-LEN(SUBSTITUTE($A1525,"|",""))=14, MID($A1525, FIND("~", SUBSTITUTE($A1525,"|","~", 11))+1, FIND("~", SUBSTITUTE($A1525,"|","~", 12))-FIND("~", SUBSTITUTE($A1525,"|","~", 11))-1)
), "")</f>
        <v/>
      </c>
      <c r="M1525" s="72" t="str">
        <f t="shared" si="195"/>
        <v/>
      </c>
      <c r="N1525" s="46" t="str">
        <f t="shared" si="199"/>
        <v/>
      </c>
      <c r="O1525" s="76"/>
      <c r="P1525" s="76"/>
      <c r="Q1525" s="77"/>
      <c r="R1525" s="77"/>
      <c r="S1525" s="77"/>
      <c r="T1525" s="77"/>
      <c r="U1525" s="83"/>
      <c r="V1525" s="83"/>
      <c r="W1525" s="78"/>
      <c r="X1525" s="51" t="str">
        <f>IF(A1525="", "", IF(COUNTIFS(C$3:C1524, C1525, D$3:D1524, D1525, G$3:G1524, G1525) &gt; 0, "", "11:00"-AW1525))</f>
        <v/>
      </c>
      <c r="Y1525" s="79"/>
      <c r="Z1525" s="80"/>
      <c r="AA1525" s="81"/>
      <c r="AB1525" s="81"/>
      <c r="AC1525" s="81"/>
      <c r="AD1525" s="81"/>
      <c r="AE1525" s="81"/>
      <c r="AF1525" s="81"/>
      <c r="AG1525" s="81"/>
      <c r="AH1525" s="82"/>
      <c r="AI1525" s="81"/>
      <c r="AJ1525" s="81"/>
      <c r="AK1525" s="81"/>
      <c r="AL1525" s="81"/>
      <c r="AM1525" s="81"/>
      <c r="AN1525" s="81"/>
      <c r="AO1525" s="81"/>
      <c r="AP1525" s="81"/>
      <c r="AQ1525" s="81"/>
      <c r="AR1525" s="81"/>
      <c r="AS1525" s="81"/>
      <c r="AT1525" s="81"/>
      <c r="AU1525" s="87"/>
      <c r="AV1525" s="81"/>
      <c r="AW1525" s="88"/>
      <c r="AX1525" s="58"/>
    </row>
    <row r="1526" spans="1:50" ht="28.5" customHeight="1">
      <c r="A1526" s="66"/>
      <c r="B1526" s="39" t="str">
        <f t="shared" si="198"/>
        <v/>
      </c>
      <c r="C1526" s="40"/>
      <c r="D1526" s="40"/>
      <c r="E1526" s="40"/>
      <c r="F1526" s="41"/>
      <c r="G1526" s="42"/>
      <c r="H1526" s="43" t="str">
        <f>IFERROR(VLOOKUP($J1526,'[9]FROM (3)'!$E$4:$F$230,2,FALSE),"")</f>
        <v/>
      </c>
      <c r="I1526" s="44" t="str">
        <f t="shared" si="197"/>
        <v/>
      </c>
      <c r="J1526" s="44" t="str">
        <f t="shared" si="194"/>
        <v/>
      </c>
      <c r="K1526" s="59" t="str">
        <f t="shared" si="196"/>
        <v/>
      </c>
      <c r="L1526" s="46" t="str" cm="1">
        <f t="array" ref="L1526">IFERROR(_xlfn.IFS(
    LEN($A1526)-LEN(SUBSTITUTE($A1526,"|",""))=12, RIGHT(A1526, LEN(A1526)-FIND("~", SUBSTITUTE(A1526,"|","~", LEN(A1526)-LEN(SUBSTITUTE(A1526,"|",""))))),
    LEN($A1526)-LEN(SUBSTITUTE($A1526,"|",""))=13, MID($A1526, FIND("~", SUBSTITUTE($A1526,"|","~", 11))+1, FIND("~", SUBSTITUTE($A1526,"|","~", 12))-FIND("~", SUBSTITUTE($A1526,"|","~", 11))-1),
    LEN($A1526)-LEN(SUBSTITUTE($A1526,"|",""))=14, MID($A1526, FIND("~", SUBSTITUTE($A1526,"|","~", 11))+1, FIND("~", SUBSTITUTE($A1526,"|","~", 12))-FIND("~", SUBSTITUTE($A1526,"|","~", 11))-1)
), "")</f>
        <v/>
      </c>
      <c r="M1526" s="72" t="str">
        <f t="shared" si="195"/>
        <v/>
      </c>
      <c r="N1526" s="46" t="str">
        <f t="shared" si="199"/>
        <v/>
      </c>
      <c r="O1526" s="76"/>
      <c r="P1526" s="76"/>
      <c r="Q1526" s="77"/>
      <c r="R1526" s="77"/>
      <c r="S1526" s="77"/>
      <c r="T1526" s="77"/>
      <c r="U1526" s="83"/>
      <c r="V1526" s="83"/>
      <c r="W1526" s="78"/>
      <c r="X1526" s="51" t="str">
        <f>IF(A1526="", "", IF(COUNTIFS(C$3:C1525, C1526, D$3:D1525, D1526, G$3:G1525, G1526) &gt; 0, "", "11:00"-AW1526))</f>
        <v/>
      </c>
      <c r="Y1526" s="79"/>
      <c r="Z1526" s="80"/>
      <c r="AA1526" s="81"/>
      <c r="AB1526" s="81"/>
      <c r="AC1526" s="81"/>
      <c r="AD1526" s="81"/>
      <c r="AE1526" s="81"/>
      <c r="AF1526" s="81"/>
      <c r="AG1526" s="81"/>
      <c r="AH1526" s="82"/>
      <c r="AI1526" s="81"/>
      <c r="AJ1526" s="81"/>
      <c r="AK1526" s="81"/>
      <c r="AL1526" s="81"/>
      <c r="AM1526" s="81"/>
      <c r="AN1526" s="81"/>
      <c r="AO1526" s="81"/>
      <c r="AP1526" s="81"/>
      <c r="AQ1526" s="81"/>
      <c r="AR1526" s="81"/>
      <c r="AS1526" s="81"/>
      <c r="AT1526" s="81"/>
      <c r="AU1526" s="87"/>
      <c r="AV1526" s="81"/>
      <c r="AW1526" s="88"/>
      <c r="AX1526" s="58"/>
    </row>
    <row r="1527" spans="1:50" ht="28.5" customHeight="1">
      <c r="A1527" s="66"/>
      <c r="B1527" s="39" t="str">
        <f t="shared" si="198"/>
        <v/>
      </c>
      <c r="C1527" s="40"/>
      <c r="D1527" s="40"/>
      <c r="E1527" s="40"/>
      <c r="F1527" s="41"/>
      <c r="G1527" s="42"/>
      <c r="H1527" s="43" t="str">
        <f>IFERROR(VLOOKUP($J1527,'[9]FROM (3)'!$E$4:$F$230,2,FALSE),"")</f>
        <v/>
      </c>
      <c r="I1527" s="44" t="str">
        <f t="shared" si="197"/>
        <v/>
      </c>
      <c r="J1527" s="44" t="str">
        <f t="shared" si="194"/>
        <v/>
      </c>
      <c r="K1527" s="59" t="str">
        <f t="shared" si="196"/>
        <v/>
      </c>
      <c r="L1527" s="46" t="str" cm="1">
        <f t="array" ref="L1527">IFERROR(_xlfn.IFS(
    LEN($A1527)-LEN(SUBSTITUTE($A1527,"|",""))=12, RIGHT(A1527, LEN(A1527)-FIND("~", SUBSTITUTE(A1527,"|","~", LEN(A1527)-LEN(SUBSTITUTE(A1527,"|",""))))),
    LEN($A1527)-LEN(SUBSTITUTE($A1527,"|",""))=13, MID($A1527, FIND("~", SUBSTITUTE($A1527,"|","~", 11))+1, FIND("~", SUBSTITUTE($A1527,"|","~", 12))-FIND("~", SUBSTITUTE($A1527,"|","~", 11))-1),
    LEN($A1527)-LEN(SUBSTITUTE($A1527,"|",""))=14, MID($A1527, FIND("~", SUBSTITUTE($A1527,"|","~", 11))+1, FIND("~", SUBSTITUTE($A1527,"|","~", 12))-FIND("~", SUBSTITUTE($A1527,"|","~", 11))-1)
), "")</f>
        <v/>
      </c>
      <c r="M1527" s="72" t="str">
        <f t="shared" si="195"/>
        <v/>
      </c>
      <c r="N1527" s="46" t="str">
        <f t="shared" si="199"/>
        <v/>
      </c>
      <c r="O1527" s="76"/>
      <c r="P1527" s="76"/>
      <c r="Q1527" s="77"/>
      <c r="R1527" s="77"/>
      <c r="S1527" s="77"/>
      <c r="T1527" s="77"/>
      <c r="U1527" s="83"/>
      <c r="V1527" s="83"/>
      <c r="W1527" s="78"/>
      <c r="X1527" s="51" t="str">
        <f>IF(A1527="", "", IF(COUNTIFS(C$3:C1526, C1527, D$3:D1526, D1527, G$3:G1526, G1527) &gt; 0, "", "11:00"-AW1527))</f>
        <v/>
      </c>
      <c r="Y1527" s="79"/>
      <c r="Z1527" s="80"/>
      <c r="AA1527" s="81"/>
      <c r="AB1527" s="81"/>
      <c r="AC1527" s="81"/>
      <c r="AD1527" s="81"/>
      <c r="AE1527" s="81"/>
      <c r="AF1527" s="81"/>
      <c r="AG1527" s="81"/>
      <c r="AH1527" s="82"/>
      <c r="AI1527" s="81"/>
      <c r="AJ1527" s="81"/>
      <c r="AK1527" s="81"/>
      <c r="AL1527" s="81"/>
      <c r="AM1527" s="81"/>
      <c r="AN1527" s="81"/>
      <c r="AO1527" s="81"/>
      <c r="AP1527" s="81"/>
      <c r="AQ1527" s="81"/>
      <c r="AR1527" s="81"/>
      <c r="AS1527" s="81"/>
      <c r="AT1527" s="81"/>
      <c r="AU1527" s="87"/>
      <c r="AV1527" s="81"/>
      <c r="AW1527" s="88"/>
      <c r="AX1527" s="58"/>
    </row>
    <row r="1528" spans="1:50" ht="28.5" customHeight="1">
      <c r="A1528" s="66"/>
      <c r="B1528" s="39" t="str">
        <f t="shared" si="198"/>
        <v/>
      </c>
      <c r="C1528" s="40"/>
      <c r="D1528" s="40"/>
      <c r="E1528" s="40"/>
      <c r="F1528" s="41"/>
      <c r="G1528" s="42"/>
      <c r="H1528" s="43" t="str">
        <f>IFERROR(VLOOKUP($J1528,'[9]FROM (3)'!$E$4:$F$230,2,FALSE),"")</f>
        <v/>
      </c>
      <c r="I1528" s="44" t="str">
        <f t="shared" si="197"/>
        <v/>
      </c>
      <c r="J1528" s="44" t="str">
        <f t="shared" si="194"/>
        <v/>
      </c>
      <c r="K1528" s="59" t="str">
        <f t="shared" si="196"/>
        <v/>
      </c>
      <c r="L1528" s="46" t="str" cm="1">
        <f t="array" ref="L1528">IFERROR(_xlfn.IFS(
    LEN($A1528)-LEN(SUBSTITUTE($A1528,"|",""))=12, RIGHT(A1528, LEN(A1528)-FIND("~", SUBSTITUTE(A1528,"|","~", LEN(A1528)-LEN(SUBSTITUTE(A1528,"|",""))))),
    LEN($A1528)-LEN(SUBSTITUTE($A1528,"|",""))=13, MID($A1528, FIND("~", SUBSTITUTE($A1528,"|","~", 11))+1, FIND("~", SUBSTITUTE($A1528,"|","~", 12))-FIND("~", SUBSTITUTE($A1528,"|","~", 11))-1),
    LEN($A1528)-LEN(SUBSTITUTE($A1528,"|",""))=14, MID($A1528, FIND("~", SUBSTITUTE($A1528,"|","~", 11))+1, FIND("~", SUBSTITUTE($A1528,"|","~", 12))-FIND("~", SUBSTITUTE($A1528,"|","~", 11))-1)
), "")</f>
        <v/>
      </c>
      <c r="M1528" s="72" t="str">
        <f t="shared" si="195"/>
        <v/>
      </c>
      <c r="N1528" s="46" t="str">
        <f t="shared" si="199"/>
        <v/>
      </c>
      <c r="O1528" s="76"/>
      <c r="P1528" s="76"/>
      <c r="Q1528" s="77"/>
      <c r="R1528" s="77"/>
      <c r="S1528" s="77"/>
      <c r="T1528" s="77"/>
      <c r="U1528" s="83"/>
      <c r="V1528" s="83"/>
      <c r="W1528" s="78"/>
      <c r="X1528" s="51" t="str">
        <f>IF(A1528="", "", IF(COUNTIFS(C$3:C1527, C1528, D$3:D1527, D1528, G$3:G1527, G1528) &gt; 0, "", "11:00"-AW1528))</f>
        <v/>
      </c>
      <c r="Y1528" s="79"/>
      <c r="Z1528" s="80"/>
      <c r="AA1528" s="81"/>
      <c r="AB1528" s="81"/>
      <c r="AC1528" s="81"/>
      <c r="AD1528" s="81"/>
      <c r="AE1528" s="81"/>
      <c r="AF1528" s="81"/>
      <c r="AG1528" s="81"/>
      <c r="AH1528" s="82"/>
      <c r="AI1528" s="81"/>
      <c r="AJ1528" s="81"/>
      <c r="AK1528" s="81"/>
      <c r="AL1528" s="81"/>
      <c r="AM1528" s="81"/>
      <c r="AN1528" s="81"/>
      <c r="AO1528" s="81"/>
      <c r="AP1528" s="81"/>
      <c r="AQ1528" s="81"/>
      <c r="AR1528" s="81"/>
      <c r="AS1528" s="81"/>
      <c r="AT1528" s="81"/>
      <c r="AU1528" s="87"/>
      <c r="AV1528" s="81"/>
      <c r="AW1528" s="88"/>
      <c r="AX1528" s="58"/>
    </row>
    <row r="1529" spans="1:50" ht="28.5" customHeight="1">
      <c r="A1529" s="66"/>
      <c r="B1529" s="39" t="str">
        <f t="shared" si="198"/>
        <v/>
      </c>
      <c r="C1529" s="40"/>
      <c r="D1529" s="40"/>
      <c r="E1529" s="40"/>
      <c r="F1529" s="41"/>
      <c r="G1529" s="42"/>
      <c r="H1529" s="43" t="str">
        <f>IFERROR(VLOOKUP($J1529,'[9]FROM (3)'!$E$4:$F$230,2,FALSE),"")</f>
        <v/>
      </c>
      <c r="I1529" s="44" t="str">
        <f t="shared" si="197"/>
        <v/>
      </c>
      <c r="J1529" s="44" t="str">
        <f t="shared" ref="J1529:J1584" si="200">IFERROR(MID(A1529,FIND("~",SUBSTITUTE(A1529,"|","~",3))+1,FIND("~",SUBSTITUTE(A1529,"|","~",4))-FIND("~",SUBSTITUTE(A1529,"|","~",3))-1),"")</f>
        <v/>
      </c>
      <c r="K1529" s="59" t="str">
        <f t="shared" si="196"/>
        <v/>
      </c>
      <c r="L1529" s="46" t="str" cm="1">
        <f t="array" ref="L1529">IFERROR(_xlfn.IFS(
    LEN($A1529)-LEN(SUBSTITUTE($A1529,"|",""))=12, RIGHT(A1529, LEN(A1529)-FIND("~", SUBSTITUTE(A1529,"|","~", LEN(A1529)-LEN(SUBSTITUTE(A1529,"|",""))))),
    LEN($A1529)-LEN(SUBSTITUTE($A1529,"|",""))=13, MID($A1529, FIND("~", SUBSTITUTE($A1529,"|","~", 11))+1, FIND("~", SUBSTITUTE($A1529,"|","~", 12))-FIND("~", SUBSTITUTE($A1529,"|","~", 11))-1),
    LEN($A1529)-LEN(SUBSTITUTE($A1529,"|",""))=14, MID($A1529, FIND("~", SUBSTITUTE($A1529,"|","~", 11))+1, FIND("~", SUBSTITUTE($A1529,"|","~", 12))-FIND("~", SUBSTITUTE($A1529,"|","~", 11))-1)
), "")</f>
        <v/>
      </c>
      <c r="M1529" s="72" t="str">
        <f t="shared" si="195"/>
        <v/>
      </c>
      <c r="N1529" s="46" t="str">
        <f t="shared" si="199"/>
        <v/>
      </c>
      <c r="O1529" s="76"/>
      <c r="P1529" s="76"/>
      <c r="Q1529" s="77"/>
      <c r="R1529" s="77"/>
      <c r="S1529" s="77"/>
      <c r="T1529" s="77"/>
      <c r="U1529" s="83"/>
      <c r="V1529" s="83"/>
      <c r="W1529" s="78"/>
      <c r="X1529" s="51" t="str">
        <f>IF(A1529="", "", IF(COUNTIFS(C$3:C1528, C1529, D$3:D1528, D1529, G$3:G1528, G1529) &gt; 0, "", "11:00"-AW1529))</f>
        <v/>
      </c>
      <c r="Y1529" s="79"/>
      <c r="Z1529" s="80"/>
      <c r="AA1529" s="81"/>
      <c r="AB1529" s="81"/>
      <c r="AC1529" s="81"/>
      <c r="AD1529" s="81"/>
      <c r="AE1529" s="81"/>
      <c r="AF1529" s="81"/>
      <c r="AG1529" s="81"/>
      <c r="AH1529" s="82"/>
      <c r="AI1529" s="81"/>
      <c r="AJ1529" s="81"/>
      <c r="AK1529" s="81"/>
      <c r="AL1529" s="81"/>
      <c r="AM1529" s="81"/>
      <c r="AN1529" s="81"/>
      <c r="AO1529" s="81"/>
      <c r="AP1529" s="81"/>
      <c r="AQ1529" s="81"/>
      <c r="AR1529" s="81"/>
      <c r="AS1529" s="81"/>
      <c r="AT1529" s="81"/>
      <c r="AU1529" s="87"/>
      <c r="AV1529" s="81"/>
      <c r="AW1529" s="88"/>
      <c r="AX1529" s="58"/>
    </row>
    <row r="1530" spans="1:50" ht="28.5" customHeight="1">
      <c r="A1530" s="66"/>
      <c r="B1530" s="39" t="str">
        <f t="shared" si="198"/>
        <v/>
      </c>
      <c r="C1530" s="40"/>
      <c r="D1530" s="40"/>
      <c r="E1530" s="40"/>
      <c r="F1530" s="41"/>
      <c r="G1530" s="42"/>
      <c r="H1530" s="43" t="str">
        <f>IFERROR(VLOOKUP($J1530,'[9]FROM (3)'!$E$4:$F$230,2,FALSE),"")</f>
        <v/>
      </c>
      <c r="I1530" s="44" t="str">
        <f t="shared" si="197"/>
        <v/>
      </c>
      <c r="J1530" s="44" t="str">
        <f t="shared" si="200"/>
        <v/>
      </c>
      <c r="K1530" s="59" t="str">
        <f t="shared" si="196"/>
        <v/>
      </c>
      <c r="L1530" s="46" t="str" cm="1">
        <f t="array" ref="L1530">IFERROR(_xlfn.IFS(
    LEN($A1530)-LEN(SUBSTITUTE($A1530,"|",""))=12, RIGHT(A1530, LEN(A1530)-FIND("~", SUBSTITUTE(A1530,"|","~", LEN(A1530)-LEN(SUBSTITUTE(A1530,"|",""))))),
    LEN($A1530)-LEN(SUBSTITUTE($A1530,"|",""))=13, MID($A1530, FIND("~", SUBSTITUTE($A1530,"|","~", 11))+1, FIND("~", SUBSTITUTE($A1530,"|","~", 12))-FIND("~", SUBSTITUTE($A1530,"|","~", 11))-1),
    LEN($A1530)-LEN(SUBSTITUTE($A1530,"|",""))=14, MID($A1530, FIND("~", SUBSTITUTE($A1530,"|","~", 11))+1, FIND("~", SUBSTITUTE($A1530,"|","~", 12))-FIND("~", SUBSTITUTE($A1530,"|","~", 11))-1)
), "")</f>
        <v/>
      </c>
      <c r="M1530" s="72" t="str">
        <f t="shared" si="195"/>
        <v/>
      </c>
      <c r="N1530" s="46" t="str">
        <f t="shared" si="199"/>
        <v/>
      </c>
      <c r="O1530" s="76"/>
      <c r="P1530" s="76"/>
      <c r="Q1530" s="77"/>
      <c r="R1530" s="77"/>
      <c r="S1530" s="77"/>
      <c r="T1530" s="77"/>
      <c r="U1530" s="83"/>
      <c r="V1530" s="83"/>
      <c r="W1530" s="78"/>
      <c r="X1530" s="51" t="str">
        <f>IF(A1530="", "", IF(COUNTIFS(C$3:C1529, C1530, D$3:D1529, D1530, G$3:G1529, G1530) &gt; 0, "", "11:00"-AW1530))</f>
        <v/>
      </c>
      <c r="Y1530" s="79"/>
      <c r="Z1530" s="80"/>
      <c r="AA1530" s="81"/>
      <c r="AB1530" s="81"/>
      <c r="AC1530" s="81"/>
      <c r="AD1530" s="81"/>
      <c r="AE1530" s="81"/>
      <c r="AF1530" s="81"/>
      <c r="AG1530" s="81"/>
      <c r="AH1530" s="82"/>
      <c r="AI1530" s="81"/>
      <c r="AJ1530" s="81"/>
      <c r="AK1530" s="81"/>
      <c r="AL1530" s="81"/>
      <c r="AM1530" s="81"/>
      <c r="AN1530" s="81"/>
      <c r="AO1530" s="81"/>
      <c r="AP1530" s="81"/>
      <c r="AQ1530" s="81"/>
      <c r="AR1530" s="81"/>
      <c r="AS1530" s="81"/>
      <c r="AT1530" s="81"/>
      <c r="AU1530" s="87"/>
      <c r="AV1530" s="81"/>
      <c r="AW1530" s="88"/>
      <c r="AX1530" s="58"/>
    </row>
    <row r="1531" spans="1:50" ht="28.5" customHeight="1">
      <c r="A1531" s="66"/>
      <c r="B1531" s="39" t="str">
        <f t="shared" si="198"/>
        <v/>
      </c>
      <c r="C1531" s="40"/>
      <c r="D1531" s="40"/>
      <c r="E1531" s="40"/>
      <c r="F1531" s="41"/>
      <c r="G1531" s="42"/>
      <c r="H1531" s="43" t="str">
        <f>IFERROR(VLOOKUP($J1531,'[9]FROM (3)'!$E$4:$F$230,2,FALSE),"")</f>
        <v/>
      </c>
      <c r="I1531" s="44" t="str">
        <f t="shared" si="197"/>
        <v/>
      </c>
      <c r="J1531" s="44" t="str">
        <f t="shared" si="200"/>
        <v/>
      </c>
      <c r="K1531" s="59" t="str">
        <f t="shared" si="196"/>
        <v/>
      </c>
      <c r="L1531" s="46" t="str" cm="1">
        <f t="array" ref="L1531">IFERROR(_xlfn.IFS(
    LEN($A1531)-LEN(SUBSTITUTE($A1531,"|",""))=12, RIGHT(A1531, LEN(A1531)-FIND("~", SUBSTITUTE(A1531,"|","~", LEN(A1531)-LEN(SUBSTITUTE(A1531,"|",""))))),
    LEN($A1531)-LEN(SUBSTITUTE($A1531,"|",""))=13, MID($A1531, FIND("~", SUBSTITUTE($A1531,"|","~", 11))+1, FIND("~", SUBSTITUTE($A1531,"|","~", 12))-FIND("~", SUBSTITUTE($A1531,"|","~", 11))-1),
    LEN($A1531)-LEN(SUBSTITUTE($A1531,"|",""))=14, MID($A1531, FIND("~", SUBSTITUTE($A1531,"|","~", 11))+1, FIND("~", SUBSTITUTE($A1531,"|","~", 12))-FIND("~", SUBSTITUTE($A1531,"|","~", 11))-1)
), "")</f>
        <v/>
      </c>
      <c r="M1531" s="72" t="str">
        <f t="shared" si="195"/>
        <v/>
      </c>
      <c r="N1531" s="46" t="str">
        <f t="shared" si="199"/>
        <v/>
      </c>
      <c r="O1531" s="76"/>
      <c r="P1531" s="76"/>
      <c r="Q1531" s="77"/>
      <c r="R1531" s="77"/>
      <c r="S1531" s="77"/>
      <c r="T1531" s="77"/>
      <c r="U1531" s="83"/>
      <c r="V1531" s="83"/>
      <c r="W1531" s="78"/>
      <c r="X1531" s="51" t="str">
        <f>IF(A1531="", "", IF(COUNTIFS(C$3:C1530, C1531, D$3:D1530, D1531, G$3:G1530, G1531) &gt; 0, "", "11:00"-AW1531))</f>
        <v/>
      </c>
      <c r="Y1531" s="79"/>
      <c r="Z1531" s="80"/>
      <c r="AA1531" s="81"/>
      <c r="AB1531" s="81"/>
      <c r="AC1531" s="81"/>
      <c r="AD1531" s="81"/>
      <c r="AE1531" s="81"/>
      <c r="AF1531" s="81"/>
      <c r="AG1531" s="81"/>
      <c r="AH1531" s="82"/>
      <c r="AI1531" s="81"/>
      <c r="AJ1531" s="81"/>
      <c r="AK1531" s="81"/>
      <c r="AL1531" s="81"/>
      <c r="AM1531" s="81"/>
      <c r="AN1531" s="81"/>
      <c r="AO1531" s="81"/>
      <c r="AP1531" s="81"/>
      <c r="AQ1531" s="81"/>
      <c r="AR1531" s="81"/>
      <c r="AS1531" s="81"/>
      <c r="AT1531" s="81"/>
      <c r="AU1531" s="87"/>
      <c r="AV1531" s="81"/>
      <c r="AW1531" s="88"/>
      <c r="AX1531" s="58"/>
    </row>
    <row r="1532" spans="1:50" ht="28.5" customHeight="1">
      <c r="A1532" s="66"/>
      <c r="B1532" s="39" t="str">
        <f t="shared" si="198"/>
        <v/>
      </c>
      <c r="C1532" s="40"/>
      <c r="D1532" s="40"/>
      <c r="E1532" s="40"/>
      <c r="F1532" s="41"/>
      <c r="G1532" s="42"/>
      <c r="H1532" s="43" t="str">
        <f>IFERROR(VLOOKUP($J1532,'[9]FROM (3)'!$E$4:$F$230,2,FALSE),"")</f>
        <v/>
      </c>
      <c r="I1532" s="44" t="str">
        <f t="shared" si="197"/>
        <v/>
      </c>
      <c r="J1532" s="44" t="str">
        <f t="shared" si="200"/>
        <v/>
      </c>
      <c r="K1532" s="59" t="str">
        <f t="shared" si="196"/>
        <v/>
      </c>
      <c r="L1532" s="46" t="str" cm="1">
        <f t="array" ref="L1532">IFERROR(_xlfn.IFS(
    LEN($A1532)-LEN(SUBSTITUTE($A1532,"|",""))=12, RIGHT(A1532, LEN(A1532)-FIND("~", SUBSTITUTE(A1532,"|","~", LEN(A1532)-LEN(SUBSTITUTE(A1532,"|",""))))),
    LEN($A1532)-LEN(SUBSTITUTE($A1532,"|",""))=13, MID($A1532, FIND("~", SUBSTITUTE($A1532,"|","~", 11))+1, FIND("~", SUBSTITUTE($A1532,"|","~", 12))-FIND("~", SUBSTITUTE($A1532,"|","~", 11))-1),
    LEN($A1532)-LEN(SUBSTITUTE($A1532,"|",""))=14, MID($A1532, FIND("~", SUBSTITUTE($A1532,"|","~", 11))+1, FIND("~", SUBSTITUTE($A1532,"|","~", 12))-FIND("~", SUBSTITUTE($A1532,"|","~", 11))-1)
), "")</f>
        <v/>
      </c>
      <c r="M1532" s="72" t="str">
        <f t="shared" si="195"/>
        <v/>
      </c>
      <c r="N1532" s="46" t="str">
        <f t="shared" si="199"/>
        <v/>
      </c>
      <c r="O1532" s="76"/>
      <c r="P1532" s="76"/>
      <c r="Q1532" s="77"/>
      <c r="R1532" s="77"/>
      <c r="S1532" s="77"/>
      <c r="T1532" s="77"/>
      <c r="U1532" s="83"/>
      <c r="V1532" s="83"/>
      <c r="W1532" s="78"/>
      <c r="X1532" s="51" t="str">
        <f>IF(A1532="", "", IF(COUNTIFS(C$3:C1531, C1532, D$3:D1531, D1532, G$3:G1531, G1532) &gt; 0, "", "11:00"-AW1532))</f>
        <v/>
      </c>
      <c r="Y1532" s="79"/>
      <c r="Z1532" s="80"/>
      <c r="AA1532" s="81"/>
      <c r="AB1532" s="81"/>
      <c r="AC1532" s="81"/>
      <c r="AD1532" s="81"/>
      <c r="AE1532" s="81"/>
      <c r="AF1532" s="81"/>
      <c r="AG1532" s="81"/>
      <c r="AH1532" s="82"/>
      <c r="AI1532" s="81"/>
      <c r="AJ1532" s="81"/>
      <c r="AK1532" s="81"/>
      <c r="AL1532" s="81"/>
      <c r="AM1532" s="81"/>
      <c r="AN1532" s="81"/>
      <c r="AO1532" s="81"/>
      <c r="AP1532" s="81"/>
      <c r="AQ1532" s="81"/>
      <c r="AR1532" s="81"/>
      <c r="AS1532" s="81"/>
      <c r="AT1532" s="81"/>
      <c r="AU1532" s="87"/>
      <c r="AV1532" s="81"/>
      <c r="AW1532" s="88"/>
      <c r="AX1532" s="58"/>
    </row>
    <row r="1533" spans="1:50" ht="28.5" customHeight="1">
      <c r="A1533" s="66"/>
      <c r="B1533" s="39" t="str">
        <f t="shared" si="198"/>
        <v/>
      </c>
      <c r="C1533" s="40"/>
      <c r="D1533" s="40"/>
      <c r="E1533" s="40"/>
      <c r="F1533" s="41"/>
      <c r="G1533" s="42"/>
      <c r="H1533" s="43" t="str">
        <f>IFERROR(VLOOKUP($J1533,'[9]FROM (3)'!$E$4:$F$230,2,FALSE),"")</f>
        <v/>
      </c>
      <c r="I1533" s="44" t="str">
        <f t="shared" si="197"/>
        <v/>
      </c>
      <c r="J1533" s="44" t="str">
        <f t="shared" si="200"/>
        <v/>
      </c>
      <c r="K1533" s="59" t="str">
        <f t="shared" si="196"/>
        <v/>
      </c>
      <c r="L1533" s="46" t="str" cm="1">
        <f t="array" ref="L1533">IFERROR(_xlfn.IFS(
    LEN($A1533)-LEN(SUBSTITUTE($A1533,"|",""))=12, RIGHT(A1533, LEN(A1533)-FIND("~", SUBSTITUTE(A1533,"|","~", LEN(A1533)-LEN(SUBSTITUTE(A1533,"|",""))))),
    LEN($A1533)-LEN(SUBSTITUTE($A1533,"|",""))=13, MID($A1533, FIND("~", SUBSTITUTE($A1533,"|","~", 11))+1, FIND("~", SUBSTITUTE($A1533,"|","~", 12))-FIND("~", SUBSTITUTE($A1533,"|","~", 11))-1),
    LEN($A1533)-LEN(SUBSTITUTE($A1533,"|",""))=14, MID($A1533, FIND("~", SUBSTITUTE($A1533,"|","~", 11))+1, FIND("~", SUBSTITUTE($A1533,"|","~", 12))-FIND("~", SUBSTITUTE($A1533,"|","~", 11))-1)
), "")</f>
        <v/>
      </c>
      <c r="M1533" s="72" t="str">
        <f t="shared" si="195"/>
        <v/>
      </c>
      <c r="N1533" s="46" t="str">
        <f t="shared" si="199"/>
        <v/>
      </c>
      <c r="O1533" s="76"/>
      <c r="P1533" s="76"/>
      <c r="Q1533" s="77"/>
      <c r="R1533" s="77"/>
      <c r="S1533" s="77"/>
      <c r="T1533" s="77"/>
      <c r="U1533" s="83"/>
      <c r="V1533" s="83"/>
      <c r="W1533" s="78"/>
      <c r="X1533" s="51" t="str">
        <f>IF(A1533="", "", IF(COUNTIFS(C$3:C1532, C1533, D$3:D1532, D1533, G$3:G1532, G1533) &gt; 0, "", "11:00"-AW1533))</f>
        <v/>
      </c>
      <c r="Y1533" s="79"/>
      <c r="Z1533" s="80"/>
      <c r="AA1533" s="81"/>
      <c r="AB1533" s="81"/>
      <c r="AC1533" s="81"/>
      <c r="AD1533" s="81"/>
      <c r="AE1533" s="81"/>
      <c r="AF1533" s="81"/>
      <c r="AG1533" s="81"/>
      <c r="AH1533" s="82"/>
      <c r="AI1533" s="81"/>
      <c r="AJ1533" s="81"/>
      <c r="AK1533" s="81"/>
      <c r="AL1533" s="81"/>
      <c r="AM1533" s="81"/>
      <c r="AN1533" s="81"/>
      <c r="AO1533" s="81"/>
      <c r="AP1533" s="81"/>
      <c r="AQ1533" s="81"/>
      <c r="AR1533" s="81"/>
      <c r="AS1533" s="81"/>
      <c r="AT1533" s="81"/>
      <c r="AU1533" s="87"/>
      <c r="AV1533" s="81"/>
      <c r="AW1533" s="88"/>
      <c r="AX1533" s="58"/>
    </row>
    <row r="1534" spans="1:50" ht="28.5" customHeight="1">
      <c r="A1534" s="66"/>
      <c r="B1534" s="39" t="str">
        <f t="shared" si="198"/>
        <v/>
      </c>
      <c r="C1534" s="40"/>
      <c r="D1534" s="40"/>
      <c r="E1534" s="40"/>
      <c r="F1534" s="41"/>
      <c r="G1534" s="42"/>
      <c r="H1534" s="43" t="str">
        <f>IFERROR(VLOOKUP($J1534,'[9]FROM (3)'!$E$4:$F$230,2,FALSE),"")</f>
        <v/>
      </c>
      <c r="I1534" s="44" t="str">
        <f t="shared" si="197"/>
        <v/>
      </c>
      <c r="J1534" s="44" t="str">
        <f t="shared" si="200"/>
        <v/>
      </c>
      <c r="K1534" s="59" t="str">
        <f t="shared" si="196"/>
        <v/>
      </c>
      <c r="L1534" s="46" t="str" cm="1">
        <f t="array" ref="L1534">IFERROR(_xlfn.IFS(
    LEN($A1534)-LEN(SUBSTITUTE($A1534,"|",""))=12, RIGHT(A1534, LEN(A1534)-FIND("~", SUBSTITUTE(A1534,"|","~", LEN(A1534)-LEN(SUBSTITUTE(A1534,"|",""))))),
    LEN($A1534)-LEN(SUBSTITUTE($A1534,"|",""))=13, MID($A1534, FIND("~", SUBSTITUTE($A1534,"|","~", 11))+1, FIND("~", SUBSTITUTE($A1534,"|","~", 12))-FIND("~", SUBSTITUTE($A1534,"|","~", 11))-1),
    LEN($A1534)-LEN(SUBSTITUTE($A1534,"|",""))=14, MID($A1534, FIND("~", SUBSTITUTE($A1534,"|","~", 11))+1, FIND("~", SUBSTITUTE($A1534,"|","~", 12))-FIND("~", SUBSTITUTE($A1534,"|","~", 11))-1)
), "")</f>
        <v/>
      </c>
      <c r="M1534" s="72" t="str">
        <f t="shared" si="195"/>
        <v/>
      </c>
      <c r="N1534" s="46" t="str">
        <f t="shared" si="199"/>
        <v/>
      </c>
      <c r="O1534" s="76"/>
      <c r="P1534" s="76"/>
      <c r="Q1534" s="77"/>
      <c r="R1534" s="77"/>
      <c r="S1534" s="77"/>
      <c r="T1534" s="77"/>
      <c r="U1534" s="83"/>
      <c r="V1534" s="83"/>
      <c r="W1534" s="78"/>
      <c r="X1534" s="51" t="str">
        <f>IF(A1534="", "", IF(COUNTIFS(C$3:C1533, C1534, D$3:D1533, D1534, G$3:G1533, G1534) &gt; 0, "", "11:00"-AW1534))</f>
        <v/>
      </c>
      <c r="Y1534" s="79"/>
      <c r="Z1534" s="80"/>
      <c r="AA1534" s="81"/>
      <c r="AB1534" s="81"/>
      <c r="AC1534" s="81"/>
      <c r="AD1534" s="81"/>
      <c r="AE1534" s="81"/>
      <c r="AF1534" s="81"/>
      <c r="AG1534" s="81"/>
      <c r="AH1534" s="82"/>
      <c r="AI1534" s="81"/>
      <c r="AJ1534" s="81"/>
      <c r="AK1534" s="81"/>
      <c r="AL1534" s="81"/>
      <c r="AM1534" s="81"/>
      <c r="AN1534" s="81"/>
      <c r="AO1534" s="81"/>
      <c r="AP1534" s="81"/>
      <c r="AQ1534" s="81"/>
      <c r="AR1534" s="81"/>
      <c r="AS1534" s="81"/>
      <c r="AT1534" s="81"/>
      <c r="AU1534" s="87"/>
      <c r="AV1534" s="81"/>
      <c r="AW1534" s="88"/>
      <c r="AX1534" s="58"/>
    </row>
    <row r="1535" spans="1:50" ht="28.5" customHeight="1">
      <c r="A1535" s="66"/>
      <c r="B1535" s="39" t="str">
        <f t="shared" si="198"/>
        <v/>
      </c>
      <c r="C1535" s="40"/>
      <c r="D1535" s="40"/>
      <c r="E1535" s="40"/>
      <c r="F1535" s="41"/>
      <c r="G1535" s="42"/>
      <c r="H1535" s="43" t="str">
        <f>IFERROR(VLOOKUP($J1535,'[9]FROM (3)'!$E$4:$F$230,2,FALSE),"")</f>
        <v/>
      </c>
      <c r="I1535" s="44" t="str">
        <f t="shared" si="197"/>
        <v/>
      </c>
      <c r="J1535" s="44" t="str">
        <f t="shared" si="200"/>
        <v/>
      </c>
      <c r="K1535" s="59" t="str">
        <f t="shared" si="196"/>
        <v/>
      </c>
      <c r="L1535" s="46" t="str" cm="1">
        <f t="array" ref="L1535">IFERROR(_xlfn.IFS(
    LEN($A1535)-LEN(SUBSTITUTE($A1535,"|",""))=12, RIGHT(A1535, LEN(A1535)-FIND("~", SUBSTITUTE(A1535,"|","~", LEN(A1535)-LEN(SUBSTITUTE(A1535,"|",""))))),
    LEN($A1535)-LEN(SUBSTITUTE($A1535,"|",""))=13, MID($A1535, FIND("~", SUBSTITUTE($A1535,"|","~", 11))+1, FIND("~", SUBSTITUTE($A1535,"|","~", 12))-FIND("~", SUBSTITUTE($A1535,"|","~", 11))-1),
    LEN($A1535)-LEN(SUBSTITUTE($A1535,"|",""))=14, MID($A1535, FIND("~", SUBSTITUTE($A1535,"|","~", 11))+1, FIND("~", SUBSTITUTE($A1535,"|","~", 12))-FIND("~", SUBSTITUTE($A1535,"|","~", 11))-1)
), "")</f>
        <v/>
      </c>
      <c r="M1535" s="72" t="str">
        <f t="shared" si="195"/>
        <v/>
      </c>
      <c r="N1535" s="46" t="str">
        <f t="shared" si="199"/>
        <v/>
      </c>
      <c r="O1535" s="76"/>
      <c r="P1535" s="76"/>
      <c r="Q1535" s="77"/>
      <c r="R1535" s="77"/>
      <c r="S1535" s="77"/>
      <c r="T1535" s="77"/>
      <c r="U1535" s="83"/>
      <c r="V1535" s="83"/>
      <c r="W1535" s="78"/>
      <c r="X1535" s="51" t="str">
        <f>IF(A1535="", "", IF(COUNTIFS(C$3:C1534, C1535, D$3:D1534, D1535, G$3:G1534, G1535) &gt; 0, "", "11:00"-AW1535))</f>
        <v/>
      </c>
      <c r="Y1535" s="79"/>
      <c r="Z1535" s="80"/>
      <c r="AA1535" s="81"/>
      <c r="AB1535" s="81"/>
      <c r="AC1535" s="81"/>
      <c r="AD1535" s="81"/>
      <c r="AE1535" s="81"/>
      <c r="AF1535" s="81"/>
      <c r="AG1535" s="81"/>
      <c r="AH1535" s="82"/>
      <c r="AI1535" s="81"/>
      <c r="AJ1535" s="81"/>
      <c r="AK1535" s="81"/>
      <c r="AL1535" s="81"/>
      <c r="AM1535" s="81"/>
      <c r="AN1535" s="81"/>
      <c r="AO1535" s="81"/>
      <c r="AP1535" s="81"/>
      <c r="AQ1535" s="81"/>
      <c r="AR1535" s="81"/>
      <c r="AS1535" s="81"/>
      <c r="AT1535" s="81"/>
      <c r="AU1535" s="87"/>
      <c r="AV1535" s="81"/>
      <c r="AW1535" s="88"/>
      <c r="AX1535" s="58"/>
    </row>
    <row r="1536" spans="1:50" ht="28.5" customHeight="1">
      <c r="A1536" s="66"/>
      <c r="B1536" s="39" t="str">
        <f t="shared" si="198"/>
        <v/>
      </c>
      <c r="C1536" s="40"/>
      <c r="D1536" s="40"/>
      <c r="E1536" s="40"/>
      <c r="F1536" s="41"/>
      <c r="G1536" s="42"/>
      <c r="H1536" s="43" t="str">
        <f>IFERROR(VLOOKUP($J1536,'[9]FROM (3)'!$E$4:$F$230,2,FALSE),"")</f>
        <v/>
      </c>
      <c r="I1536" s="44" t="str">
        <f t="shared" si="197"/>
        <v/>
      </c>
      <c r="J1536" s="44" t="str">
        <f t="shared" si="200"/>
        <v/>
      </c>
      <c r="K1536" s="59" t="str">
        <f t="shared" si="196"/>
        <v/>
      </c>
      <c r="L1536" s="46" t="str" cm="1">
        <f t="array" ref="L1536">IFERROR(_xlfn.IFS(
    LEN($A1536)-LEN(SUBSTITUTE($A1536,"|",""))=12, RIGHT(A1536, LEN(A1536)-FIND("~", SUBSTITUTE(A1536,"|","~", LEN(A1536)-LEN(SUBSTITUTE(A1536,"|",""))))),
    LEN($A1536)-LEN(SUBSTITUTE($A1536,"|",""))=13, MID($A1536, FIND("~", SUBSTITUTE($A1536,"|","~", 11))+1, FIND("~", SUBSTITUTE($A1536,"|","~", 12))-FIND("~", SUBSTITUTE($A1536,"|","~", 11))-1),
    LEN($A1536)-LEN(SUBSTITUTE($A1536,"|",""))=14, MID($A1536, FIND("~", SUBSTITUTE($A1536,"|","~", 11))+1, FIND("~", SUBSTITUTE($A1536,"|","~", 12))-FIND("~", SUBSTITUTE($A1536,"|","~", 11))-1)
), "")</f>
        <v/>
      </c>
      <c r="M1536" s="72" t="str">
        <f t="shared" si="195"/>
        <v/>
      </c>
      <c r="N1536" s="46" t="str">
        <f t="shared" si="199"/>
        <v/>
      </c>
      <c r="O1536" s="76"/>
      <c r="P1536" s="76"/>
      <c r="Q1536" s="77"/>
      <c r="R1536" s="77"/>
      <c r="S1536" s="77"/>
      <c r="T1536" s="77"/>
      <c r="U1536" s="83"/>
      <c r="V1536" s="83"/>
      <c r="W1536" s="78"/>
      <c r="X1536" s="51" t="str">
        <f>IF(A1536="", "", IF(COUNTIFS(C$3:C1535, C1536, D$3:D1535, D1536, G$3:G1535, G1536) &gt; 0, "", "11:00"-AW1536))</f>
        <v/>
      </c>
      <c r="Y1536" s="79"/>
      <c r="Z1536" s="80"/>
      <c r="AA1536" s="81"/>
      <c r="AB1536" s="81"/>
      <c r="AC1536" s="81"/>
      <c r="AD1536" s="81"/>
      <c r="AE1536" s="81"/>
      <c r="AF1536" s="81"/>
      <c r="AG1536" s="81"/>
      <c r="AH1536" s="82"/>
      <c r="AI1536" s="81"/>
      <c r="AJ1536" s="81"/>
      <c r="AK1536" s="81"/>
      <c r="AL1536" s="81"/>
      <c r="AM1536" s="81"/>
      <c r="AN1536" s="81"/>
      <c r="AO1536" s="81"/>
      <c r="AP1536" s="81"/>
      <c r="AQ1536" s="81"/>
      <c r="AR1536" s="81"/>
      <c r="AS1536" s="81"/>
      <c r="AT1536" s="81"/>
      <c r="AU1536" s="87"/>
      <c r="AV1536" s="81"/>
      <c r="AW1536" s="88"/>
      <c r="AX1536" s="58"/>
    </row>
    <row r="1537" spans="1:50" ht="28.5" customHeight="1">
      <c r="A1537" s="66"/>
      <c r="B1537" s="39" t="str">
        <f t="shared" si="198"/>
        <v/>
      </c>
      <c r="C1537" s="40"/>
      <c r="D1537" s="40"/>
      <c r="E1537" s="40"/>
      <c r="F1537" s="41"/>
      <c r="G1537" s="42"/>
      <c r="H1537" s="43" t="str">
        <f>IFERROR(VLOOKUP($J1537,'[9]FROM (3)'!$E$4:$F$230,2,FALSE),"")</f>
        <v/>
      </c>
      <c r="I1537" s="44" t="str">
        <f t="shared" si="197"/>
        <v/>
      </c>
      <c r="J1537" s="44" t="str">
        <f t="shared" si="200"/>
        <v/>
      </c>
      <c r="K1537" s="59" t="str">
        <f t="shared" si="196"/>
        <v/>
      </c>
      <c r="L1537" s="46" t="str" cm="1">
        <f t="array" ref="L1537">IFERROR(_xlfn.IFS(
    LEN($A1537)-LEN(SUBSTITUTE($A1537,"|",""))=12, RIGHT(A1537, LEN(A1537)-FIND("~", SUBSTITUTE(A1537,"|","~", LEN(A1537)-LEN(SUBSTITUTE(A1537,"|",""))))),
    LEN($A1537)-LEN(SUBSTITUTE($A1537,"|",""))=13, MID($A1537, FIND("~", SUBSTITUTE($A1537,"|","~", 11))+1, FIND("~", SUBSTITUTE($A1537,"|","~", 12))-FIND("~", SUBSTITUTE($A1537,"|","~", 11))-1),
    LEN($A1537)-LEN(SUBSTITUTE($A1537,"|",""))=14, MID($A1537, FIND("~", SUBSTITUTE($A1537,"|","~", 11))+1, FIND("~", SUBSTITUTE($A1537,"|","~", 12))-FIND("~", SUBSTITUTE($A1537,"|","~", 11))-1)
), "")</f>
        <v/>
      </c>
      <c r="M1537" s="72" t="str">
        <f t="shared" si="195"/>
        <v/>
      </c>
      <c r="N1537" s="46" t="str">
        <f t="shared" si="199"/>
        <v/>
      </c>
      <c r="O1537" s="76"/>
      <c r="P1537" s="76"/>
      <c r="Q1537" s="77"/>
      <c r="R1537" s="77"/>
      <c r="S1537" s="77"/>
      <c r="T1537" s="77"/>
      <c r="U1537" s="83"/>
      <c r="V1537" s="83"/>
      <c r="W1537" s="78"/>
      <c r="X1537" s="51" t="str">
        <f>IF(A1537="", "", IF(COUNTIFS(C$3:C1536, C1537, D$3:D1536, D1537, G$3:G1536, G1537) &gt; 0, "", "11:00"-AW1537))</f>
        <v/>
      </c>
      <c r="Y1537" s="79"/>
      <c r="Z1537" s="80"/>
      <c r="AA1537" s="81"/>
      <c r="AB1537" s="81"/>
      <c r="AC1537" s="81"/>
      <c r="AD1537" s="81"/>
      <c r="AE1537" s="81"/>
      <c r="AF1537" s="81"/>
      <c r="AG1537" s="81"/>
      <c r="AH1537" s="82"/>
      <c r="AI1537" s="81"/>
      <c r="AJ1537" s="81"/>
      <c r="AK1537" s="81"/>
      <c r="AL1537" s="81"/>
      <c r="AM1537" s="81"/>
      <c r="AN1537" s="81"/>
      <c r="AO1537" s="81"/>
      <c r="AP1537" s="81"/>
      <c r="AQ1537" s="81"/>
      <c r="AR1537" s="81"/>
      <c r="AS1537" s="81"/>
      <c r="AT1537" s="81"/>
      <c r="AU1537" s="87"/>
      <c r="AV1537" s="81"/>
      <c r="AW1537" s="88"/>
      <c r="AX1537" s="58"/>
    </row>
    <row r="1538" spans="1:50" ht="28.5" customHeight="1">
      <c r="A1538" s="66"/>
      <c r="B1538" s="39" t="str">
        <f t="shared" si="198"/>
        <v/>
      </c>
      <c r="C1538" s="40"/>
      <c r="D1538" s="40"/>
      <c r="E1538" s="40"/>
      <c r="F1538" s="41"/>
      <c r="G1538" s="42"/>
      <c r="H1538" s="43" t="str">
        <f>IFERROR(VLOOKUP($J1538,'[9]FROM (3)'!$E$4:$F$230,2,FALSE),"")</f>
        <v/>
      </c>
      <c r="I1538" s="44" t="str">
        <f t="shared" si="197"/>
        <v/>
      </c>
      <c r="J1538" s="44" t="str">
        <f t="shared" si="200"/>
        <v/>
      </c>
      <c r="K1538" s="59" t="str">
        <f t="shared" si="196"/>
        <v/>
      </c>
      <c r="L1538" s="46" t="str" cm="1">
        <f t="array" ref="L1538">IFERROR(_xlfn.IFS(
    LEN($A1538)-LEN(SUBSTITUTE($A1538,"|",""))=12, RIGHT(A1538, LEN(A1538)-FIND("~", SUBSTITUTE(A1538,"|","~", LEN(A1538)-LEN(SUBSTITUTE(A1538,"|",""))))),
    LEN($A1538)-LEN(SUBSTITUTE($A1538,"|",""))=13, MID($A1538, FIND("~", SUBSTITUTE($A1538,"|","~", 11))+1, FIND("~", SUBSTITUTE($A1538,"|","~", 12))-FIND("~", SUBSTITUTE($A1538,"|","~", 11))-1),
    LEN($A1538)-LEN(SUBSTITUTE($A1538,"|",""))=14, MID($A1538, FIND("~", SUBSTITUTE($A1538,"|","~", 11))+1, FIND("~", SUBSTITUTE($A1538,"|","~", 12))-FIND("~", SUBSTITUTE($A1538,"|","~", 11))-1)
), "")</f>
        <v/>
      </c>
      <c r="M1538" s="72" t="str">
        <f t="shared" si="195"/>
        <v/>
      </c>
      <c r="N1538" s="46" t="str">
        <f t="shared" si="199"/>
        <v/>
      </c>
      <c r="O1538" s="76"/>
      <c r="P1538" s="76"/>
      <c r="Q1538" s="77"/>
      <c r="R1538" s="77"/>
      <c r="S1538" s="77"/>
      <c r="T1538" s="77"/>
      <c r="U1538" s="83"/>
      <c r="V1538" s="83"/>
      <c r="W1538" s="78"/>
      <c r="X1538" s="51" t="str">
        <f>IF(A1538="", "", IF(COUNTIFS(C$3:C1537, C1538, D$3:D1537, D1538, G$3:G1537, G1538) &gt; 0, "", "11:00"-AW1538))</f>
        <v/>
      </c>
      <c r="Y1538" s="79"/>
      <c r="Z1538" s="80"/>
      <c r="AA1538" s="81"/>
      <c r="AB1538" s="81"/>
      <c r="AC1538" s="81"/>
      <c r="AD1538" s="81"/>
      <c r="AE1538" s="81"/>
      <c r="AF1538" s="81"/>
      <c r="AG1538" s="81"/>
      <c r="AH1538" s="82"/>
      <c r="AI1538" s="81"/>
      <c r="AJ1538" s="81"/>
      <c r="AK1538" s="81"/>
      <c r="AL1538" s="81"/>
      <c r="AM1538" s="81"/>
      <c r="AN1538" s="81"/>
      <c r="AO1538" s="81"/>
      <c r="AP1538" s="81"/>
      <c r="AQ1538" s="81"/>
      <c r="AR1538" s="81"/>
      <c r="AS1538" s="81"/>
      <c r="AT1538" s="81"/>
      <c r="AU1538" s="87"/>
      <c r="AV1538" s="81"/>
      <c r="AW1538" s="88"/>
      <c r="AX1538" s="58"/>
    </row>
    <row r="1539" spans="1:50" ht="28.5" customHeight="1">
      <c r="A1539" s="66"/>
      <c r="B1539" s="39" t="str">
        <f t="shared" si="198"/>
        <v/>
      </c>
      <c r="C1539" s="40"/>
      <c r="D1539" s="40"/>
      <c r="E1539" s="40"/>
      <c r="F1539" s="41"/>
      <c r="G1539" s="42"/>
      <c r="H1539" s="43" t="str">
        <f>IFERROR(VLOOKUP($J1539,'[9]FROM (3)'!$E$4:$F$230,2,FALSE),"")</f>
        <v/>
      </c>
      <c r="I1539" s="44" t="str">
        <f t="shared" si="197"/>
        <v/>
      </c>
      <c r="J1539" s="44" t="str">
        <f t="shared" si="200"/>
        <v/>
      </c>
      <c r="K1539" s="59" t="str">
        <f t="shared" si="196"/>
        <v/>
      </c>
      <c r="L1539" s="46" t="str" cm="1">
        <f t="array" ref="L1539">IFERROR(_xlfn.IFS(
    LEN($A1539)-LEN(SUBSTITUTE($A1539,"|",""))=12, RIGHT(A1539, LEN(A1539)-FIND("~", SUBSTITUTE(A1539,"|","~", LEN(A1539)-LEN(SUBSTITUTE(A1539,"|",""))))),
    LEN($A1539)-LEN(SUBSTITUTE($A1539,"|",""))=13, MID($A1539, FIND("~", SUBSTITUTE($A1539,"|","~", 11))+1, FIND("~", SUBSTITUTE($A1539,"|","~", 12))-FIND("~", SUBSTITUTE($A1539,"|","~", 11))-1),
    LEN($A1539)-LEN(SUBSTITUTE($A1539,"|",""))=14, MID($A1539, FIND("~", SUBSTITUTE($A1539,"|","~", 11))+1, FIND("~", SUBSTITUTE($A1539,"|","~", 12))-FIND("~", SUBSTITUTE($A1539,"|","~", 11))-1)
), "")</f>
        <v/>
      </c>
      <c r="M1539" s="72" t="str">
        <f t="shared" si="195"/>
        <v/>
      </c>
      <c r="N1539" s="46" t="str">
        <f t="shared" si="199"/>
        <v/>
      </c>
      <c r="O1539" s="76"/>
      <c r="P1539" s="76"/>
      <c r="Q1539" s="77"/>
      <c r="R1539" s="77"/>
      <c r="S1539" s="77"/>
      <c r="T1539" s="77"/>
      <c r="U1539" s="83"/>
      <c r="V1539" s="83"/>
      <c r="W1539" s="78"/>
      <c r="X1539" s="51" t="str">
        <f>IF(A1539="", "", IF(COUNTIFS(C$3:C1538, C1539, D$3:D1538, D1539, G$3:G1538, G1539) &gt; 0, "", "11:00"-AW1539))</f>
        <v/>
      </c>
      <c r="Y1539" s="79"/>
      <c r="Z1539" s="80"/>
      <c r="AA1539" s="81"/>
      <c r="AB1539" s="81"/>
      <c r="AC1539" s="81"/>
      <c r="AD1539" s="81"/>
      <c r="AE1539" s="81"/>
      <c r="AF1539" s="81"/>
      <c r="AG1539" s="81"/>
      <c r="AH1539" s="82"/>
      <c r="AI1539" s="81"/>
      <c r="AJ1539" s="81"/>
      <c r="AK1539" s="81"/>
      <c r="AL1539" s="81"/>
      <c r="AM1539" s="81"/>
      <c r="AN1539" s="81"/>
      <c r="AO1539" s="81"/>
      <c r="AP1539" s="81"/>
      <c r="AQ1539" s="81"/>
      <c r="AR1539" s="81"/>
      <c r="AS1539" s="81"/>
      <c r="AT1539" s="81"/>
      <c r="AU1539" s="87"/>
      <c r="AV1539" s="81"/>
      <c r="AW1539" s="88"/>
      <c r="AX1539" s="58"/>
    </row>
    <row r="1540" spans="1:50" ht="28.5" customHeight="1">
      <c r="A1540" s="66"/>
      <c r="B1540" s="39" t="str">
        <f t="shared" si="198"/>
        <v/>
      </c>
      <c r="C1540" s="40"/>
      <c r="D1540" s="40"/>
      <c r="E1540" s="40"/>
      <c r="F1540" s="41"/>
      <c r="G1540" s="42"/>
      <c r="H1540" s="43" t="str">
        <f>IFERROR(VLOOKUP($J1540,'[9]FROM (3)'!$E$4:$F$230,2,FALSE),"")</f>
        <v/>
      </c>
      <c r="I1540" s="44" t="str">
        <f t="shared" si="197"/>
        <v/>
      </c>
      <c r="J1540" s="44" t="str">
        <f t="shared" si="200"/>
        <v/>
      </c>
      <c r="K1540" s="59" t="str">
        <f t="shared" si="196"/>
        <v/>
      </c>
      <c r="L1540" s="46" t="str" cm="1">
        <f t="array" ref="L1540">IFERROR(_xlfn.IFS(
    LEN($A1540)-LEN(SUBSTITUTE($A1540,"|",""))=12, RIGHT(A1540, LEN(A1540)-FIND("~", SUBSTITUTE(A1540,"|","~", LEN(A1540)-LEN(SUBSTITUTE(A1540,"|",""))))),
    LEN($A1540)-LEN(SUBSTITUTE($A1540,"|",""))=13, MID($A1540, FIND("~", SUBSTITUTE($A1540,"|","~", 11))+1, FIND("~", SUBSTITUTE($A1540,"|","~", 12))-FIND("~", SUBSTITUTE($A1540,"|","~", 11))-1),
    LEN($A1540)-LEN(SUBSTITUTE($A1540,"|",""))=14, MID($A1540, FIND("~", SUBSTITUTE($A1540,"|","~", 11))+1, FIND("~", SUBSTITUTE($A1540,"|","~", 12))-FIND("~", SUBSTITUTE($A1540,"|","~", 11))-1)
), "")</f>
        <v/>
      </c>
      <c r="M1540" s="72" t="str">
        <f t="shared" ref="M1540:M1603" si="201">IFERROR(MID(A1540,FIND("~",SUBSTITUTE(A1540,"|","~",10))+1,FIND("~",SUBSTITUTE(A1540,"|","~",11))-FIND("~",SUBSTITUTE(A1540,"|","~",10))-1),"")</f>
        <v/>
      </c>
      <c r="N1540" s="46" t="str">
        <f t="shared" si="199"/>
        <v/>
      </c>
      <c r="O1540" s="76"/>
      <c r="P1540" s="76"/>
      <c r="Q1540" s="77"/>
      <c r="R1540" s="77"/>
      <c r="S1540" s="77"/>
      <c r="T1540" s="77"/>
      <c r="U1540" s="83"/>
      <c r="V1540" s="83"/>
      <c r="W1540" s="78"/>
      <c r="X1540" s="51" t="str">
        <f>IF(A1540="", "", IF(COUNTIFS(C$3:C1539, C1540, D$3:D1539, D1540, G$3:G1539, G1540) &gt; 0, "", "11:00"-AW1540))</f>
        <v/>
      </c>
      <c r="Y1540" s="79"/>
      <c r="Z1540" s="80"/>
      <c r="AA1540" s="81"/>
      <c r="AB1540" s="81"/>
      <c r="AC1540" s="81"/>
      <c r="AD1540" s="81"/>
      <c r="AE1540" s="81"/>
      <c r="AF1540" s="81"/>
      <c r="AG1540" s="81"/>
      <c r="AH1540" s="82"/>
      <c r="AI1540" s="81"/>
      <c r="AJ1540" s="81"/>
      <c r="AK1540" s="81"/>
      <c r="AL1540" s="81"/>
      <c r="AM1540" s="81"/>
      <c r="AN1540" s="81"/>
      <c r="AO1540" s="81"/>
      <c r="AP1540" s="81"/>
      <c r="AQ1540" s="81"/>
      <c r="AR1540" s="81"/>
      <c r="AS1540" s="81"/>
      <c r="AT1540" s="81"/>
      <c r="AU1540" s="87"/>
      <c r="AV1540" s="81"/>
      <c r="AW1540" s="88"/>
      <c r="AX1540" s="58"/>
    </row>
    <row r="1541" spans="1:50" ht="28.5" customHeight="1">
      <c r="A1541" s="66"/>
      <c r="B1541" s="39" t="str">
        <f t="shared" si="198"/>
        <v/>
      </c>
      <c r="C1541" s="40"/>
      <c r="D1541" s="40"/>
      <c r="E1541" s="40"/>
      <c r="F1541" s="41"/>
      <c r="G1541" s="42"/>
      <c r="H1541" s="43" t="str">
        <f>IFERROR(VLOOKUP($J1541,'[9]FROM (3)'!$E$4:$F$230,2,FALSE),"")</f>
        <v/>
      </c>
      <c r="I1541" s="44" t="str">
        <f t="shared" si="197"/>
        <v/>
      </c>
      <c r="J1541" s="44" t="str">
        <f t="shared" si="200"/>
        <v/>
      </c>
      <c r="K1541" s="59" t="str">
        <f t="shared" si="196"/>
        <v/>
      </c>
      <c r="L1541" s="46" t="str" cm="1">
        <f t="array" ref="L1541">IFERROR(_xlfn.IFS(
    LEN($A1541)-LEN(SUBSTITUTE($A1541,"|",""))=12, RIGHT(A1541, LEN(A1541)-FIND("~", SUBSTITUTE(A1541,"|","~", LEN(A1541)-LEN(SUBSTITUTE(A1541,"|",""))))),
    LEN($A1541)-LEN(SUBSTITUTE($A1541,"|",""))=13, MID($A1541, FIND("~", SUBSTITUTE($A1541,"|","~", 11))+1, FIND("~", SUBSTITUTE($A1541,"|","~", 12))-FIND("~", SUBSTITUTE($A1541,"|","~", 11))-1),
    LEN($A1541)-LEN(SUBSTITUTE($A1541,"|",""))=14, MID($A1541, FIND("~", SUBSTITUTE($A1541,"|","~", 11))+1, FIND("~", SUBSTITUTE($A1541,"|","~", 12))-FIND("~", SUBSTITUTE($A1541,"|","~", 11))-1)
), "")</f>
        <v/>
      </c>
      <c r="M1541" s="72" t="str">
        <f t="shared" si="201"/>
        <v/>
      </c>
      <c r="N1541" s="46" t="str">
        <f t="shared" si="199"/>
        <v/>
      </c>
      <c r="O1541" s="76"/>
      <c r="P1541" s="76"/>
      <c r="Q1541" s="77"/>
      <c r="R1541" s="77"/>
      <c r="S1541" s="77"/>
      <c r="T1541" s="77"/>
      <c r="U1541" s="83"/>
      <c r="V1541" s="83"/>
      <c r="W1541" s="78"/>
      <c r="X1541" s="51" t="str">
        <f>IF(A1541="", "", IF(COUNTIFS(C$3:C1540, C1541, D$3:D1540, D1541, G$3:G1540, G1541) &gt; 0, "", "11:00"-AW1541))</f>
        <v/>
      </c>
      <c r="Y1541" s="79"/>
      <c r="Z1541" s="80"/>
      <c r="AA1541" s="81"/>
      <c r="AB1541" s="81"/>
      <c r="AC1541" s="81"/>
      <c r="AD1541" s="81"/>
      <c r="AE1541" s="81"/>
      <c r="AF1541" s="81"/>
      <c r="AG1541" s="81"/>
      <c r="AH1541" s="82"/>
      <c r="AI1541" s="81"/>
      <c r="AJ1541" s="81"/>
      <c r="AK1541" s="81"/>
      <c r="AL1541" s="81"/>
      <c r="AM1541" s="81"/>
      <c r="AN1541" s="81"/>
      <c r="AO1541" s="81"/>
      <c r="AP1541" s="81"/>
      <c r="AQ1541" s="81"/>
      <c r="AR1541" s="81"/>
      <c r="AS1541" s="81"/>
      <c r="AT1541" s="81"/>
      <c r="AU1541" s="87"/>
      <c r="AV1541" s="81"/>
      <c r="AW1541" s="88"/>
      <c r="AX1541" s="58"/>
    </row>
    <row r="1542" spans="1:50" ht="28.5" customHeight="1">
      <c r="A1542" s="66"/>
      <c r="B1542" s="39" t="str">
        <f t="shared" si="198"/>
        <v/>
      </c>
      <c r="C1542" s="40"/>
      <c r="D1542" s="40"/>
      <c r="E1542" s="40"/>
      <c r="F1542" s="41"/>
      <c r="G1542" s="42"/>
      <c r="H1542" s="43" t="str">
        <f>IFERROR(VLOOKUP($J1542,'[9]FROM (3)'!$E$4:$F$230,2,FALSE),"")</f>
        <v/>
      </c>
      <c r="I1542" s="44" t="str">
        <f t="shared" si="197"/>
        <v/>
      </c>
      <c r="J1542" s="44" t="str">
        <f t="shared" si="200"/>
        <v/>
      </c>
      <c r="K1542" s="59" t="str">
        <f t="shared" ref="K1542:K1584" si="202">IFERROR(LEFT(A1542,SEARCH("|",A1542)-1),"")</f>
        <v/>
      </c>
      <c r="L1542" s="46" t="str" cm="1">
        <f t="array" ref="L1542">IFERROR(_xlfn.IFS(
    LEN($A1542)-LEN(SUBSTITUTE($A1542,"|",""))=12, RIGHT(A1542, LEN(A1542)-FIND("~", SUBSTITUTE(A1542,"|","~", LEN(A1542)-LEN(SUBSTITUTE(A1542,"|",""))))),
    LEN($A1542)-LEN(SUBSTITUTE($A1542,"|",""))=13, MID($A1542, FIND("~", SUBSTITUTE($A1542,"|","~", 11))+1, FIND("~", SUBSTITUTE($A1542,"|","~", 12))-FIND("~", SUBSTITUTE($A1542,"|","~", 11))-1),
    LEN($A1542)-LEN(SUBSTITUTE($A1542,"|",""))=14, MID($A1542, FIND("~", SUBSTITUTE($A1542,"|","~", 11))+1, FIND("~", SUBSTITUTE($A1542,"|","~", 12))-FIND("~", SUBSTITUTE($A1542,"|","~", 11))-1)
), "")</f>
        <v/>
      </c>
      <c r="M1542" s="72" t="str">
        <f t="shared" si="201"/>
        <v/>
      </c>
      <c r="N1542" s="46" t="str">
        <f t="shared" si="199"/>
        <v/>
      </c>
      <c r="O1542" s="76"/>
      <c r="P1542" s="76"/>
      <c r="Q1542" s="77"/>
      <c r="R1542" s="77"/>
      <c r="S1542" s="77"/>
      <c r="T1542" s="77"/>
      <c r="U1542" s="83"/>
      <c r="V1542" s="83"/>
      <c r="W1542" s="78"/>
      <c r="X1542" s="51" t="str">
        <f>IF(A1542="", "", IF(COUNTIFS(C$3:C1541, C1542, D$3:D1541, D1542, G$3:G1541, G1542) &gt; 0, "", "11:00"-AW1542))</f>
        <v/>
      </c>
      <c r="Y1542" s="79"/>
      <c r="Z1542" s="80"/>
      <c r="AA1542" s="81"/>
      <c r="AB1542" s="81"/>
      <c r="AC1542" s="81"/>
      <c r="AD1542" s="81"/>
      <c r="AE1542" s="81"/>
      <c r="AF1542" s="81"/>
      <c r="AG1542" s="81"/>
      <c r="AH1542" s="82"/>
      <c r="AI1542" s="81"/>
      <c r="AJ1542" s="81"/>
      <c r="AK1542" s="81"/>
      <c r="AL1542" s="81"/>
      <c r="AM1542" s="81"/>
      <c r="AN1542" s="81"/>
      <c r="AO1542" s="81"/>
      <c r="AP1542" s="81"/>
      <c r="AQ1542" s="81"/>
      <c r="AR1542" s="81"/>
      <c r="AS1542" s="81"/>
      <c r="AT1542" s="81"/>
      <c r="AU1542" s="87"/>
      <c r="AV1542" s="81"/>
      <c r="AW1542" s="88"/>
      <c r="AX1542" s="58"/>
    </row>
    <row r="1543" spans="1:50" ht="28.5" customHeight="1">
      <c r="A1543" s="66"/>
      <c r="B1543" s="39" t="str">
        <f t="shared" si="198"/>
        <v/>
      </c>
      <c r="C1543" s="40"/>
      <c r="D1543" s="40"/>
      <c r="E1543" s="40"/>
      <c r="F1543" s="41"/>
      <c r="G1543" s="42"/>
      <c r="H1543" s="43" t="str">
        <f>IFERROR(VLOOKUP($J1543,'[9]FROM (3)'!$E$4:$F$230,2,FALSE),"")</f>
        <v/>
      </c>
      <c r="I1543" s="44" t="str">
        <f t="shared" ref="I1543:I1584" si="203">IFERROR(MID(A1543,FIND("~",SUBSTITUTE(A1543,"|","~",4))+1,FIND("~",SUBSTITUTE(A1543,"|","~",5))-FIND("~",SUBSTITUTE(A1543,"|","~",4))-1),"")</f>
        <v/>
      </c>
      <c r="J1543" s="44" t="str">
        <f t="shared" si="200"/>
        <v/>
      </c>
      <c r="K1543" s="59" t="str">
        <f t="shared" si="202"/>
        <v/>
      </c>
      <c r="L1543" s="46" t="str" cm="1">
        <f t="array" ref="L1543">IFERROR(_xlfn.IFS(
    LEN($A1543)-LEN(SUBSTITUTE($A1543,"|",""))=12, RIGHT(A1543, LEN(A1543)-FIND("~", SUBSTITUTE(A1543,"|","~", LEN(A1543)-LEN(SUBSTITUTE(A1543,"|",""))))),
    LEN($A1543)-LEN(SUBSTITUTE($A1543,"|",""))=13, MID($A1543, FIND("~", SUBSTITUTE($A1543,"|","~", 11))+1, FIND("~", SUBSTITUTE($A1543,"|","~", 12))-FIND("~", SUBSTITUTE($A1543,"|","~", 11))-1),
    LEN($A1543)-LEN(SUBSTITUTE($A1543,"|",""))=14, MID($A1543, FIND("~", SUBSTITUTE($A1543,"|","~", 11))+1, FIND("~", SUBSTITUTE($A1543,"|","~", 12))-FIND("~", SUBSTITUTE($A1543,"|","~", 11))-1)
), "")</f>
        <v/>
      </c>
      <c r="M1543" s="72" t="str">
        <f t="shared" si="201"/>
        <v/>
      </c>
      <c r="N1543" s="46" t="str">
        <f t="shared" si="199"/>
        <v/>
      </c>
      <c r="O1543" s="76"/>
      <c r="P1543" s="76"/>
      <c r="Q1543" s="77"/>
      <c r="R1543" s="77"/>
      <c r="S1543" s="77"/>
      <c r="T1543" s="77"/>
      <c r="U1543" s="83"/>
      <c r="V1543" s="83"/>
      <c r="W1543" s="78"/>
      <c r="X1543" s="51" t="str">
        <f>IF(A1543="", "", IF(COUNTIFS(C$3:C1542, C1543, D$3:D1542, D1543, G$3:G1542, G1543) &gt; 0, "", "11:00"-AW1543))</f>
        <v/>
      </c>
      <c r="Y1543" s="79"/>
      <c r="Z1543" s="80"/>
      <c r="AA1543" s="81"/>
      <c r="AB1543" s="81"/>
      <c r="AC1543" s="81"/>
      <c r="AD1543" s="81"/>
      <c r="AE1543" s="81"/>
      <c r="AF1543" s="81"/>
      <c r="AG1543" s="81"/>
      <c r="AH1543" s="82"/>
      <c r="AI1543" s="81"/>
      <c r="AJ1543" s="81"/>
      <c r="AK1543" s="81"/>
      <c r="AL1543" s="81"/>
      <c r="AM1543" s="81"/>
      <c r="AN1543" s="81"/>
      <c r="AO1543" s="81"/>
      <c r="AP1543" s="81"/>
      <c r="AQ1543" s="81"/>
      <c r="AR1543" s="81"/>
      <c r="AS1543" s="81"/>
      <c r="AT1543" s="81"/>
      <c r="AU1543" s="87"/>
      <c r="AV1543" s="81"/>
      <c r="AW1543" s="88"/>
      <c r="AX1543" s="58"/>
    </row>
    <row r="1544" spans="1:50" ht="28.5" customHeight="1">
      <c r="A1544" s="66"/>
      <c r="B1544" s="39" t="str">
        <f t="shared" si="198"/>
        <v/>
      </c>
      <c r="C1544" s="40"/>
      <c r="D1544" s="40"/>
      <c r="E1544" s="40"/>
      <c r="F1544" s="41"/>
      <c r="G1544" s="42"/>
      <c r="H1544" s="43" t="str">
        <f>IFERROR(VLOOKUP($J1544,'[9]FROM (3)'!$E$4:$F$230,2,FALSE),"")</f>
        <v/>
      </c>
      <c r="I1544" s="44" t="str">
        <f t="shared" si="203"/>
        <v/>
      </c>
      <c r="J1544" s="44" t="str">
        <f t="shared" si="200"/>
        <v/>
      </c>
      <c r="K1544" s="59" t="str">
        <f t="shared" si="202"/>
        <v/>
      </c>
      <c r="L1544" s="46" t="str" cm="1">
        <f t="array" ref="L1544">IFERROR(_xlfn.IFS(
    LEN($A1544)-LEN(SUBSTITUTE($A1544,"|",""))=12, RIGHT(A1544, LEN(A1544)-FIND("~", SUBSTITUTE(A1544,"|","~", LEN(A1544)-LEN(SUBSTITUTE(A1544,"|",""))))),
    LEN($A1544)-LEN(SUBSTITUTE($A1544,"|",""))=13, MID($A1544, FIND("~", SUBSTITUTE($A1544,"|","~", 11))+1, FIND("~", SUBSTITUTE($A1544,"|","~", 12))-FIND("~", SUBSTITUTE($A1544,"|","~", 11))-1),
    LEN($A1544)-LEN(SUBSTITUTE($A1544,"|",""))=14, MID($A1544, FIND("~", SUBSTITUTE($A1544,"|","~", 11))+1, FIND("~", SUBSTITUTE($A1544,"|","~", 12))-FIND("~", SUBSTITUTE($A1544,"|","~", 11))-1)
), "")</f>
        <v/>
      </c>
      <c r="M1544" s="72" t="str">
        <f t="shared" si="201"/>
        <v/>
      </c>
      <c r="N1544" s="46" t="str">
        <f t="shared" si="199"/>
        <v/>
      </c>
      <c r="O1544" s="76"/>
      <c r="P1544" s="76"/>
      <c r="Q1544" s="77"/>
      <c r="R1544" s="77"/>
      <c r="S1544" s="77"/>
      <c r="T1544" s="77"/>
      <c r="U1544" s="83"/>
      <c r="V1544" s="83"/>
      <c r="W1544" s="78"/>
      <c r="X1544" s="51" t="str">
        <f>IF(A1544="", "", IF(COUNTIFS(C$3:C1543, C1544, D$3:D1543, D1544, G$3:G1543, G1544) &gt; 0, "", "11:00"-AW1544))</f>
        <v/>
      </c>
      <c r="Y1544" s="79"/>
      <c r="Z1544" s="80"/>
      <c r="AA1544" s="81"/>
      <c r="AB1544" s="81"/>
      <c r="AC1544" s="81"/>
      <c r="AD1544" s="81"/>
      <c r="AE1544" s="81"/>
      <c r="AF1544" s="81"/>
      <c r="AG1544" s="81"/>
      <c r="AH1544" s="82"/>
      <c r="AI1544" s="81"/>
      <c r="AJ1544" s="81"/>
      <c r="AK1544" s="81"/>
      <c r="AL1544" s="81"/>
      <c r="AM1544" s="81"/>
      <c r="AN1544" s="81"/>
      <c r="AO1544" s="81"/>
      <c r="AP1544" s="81"/>
      <c r="AQ1544" s="81"/>
      <c r="AR1544" s="81"/>
      <c r="AS1544" s="81"/>
      <c r="AT1544" s="81"/>
      <c r="AU1544" s="87"/>
      <c r="AV1544" s="81"/>
      <c r="AW1544" s="88"/>
      <c r="AX1544" s="58"/>
    </row>
    <row r="1545" spans="1:50" ht="28.5" customHeight="1">
      <c r="A1545" s="66"/>
      <c r="B1545" s="39" t="str">
        <f t="shared" si="198"/>
        <v/>
      </c>
      <c r="C1545" s="40"/>
      <c r="D1545" s="40"/>
      <c r="E1545" s="40"/>
      <c r="F1545" s="41"/>
      <c r="G1545" s="42"/>
      <c r="H1545" s="43" t="str">
        <f>IFERROR(VLOOKUP($J1545,'[9]FROM (3)'!$E$4:$F$230,2,FALSE),"")</f>
        <v/>
      </c>
      <c r="I1545" s="44" t="str">
        <f t="shared" si="203"/>
        <v/>
      </c>
      <c r="J1545" s="44" t="str">
        <f t="shared" si="200"/>
        <v/>
      </c>
      <c r="K1545" s="59" t="str">
        <f t="shared" si="202"/>
        <v/>
      </c>
      <c r="L1545" s="46" t="str" cm="1">
        <f t="array" ref="L1545">IFERROR(_xlfn.IFS(
    LEN($A1545)-LEN(SUBSTITUTE($A1545,"|",""))=12, RIGHT(A1545, LEN(A1545)-FIND("~", SUBSTITUTE(A1545,"|","~", LEN(A1545)-LEN(SUBSTITUTE(A1545,"|",""))))),
    LEN($A1545)-LEN(SUBSTITUTE($A1545,"|",""))=13, MID($A1545, FIND("~", SUBSTITUTE($A1545,"|","~", 11))+1, FIND("~", SUBSTITUTE($A1545,"|","~", 12))-FIND("~", SUBSTITUTE($A1545,"|","~", 11))-1),
    LEN($A1545)-LEN(SUBSTITUTE($A1545,"|",""))=14, MID($A1545, FIND("~", SUBSTITUTE($A1545,"|","~", 11))+1, FIND("~", SUBSTITUTE($A1545,"|","~", 12))-FIND("~", SUBSTITUTE($A1545,"|","~", 11))-1)
), "")</f>
        <v/>
      </c>
      <c r="M1545" s="72" t="str">
        <f t="shared" si="201"/>
        <v/>
      </c>
      <c r="N1545" s="46" t="str">
        <f t="shared" si="199"/>
        <v/>
      </c>
      <c r="O1545" s="76"/>
      <c r="P1545" s="76"/>
      <c r="Q1545" s="77"/>
      <c r="R1545" s="77"/>
      <c r="S1545" s="77"/>
      <c r="T1545" s="77"/>
      <c r="U1545" s="83"/>
      <c r="V1545" s="83"/>
      <c r="W1545" s="78"/>
      <c r="X1545" s="51" t="str">
        <f>IF(A1545="", "", IF(COUNTIFS(C$3:C1544, C1545, D$3:D1544, D1545, G$3:G1544, G1545) &gt; 0, "", "11:00"-AW1545))</f>
        <v/>
      </c>
      <c r="Y1545" s="79"/>
      <c r="Z1545" s="80"/>
      <c r="AA1545" s="81"/>
      <c r="AB1545" s="81"/>
      <c r="AC1545" s="81"/>
      <c r="AD1545" s="81"/>
      <c r="AE1545" s="81"/>
      <c r="AF1545" s="81"/>
      <c r="AG1545" s="81"/>
      <c r="AH1545" s="82"/>
      <c r="AI1545" s="81"/>
      <c r="AJ1545" s="81"/>
      <c r="AK1545" s="81"/>
      <c r="AL1545" s="81"/>
      <c r="AM1545" s="81"/>
      <c r="AN1545" s="81"/>
      <c r="AO1545" s="81"/>
      <c r="AP1545" s="81"/>
      <c r="AQ1545" s="81"/>
      <c r="AR1545" s="81"/>
      <c r="AS1545" s="81"/>
      <c r="AT1545" s="81"/>
      <c r="AU1545" s="87"/>
      <c r="AV1545" s="81"/>
      <c r="AW1545" s="88"/>
      <c r="AX1545" s="58"/>
    </row>
    <row r="1546" spans="1:50" ht="28.5" customHeight="1">
      <c r="A1546" s="66"/>
      <c r="B1546" s="39" t="str">
        <f t="shared" ref="B1546:B1584" si="204">IF(A1546="","",B1545+1)</f>
        <v/>
      </c>
      <c r="C1546" s="40"/>
      <c r="D1546" s="40"/>
      <c r="E1546" s="40"/>
      <c r="F1546" s="41"/>
      <c r="G1546" s="42"/>
      <c r="H1546" s="43" t="str">
        <f>IFERROR(VLOOKUP($J1546,'[9]FROM (3)'!$E$4:$F$230,2,FALSE),"")</f>
        <v/>
      </c>
      <c r="I1546" s="44" t="str">
        <f t="shared" si="203"/>
        <v/>
      </c>
      <c r="J1546" s="44" t="str">
        <f t="shared" si="200"/>
        <v/>
      </c>
      <c r="K1546" s="59" t="str">
        <f t="shared" si="202"/>
        <v/>
      </c>
      <c r="L1546" s="46" t="str" cm="1">
        <f t="array" ref="L1546">IFERROR(_xlfn.IFS(
    LEN($A1546)-LEN(SUBSTITUTE($A1546,"|",""))=12, RIGHT(A1546, LEN(A1546)-FIND("~", SUBSTITUTE(A1546,"|","~", LEN(A1546)-LEN(SUBSTITUTE(A1546,"|",""))))),
    LEN($A1546)-LEN(SUBSTITUTE($A1546,"|",""))=13, MID($A1546, FIND("~", SUBSTITUTE($A1546,"|","~", 11))+1, FIND("~", SUBSTITUTE($A1546,"|","~", 12))-FIND("~", SUBSTITUTE($A1546,"|","~", 11))-1),
    LEN($A1546)-LEN(SUBSTITUTE($A1546,"|",""))=14, MID($A1546, FIND("~", SUBSTITUTE($A1546,"|","~", 11))+1, FIND("~", SUBSTITUTE($A1546,"|","~", 12))-FIND("~", SUBSTITUTE($A1546,"|","~", 11))-1)
), "")</f>
        <v/>
      </c>
      <c r="M1546" s="72" t="str">
        <f t="shared" si="201"/>
        <v/>
      </c>
      <c r="N1546" s="46" t="str">
        <f t="shared" si="199"/>
        <v/>
      </c>
      <c r="O1546" s="76"/>
      <c r="P1546" s="76"/>
      <c r="Q1546" s="77"/>
      <c r="R1546" s="77"/>
      <c r="S1546" s="77"/>
      <c r="T1546" s="77"/>
      <c r="U1546" s="83"/>
      <c r="V1546" s="83"/>
      <c r="W1546" s="78"/>
      <c r="X1546" s="51" t="str">
        <f>IF(A1546="", "", IF(COUNTIFS(C$3:C1545, C1546, D$3:D1545, D1546, G$3:G1545, G1546) &gt; 0, "", "11:00"-AW1546))</f>
        <v/>
      </c>
      <c r="Y1546" s="79"/>
      <c r="Z1546" s="80"/>
      <c r="AA1546" s="81"/>
      <c r="AB1546" s="81"/>
      <c r="AC1546" s="81"/>
      <c r="AD1546" s="81"/>
      <c r="AE1546" s="81"/>
      <c r="AF1546" s="81"/>
      <c r="AG1546" s="81"/>
      <c r="AH1546" s="82"/>
      <c r="AI1546" s="81"/>
      <c r="AJ1546" s="81"/>
      <c r="AK1546" s="81"/>
      <c r="AL1546" s="81"/>
      <c r="AM1546" s="81"/>
      <c r="AN1546" s="81"/>
      <c r="AO1546" s="81"/>
      <c r="AP1546" s="81"/>
      <c r="AQ1546" s="81"/>
      <c r="AR1546" s="81"/>
      <c r="AS1546" s="81"/>
      <c r="AT1546" s="81"/>
      <c r="AU1546" s="87"/>
      <c r="AV1546" s="81"/>
      <c r="AW1546" s="88"/>
      <c r="AX1546" s="58"/>
    </row>
    <row r="1547" spans="1:50" ht="28.5" customHeight="1">
      <c r="A1547" s="66"/>
      <c r="B1547" s="39" t="str">
        <f t="shared" si="204"/>
        <v/>
      </c>
      <c r="C1547" s="40"/>
      <c r="D1547" s="40"/>
      <c r="E1547" s="40"/>
      <c r="F1547" s="41"/>
      <c r="G1547" s="42"/>
      <c r="H1547" s="43" t="str">
        <f>IFERROR(VLOOKUP($J1547,'[9]FROM (3)'!$E$4:$F$230,2,FALSE),"")</f>
        <v/>
      </c>
      <c r="I1547" s="44" t="str">
        <f t="shared" si="203"/>
        <v/>
      </c>
      <c r="J1547" s="44" t="str">
        <f t="shared" si="200"/>
        <v/>
      </c>
      <c r="K1547" s="59" t="str">
        <f t="shared" si="202"/>
        <v/>
      </c>
      <c r="L1547" s="46" t="str" cm="1">
        <f t="array" ref="L1547">IFERROR(_xlfn.IFS(
    LEN($A1547)-LEN(SUBSTITUTE($A1547,"|",""))=12, RIGHT(A1547, LEN(A1547)-FIND("~", SUBSTITUTE(A1547,"|","~", LEN(A1547)-LEN(SUBSTITUTE(A1547,"|",""))))),
    LEN($A1547)-LEN(SUBSTITUTE($A1547,"|",""))=13, MID($A1547, FIND("~", SUBSTITUTE($A1547,"|","~", 11))+1, FIND("~", SUBSTITUTE($A1547,"|","~", 12))-FIND("~", SUBSTITUTE($A1547,"|","~", 11))-1),
    LEN($A1547)-LEN(SUBSTITUTE($A1547,"|",""))=14, MID($A1547, FIND("~", SUBSTITUTE($A1547,"|","~", 11))+1, FIND("~", SUBSTITUTE($A1547,"|","~", 12))-FIND("~", SUBSTITUTE($A1547,"|","~", 11))-1)
), "")</f>
        <v/>
      </c>
      <c r="M1547" s="72" t="str">
        <f t="shared" si="201"/>
        <v/>
      </c>
      <c r="N1547" s="46" t="str">
        <f t="shared" si="199"/>
        <v/>
      </c>
      <c r="O1547" s="76"/>
      <c r="P1547" s="76"/>
      <c r="Q1547" s="77"/>
      <c r="R1547" s="77"/>
      <c r="S1547" s="77"/>
      <c r="T1547" s="77"/>
      <c r="U1547" s="83"/>
      <c r="V1547" s="83"/>
      <c r="W1547" s="78"/>
      <c r="X1547" s="51" t="str">
        <f>IF(A1547="", "", IF(COUNTIFS(C$3:C1546, C1547, D$3:D1546, D1547, G$3:G1546, G1547) &gt; 0, "", "11:00"-AW1547))</f>
        <v/>
      </c>
      <c r="Y1547" s="79"/>
      <c r="Z1547" s="80"/>
      <c r="AA1547" s="81"/>
      <c r="AB1547" s="81"/>
      <c r="AC1547" s="81"/>
      <c r="AD1547" s="81"/>
      <c r="AE1547" s="81"/>
      <c r="AF1547" s="81"/>
      <c r="AG1547" s="81"/>
      <c r="AH1547" s="82"/>
      <c r="AI1547" s="81"/>
      <c r="AJ1547" s="81"/>
      <c r="AK1547" s="81"/>
      <c r="AL1547" s="81"/>
      <c r="AM1547" s="81"/>
      <c r="AN1547" s="81"/>
      <c r="AO1547" s="81"/>
      <c r="AP1547" s="81"/>
      <c r="AQ1547" s="81"/>
      <c r="AR1547" s="81"/>
      <c r="AS1547" s="81"/>
      <c r="AT1547" s="81"/>
      <c r="AU1547" s="87"/>
      <c r="AV1547" s="81"/>
      <c r="AW1547" s="88"/>
      <c r="AX1547" s="58"/>
    </row>
    <row r="1548" spans="1:50" ht="28.5" customHeight="1">
      <c r="A1548" s="66"/>
      <c r="B1548" s="39" t="str">
        <f t="shared" si="204"/>
        <v/>
      </c>
      <c r="C1548" s="40"/>
      <c r="D1548" s="40"/>
      <c r="E1548" s="40"/>
      <c r="F1548" s="41"/>
      <c r="G1548" s="42"/>
      <c r="H1548" s="43" t="str">
        <f>IFERROR(VLOOKUP($J1548,'[9]FROM (3)'!$E$4:$F$230,2,FALSE),"")</f>
        <v/>
      </c>
      <c r="I1548" s="44" t="str">
        <f t="shared" si="203"/>
        <v/>
      </c>
      <c r="J1548" s="44" t="str">
        <f t="shared" si="200"/>
        <v/>
      </c>
      <c r="K1548" s="59" t="str">
        <f t="shared" si="202"/>
        <v/>
      </c>
      <c r="L1548" s="46" t="str" cm="1">
        <f t="array" ref="L1548">IFERROR(_xlfn.IFS(
    LEN($A1548)-LEN(SUBSTITUTE($A1548,"|",""))=12, RIGHT(A1548, LEN(A1548)-FIND("~", SUBSTITUTE(A1548,"|","~", LEN(A1548)-LEN(SUBSTITUTE(A1548,"|",""))))),
    LEN($A1548)-LEN(SUBSTITUTE($A1548,"|",""))=13, MID($A1548, FIND("~", SUBSTITUTE($A1548,"|","~", 11))+1, FIND("~", SUBSTITUTE($A1548,"|","~", 12))-FIND("~", SUBSTITUTE($A1548,"|","~", 11))-1),
    LEN($A1548)-LEN(SUBSTITUTE($A1548,"|",""))=14, MID($A1548, FIND("~", SUBSTITUTE($A1548,"|","~", 11))+1, FIND("~", SUBSTITUTE($A1548,"|","~", 12))-FIND("~", SUBSTITUTE($A1548,"|","~", 11))-1)
), "")</f>
        <v/>
      </c>
      <c r="M1548" s="72" t="str">
        <f t="shared" si="201"/>
        <v/>
      </c>
      <c r="N1548" s="46" t="str">
        <f t="shared" si="199"/>
        <v/>
      </c>
      <c r="O1548" s="76"/>
      <c r="P1548" s="76"/>
      <c r="Q1548" s="77"/>
      <c r="R1548" s="77"/>
      <c r="S1548" s="77"/>
      <c r="T1548" s="77"/>
      <c r="U1548" s="83"/>
      <c r="V1548" s="83"/>
      <c r="W1548" s="78"/>
      <c r="X1548" s="51" t="str">
        <f>IF(A1548="", "", IF(COUNTIFS(C$3:C1547, C1548, D$3:D1547, D1548, G$3:G1547, G1548) &gt; 0, "", "11:00"-AW1548))</f>
        <v/>
      </c>
      <c r="Y1548" s="79"/>
      <c r="Z1548" s="80"/>
      <c r="AA1548" s="81"/>
      <c r="AB1548" s="81"/>
      <c r="AC1548" s="81"/>
      <c r="AD1548" s="81"/>
      <c r="AE1548" s="81"/>
      <c r="AF1548" s="81"/>
      <c r="AG1548" s="81"/>
      <c r="AH1548" s="82"/>
      <c r="AI1548" s="81"/>
      <c r="AJ1548" s="81"/>
      <c r="AK1548" s="81"/>
      <c r="AL1548" s="81"/>
      <c r="AM1548" s="81"/>
      <c r="AN1548" s="81"/>
      <c r="AO1548" s="81"/>
      <c r="AP1548" s="81"/>
      <c r="AQ1548" s="81"/>
      <c r="AR1548" s="81"/>
      <c r="AS1548" s="81"/>
      <c r="AT1548" s="81"/>
      <c r="AU1548" s="87"/>
      <c r="AV1548" s="81"/>
      <c r="AW1548" s="88"/>
      <c r="AX1548" s="58"/>
    </row>
    <row r="1549" spans="1:50" ht="28.5" customHeight="1">
      <c r="A1549" s="66"/>
      <c r="B1549" s="39" t="str">
        <f t="shared" si="204"/>
        <v/>
      </c>
      <c r="C1549" s="40"/>
      <c r="D1549" s="40"/>
      <c r="E1549" s="40"/>
      <c r="F1549" s="41"/>
      <c r="G1549" s="42"/>
      <c r="H1549" s="43" t="str">
        <f>IFERROR(VLOOKUP($J1549,'[9]FROM (3)'!$E$4:$F$230,2,FALSE),"")</f>
        <v/>
      </c>
      <c r="I1549" s="44" t="str">
        <f t="shared" si="203"/>
        <v/>
      </c>
      <c r="J1549" s="44" t="str">
        <f t="shared" si="200"/>
        <v/>
      </c>
      <c r="K1549" s="59" t="str">
        <f t="shared" si="202"/>
        <v/>
      </c>
      <c r="L1549" s="46" t="str" cm="1">
        <f t="array" ref="L1549">IFERROR(_xlfn.IFS(
    LEN($A1549)-LEN(SUBSTITUTE($A1549,"|",""))=12, RIGHT(A1549, LEN(A1549)-FIND("~", SUBSTITUTE(A1549,"|","~", LEN(A1549)-LEN(SUBSTITUTE(A1549,"|",""))))),
    LEN($A1549)-LEN(SUBSTITUTE($A1549,"|",""))=13, MID($A1549, FIND("~", SUBSTITUTE($A1549,"|","~", 11))+1, FIND("~", SUBSTITUTE($A1549,"|","~", 12))-FIND("~", SUBSTITUTE($A1549,"|","~", 11))-1),
    LEN($A1549)-LEN(SUBSTITUTE($A1549,"|",""))=14, MID($A1549, FIND("~", SUBSTITUTE($A1549,"|","~", 11))+1, FIND("~", SUBSTITUTE($A1549,"|","~", 12))-FIND("~", SUBSTITUTE($A1549,"|","~", 11))-1)
), "")</f>
        <v/>
      </c>
      <c r="M1549" s="72" t="str">
        <f t="shared" si="201"/>
        <v/>
      </c>
      <c r="N1549" s="46" t="str">
        <f t="shared" si="199"/>
        <v/>
      </c>
      <c r="O1549" s="76"/>
      <c r="P1549" s="76"/>
      <c r="Q1549" s="77"/>
      <c r="R1549" s="77"/>
      <c r="S1549" s="77"/>
      <c r="T1549" s="77"/>
      <c r="U1549" s="83"/>
      <c r="V1549" s="83"/>
      <c r="W1549" s="78"/>
      <c r="X1549" s="51" t="str">
        <f>IF(A1549="", "", IF(COUNTIFS(C$3:C1548, C1549, D$3:D1548, D1549, G$3:G1548, G1549) &gt; 0, "", "11:00"-AW1549))</f>
        <v/>
      </c>
      <c r="Y1549" s="79"/>
      <c r="Z1549" s="80"/>
      <c r="AA1549" s="81"/>
      <c r="AB1549" s="81"/>
      <c r="AC1549" s="81"/>
      <c r="AD1549" s="81"/>
      <c r="AE1549" s="81"/>
      <c r="AF1549" s="81"/>
      <c r="AG1549" s="81"/>
      <c r="AH1549" s="82"/>
      <c r="AI1549" s="81"/>
      <c r="AJ1549" s="81"/>
      <c r="AK1549" s="81"/>
      <c r="AL1549" s="81"/>
      <c r="AM1549" s="81"/>
      <c r="AN1549" s="81"/>
      <c r="AO1549" s="81"/>
      <c r="AP1549" s="81"/>
      <c r="AQ1549" s="81"/>
      <c r="AR1549" s="81"/>
      <c r="AS1549" s="81"/>
      <c r="AT1549" s="81"/>
      <c r="AU1549" s="87"/>
      <c r="AV1549" s="81"/>
      <c r="AW1549" s="88"/>
      <c r="AX1549" s="58"/>
    </row>
    <row r="1550" spans="1:50" ht="28.5" customHeight="1">
      <c r="A1550" s="66"/>
      <c r="B1550" s="39" t="str">
        <f t="shared" si="204"/>
        <v/>
      </c>
      <c r="C1550" s="40"/>
      <c r="D1550" s="40"/>
      <c r="E1550" s="40"/>
      <c r="F1550" s="41"/>
      <c r="G1550" s="42"/>
      <c r="H1550" s="43" t="str">
        <f>IFERROR(VLOOKUP($J1550,'[9]FROM (3)'!$E$4:$F$230,2,FALSE),"")</f>
        <v/>
      </c>
      <c r="I1550" s="44" t="str">
        <f t="shared" si="203"/>
        <v/>
      </c>
      <c r="J1550" s="44" t="str">
        <f t="shared" si="200"/>
        <v/>
      </c>
      <c r="K1550" s="59" t="str">
        <f t="shared" si="202"/>
        <v/>
      </c>
      <c r="L1550" s="46" t="str" cm="1">
        <f t="array" ref="L1550">IFERROR(_xlfn.IFS(
    LEN($A1550)-LEN(SUBSTITUTE($A1550,"|",""))=12, RIGHT(A1550, LEN(A1550)-FIND("~", SUBSTITUTE(A1550,"|","~", LEN(A1550)-LEN(SUBSTITUTE(A1550,"|",""))))),
    LEN($A1550)-LEN(SUBSTITUTE($A1550,"|",""))=13, MID($A1550, FIND("~", SUBSTITUTE($A1550,"|","~", 11))+1, FIND("~", SUBSTITUTE($A1550,"|","~", 12))-FIND("~", SUBSTITUTE($A1550,"|","~", 11))-1),
    LEN($A1550)-LEN(SUBSTITUTE($A1550,"|",""))=14, MID($A1550, FIND("~", SUBSTITUTE($A1550,"|","~", 11))+1, FIND("~", SUBSTITUTE($A1550,"|","~", 12))-FIND("~", SUBSTITUTE($A1550,"|","~", 11))-1)
), "")</f>
        <v/>
      </c>
      <c r="M1550" s="72" t="str">
        <f t="shared" si="201"/>
        <v/>
      </c>
      <c r="N1550" s="46" t="str">
        <f t="shared" si="199"/>
        <v/>
      </c>
      <c r="O1550" s="76"/>
      <c r="P1550" s="76"/>
      <c r="Q1550" s="77"/>
      <c r="R1550" s="77"/>
      <c r="S1550" s="77"/>
      <c r="T1550" s="77"/>
      <c r="U1550" s="83"/>
      <c r="V1550" s="83"/>
      <c r="W1550" s="78"/>
      <c r="X1550" s="51" t="str">
        <f>IF(A1550="", "", IF(COUNTIFS(C$3:C1549, C1550, D$3:D1549, D1550, G$3:G1549, G1550) &gt; 0, "", "11:00"-AW1550))</f>
        <v/>
      </c>
      <c r="Y1550" s="79"/>
      <c r="Z1550" s="80"/>
      <c r="AA1550" s="81"/>
      <c r="AB1550" s="81"/>
      <c r="AC1550" s="81"/>
      <c r="AD1550" s="81"/>
      <c r="AE1550" s="81"/>
      <c r="AF1550" s="81"/>
      <c r="AG1550" s="81"/>
      <c r="AH1550" s="82"/>
      <c r="AI1550" s="81"/>
      <c r="AJ1550" s="81"/>
      <c r="AK1550" s="81"/>
      <c r="AL1550" s="81"/>
      <c r="AM1550" s="81"/>
      <c r="AN1550" s="81"/>
      <c r="AO1550" s="81"/>
      <c r="AP1550" s="81"/>
      <c r="AQ1550" s="81"/>
      <c r="AR1550" s="81"/>
      <c r="AS1550" s="81"/>
      <c r="AT1550" s="81"/>
      <c r="AU1550" s="87"/>
      <c r="AV1550" s="81"/>
      <c r="AW1550" s="88"/>
      <c r="AX1550" s="58"/>
    </row>
    <row r="1551" spans="1:50" ht="28.5" customHeight="1">
      <c r="A1551" s="66"/>
      <c r="B1551" s="39" t="str">
        <f t="shared" si="204"/>
        <v/>
      </c>
      <c r="C1551" s="40"/>
      <c r="D1551" s="40"/>
      <c r="E1551" s="40"/>
      <c r="F1551" s="41"/>
      <c r="G1551" s="42"/>
      <c r="H1551" s="43" t="str">
        <f>IFERROR(VLOOKUP($J1551,'[9]FROM (3)'!$E$4:$F$230,2,FALSE),"")</f>
        <v/>
      </c>
      <c r="I1551" s="44" t="str">
        <f t="shared" si="203"/>
        <v/>
      </c>
      <c r="J1551" s="44" t="str">
        <f t="shared" si="200"/>
        <v/>
      </c>
      <c r="K1551" s="59" t="str">
        <f t="shared" si="202"/>
        <v/>
      </c>
      <c r="L1551" s="46" t="str" cm="1">
        <f t="array" ref="L1551">IFERROR(_xlfn.IFS(
    LEN($A1551)-LEN(SUBSTITUTE($A1551,"|",""))=12, RIGHT(A1551, LEN(A1551)-FIND("~", SUBSTITUTE(A1551,"|","~", LEN(A1551)-LEN(SUBSTITUTE(A1551,"|",""))))),
    LEN($A1551)-LEN(SUBSTITUTE($A1551,"|",""))=13, MID($A1551, FIND("~", SUBSTITUTE($A1551,"|","~", 11))+1, FIND("~", SUBSTITUTE($A1551,"|","~", 12))-FIND("~", SUBSTITUTE($A1551,"|","~", 11))-1),
    LEN($A1551)-LEN(SUBSTITUTE($A1551,"|",""))=14, MID($A1551, FIND("~", SUBSTITUTE($A1551,"|","~", 11))+1, FIND("~", SUBSTITUTE($A1551,"|","~", 12))-FIND("~", SUBSTITUTE($A1551,"|","~", 11))-1)
), "")</f>
        <v/>
      </c>
      <c r="M1551" s="72" t="str">
        <f t="shared" si="201"/>
        <v/>
      </c>
      <c r="N1551" s="46" t="str">
        <f t="shared" si="199"/>
        <v/>
      </c>
      <c r="O1551" s="76"/>
      <c r="P1551" s="76"/>
      <c r="Q1551" s="77"/>
      <c r="R1551" s="77"/>
      <c r="S1551" s="77"/>
      <c r="T1551" s="77"/>
      <c r="U1551" s="83"/>
      <c r="V1551" s="83"/>
      <c r="W1551" s="78"/>
      <c r="X1551" s="51" t="str">
        <f>IF(A1551="", "", IF(COUNTIFS(C$3:C1550, C1551, D$3:D1550, D1551, G$3:G1550, G1551) &gt; 0, "", "11:00"-AW1551))</f>
        <v/>
      </c>
      <c r="Y1551" s="79"/>
      <c r="Z1551" s="80"/>
      <c r="AA1551" s="81"/>
      <c r="AB1551" s="81"/>
      <c r="AC1551" s="81"/>
      <c r="AD1551" s="81"/>
      <c r="AE1551" s="81"/>
      <c r="AF1551" s="81"/>
      <c r="AG1551" s="81"/>
      <c r="AH1551" s="82"/>
      <c r="AI1551" s="81"/>
      <c r="AJ1551" s="81"/>
      <c r="AK1551" s="81"/>
      <c r="AL1551" s="81"/>
      <c r="AM1551" s="81"/>
      <c r="AN1551" s="81"/>
      <c r="AO1551" s="81"/>
      <c r="AP1551" s="81"/>
      <c r="AQ1551" s="81"/>
      <c r="AR1551" s="81"/>
      <c r="AS1551" s="81"/>
      <c r="AT1551" s="81"/>
      <c r="AU1551" s="87"/>
      <c r="AV1551" s="81"/>
      <c r="AW1551" s="88"/>
      <c r="AX1551" s="58"/>
    </row>
    <row r="1552" spans="1:50" ht="28.5" customHeight="1">
      <c r="A1552" s="66"/>
      <c r="B1552" s="39" t="str">
        <f t="shared" si="204"/>
        <v/>
      </c>
      <c r="C1552" s="40"/>
      <c r="D1552" s="40"/>
      <c r="E1552" s="40"/>
      <c r="F1552" s="41"/>
      <c r="G1552" s="42"/>
      <c r="H1552" s="43" t="str">
        <f>IFERROR(VLOOKUP($J1552,'[9]FROM (3)'!$E$4:$F$230,2,FALSE),"")</f>
        <v/>
      </c>
      <c r="I1552" s="44" t="str">
        <f t="shared" si="203"/>
        <v/>
      </c>
      <c r="J1552" s="44" t="str">
        <f t="shared" si="200"/>
        <v/>
      </c>
      <c r="K1552" s="59" t="str">
        <f t="shared" si="202"/>
        <v/>
      </c>
      <c r="L1552" s="46" t="str" cm="1">
        <f t="array" ref="L1552">IFERROR(_xlfn.IFS(
    LEN($A1552)-LEN(SUBSTITUTE($A1552,"|",""))=12, RIGHT(A1552, LEN(A1552)-FIND("~", SUBSTITUTE(A1552,"|","~", LEN(A1552)-LEN(SUBSTITUTE(A1552,"|",""))))),
    LEN($A1552)-LEN(SUBSTITUTE($A1552,"|",""))=13, MID($A1552, FIND("~", SUBSTITUTE($A1552,"|","~", 11))+1, FIND("~", SUBSTITUTE($A1552,"|","~", 12))-FIND("~", SUBSTITUTE($A1552,"|","~", 11))-1),
    LEN($A1552)-LEN(SUBSTITUTE($A1552,"|",""))=14, MID($A1552, FIND("~", SUBSTITUTE($A1552,"|","~", 11))+1, FIND("~", SUBSTITUTE($A1552,"|","~", 12))-FIND("~", SUBSTITUTE($A1552,"|","~", 11))-1)
), "")</f>
        <v/>
      </c>
      <c r="M1552" s="72" t="str">
        <f t="shared" si="201"/>
        <v/>
      </c>
      <c r="N1552" s="46" t="str">
        <f t="shared" si="199"/>
        <v/>
      </c>
      <c r="O1552" s="76"/>
      <c r="P1552" s="76"/>
      <c r="Q1552" s="77"/>
      <c r="R1552" s="77"/>
      <c r="S1552" s="77"/>
      <c r="T1552" s="77"/>
      <c r="U1552" s="83"/>
      <c r="V1552" s="83"/>
      <c r="W1552" s="78"/>
      <c r="X1552" s="51" t="str">
        <f>IF(A1552="", "", IF(COUNTIFS(C$3:C1551, C1552, D$3:D1551, D1552, G$3:G1551, G1552) &gt; 0, "", "11:00"-AW1552))</f>
        <v/>
      </c>
      <c r="Y1552" s="79"/>
      <c r="Z1552" s="80"/>
      <c r="AA1552" s="81"/>
      <c r="AB1552" s="81"/>
      <c r="AC1552" s="81"/>
      <c r="AD1552" s="81"/>
      <c r="AE1552" s="81"/>
      <c r="AF1552" s="81"/>
      <c r="AG1552" s="81"/>
      <c r="AH1552" s="82"/>
      <c r="AI1552" s="81"/>
      <c r="AJ1552" s="81"/>
      <c r="AK1552" s="81"/>
      <c r="AL1552" s="81"/>
      <c r="AM1552" s="81"/>
      <c r="AN1552" s="81"/>
      <c r="AO1552" s="81"/>
      <c r="AP1552" s="81"/>
      <c r="AQ1552" s="81"/>
      <c r="AR1552" s="81"/>
      <c r="AS1552" s="81"/>
      <c r="AT1552" s="81"/>
      <c r="AU1552" s="87"/>
      <c r="AV1552" s="81"/>
      <c r="AW1552" s="88"/>
      <c r="AX1552" s="58"/>
    </row>
    <row r="1553" spans="1:50" ht="28.5" customHeight="1">
      <c r="A1553" s="66"/>
      <c r="B1553" s="39" t="str">
        <f t="shared" si="204"/>
        <v/>
      </c>
      <c r="C1553" s="40"/>
      <c r="D1553" s="40"/>
      <c r="E1553" s="40"/>
      <c r="F1553" s="41"/>
      <c r="G1553" s="42"/>
      <c r="H1553" s="43" t="str">
        <f>IFERROR(VLOOKUP($J1553,'[9]FROM (3)'!$E$4:$F$230,2,FALSE),"")</f>
        <v/>
      </c>
      <c r="I1553" s="44" t="str">
        <f t="shared" si="203"/>
        <v/>
      </c>
      <c r="J1553" s="44" t="str">
        <f t="shared" si="200"/>
        <v/>
      </c>
      <c r="K1553" s="59" t="str">
        <f t="shared" si="202"/>
        <v/>
      </c>
      <c r="L1553" s="46" t="str" cm="1">
        <f t="array" ref="L1553">IFERROR(_xlfn.IFS(
    LEN($A1553)-LEN(SUBSTITUTE($A1553,"|",""))=12, RIGHT(A1553, LEN(A1553)-FIND("~", SUBSTITUTE(A1553,"|","~", LEN(A1553)-LEN(SUBSTITUTE(A1553,"|",""))))),
    LEN($A1553)-LEN(SUBSTITUTE($A1553,"|",""))=13, MID($A1553, FIND("~", SUBSTITUTE($A1553,"|","~", 11))+1, FIND("~", SUBSTITUTE($A1553,"|","~", 12))-FIND("~", SUBSTITUTE($A1553,"|","~", 11))-1),
    LEN($A1553)-LEN(SUBSTITUTE($A1553,"|",""))=14, MID($A1553, FIND("~", SUBSTITUTE($A1553,"|","~", 11))+1, FIND("~", SUBSTITUTE($A1553,"|","~", 12))-FIND("~", SUBSTITUTE($A1553,"|","~", 11))-1)
), "")</f>
        <v/>
      </c>
      <c r="M1553" s="72" t="str">
        <f t="shared" si="201"/>
        <v/>
      </c>
      <c r="N1553" s="46" t="str">
        <f t="shared" si="199"/>
        <v/>
      </c>
      <c r="O1553" s="76"/>
      <c r="P1553" s="76"/>
      <c r="Q1553" s="77"/>
      <c r="R1553" s="77"/>
      <c r="S1553" s="77"/>
      <c r="T1553" s="77"/>
      <c r="U1553" s="83"/>
      <c r="V1553" s="83"/>
      <c r="W1553" s="78"/>
      <c r="X1553" s="51" t="str">
        <f>IF(A1553="", "", IF(COUNTIFS(C$3:C1552, C1553, D$3:D1552, D1553, G$3:G1552, G1553) &gt; 0, "", "11:00"-AW1553))</f>
        <v/>
      </c>
      <c r="Y1553" s="79"/>
      <c r="Z1553" s="80"/>
      <c r="AA1553" s="81"/>
      <c r="AB1553" s="81"/>
      <c r="AC1553" s="81"/>
      <c r="AD1553" s="81"/>
      <c r="AE1553" s="81"/>
      <c r="AF1553" s="81"/>
      <c r="AG1553" s="81"/>
      <c r="AH1553" s="82"/>
      <c r="AI1553" s="81"/>
      <c r="AJ1553" s="81"/>
      <c r="AK1553" s="81"/>
      <c r="AL1553" s="81"/>
      <c r="AM1553" s="81"/>
      <c r="AN1553" s="81"/>
      <c r="AO1553" s="81"/>
      <c r="AP1553" s="81"/>
      <c r="AQ1553" s="81"/>
      <c r="AR1553" s="81"/>
      <c r="AS1553" s="81"/>
      <c r="AT1553" s="81"/>
      <c r="AU1553" s="87"/>
      <c r="AV1553" s="81"/>
      <c r="AW1553" s="88"/>
      <c r="AX1553" s="58"/>
    </row>
    <row r="1554" spans="1:50" ht="28.5" customHeight="1">
      <c r="A1554" s="66"/>
      <c r="B1554" s="39" t="str">
        <f t="shared" si="204"/>
        <v/>
      </c>
      <c r="C1554" s="40"/>
      <c r="D1554" s="40"/>
      <c r="E1554" s="40"/>
      <c r="F1554" s="41"/>
      <c r="G1554" s="42"/>
      <c r="H1554" s="43" t="str">
        <f>IFERROR(VLOOKUP($J1554,'[9]FROM (3)'!$E$4:$F$230,2,FALSE),"")</f>
        <v/>
      </c>
      <c r="I1554" s="44" t="str">
        <f t="shared" si="203"/>
        <v/>
      </c>
      <c r="J1554" s="44" t="str">
        <f t="shared" si="200"/>
        <v/>
      </c>
      <c r="K1554" s="59" t="str">
        <f t="shared" si="202"/>
        <v/>
      </c>
      <c r="L1554" s="46" t="str" cm="1">
        <f t="array" ref="L1554">IFERROR(_xlfn.IFS(
    LEN($A1554)-LEN(SUBSTITUTE($A1554,"|",""))=12, RIGHT(A1554, LEN(A1554)-FIND("~", SUBSTITUTE(A1554,"|","~", LEN(A1554)-LEN(SUBSTITUTE(A1554,"|",""))))),
    LEN($A1554)-LEN(SUBSTITUTE($A1554,"|",""))=13, MID($A1554, FIND("~", SUBSTITUTE($A1554,"|","~", 11))+1, FIND("~", SUBSTITUTE($A1554,"|","~", 12))-FIND("~", SUBSTITUTE($A1554,"|","~", 11))-1),
    LEN($A1554)-LEN(SUBSTITUTE($A1554,"|",""))=14, MID($A1554, FIND("~", SUBSTITUTE($A1554,"|","~", 11))+1, FIND("~", SUBSTITUTE($A1554,"|","~", 12))-FIND("~", SUBSTITUTE($A1554,"|","~", 11))-1)
), "")</f>
        <v/>
      </c>
      <c r="M1554" s="72" t="str">
        <f t="shared" si="201"/>
        <v/>
      </c>
      <c r="N1554" s="46" t="str">
        <f t="shared" si="199"/>
        <v/>
      </c>
      <c r="O1554" s="76"/>
      <c r="P1554" s="76"/>
      <c r="Q1554" s="77"/>
      <c r="R1554" s="77"/>
      <c r="S1554" s="77"/>
      <c r="T1554" s="77"/>
      <c r="U1554" s="83"/>
      <c r="V1554" s="83"/>
      <c r="W1554" s="78"/>
      <c r="X1554" s="51" t="str">
        <f>IF(A1554="", "", IF(COUNTIFS(C$3:C1553, C1554, D$3:D1553, D1554, G$3:G1553, G1554) &gt; 0, "", "11:00"-AW1554))</f>
        <v/>
      </c>
      <c r="Y1554" s="79"/>
      <c r="Z1554" s="80"/>
      <c r="AA1554" s="81"/>
      <c r="AB1554" s="81"/>
      <c r="AC1554" s="81"/>
      <c r="AD1554" s="81"/>
      <c r="AE1554" s="81"/>
      <c r="AF1554" s="81"/>
      <c r="AG1554" s="81"/>
      <c r="AH1554" s="82"/>
      <c r="AI1554" s="81"/>
      <c r="AJ1554" s="81"/>
      <c r="AK1554" s="81"/>
      <c r="AL1554" s="81"/>
      <c r="AM1554" s="81"/>
      <c r="AN1554" s="81"/>
      <c r="AO1554" s="81"/>
      <c r="AP1554" s="81"/>
      <c r="AQ1554" s="81"/>
      <c r="AR1554" s="81"/>
      <c r="AS1554" s="81"/>
      <c r="AT1554" s="81"/>
      <c r="AU1554" s="87"/>
      <c r="AV1554" s="81"/>
      <c r="AW1554" s="88"/>
      <c r="AX1554" s="58"/>
    </row>
    <row r="1555" spans="1:50" ht="28.5" customHeight="1">
      <c r="A1555" s="66"/>
      <c r="B1555" s="39" t="str">
        <f t="shared" si="204"/>
        <v/>
      </c>
      <c r="C1555" s="40"/>
      <c r="D1555" s="40"/>
      <c r="E1555" s="40"/>
      <c r="F1555" s="41"/>
      <c r="G1555" s="42"/>
      <c r="H1555" s="43" t="str">
        <f>IFERROR(VLOOKUP($J1555,'[9]FROM (3)'!$E$4:$F$230,2,FALSE),"")</f>
        <v/>
      </c>
      <c r="I1555" s="44" t="str">
        <f t="shared" si="203"/>
        <v/>
      </c>
      <c r="J1555" s="44" t="str">
        <f t="shared" si="200"/>
        <v/>
      </c>
      <c r="K1555" s="59" t="str">
        <f t="shared" si="202"/>
        <v/>
      </c>
      <c r="L1555" s="46" t="str" cm="1">
        <f t="array" ref="L1555">IFERROR(_xlfn.IFS(
    LEN($A1555)-LEN(SUBSTITUTE($A1555,"|",""))=12, RIGHT(A1555, LEN(A1555)-FIND("~", SUBSTITUTE(A1555,"|","~", LEN(A1555)-LEN(SUBSTITUTE(A1555,"|",""))))),
    LEN($A1555)-LEN(SUBSTITUTE($A1555,"|",""))=13, MID($A1555, FIND("~", SUBSTITUTE($A1555,"|","~", 11))+1, FIND("~", SUBSTITUTE($A1555,"|","~", 12))-FIND("~", SUBSTITUTE($A1555,"|","~", 11))-1),
    LEN($A1555)-LEN(SUBSTITUTE($A1555,"|",""))=14, MID($A1555, FIND("~", SUBSTITUTE($A1555,"|","~", 11))+1, FIND("~", SUBSTITUTE($A1555,"|","~", 12))-FIND("~", SUBSTITUTE($A1555,"|","~", 11))-1)
), "")</f>
        <v/>
      </c>
      <c r="M1555" s="72" t="str">
        <f t="shared" si="201"/>
        <v/>
      </c>
      <c r="N1555" s="46" t="str">
        <f t="shared" si="199"/>
        <v/>
      </c>
      <c r="O1555" s="76"/>
      <c r="P1555" s="76"/>
      <c r="Q1555" s="77"/>
      <c r="R1555" s="77"/>
      <c r="S1555" s="77"/>
      <c r="T1555" s="77"/>
      <c r="U1555" s="83"/>
      <c r="V1555" s="83"/>
      <c r="W1555" s="78"/>
      <c r="X1555" s="51" t="str">
        <f>IF(A1555="", "", IF(COUNTIFS(C$3:C1554, C1555, D$3:D1554, D1555, G$3:G1554, G1555) &gt; 0, "", "11:00"-AW1555))</f>
        <v/>
      </c>
      <c r="Y1555" s="79"/>
      <c r="Z1555" s="80"/>
      <c r="AA1555" s="81"/>
      <c r="AB1555" s="81"/>
      <c r="AC1555" s="81"/>
      <c r="AD1555" s="81"/>
      <c r="AE1555" s="81"/>
      <c r="AF1555" s="81"/>
      <c r="AG1555" s="81"/>
      <c r="AH1555" s="82"/>
      <c r="AI1555" s="81"/>
      <c r="AJ1555" s="81"/>
      <c r="AK1555" s="81"/>
      <c r="AL1555" s="81"/>
      <c r="AM1555" s="81"/>
      <c r="AN1555" s="81"/>
      <c r="AO1555" s="81"/>
      <c r="AP1555" s="81"/>
      <c r="AQ1555" s="81"/>
      <c r="AR1555" s="81"/>
      <c r="AS1555" s="81"/>
      <c r="AT1555" s="81"/>
      <c r="AU1555" s="87"/>
      <c r="AV1555" s="81"/>
      <c r="AW1555" s="88"/>
      <c r="AX1555" s="58"/>
    </row>
    <row r="1556" spans="1:50" ht="28.5" customHeight="1">
      <c r="A1556" s="66"/>
      <c r="B1556" s="39" t="str">
        <f t="shared" si="204"/>
        <v/>
      </c>
      <c r="C1556" s="40"/>
      <c r="D1556" s="40"/>
      <c r="E1556" s="40"/>
      <c r="F1556" s="41"/>
      <c r="G1556" s="42"/>
      <c r="H1556" s="43" t="str">
        <f>IFERROR(VLOOKUP($J1556,'[9]FROM (3)'!$E$4:$F$230,2,FALSE),"")</f>
        <v/>
      </c>
      <c r="I1556" s="44" t="str">
        <f t="shared" si="203"/>
        <v/>
      </c>
      <c r="J1556" s="44" t="str">
        <f t="shared" si="200"/>
        <v/>
      </c>
      <c r="K1556" s="59" t="str">
        <f t="shared" si="202"/>
        <v/>
      </c>
      <c r="L1556" s="46" t="str" cm="1">
        <f t="array" ref="L1556">IFERROR(_xlfn.IFS(
    LEN($A1556)-LEN(SUBSTITUTE($A1556,"|",""))=12, RIGHT(A1556, LEN(A1556)-FIND("~", SUBSTITUTE(A1556,"|","~", LEN(A1556)-LEN(SUBSTITUTE(A1556,"|",""))))),
    LEN($A1556)-LEN(SUBSTITUTE($A1556,"|",""))=13, MID($A1556, FIND("~", SUBSTITUTE($A1556,"|","~", 11))+1, FIND("~", SUBSTITUTE($A1556,"|","~", 12))-FIND("~", SUBSTITUTE($A1556,"|","~", 11))-1),
    LEN($A1556)-LEN(SUBSTITUTE($A1556,"|",""))=14, MID($A1556, FIND("~", SUBSTITUTE($A1556,"|","~", 11))+1, FIND("~", SUBSTITUTE($A1556,"|","~", 12))-FIND("~", SUBSTITUTE($A1556,"|","~", 11))-1)
), "")</f>
        <v/>
      </c>
      <c r="M1556" s="72" t="str">
        <f t="shared" si="201"/>
        <v/>
      </c>
      <c r="N1556" s="46" t="str">
        <f t="shared" si="199"/>
        <v/>
      </c>
      <c r="O1556" s="76"/>
      <c r="P1556" s="76"/>
      <c r="Q1556" s="77"/>
      <c r="R1556" s="77"/>
      <c r="S1556" s="77"/>
      <c r="T1556" s="77"/>
      <c r="U1556" s="83"/>
      <c r="V1556" s="83"/>
      <c r="W1556" s="78"/>
      <c r="X1556" s="51" t="str">
        <f>IF(A1556="", "", IF(COUNTIFS(C$3:C1555, C1556, D$3:D1555, D1556, G$3:G1555, G1556) &gt; 0, "", "11:00"-AW1556))</f>
        <v/>
      </c>
      <c r="Y1556" s="79"/>
      <c r="Z1556" s="80"/>
      <c r="AA1556" s="81"/>
      <c r="AB1556" s="81"/>
      <c r="AC1556" s="81"/>
      <c r="AD1556" s="81"/>
      <c r="AE1556" s="81"/>
      <c r="AF1556" s="81"/>
      <c r="AG1556" s="81"/>
      <c r="AH1556" s="82"/>
      <c r="AI1556" s="81"/>
      <c r="AJ1556" s="81"/>
      <c r="AK1556" s="81"/>
      <c r="AL1556" s="81"/>
      <c r="AM1556" s="81"/>
      <c r="AN1556" s="81"/>
      <c r="AO1556" s="81"/>
      <c r="AP1556" s="81"/>
      <c r="AQ1556" s="81"/>
      <c r="AR1556" s="81"/>
      <c r="AS1556" s="81"/>
      <c r="AT1556" s="81"/>
      <c r="AU1556" s="87"/>
      <c r="AV1556" s="81"/>
      <c r="AW1556" s="88"/>
      <c r="AX1556" s="58"/>
    </row>
    <row r="1557" spans="1:50" ht="28.5" customHeight="1">
      <c r="A1557" s="66"/>
      <c r="B1557" s="39" t="str">
        <f t="shared" si="204"/>
        <v/>
      </c>
      <c r="C1557" s="40"/>
      <c r="D1557" s="40"/>
      <c r="E1557" s="40"/>
      <c r="F1557" s="41"/>
      <c r="G1557" s="42"/>
      <c r="H1557" s="43" t="str">
        <f>IFERROR(VLOOKUP($J1557,'[9]FROM (3)'!$E$4:$F$230,2,FALSE),"")</f>
        <v/>
      </c>
      <c r="I1557" s="44" t="str">
        <f t="shared" si="203"/>
        <v/>
      </c>
      <c r="J1557" s="44" t="str">
        <f t="shared" si="200"/>
        <v/>
      </c>
      <c r="K1557" s="59" t="str">
        <f t="shared" si="202"/>
        <v/>
      </c>
      <c r="L1557" s="46" t="str" cm="1">
        <f t="array" ref="L1557">IFERROR(_xlfn.IFS(
    LEN($A1557)-LEN(SUBSTITUTE($A1557,"|",""))=12, RIGHT(A1557, LEN(A1557)-FIND("~", SUBSTITUTE(A1557,"|","~", LEN(A1557)-LEN(SUBSTITUTE(A1557,"|",""))))),
    LEN($A1557)-LEN(SUBSTITUTE($A1557,"|",""))=13, MID($A1557, FIND("~", SUBSTITUTE($A1557,"|","~", 11))+1, FIND("~", SUBSTITUTE($A1557,"|","~", 12))-FIND("~", SUBSTITUTE($A1557,"|","~", 11))-1),
    LEN($A1557)-LEN(SUBSTITUTE($A1557,"|",""))=14, MID($A1557, FIND("~", SUBSTITUTE($A1557,"|","~", 11))+1, FIND("~", SUBSTITUTE($A1557,"|","~", 12))-FIND("~", SUBSTITUTE($A1557,"|","~", 11))-1)
), "")</f>
        <v/>
      </c>
      <c r="M1557" s="72" t="str">
        <f t="shared" si="201"/>
        <v/>
      </c>
      <c r="N1557" s="46" t="str">
        <f t="shared" si="199"/>
        <v/>
      </c>
      <c r="O1557" s="76"/>
      <c r="P1557" s="76"/>
      <c r="Q1557" s="77"/>
      <c r="R1557" s="77"/>
      <c r="S1557" s="77"/>
      <c r="T1557" s="77"/>
      <c r="U1557" s="83"/>
      <c r="V1557" s="83"/>
      <c r="W1557" s="78"/>
      <c r="X1557" s="51" t="str">
        <f>IF(A1557="", "", IF(COUNTIFS(C$3:C1556, C1557, D$3:D1556, D1557, G$3:G1556, G1557) &gt; 0, "", "11:00"-AW1557))</f>
        <v/>
      </c>
      <c r="Y1557" s="79"/>
      <c r="Z1557" s="80"/>
      <c r="AA1557" s="81"/>
      <c r="AB1557" s="81"/>
      <c r="AC1557" s="81"/>
      <c r="AD1557" s="81"/>
      <c r="AE1557" s="81"/>
      <c r="AF1557" s="81"/>
      <c r="AG1557" s="81"/>
      <c r="AH1557" s="82"/>
      <c r="AI1557" s="81"/>
      <c r="AJ1557" s="81"/>
      <c r="AK1557" s="81"/>
      <c r="AL1557" s="81"/>
      <c r="AM1557" s="81"/>
      <c r="AN1557" s="81"/>
      <c r="AO1557" s="81"/>
      <c r="AP1557" s="81"/>
      <c r="AQ1557" s="81"/>
      <c r="AR1557" s="81"/>
      <c r="AS1557" s="81"/>
      <c r="AT1557" s="81"/>
      <c r="AU1557" s="87"/>
      <c r="AV1557" s="81"/>
      <c r="AW1557" s="88"/>
      <c r="AX1557" s="58"/>
    </row>
    <row r="1558" spans="1:50" ht="28.5" customHeight="1">
      <c r="A1558" s="66"/>
      <c r="B1558" s="39" t="str">
        <f t="shared" si="204"/>
        <v/>
      </c>
      <c r="C1558" s="40"/>
      <c r="D1558" s="40"/>
      <c r="E1558" s="40"/>
      <c r="F1558" s="41"/>
      <c r="G1558" s="42"/>
      <c r="H1558" s="43" t="str">
        <f>IFERROR(VLOOKUP($J1558,'[9]FROM (3)'!$E$4:$F$230,2,FALSE),"")</f>
        <v/>
      </c>
      <c r="I1558" s="44" t="str">
        <f t="shared" si="203"/>
        <v/>
      </c>
      <c r="J1558" s="44" t="str">
        <f t="shared" si="200"/>
        <v/>
      </c>
      <c r="K1558" s="59" t="str">
        <f t="shared" si="202"/>
        <v/>
      </c>
      <c r="L1558" s="46" t="str" cm="1">
        <f t="array" ref="L1558">IFERROR(_xlfn.IFS(
    LEN($A1558)-LEN(SUBSTITUTE($A1558,"|",""))=12, RIGHT(A1558, LEN(A1558)-FIND("~", SUBSTITUTE(A1558,"|","~", LEN(A1558)-LEN(SUBSTITUTE(A1558,"|",""))))),
    LEN($A1558)-LEN(SUBSTITUTE($A1558,"|",""))=13, MID($A1558, FIND("~", SUBSTITUTE($A1558,"|","~", 11))+1, FIND("~", SUBSTITUTE($A1558,"|","~", 12))-FIND("~", SUBSTITUTE($A1558,"|","~", 11))-1),
    LEN($A1558)-LEN(SUBSTITUTE($A1558,"|",""))=14, MID($A1558, FIND("~", SUBSTITUTE($A1558,"|","~", 11))+1, FIND("~", SUBSTITUTE($A1558,"|","~", 12))-FIND("~", SUBSTITUTE($A1558,"|","~", 11))-1)
), "")</f>
        <v/>
      </c>
      <c r="M1558" s="72" t="str">
        <f t="shared" si="201"/>
        <v/>
      </c>
      <c r="N1558" s="46" t="str">
        <f t="shared" si="199"/>
        <v/>
      </c>
      <c r="O1558" s="76"/>
      <c r="P1558" s="76"/>
      <c r="Q1558" s="77"/>
      <c r="R1558" s="77"/>
      <c r="S1558" s="77"/>
      <c r="T1558" s="77"/>
      <c r="U1558" s="83"/>
      <c r="V1558" s="83"/>
      <c r="W1558" s="78"/>
      <c r="X1558" s="51" t="str">
        <f>IF(A1558="", "", IF(COUNTIFS(C$3:C1557, C1558, D$3:D1557, D1558, G$3:G1557, G1558) &gt; 0, "", "11:00"-AW1558))</f>
        <v/>
      </c>
      <c r="Y1558" s="79"/>
      <c r="Z1558" s="80"/>
      <c r="AA1558" s="81"/>
      <c r="AB1558" s="81"/>
      <c r="AC1558" s="81"/>
      <c r="AD1558" s="81"/>
      <c r="AE1558" s="81"/>
      <c r="AF1558" s="81"/>
      <c r="AG1558" s="81"/>
      <c r="AH1558" s="82"/>
      <c r="AI1558" s="81"/>
      <c r="AJ1558" s="81"/>
      <c r="AK1558" s="81"/>
      <c r="AL1558" s="81"/>
      <c r="AM1558" s="81"/>
      <c r="AN1558" s="81"/>
      <c r="AO1558" s="81"/>
      <c r="AP1558" s="81"/>
      <c r="AQ1558" s="81"/>
      <c r="AR1558" s="81"/>
      <c r="AS1558" s="81"/>
      <c r="AT1558" s="81"/>
      <c r="AU1558" s="87"/>
      <c r="AV1558" s="81"/>
      <c r="AW1558" s="88"/>
      <c r="AX1558" s="58"/>
    </row>
    <row r="1559" spans="1:50" ht="28.5" customHeight="1">
      <c r="A1559" s="66"/>
      <c r="B1559" s="39" t="str">
        <f t="shared" si="204"/>
        <v/>
      </c>
      <c r="C1559" s="40"/>
      <c r="D1559" s="40"/>
      <c r="E1559" s="40"/>
      <c r="F1559" s="41"/>
      <c r="G1559" s="42"/>
      <c r="H1559" s="43" t="str">
        <f>IFERROR(VLOOKUP($J1559,'[9]FROM (3)'!$E$4:$F$230,2,FALSE),"")</f>
        <v/>
      </c>
      <c r="I1559" s="44" t="str">
        <f t="shared" si="203"/>
        <v/>
      </c>
      <c r="J1559" s="44" t="str">
        <f t="shared" si="200"/>
        <v/>
      </c>
      <c r="K1559" s="59" t="str">
        <f t="shared" si="202"/>
        <v/>
      </c>
      <c r="L1559" s="46" t="str" cm="1">
        <f t="array" ref="L1559">IFERROR(_xlfn.IFS(
    LEN($A1559)-LEN(SUBSTITUTE($A1559,"|",""))=12, RIGHT(A1559, LEN(A1559)-FIND("~", SUBSTITUTE(A1559,"|","~", LEN(A1559)-LEN(SUBSTITUTE(A1559,"|",""))))),
    LEN($A1559)-LEN(SUBSTITUTE($A1559,"|",""))=13, MID($A1559, FIND("~", SUBSTITUTE($A1559,"|","~", 11))+1, FIND("~", SUBSTITUTE($A1559,"|","~", 12))-FIND("~", SUBSTITUTE($A1559,"|","~", 11))-1),
    LEN($A1559)-LEN(SUBSTITUTE($A1559,"|",""))=14, MID($A1559, FIND("~", SUBSTITUTE($A1559,"|","~", 11))+1, FIND("~", SUBSTITUTE($A1559,"|","~", 12))-FIND("~", SUBSTITUTE($A1559,"|","~", 11))-1)
), "")</f>
        <v/>
      </c>
      <c r="M1559" s="72" t="str">
        <f t="shared" si="201"/>
        <v/>
      </c>
      <c r="N1559" s="46" t="str">
        <f t="shared" si="199"/>
        <v/>
      </c>
      <c r="O1559" s="76"/>
      <c r="P1559" s="76"/>
      <c r="Q1559" s="77"/>
      <c r="R1559" s="77"/>
      <c r="S1559" s="77"/>
      <c r="T1559" s="77"/>
      <c r="U1559" s="83"/>
      <c r="V1559" s="83"/>
      <c r="W1559" s="78"/>
      <c r="X1559" s="51" t="str">
        <f>IF(A1559="", "", IF(COUNTIFS(C$3:C1558, C1559, D$3:D1558, D1559, G$3:G1558, G1559) &gt; 0, "", "11:00"-AW1559))</f>
        <v/>
      </c>
      <c r="Y1559" s="79"/>
      <c r="Z1559" s="80"/>
      <c r="AA1559" s="81"/>
      <c r="AB1559" s="81"/>
      <c r="AC1559" s="81"/>
      <c r="AD1559" s="81"/>
      <c r="AE1559" s="81"/>
      <c r="AF1559" s="81"/>
      <c r="AG1559" s="81"/>
      <c r="AH1559" s="82"/>
      <c r="AI1559" s="81"/>
      <c r="AJ1559" s="81"/>
      <c r="AK1559" s="81"/>
      <c r="AL1559" s="81"/>
      <c r="AM1559" s="81"/>
      <c r="AN1559" s="81"/>
      <c r="AO1559" s="81"/>
      <c r="AP1559" s="81"/>
      <c r="AQ1559" s="81"/>
      <c r="AR1559" s="81"/>
      <c r="AS1559" s="81"/>
      <c r="AT1559" s="81"/>
      <c r="AU1559" s="87"/>
      <c r="AV1559" s="81"/>
      <c r="AW1559" s="88"/>
      <c r="AX1559" s="58"/>
    </row>
    <row r="1560" spans="1:50" ht="28.5" customHeight="1">
      <c r="A1560" s="66"/>
      <c r="B1560" s="39" t="str">
        <f t="shared" si="204"/>
        <v/>
      </c>
      <c r="C1560" s="40"/>
      <c r="D1560" s="40"/>
      <c r="E1560" s="40"/>
      <c r="F1560" s="41"/>
      <c r="G1560" s="42"/>
      <c r="H1560" s="43" t="str">
        <f>IFERROR(VLOOKUP($J1560,'[9]FROM (3)'!$E$4:$F$230,2,FALSE),"")</f>
        <v/>
      </c>
      <c r="I1560" s="44" t="str">
        <f t="shared" si="203"/>
        <v/>
      </c>
      <c r="J1560" s="44" t="str">
        <f t="shared" si="200"/>
        <v/>
      </c>
      <c r="K1560" s="59" t="str">
        <f t="shared" si="202"/>
        <v/>
      </c>
      <c r="L1560" s="46" t="str" cm="1">
        <f t="array" ref="L1560">IFERROR(_xlfn.IFS(
    LEN($A1560)-LEN(SUBSTITUTE($A1560,"|",""))=12, RIGHT(A1560, LEN(A1560)-FIND("~", SUBSTITUTE(A1560,"|","~", LEN(A1560)-LEN(SUBSTITUTE(A1560,"|",""))))),
    LEN($A1560)-LEN(SUBSTITUTE($A1560,"|",""))=13, MID($A1560, FIND("~", SUBSTITUTE($A1560,"|","~", 11))+1, FIND("~", SUBSTITUTE($A1560,"|","~", 12))-FIND("~", SUBSTITUTE($A1560,"|","~", 11))-1),
    LEN($A1560)-LEN(SUBSTITUTE($A1560,"|",""))=14, MID($A1560, FIND("~", SUBSTITUTE($A1560,"|","~", 11))+1, FIND("~", SUBSTITUTE($A1560,"|","~", 12))-FIND("~", SUBSTITUTE($A1560,"|","~", 11))-1)
), "")</f>
        <v/>
      </c>
      <c r="M1560" s="72" t="str">
        <f t="shared" si="201"/>
        <v/>
      </c>
      <c r="N1560" s="46" t="str">
        <f t="shared" si="199"/>
        <v/>
      </c>
      <c r="O1560" s="76"/>
      <c r="P1560" s="76"/>
      <c r="Q1560" s="77"/>
      <c r="R1560" s="77"/>
      <c r="S1560" s="77"/>
      <c r="T1560" s="77"/>
      <c r="U1560" s="83"/>
      <c r="V1560" s="83"/>
      <c r="W1560" s="78"/>
      <c r="X1560" s="51" t="str">
        <f>IF(A1560="", "", IF(COUNTIFS(C$3:C1559, C1560, D$3:D1559, D1560, G$3:G1559, G1560) &gt; 0, "", "11:00"-AW1560))</f>
        <v/>
      </c>
      <c r="Y1560" s="79"/>
      <c r="Z1560" s="80"/>
      <c r="AA1560" s="81"/>
      <c r="AB1560" s="81"/>
      <c r="AC1560" s="81"/>
      <c r="AD1560" s="81"/>
      <c r="AE1560" s="81"/>
      <c r="AF1560" s="81"/>
      <c r="AG1560" s="81"/>
      <c r="AH1560" s="82"/>
      <c r="AI1560" s="81"/>
      <c r="AJ1560" s="81"/>
      <c r="AK1560" s="81"/>
      <c r="AL1560" s="81"/>
      <c r="AM1560" s="81"/>
      <c r="AN1560" s="81"/>
      <c r="AO1560" s="81"/>
      <c r="AP1560" s="81"/>
      <c r="AQ1560" s="81"/>
      <c r="AR1560" s="81"/>
      <c r="AS1560" s="81"/>
      <c r="AT1560" s="81"/>
      <c r="AU1560" s="87"/>
      <c r="AV1560" s="81"/>
      <c r="AW1560" s="88"/>
      <c r="AX1560" s="58"/>
    </row>
    <row r="1561" spans="1:50" ht="28.5" customHeight="1">
      <c r="A1561" s="66"/>
      <c r="B1561" s="39" t="str">
        <f t="shared" si="204"/>
        <v/>
      </c>
      <c r="C1561" s="40"/>
      <c r="D1561" s="40"/>
      <c r="E1561" s="40"/>
      <c r="F1561" s="41"/>
      <c r="G1561" s="42"/>
      <c r="H1561" s="43" t="str">
        <f>IFERROR(VLOOKUP($J1561,'[9]FROM (3)'!$E$4:$F$230,2,FALSE),"")</f>
        <v/>
      </c>
      <c r="I1561" s="44" t="str">
        <f t="shared" si="203"/>
        <v/>
      </c>
      <c r="J1561" s="44" t="str">
        <f t="shared" si="200"/>
        <v/>
      </c>
      <c r="K1561" s="59" t="str">
        <f t="shared" si="202"/>
        <v/>
      </c>
      <c r="L1561" s="46" t="str" cm="1">
        <f t="array" ref="L1561">IFERROR(_xlfn.IFS(
    LEN($A1561)-LEN(SUBSTITUTE($A1561,"|",""))=12, RIGHT(A1561, LEN(A1561)-FIND("~", SUBSTITUTE(A1561,"|","~", LEN(A1561)-LEN(SUBSTITUTE(A1561,"|",""))))),
    LEN($A1561)-LEN(SUBSTITUTE($A1561,"|",""))=13, MID($A1561, FIND("~", SUBSTITUTE($A1561,"|","~", 11))+1, FIND("~", SUBSTITUTE($A1561,"|","~", 12))-FIND("~", SUBSTITUTE($A1561,"|","~", 11))-1),
    LEN($A1561)-LEN(SUBSTITUTE($A1561,"|",""))=14, MID($A1561, FIND("~", SUBSTITUTE($A1561,"|","~", 11))+1, FIND("~", SUBSTITUTE($A1561,"|","~", 12))-FIND("~", SUBSTITUTE($A1561,"|","~", 11))-1)
), "")</f>
        <v/>
      </c>
      <c r="M1561" s="72" t="str">
        <f t="shared" si="201"/>
        <v/>
      </c>
      <c r="N1561" s="46" t="str">
        <f t="shared" si="199"/>
        <v/>
      </c>
      <c r="O1561" s="76"/>
      <c r="P1561" s="76"/>
      <c r="Q1561" s="77"/>
      <c r="R1561" s="77"/>
      <c r="S1561" s="77"/>
      <c r="T1561" s="77"/>
      <c r="U1561" s="83"/>
      <c r="V1561" s="83"/>
      <c r="W1561" s="78"/>
      <c r="X1561" s="51" t="str">
        <f>IF(A1561="", "", IF(COUNTIFS(C$3:C1560, C1561, D$3:D1560, D1561, G$3:G1560, G1561) &gt; 0, "", "11:00"-AW1561))</f>
        <v/>
      </c>
      <c r="Y1561" s="79"/>
      <c r="Z1561" s="80"/>
      <c r="AA1561" s="81"/>
      <c r="AB1561" s="81"/>
      <c r="AC1561" s="81"/>
      <c r="AD1561" s="81"/>
      <c r="AE1561" s="81"/>
      <c r="AF1561" s="81"/>
      <c r="AG1561" s="81"/>
      <c r="AH1561" s="82"/>
      <c r="AI1561" s="81"/>
      <c r="AJ1561" s="81"/>
      <c r="AK1561" s="81"/>
      <c r="AL1561" s="81"/>
      <c r="AM1561" s="81"/>
      <c r="AN1561" s="81"/>
      <c r="AO1561" s="81"/>
      <c r="AP1561" s="81"/>
      <c r="AQ1561" s="81"/>
      <c r="AR1561" s="81"/>
      <c r="AS1561" s="81"/>
      <c r="AT1561" s="81"/>
      <c r="AU1561" s="87"/>
      <c r="AV1561" s="81"/>
      <c r="AW1561" s="88"/>
      <c r="AX1561" s="58"/>
    </row>
    <row r="1562" spans="1:50" ht="28.5" customHeight="1">
      <c r="A1562" s="66"/>
      <c r="B1562" s="39" t="str">
        <f t="shared" si="204"/>
        <v/>
      </c>
      <c r="C1562" s="40"/>
      <c r="D1562" s="40"/>
      <c r="E1562" s="40"/>
      <c r="F1562" s="41"/>
      <c r="G1562" s="42"/>
      <c r="H1562" s="43" t="str">
        <f>IFERROR(VLOOKUP($J1562,'[9]FROM (3)'!$E$4:$F$230,2,FALSE),"")</f>
        <v/>
      </c>
      <c r="I1562" s="44" t="str">
        <f t="shared" si="203"/>
        <v/>
      </c>
      <c r="J1562" s="44" t="str">
        <f t="shared" si="200"/>
        <v/>
      </c>
      <c r="K1562" s="59" t="str">
        <f t="shared" si="202"/>
        <v/>
      </c>
      <c r="L1562" s="46" t="str" cm="1">
        <f t="array" ref="L1562">IFERROR(_xlfn.IFS(
    LEN($A1562)-LEN(SUBSTITUTE($A1562,"|",""))=12, RIGHT(A1562, LEN(A1562)-FIND("~", SUBSTITUTE(A1562,"|","~", LEN(A1562)-LEN(SUBSTITUTE(A1562,"|",""))))),
    LEN($A1562)-LEN(SUBSTITUTE($A1562,"|",""))=13, MID($A1562, FIND("~", SUBSTITUTE($A1562,"|","~", 11))+1, FIND("~", SUBSTITUTE($A1562,"|","~", 12))-FIND("~", SUBSTITUTE($A1562,"|","~", 11))-1),
    LEN($A1562)-LEN(SUBSTITUTE($A1562,"|",""))=14, MID($A1562, FIND("~", SUBSTITUTE($A1562,"|","~", 11))+1, FIND("~", SUBSTITUTE($A1562,"|","~", 12))-FIND("~", SUBSTITUTE($A1562,"|","~", 11))-1)
), "")</f>
        <v/>
      </c>
      <c r="M1562" s="72" t="str">
        <f t="shared" si="201"/>
        <v/>
      </c>
      <c r="N1562" s="46" t="str">
        <f t="shared" si="199"/>
        <v/>
      </c>
      <c r="O1562" s="76"/>
      <c r="P1562" s="76"/>
      <c r="Q1562" s="77"/>
      <c r="R1562" s="77"/>
      <c r="S1562" s="77"/>
      <c r="T1562" s="77"/>
      <c r="U1562" s="83"/>
      <c r="V1562" s="83"/>
      <c r="W1562" s="78"/>
      <c r="X1562" s="51" t="str">
        <f>IF(A1562="", "", IF(COUNTIFS(C$3:C1561, C1562, D$3:D1561, D1562, G$3:G1561, G1562) &gt; 0, "", "11:00"-AW1562))</f>
        <v/>
      </c>
      <c r="Y1562" s="79"/>
      <c r="Z1562" s="80"/>
      <c r="AA1562" s="81"/>
      <c r="AB1562" s="81"/>
      <c r="AC1562" s="81"/>
      <c r="AD1562" s="81"/>
      <c r="AE1562" s="81"/>
      <c r="AF1562" s="81"/>
      <c r="AG1562" s="81"/>
      <c r="AH1562" s="82"/>
      <c r="AI1562" s="81"/>
      <c r="AJ1562" s="81"/>
      <c r="AK1562" s="81"/>
      <c r="AL1562" s="81"/>
      <c r="AM1562" s="81"/>
      <c r="AN1562" s="81"/>
      <c r="AO1562" s="81"/>
      <c r="AP1562" s="81"/>
      <c r="AQ1562" s="81"/>
      <c r="AR1562" s="81"/>
      <c r="AS1562" s="81"/>
      <c r="AT1562" s="81"/>
      <c r="AU1562" s="87"/>
      <c r="AV1562" s="81"/>
      <c r="AW1562" s="88"/>
      <c r="AX1562" s="58"/>
    </row>
    <row r="1563" spans="1:50" ht="28.5" customHeight="1">
      <c r="A1563" s="66"/>
      <c r="B1563" s="39" t="str">
        <f t="shared" si="204"/>
        <v/>
      </c>
      <c r="C1563" s="40"/>
      <c r="D1563" s="40"/>
      <c r="E1563" s="40"/>
      <c r="F1563" s="41"/>
      <c r="G1563" s="42"/>
      <c r="H1563" s="43" t="str">
        <f>IFERROR(VLOOKUP($J1563,'[9]FROM (3)'!$E$4:$F$230,2,FALSE),"")</f>
        <v/>
      </c>
      <c r="I1563" s="44" t="str">
        <f t="shared" si="203"/>
        <v/>
      </c>
      <c r="J1563" s="44" t="str">
        <f t="shared" si="200"/>
        <v/>
      </c>
      <c r="K1563" s="59" t="str">
        <f t="shared" si="202"/>
        <v/>
      </c>
      <c r="L1563" s="46" t="str" cm="1">
        <f t="array" ref="L1563">IFERROR(_xlfn.IFS(
    LEN($A1563)-LEN(SUBSTITUTE($A1563,"|",""))=12, RIGHT(A1563, LEN(A1563)-FIND("~", SUBSTITUTE(A1563,"|","~", LEN(A1563)-LEN(SUBSTITUTE(A1563,"|",""))))),
    LEN($A1563)-LEN(SUBSTITUTE($A1563,"|",""))=13, MID($A1563, FIND("~", SUBSTITUTE($A1563,"|","~", 11))+1, FIND("~", SUBSTITUTE($A1563,"|","~", 12))-FIND("~", SUBSTITUTE($A1563,"|","~", 11))-1),
    LEN($A1563)-LEN(SUBSTITUTE($A1563,"|",""))=14, MID($A1563, FIND("~", SUBSTITUTE($A1563,"|","~", 11))+1, FIND("~", SUBSTITUTE($A1563,"|","~", 12))-FIND("~", SUBSTITUTE($A1563,"|","~", 11))-1)
), "")</f>
        <v/>
      </c>
      <c r="M1563" s="72" t="str">
        <f t="shared" si="201"/>
        <v/>
      </c>
      <c r="N1563" s="46" t="str">
        <f t="shared" si="199"/>
        <v/>
      </c>
      <c r="O1563" s="76"/>
      <c r="P1563" s="76"/>
      <c r="Q1563" s="77"/>
      <c r="R1563" s="77"/>
      <c r="S1563" s="77"/>
      <c r="T1563" s="77"/>
      <c r="U1563" s="83"/>
      <c r="V1563" s="83"/>
      <c r="W1563" s="78"/>
      <c r="X1563" s="51" t="str">
        <f>IF(A1563="", "", IF(COUNTIFS(C$3:C1562, C1563, D$3:D1562, D1563, G$3:G1562, G1563) &gt; 0, "", "11:00"-AW1563))</f>
        <v/>
      </c>
      <c r="Y1563" s="79"/>
      <c r="Z1563" s="80"/>
      <c r="AA1563" s="81"/>
      <c r="AB1563" s="81"/>
      <c r="AC1563" s="81"/>
      <c r="AD1563" s="81"/>
      <c r="AE1563" s="81"/>
      <c r="AF1563" s="81"/>
      <c r="AG1563" s="81"/>
      <c r="AH1563" s="82"/>
      <c r="AI1563" s="81"/>
      <c r="AJ1563" s="81"/>
      <c r="AK1563" s="81"/>
      <c r="AL1563" s="81"/>
      <c r="AM1563" s="81"/>
      <c r="AN1563" s="81"/>
      <c r="AO1563" s="81"/>
      <c r="AP1563" s="81"/>
      <c r="AQ1563" s="81"/>
      <c r="AR1563" s="81"/>
      <c r="AS1563" s="81"/>
      <c r="AT1563" s="81"/>
      <c r="AU1563" s="87"/>
      <c r="AV1563" s="81"/>
      <c r="AW1563" s="88"/>
      <c r="AX1563" s="58"/>
    </row>
    <row r="1564" spans="1:50" ht="28.5" customHeight="1">
      <c r="A1564" s="66"/>
      <c r="B1564" s="39" t="str">
        <f t="shared" si="204"/>
        <v/>
      </c>
      <c r="C1564" s="40"/>
      <c r="D1564" s="40"/>
      <c r="E1564" s="40"/>
      <c r="F1564" s="41"/>
      <c r="G1564" s="42"/>
      <c r="H1564" s="43" t="str">
        <f>IFERROR(VLOOKUP($J1564,'[9]FROM (3)'!$E$4:$F$230,2,FALSE),"")</f>
        <v/>
      </c>
      <c r="I1564" s="44" t="str">
        <f t="shared" si="203"/>
        <v/>
      </c>
      <c r="J1564" s="44" t="str">
        <f t="shared" si="200"/>
        <v/>
      </c>
      <c r="K1564" s="59" t="str">
        <f t="shared" si="202"/>
        <v/>
      </c>
      <c r="L1564" s="46" t="str" cm="1">
        <f t="array" ref="L1564">IFERROR(_xlfn.IFS(
    LEN($A1564)-LEN(SUBSTITUTE($A1564,"|",""))=12, RIGHT(A1564, LEN(A1564)-FIND("~", SUBSTITUTE(A1564,"|","~", LEN(A1564)-LEN(SUBSTITUTE(A1564,"|",""))))),
    LEN($A1564)-LEN(SUBSTITUTE($A1564,"|",""))=13, MID($A1564, FIND("~", SUBSTITUTE($A1564,"|","~", 11))+1, FIND("~", SUBSTITUTE($A1564,"|","~", 12))-FIND("~", SUBSTITUTE($A1564,"|","~", 11))-1),
    LEN($A1564)-LEN(SUBSTITUTE($A1564,"|",""))=14, MID($A1564, FIND("~", SUBSTITUTE($A1564,"|","~", 11))+1, FIND("~", SUBSTITUTE($A1564,"|","~", 12))-FIND("~", SUBSTITUTE($A1564,"|","~", 11))-1)
), "")</f>
        <v/>
      </c>
      <c r="M1564" s="72" t="str">
        <f t="shared" si="201"/>
        <v/>
      </c>
      <c r="N1564" s="46" t="str">
        <f t="shared" si="199"/>
        <v/>
      </c>
      <c r="O1564" s="76"/>
      <c r="P1564" s="76"/>
      <c r="Q1564" s="77"/>
      <c r="R1564" s="77"/>
      <c r="S1564" s="77"/>
      <c r="T1564" s="77"/>
      <c r="U1564" s="83"/>
      <c r="V1564" s="83"/>
      <c r="W1564" s="78"/>
      <c r="X1564" s="51" t="str">
        <f>IF(A1564="", "", IF(COUNTIFS(C$3:C1563, C1564, D$3:D1563, D1564, G$3:G1563, G1564) &gt; 0, "", "11:00"-AW1564))</f>
        <v/>
      </c>
      <c r="Y1564" s="79"/>
      <c r="Z1564" s="80"/>
      <c r="AA1564" s="81"/>
      <c r="AB1564" s="81"/>
      <c r="AC1564" s="81"/>
      <c r="AD1564" s="81"/>
      <c r="AE1564" s="81"/>
      <c r="AF1564" s="81"/>
      <c r="AG1564" s="81"/>
      <c r="AH1564" s="82"/>
      <c r="AI1564" s="81"/>
      <c r="AJ1564" s="81"/>
      <c r="AK1564" s="81"/>
      <c r="AL1564" s="81"/>
      <c r="AM1564" s="81"/>
      <c r="AN1564" s="81"/>
      <c r="AO1564" s="81"/>
      <c r="AP1564" s="81"/>
      <c r="AQ1564" s="81"/>
      <c r="AR1564" s="81"/>
      <c r="AS1564" s="81"/>
      <c r="AT1564" s="81"/>
      <c r="AU1564" s="87"/>
      <c r="AV1564" s="81"/>
      <c r="AW1564" s="88"/>
      <c r="AX1564" s="58"/>
    </row>
    <row r="1565" spans="1:50" ht="28.5" customHeight="1">
      <c r="A1565" s="66"/>
      <c r="B1565" s="39" t="str">
        <f t="shared" si="204"/>
        <v/>
      </c>
      <c r="C1565" s="40"/>
      <c r="D1565" s="40"/>
      <c r="E1565" s="40"/>
      <c r="F1565" s="41"/>
      <c r="G1565" s="42"/>
      <c r="H1565" s="43" t="str">
        <f>IFERROR(VLOOKUP($J1565,'[9]FROM (3)'!$E$4:$F$230,2,FALSE),"")</f>
        <v/>
      </c>
      <c r="I1565" s="44" t="str">
        <f t="shared" si="203"/>
        <v/>
      </c>
      <c r="J1565" s="44" t="str">
        <f t="shared" si="200"/>
        <v/>
      </c>
      <c r="K1565" s="59" t="str">
        <f t="shared" si="202"/>
        <v/>
      </c>
      <c r="L1565" s="46" t="str" cm="1">
        <f t="array" ref="L1565">IFERROR(_xlfn.IFS(
    LEN($A1565)-LEN(SUBSTITUTE($A1565,"|",""))=12, RIGHT(A1565, LEN(A1565)-FIND("~", SUBSTITUTE(A1565,"|","~", LEN(A1565)-LEN(SUBSTITUTE(A1565,"|",""))))),
    LEN($A1565)-LEN(SUBSTITUTE($A1565,"|",""))=13, MID($A1565, FIND("~", SUBSTITUTE($A1565,"|","~", 11))+1, FIND("~", SUBSTITUTE($A1565,"|","~", 12))-FIND("~", SUBSTITUTE($A1565,"|","~", 11))-1),
    LEN($A1565)-LEN(SUBSTITUTE($A1565,"|",""))=14, MID($A1565, FIND("~", SUBSTITUTE($A1565,"|","~", 11))+1, FIND("~", SUBSTITUTE($A1565,"|","~", 12))-FIND("~", SUBSTITUTE($A1565,"|","~", 11))-1)
), "")</f>
        <v/>
      </c>
      <c r="M1565" s="72" t="str">
        <f t="shared" si="201"/>
        <v/>
      </c>
      <c r="N1565" s="46" t="str">
        <f t="shared" si="199"/>
        <v/>
      </c>
      <c r="O1565" s="76"/>
      <c r="P1565" s="76"/>
      <c r="Q1565" s="77"/>
      <c r="R1565" s="77"/>
      <c r="S1565" s="77"/>
      <c r="T1565" s="77"/>
      <c r="U1565" s="83"/>
      <c r="V1565" s="83"/>
      <c r="W1565" s="78"/>
      <c r="X1565" s="51" t="str">
        <f>IF(A1565="", "", IF(COUNTIFS(C$3:C1564, C1565, D$3:D1564, D1565, G$3:G1564, G1565) &gt; 0, "", "11:00"-AW1565))</f>
        <v/>
      </c>
      <c r="Y1565" s="79"/>
      <c r="Z1565" s="80"/>
      <c r="AA1565" s="81"/>
      <c r="AB1565" s="81"/>
      <c r="AC1565" s="81"/>
      <c r="AD1565" s="81"/>
      <c r="AE1565" s="81"/>
      <c r="AF1565" s="81"/>
      <c r="AG1565" s="81"/>
      <c r="AH1565" s="82"/>
      <c r="AI1565" s="81"/>
      <c r="AJ1565" s="81"/>
      <c r="AK1565" s="81"/>
      <c r="AL1565" s="81"/>
      <c r="AM1565" s="81"/>
      <c r="AN1565" s="81"/>
      <c r="AO1565" s="81"/>
      <c r="AP1565" s="81"/>
      <c r="AQ1565" s="81"/>
      <c r="AR1565" s="81"/>
      <c r="AS1565" s="81"/>
      <c r="AT1565" s="81"/>
      <c r="AU1565" s="87"/>
      <c r="AV1565" s="81"/>
      <c r="AW1565" s="88"/>
      <c r="AX1565" s="58"/>
    </row>
    <row r="1566" spans="1:50" ht="28.5" customHeight="1">
      <c r="A1566" s="66"/>
      <c r="B1566" s="39" t="str">
        <f t="shared" si="204"/>
        <v/>
      </c>
      <c r="C1566" s="40"/>
      <c r="D1566" s="40"/>
      <c r="E1566" s="40"/>
      <c r="F1566" s="41"/>
      <c r="G1566" s="42"/>
      <c r="H1566" s="43" t="str">
        <f>IFERROR(VLOOKUP($J1566,'[9]FROM (3)'!$E$4:$F$230,2,FALSE),"")</f>
        <v/>
      </c>
      <c r="I1566" s="44" t="str">
        <f t="shared" si="203"/>
        <v/>
      </c>
      <c r="J1566" s="44" t="str">
        <f t="shared" si="200"/>
        <v/>
      </c>
      <c r="K1566" s="59" t="str">
        <f t="shared" si="202"/>
        <v/>
      </c>
      <c r="L1566" s="46" t="str" cm="1">
        <f t="array" ref="L1566">IFERROR(_xlfn.IFS(
    LEN($A1566)-LEN(SUBSTITUTE($A1566,"|",""))=12, RIGHT(A1566, LEN(A1566)-FIND("~", SUBSTITUTE(A1566,"|","~", LEN(A1566)-LEN(SUBSTITUTE(A1566,"|",""))))),
    LEN($A1566)-LEN(SUBSTITUTE($A1566,"|",""))=13, MID($A1566, FIND("~", SUBSTITUTE($A1566,"|","~", 11))+1, FIND("~", SUBSTITUTE($A1566,"|","~", 12))-FIND("~", SUBSTITUTE($A1566,"|","~", 11))-1),
    LEN($A1566)-LEN(SUBSTITUTE($A1566,"|",""))=14, MID($A1566, FIND("~", SUBSTITUTE($A1566,"|","~", 11))+1, FIND("~", SUBSTITUTE($A1566,"|","~", 12))-FIND("~", SUBSTITUTE($A1566,"|","~", 11))-1)
), "")</f>
        <v/>
      </c>
      <c r="M1566" s="72" t="str">
        <f t="shared" si="201"/>
        <v/>
      </c>
      <c r="N1566" s="46" t="str">
        <f t="shared" si="199"/>
        <v/>
      </c>
      <c r="O1566" s="76"/>
      <c r="P1566" s="76"/>
      <c r="Q1566" s="77"/>
      <c r="R1566" s="77"/>
      <c r="S1566" s="77"/>
      <c r="T1566" s="77"/>
      <c r="U1566" s="83"/>
      <c r="V1566" s="83"/>
      <c r="W1566" s="78"/>
      <c r="X1566" s="51" t="str">
        <f>IF(A1566="", "", IF(COUNTIFS(C$3:C1565, C1566, D$3:D1565, D1566, G$3:G1565, G1566) &gt; 0, "", "11:00"-AW1566))</f>
        <v/>
      </c>
      <c r="Y1566" s="79"/>
      <c r="Z1566" s="80"/>
      <c r="AA1566" s="81"/>
      <c r="AB1566" s="81"/>
      <c r="AC1566" s="81"/>
      <c r="AD1566" s="81"/>
      <c r="AE1566" s="81"/>
      <c r="AF1566" s="81"/>
      <c r="AG1566" s="81"/>
      <c r="AH1566" s="82"/>
      <c r="AI1566" s="81"/>
      <c r="AJ1566" s="81"/>
      <c r="AK1566" s="81"/>
      <c r="AL1566" s="81"/>
      <c r="AM1566" s="81"/>
      <c r="AN1566" s="81"/>
      <c r="AO1566" s="81"/>
      <c r="AP1566" s="81"/>
      <c r="AQ1566" s="81"/>
      <c r="AR1566" s="81"/>
      <c r="AS1566" s="81"/>
      <c r="AT1566" s="81"/>
      <c r="AU1566" s="87"/>
      <c r="AV1566" s="81"/>
      <c r="AW1566" s="88"/>
      <c r="AX1566" s="58"/>
    </row>
    <row r="1567" spans="1:50" ht="28.5" customHeight="1">
      <c r="A1567" s="66"/>
      <c r="B1567" s="39" t="str">
        <f t="shared" si="204"/>
        <v/>
      </c>
      <c r="C1567" s="40"/>
      <c r="D1567" s="40"/>
      <c r="E1567" s="40"/>
      <c r="F1567" s="41"/>
      <c r="G1567" s="42"/>
      <c r="H1567" s="43" t="str">
        <f>IFERROR(VLOOKUP($J1567,'[9]FROM (3)'!$E$4:$F$230,2,FALSE),"")</f>
        <v/>
      </c>
      <c r="I1567" s="44" t="str">
        <f t="shared" si="203"/>
        <v/>
      </c>
      <c r="J1567" s="44" t="str">
        <f t="shared" si="200"/>
        <v/>
      </c>
      <c r="K1567" s="59" t="str">
        <f t="shared" si="202"/>
        <v/>
      </c>
      <c r="L1567" s="46" t="str" cm="1">
        <f t="array" ref="L1567">IFERROR(_xlfn.IFS(
    LEN($A1567)-LEN(SUBSTITUTE($A1567,"|",""))=12, RIGHT(A1567, LEN(A1567)-FIND("~", SUBSTITUTE(A1567,"|","~", LEN(A1567)-LEN(SUBSTITUTE(A1567,"|",""))))),
    LEN($A1567)-LEN(SUBSTITUTE($A1567,"|",""))=13, MID($A1567, FIND("~", SUBSTITUTE($A1567,"|","~", 11))+1, FIND("~", SUBSTITUTE($A1567,"|","~", 12))-FIND("~", SUBSTITUTE($A1567,"|","~", 11))-1),
    LEN($A1567)-LEN(SUBSTITUTE($A1567,"|",""))=14, MID($A1567, FIND("~", SUBSTITUTE($A1567,"|","~", 11))+1, FIND("~", SUBSTITUTE($A1567,"|","~", 12))-FIND("~", SUBSTITUTE($A1567,"|","~", 11))-1)
), "")</f>
        <v/>
      </c>
      <c r="M1567" s="72" t="str">
        <f t="shared" si="201"/>
        <v/>
      </c>
      <c r="N1567" s="46" t="str">
        <f t="shared" si="199"/>
        <v/>
      </c>
      <c r="O1567" s="76"/>
      <c r="P1567" s="76"/>
      <c r="Q1567" s="77"/>
      <c r="R1567" s="77"/>
      <c r="S1567" s="77"/>
      <c r="T1567" s="77"/>
      <c r="U1567" s="83"/>
      <c r="V1567" s="83"/>
      <c r="W1567" s="78"/>
      <c r="X1567" s="51" t="str">
        <f>IF(A1567="", "", IF(COUNTIFS(C$3:C1566, C1567, D$3:D1566, D1567, G$3:G1566, G1567) &gt; 0, "", "11:00"-AW1567))</f>
        <v/>
      </c>
      <c r="Y1567" s="79"/>
      <c r="Z1567" s="80"/>
      <c r="AA1567" s="81"/>
      <c r="AB1567" s="81"/>
      <c r="AC1567" s="81"/>
      <c r="AD1567" s="81"/>
      <c r="AE1567" s="81"/>
      <c r="AF1567" s="81"/>
      <c r="AG1567" s="81"/>
      <c r="AH1567" s="82"/>
      <c r="AI1567" s="81"/>
      <c r="AJ1567" s="81"/>
      <c r="AK1567" s="81"/>
      <c r="AL1567" s="81"/>
      <c r="AM1567" s="81"/>
      <c r="AN1567" s="81"/>
      <c r="AO1567" s="81"/>
      <c r="AP1567" s="81"/>
      <c r="AQ1567" s="81"/>
      <c r="AR1567" s="81"/>
      <c r="AS1567" s="81"/>
      <c r="AT1567" s="81"/>
      <c r="AU1567" s="87"/>
      <c r="AV1567" s="81"/>
      <c r="AW1567" s="88"/>
      <c r="AX1567" s="58"/>
    </row>
    <row r="1568" spans="1:50" ht="28.5" customHeight="1">
      <c r="A1568" s="66"/>
      <c r="B1568" s="39" t="str">
        <f t="shared" si="204"/>
        <v/>
      </c>
      <c r="C1568" s="40"/>
      <c r="D1568" s="40"/>
      <c r="E1568" s="40"/>
      <c r="F1568" s="41"/>
      <c r="G1568" s="42"/>
      <c r="H1568" s="43" t="str">
        <f>IFERROR(VLOOKUP($J1568,'[9]FROM (3)'!$E$4:$F$230,2,FALSE),"")</f>
        <v/>
      </c>
      <c r="I1568" s="44" t="str">
        <f t="shared" si="203"/>
        <v/>
      </c>
      <c r="J1568" s="44" t="str">
        <f t="shared" si="200"/>
        <v/>
      </c>
      <c r="K1568" s="59" t="str">
        <f t="shared" si="202"/>
        <v/>
      </c>
      <c r="L1568" s="46" t="str" cm="1">
        <f t="array" ref="L1568">IFERROR(_xlfn.IFS(
    LEN($A1568)-LEN(SUBSTITUTE($A1568,"|",""))=12, RIGHT(A1568, LEN(A1568)-FIND("~", SUBSTITUTE(A1568,"|","~", LEN(A1568)-LEN(SUBSTITUTE(A1568,"|",""))))),
    LEN($A1568)-LEN(SUBSTITUTE($A1568,"|",""))=13, MID($A1568, FIND("~", SUBSTITUTE($A1568,"|","~", 11))+1, FIND("~", SUBSTITUTE($A1568,"|","~", 12))-FIND("~", SUBSTITUTE($A1568,"|","~", 11))-1),
    LEN($A1568)-LEN(SUBSTITUTE($A1568,"|",""))=14, MID($A1568, FIND("~", SUBSTITUTE($A1568,"|","~", 11))+1, FIND("~", SUBSTITUTE($A1568,"|","~", 12))-FIND("~", SUBSTITUTE($A1568,"|","~", 11))-1)
), "")</f>
        <v/>
      </c>
      <c r="M1568" s="72" t="str">
        <f t="shared" si="201"/>
        <v/>
      </c>
      <c r="N1568" s="46" t="str">
        <f t="shared" si="199"/>
        <v/>
      </c>
      <c r="O1568" s="76"/>
      <c r="P1568" s="76"/>
      <c r="Q1568" s="77"/>
      <c r="R1568" s="77"/>
      <c r="S1568" s="77"/>
      <c r="T1568" s="77"/>
      <c r="U1568" s="83"/>
      <c r="V1568" s="83"/>
      <c r="W1568" s="78"/>
      <c r="X1568" s="51" t="str">
        <f>IF(A1568="", "", IF(COUNTIFS(C$3:C1567, C1568, D$3:D1567, D1568, G$3:G1567, G1568) &gt; 0, "", "11:00"-AW1568))</f>
        <v/>
      </c>
      <c r="Y1568" s="79"/>
      <c r="Z1568" s="80"/>
      <c r="AA1568" s="81"/>
      <c r="AB1568" s="81"/>
      <c r="AC1568" s="81"/>
      <c r="AD1568" s="81"/>
      <c r="AE1568" s="81"/>
      <c r="AF1568" s="81"/>
      <c r="AG1568" s="81"/>
      <c r="AH1568" s="82"/>
      <c r="AI1568" s="81"/>
      <c r="AJ1568" s="81"/>
      <c r="AK1568" s="81"/>
      <c r="AL1568" s="81"/>
      <c r="AM1568" s="81"/>
      <c r="AN1568" s="81"/>
      <c r="AO1568" s="81"/>
      <c r="AP1568" s="81"/>
      <c r="AQ1568" s="81"/>
      <c r="AR1568" s="81"/>
      <c r="AS1568" s="81"/>
      <c r="AT1568" s="81"/>
      <c r="AU1568" s="87"/>
      <c r="AV1568" s="81"/>
      <c r="AW1568" s="88"/>
      <c r="AX1568" s="58"/>
    </row>
    <row r="1569" spans="1:50" ht="28.5" customHeight="1">
      <c r="A1569" s="66"/>
      <c r="B1569" s="39" t="str">
        <f t="shared" si="204"/>
        <v/>
      </c>
      <c r="C1569" s="40"/>
      <c r="D1569" s="40"/>
      <c r="E1569" s="40"/>
      <c r="F1569" s="41"/>
      <c r="G1569" s="42"/>
      <c r="H1569" s="43" t="str">
        <f>IFERROR(VLOOKUP($J1569,'[9]FROM (3)'!$E$4:$F$230,2,FALSE),"")</f>
        <v/>
      </c>
      <c r="I1569" s="44" t="str">
        <f t="shared" si="203"/>
        <v/>
      </c>
      <c r="J1569" s="44" t="str">
        <f t="shared" si="200"/>
        <v/>
      </c>
      <c r="K1569" s="59" t="str">
        <f t="shared" si="202"/>
        <v/>
      </c>
      <c r="L1569" s="46" t="str" cm="1">
        <f t="array" ref="L1569">IFERROR(_xlfn.IFS(
    LEN($A1569)-LEN(SUBSTITUTE($A1569,"|",""))=12, RIGHT(A1569, LEN(A1569)-FIND("~", SUBSTITUTE(A1569,"|","~", LEN(A1569)-LEN(SUBSTITUTE(A1569,"|",""))))),
    LEN($A1569)-LEN(SUBSTITUTE($A1569,"|",""))=13, MID($A1569, FIND("~", SUBSTITUTE($A1569,"|","~", 11))+1, FIND("~", SUBSTITUTE($A1569,"|","~", 12))-FIND("~", SUBSTITUTE($A1569,"|","~", 11))-1),
    LEN($A1569)-LEN(SUBSTITUTE($A1569,"|",""))=14, MID($A1569, FIND("~", SUBSTITUTE($A1569,"|","~", 11))+1, FIND("~", SUBSTITUTE($A1569,"|","~", 12))-FIND("~", SUBSTITUTE($A1569,"|","~", 11))-1)
), "")</f>
        <v/>
      </c>
      <c r="M1569" s="72" t="str">
        <f t="shared" si="201"/>
        <v/>
      </c>
      <c r="N1569" s="46" t="str">
        <f t="shared" si="199"/>
        <v/>
      </c>
      <c r="O1569" s="76"/>
      <c r="P1569" s="76"/>
      <c r="Q1569" s="77"/>
      <c r="R1569" s="77"/>
      <c r="S1569" s="77"/>
      <c r="T1569" s="77"/>
      <c r="U1569" s="83"/>
      <c r="V1569" s="83"/>
      <c r="W1569" s="78"/>
      <c r="X1569" s="51" t="str">
        <f>IF(A1569="", "", IF(COUNTIFS(C$3:C1568, C1569, D$3:D1568, D1569, G$3:G1568, G1569) &gt; 0, "", "11:00"-AW1569))</f>
        <v/>
      </c>
      <c r="Y1569" s="79"/>
      <c r="Z1569" s="80"/>
      <c r="AA1569" s="81"/>
      <c r="AB1569" s="81"/>
      <c r="AC1569" s="81"/>
      <c r="AD1569" s="81"/>
      <c r="AE1569" s="81"/>
      <c r="AF1569" s="81"/>
      <c r="AG1569" s="81"/>
      <c r="AH1569" s="82"/>
      <c r="AI1569" s="81"/>
      <c r="AJ1569" s="81"/>
      <c r="AK1569" s="81"/>
      <c r="AL1569" s="81"/>
      <c r="AM1569" s="81"/>
      <c r="AN1569" s="81"/>
      <c r="AO1569" s="81"/>
      <c r="AP1569" s="81"/>
      <c r="AQ1569" s="81"/>
      <c r="AR1569" s="81"/>
      <c r="AS1569" s="81"/>
      <c r="AT1569" s="81"/>
      <c r="AU1569" s="87"/>
      <c r="AV1569" s="81"/>
      <c r="AW1569" s="88"/>
      <c r="AX1569" s="58"/>
    </row>
    <row r="1570" spans="1:50" ht="28.5" customHeight="1">
      <c r="A1570" s="66"/>
      <c r="B1570" s="39" t="str">
        <f t="shared" si="204"/>
        <v/>
      </c>
      <c r="C1570" s="40"/>
      <c r="D1570" s="40"/>
      <c r="E1570" s="40"/>
      <c r="F1570" s="41"/>
      <c r="G1570" s="42"/>
      <c r="H1570" s="43" t="str">
        <f>IFERROR(VLOOKUP($J1570,'[9]FROM (3)'!$E$4:$F$230,2,FALSE),"")</f>
        <v/>
      </c>
      <c r="I1570" s="44" t="str">
        <f t="shared" si="203"/>
        <v/>
      </c>
      <c r="J1570" s="44" t="str">
        <f t="shared" si="200"/>
        <v/>
      </c>
      <c r="K1570" s="59" t="str">
        <f t="shared" si="202"/>
        <v/>
      </c>
      <c r="L1570" s="46" t="str" cm="1">
        <f t="array" ref="L1570">IFERROR(_xlfn.IFS(
    LEN($A1570)-LEN(SUBSTITUTE($A1570,"|",""))=12, RIGHT(A1570, LEN(A1570)-FIND("~", SUBSTITUTE(A1570,"|","~", LEN(A1570)-LEN(SUBSTITUTE(A1570,"|",""))))),
    LEN($A1570)-LEN(SUBSTITUTE($A1570,"|",""))=13, MID($A1570, FIND("~", SUBSTITUTE($A1570,"|","~", 11))+1, FIND("~", SUBSTITUTE($A1570,"|","~", 12))-FIND("~", SUBSTITUTE($A1570,"|","~", 11))-1),
    LEN($A1570)-LEN(SUBSTITUTE($A1570,"|",""))=14, MID($A1570, FIND("~", SUBSTITUTE($A1570,"|","~", 11))+1, FIND("~", SUBSTITUTE($A1570,"|","~", 12))-FIND("~", SUBSTITUTE($A1570,"|","~", 11))-1)
), "")</f>
        <v/>
      </c>
      <c r="M1570" s="72" t="str">
        <f t="shared" si="201"/>
        <v/>
      </c>
      <c r="N1570" s="46" t="str">
        <f t="shared" si="199"/>
        <v/>
      </c>
      <c r="O1570" s="76"/>
      <c r="P1570" s="76"/>
      <c r="Q1570" s="77"/>
      <c r="R1570" s="77"/>
      <c r="S1570" s="77"/>
      <c r="T1570" s="77"/>
      <c r="U1570" s="83"/>
      <c r="V1570" s="83"/>
      <c r="W1570" s="78"/>
      <c r="X1570" s="51" t="str">
        <f>IF(A1570="", "", IF(COUNTIFS(C$3:C1569, C1570, D$3:D1569, D1570, G$3:G1569, G1570) &gt; 0, "", "11:00"-AW1570))</f>
        <v/>
      </c>
      <c r="Y1570" s="79"/>
      <c r="Z1570" s="80"/>
      <c r="AA1570" s="81"/>
      <c r="AB1570" s="81"/>
      <c r="AC1570" s="81"/>
      <c r="AD1570" s="81"/>
      <c r="AE1570" s="81"/>
      <c r="AF1570" s="81"/>
      <c r="AG1570" s="81"/>
      <c r="AH1570" s="82"/>
      <c r="AI1570" s="81"/>
      <c r="AJ1570" s="81"/>
      <c r="AK1570" s="81"/>
      <c r="AL1570" s="81"/>
      <c r="AM1570" s="81"/>
      <c r="AN1570" s="81"/>
      <c r="AO1570" s="81"/>
      <c r="AP1570" s="81"/>
      <c r="AQ1570" s="81"/>
      <c r="AR1570" s="81"/>
      <c r="AS1570" s="81"/>
      <c r="AT1570" s="81"/>
      <c r="AU1570" s="87"/>
      <c r="AV1570" s="81"/>
      <c r="AW1570" s="88"/>
      <c r="AX1570" s="58"/>
    </row>
    <row r="1571" spans="1:50" ht="28.5" customHeight="1">
      <c r="A1571" s="66"/>
      <c r="B1571" s="39" t="str">
        <f t="shared" si="204"/>
        <v/>
      </c>
      <c r="C1571" s="40"/>
      <c r="D1571" s="40"/>
      <c r="E1571" s="40"/>
      <c r="F1571" s="41"/>
      <c r="G1571" s="42"/>
      <c r="H1571" s="43" t="str">
        <f>IFERROR(VLOOKUP($J1571,'[9]FROM (3)'!$E$4:$F$230,2,FALSE),"")</f>
        <v/>
      </c>
      <c r="I1571" s="44" t="str">
        <f t="shared" si="203"/>
        <v/>
      </c>
      <c r="J1571" s="44" t="str">
        <f t="shared" si="200"/>
        <v/>
      </c>
      <c r="K1571" s="59" t="str">
        <f t="shared" si="202"/>
        <v/>
      </c>
      <c r="L1571" s="46" t="str" cm="1">
        <f t="array" ref="L1571">IFERROR(_xlfn.IFS(
    LEN($A1571)-LEN(SUBSTITUTE($A1571,"|",""))=12, RIGHT(A1571, LEN(A1571)-FIND("~", SUBSTITUTE(A1571,"|","~", LEN(A1571)-LEN(SUBSTITUTE(A1571,"|",""))))),
    LEN($A1571)-LEN(SUBSTITUTE($A1571,"|",""))=13, MID($A1571, FIND("~", SUBSTITUTE($A1571,"|","~", 11))+1, FIND("~", SUBSTITUTE($A1571,"|","~", 12))-FIND("~", SUBSTITUTE($A1571,"|","~", 11))-1),
    LEN($A1571)-LEN(SUBSTITUTE($A1571,"|",""))=14, MID($A1571, FIND("~", SUBSTITUTE($A1571,"|","~", 11))+1, FIND("~", SUBSTITUTE($A1571,"|","~", 12))-FIND("~", SUBSTITUTE($A1571,"|","~", 11))-1)
), "")</f>
        <v/>
      </c>
      <c r="M1571" s="72" t="str">
        <f t="shared" si="201"/>
        <v/>
      </c>
      <c r="N1571" s="46" t="str">
        <f t="shared" si="199"/>
        <v/>
      </c>
      <c r="O1571" s="76"/>
      <c r="P1571" s="76"/>
      <c r="Q1571" s="77"/>
      <c r="R1571" s="77"/>
      <c r="S1571" s="77"/>
      <c r="T1571" s="77"/>
      <c r="U1571" s="83"/>
      <c r="V1571" s="83"/>
      <c r="W1571" s="78"/>
      <c r="X1571" s="51" t="str">
        <f>IF(A1571="", "", IF(COUNTIFS(C$3:C1570, C1571, D$3:D1570, D1571, G$3:G1570, G1571) &gt; 0, "", "11:00"-AW1571))</f>
        <v/>
      </c>
      <c r="Y1571" s="79"/>
      <c r="Z1571" s="80"/>
      <c r="AA1571" s="81"/>
      <c r="AB1571" s="81"/>
      <c r="AC1571" s="81"/>
      <c r="AD1571" s="81"/>
      <c r="AE1571" s="81"/>
      <c r="AF1571" s="81"/>
      <c r="AG1571" s="81"/>
      <c r="AH1571" s="82"/>
      <c r="AI1571" s="81"/>
      <c r="AJ1571" s="81"/>
      <c r="AK1571" s="81"/>
      <c r="AL1571" s="81"/>
      <c r="AM1571" s="81"/>
      <c r="AN1571" s="81"/>
      <c r="AO1571" s="81"/>
      <c r="AP1571" s="81"/>
      <c r="AQ1571" s="81"/>
      <c r="AR1571" s="81"/>
      <c r="AS1571" s="81"/>
      <c r="AT1571" s="81"/>
      <c r="AU1571" s="87"/>
      <c r="AV1571" s="81"/>
      <c r="AW1571" s="88"/>
      <c r="AX1571" s="58"/>
    </row>
    <row r="1572" spans="1:50" ht="28.5" customHeight="1">
      <c r="A1572" s="66"/>
      <c r="B1572" s="39" t="str">
        <f t="shared" si="204"/>
        <v/>
      </c>
      <c r="C1572" s="40"/>
      <c r="D1572" s="40"/>
      <c r="E1572" s="40"/>
      <c r="F1572" s="41"/>
      <c r="G1572" s="42"/>
      <c r="H1572" s="43" t="str">
        <f>IFERROR(VLOOKUP($J1572,'[9]FROM (3)'!$E$4:$F$230,2,FALSE),"")</f>
        <v/>
      </c>
      <c r="I1572" s="44" t="str">
        <f t="shared" si="203"/>
        <v/>
      </c>
      <c r="J1572" s="44" t="str">
        <f t="shared" si="200"/>
        <v/>
      </c>
      <c r="K1572" s="59" t="str">
        <f t="shared" si="202"/>
        <v/>
      </c>
      <c r="L1572" s="46" t="str" cm="1">
        <f t="array" ref="L1572">IFERROR(_xlfn.IFS(
    LEN($A1572)-LEN(SUBSTITUTE($A1572,"|",""))=12, RIGHT(A1572, LEN(A1572)-FIND("~", SUBSTITUTE(A1572,"|","~", LEN(A1572)-LEN(SUBSTITUTE(A1572,"|",""))))),
    LEN($A1572)-LEN(SUBSTITUTE($A1572,"|",""))=13, MID($A1572, FIND("~", SUBSTITUTE($A1572,"|","~", 11))+1, FIND("~", SUBSTITUTE($A1572,"|","~", 12))-FIND("~", SUBSTITUTE($A1572,"|","~", 11))-1),
    LEN($A1572)-LEN(SUBSTITUTE($A1572,"|",""))=14, MID($A1572, FIND("~", SUBSTITUTE($A1572,"|","~", 11))+1, FIND("~", SUBSTITUTE($A1572,"|","~", 12))-FIND("~", SUBSTITUTE($A1572,"|","~", 11))-1)
), "")</f>
        <v/>
      </c>
      <c r="M1572" s="72" t="str">
        <f t="shared" si="201"/>
        <v/>
      </c>
      <c r="N1572" s="46" t="str">
        <f t="shared" si="199"/>
        <v/>
      </c>
      <c r="O1572" s="76"/>
      <c r="P1572" s="76"/>
      <c r="Q1572" s="77"/>
      <c r="R1572" s="77"/>
      <c r="S1572" s="77"/>
      <c r="T1572" s="77"/>
      <c r="U1572" s="83"/>
      <c r="V1572" s="83"/>
      <c r="W1572" s="78"/>
      <c r="X1572" s="51" t="str">
        <f>IF(A1572="", "", IF(COUNTIFS(C$3:C1571, C1572, D$3:D1571, D1572, G$3:G1571, G1572) &gt; 0, "", "11:00"-AW1572))</f>
        <v/>
      </c>
      <c r="Y1572" s="79"/>
      <c r="Z1572" s="80"/>
      <c r="AA1572" s="81"/>
      <c r="AB1572" s="81"/>
      <c r="AC1572" s="81"/>
      <c r="AD1572" s="81"/>
      <c r="AE1572" s="81"/>
      <c r="AF1572" s="81"/>
      <c r="AG1572" s="81"/>
      <c r="AH1572" s="82"/>
      <c r="AI1572" s="81"/>
      <c r="AJ1572" s="81"/>
      <c r="AK1572" s="81"/>
      <c r="AL1572" s="81"/>
      <c r="AM1572" s="81"/>
      <c r="AN1572" s="81"/>
      <c r="AO1572" s="81"/>
      <c r="AP1572" s="81"/>
      <c r="AQ1572" s="81"/>
      <c r="AR1572" s="81"/>
      <c r="AS1572" s="81"/>
      <c r="AT1572" s="81"/>
      <c r="AU1572" s="87"/>
      <c r="AV1572" s="81"/>
      <c r="AW1572" s="88"/>
      <c r="AX1572" s="58"/>
    </row>
    <row r="1573" spans="1:50" ht="28.5" customHeight="1">
      <c r="A1573" s="66"/>
      <c r="B1573" s="39" t="str">
        <f t="shared" si="204"/>
        <v/>
      </c>
      <c r="C1573" s="40"/>
      <c r="D1573" s="40"/>
      <c r="E1573" s="40"/>
      <c r="F1573" s="41"/>
      <c r="G1573" s="42"/>
      <c r="H1573" s="43" t="str">
        <f>IFERROR(VLOOKUP($J1573,'[9]FROM (3)'!$E$4:$F$230,2,FALSE),"")</f>
        <v/>
      </c>
      <c r="I1573" s="44" t="str">
        <f t="shared" si="203"/>
        <v/>
      </c>
      <c r="J1573" s="44" t="str">
        <f t="shared" si="200"/>
        <v/>
      </c>
      <c r="K1573" s="59" t="str">
        <f t="shared" si="202"/>
        <v/>
      </c>
      <c r="L1573" s="46" t="str" cm="1">
        <f t="array" ref="L1573">IFERROR(_xlfn.IFS(
    LEN($A1573)-LEN(SUBSTITUTE($A1573,"|",""))=12, RIGHT(A1573, LEN(A1573)-FIND("~", SUBSTITUTE(A1573,"|","~", LEN(A1573)-LEN(SUBSTITUTE(A1573,"|",""))))),
    LEN($A1573)-LEN(SUBSTITUTE($A1573,"|",""))=13, MID($A1573, FIND("~", SUBSTITUTE($A1573,"|","~", 11))+1, FIND("~", SUBSTITUTE($A1573,"|","~", 12))-FIND("~", SUBSTITUTE($A1573,"|","~", 11))-1),
    LEN($A1573)-LEN(SUBSTITUTE($A1573,"|",""))=14, MID($A1573, FIND("~", SUBSTITUTE($A1573,"|","~", 11))+1, FIND("~", SUBSTITUTE($A1573,"|","~", 12))-FIND("~", SUBSTITUTE($A1573,"|","~", 11))-1)
), "")</f>
        <v/>
      </c>
      <c r="M1573" s="72" t="str">
        <f t="shared" si="201"/>
        <v/>
      </c>
      <c r="N1573" s="46" t="str">
        <f t="shared" si="199"/>
        <v/>
      </c>
      <c r="O1573" s="76"/>
      <c r="P1573" s="76"/>
      <c r="Q1573" s="77"/>
      <c r="R1573" s="77"/>
      <c r="S1573" s="77"/>
      <c r="T1573" s="77"/>
      <c r="U1573" s="83"/>
      <c r="V1573" s="83"/>
      <c r="W1573" s="78"/>
      <c r="X1573" s="51" t="str">
        <f>IF(A1573="", "", IF(COUNTIFS(C$3:C1572, C1573, D$3:D1572, D1573, G$3:G1572, G1573) &gt; 0, "", "11:00"-AW1573))</f>
        <v/>
      </c>
      <c r="Y1573" s="79"/>
      <c r="Z1573" s="80"/>
      <c r="AA1573" s="81"/>
      <c r="AB1573" s="81"/>
      <c r="AC1573" s="81"/>
      <c r="AD1573" s="81"/>
      <c r="AE1573" s="81"/>
      <c r="AF1573" s="81"/>
      <c r="AG1573" s="81"/>
      <c r="AH1573" s="82"/>
      <c r="AI1573" s="81"/>
      <c r="AJ1573" s="81"/>
      <c r="AK1573" s="81"/>
      <c r="AL1573" s="81"/>
      <c r="AM1573" s="81"/>
      <c r="AN1573" s="81"/>
      <c r="AO1573" s="81"/>
      <c r="AP1573" s="81"/>
      <c r="AQ1573" s="81"/>
      <c r="AR1573" s="81"/>
      <c r="AS1573" s="81"/>
      <c r="AT1573" s="81"/>
      <c r="AU1573" s="87"/>
      <c r="AV1573" s="81"/>
      <c r="AW1573" s="88"/>
      <c r="AX1573" s="58"/>
    </row>
    <row r="1574" spans="1:50" ht="28.5" customHeight="1">
      <c r="A1574" s="66"/>
      <c r="B1574" s="39" t="str">
        <f t="shared" si="204"/>
        <v/>
      </c>
      <c r="C1574" s="40"/>
      <c r="D1574" s="40"/>
      <c r="E1574" s="40"/>
      <c r="F1574" s="41"/>
      <c r="G1574" s="42"/>
      <c r="H1574" s="43" t="str">
        <f>IFERROR(VLOOKUP($J1574,'[9]FROM (3)'!$E$4:$F$230,2,FALSE),"")</f>
        <v/>
      </c>
      <c r="I1574" s="44" t="str">
        <f t="shared" si="203"/>
        <v/>
      </c>
      <c r="J1574" s="44" t="str">
        <f t="shared" si="200"/>
        <v/>
      </c>
      <c r="K1574" s="59" t="str">
        <f t="shared" si="202"/>
        <v/>
      </c>
      <c r="L1574" s="46" t="str" cm="1">
        <f t="array" ref="L1574">IFERROR(_xlfn.IFS(
    LEN($A1574)-LEN(SUBSTITUTE($A1574,"|",""))=12, RIGHT(A1574, LEN(A1574)-FIND("~", SUBSTITUTE(A1574,"|","~", LEN(A1574)-LEN(SUBSTITUTE(A1574,"|",""))))),
    LEN($A1574)-LEN(SUBSTITUTE($A1574,"|",""))=13, MID($A1574, FIND("~", SUBSTITUTE($A1574,"|","~", 11))+1, FIND("~", SUBSTITUTE($A1574,"|","~", 12))-FIND("~", SUBSTITUTE($A1574,"|","~", 11))-1),
    LEN($A1574)-LEN(SUBSTITUTE($A1574,"|",""))=14, MID($A1574, FIND("~", SUBSTITUTE($A1574,"|","~", 11))+1, FIND("~", SUBSTITUTE($A1574,"|","~", 12))-FIND("~", SUBSTITUTE($A1574,"|","~", 11))-1)
), "")</f>
        <v/>
      </c>
      <c r="M1574" s="72" t="str">
        <f t="shared" si="201"/>
        <v/>
      </c>
      <c r="N1574" s="46" t="str">
        <f t="shared" si="199"/>
        <v/>
      </c>
      <c r="O1574" s="76"/>
      <c r="P1574" s="76"/>
      <c r="Q1574" s="77"/>
      <c r="R1574" s="77"/>
      <c r="S1574" s="77"/>
      <c r="T1574" s="77"/>
      <c r="U1574" s="83"/>
      <c r="V1574" s="83"/>
      <c r="W1574" s="78"/>
      <c r="X1574" s="51" t="str">
        <f>IF(A1574="", "", IF(COUNTIFS(C$3:C1573, C1574, D$3:D1573, D1574, G$3:G1573, G1574) &gt; 0, "", "11:00"-AW1574))</f>
        <v/>
      </c>
      <c r="Y1574" s="79"/>
      <c r="Z1574" s="80"/>
      <c r="AA1574" s="81"/>
      <c r="AB1574" s="81"/>
      <c r="AC1574" s="81"/>
      <c r="AD1574" s="81"/>
      <c r="AE1574" s="81"/>
      <c r="AF1574" s="81"/>
      <c r="AG1574" s="81"/>
      <c r="AH1574" s="82"/>
      <c r="AI1574" s="81"/>
      <c r="AJ1574" s="81"/>
      <c r="AK1574" s="81"/>
      <c r="AL1574" s="81"/>
      <c r="AM1574" s="81"/>
      <c r="AN1574" s="81"/>
      <c r="AO1574" s="81"/>
      <c r="AP1574" s="81"/>
      <c r="AQ1574" s="81"/>
      <c r="AR1574" s="81"/>
      <c r="AS1574" s="81"/>
      <c r="AT1574" s="81"/>
      <c r="AU1574" s="87"/>
      <c r="AV1574" s="81"/>
      <c r="AW1574" s="88"/>
      <c r="AX1574" s="58"/>
    </row>
    <row r="1575" spans="1:50" ht="28.5" customHeight="1">
      <c r="A1575" s="66"/>
      <c r="B1575" s="39" t="str">
        <f t="shared" si="204"/>
        <v/>
      </c>
      <c r="C1575" s="40"/>
      <c r="D1575" s="40"/>
      <c r="E1575" s="40"/>
      <c r="F1575" s="41"/>
      <c r="G1575" s="42"/>
      <c r="H1575" s="43" t="str">
        <f>IFERROR(VLOOKUP($J1575,'[9]FROM (3)'!$E$4:$F$230,2,FALSE),"")</f>
        <v/>
      </c>
      <c r="I1575" s="44" t="str">
        <f t="shared" si="203"/>
        <v/>
      </c>
      <c r="J1575" s="44" t="str">
        <f t="shared" si="200"/>
        <v/>
      </c>
      <c r="K1575" s="59" t="str">
        <f t="shared" si="202"/>
        <v/>
      </c>
      <c r="L1575" s="46" t="str" cm="1">
        <f t="array" ref="L1575">IFERROR(_xlfn.IFS(
    LEN($A1575)-LEN(SUBSTITUTE($A1575,"|",""))=12, RIGHT(A1575, LEN(A1575)-FIND("~", SUBSTITUTE(A1575,"|","~", LEN(A1575)-LEN(SUBSTITUTE(A1575,"|",""))))),
    LEN($A1575)-LEN(SUBSTITUTE($A1575,"|",""))=13, MID($A1575, FIND("~", SUBSTITUTE($A1575,"|","~", 11))+1, FIND("~", SUBSTITUTE($A1575,"|","~", 12))-FIND("~", SUBSTITUTE($A1575,"|","~", 11))-1),
    LEN($A1575)-LEN(SUBSTITUTE($A1575,"|",""))=14, MID($A1575, FIND("~", SUBSTITUTE($A1575,"|","~", 11))+1, FIND("~", SUBSTITUTE($A1575,"|","~", 12))-FIND("~", SUBSTITUTE($A1575,"|","~", 11))-1)
), "")</f>
        <v/>
      </c>
      <c r="M1575" s="72" t="str">
        <f t="shared" si="201"/>
        <v/>
      </c>
      <c r="N1575" s="46" t="str">
        <f t="shared" si="199"/>
        <v/>
      </c>
      <c r="O1575" s="76"/>
      <c r="P1575" s="76"/>
      <c r="Q1575" s="77"/>
      <c r="R1575" s="77"/>
      <c r="S1575" s="77"/>
      <c r="T1575" s="77"/>
      <c r="U1575" s="83"/>
      <c r="V1575" s="83"/>
      <c r="W1575" s="78"/>
      <c r="X1575" s="51" t="str">
        <f>IF(A1575="", "", IF(COUNTIFS(C$3:C1574, C1575, D$3:D1574, D1575, G$3:G1574, G1575) &gt; 0, "", "11:00"-AW1575))</f>
        <v/>
      </c>
      <c r="Y1575" s="79"/>
      <c r="Z1575" s="80"/>
      <c r="AA1575" s="81"/>
      <c r="AB1575" s="81"/>
      <c r="AC1575" s="81"/>
      <c r="AD1575" s="81"/>
      <c r="AE1575" s="81"/>
      <c r="AF1575" s="81"/>
      <c r="AG1575" s="81"/>
      <c r="AH1575" s="82"/>
      <c r="AI1575" s="81"/>
      <c r="AJ1575" s="81"/>
      <c r="AK1575" s="81"/>
      <c r="AL1575" s="81"/>
      <c r="AM1575" s="81"/>
      <c r="AN1575" s="81"/>
      <c r="AO1575" s="81"/>
      <c r="AP1575" s="81"/>
      <c r="AQ1575" s="81"/>
      <c r="AR1575" s="81"/>
      <c r="AS1575" s="81"/>
      <c r="AT1575" s="81"/>
      <c r="AU1575" s="87"/>
      <c r="AV1575" s="81"/>
      <c r="AW1575" s="88"/>
      <c r="AX1575" s="58"/>
    </row>
    <row r="1576" spans="1:50" ht="28.5" customHeight="1">
      <c r="A1576" s="66"/>
      <c r="B1576" s="39" t="str">
        <f t="shared" si="204"/>
        <v/>
      </c>
      <c r="C1576" s="40"/>
      <c r="D1576" s="40"/>
      <c r="E1576" s="40"/>
      <c r="F1576" s="41"/>
      <c r="G1576" s="42"/>
      <c r="H1576" s="43" t="str">
        <f>IFERROR(VLOOKUP($J1576,'[9]FROM (3)'!$E$4:$F$230,2,FALSE),"")</f>
        <v/>
      </c>
      <c r="I1576" s="44" t="str">
        <f t="shared" si="203"/>
        <v/>
      </c>
      <c r="J1576" s="44" t="str">
        <f t="shared" si="200"/>
        <v/>
      </c>
      <c r="K1576" s="59" t="str">
        <f t="shared" si="202"/>
        <v/>
      </c>
      <c r="L1576" s="46" t="str" cm="1">
        <f t="array" ref="L1576">IFERROR(_xlfn.IFS(
    LEN($A1576)-LEN(SUBSTITUTE($A1576,"|",""))=12, RIGHT(A1576, LEN(A1576)-FIND("~", SUBSTITUTE(A1576,"|","~", LEN(A1576)-LEN(SUBSTITUTE(A1576,"|",""))))),
    LEN($A1576)-LEN(SUBSTITUTE($A1576,"|",""))=13, MID($A1576, FIND("~", SUBSTITUTE($A1576,"|","~", 11))+1, FIND("~", SUBSTITUTE($A1576,"|","~", 12))-FIND("~", SUBSTITUTE($A1576,"|","~", 11))-1),
    LEN($A1576)-LEN(SUBSTITUTE($A1576,"|",""))=14, MID($A1576, FIND("~", SUBSTITUTE($A1576,"|","~", 11))+1, FIND("~", SUBSTITUTE($A1576,"|","~", 12))-FIND("~", SUBSTITUTE($A1576,"|","~", 11))-1)
), "")</f>
        <v/>
      </c>
      <c r="M1576" s="72" t="str">
        <f t="shared" si="201"/>
        <v/>
      </c>
      <c r="N1576" s="46" t="str">
        <f t="shared" si="199"/>
        <v/>
      </c>
      <c r="O1576" s="76"/>
      <c r="P1576" s="76"/>
      <c r="Q1576" s="77"/>
      <c r="R1576" s="77"/>
      <c r="S1576" s="77"/>
      <c r="T1576" s="77"/>
      <c r="U1576" s="83"/>
      <c r="V1576" s="83"/>
      <c r="W1576" s="78"/>
      <c r="X1576" s="51" t="str">
        <f>IF(A1576="", "", IF(COUNTIFS(C$3:C1575, C1576, D$3:D1575, D1576, G$3:G1575, G1576) &gt; 0, "", "11:00"-AW1576))</f>
        <v/>
      </c>
      <c r="Y1576" s="79"/>
      <c r="Z1576" s="80"/>
      <c r="AA1576" s="81"/>
      <c r="AB1576" s="81"/>
      <c r="AC1576" s="81"/>
      <c r="AD1576" s="81"/>
      <c r="AE1576" s="81"/>
      <c r="AF1576" s="81"/>
      <c r="AG1576" s="81"/>
      <c r="AH1576" s="82"/>
      <c r="AI1576" s="81"/>
      <c r="AJ1576" s="81"/>
      <c r="AK1576" s="81"/>
      <c r="AL1576" s="81"/>
      <c r="AM1576" s="81"/>
      <c r="AN1576" s="81"/>
      <c r="AO1576" s="81"/>
      <c r="AP1576" s="81"/>
      <c r="AQ1576" s="81"/>
      <c r="AR1576" s="81"/>
      <c r="AS1576" s="81"/>
      <c r="AT1576" s="81"/>
      <c r="AU1576" s="87"/>
      <c r="AV1576" s="81"/>
      <c r="AW1576" s="88"/>
      <c r="AX1576" s="58"/>
    </row>
    <row r="1577" spans="1:50" ht="28.5" customHeight="1">
      <c r="A1577" s="66"/>
      <c r="B1577" s="39" t="str">
        <f t="shared" si="204"/>
        <v/>
      </c>
      <c r="C1577" s="40"/>
      <c r="D1577" s="40"/>
      <c r="E1577" s="40"/>
      <c r="F1577" s="41"/>
      <c r="G1577" s="42"/>
      <c r="H1577" s="43" t="str">
        <f>IFERROR(VLOOKUP($J1577,'[9]FROM (3)'!$E$4:$F$230,2,FALSE),"")</f>
        <v/>
      </c>
      <c r="I1577" s="44" t="str">
        <f t="shared" si="203"/>
        <v/>
      </c>
      <c r="J1577" s="44" t="str">
        <f t="shared" si="200"/>
        <v/>
      </c>
      <c r="K1577" s="59" t="str">
        <f t="shared" si="202"/>
        <v/>
      </c>
      <c r="L1577" s="46" t="str" cm="1">
        <f t="array" ref="L1577">IFERROR(_xlfn.IFS(
    LEN($A1577)-LEN(SUBSTITUTE($A1577,"|",""))=12, RIGHT(A1577, LEN(A1577)-FIND("~", SUBSTITUTE(A1577,"|","~", LEN(A1577)-LEN(SUBSTITUTE(A1577,"|",""))))),
    LEN($A1577)-LEN(SUBSTITUTE($A1577,"|",""))=13, MID($A1577, FIND("~", SUBSTITUTE($A1577,"|","~", 11))+1, FIND("~", SUBSTITUTE($A1577,"|","~", 12))-FIND("~", SUBSTITUTE($A1577,"|","~", 11))-1),
    LEN($A1577)-LEN(SUBSTITUTE($A1577,"|",""))=14, MID($A1577, FIND("~", SUBSTITUTE($A1577,"|","~", 11))+1, FIND("~", SUBSTITUTE($A1577,"|","~", 12))-FIND("~", SUBSTITUTE($A1577,"|","~", 11))-1)
), "")</f>
        <v/>
      </c>
      <c r="M1577" s="72" t="str">
        <f t="shared" si="201"/>
        <v/>
      </c>
      <c r="N1577" s="46" t="str">
        <f t="shared" si="199"/>
        <v/>
      </c>
      <c r="O1577" s="76"/>
      <c r="P1577" s="76"/>
      <c r="Q1577" s="77"/>
      <c r="R1577" s="77"/>
      <c r="S1577" s="77"/>
      <c r="T1577" s="77"/>
      <c r="U1577" s="83"/>
      <c r="V1577" s="83"/>
      <c r="W1577" s="78"/>
      <c r="X1577" s="51" t="str">
        <f>IF(A1577="", "", IF(COUNTIFS(C$3:C1576, C1577, D$3:D1576, D1577, G$3:G1576, G1577) &gt; 0, "", "11:00"-AW1577))</f>
        <v/>
      </c>
      <c r="Y1577" s="79"/>
      <c r="Z1577" s="80"/>
      <c r="AA1577" s="81"/>
      <c r="AB1577" s="81"/>
      <c r="AC1577" s="81"/>
      <c r="AD1577" s="81"/>
      <c r="AE1577" s="81"/>
      <c r="AF1577" s="81"/>
      <c r="AG1577" s="81"/>
      <c r="AH1577" s="82"/>
      <c r="AI1577" s="81"/>
      <c r="AJ1577" s="81"/>
      <c r="AK1577" s="81"/>
      <c r="AL1577" s="81"/>
      <c r="AM1577" s="81"/>
      <c r="AN1577" s="81"/>
      <c r="AO1577" s="81"/>
      <c r="AP1577" s="81"/>
      <c r="AQ1577" s="81"/>
      <c r="AR1577" s="81"/>
      <c r="AS1577" s="81"/>
      <c r="AT1577" s="81"/>
      <c r="AU1577" s="87"/>
      <c r="AV1577" s="81"/>
      <c r="AW1577" s="88"/>
      <c r="AX1577" s="58"/>
    </row>
    <row r="1578" spans="1:50" ht="28.5" customHeight="1">
      <c r="A1578" s="66"/>
      <c r="B1578" s="39" t="str">
        <f t="shared" si="204"/>
        <v/>
      </c>
      <c r="C1578" s="40"/>
      <c r="D1578" s="40"/>
      <c r="E1578" s="40"/>
      <c r="F1578" s="41"/>
      <c r="G1578" s="42"/>
      <c r="H1578" s="43" t="str">
        <f>IFERROR(VLOOKUP($J1578,'[9]FROM (3)'!$E$4:$F$230,2,FALSE),"")</f>
        <v/>
      </c>
      <c r="I1578" s="44" t="str">
        <f t="shared" si="203"/>
        <v/>
      </c>
      <c r="J1578" s="44" t="str">
        <f t="shared" si="200"/>
        <v/>
      </c>
      <c r="K1578" s="59" t="str">
        <f t="shared" si="202"/>
        <v/>
      </c>
      <c r="L1578" s="46" t="str" cm="1">
        <f t="array" ref="L1578">IFERROR(_xlfn.IFS(
    LEN($A1578)-LEN(SUBSTITUTE($A1578,"|",""))=12, RIGHT(A1578, LEN(A1578)-FIND("~", SUBSTITUTE(A1578,"|","~", LEN(A1578)-LEN(SUBSTITUTE(A1578,"|",""))))),
    LEN($A1578)-LEN(SUBSTITUTE($A1578,"|",""))=13, MID($A1578, FIND("~", SUBSTITUTE($A1578,"|","~", 11))+1, FIND("~", SUBSTITUTE($A1578,"|","~", 12))-FIND("~", SUBSTITUTE($A1578,"|","~", 11))-1),
    LEN($A1578)-LEN(SUBSTITUTE($A1578,"|",""))=14, MID($A1578, FIND("~", SUBSTITUTE($A1578,"|","~", 11))+1, FIND("~", SUBSTITUTE($A1578,"|","~", 12))-FIND("~", SUBSTITUTE($A1578,"|","~", 11))-1)
), "")</f>
        <v/>
      </c>
      <c r="M1578" s="72" t="str">
        <f t="shared" si="201"/>
        <v/>
      </c>
      <c r="N1578" s="46" t="str">
        <f t="shared" si="199"/>
        <v/>
      </c>
      <c r="O1578" s="76"/>
      <c r="P1578" s="76"/>
      <c r="Q1578" s="77"/>
      <c r="R1578" s="77"/>
      <c r="S1578" s="77"/>
      <c r="T1578" s="77"/>
      <c r="U1578" s="83"/>
      <c r="V1578" s="83"/>
      <c r="W1578" s="78"/>
      <c r="X1578" s="51" t="str">
        <f>IF(A1578="", "", IF(COUNTIFS(C$3:C1577, C1578, D$3:D1577, D1578, G$3:G1577, G1578) &gt; 0, "", "11:00"-AW1578))</f>
        <v/>
      </c>
      <c r="Y1578" s="79"/>
      <c r="Z1578" s="80"/>
      <c r="AA1578" s="81"/>
      <c r="AB1578" s="81"/>
      <c r="AC1578" s="81"/>
      <c r="AD1578" s="81"/>
      <c r="AE1578" s="81"/>
      <c r="AF1578" s="81"/>
      <c r="AG1578" s="81"/>
      <c r="AH1578" s="82"/>
      <c r="AI1578" s="81"/>
      <c r="AJ1578" s="81"/>
      <c r="AK1578" s="81"/>
      <c r="AL1578" s="81"/>
      <c r="AM1578" s="81"/>
      <c r="AN1578" s="81"/>
      <c r="AO1578" s="81"/>
      <c r="AP1578" s="81"/>
      <c r="AQ1578" s="81"/>
      <c r="AR1578" s="81"/>
      <c r="AS1578" s="81"/>
      <c r="AT1578" s="81"/>
      <c r="AU1578" s="87"/>
      <c r="AV1578" s="81"/>
      <c r="AW1578" s="88"/>
      <c r="AX1578" s="58"/>
    </row>
    <row r="1579" spans="1:50" ht="28.5" customHeight="1">
      <c r="A1579" s="66"/>
      <c r="B1579" s="39" t="str">
        <f t="shared" si="204"/>
        <v/>
      </c>
      <c r="C1579" s="40"/>
      <c r="D1579" s="40"/>
      <c r="E1579" s="40"/>
      <c r="F1579" s="41"/>
      <c r="G1579" s="42"/>
      <c r="H1579" s="43" t="str">
        <f>IFERROR(VLOOKUP($J1579,'[9]FROM (3)'!$E$4:$F$230,2,FALSE),"")</f>
        <v/>
      </c>
      <c r="I1579" s="44" t="str">
        <f t="shared" si="203"/>
        <v/>
      </c>
      <c r="J1579" s="44" t="str">
        <f t="shared" si="200"/>
        <v/>
      </c>
      <c r="K1579" s="59" t="str">
        <f t="shared" si="202"/>
        <v/>
      </c>
      <c r="L1579" s="46" t="str" cm="1">
        <f t="array" ref="L1579">IFERROR(_xlfn.IFS(
    LEN($A1579)-LEN(SUBSTITUTE($A1579,"|",""))=12, RIGHT(A1579, LEN(A1579)-FIND("~", SUBSTITUTE(A1579,"|","~", LEN(A1579)-LEN(SUBSTITUTE(A1579,"|",""))))),
    LEN($A1579)-LEN(SUBSTITUTE($A1579,"|",""))=13, MID($A1579, FIND("~", SUBSTITUTE($A1579,"|","~", 11))+1, FIND("~", SUBSTITUTE($A1579,"|","~", 12))-FIND("~", SUBSTITUTE($A1579,"|","~", 11))-1),
    LEN($A1579)-LEN(SUBSTITUTE($A1579,"|",""))=14, MID($A1579, FIND("~", SUBSTITUTE($A1579,"|","~", 11))+1, FIND("~", SUBSTITUTE($A1579,"|","~", 12))-FIND("~", SUBSTITUTE($A1579,"|","~", 11))-1)
), "")</f>
        <v/>
      </c>
      <c r="M1579" s="72" t="str">
        <f t="shared" si="201"/>
        <v/>
      </c>
      <c r="N1579" s="46" t="str">
        <f t="shared" ref="N1579:N1642" si="205">IFERROR(IF(LEN($A1579)-LEN(SUBSTITUTE($A1579,"|",""))=12,MID($A1579,FIND("~",SUBSTITUTE($A1579,"|","~",11))+1,FIND("~",SUBSTITUTE($A1579,"|","~",12))-FIND("~",SUBSTITUTE($A1579,"|","~",11))-1),IF(LEN($A1579)-LEN(SUBSTITUTE($A1579,"|",""))=13,MID($A1579,FIND("~",SUBSTITUTE($A1579,"|","~",10))+1,FIND("~",SUBSTITUTE($A1579,"|","~",11))-FIND("~",SUBSTITUTE($A1579,"|","~",10))-1), "")),"")</f>
        <v/>
      </c>
      <c r="O1579" s="76"/>
      <c r="P1579" s="76"/>
      <c r="Q1579" s="77"/>
      <c r="R1579" s="77"/>
      <c r="S1579" s="77"/>
      <c r="T1579" s="77"/>
      <c r="U1579" s="83"/>
      <c r="V1579" s="83"/>
      <c r="W1579" s="78"/>
      <c r="X1579" s="51" t="str">
        <f>IF(A1579="", "", IF(COUNTIFS(C$3:C1578, C1579, D$3:D1578, D1579, G$3:G1578, G1579) &gt; 0, "", "11:00"-AW1579))</f>
        <v/>
      </c>
      <c r="Y1579" s="79"/>
      <c r="Z1579" s="80"/>
      <c r="AA1579" s="81"/>
      <c r="AB1579" s="81"/>
      <c r="AC1579" s="81"/>
      <c r="AD1579" s="81"/>
      <c r="AE1579" s="81"/>
      <c r="AF1579" s="81"/>
      <c r="AG1579" s="81"/>
      <c r="AH1579" s="82"/>
      <c r="AI1579" s="81"/>
      <c r="AJ1579" s="81"/>
      <c r="AK1579" s="81"/>
      <c r="AL1579" s="81"/>
      <c r="AM1579" s="81"/>
      <c r="AN1579" s="81"/>
      <c r="AO1579" s="81"/>
      <c r="AP1579" s="81"/>
      <c r="AQ1579" s="81"/>
      <c r="AR1579" s="81"/>
      <c r="AS1579" s="81"/>
      <c r="AT1579" s="81"/>
      <c r="AU1579" s="87"/>
      <c r="AV1579" s="81"/>
      <c r="AW1579" s="88"/>
      <c r="AX1579" s="58"/>
    </row>
    <row r="1580" spans="1:50" ht="28.5" customHeight="1">
      <c r="A1580" s="66"/>
      <c r="B1580" s="39" t="str">
        <f t="shared" si="204"/>
        <v/>
      </c>
      <c r="C1580" s="40"/>
      <c r="D1580" s="40"/>
      <c r="E1580" s="40"/>
      <c r="F1580" s="41"/>
      <c r="G1580" s="42"/>
      <c r="H1580" s="43" t="str">
        <f>IFERROR(VLOOKUP($J1580,'[9]FROM (3)'!$E$4:$F$230,2,FALSE),"")</f>
        <v/>
      </c>
      <c r="I1580" s="44" t="str">
        <f t="shared" si="203"/>
        <v/>
      </c>
      <c r="J1580" s="44" t="str">
        <f t="shared" si="200"/>
        <v/>
      </c>
      <c r="K1580" s="59" t="str">
        <f t="shared" si="202"/>
        <v/>
      </c>
      <c r="L1580" s="46" t="str" cm="1">
        <f t="array" ref="L1580">IFERROR(_xlfn.IFS(
    LEN($A1580)-LEN(SUBSTITUTE($A1580,"|",""))=12, RIGHT(A1580, LEN(A1580)-FIND("~", SUBSTITUTE(A1580,"|","~", LEN(A1580)-LEN(SUBSTITUTE(A1580,"|",""))))),
    LEN($A1580)-LEN(SUBSTITUTE($A1580,"|",""))=13, MID($A1580, FIND("~", SUBSTITUTE($A1580,"|","~", 11))+1, FIND("~", SUBSTITUTE($A1580,"|","~", 12))-FIND("~", SUBSTITUTE($A1580,"|","~", 11))-1),
    LEN($A1580)-LEN(SUBSTITUTE($A1580,"|",""))=14, MID($A1580, FIND("~", SUBSTITUTE($A1580,"|","~", 11))+1, FIND("~", SUBSTITUTE($A1580,"|","~", 12))-FIND("~", SUBSTITUTE($A1580,"|","~", 11))-1)
), "")</f>
        <v/>
      </c>
      <c r="M1580" s="72" t="str">
        <f t="shared" si="201"/>
        <v/>
      </c>
      <c r="N1580" s="46" t="str">
        <f t="shared" si="205"/>
        <v/>
      </c>
      <c r="O1580" s="76"/>
      <c r="P1580" s="76"/>
      <c r="Q1580" s="77"/>
      <c r="R1580" s="77"/>
      <c r="S1580" s="77"/>
      <c r="T1580" s="77"/>
      <c r="U1580" s="83"/>
      <c r="V1580" s="83"/>
      <c r="W1580" s="78"/>
      <c r="X1580" s="51" t="str">
        <f>IF(A1580="", "", IF(COUNTIFS(C$3:C1579, C1580, D$3:D1579, D1580, G$3:G1579, G1580) &gt; 0, "", "11:00"-AW1580))</f>
        <v/>
      </c>
      <c r="Y1580" s="79"/>
      <c r="Z1580" s="80"/>
      <c r="AA1580" s="81"/>
      <c r="AB1580" s="81"/>
      <c r="AC1580" s="81"/>
      <c r="AD1580" s="81"/>
      <c r="AE1580" s="81"/>
      <c r="AF1580" s="81"/>
      <c r="AG1580" s="81"/>
      <c r="AH1580" s="82"/>
      <c r="AI1580" s="81"/>
      <c r="AJ1580" s="81"/>
      <c r="AK1580" s="81"/>
      <c r="AL1580" s="81"/>
      <c r="AM1580" s="81"/>
      <c r="AN1580" s="81"/>
      <c r="AO1580" s="81"/>
      <c r="AP1580" s="81"/>
      <c r="AQ1580" s="81"/>
      <c r="AR1580" s="81"/>
      <c r="AS1580" s="81"/>
      <c r="AT1580" s="81"/>
      <c r="AU1580" s="87"/>
      <c r="AV1580" s="81"/>
      <c r="AW1580" s="88"/>
      <c r="AX1580" s="58"/>
    </row>
    <row r="1581" spans="1:50" ht="28.5" customHeight="1">
      <c r="A1581" s="66"/>
      <c r="B1581" s="39" t="str">
        <f t="shared" si="204"/>
        <v/>
      </c>
      <c r="C1581" s="40"/>
      <c r="D1581" s="40"/>
      <c r="E1581" s="40"/>
      <c r="F1581" s="41"/>
      <c r="G1581" s="42"/>
      <c r="H1581" s="43" t="str">
        <f>IFERROR(VLOOKUP($J1581,'[9]FROM (3)'!$E$4:$F$230,2,FALSE),"")</f>
        <v/>
      </c>
      <c r="I1581" s="44" t="str">
        <f t="shared" si="203"/>
        <v/>
      </c>
      <c r="J1581" s="44" t="str">
        <f t="shared" si="200"/>
        <v/>
      </c>
      <c r="K1581" s="59" t="str">
        <f t="shared" si="202"/>
        <v/>
      </c>
      <c r="L1581" s="46" t="str" cm="1">
        <f t="array" ref="L1581">IFERROR(_xlfn.IFS(
    LEN($A1581)-LEN(SUBSTITUTE($A1581,"|",""))=12, RIGHT(A1581, LEN(A1581)-FIND("~", SUBSTITUTE(A1581,"|","~", LEN(A1581)-LEN(SUBSTITUTE(A1581,"|",""))))),
    LEN($A1581)-LEN(SUBSTITUTE($A1581,"|",""))=13, MID($A1581, FIND("~", SUBSTITUTE($A1581,"|","~", 11))+1, FIND("~", SUBSTITUTE($A1581,"|","~", 12))-FIND("~", SUBSTITUTE($A1581,"|","~", 11))-1),
    LEN($A1581)-LEN(SUBSTITUTE($A1581,"|",""))=14, MID($A1581, FIND("~", SUBSTITUTE($A1581,"|","~", 11))+1, FIND("~", SUBSTITUTE($A1581,"|","~", 12))-FIND("~", SUBSTITUTE($A1581,"|","~", 11))-1)
), "")</f>
        <v/>
      </c>
      <c r="M1581" s="72" t="str">
        <f t="shared" si="201"/>
        <v/>
      </c>
      <c r="N1581" s="46" t="str">
        <f t="shared" si="205"/>
        <v/>
      </c>
      <c r="O1581" s="76"/>
      <c r="P1581" s="76"/>
      <c r="Q1581" s="77"/>
      <c r="R1581" s="77"/>
      <c r="S1581" s="77"/>
      <c r="T1581" s="77"/>
      <c r="U1581" s="83"/>
      <c r="V1581" s="83"/>
      <c r="W1581" s="78"/>
      <c r="X1581" s="51" t="str">
        <f>IF(A1581="", "", IF(COUNTIFS(C$3:C1580, C1581, D$3:D1580, D1581, G$3:G1580, G1581) &gt; 0, "", "11:00"-AW1581))</f>
        <v/>
      </c>
      <c r="Y1581" s="79"/>
      <c r="Z1581" s="80"/>
      <c r="AA1581" s="81"/>
      <c r="AB1581" s="81"/>
      <c r="AC1581" s="81"/>
      <c r="AD1581" s="81"/>
      <c r="AE1581" s="81"/>
      <c r="AF1581" s="81"/>
      <c r="AG1581" s="81"/>
      <c r="AH1581" s="82"/>
      <c r="AI1581" s="81"/>
      <c r="AJ1581" s="81"/>
      <c r="AK1581" s="81"/>
      <c r="AL1581" s="81"/>
      <c r="AM1581" s="81"/>
      <c r="AN1581" s="81"/>
      <c r="AO1581" s="81"/>
      <c r="AP1581" s="81"/>
      <c r="AQ1581" s="81"/>
      <c r="AR1581" s="81"/>
      <c r="AS1581" s="81"/>
      <c r="AT1581" s="81"/>
      <c r="AU1581" s="87"/>
      <c r="AV1581" s="81"/>
      <c r="AW1581" s="88"/>
      <c r="AX1581" s="58"/>
    </row>
    <row r="1582" spans="1:50" ht="28.5" customHeight="1">
      <c r="A1582" s="66"/>
      <c r="B1582" s="39" t="str">
        <f t="shared" si="204"/>
        <v/>
      </c>
      <c r="C1582" s="40"/>
      <c r="D1582" s="40"/>
      <c r="E1582" s="40"/>
      <c r="F1582" s="41"/>
      <c r="G1582" s="42"/>
      <c r="H1582" s="43" t="str">
        <f>IFERROR(VLOOKUP($J1582,'[9]FROM (3)'!$E$4:$F$230,2,FALSE),"")</f>
        <v/>
      </c>
      <c r="I1582" s="44" t="str">
        <f t="shared" si="203"/>
        <v/>
      </c>
      <c r="J1582" s="44" t="str">
        <f t="shared" si="200"/>
        <v/>
      </c>
      <c r="K1582" s="59" t="str">
        <f t="shared" si="202"/>
        <v/>
      </c>
      <c r="L1582" s="46" t="str" cm="1">
        <f t="array" ref="L1582">IFERROR(_xlfn.IFS(
    LEN($A1582)-LEN(SUBSTITUTE($A1582,"|",""))=12, RIGHT(A1582, LEN(A1582)-FIND("~", SUBSTITUTE(A1582,"|","~", LEN(A1582)-LEN(SUBSTITUTE(A1582,"|",""))))),
    LEN($A1582)-LEN(SUBSTITUTE($A1582,"|",""))=13, MID($A1582, FIND("~", SUBSTITUTE($A1582,"|","~", 11))+1, FIND("~", SUBSTITUTE($A1582,"|","~", 12))-FIND("~", SUBSTITUTE($A1582,"|","~", 11))-1),
    LEN($A1582)-LEN(SUBSTITUTE($A1582,"|",""))=14, MID($A1582, FIND("~", SUBSTITUTE($A1582,"|","~", 11))+1, FIND("~", SUBSTITUTE($A1582,"|","~", 12))-FIND("~", SUBSTITUTE($A1582,"|","~", 11))-1)
), "")</f>
        <v/>
      </c>
      <c r="M1582" s="72" t="str">
        <f t="shared" si="201"/>
        <v/>
      </c>
      <c r="N1582" s="46" t="str">
        <f t="shared" si="205"/>
        <v/>
      </c>
      <c r="O1582" s="76"/>
      <c r="P1582" s="76"/>
      <c r="Q1582" s="77"/>
      <c r="R1582" s="77"/>
      <c r="S1582" s="77"/>
      <c r="T1582" s="77"/>
      <c r="U1582" s="83"/>
      <c r="V1582" s="83"/>
      <c r="W1582" s="78"/>
      <c r="X1582" s="51" t="str">
        <f>IF(A1582="", "", IF(COUNTIFS(C$3:C1581, C1582, D$3:D1581, D1582, G$3:G1581, G1582) &gt; 0, "", "11:00"-AW1582))</f>
        <v/>
      </c>
      <c r="Y1582" s="79"/>
      <c r="Z1582" s="80"/>
      <c r="AA1582" s="81"/>
      <c r="AB1582" s="81"/>
      <c r="AC1582" s="81"/>
      <c r="AD1582" s="81"/>
      <c r="AE1582" s="81"/>
      <c r="AF1582" s="81"/>
      <c r="AG1582" s="81"/>
      <c r="AH1582" s="82"/>
      <c r="AI1582" s="81"/>
      <c r="AJ1582" s="81"/>
      <c r="AK1582" s="81"/>
      <c r="AL1582" s="81"/>
      <c r="AM1582" s="81"/>
      <c r="AN1582" s="81"/>
      <c r="AO1582" s="81"/>
      <c r="AP1582" s="81"/>
      <c r="AQ1582" s="81"/>
      <c r="AR1582" s="81"/>
      <c r="AS1582" s="81"/>
      <c r="AT1582" s="81"/>
      <c r="AU1582" s="87"/>
      <c r="AV1582" s="81"/>
      <c r="AW1582" s="88"/>
      <c r="AX1582" s="58"/>
    </row>
    <row r="1583" spans="1:50" ht="28.5" customHeight="1">
      <c r="A1583" s="66"/>
      <c r="B1583" s="39" t="str">
        <f t="shared" si="204"/>
        <v/>
      </c>
      <c r="C1583" s="40"/>
      <c r="D1583" s="40"/>
      <c r="E1583" s="40"/>
      <c r="F1583" s="41"/>
      <c r="G1583" s="42"/>
      <c r="H1583" s="43" t="str">
        <f>IFERROR(VLOOKUP($J1583,'[9]FROM (3)'!$E$4:$F$230,2,FALSE),"")</f>
        <v/>
      </c>
      <c r="I1583" s="44" t="str">
        <f t="shared" si="203"/>
        <v/>
      </c>
      <c r="J1583" s="44" t="str">
        <f t="shared" si="200"/>
        <v/>
      </c>
      <c r="K1583" s="59" t="str">
        <f t="shared" si="202"/>
        <v/>
      </c>
      <c r="L1583" s="46" t="str" cm="1">
        <f t="array" ref="L1583">IFERROR(_xlfn.IFS(
    LEN($A1583)-LEN(SUBSTITUTE($A1583,"|",""))=12, RIGHT(A1583, LEN(A1583)-FIND("~", SUBSTITUTE(A1583,"|","~", LEN(A1583)-LEN(SUBSTITUTE(A1583,"|",""))))),
    LEN($A1583)-LEN(SUBSTITUTE($A1583,"|",""))=13, MID($A1583, FIND("~", SUBSTITUTE($A1583,"|","~", 11))+1, FIND("~", SUBSTITUTE($A1583,"|","~", 12))-FIND("~", SUBSTITUTE($A1583,"|","~", 11))-1),
    LEN($A1583)-LEN(SUBSTITUTE($A1583,"|",""))=14, MID($A1583, FIND("~", SUBSTITUTE($A1583,"|","~", 11))+1, FIND("~", SUBSTITUTE($A1583,"|","~", 12))-FIND("~", SUBSTITUTE($A1583,"|","~", 11))-1)
), "")</f>
        <v/>
      </c>
      <c r="M1583" s="72" t="str">
        <f t="shared" si="201"/>
        <v/>
      </c>
      <c r="N1583" s="46" t="str">
        <f t="shared" si="205"/>
        <v/>
      </c>
      <c r="O1583" s="76"/>
      <c r="P1583" s="76"/>
      <c r="Q1583" s="77"/>
      <c r="R1583" s="77"/>
      <c r="S1583" s="77"/>
      <c r="T1583" s="77"/>
      <c r="U1583" s="83"/>
      <c r="V1583" s="83"/>
      <c r="W1583" s="78"/>
      <c r="X1583" s="51" t="str">
        <f>IF(A1583="", "", IF(COUNTIFS(C$3:C1582, C1583, D$3:D1582, D1583, G$3:G1582, G1583) &gt; 0, "", "11:00"-AW1583))</f>
        <v/>
      </c>
      <c r="Y1583" s="79"/>
      <c r="Z1583" s="80"/>
      <c r="AA1583" s="81"/>
      <c r="AB1583" s="81"/>
      <c r="AC1583" s="81"/>
      <c r="AD1583" s="81"/>
      <c r="AE1583" s="81"/>
      <c r="AF1583" s="81"/>
      <c r="AG1583" s="81"/>
      <c r="AH1583" s="82"/>
      <c r="AI1583" s="81"/>
      <c r="AJ1583" s="81"/>
      <c r="AK1583" s="81"/>
      <c r="AL1583" s="81"/>
      <c r="AM1583" s="81"/>
      <c r="AN1583" s="81"/>
      <c r="AO1583" s="81"/>
      <c r="AP1583" s="81"/>
      <c r="AQ1583" s="81"/>
      <c r="AR1583" s="81"/>
      <c r="AS1583" s="81"/>
      <c r="AT1583" s="81"/>
      <c r="AU1583" s="87"/>
      <c r="AV1583" s="81"/>
      <c r="AW1583" s="88"/>
      <c r="AX1583" s="58"/>
    </row>
    <row r="1584" spans="1:50" ht="28.5" customHeight="1">
      <c r="A1584" s="66"/>
      <c r="B1584" s="39" t="str">
        <f t="shared" si="204"/>
        <v/>
      </c>
      <c r="C1584" s="40"/>
      <c r="D1584" s="40"/>
      <c r="E1584" s="40"/>
      <c r="F1584" s="41"/>
      <c r="G1584" s="42"/>
      <c r="H1584" s="43" t="str">
        <f>IFERROR(VLOOKUP($J1584,'[9]FROM (3)'!$E$4:$F$230,2,FALSE),"")</f>
        <v/>
      </c>
      <c r="I1584" s="44" t="str">
        <f t="shared" si="203"/>
        <v/>
      </c>
      <c r="J1584" s="44" t="str">
        <f t="shared" si="200"/>
        <v/>
      </c>
      <c r="K1584" s="59" t="str">
        <f t="shared" si="202"/>
        <v/>
      </c>
      <c r="L1584" s="46" t="str" cm="1">
        <f t="array" ref="L1584">IFERROR(_xlfn.IFS(
    LEN($A1584)-LEN(SUBSTITUTE($A1584,"|",""))=12, RIGHT(A1584, LEN(A1584)-FIND("~", SUBSTITUTE(A1584,"|","~", LEN(A1584)-LEN(SUBSTITUTE(A1584,"|",""))))),
    LEN($A1584)-LEN(SUBSTITUTE($A1584,"|",""))=13, MID($A1584, FIND("~", SUBSTITUTE($A1584,"|","~", 11))+1, FIND("~", SUBSTITUTE($A1584,"|","~", 12))-FIND("~", SUBSTITUTE($A1584,"|","~", 11))-1),
    LEN($A1584)-LEN(SUBSTITUTE($A1584,"|",""))=14, MID($A1584, FIND("~", SUBSTITUTE($A1584,"|","~", 11))+1, FIND("~", SUBSTITUTE($A1584,"|","~", 12))-FIND("~", SUBSTITUTE($A1584,"|","~", 11))-1)
), "")</f>
        <v/>
      </c>
      <c r="M1584" s="72" t="str">
        <f t="shared" si="201"/>
        <v/>
      </c>
      <c r="N1584" s="46" t="str">
        <f t="shared" si="205"/>
        <v/>
      </c>
      <c r="O1584" s="76"/>
      <c r="P1584" s="76"/>
      <c r="Q1584" s="77"/>
      <c r="R1584" s="77"/>
      <c r="S1584" s="77"/>
      <c r="T1584" s="77"/>
      <c r="U1584" s="83"/>
      <c r="V1584" s="83"/>
      <c r="W1584" s="78"/>
      <c r="X1584" s="51" t="str">
        <f>IF(A1584="", "", IF(COUNTIFS(C$3:C1583, C1584, D$3:D1583, D1584, G$3:G1583, G1584) &gt; 0, "", "11:00"-AW1584))</f>
        <v/>
      </c>
      <c r="Y1584" s="79"/>
      <c r="Z1584" s="80"/>
      <c r="AA1584" s="81"/>
      <c r="AB1584" s="81"/>
      <c r="AC1584" s="81"/>
      <c r="AD1584" s="81"/>
      <c r="AE1584" s="81"/>
      <c r="AF1584" s="81"/>
      <c r="AG1584" s="81"/>
      <c r="AH1584" s="82"/>
      <c r="AI1584" s="81"/>
      <c r="AJ1584" s="81"/>
      <c r="AK1584" s="81"/>
      <c r="AL1584" s="81"/>
      <c r="AM1584" s="81"/>
      <c r="AN1584" s="81"/>
      <c r="AO1584" s="81"/>
      <c r="AP1584" s="81"/>
      <c r="AQ1584" s="81"/>
      <c r="AR1584" s="81"/>
      <c r="AS1584" s="81"/>
      <c r="AT1584" s="81"/>
      <c r="AU1584" s="87"/>
      <c r="AV1584" s="81"/>
      <c r="AW1584" s="88"/>
      <c r="AX1584" s="58"/>
    </row>
    <row r="1585" spans="3:50" ht="30.75" customHeight="1">
      <c r="C1585" s="89"/>
      <c r="D1585" s="89"/>
      <c r="E1585" s="89"/>
      <c r="G1585" s="91"/>
      <c r="H1585" s="43" t="str">
        <f>IFERROR(VLOOKUP($J1585,'[9]FROM (3)'!$E$4:$F$230,2,FALSE),"")</f>
        <v/>
      </c>
      <c r="I1585" s="92"/>
      <c r="J1585" s="93" t="s">
        <v>1248</v>
      </c>
      <c r="K1585" s="94"/>
      <c r="L1585" s="94"/>
      <c r="M1585" s="72" t="str">
        <f t="shared" si="201"/>
        <v/>
      </c>
      <c r="N1585" s="94" t="str">
        <f t="shared" si="205"/>
        <v/>
      </c>
      <c r="O1585" s="95"/>
      <c r="P1585" s="95"/>
      <c r="Q1585" s="96" t="e">
        <f>+#REF!</f>
        <v>#REF!</v>
      </c>
      <c r="R1585" s="96"/>
      <c r="S1585" s="96"/>
      <c r="T1585" s="96"/>
      <c r="U1585" s="83"/>
      <c r="V1585" s="83"/>
      <c r="W1585" s="78"/>
      <c r="X1585" s="51" t="str">
        <f>IF(A1585="", "", IF(COUNTIFS(C$3:C1584, C1585, D$3:D1584, D1585, G$3:G1584, G1585) &gt; 0, "", "11:00"-AW1585))</f>
        <v/>
      </c>
      <c r="Y1585" s="97" t="e">
        <f>+#REF!</f>
        <v>#REF!</v>
      </c>
      <c r="Z1585" s="98"/>
      <c r="AA1585" s="99"/>
      <c r="AB1585" s="100"/>
      <c r="AC1585" s="99"/>
      <c r="AD1585" s="100"/>
      <c r="AE1585" s="99"/>
      <c r="AF1585" s="100"/>
      <c r="AG1585" s="99"/>
      <c r="AH1585" s="101"/>
      <c r="AI1585" s="100"/>
      <c r="AJ1585" s="102"/>
      <c r="AK1585" s="99"/>
      <c r="AL1585" s="99"/>
      <c r="AM1585" s="100"/>
      <c r="AN1585" s="102"/>
      <c r="AO1585" s="99"/>
      <c r="AP1585" s="99"/>
      <c r="AV1585" s="104"/>
      <c r="AW1585" s="88"/>
      <c r="AX1585" s="58"/>
    </row>
    <row r="1586" spans="3:50" ht="33.75" customHeight="1">
      <c r="H1586" s="43" t="str">
        <f>IFERROR(VLOOKUP($J1586,'[9]FROM (3)'!$E$4:$F$230,2,FALSE),"")</f>
        <v/>
      </c>
      <c r="J1586" s="107" t="s">
        <v>1249</v>
      </c>
      <c r="M1586" s="72" t="str">
        <f t="shared" si="201"/>
        <v/>
      </c>
      <c r="N1586" s="108" t="str">
        <f t="shared" si="205"/>
        <v/>
      </c>
      <c r="Q1586" s="110" t="e">
        <f>#REF!*100/(#REF!+Q1585)</f>
        <v>#REF!</v>
      </c>
      <c r="R1586" s="110"/>
      <c r="S1586" s="110"/>
      <c r="T1586" s="110"/>
      <c r="Z1586" s="133" t="e">
        <f>#REF!+#REF!+#REF!+#REF!+#REF!+#REF!+#REF!+#REF!+#REF!+#REF!+#REF!+#REF!+#REF!+#REF!</f>
        <v>#REF!</v>
      </c>
      <c r="AA1586" s="133"/>
      <c r="AB1586" s="133"/>
      <c r="AC1586" s="133"/>
      <c r="AD1586" s="133"/>
      <c r="AE1586" s="133"/>
      <c r="AF1586" s="133"/>
      <c r="AG1586" s="133"/>
      <c r="AH1586" s="133"/>
      <c r="AI1586" s="133"/>
      <c r="AJ1586" s="133"/>
      <c r="AK1586" s="133"/>
      <c r="AL1586" s="133"/>
      <c r="AM1586" s="133"/>
      <c r="AN1586" s="133"/>
      <c r="AO1586" s="133"/>
      <c r="AP1586" s="133"/>
      <c r="AQ1586" s="133"/>
      <c r="AR1586" s="133"/>
      <c r="AS1586" s="133"/>
      <c r="AT1586" s="133"/>
      <c r="AU1586" s="133"/>
      <c r="AX1586" s="58"/>
    </row>
    <row r="1587" spans="3:50" ht="43.5" customHeight="1">
      <c r="H1587" s="43" t="str">
        <f>IFERROR(VLOOKUP($J1587,'[9]FROM (3)'!$E$4:$F$230,2,FALSE),"")</f>
        <v/>
      </c>
      <c r="J1587" s="115" t="s">
        <v>1250</v>
      </c>
      <c r="K1587" s="116"/>
      <c r="L1587" s="116"/>
      <c r="M1587" s="72" t="str">
        <f t="shared" si="201"/>
        <v/>
      </c>
      <c r="N1587" s="116" t="str">
        <f t="shared" si="205"/>
        <v/>
      </c>
      <c r="O1587" s="117"/>
      <c r="P1587" s="117"/>
      <c r="Q1587" s="118" t="e">
        <f>100-Q1586</f>
        <v>#REF!</v>
      </c>
      <c r="R1587" s="118"/>
      <c r="S1587" s="118"/>
      <c r="T1587" s="118"/>
      <c r="Z1587" s="133"/>
      <c r="AA1587" s="133"/>
      <c r="AB1587" s="133"/>
      <c r="AC1587" s="133"/>
      <c r="AD1587" s="133"/>
      <c r="AE1587" s="133"/>
      <c r="AF1587" s="133"/>
      <c r="AG1587" s="133"/>
      <c r="AH1587" s="133"/>
      <c r="AI1587" s="133"/>
      <c r="AJ1587" s="133"/>
      <c r="AK1587" s="133"/>
      <c r="AL1587" s="133"/>
      <c r="AM1587" s="133"/>
      <c r="AN1587" s="133"/>
      <c r="AO1587" s="133"/>
      <c r="AP1587" s="133"/>
      <c r="AQ1587" s="133"/>
      <c r="AR1587" s="133"/>
      <c r="AS1587" s="133"/>
      <c r="AT1587" s="133"/>
      <c r="AU1587" s="133"/>
      <c r="AX1587" s="58"/>
    </row>
    <row r="1588" spans="3:50" ht="21" customHeight="1">
      <c r="C1588" s="40"/>
      <c r="D1588" s="89"/>
      <c r="E1588" s="89"/>
      <c r="H1588" s="43" t="str">
        <f>IFERROR(VLOOKUP($J1588,'[9]FROM (3)'!$E$4:$F$230,2,FALSE),"")</f>
        <v/>
      </c>
      <c r="M1588" s="72" t="str">
        <f t="shared" si="201"/>
        <v/>
      </c>
      <c r="N1588" s="108" t="str">
        <f t="shared" si="205"/>
        <v/>
      </c>
      <c r="AX1588" s="58"/>
    </row>
    <row r="1589" spans="3:50" ht="21" customHeight="1">
      <c r="C1589" s="40"/>
      <c r="D1589" s="89"/>
      <c r="E1589" s="89"/>
      <c r="H1589" s="43" t="str">
        <f>IFERROR(VLOOKUP($J1589,'[9]FROM (3)'!$E$4:$F$230,2,FALSE),"")</f>
        <v/>
      </c>
      <c r="M1589" s="72" t="str">
        <f t="shared" si="201"/>
        <v/>
      </c>
      <c r="N1589" s="108" t="str">
        <f t="shared" si="205"/>
        <v/>
      </c>
      <c r="AX1589" s="58"/>
    </row>
    <row r="1590" spans="3:50" ht="21" customHeight="1">
      <c r="C1590" s="40"/>
      <c r="D1590" s="89"/>
      <c r="E1590" s="89"/>
      <c r="H1590" s="43" t="str">
        <f>IFERROR(VLOOKUP($J1590,'[9]FROM (3)'!$E$4:$F$230,2,FALSE),"")</f>
        <v/>
      </c>
      <c r="M1590" s="72" t="str">
        <f t="shared" si="201"/>
        <v/>
      </c>
      <c r="N1590" s="108" t="str">
        <f t="shared" si="205"/>
        <v/>
      </c>
      <c r="AX1590" s="58"/>
    </row>
    <row r="1591" spans="3:50" ht="21" customHeight="1">
      <c r="C1591" s="40"/>
      <c r="D1591" s="89"/>
      <c r="E1591" s="89"/>
      <c r="H1591" s="43" t="str">
        <f>IFERROR(VLOOKUP($J1591,'[9]FROM (3)'!$E$4:$F$230,2,FALSE),"")</f>
        <v/>
      </c>
      <c r="M1591" s="72" t="str">
        <f t="shared" si="201"/>
        <v/>
      </c>
      <c r="N1591" s="108" t="str">
        <f t="shared" si="205"/>
        <v/>
      </c>
      <c r="AX1591" s="58"/>
    </row>
    <row r="1592" spans="3:50" ht="21" customHeight="1">
      <c r="C1592" s="40"/>
      <c r="D1592" s="89"/>
      <c r="E1592" s="89"/>
      <c r="H1592" s="43" t="str">
        <f>IFERROR(VLOOKUP($J1592,'[9]FROM (3)'!$E$4:$F$230,2,FALSE),"")</f>
        <v/>
      </c>
      <c r="M1592" s="72" t="str">
        <f t="shared" si="201"/>
        <v/>
      </c>
      <c r="N1592" s="108" t="str">
        <f t="shared" si="205"/>
        <v/>
      </c>
      <c r="AX1592" s="58"/>
    </row>
    <row r="1593" spans="3:50" ht="21" customHeight="1">
      <c r="C1593" s="40"/>
      <c r="D1593" s="89"/>
      <c r="E1593" s="89"/>
      <c r="H1593" s="43" t="str">
        <f>IFERROR(VLOOKUP($J1593,'[9]FROM (3)'!$E$4:$F$230,2,FALSE),"")</f>
        <v/>
      </c>
      <c r="M1593" s="72" t="str">
        <f t="shared" si="201"/>
        <v/>
      </c>
      <c r="N1593" s="108" t="str">
        <f t="shared" si="205"/>
        <v/>
      </c>
      <c r="AX1593" s="58"/>
    </row>
    <row r="1594" spans="3:50" ht="21" customHeight="1">
      <c r="C1594" s="40"/>
      <c r="D1594" s="89"/>
      <c r="E1594" s="89"/>
      <c r="H1594" s="43" t="str">
        <f>IFERROR(VLOOKUP($J1594,'[9]FROM (3)'!$E$4:$F$230,2,FALSE),"")</f>
        <v/>
      </c>
      <c r="M1594" s="72" t="str">
        <f t="shared" si="201"/>
        <v/>
      </c>
      <c r="N1594" s="108" t="str">
        <f t="shared" si="205"/>
        <v/>
      </c>
      <c r="AX1594" s="58"/>
    </row>
    <row r="1595" spans="3:50" ht="21" customHeight="1">
      <c r="C1595" s="40"/>
      <c r="D1595" s="89"/>
      <c r="E1595" s="89"/>
      <c r="H1595" s="43" t="str">
        <f>IFERROR(VLOOKUP($J1595,'[9]FROM (3)'!$E$4:$F$230,2,FALSE),"")</f>
        <v/>
      </c>
      <c r="M1595" s="72" t="str">
        <f t="shared" si="201"/>
        <v/>
      </c>
      <c r="N1595" s="108" t="str">
        <f t="shared" si="205"/>
        <v/>
      </c>
      <c r="AX1595" s="58"/>
    </row>
    <row r="1596" spans="3:50" ht="21" customHeight="1">
      <c r="C1596" s="40"/>
      <c r="D1596" s="89"/>
      <c r="E1596" s="89"/>
      <c r="H1596" s="43" t="str">
        <f>IFERROR(VLOOKUP($J1596,'[9]FROM (3)'!$E$4:$F$230,2,FALSE),"")</f>
        <v/>
      </c>
      <c r="M1596" s="72" t="str">
        <f t="shared" si="201"/>
        <v/>
      </c>
      <c r="N1596" s="108" t="str">
        <f t="shared" si="205"/>
        <v/>
      </c>
      <c r="AX1596" s="58"/>
    </row>
    <row r="1597" spans="3:50" ht="21" customHeight="1">
      <c r="C1597" s="40"/>
      <c r="D1597" s="89"/>
      <c r="E1597" s="89"/>
      <c r="H1597" s="43" t="str">
        <f>IFERROR(VLOOKUP($J1597,'[9]FROM (3)'!$E$4:$F$230,2,FALSE),"")</f>
        <v/>
      </c>
      <c r="M1597" s="72" t="str">
        <f t="shared" si="201"/>
        <v/>
      </c>
      <c r="N1597" s="108" t="str">
        <f t="shared" si="205"/>
        <v/>
      </c>
      <c r="AX1597" s="58"/>
    </row>
    <row r="1598" spans="3:50" ht="21" customHeight="1">
      <c r="C1598" s="40"/>
      <c r="D1598" s="89"/>
      <c r="E1598" s="89"/>
      <c r="H1598" s="43" t="str">
        <f>IFERROR(VLOOKUP($J1598,'[9]FROM (3)'!$E$4:$F$230,2,FALSE),"")</f>
        <v/>
      </c>
      <c r="M1598" s="72" t="str">
        <f t="shared" si="201"/>
        <v/>
      </c>
      <c r="N1598" s="108" t="str">
        <f t="shared" si="205"/>
        <v/>
      </c>
      <c r="AX1598" s="58"/>
    </row>
    <row r="1599" spans="3:50" ht="21" customHeight="1">
      <c r="C1599" s="40"/>
      <c r="D1599" s="89"/>
      <c r="E1599" s="89"/>
      <c r="H1599" s="43" t="str">
        <f>IFERROR(VLOOKUP($J1599,'[9]FROM (3)'!$E$4:$F$230,2,FALSE),"")</f>
        <v/>
      </c>
      <c r="M1599" s="72" t="str">
        <f t="shared" si="201"/>
        <v/>
      </c>
      <c r="N1599" s="108" t="str">
        <f t="shared" si="205"/>
        <v/>
      </c>
      <c r="AX1599" s="58"/>
    </row>
    <row r="1600" spans="3:50" ht="21" customHeight="1">
      <c r="H1600" s="43" t="str">
        <f>IFERROR(VLOOKUP($J1600,'[9]FROM (3)'!$E$4:$F$230,2,FALSE),"")</f>
        <v/>
      </c>
      <c r="M1600" s="72" t="str">
        <f t="shared" si="201"/>
        <v/>
      </c>
      <c r="N1600" s="108" t="str">
        <f t="shared" si="205"/>
        <v/>
      </c>
      <c r="AX1600" s="58"/>
    </row>
    <row r="1601" spans="8:50" ht="21" customHeight="1">
      <c r="H1601" s="43" t="str">
        <f>IFERROR(VLOOKUP($J1601,'[9]FROM (3)'!$E$4:$F$230,2,FALSE),"")</f>
        <v/>
      </c>
      <c r="M1601" s="72" t="str">
        <f t="shared" si="201"/>
        <v/>
      </c>
      <c r="N1601" s="108" t="str">
        <f t="shared" si="205"/>
        <v/>
      </c>
      <c r="AX1601" s="58"/>
    </row>
    <row r="1602" spans="8:50" ht="21" customHeight="1">
      <c r="H1602" s="43" t="str">
        <f>IFERROR(VLOOKUP($J1602,'[9]FROM (3)'!$E$4:$F$230,2,FALSE),"")</f>
        <v/>
      </c>
      <c r="M1602" s="72" t="str">
        <f t="shared" si="201"/>
        <v/>
      </c>
      <c r="N1602" s="108" t="str">
        <f t="shared" si="205"/>
        <v/>
      </c>
      <c r="AX1602" s="58"/>
    </row>
    <row r="1603" spans="8:50" ht="21" customHeight="1">
      <c r="H1603" s="43" t="str">
        <f>IFERROR(VLOOKUP($J1603,'[9]FROM (3)'!$E$4:$F$230,2,FALSE),"")</f>
        <v/>
      </c>
      <c r="M1603" s="72" t="str">
        <f t="shared" si="201"/>
        <v/>
      </c>
      <c r="N1603" s="108" t="str">
        <f t="shared" si="205"/>
        <v/>
      </c>
      <c r="AX1603" s="58"/>
    </row>
    <row r="1604" spans="8:50" ht="21" customHeight="1">
      <c r="H1604" s="43" t="str">
        <f>IFERROR(VLOOKUP($J1604,'[9]FROM (3)'!$E$4:$F$230,2,FALSE),"")</f>
        <v/>
      </c>
      <c r="M1604" s="72" t="str">
        <f t="shared" ref="M1604:M1667" si="206">IFERROR(MID(A1604,FIND("~",SUBSTITUTE(A1604,"|","~",10))+1,FIND("~",SUBSTITUTE(A1604,"|","~",11))-FIND("~",SUBSTITUTE(A1604,"|","~",10))-1),"")</f>
        <v/>
      </c>
      <c r="N1604" s="108" t="str">
        <f t="shared" si="205"/>
        <v/>
      </c>
      <c r="AX1604" s="58"/>
    </row>
    <row r="1605" spans="8:50" ht="21" customHeight="1">
      <c r="H1605" s="43" t="str">
        <f>IFERROR(VLOOKUP($J1605,'[9]FROM (3)'!$E$4:$F$230,2,FALSE),"")</f>
        <v/>
      </c>
      <c r="M1605" s="72" t="str">
        <f t="shared" si="206"/>
        <v/>
      </c>
      <c r="N1605" s="108" t="str">
        <f t="shared" si="205"/>
        <v/>
      </c>
      <c r="AX1605" s="58"/>
    </row>
    <row r="1606" spans="8:50" ht="21" customHeight="1">
      <c r="H1606" s="43" t="str">
        <f>IFERROR(VLOOKUP($J1606,'[9]FROM (3)'!$E$4:$F$230,2,FALSE),"")</f>
        <v/>
      </c>
      <c r="M1606" s="72" t="str">
        <f t="shared" si="206"/>
        <v/>
      </c>
      <c r="N1606" s="108" t="str">
        <f t="shared" si="205"/>
        <v/>
      </c>
      <c r="AX1606" s="58"/>
    </row>
    <row r="1607" spans="8:50" ht="21" customHeight="1">
      <c r="H1607" s="43" t="str">
        <f>IFERROR(VLOOKUP($J1607,'[9]FROM (3)'!$E$4:$F$230,2,FALSE),"")</f>
        <v/>
      </c>
      <c r="M1607" s="72" t="str">
        <f t="shared" si="206"/>
        <v/>
      </c>
      <c r="N1607" s="108" t="str">
        <f t="shared" si="205"/>
        <v/>
      </c>
      <c r="AX1607" s="58"/>
    </row>
    <row r="1608" spans="8:50" ht="21" customHeight="1">
      <c r="H1608" s="43" t="str">
        <f>IFERROR(VLOOKUP($J1608,'[9]FROM (3)'!$E$4:$F$230,2,FALSE),"")</f>
        <v/>
      </c>
      <c r="M1608" s="72" t="str">
        <f t="shared" si="206"/>
        <v/>
      </c>
      <c r="N1608" s="108" t="str">
        <f t="shared" si="205"/>
        <v/>
      </c>
      <c r="AX1608" s="58"/>
    </row>
    <row r="1609" spans="8:50" ht="21" customHeight="1">
      <c r="H1609" s="43" t="str">
        <f>IFERROR(VLOOKUP($J1609,'[9]FROM (3)'!$E$4:$F$230,2,FALSE),"")</f>
        <v/>
      </c>
      <c r="M1609" s="72" t="str">
        <f t="shared" si="206"/>
        <v/>
      </c>
      <c r="N1609" s="108" t="str">
        <f t="shared" si="205"/>
        <v/>
      </c>
      <c r="AX1609" s="58"/>
    </row>
    <row r="1610" spans="8:50" ht="21" customHeight="1">
      <c r="H1610" s="43" t="str">
        <f>IFERROR(VLOOKUP($J1610,'[9]FROM (3)'!$E$4:$F$230,2,FALSE),"")</f>
        <v/>
      </c>
      <c r="M1610" s="72" t="str">
        <f t="shared" si="206"/>
        <v/>
      </c>
      <c r="N1610" s="108" t="str">
        <f t="shared" si="205"/>
        <v/>
      </c>
      <c r="AX1610" s="58"/>
    </row>
    <row r="1611" spans="8:50" ht="21" customHeight="1">
      <c r="H1611" s="43" t="str">
        <f>IFERROR(VLOOKUP($J1611,'[9]FROM (3)'!$E$4:$F$230,2,FALSE),"")</f>
        <v/>
      </c>
      <c r="M1611" s="72" t="str">
        <f t="shared" si="206"/>
        <v/>
      </c>
      <c r="N1611" s="108" t="str">
        <f t="shared" si="205"/>
        <v/>
      </c>
      <c r="AX1611" s="58"/>
    </row>
    <row r="1612" spans="8:50" ht="21" customHeight="1">
      <c r="H1612" s="43" t="str">
        <f>IFERROR(VLOOKUP($J1612,'[9]FROM (3)'!$E$4:$F$230,2,FALSE),"")</f>
        <v/>
      </c>
      <c r="M1612" s="72" t="str">
        <f t="shared" si="206"/>
        <v/>
      </c>
      <c r="N1612" s="108" t="str">
        <f t="shared" si="205"/>
        <v/>
      </c>
      <c r="AX1612" s="58"/>
    </row>
    <row r="1613" spans="8:50" ht="21" customHeight="1">
      <c r="H1613" s="43" t="str">
        <f>IFERROR(VLOOKUP($J1613,'[9]FROM (3)'!$E$4:$F$230,2,FALSE),"")</f>
        <v/>
      </c>
      <c r="M1613" s="72" t="str">
        <f t="shared" si="206"/>
        <v/>
      </c>
      <c r="N1613" s="108" t="str">
        <f t="shared" si="205"/>
        <v/>
      </c>
      <c r="AX1613" s="58"/>
    </row>
    <row r="1614" spans="8:50" ht="21" customHeight="1">
      <c r="H1614" s="43" t="str">
        <f>IFERROR(VLOOKUP($J1614,'[9]FROM (3)'!$E$4:$F$230,2,FALSE),"")</f>
        <v/>
      </c>
      <c r="M1614" s="72" t="str">
        <f t="shared" si="206"/>
        <v/>
      </c>
      <c r="N1614" s="108" t="str">
        <f t="shared" si="205"/>
        <v/>
      </c>
      <c r="AX1614" s="58"/>
    </row>
    <row r="1615" spans="8:50" ht="21" customHeight="1">
      <c r="H1615" s="43" t="str">
        <f>IFERROR(VLOOKUP($J1615,'[9]FROM (3)'!$E$4:$F$230,2,FALSE),"")</f>
        <v/>
      </c>
      <c r="M1615" s="72" t="str">
        <f t="shared" si="206"/>
        <v/>
      </c>
      <c r="N1615" s="108" t="str">
        <f t="shared" si="205"/>
        <v/>
      </c>
      <c r="AX1615" s="58"/>
    </row>
    <row r="1616" spans="8:50" ht="21" customHeight="1">
      <c r="H1616" s="43" t="str">
        <f>IFERROR(VLOOKUP($J1616,'[9]FROM (3)'!$E$4:$F$230,2,FALSE),"")</f>
        <v/>
      </c>
      <c r="M1616" s="72" t="str">
        <f t="shared" si="206"/>
        <v/>
      </c>
      <c r="N1616" s="108" t="str">
        <f t="shared" si="205"/>
        <v/>
      </c>
      <c r="AX1616" s="58"/>
    </row>
    <row r="1617" spans="8:50" ht="21" customHeight="1">
      <c r="H1617" s="43" t="str">
        <f>IFERROR(VLOOKUP($J1617,'[9]FROM (3)'!$E$4:$F$230,2,FALSE),"")</f>
        <v/>
      </c>
      <c r="M1617" s="72" t="str">
        <f t="shared" si="206"/>
        <v/>
      </c>
      <c r="N1617" s="108" t="str">
        <f t="shared" si="205"/>
        <v/>
      </c>
      <c r="AX1617" s="58"/>
    </row>
    <row r="1618" spans="8:50" ht="21" customHeight="1">
      <c r="H1618" s="43" t="str">
        <f>IFERROR(VLOOKUP($J1618,'[9]FROM (3)'!$E$4:$F$230,2,FALSE),"")</f>
        <v/>
      </c>
      <c r="M1618" s="72" t="str">
        <f t="shared" si="206"/>
        <v/>
      </c>
      <c r="N1618" s="108" t="str">
        <f t="shared" si="205"/>
        <v/>
      </c>
      <c r="AX1618" s="58"/>
    </row>
    <row r="1619" spans="8:50" ht="21" customHeight="1">
      <c r="H1619" s="43" t="str">
        <f>IFERROR(VLOOKUP($J1619,'[9]FROM (3)'!$E$4:$F$230,2,FALSE),"")</f>
        <v/>
      </c>
      <c r="M1619" s="72" t="str">
        <f t="shared" si="206"/>
        <v/>
      </c>
      <c r="N1619" s="108" t="str">
        <f t="shared" si="205"/>
        <v/>
      </c>
      <c r="AX1619" s="58"/>
    </row>
    <row r="1620" spans="8:50" ht="21" customHeight="1">
      <c r="H1620" s="43" t="str">
        <f>IFERROR(VLOOKUP($J1620,'[9]FROM (3)'!$E$4:$F$230,2,FALSE),"")</f>
        <v/>
      </c>
      <c r="M1620" s="72" t="str">
        <f t="shared" si="206"/>
        <v/>
      </c>
      <c r="N1620" s="108" t="str">
        <f t="shared" si="205"/>
        <v/>
      </c>
      <c r="AX1620" s="58"/>
    </row>
    <row r="1621" spans="8:50" ht="21" customHeight="1">
      <c r="H1621" s="43" t="str">
        <f>IFERROR(VLOOKUP($J1621,'[9]FROM (3)'!$E$4:$F$230,2,FALSE),"")</f>
        <v/>
      </c>
      <c r="M1621" s="72" t="str">
        <f t="shared" si="206"/>
        <v/>
      </c>
      <c r="N1621" s="108" t="str">
        <f t="shared" si="205"/>
        <v/>
      </c>
      <c r="AX1621" s="58"/>
    </row>
    <row r="1622" spans="8:50" ht="21" customHeight="1">
      <c r="H1622" s="43" t="str">
        <f>IFERROR(VLOOKUP($J1622,'[9]FROM (3)'!$E$4:$F$230,2,FALSE),"")</f>
        <v/>
      </c>
      <c r="M1622" s="72" t="str">
        <f t="shared" si="206"/>
        <v/>
      </c>
      <c r="N1622" s="108" t="str">
        <f t="shared" si="205"/>
        <v/>
      </c>
      <c r="AX1622" s="58"/>
    </row>
    <row r="1623" spans="8:50" ht="21" customHeight="1">
      <c r="H1623" s="43" t="str">
        <f>IFERROR(VLOOKUP($J1623,'[9]FROM (3)'!$E$4:$F$230,2,FALSE),"")</f>
        <v/>
      </c>
      <c r="M1623" s="72" t="str">
        <f t="shared" si="206"/>
        <v/>
      </c>
      <c r="N1623" s="108" t="str">
        <f t="shared" si="205"/>
        <v/>
      </c>
      <c r="AX1623" s="58"/>
    </row>
    <row r="1624" spans="8:50" ht="21" customHeight="1">
      <c r="H1624" s="43" t="str">
        <f>IFERROR(VLOOKUP($J1624,'[9]FROM (3)'!$E$4:$F$230,2,FALSE),"")</f>
        <v/>
      </c>
      <c r="M1624" s="72" t="str">
        <f t="shared" si="206"/>
        <v/>
      </c>
      <c r="N1624" s="108" t="str">
        <f t="shared" si="205"/>
        <v/>
      </c>
      <c r="AX1624" s="58"/>
    </row>
    <row r="1625" spans="8:50" ht="21" customHeight="1">
      <c r="H1625" s="43" t="str">
        <f>IFERROR(VLOOKUP($J1625,'[9]FROM (3)'!$E$4:$F$230,2,FALSE),"")</f>
        <v/>
      </c>
      <c r="M1625" s="72" t="str">
        <f t="shared" si="206"/>
        <v/>
      </c>
      <c r="N1625" s="108" t="str">
        <f t="shared" si="205"/>
        <v/>
      </c>
      <c r="AX1625" s="58"/>
    </row>
    <row r="1626" spans="8:50" ht="21" customHeight="1">
      <c r="H1626" s="43" t="str">
        <f>IFERROR(VLOOKUP($J1626,'[9]FROM (3)'!$E$4:$F$230,2,FALSE),"")</f>
        <v/>
      </c>
      <c r="M1626" s="72" t="str">
        <f t="shared" si="206"/>
        <v/>
      </c>
      <c r="N1626" s="108" t="str">
        <f t="shared" si="205"/>
        <v/>
      </c>
      <c r="AX1626" s="58"/>
    </row>
    <row r="1627" spans="8:50" ht="21" customHeight="1">
      <c r="H1627" s="43" t="str">
        <f>IFERROR(VLOOKUP($J1627,'[9]FROM (3)'!$E$4:$F$230,2,FALSE),"")</f>
        <v/>
      </c>
      <c r="M1627" s="72" t="str">
        <f t="shared" si="206"/>
        <v/>
      </c>
      <c r="N1627" s="108" t="str">
        <f t="shared" si="205"/>
        <v/>
      </c>
      <c r="AX1627" s="58"/>
    </row>
    <row r="1628" spans="8:50" ht="21" customHeight="1">
      <c r="H1628" s="43" t="str">
        <f>IFERROR(VLOOKUP($J1628,'[9]FROM (3)'!$E$4:$F$230,2,FALSE),"")</f>
        <v/>
      </c>
      <c r="M1628" s="72" t="str">
        <f t="shared" si="206"/>
        <v/>
      </c>
      <c r="N1628" s="108" t="str">
        <f t="shared" si="205"/>
        <v/>
      </c>
      <c r="AX1628" s="58"/>
    </row>
    <row r="1629" spans="8:50" ht="21" customHeight="1">
      <c r="H1629" s="43" t="str">
        <f>IFERROR(VLOOKUP($J1629,'[9]FROM (3)'!$E$4:$F$230,2,FALSE),"")</f>
        <v/>
      </c>
      <c r="M1629" s="72" t="str">
        <f t="shared" si="206"/>
        <v/>
      </c>
      <c r="N1629" s="108" t="str">
        <f t="shared" si="205"/>
        <v/>
      </c>
      <c r="AX1629" s="58"/>
    </row>
    <row r="1630" spans="8:50" ht="21" customHeight="1">
      <c r="H1630" s="43" t="str">
        <f>IFERROR(VLOOKUP($J1630,'[9]FROM (3)'!$E$4:$F$230,2,FALSE),"")</f>
        <v/>
      </c>
      <c r="M1630" s="72" t="str">
        <f t="shared" si="206"/>
        <v/>
      </c>
      <c r="N1630" s="108" t="str">
        <f t="shared" si="205"/>
        <v/>
      </c>
      <c r="AX1630" s="58"/>
    </row>
    <row r="1631" spans="8:50" ht="21" customHeight="1">
      <c r="H1631" s="43" t="str">
        <f>IFERROR(VLOOKUP($J1631,'[9]FROM (3)'!$E$4:$F$230,2,FALSE),"")</f>
        <v/>
      </c>
      <c r="M1631" s="72" t="str">
        <f t="shared" si="206"/>
        <v/>
      </c>
      <c r="N1631" s="108" t="str">
        <f t="shared" si="205"/>
        <v/>
      </c>
      <c r="AX1631" s="58"/>
    </row>
    <row r="1632" spans="8:50" ht="21" customHeight="1">
      <c r="H1632" s="43" t="str">
        <f>IFERROR(VLOOKUP($J1632,'[9]FROM (3)'!$E$4:$F$230,2,FALSE),"")</f>
        <v/>
      </c>
      <c r="M1632" s="72" t="str">
        <f t="shared" si="206"/>
        <v/>
      </c>
      <c r="N1632" s="108" t="str">
        <f t="shared" si="205"/>
        <v/>
      </c>
      <c r="AX1632" s="58"/>
    </row>
    <row r="1633" spans="8:50" ht="21" customHeight="1">
      <c r="H1633" s="43" t="str">
        <f>IFERROR(VLOOKUP($J1633,'[9]FROM (3)'!$E$4:$F$230,2,FALSE),"")</f>
        <v/>
      </c>
      <c r="M1633" s="72" t="str">
        <f t="shared" si="206"/>
        <v/>
      </c>
      <c r="N1633" s="108" t="str">
        <f t="shared" si="205"/>
        <v/>
      </c>
      <c r="AX1633" s="58"/>
    </row>
    <row r="1634" spans="8:50" ht="21" customHeight="1">
      <c r="H1634" s="43" t="str">
        <f>IFERROR(VLOOKUP($J1634,'[9]FROM (3)'!$E$4:$F$230,2,FALSE),"")</f>
        <v/>
      </c>
      <c r="M1634" s="72" t="str">
        <f t="shared" si="206"/>
        <v/>
      </c>
      <c r="N1634" s="108" t="str">
        <f t="shared" si="205"/>
        <v/>
      </c>
      <c r="AX1634" s="58"/>
    </row>
    <row r="1635" spans="8:50" ht="21" customHeight="1">
      <c r="H1635" s="43" t="str">
        <f>IFERROR(VLOOKUP($J1635,'[9]FROM (3)'!$E$4:$F$230,2,FALSE),"")</f>
        <v/>
      </c>
      <c r="M1635" s="72" t="str">
        <f t="shared" si="206"/>
        <v/>
      </c>
      <c r="N1635" s="108" t="str">
        <f t="shared" si="205"/>
        <v/>
      </c>
      <c r="AX1635" s="58"/>
    </row>
    <row r="1636" spans="8:50" ht="21" customHeight="1">
      <c r="H1636" s="43" t="str">
        <f>IFERROR(VLOOKUP($J1636,'[9]FROM (3)'!$E$4:$F$230,2,FALSE),"")</f>
        <v/>
      </c>
      <c r="M1636" s="72" t="str">
        <f t="shared" si="206"/>
        <v/>
      </c>
      <c r="N1636" s="108" t="str">
        <f t="shared" si="205"/>
        <v/>
      </c>
      <c r="AX1636" s="58"/>
    </row>
    <row r="1637" spans="8:50" ht="21" customHeight="1">
      <c r="H1637" s="43" t="str">
        <f>IFERROR(VLOOKUP($J1637,'[9]FROM (3)'!$E$4:$F$230,2,FALSE),"")</f>
        <v/>
      </c>
      <c r="M1637" s="72" t="str">
        <f t="shared" si="206"/>
        <v/>
      </c>
      <c r="N1637" s="108" t="str">
        <f t="shared" si="205"/>
        <v/>
      </c>
      <c r="AX1637" s="58"/>
    </row>
    <row r="1638" spans="8:50" ht="21" customHeight="1">
      <c r="H1638" s="43" t="str">
        <f>IFERROR(VLOOKUP($J1638,'[9]FROM (3)'!$E$4:$F$230,2,FALSE),"")</f>
        <v/>
      </c>
      <c r="M1638" s="72" t="str">
        <f t="shared" si="206"/>
        <v/>
      </c>
      <c r="N1638" s="108" t="str">
        <f t="shared" si="205"/>
        <v/>
      </c>
      <c r="AX1638" s="58"/>
    </row>
    <row r="1639" spans="8:50" ht="21" customHeight="1">
      <c r="H1639" s="43" t="str">
        <f>IFERROR(VLOOKUP($J1639,'[9]FROM (3)'!$E$4:$F$230,2,FALSE),"")</f>
        <v/>
      </c>
      <c r="M1639" s="72" t="str">
        <f t="shared" si="206"/>
        <v/>
      </c>
      <c r="N1639" s="108" t="str">
        <f t="shared" si="205"/>
        <v/>
      </c>
      <c r="AX1639" s="58"/>
    </row>
    <row r="1640" spans="8:50" ht="21" customHeight="1">
      <c r="H1640" s="43" t="str">
        <f>IFERROR(VLOOKUP($J1640,'[9]FROM (3)'!$E$4:$F$230,2,FALSE),"")</f>
        <v/>
      </c>
      <c r="M1640" s="72" t="str">
        <f t="shared" si="206"/>
        <v/>
      </c>
      <c r="N1640" s="108" t="str">
        <f t="shared" si="205"/>
        <v/>
      </c>
      <c r="AX1640" s="58"/>
    </row>
    <row r="1641" spans="8:50" ht="21" customHeight="1">
      <c r="H1641" s="43" t="str">
        <f>IFERROR(VLOOKUP($J1641,'[9]FROM (3)'!$E$4:$F$230,2,FALSE),"")</f>
        <v/>
      </c>
      <c r="M1641" s="72" t="str">
        <f t="shared" si="206"/>
        <v/>
      </c>
      <c r="N1641" s="108" t="str">
        <f t="shared" si="205"/>
        <v/>
      </c>
      <c r="AX1641" s="58"/>
    </row>
    <row r="1642" spans="8:50" ht="21" customHeight="1">
      <c r="H1642" s="43" t="str">
        <f>IFERROR(VLOOKUP($J1642,'[9]FROM (3)'!$E$4:$F$230,2,FALSE),"")</f>
        <v/>
      </c>
      <c r="M1642" s="72" t="str">
        <f t="shared" si="206"/>
        <v/>
      </c>
      <c r="N1642" s="108" t="str">
        <f t="shared" si="205"/>
        <v/>
      </c>
      <c r="AX1642" s="58"/>
    </row>
    <row r="1643" spans="8:50" ht="21" customHeight="1">
      <c r="H1643" s="43" t="str">
        <f>IFERROR(VLOOKUP($J1643,'[9]FROM (3)'!$E$4:$F$230,2,FALSE),"")</f>
        <v/>
      </c>
      <c r="M1643" s="72" t="str">
        <f t="shared" si="206"/>
        <v/>
      </c>
      <c r="N1643" s="108" t="str">
        <f t="shared" ref="N1643:N1764" si="207">IFERROR(IF(LEN($A1643)-LEN(SUBSTITUTE($A1643,"|",""))=12,MID($A1643,FIND("~",SUBSTITUTE($A1643,"|","~",11))+1,FIND("~",SUBSTITUTE($A1643,"|","~",12))-FIND("~",SUBSTITUTE($A1643,"|","~",11))-1),IF(LEN($A1643)-LEN(SUBSTITUTE($A1643,"|",""))=13,MID($A1643,FIND("~",SUBSTITUTE($A1643,"|","~",10))+1,FIND("~",SUBSTITUTE($A1643,"|","~",11))-FIND("~",SUBSTITUTE($A1643,"|","~",10))-1), "")),"")</f>
        <v/>
      </c>
      <c r="AX1643" s="58"/>
    </row>
    <row r="1644" spans="8:50" ht="21" customHeight="1">
      <c r="H1644" s="43" t="str">
        <f>IFERROR(VLOOKUP($J1644,'[9]FROM (3)'!$E$4:$F$230,2,FALSE),"")</f>
        <v/>
      </c>
      <c r="M1644" s="72" t="str">
        <f t="shared" si="206"/>
        <v/>
      </c>
      <c r="N1644" s="108" t="str">
        <f t="shared" si="207"/>
        <v/>
      </c>
      <c r="AX1644" s="58"/>
    </row>
    <row r="1645" spans="8:50" ht="21" customHeight="1">
      <c r="H1645" s="43" t="str">
        <f>IFERROR(VLOOKUP($J1645,'[9]FROM (3)'!$E$4:$F$230,2,FALSE),"")</f>
        <v/>
      </c>
      <c r="M1645" s="72" t="str">
        <f t="shared" si="206"/>
        <v/>
      </c>
      <c r="N1645" s="108" t="str">
        <f t="shared" si="207"/>
        <v/>
      </c>
      <c r="AX1645" s="58"/>
    </row>
    <row r="1646" spans="8:50" ht="21" customHeight="1">
      <c r="H1646" s="43" t="str">
        <f>IFERROR(VLOOKUP($J1646,'[9]FROM (3)'!$E$4:$F$230,2,FALSE),"")</f>
        <v/>
      </c>
      <c r="M1646" s="72" t="str">
        <f t="shared" si="206"/>
        <v/>
      </c>
      <c r="N1646" s="108" t="str">
        <f t="shared" si="207"/>
        <v/>
      </c>
      <c r="AX1646" s="58"/>
    </row>
    <row r="1647" spans="8:50" ht="21" customHeight="1">
      <c r="H1647" s="43" t="str">
        <f>IFERROR(VLOOKUP($J1647,'[9]FROM (3)'!$E$4:$F$230,2,FALSE),"")</f>
        <v/>
      </c>
      <c r="M1647" s="72" t="str">
        <f t="shared" si="206"/>
        <v/>
      </c>
      <c r="N1647" s="108" t="str">
        <f t="shared" si="207"/>
        <v/>
      </c>
      <c r="AX1647" s="58"/>
    </row>
    <row r="1648" spans="8:50" ht="21" customHeight="1">
      <c r="H1648" s="43" t="str">
        <f>IFERROR(VLOOKUP($J1648,'[9]FROM (3)'!$E$4:$F$230,2,FALSE),"")</f>
        <v/>
      </c>
      <c r="M1648" s="72" t="str">
        <f t="shared" si="206"/>
        <v/>
      </c>
      <c r="N1648" s="108" t="str">
        <f t="shared" si="207"/>
        <v/>
      </c>
      <c r="AX1648" s="58"/>
    </row>
    <row r="1649" spans="8:50" ht="21" customHeight="1">
      <c r="H1649" s="43" t="str">
        <f>IFERROR(VLOOKUP($J1649,'[9]FROM (3)'!$E$4:$F$230,2,FALSE),"")</f>
        <v/>
      </c>
      <c r="M1649" s="72" t="str">
        <f t="shared" si="206"/>
        <v/>
      </c>
      <c r="N1649" s="108" t="str">
        <f t="shared" si="207"/>
        <v/>
      </c>
      <c r="AX1649" s="58"/>
    </row>
    <row r="1650" spans="8:50" ht="21" customHeight="1">
      <c r="H1650" s="43" t="str">
        <f>IFERROR(VLOOKUP($J1650,'[9]FROM (3)'!$E$4:$F$230,2,FALSE),"")</f>
        <v/>
      </c>
      <c r="M1650" s="72" t="str">
        <f t="shared" si="206"/>
        <v/>
      </c>
      <c r="N1650" s="108" t="str">
        <f t="shared" si="207"/>
        <v/>
      </c>
      <c r="AX1650" s="58"/>
    </row>
    <row r="1651" spans="8:50" ht="21" customHeight="1">
      <c r="H1651" s="43" t="str">
        <f>IFERROR(VLOOKUP($J1651,'[9]FROM (3)'!$E$4:$F$230,2,FALSE),"")</f>
        <v/>
      </c>
      <c r="M1651" s="72" t="str">
        <f t="shared" si="206"/>
        <v/>
      </c>
      <c r="N1651" s="108" t="str">
        <f t="shared" si="207"/>
        <v/>
      </c>
      <c r="AX1651" s="58"/>
    </row>
    <row r="1652" spans="8:50" ht="21" customHeight="1">
      <c r="H1652" s="43" t="str">
        <f>IFERROR(VLOOKUP($J1652,'[9]FROM (3)'!$E$4:$F$230,2,FALSE),"")</f>
        <v/>
      </c>
      <c r="M1652" s="72" t="str">
        <f t="shared" si="206"/>
        <v/>
      </c>
      <c r="N1652" s="108" t="str">
        <f t="shared" si="207"/>
        <v/>
      </c>
      <c r="AX1652" s="58"/>
    </row>
    <row r="1653" spans="8:50" ht="21" customHeight="1">
      <c r="H1653" s="43" t="str">
        <f>IFERROR(VLOOKUP($J1653,'[9]FROM (3)'!$E$4:$F$230,2,FALSE),"")</f>
        <v/>
      </c>
      <c r="M1653" s="72" t="str">
        <f t="shared" si="206"/>
        <v/>
      </c>
      <c r="N1653" s="108" t="str">
        <f t="shared" si="207"/>
        <v/>
      </c>
      <c r="AX1653" s="58"/>
    </row>
    <row r="1654" spans="8:50" ht="21" customHeight="1">
      <c r="H1654" s="43" t="str">
        <f>IFERROR(VLOOKUP($J1654,'[9]FROM (3)'!$E$4:$F$230,2,FALSE),"")</f>
        <v/>
      </c>
      <c r="M1654" s="72" t="str">
        <f t="shared" si="206"/>
        <v/>
      </c>
      <c r="N1654" s="108" t="str">
        <f t="shared" si="207"/>
        <v/>
      </c>
      <c r="AX1654" s="58"/>
    </row>
    <row r="1655" spans="8:50" ht="21" customHeight="1">
      <c r="H1655" s="43" t="str">
        <f>IFERROR(VLOOKUP($J1655,'[9]FROM (3)'!$E$4:$F$230,2,FALSE),"")</f>
        <v/>
      </c>
      <c r="M1655" s="72" t="str">
        <f t="shared" si="206"/>
        <v/>
      </c>
      <c r="N1655" s="108" t="str">
        <f t="shared" si="207"/>
        <v/>
      </c>
      <c r="AX1655" s="58"/>
    </row>
    <row r="1656" spans="8:50" ht="21" customHeight="1">
      <c r="H1656" s="43" t="str">
        <f>IFERROR(VLOOKUP($J1656,'[9]FROM (3)'!$E$4:$F$230,2,FALSE),"")</f>
        <v/>
      </c>
      <c r="M1656" s="72" t="str">
        <f t="shared" si="206"/>
        <v/>
      </c>
      <c r="N1656" s="108" t="str">
        <f t="shared" si="207"/>
        <v/>
      </c>
      <c r="AX1656" s="58"/>
    </row>
    <row r="1657" spans="8:50" ht="21" customHeight="1">
      <c r="H1657" s="43" t="str">
        <f>IFERROR(VLOOKUP($J1657,'[9]FROM (3)'!$E$4:$F$230,2,FALSE),"")</f>
        <v/>
      </c>
      <c r="M1657" s="72" t="str">
        <f t="shared" si="206"/>
        <v/>
      </c>
      <c r="N1657" s="108" t="str">
        <f t="shared" si="207"/>
        <v/>
      </c>
      <c r="AX1657" s="58"/>
    </row>
    <row r="1658" spans="8:50" ht="21" customHeight="1">
      <c r="H1658" s="43" t="str">
        <f>IFERROR(VLOOKUP($J1658,'[9]FROM (3)'!$E$4:$F$230,2,FALSE),"")</f>
        <v/>
      </c>
      <c r="M1658" s="72" t="str">
        <f t="shared" si="206"/>
        <v/>
      </c>
      <c r="N1658" s="108" t="str">
        <f t="shared" si="207"/>
        <v/>
      </c>
      <c r="AX1658" s="58"/>
    </row>
    <row r="1659" spans="8:50" ht="21" customHeight="1">
      <c r="H1659" s="43" t="str">
        <f>IFERROR(VLOOKUP($J1659,'[9]FROM (3)'!$E$4:$F$230,2,FALSE),"")</f>
        <v/>
      </c>
      <c r="M1659" s="72" t="str">
        <f t="shared" si="206"/>
        <v/>
      </c>
      <c r="N1659" s="108" t="str">
        <f t="shared" si="207"/>
        <v/>
      </c>
      <c r="AX1659" s="58"/>
    </row>
    <row r="1660" spans="8:50" ht="21" customHeight="1">
      <c r="H1660" s="43" t="str">
        <f>IFERROR(VLOOKUP($J1660,'[9]FROM (3)'!$E$4:$F$230,2,FALSE),"")</f>
        <v/>
      </c>
      <c r="M1660" s="72" t="str">
        <f t="shared" si="206"/>
        <v/>
      </c>
      <c r="N1660" s="108" t="str">
        <f t="shared" si="207"/>
        <v/>
      </c>
      <c r="AX1660" s="58"/>
    </row>
    <row r="1661" spans="8:50" ht="21" customHeight="1">
      <c r="H1661" s="43" t="str">
        <f>IFERROR(VLOOKUP($J1661,'[9]FROM (3)'!$E$4:$F$230,2,FALSE),"")</f>
        <v/>
      </c>
      <c r="M1661" s="72" t="str">
        <f t="shared" si="206"/>
        <v/>
      </c>
      <c r="N1661" s="108" t="str">
        <f t="shared" si="207"/>
        <v/>
      </c>
      <c r="AX1661" s="58"/>
    </row>
    <row r="1662" spans="8:50" ht="21" customHeight="1">
      <c r="H1662" s="43" t="str">
        <f>IFERROR(VLOOKUP($J1662,'[9]FROM (3)'!$E$4:$F$230,2,FALSE),"")</f>
        <v/>
      </c>
      <c r="M1662" s="72" t="str">
        <f t="shared" si="206"/>
        <v/>
      </c>
      <c r="N1662" s="108" t="str">
        <f t="shared" si="207"/>
        <v/>
      </c>
      <c r="AX1662" s="58"/>
    </row>
    <row r="1663" spans="8:50" ht="21" customHeight="1">
      <c r="H1663" s="43" t="str">
        <f>IFERROR(VLOOKUP($J1663,'[9]FROM (3)'!$E$4:$F$230,2,FALSE),"")</f>
        <v/>
      </c>
      <c r="M1663" s="72" t="str">
        <f t="shared" si="206"/>
        <v/>
      </c>
      <c r="N1663" s="108" t="str">
        <f t="shared" si="207"/>
        <v/>
      </c>
      <c r="AX1663" s="58"/>
    </row>
    <row r="1664" spans="8:50" ht="21" customHeight="1">
      <c r="H1664" s="43" t="str">
        <f>IFERROR(VLOOKUP($J1664,'[9]FROM (3)'!$E$4:$F$230,2,FALSE),"")</f>
        <v/>
      </c>
      <c r="M1664" s="72" t="str">
        <f t="shared" si="206"/>
        <v/>
      </c>
      <c r="N1664" s="108" t="str">
        <f t="shared" si="207"/>
        <v/>
      </c>
      <c r="AX1664" s="58"/>
    </row>
    <row r="1665" spans="8:50" ht="21" customHeight="1">
      <c r="H1665" s="43" t="str">
        <f>IFERROR(VLOOKUP($J1665,'[9]FROM (3)'!$E$4:$F$230,2,FALSE),"")</f>
        <v/>
      </c>
      <c r="M1665" s="72" t="str">
        <f t="shared" si="206"/>
        <v/>
      </c>
      <c r="N1665" s="108" t="str">
        <f t="shared" si="207"/>
        <v/>
      </c>
      <c r="AX1665" s="58"/>
    </row>
    <row r="1666" spans="8:50" ht="21" customHeight="1">
      <c r="H1666" s="43" t="str">
        <f>IFERROR(VLOOKUP($J1666,'[9]FROM (3)'!$E$4:$F$230,2,FALSE),"")</f>
        <v/>
      </c>
      <c r="M1666" s="72" t="str">
        <f t="shared" si="206"/>
        <v/>
      </c>
      <c r="N1666" s="108" t="str">
        <f t="shared" si="207"/>
        <v/>
      </c>
      <c r="AX1666" s="58"/>
    </row>
    <row r="1667" spans="8:50" ht="21" customHeight="1">
      <c r="H1667" s="43" t="str">
        <f>IFERROR(VLOOKUP($J1667,'[9]FROM (3)'!$E$4:$F$230,2,FALSE),"")</f>
        <v/>
      </c>
      <c r="M1667" s="72" t="str">
        <f t="shared" si="206"/>
        <v/>
      </c>
      <c r="N1667" s="108" t="str">
        <f t="shared" si="207"/>
        <v/>
      </c>
      <c r="AX1667" s="58"/>
    </row>
    <row r="1668" spans="8:50" ht="21" customHeight="1">
      <c r="H1668" s="43" t="str">
        <f>IFERROR(VLOOKUP($J1668,'[9]FROM (3)'!$E$4:$F$230,2,FALSE),"")</f>
        <v/>
      </c>
      <c r="M1668" s="72" t="str">
        <f t="shared" ref="M1668:M1731" si="208">IFERROR(MID(A1668,FIND("~",SUBSTITUTE(A1668,"|","~",10))+1,FIND("~",SUBSTITUTE(A1668,"|","~",11))-FIND("~",SUBSTITUTE(A1668,"|","~",10))-1),"")</f>
        <v/>
      </c>
      <c r="N1668" s="108" t="str">
        <f t="shared" si="207"/>
        <v/>
      </c>
      <c r="AX1668" s="58"/>
    </row>
    <row r="1669" spans="8:50" ht="21" customHeight="1">
      <c r="H1669" s="43" t="str">
        <f>IFERROR(VLOOKUP($J1669,'[9]FROM (3)'!$E$4:$F$230,2,FALSE),"")</f>
        <v/>
      </c>
      <c r="M1669" s="72" t="str">
        <f t="shared" si="208"/>
        <v/>
      </c>
      <c r="N1669" s="108" t="str">
        <f t="shared" si="207"/>
        <v/>
      </c>
      <c r="AX1669" s="58"/>
    </row>
    <row r="1670" spans="8:50" ht="21" customHeight="1">
      <c r="H1670" s="43" t="str">
        <f>IFERROR(VLOOKUP($J1670,'[9]FROM (3)'!$E$4:$F$230,2,FALSE),"")</f>
        <v/>
      </c>
      <c r="M1670" s="72" t="str">
        <f t="shared" si="208"/>
        <v/>
      </c>
      <c r="N1670" s="108" t="str">
        <f t="shared" si="207"/>
        <v/>
      </c>
      <c r="AX1670" s="58"/>
    </row>
    <row r="1671" spans="8:50" ht="21" customHeight="1">
      <c r="H1671" s="43" t="str">
        <f>IFERROR(VLOOKUP($J1671,'[9]FROM (3)'!$E$4:$F$230,2,FALSE),"")</f>
        <v/>
      </c>
      <c r="M1671" s="72" t="str">
        <f t="shared" si="208"/>
        <v/>
      </c>
      <c r="N1671" s="108" t="str">
        <f t="shared" si="207"/>
        <v/>
      </c>
      <c r="AX1671" s="58"/>
    </row>
    <row r="1672" spans="8:50" ht="21" customHeight="1">
      <c r="H1672" s="43" t="str">
        <f>IFERROR(VLOOKUP($J1672,'[9]FROM (3)'!$E$4:$F$230,2,FALSE),"")</f>
        <v/>
      </c>
      <c r="M1672" s="72" t="str">
        <f t="shared" si="208"/>
        <v/>
      </c>
      <c r="N1672" s="108" t="str">
        <f t="shared" si="207"/>
        <v/>
      </c>
      <c r="AX1672" s="58"/>
    </row>
    <row r="1673" spans="8:50" ht="21" customHeight="1">
      <c r="H1673" s="43" t="str">
        <f>IFERROR(VLOOKUP($J1673,'[9]FROM (3)'!$E$4:$F$230,2,FALSE),"")</f>
        <v/>
      </c>
      <c r="M1673" s="72" t="str">
        <f t="shared" si="208"/>
        <v/>
      </c>
      <c r="N1673" s="108" t="str">
        <f t="shared" si="207"/>
        <v/>
      </c>
      <c r="AX1673" s="58"/>
    </row>
    <row r="1674" spans="8:50" ht="21" customHeight="1">
      <c r="H1674" s="43" t="str">
        <f>IFERROR(VLOOKUP($J1674,'[9]FROM (3)'!$E$4:$F$230,2,FALSE),"")</f>
        <v/>
      </c>
      <c r="M1674" s="72" t="str">
        <f t="shared" si="208"/>
        <v/>
      </c>
      <c r="N1674" s="108" t="str">
        <f t="shared" si="207"/>
        <v/>
      </c>
      <c r="AX1674" s="58"/>
    </row>
    <row r="1675" spans="8:50" ht="21" customHeight="1">
      <c r="H1675" s="43" t="str">
        <f>IFERROR(VLOOKUP($J1675,'[9]FROM (3)'!$E$4:$F$230,2,FALSE),"")</f>
        <v/>
      </c>
      <c r="M1675" s="72" t="str">
        <f t="shared" si="208"/>
        <v/>
      </c>
      <c r="N1675" s="108" t="str">
        <f t="shared" si="207"/>
        <v/>
      </c>
      <c r="AX1675" s="58"/>
    </row>
    <row r="1676" spans="8:50" ht="21" customHeight="1">
      <c r="H1676" s="43" t="str">
        <f>IFERROR(VLOOKUP($J1676,'[9]FROM (3)'!$E$4:$F$230,2,FALSE),"")</f>
        <v/>
      </c>
      <c r="M1676" s="72" t="str">
        <f t="shared" si="208"/>
        <v/>
      </c>
      <c r="N1676" s="108" t="str">
        <f t="shared" si="207"/>
        <v/>
      </c>
      <c r="AX1676" s="58"/>
    </row>
    <row r="1677" spans="8:50" ht="21" customHeight="1">
      <c r="H1677" s="43" t="str">
        <f>IFERROR(VLOOKUP($J1677,'[9]FROM (3)'!$E$4:$F$230,2,FALSE),"")</f>
        <v/>
      </c>
      <c r="M1677" s="72" t="str">
        <f t="shared" si="208"/>
        <v/>
      </c>
      <c r="N1677" s="108" t="str">
        <f t="shared" si="207"/>
        <v/>
      </c>
      <c r="AX1677" s="58"/>
    </row>
    <row r="1678" spans="8:50" ht="21" customHeight="1">
      <c r="H1678" s="43" t="str">
        <f>IFERROR(VLOOKUP($J1678,'[9]FROM (3)'!$E$4:$F$230,2,FALSE),"")</f>
        <v/>
      </c>
      <c r="M1678" s="72" t="str">
        <f t="shared" si="208"/>
        <v/>
      </c>
      <c r="N1678" s="108" t="str">
        <f t="shared" si="207"/>
        <v/>
      </c>
      <c r="AX1678" s="58"/>
    </row>
    <row r="1679" spans="8:50" ht="21" customHeight="1">
      <c r="H1679" s="43" t="str">
        <f>IFERROR(VLOOKUP($J1679,'[9]FROM (3)'!$E$4:$F$230,2,FALSE),"")</f>
        <v/>
      </c>
      <c r="M1679" s="72" t="str">
        <f t="shared" si="208"/>
        <v/>
      </c>
      <c r="N1679" s="108" t="str">
        <f t="shared" si="207"/>
        <v/>
      </c>
      <c r="AX1679" s="58"/>
    </row>
    <row r="1680" spans="8:50" ht="21" customHeight="1">
      <c r="H1680" s="43" t="str">
        <f>IFERROR(VLOOKUP($J1680,'[9]FROM (3)'!$E$4:$F$230,2,FALSE),"")</f>
        <v/>
      </c>
      <c r="M1680" s="72" t="str">
        <f t="shared" si="208"/>
        <v/>
      </c>
      <c r="N1680" s="108" t="str">
        <f t="shared" si="207"/>
        <v/>
      </c>
      <c r="AX1680" s="58"/>
    </row>
    <row r="1681" spans="8:50" ht="21" customHeight="1">
      <c r="H1681" s="43" t="str">
        <f>IFERROR(VLOOKUP($J1681,'[9]FROM (3)'!$E$4:$F$230,2,FALSE),"")</f>
        <v/>
      </c>
      <c r="M1681" s="72" t="str">
        <f t="shared" si="208"/>
        <v/>
      </c>
      <c r="N1681" s="108" t="str">
        <f t="shared" si="207"/>
        <v/>
      </c>
      <c r="AX1681" s="58"/>
    </row>
    <row r="1682" spans="8:50" ht="21" customHeight="1">
      <c r="H1682" s="43" t="str">
        <f>IFERROR(VLOOKUP($J1682,'[9]FROM (3)'!$E$4:$F$230,2,FALSE),"")</f>
        <v/>
      </c>
      <c r="M1682" s="72" t="str">
        <f t="shared" si="208"/>
        <v/>
      </c>
      <c r="N1682" s="108" t="str">
        <f t="shared" si="207"/>
        <v/>
      </c>
      <c r="AX1682" s="58"/>
    </row>
    <row r="1683" spans="8:50" ht="21" customHeight="1">
      <c r="H1683" s="43" t="str">
        <f>IFERROR(VLOOKUP($J1683,'[9]FROM (3)'!$E$4:$F$230,2,FALSE),"")</f>
        <v/>
      </c>
      <c r="M1683" s="72" t="str">
        <f t="shared" si="208"/>
        <v/>
      </c>
      <c r="N1683" s="108" t="str">
        <f t="shared" si="207"/>
        <v/>
      </c>
      <c r="AX1683" s="58"/>
    </row>
    <row r="1684" spans="8:50" ht="21" customHeight="1">
      <c r="H1684" s="43" t="str">
        <f>IFERROR(VLOOKUP($J1684,'[9]FROM (3)'!$E$4:$F$230,2,FALSE),"")</f>
        <v/>
      </c>
      <c r="M1684" s="72" t="str">
        <f t="shared" si="208"/>
        <v/>
      </c>
      <c r="N1684" s="108" t="str">
        <f t="shared" si="207"/>
        <v/>
      </c>
      <c r="AX1684" s="58"/>
    </row>
    <row r="1685" spans="8:50" ht="21" customHeight="1">
      <c r="H1685" s="43" t="str">
        <f>IFERROR(VLOOKUP($J1685,'[9]FROM (3)'!$E$4:$F$230,2,FALSE),"")</f>
        <v/>
      </c>
      <c r="M1685" s="72" t="str">
        <f t="shared" si="208"/>
        <v/>
      </c>
      <c r="N1685" s="108" t="str">
        <f t="shared" si="207"/>
        <v/>
      </c>
      <c r="AX1685" s="58"/>
    </row>
    <row r="1686" spans="8:50" ht="21" customHeight="1">
      <c r="H1686" s="43" t="str">
        <f>IFERROR(VLOOKUP($J1686,'[9]FROM (3)'!$E$4:$F$230,2,FALSE),"")</f>
        <v/>
      </c>
      <c r="M1686" s="72" t="str">
        <f t="shared" si="208"/>
        <v/>
      </c>
      <c r="N1686" s="108" t="str">
        <f t="shared" si="207"/>
        <v/>
      </c>
      <c r="AX1686" s="58"/>
    </row>
    <row r="1687" spans="8:50" ht="21" customHeight="1">
      <c r="H1687" s="43" t="str">
        <f>IFERROR(VLOOKUP($J1687,'[9]FROM (3)'!$E$4:$F$230,2,FALSE),"")</f>
        <v/>
      </c>
      <c r="M1687" s="72" t="str">
        <f t="shared" si="208"/>
        <v/>
      </c>
      <c r="N1687" s="108" t="str">
        <f t="shared" si="207"/>
        <v/>
      </c>
      <c r="AX1687" s="58"/>
    </row>
    <row r="1688" spans="8:50" ht="21" customHeight="1">
      <c r="H1688" s="43" t="str">
        <f>IFERROR(VLOOKUP($J1688,'[9]FROM (3)'!$E$4:$F$230,2,FALSE),"")</f>
        <v/>
      </c>
      <c r="M1688" s="72" t="str">
        <f t="shared" si="208"/>
        <v/>
      </c>
      <c r="N1688" s="108" t="str">
        <f t="shared" si="207"/>
        <v/>
      </c>
      <c r="AX1688" s="58"/>
    </row>
    <row r="1689" spans="8:50" ht="21" customHeight="1">
      <c r="H1689" s="43" t="str">
        <f>IFERROR(VLOOKUP($J1689,'[9]FROM (3)'!$E$4:$F$230,2,FALSE),"")</f>
        <v/>
      </c>
      <c r="M1689" s="72" t="str">
        <f t="shared" si="208"/>
        <v/>
      </c>
      <c r="N1689" s="108" t="str">
        <f t="shared" si="207"/>
        <v/>
      </c>
      <c r="AX1689" s="58"/>
    </row>
    <row r="1690" spans="8:50" ht="21" customHeight="1">
      <c r="H1690" s="43" t="str">
        <f>IFERROR(VLOOKUP($J1690,'[9]FROM (3)'!$E$4:$F$230,2,FALSE),"")</f>
        <v/>
      </c>
      <c r="M1690" s="72" t="str">
        <f t="shared" si="208"/>
        <v/>
      </c>
      <c r="N1690" s="108" t="str">
        <f t="shared" si="207"/>
        <v/>
      </c>
      <c r="AX1690" s="58"/>
    </row>
    <row r="1691" spans="8:50" ht="21" customHeight="1">
      <c r="H1691" s="43" t="str">
        <f>IFERROR(VLOOKUP($J1691,'[9]FROM (3)'!$E$4:$F$230,2,FALSE),"")</f>
        <v/>
      </c>
      <c r="M1691" s="72" t="str">
        <f t="shared" si="208"/>
        <v/>
      </c>
      <c r="N1691" s="108" t="str">
        <f t="shared" si="207"/>
        <v/>
      </c>
      <c r="AX1691" s="58"/>
    </row>
    <row r="1692" spans="8:50" ht="21" customHeight="1">
      <c r="H1692" s="43" t="str">
        <f>IFERROR(VLOOKUP($J1692,'[9]FROM (3)'!$E$4:$F$230,2,FALSE),"")</f>
        <v/>
      </c>
      <c r="M1692" s="72" t="str">
        <f t="shared" si="208"/>
        <v/>
      </c>
      <c r="N1692" s="108" t="str">
        <f t="shared" si="207"/>
        <v/>
      </c>
      <c r="AX1692" s="58"/>
    </row>
    <row r="1693" spans="8:50" ht="21" customHeight="1">
      <c r="H1693" s="43" t="str">
        <f>IFERROR(VLOOKUP($J1693,'[9]FROM (3)'!$E$4:$F$230,2,FALSE),"")</f>
        <v/>
      </c>
      <c r="M1693" s="72" t="str">
        <f t="shared" si="208"/>
        <v/>
      </c>
      <c r="N1693" s="108" t="str">
        <f t="shared" si="207"/>
        <v/>
      </c>
      <c r="AX1693" s="58"/>
    </row>
    <row r="1694" spans="8:50" ht="21" customHeight="1">
      <c r="H1694" s="43" t="str">
        <f>IFERROR(VLOOKUP($J1694,'[9]FROM (3)'!$E$4:$F$230,2,FALSE),"")</f>
        <v/>
      </c>
      <c r="M1694" s="72" t="str">
        <f t="shared" si="208"/>
        <v/>
      </c>
      <c r="N1694" s="108" t="str">
        <f t="shared" si="207"/>
        <v/>
      </c>
      <c r="AX1694" s="58"/>
    </row>
    <row r="1695" spans="8:50" ht="21" customHeight="1">
      <c r="H1695" s="43" t="str">
        <f>IFERROR(VLOOKUP($J1695,'[9]FROM (3)'!$E$4:$F$230,2,FALSE),"")</f>
        <v/>
      </c>
      <c r="M1695" s="72" t="str">
        <f t="shared" si="208"/>
        <v/>
      </c>
      <c r="N1695" s="108" t="str">
        <f t="shared" si="207"/>
        <v/>
      </c>
      <c r="AX1695" s="58"/>
    </row>
    <row r="1696" spans="8:50" ht="21" customHeight="1">
      <c r="H1696" s="43" t="str">
        <f>IFERROR(VLOOKUP($J1696,'[9]FROM (3)'!$E$4:$F$230,2,FALSE),"")</f>
        <v/>
      </c>
      <c r="M1696" s="72" t="str">
        <f t="shared" si="208"/>
        <v/>
      </c>
      <c r="N1696" s="108" t="str">
        <f t="shared" si="207"/>
        <v/>
      </c>
      <c r="AX1696" s="58"/>
    </row>
    <row r="1697" spans="8:50" ht="21" customHeight="1">
      <c r="H1697" s="43" t="str">
        <f>IFERROR(VLOOKUP($J1697,'[9]FROM (3)'!$E$4:$F$230,2,FALSE),"")</f>
        <v/>
      </c>
      <c r="M1697" s="72" t="str">
        <f t="shared" si="208"/>
        <v/>
      </c>
      <c r="N1697" s="108" t="str">
        <f t="shared" si="207"/>
        <v/>
      </c>
      <c r="AX1697" s="58"/>
    </row>
    <row r="1698" spans="8:50" ht="21" customHeight="1">
      <c r="H1698" s="43" t="str">
        <f>IFERROR(VLOOKUP($J1698,'[9]FROM (3)'!$E$4:$F$230,2,FALSE),"")</f>
        <v/>
      </c>
      <c r="M1698" s="72" t="str">
        <f t="shared" si="208"/>
        <v/>
      </c>
      <c r="N1698" s="108" t="str">
        <f t="shared" si="207"/>
        <v/>
      </c>
      <c r="AX1698" s="58"/>
    </row>
    <row r="1699" spans="8:50" ht="21" customHeight="1">
      <c r="H1699" s="43" t="str">
        <f>IFERROR(VLOOKUP($J1699,'[9]FROM (3)'!$E$4:$F$230,2,FALSE),"")</f>
        <v/>
      </c>
      <c r="M1699" s="72" t="str">
        <f t="shared" si="208"/>
        <v/>
      </c>
      <c r="N1699" s="108" t="str">
        <f t="shared" si="207"/>
        <v/>
      </c>
      <c r="AX1699" s="58"/>
    </row>
    <row r="1700" spans="8:50" ht="21" customHeight="1">
      <c r="H1700" s="43" t="str">
        <f>IFERROR(VLOOKUP($J1700,'[9]FROM (3)'!$E$4:$F$230,2,FALSE),"")</f>
        <v/>
      </c>
      <c r="M1700" s="72" t="str">
        <f t="shared" si="208"/>
        <v/>
      </c>
      <c r="N1700" s="108" t="str">
        <f t="shared" si="207"/>
        <v/>
      </c>
      <c r="AX1700" s="58"/>
    </row>
    <row r="1701" spans="8:50" ht="21" customHeight="1">
      <c r="H1701" s="43" t="str">
        <f>IFERROR(VLOOKUP($J1701,'[9]FROM (3)'!$E$4:$F$230,2,FALSE),"")</f>
        <v/>
      </c>
      <c r="M1701" s="72" t="str">
        <f t="shared" si="208"/>
        <v/>
      </c>
      <c r="N1701" s="108" t="str">
        <f t="shared" si="207"/>
        <v/>
      </c>
      <c r="AX1701" s="58"/>
    </row>
    <row r="1702" spans="8:50" ht="21" customHeight="1">
      <c r="H1702" s="43" t="str">
        <f>IFERROR(VLOOKUP($J1702,'[9]FROM (3)'!$E$4:$F$230,2,FALSE),"")</f>
        <v/>
      </c>
      <c r="M1702" s="72" t="str">
        <f t="shared" si="208"/>
        <v/>
      </c>
      <c r="N1702" s="108" t="str">
        <f t="shared" si="207"/>
        <v/>
      </c>
      <c r="AX1702" s="58"/>
    </row>
    <row r="1703" spans="8:50" ht="21" customHeight="1">
      <c r="H1703" s="43" t="str">
        <f>IFERROR(VLOOKUP($J1703,'[9]FROM (3)'!$E$4:$F$230,2,FALSE),"")</f>
        <v/>
      </c>
      <c r="M1703" s="72" t="str">
        <f t="shared" si="208"/>
        <v/>
      </c>
      <c r="N1703" s="108" t="str">
        <f t="shared" si="207"/>
        <v/>
      </c>
      <c r="AX1703" s="58"/>
    </row>
    <row r="1704" spans="8:50" ht="21" customHeight="1">
      <c r="H1704" s="43" t="str">
        <f>IFERROR(VLOOKUP($J1704,'[9]FROM (3)'!$E$4:$F$230,2,FALSE),"")</f>
        <v/>
      </c>
      <c r="M1704" s="72" t="str">
        <f t="shared" si="208"/>
        <v/>
      </c>
      <c r="N1704" s="108" t="str">
        <f t="shared" si="207"/>
        <v/>
      </c>
      <c r="AX1704" s="58"/>
    </row>
    <row r="1705" spans="8:50" ht="21" customHeight="1">
      <c r="H1705" s="43" t="str">
        <f>IFERROR(VLOOKUP($J1705,'[9]FROM (3)'!$E$4:$F$230,2,FALSE),"")</f>
        <v/>
      </c>
      <c r="M1705" s="72" t="str">
        <f t="shared" si="208"/>
        <v/>
      </c>
      <c r="N1705" s="108" t="str">
        <f t="shared" si="207"/>
        <v/>
      </c>
      <c r="AX1705" s="58"/>
    </row>
    <row r="1706" spans="8:50" ht="21" customHeight="1">
      <c r="H1706" s="43" t="str">
        <f>IFERROR(VLOOKUP($J1706,'[9]FROM (3)'!$E$4:$F$230,2,FALSE),"")</f>
        <v/>
      </c>
      <c r="M1706" s="72" t="str">
        <f t="shared" si="208"/>
        <v/>
      </c>
      <c r="N1706" s="108" t="str">
        <f t="shared" si="207"/>
        <v/>
      </c>
      <c r="AX1706" s="58"/>
    </row>
    <row r="1707" spans="8:50" ht="21" customHeight="1">
      <c r="H1707" s="43" t="str">
        <f>IFERROR(VLOOKUP($J1707,'[9]FROM (3)'!$E$4:$F$230,2,FALSE),"")</f>
        <v/>
      </c>
      <c r="M1707" s="72" t="str">
        <f t="shared" si="208"/>
        <v/>
      </c>
      <c r="N1707" s="108" t="str">
        <f t="shared" si="207"/>
        <v/>
      </c>
      <c r="AX1707" s="58"/>
    </row>
    <row r="1708" spans="8:50" ht="21" customHeight="1">
      <c r="H1708" s="43" t="str">
        <f>IFERROR(VLOOKUP($J1708,'[9]FROM (3)'!$E$4:$F$230,2,FALSE),"")</f>
        <v/>
      </c>
      <c r="M1708" s="72" t="str">
        <f t="shared" si="208"/>
        <v/>
      </c>
      <c r="N1708" s="108" t="str">
        <f t="shared" si="207"/>
        <v/>
      </c>
      <c r="AX1708" s="58"/>
    </row>
    <row r="1709" spans="8:50" ht="21" customHeight="1">
      <c r="H1709" s="43" t="str">
        <f>IFERROR(VLOOKUP($J1709,'[9]FROM (3)'!$E$4:$F$230,2,FALSE),"")</f>
        <v/>
      </c>
      <c r="M1709" s="72" t="str">
        <f t="shared" si="208"/>
        <v/>
      </c>
      <c r="N1709" s="108" t="str">
        <f t="shared" si="207"/>
        <v/>
      </c>
      <c r="AX1709" s="58"/>
    </row>
    <row r="1710" spans="8:50" ht="21" customHeight="1">
      <c r="H1710" s="43" t="str">
        <f>IFERROR(VLOOKUP($J1710,'[9]FROM (3)'!$E$4:$F$230,2,FALSE),"")</f>
        <v/>
      </c>
      <c r="M1710" s="72" t="str">
        <f t="shared" si="208"/>
        <v/>
      </c>
      <c r="N1710" s="108" t="str">
        <f t="shared" si="207"/>
        <v/>
      </c>
      <c r="AX1710" s="58"/>
    </row>
    <row r="1711" spans="8:50" ht="21" customHeight="1">
      <c r="H1711" s="43" t="str">
        <f>IFERROR(VLOOKUP($J1711,'[9]FROM (3)'!$E$4:$F$230,2,FALSE),"")</f>
        <v/>
      </c>
      <c r="M1711" s="72" t="str">
        <f t="shared" si="208"/>
        <v/>
      </c>
      <c r="N1711" s="108" t="str">
        <f t="shared" si="207"/>
        <v/>
      </c>
      <c r="AX1711" s="58"/>
    </row>
    <row r="1712" spans="8:50" ht="21" customHeight="1">
      <c r="H1712" s="43" t="str">
        <f>IFERROR(VLOOKUP($J1712,'[9]FROM (3)'!$E$4:$F$230,2,FALSE),"")</f>
        <v/>
      </c>
      <c r="M1712" s="72" t="str">
        <f t="shared" si="208"/>
        <v/>
      </c>
      <c r="N1712" s="108" t="str">
        <f t="shared" si="207"/>
        <v/>
      </c>
      <c r="AX1712" s="58"/>
    </row>
    <row r="1713" spans="8:50" ht="21" customHeight="1">
      <c r="H1713" s="43" t="str">
        <f>IFERROR(VLOOKUP($J1713,'[9]FROM (3)'!$E$4:$F$230,2,FALSE),"")</f>
        <v/>
      </c>
      <c r="M1713" s="72" t="str">
        <f t="shared" si="208"/>
        <v/>
      </c>
      <c r="N1713" s="108" t="str">
        <f t="shared" si="207"/>
        <v/>
      </c>
      <c r="AX1713" s="58"/>
    </row>
    <row r="1714" spans="8:50" ht="21" customHeight="1">
      <c r="H1714" s="43" t="str">
        <f>IFERROR(VLOOKUP($J1714,'[9]FROM (3)'!$E$4:$F$230,2,FALSE),"")</f>
        <v/>
      </c>
      <c r="M1714" s="72" t="str">
        <f t="shared" si="208"/>
        <v/>
      </c>
      <c r="N1714" s="108" t="str">
        <f t="shared" si="207"/>
        <v/>
      </c>
      <c r="AX1714" s="58"/>
    </row>
    <row r="1715" spans="8:50" ht="21" customHeight="1">
      <c r="H1715" s="43" t="str">
        <f>IFERROR(VLOOKUP($J1715,'[9]FROM (3)'!$E$4:$F$230,2,FALSE),"")</f>
        <v/>
      </c>
      <c r="M1715" s="72" t="str">
        <f t="shared" si="208"/>
        <v/>
      </c>
      <c r="N1715" s="108" t="str">
        <f t="shared" si="207"/>
        <v/>
      </c>
      <c r="AX1715" s="58"/>
    </row>
    <row r="1716" spans="8:50" ht="21" customHeight="1">
      <c r="H1716" s="43" t="str">
        <f>IFERROR(VLOOKUP($J1716,'[9]FROM (3)'!$E$4:$F$230,2,FALSE),"")</f>
        <v/>
      </c>
      <c r="M1716" s="72" t="str">
        <f t="shared" si="208"/>
        <v/>
      </c>
      <c r="N1716" s="108" t="str">
        <f t="shared" si="207"/>
        <v/>
      </c>
      <c r="AX1716" s="58"/>
    </row>
    <row r="1717" spans="8:50" ht="21" customHeight="1">
      <c r="H1717" s="43" t="str">
        <f>IFERROR(VLOOKUP($J1717,'[9]FROM (3)'!$E$4:$F$230,2,FALSE),"")</f>
        <v/>
      </c>
      <c r="M1717" s="72" t="str">
        <f t="shared" si="208"/>
        <v/>
      </c>
      <c r="N1717" s="108" t="str">
        <f t="shared" si="207"/>
        <v/>
      </c>
      <c r="AX1717" s="58"/>
    </row>
    <row r="1718" spans="8:50" ht="21" customHeight="1">
      <c r="H1718" s="43" t="str">
        <f>IFERROR(VLOOKUP($J1718,'[9]FROM (3)'!$E$4:$F$230,2,FALSE),"")</f>
        <v/>
      </c>
      <c r="M1718" s="72" t="str">
        <f t="shared" si="208"/>
        <v/>
      </c>
      <c r="N1718" s="108" t="str">
        <f t="shared" si="207"/>
        <v/>
      </c>
      <c r="AX1718" s="58"/>
    </row>
    <row r="1719" spans="8:50" ht="21" customHeight="1">
      <c r="H1719" s="43" t="str">
        <f>IFERROR(VLOOKUP($J1719,'[9]FROM (3)'!$E$4:$F$230,2,FALSE),"")</f>
        <v/>
      </c>
      <c r="M1719" s="72" t="str">
        <f t="shared" si="208"/>
        <v/>
      </c>
      <c r="N1719" s="108" t="str">
        <f t="shared" si="207"/>
        <v/>
      </c>
      <c r="AX1719" s="58"/>
    </row>
    <row r="1720" spans="8:50" ht="21" customHeight="1">
      <c r="H1720" s="43" t="str">
        <f>IFERROR(VLOOKUP($J1720,'[9]FROM (3)'!$E$4:$F$230,2,FALSE),"")</f>
        <v/>
      </c>
      <c r="M1720" s="72" t="str">
        <f t="shared" si="208"/>
        <v/>
      </c>
      <c r="N1720" s="108" t="str">
        <f t="shared" si="207"/>
        <v/>
      </c>
      <c r="AX1720" s="58"/>
    </row>
    <row r="1721" spans="8:50" ht="21" customHeight="1">
      <c r="H1721" s="43" t="str">
        <f>IFERROR(VLOOKUP($J1721,'[9]FROM (3)'!$E$4:$F$230,2,FALSE),"")</f>
        <v/>
      </c>
      <c r="M1721" s="72" t="str">
        <f t="shared" si="208"/>
        <v/>
      </c>
      <c r="N1721" s="108" t="str">
        <f t="shared" si="207"/>
        <v/>
      </c>
      <c r="AX1721" s="58"/>
    </row>
    <row r="1722" spans="8:50" ht="21" customHeight="1">
      <c r="H1722" s="43" t="str">
        <f>IFERROR(VLOOKUP($J1722,'[9]FROM (3)'!$E$4:$F$230,2,FALSE),"")</f>
        <v/>
      </c>
      <c r="M1722" s="72" t="str">
        <f t="shared" si="208"/>
        <v/>
      </c>
      <c r="N1722" s="108" t="str">
        <f t="shared" si="207"/>
        <v/>
      </c>
      <c r="AX1722" s="58"/>
    </row>
    <row r="1723" spans="8:50" ht="21" customHeight="1">
      <c r="H1723" s="43" t="str">
        <f>IFERROR(VLOOKUP($J1723,'[9]FROM (3)'!$E$4:$F$230,2,FALSE),"")</f>
        <v/>
      </c>
      <c r="M1723" s="72" t="str">
        <f t="shared" si="208"/>
        <v/>
      </c>
      <c r="N1723" s="108" t="str">
        <f t="shared" si="207"/>
        <v/>
      </c>
      <c r="AX1723" s="58"/>
    </row>
    <row r="1724" spans="8:50" ht="21" customHeight="1">
      <c r="H1724" s="43" t="str">
        <f>IFERROR(VLOOKUP($J1724,'[9]FROM (3)'!$E$4:$F$230,2,FALSE),"")</f>
        <v/>
      </c>
      <c r="M1724" s="72" t="str">
        <f t="shared" si="208"/>
        <v/>
      </c>
      <c r="N1724" s="108" t="str">
        <f t="shared" si="207"/>
        <v/>
      </c>
      <c r="AX1724" s="58"/>
    </row>
    <row r="1725" spans="8:50" ht="21" customHeight="1">
      <c r="H1725" s="43" t="str">
        <f>IFERROR(VLOOKUP($J1725,'[9]FROM (3)'!$E$4:$F$230,2,FALSE),"")</f>
        <v/>
      </c>
      <c r="M1725" s="72" t="str">
        <f t="shared" si="208"/>
        <v/>
      </c>
      <c r="N1725" s="108" t="str">
        <f t="shared" si="207"/>
        <v/>
      </c>
      <c r="AX1725" s="58"/>
    </row>
    <row r="1726" spans="8:50" ht="21" customHeight="1">
      <c r="H1726" s="43" t="str">
        <f>IFERROR(VLOOKUP($J1726,'[9]FROM (3)'!$E$4:$F$230,2,FALSE),"")</f>
        <v/>
      </c>
      <c r="M1726" s="72" t="str">
        <f t="shared" si="208"/>
        <v/>
      </c>
      <c r="N1726" s="108" t="str">
        <f t="shared" si="207"/>
        <v/>
      </c>
      <c r="AX1726" s="58"/>
    </row>
    <row r="1727" spans="8:50" ht="21" customHeight="1">
      <c r="H1727" s="43" t="str">
        <f>IFERROR(VLOOKUP($J1727,'[9]FROM (3)'!$E$4:$F$230,2,FALSE),"")</f>
        <v/>
      </c>
      <c r="M1727" s="72" t="str">
        <f t="shared" si="208"/>
        <v/>
      </c>
      <c r="N1727" s="108" t="str">
        <f t="shared" si="207"/>
        <v/>
      </c>
      <c r="AX1727" s="58"/>
    </row>
    <row r="1728" spans="8:50" ht="21" customHeight="1">
      <c r="H1728" s="43" t="str">
        <f>IFERROR(VLOOKUP($J1728,'[9]FROM (3)'!$E$4:$F$230,2,FALSE),"")</f>
        <v/>
      </c>
      <c r="M1728" s="72" t="str">
        <f t="shared" si="208"/>
        <v/>
      </c>
      <c r="N1728" s="108" t="str">
        <f t="shared" si="207"/>
        <v/>
      </c>
      <c r="AX1728" s="58"/>
    </row>
    <row r="1729" spans="8:50" ht="21" customHeight="1">
      <c r="H1729" s="43" t="str">
        <f>IFERROR(VLOOKUP($J1729,'[9]FROM (3)'!$E$4:$F$230,2,FALSE),"")</f>
        <v/>
      </c>
      <c r="M1729" s="72" t="str">
        <f t="shared" si="208"/>
        <v/>
      </c>
      <c r="N1729" s="108" t="str">
        <f t="shared" si="207"/>
        <v/>
      </c>
      <c r="AX1729" s="58"/>
    </row>
    <row r="1730" spans="8:50" ht="21" customHeight="1">
      <c r="H1730" s="43" t="str">
        <f>IFERROR(VLOOKUP($J1730,'[9]FROM (3)'!$E$4:$F$230,2,FALSE),"")</f>
        <v/>
      </c>
      <c r="M1730" s="72" t="str">
        <f t="shared" si="208"/>
        <v/>
      </c>
      <c r="N1730" s="108" t="str">
        <f t="shared" si="207"/>
        <v/>
      </c>
      <c r="AX1730" s="58"/>
    </row>
    <row r="1731" spans="8:50" ht="21" customHeight="1">
      <c r="H1731" s="43" t="str">
        <f>IFERROR(VLOOKUP($J1731,'[9]FROM (3)'!$E$4:$F$230,2,FALSE),"")</f>
        <v/>
      </c>
      <c r="M1731" s="72" t="str">
        <f t="shared" si="208"/>
        <v/>
      </c>
      <c r="N1731" s="108" t="str">
        <f t="shared" si="207"/>
        <v/>
      </c>
      <c r="AX1731" s="58"/>
    </row>
    <row r="1732" spans="8:50" ht="21" customHeight="1">
      <c r="H1732" s="43" t="str">
        <f>IFERROR(VLOOKUP($J1732,'[9]FROM (3)'!$E$4:$F$230,2,FALSE),"")</f>
        <v/>
      </c>
      <c r="M1732" s="72" t="str">
        <f t="shared" ref="M1732:M1764" si="209">IFERROR(MID(A1732,FIND("~",SUBSTITUTE(A1732,"|","~",10))+1,FIND("~",SUBSTITUTE(A1732,"|","~",11))-FIND("~",SUBSTITUTE(A1732,"|","~",10))-1),"")</f>
        <v/>
      </c>
      <c r="N1732" s="108" t="str">
        <f t="shared" si="207"/>
        <v/>
      </c>
      <c r="AX1732" s="58"/>
    </row>
    <row r="1733" spans="8:50" ht="21" customHeight="1">
      <c r="H1733" s="43" t="str">
        <f>IFERROR(VLOOKUP($J1733,'[9]FROM (3)'!$E$4:$F$230,2,FALSE),"")</f>
        <v/>
      </c>
      <c r="M1733" s="72" t="str">
        <f t="shared" si="209"/>
        <v/>
      </c>
      <c r="N1733" s="108" t="str">
        <f t="shared" si="207"/>
        <v/>
      </c>
      <c r="AX1733" s="58"/>
    </row>
    <row r="1734" spans="8:50" ht="21" customHeight="1">
      <c r="H1734" s="43" t="str">
        <f>IFERROR(VLOOKUP($J1734,'[9]FROM (3)'!$E$4:$F$230,2,FALSE),"")</f>
        <v/>
      </c>
      <c r="M1734" s="72" t="str">
        <f t="shared" si="209"/>
        <v/>
      </c>
      <c r="N1734" s="108" t="str">
        <f t="shared" si="207"/>
        <v/>
      </c>
      <c r="AX1734" s="58"/>
    </row>
    <row r="1735" spans="8:50" ht="21" customHeight="1">
      <c r="H1735" s="43" t="str">
        <f>IFERROR(VLOOKUP($J1735,'[9]FROM (3)'!$E$4:$F$230,2,FALSE),"")</f>
        <v/>
      </c>
      <c r="M1735" s="72" t="str">
        <f t="shared" si="209"/>
        <v/>
      </c>
      <c r="N1735" s="108" t="str">
        <f t="shared" si="207"/>
        <v/>
      </c>
      <c r="AX1735" s="58"/>
    </row>
    <row r="1736" spans="8:50" ht="21" customHeight="1">
      <c r="H1736" s="43" t="str">
        <f>IFERROR(VLOOKUP($J1736,'[9]FROM (3)'!$E$4:$F$230,2,FALSE),"")</f>
        <v/>
      </c>
      <c r="M1736" s="72" t="str">
        <f t="shared" si="209"/>
        <v/>
      </c>
      <c r="N1736" s="108" t="str">
        <f t="shared" si="207"/>
        <v/>
      </c>
      <c r="AX1736" s="58"/>
    </row>
    <row r="1737" spans="8:50" ht="21" customHeight="1">
      <c r="H1737" s="43" t="str">
        <f>IFERROR(VLOOKUP($J1737,'[9]FROM (3)'!$E$4:$F$230,2,FALSE),"")</f>
        <v/>
      </c>
      <c r="M1737" s="72" t="str">
        <f t="shared" si="209"/>
        <v/>
      </c>
      <c r="N1737" s="108" t="str">
        <f t="shared" si="207"/>
        <v/>
      </c>
      <c r="AX1737" s="58"/>
    </row>
    <row r="1738" spans="8:50" ht="21" customHeight="1">
      <c r="H1738" s="43" t="str">
        <f>IFERROR(VLOOKUP($J1738,'[9]FROM (3)'!$E$4:$F$230,2,FALSE),"")</f>
        <v/>
      </c>
      <c r="M1738" s="72" t="str">
        <f t="shared" si="209"/>
        <v/>
      </c>
      <c r="N1738" s="108" t="str">
        <f t="shared" si="207"/>
        <v/>
      </c>
      <c r="AX1738" s="58"/>
    </row>
    <row r="1739" spans="8:50" ht="21" customHeight="1">
      <c r="H1739" s="43" t="str">
        <f>IFERROR(VLOOKUP($J1739,'[9]FROM (3)'!$E$4:$F$230,2,FALSE),"")</f>
        <v/>
      </c>
      <c r="M1739" s="72" t="str">
        <f t="shared" si="209"/>
        <v/>
      </c>
      <c r="N1739" s="108" t="str">
        <f t="shared" si="207"/>
        <v/>
      </c>
      <c r="AX1739" s="58"/>
    </row>
    <row r="1740" spans="8:50" ht="21" customHeight="1">
      <c r="H1740" s="43" t="str">
        <f>IFERROR(VLOOKUP($J1740,'[9]FROM (3)'!$E$4:$F$230,2,FALSE),"")</f>
        <v/>
      </c>
      <c r="M1740" s="72" t="str">
        <f t="shared" si="209"/>
        <v/>
      </c>
      <c r="N1740" s="108" t="str">
        <f t="shared" si="207"/>
        <v/>
      </c>
      <c r="AX1740" s="58"/>
    </row>
    <row r="1741" spans="8:50" ht="21" customHeight="1">
      <c r="H1741" s="43" t="str">
        <f>IFERROR(VLOOKUP($J1741,'[9]FROM (3)'!$E$4:$F$230,2,FALSE),"")</f>
        <v/>
      </c>
      <c r="M1741" s="72" t="str">
        <f t="shared" si="209"/>
        <v/>
      </c>
      <c r="N1741" s="108" t="str">
        <f t="shared" si="207"/>
        <v/>
      </c>
      <c r="AX1741" s="58"/>
    </row>
    <row r="1742" spans="8:50" ht="21" customHeight="1">
      <c r="H1742" s="43" t="str">
        <f>IFERROR(VLOOKUP($J1742,'[9]FROM (3)'!$E$4:$F$230,2,FALSE),"")</f>
        <v/>
      </c>
      <c r="M1742" s="72" t="str">
        <f t="shared" si="209"/>
        <v/>
      </c>
      <c r="N1742" s="108" t="str">
        <f t="shared" si="207"/>
        <v/>
      </c>
      <c r="AX1742" s="58"/>
    </row>
    <row r="1743" spans="8:50" ht="21" customHeight="1">
      <c r="H1743" s="43" t="str">
        <f>IFERROR(VLOOKUP($J1743,'[9]FROM (3)'!$E$4:$F$230,2,FALSE),"")</f>
        <v/>
      </c>
      <c r="M1743" s="72" t="str">
        <f t="shared" si="209"/>
        <v/>
      </c>
      <c r="N1743" s="108" t="str">
        <f t="shared" si="207"/>
        <v/>
      </c>
      <c r="AX1743" s="58"/>
    </row>
    <row r="1744" spans="8:50" ht="21" customHeight="1">
      <c r="H1744" s="43" t="str">
        <f>IFERROR(VLOOKUP($J1744,'[9]FROM (3)'!$E$4:$F$230,2,FALSE),"")</f>
        <v/>
      </c>
      <c r="M1744" s="72" t="str">
        <f t="shared" si="209"/>
        <v/>
      </c>
      <c r="N1744" s="108" t="str">
        <f t="shared" si="207"/>
        <v/>
      </c>
      <c r="AX1744" s="58"/>
    </row>
    <row r="1745" spans="8:50" ht="21" customHeight="1">
      <c r="H1745" s="43" t="str">
        <f>IFERROR(VLOOKUP($J1745,'[9]FROM (3)'!$E$4:$F$230,2,FALSE),"")</f>
        <v/>
      </c>
      <c r="M1745" s="72" t="str">
        <f t="shared" si="209"/>
        <v/>
      </c>
      <c r="N1745" s="108" t="str">
        <f t="shared" si="207"/>
        <v/>
      </c>
      <c r="AX1745" s="58"/>
    </row>
    <row r="1746" spans="8:50" ht="21" customHeight="1">
      <c r="H1746" s="43" t="str">
        <f>IFERROR(VLOOKUP($J1746,'[9]FROM (3)'!$E$4:$F$230,2,FALSE),"")</f>
        <v/>
      </c>
      <c r="M1746" s="72" t="str">
        <f t="shared" si="209"/>
        <v/>
      </c>
      <c r="N1746" s="108" t="str">
        <f t="shared" si="207"/>
        <v/>
      </c>
      <c r="AX1746" s="58"/>
    </row>
    <row r="1747" spans="8:50" ht="21" customHeight="1">
      <c r="H1747" s="43" t="str">
        <f>IFERROR(VLOOKUP($J1747,'[9]FROM (3)'!$E$4:$F$230,2,FALSE),"")</f>
        <v/>
      </c>
      <c r="M1747" s="72" t="str">
        <f t="shared" si="209"/>
        <v/>
      </c>
      <c r="N1747" s="108" t="str">
        <f t="shared" si="207"/>
        <v/>
      </c>
      <c r="AX1747" s="58"/>
    </row>
    <row r="1748" spans="8:50" ht="21" customHeight="1">
      <c r="H1748" s="43" t="str">
        <f>IFERROR(VLOOKUP($J1748,'[9]FROM (3)'!$E$4:$F$230,2,FALSE),"")</f>
        <v/>
      </c>
      <c r="M1748" s="72" t="str">
        <f t="shared" si="209"/>
        <v/>
      </c>
      <c r="N1748" s="108" t="str">
        <f t="shared" si="207"/>
        <v/>
      </c>
      <c r="AX1748" s="58"/>
    </row>
    <row r="1749" spans="8:50" ht="21" customHeight="1">
      <c r="H1749" s="43" t="str">
        <f>IFERROR(VLOOKUP($J1749,'[9]FROM (3)'!$E$4:$F$230,2,FALSE),"")</f>
        <v/>
      </c>
      <c r="M1749" s="72" t="str">
        <f t="shared" si="209"/>
        <v/>
      </c>
      <c r="N1749" s="108" t="str">
        <f t="shared" si="207"/>
        <v/>
      </c>
      <c r="AX1749" s="58"/>
    </row>
    <row r="1750" spans="8:50" ht="21" customHeight="1">
      <c r="H1750" s="43" t="str">
        <f>IFERROR(VLOOKUP($J1750,'[9]FROM (3)'!$E$4:$F$230,2,FALSE),"")</f>
        <v/>
      </c>
      <c r="M1750" s="72" t="str">
        <f t="shared" si="209"/>
        <v/>
      </c>
      <c r="N1750" s="108" t="str">
        <f t="shared" si="207"/>
        <v/>
      </c>
      <c r="AX1750" s="58"/>
    </row>
    <row r="1751" spans="8:50" ht="21" customHeight="1">
      <c r="H1751" s="43" t="str">
        <f>IFERROR(VLOOKUP($J1751,'[9]FROM (3)'!$E$4:$F$230,2,FALSE),"")</f>
        <v/>
      </c>
      <c r="M1751" s="72" t="str">
        <f t="shared" si="209"/>
        <v/>
      </c>
      <c r="N1751" s="108" t="str">
        <f t="shared" si="207"/>
        <v/>
      </c>
      <c r="AX1751" s="58"/>
    </row>
    <row r="1752" spans="8:50" ht="21" customHeight="1">
      <c r="H1752" s="43" t="str">
        <f>IFERROR(VLOOKUP($J1752,'[9]FROM (3)'!$E$4:$F$230,2,FALSE),"")</f>
        <v/>
      </c>
      <c r="M1752" s="72" t="str">
        <f t="shared" si="209"/>
        <v/>
      </c>
      <c r="N1752" s="108" t="str">
        <f t="shared" si="207"/>
        <v/>
      </c>
      <c r="AX1752" s="58"/>
    </row>
    <row r="1753" spans="8:50" ht="21" customHeight="1">
      <c r="H1753" s="43" t="str">
        <f>IFERROR(VLOOKUP($J1753,'[9]FROM (3)'!$E$4:$F$230,2,FALSE),"")</f>
        <v/>
      </c>
      <c r="M1753" s="72" t="str">
        <f t="shared" si="209"/>
        <v/>
      </c>
      <c r="N1753" s="108" t="str">
        <f t="shared" si="207"/>
        <v/>
      </c>
      <c r="AX1753" s="58"/>
    </row>
    <row r="1754" spans="8:50" ht="21" customHeight="1">
      <c r="H1754" s="43" t="str">
        <f>IFERROR(VLOOKUP($J1754,'[9]FROM (3)'!$E$4:$F$230,2,FALSE),"")</f>
        <v/>
      </c>
      <c r="M1754" s="72" t="str">
        <f t="shared" si="209"/>
        <v/>
      </c>
      <c r="N1754" s="108" t="str">
        <f t="shared" si="207"/>
        <v/>
      </c>
      <c r="AX1754" s="58"/>
    </row>
    <row r="1755" spans="8:50" ht="21" customHeight="1">
      <c r="H1755" s="43" t="str">
        <f>IFERROR(VLOOKUP($J1755,'[9]FROM (3)'!$E$4:$F$230,2,FALSE),"")</f>
        <v/>
      </c>
      <c r="M1755" s="72" t="str">
        <f t="shared" si="209"/>
        <v/>
      </c>
      <c r="N1755" s="108" t="str">
        <f t="shared" si="207"/>
        <v/>
      </c>
      <c r="AX1755" s="58"/>
    </row>
    <row r="1756" spans="8:50" ht="21" customHeight="1">
      <c r="H1756" s="43" t="str">
        <f>IFERROR(VLOOKUP($J1756,'[9]FROM (3)'!$E$4:$F$230,2,FALSE),"")</f>
        <v/>
      </c>
      <c r="M1756" s="72" t="str">
        <f t="shared" si="209"/>
        <v/>
      </c>
      <c r="N1756" s="108" t="str">
        <f t="shared" si="207"/>
        <v/>
      </c>
      <c r="AX1756" s="58"/>
    </row>
    <row r="1757" spans="8:50" ht="21" customHeight="1">
      <c r="H1757" s="43" t="str">
        <f>IFERROR(VLOOKUP($J1757,'[9]FROM (3)'!$E$4:$F$230,2,FALSE),"")</f>
        <v/>
      </c>
      <c r="M1757" s="72" t="str">
        <f t="shared" si="209"/>
        <v/>
      </c>
      <c r="N1757" s="108" t="str">
        <f t="shared" si="207"/>
        <v/>
      </c>
      <c r="AX1757" s="58"/>
    </row>
    <row r="1758" spans="8:50" ht="21" customHeight="1">
      <c r="H1758" s="43" t="str">
        <f>IFERROR(VLOOKUP($J1758,'[9]FROM (3)'!$E$4:$F$230,2,FALSE),"")</f>
        <v/>
      </c>
      <c r="M1758" s="72" t="str">
        <f t="shared" si="209"/>
        <v/>
      </c>
      <c r="N1758" s="108" t="str">
        <f t="shared" si="207"/>
        <v/>
      </c>
      <c r="AX1758" s="58"/>
    </row>
    <row r="1759" spans="8:50" ht="21" customHeight="1">
      <c r="H1759" s="43" t="str">
        <f>IFERROR(VLOOKUP($J1759,'[9]FROM (3)'!$E$4:$F$230,2,FALSE),"")</f>
        <v/>
      </c>
      <c r="M1759" s="72" t="str">
        <f t="shared" si="209"/>
        <v/>
      </c>
      <c r="N1759" s="108" t="str">
        <f t="shared" si="207"/>
        <v/>
      </c>
      <c r="AX1759" s="58"/>
    </row>
    <row r="1760" spans="8:50" ht="21" customHeight="1">
      <c r="H1760" s="43" t="str">
        <f>IFERROR(VLOOKUP($J1760,'[9]FROM (3)'!$E$4:$F$230,2,FALSE),"")</f>
        <v/>
      </c>
      <c r="M1760" s="72" t="str">
        <f t="shared" si="209"/>
        <v/>
      </c>
      <c r="N1760" s="108" t="str">
        <f t="shared" si="207"/>
        <v/>
      </c>
      <c r="AX1760" s="58"/>
    </row>
    <row r="1761" spans="8:50" ht="21" customHeight="1">
      <c r="H1761" s="43" t="str">
        <f>IFERROR(VLOOKUP($J1761,'[9]FROM (3)'!$E$4:$F$230,2,FALSE),"")</f>
        <v/>
      </c>
      <c r="M1761" s="72" t="str">
        <f t="shared" si="209"/>
        <v/>
      </c>
      <c r="N1761" s="108" t="str">
        <f t="shared" si="207"/>
        <v/>
      </c>
      <c r="AX1761" s="58"/>
    </row>
    <row r="1762" spans="8:50" ht="21" customHeight="1">
      <c r="H1762" s="43" t="str">
        <f>IFERROR(VLOOKUP($J1762,'[9]FROM (3)'!$E$4:$F$230,2,FALSE),"")</f>
        <v/>
      </c>
      <c r="M1762" s="72" t="str">
        <f t="shared" si="209"/>
        <v/>
      </c>
      <c r="N1762" s="108" t="str">
        <f t="shared" si="207"/>
        <v/>
      </c>
      <c r="AX1762" s="58"/>
    </row>
    <row r="1763" spans="8:50" ht="21" customHeight="1">
      <c r="H1763" s="43" t="str">
        <f>IFERROR(VLOOKUP($J1763,'[9]FROM (3)'!$E$4:$F$230,2,FALSE),"")</f>
        <v/>
      </c>
      <c r="M1763" s="72" t="str">
        <f t="shared" si="209"/>
        <v/>
      </c>
      <c r="N1763" s="108" t="str">
        <f t="shared" si="207"/>
        <v/>
      </c>
      <c r="AX1763" s="58"/>
    </row>
    <row r="1764" spans="8:50" ht="21" customHeight="1">
      <c r="H1764" s="43" t="str">
        <f>IFERROR(VLOOKUP($J1764,'[9]FROM (3)'!$E$4:$F$230,2,FALSE),"")</f>
        <v/>
      </c>
      <c r="M1764" s="72" t="str">
        <f t="shared" si="209"/>
        <v/>
      </c>
      <c r="N1764" s="108" t="str">
        <f t="shared" si="207"/>
        <v/>
      </c>
      <c r="AX1764" s="58"/>
    </row>
    <row r="1765" spans="8:50" ht="21" customHeight="1">
      <c r="H1765" s="43" t="str">
        <f>IFERROR(VLOOKUP($J1765,'[9]FROM (3)'!$E$4:$F$230,2,FALSE),"")</f>
        <v/>
      </c>
      <c r="M1765" s="120"/>
      <c r="AX1765" s="58"/>
    </row>
    <row r="1766" spans="8:50" ht="21" customHeight="1">
      <c r="H1766" s="43" t="str">
        <f>IFERROR(VLOOKUP($J1766,'[9]FROM (3)'!$E$4:$F$230,2,FALSE),"")</f>
        <v/>
      </c>
      <c r="M1766" s="94"/>
      <c r="AX1766" s="58"/>
    </row>
    <row r="1767" spans="8:50" ht="21" customHeight="1">
      <c r="H1767" s="43" t="str">
        <f>IFERROR(VLOOKUP($J1767,'[9]FROM (3)'!$E$4:$F$230,2,FALSE),"")</f>
        <v/>
      </c>
      <c r="AX1767" s="58"/>
    </row>
    <row r="1768" spans="8:50" ht="21" customHeight="1">
      <c r="H1768" s="43" t="str">
        <f>IFERROR(VLOOKUP($J1768,'[9]FROM (3)'!$E$4:$F$230,2,FALSE),"")</f>
        <v/>
      </c>
      <c r="M1768" s="116"/>
      <c r="AX1768" s="58"/>
    </row>
    <row r="1769" spans="8:50" ht="21" customHeight="1">
      <c r="H1769" s="43" t="str">
        <f>IFERROR(VLOOKUP($J1769,'[9]FROM (3)'!$E$4:$F$230,2,FALSE),"")</f>
        <v/>
      </c>
      <c r="AX1769" s="58"/>
    </row>
    <row r="1770" spans="8:50" ht="21" customHeight="1">
      <c r="H1770" s="43" t="str">
        <f>IFERROR(VLOOKUP($J1770,'[9]FROM (3)'!$E$4:$F$230,2,FALSE),"")</f>
        <v/>
      </c>
      <c r="AX1770" s="58"/>
    </row>
    <row r="1771" spans="8:50" ht="21" customHeight="1">
      <c r="H1771" s="43" t="str">
        <f>IFERROR(VLOOKUP($J1771,'[9]FROM (3)'!$E$4:$F$230,2,FALSE),"")</f>
        <v/>
      </c>
      <c r="AX1771" s="58"/>
    </row>
    <row r="1772" spans="8:50" ht="21" customHeight="1">
      <c r="H1772" s="43" t="str">
        <f>IFERROR(VLOOKUP($J1772,'[9]FROM (3)'!$E$4:$F$230,2,FALSE),"")</f>
        <v/>
      </c>
      <c r="AX1772" s="58"/>
    </row>
    <row r="1773" spans="8:50" ht="21" customHeight="1">
      <c r="H1773" s="43" t="str">
        <f>IFERROR(VLOOKUP($J1773,'[9]FROM (3)'!$E$4:$F$230,2,FALSE),"")</f>
        <v/>
      </c>
      <c r="AX1773" s="58"/>
    </row>
    <row r="1774" spans="8:50" ht="21" customHeight="1">
      <c r="H1774" s="43" t="str">
        <f>IFERROR(VLOOKUP($J1774,'[9]FROM (3)'!$E$4:$F$230,2,FALSE),"")</f>
        <v/>
      </c>
      <c r="AX1774" s="58"/>
    </row>
    <row r="1775" spans="8:50" ht="21" customHeight="1">
      <c r="H1775" s="43" t="str">
        <f>IFERROR(VLOOKUP($J1775,'[9]FROM (3)'!$E$4:$F$230,2,FALSE),"")</f>
        <v/>
      </c>
      <c r="AX1775" s="58"/>
    </row>
    <row r="1776" spans="8:50" ht="21" customHeight="1">
      <c r="H1776" s="43" t="str">
        <f>IFERROR(VLOOKUP($J1776,'[9]FROM (3)'!$E$4:$F$230,2,FALSE),"")</f>
        <v/>
      </c>
      <c r="AX1776" s="58"/>
    </row>
    <row r="1777" spans="8:50" ht="21" customHeight="1">
      <c r="H1777" s="43" t="str">
        <f>IFERROR(VLOOKUP($J1777,'[9]FROM (3)'!$E$4:$F$230,2,FALSE),"")</f>
        <v/>
      </c>
      <c r="AX1777" s="58"/>
    </row>
    <row r="1778" spans="8:50" ht="21" customHeight="1">
      <c r="H1778" s="43" t="str">
        <f>IFERROR(VLOOKUP($J1778,'[9]FROM (3)'!$E$4:$F$230,2,FALSE),"")</f>
        <v/>
      </c>
      <c r="AX1778" s="58"/>
    </row>
    <row r="1779" spans="8:50" ht="21" customHeight="1">
      <c r="H1779" s="43" t="str">
        <f>IFERROR(VLOOKUP($J1779,'[9]FROM (3)'!$E$4:$F$230,2,FALSE),"")</f>
        <v/>
      </c>
      <c r="AX1779" s="58"/>
    </row>
    <row r="1780" spans="8:50" ht="21" customHeight="1">
      <c r="H1780" s="43" t="str">
        <f>IFERROR(VLOOKUP($J1780,'[9]FROM (3)'!$E$4:$F$230,2,FALSE),"")</f>
        <v/>
      </c>
      <c r="AX1780" s="58"/>
    </row>
    <row r="1781" spans="8:50" ht="21" customHeight="1">
      <c r="H1781" s="43" t="str">
        <f>IFERROR(VLOOKUP($J1781,'[9]FROM (3)'!$E$4:$F$230,2,FALSE),"")</f>
        <v/>
      </c>
      <c r="AX1781" s="58"/>
    </row>
    <row r="1782" spans="8:50" ht="21" customHeight="1">
      <c r="H1782" s="43" t="str">
        <f>IFERROR(VLOOKUP($J1782,'[9]FROM (3)'!$E$4:$F$230,2,FALSE),"")</f>
        <v/>
      </c>
      <c r="AX1782" s="58"/>
    </row>
    <row r="1783" spans="8:50" ht="21" customHeight="1">
      <c r="H1783" s="43" t="str">
        <f>IFERROR(VLOOKUP($J1783,'[9]FROM (3)'!$E$4:$F$230,2,FALSE),"")</f>
        <v/>
      </c>
      <c r="AX1783" s="58"/>
    </row>
    <row r="1784" spans="8:50" ht="21" customHeight="1">
      <c r="H1784" s="43" t="str">
        <f>IFERROR(VLOOKUP($J1784,'[9]FROM (3)'!$E$4:$F$230,2,FALSE),"")</f>
        <v/>
      </c>
      <c r="AX1784" s="58"/>
    </row>
    <row r="1785" spans="8:50" ht="21" customHeight="1">
      <c r="H1785" s="121"/>
    </row>
    <row r="1786" spans="8:50" ht="21" customHeight="1">
      <c r="H1786" s="122"/>
    </row>
  </sheetData>
  <sheetProtection autoFilter="0"/>
  <autoFilter ref="C4:AX1784" xr:uid="{00000000-0009-0000-0000-000000000000}"/>
  <dataConsolidate/>
  <mergeCells count="4">
    <mergeCell ref="C3:G3"/>
    <mergeCell ref="Z3:AP3"/>
    <mergeCell ref="Z1586:AU1586"/>
    <mergeCell ref="Z1587:AU1587"/>
  </mergeCells>
  <conditionalFormatting sqref="C4">
    <cfRule type="cellIs" dxfId="26" priority="20" stopIfTrue="1" operator="between">
      <formula>0</formula>
      <formula>0</formula>
    </cfRule>
  </conditionalFormatting>
  <conditionalFormatting sqref="C5:C195 C198:C1166 C1169:C1269 C1272:C1584">
    <cfRule type="expression" dxfId="25" priority="7">
      <formula>AND(A5&lt;&gt;"",C5="")</formula>
    </cfRule>
  </conditionalFormatting>
  <conditionalFormatting sqref="C197 C744 C1168 C1271">
    <cfRule type="expression" dxfId="24" priority="28">
      <formula>AND(A196&lt;&gt;"",C197="")</formula>
    </cfRule>
  </conditionalFormatting>
  <conditionalFormatting sqref="C5:E195 C197:E368 C369 C370:E742 C743 C744:E1139 C1140 C1141:D1141 C1142:E1166 C1168:E1269 C1271:E1585 D196:E196 D1167:E1167 D1270:E1270 E369 E743 E1140:E1141 I3:J3 O3:R3 U3:Y4 AW3:AW1585 Y5:AQ5 AS5:AV5 Z6:AV6 U6:W621 Y6:Y1585 AI7:AV7 Z7:AH214 AI8:AT214 AU8:AV1584 AE215:AT215 AI216:AT316 Z216:AH1584 AI317:AS317 AI318:AT348 AI349:AK349 AM349:AT349 AI350:AT729 T622 V622:W622 U623:W1200 AI730 AK730:AT730 AI731:AT809 AI810:AO810 AQ810:AT810 AI811:AT1584 Q971:T1003 Q1004 S1004:T1004 Q1005:T1088 S1089:T1094 Q1095:T1200 Q1201:W1261 S1262:W1267 Q1268:W1584">
    <cfRule type="cellIs" dxfId="23" priority="8" stopIfTrue="1" operator="between">
      <formula>0</formula>
      <formula>0</formula>
    </cfRule>
  </conditionalFormatting>
  <conditionalFormatting sqref="C1588:E1599">
    <cfRule type="cellIs" dxfId="22" priority="24" stopIfTrue="1" operator="between">
      <formula>0</formula>
      <formula>0</formula>
    </cfRule>
  </conditionalFormatting>
  <conditionalFormatting sqref="D5:D368 D371:D742 D744:D1139 D1143:D1584">
    <cfRule type="expression" dxfId="21" priority="6">
      <formula>AND(A5&lt;&gt;"",D5="")</formula>
    </cfRule>
  </conditionalFormatting>
  <conditionalFormatting sqref="D370 D1141:D1142">
    <cfRule type="expression" dxfId="20" priority="27">
      <formula>AND(A369&lt;&gt;"",D370="")</formula>
    </cfRule>
  </conditionalFormatting>
  <conditionalFormatting sqref="E5:E1141 E1143:E1584">
    <cfRule type="expression" dxfId="19" priority="5">
      <formula>AND(A5&lt;&gt;"",E5="")</formula>
    </cfRule>
  </conditionalFormatting>
  <conditionalFormatting sqref="E973:E976">
    <cfRule type="expression" dxfId="18" priority="4">
      <formula>AND(C973&lt;&gt;"",E973="")</formula>
    </cfRule>
  </conditionalFormatting>
  <conditionalFormatting sqref="E1142">
    <cfRule type="expression" dxfId="17" priority="29">
      <formula>AND(A1141&lt;&gt;"",E1142="")</formula>
    </cfRule>
  </conditionalFormatting>
  <conditionalFormatting sqref="F4:T4">
    <cfRule type="cellIs" dxfId="16" priority="19" stopIfTrue="1" operator="between">
      <formula>0</formula>
      <formula>0</formula>
    </cfRule>
  </conditionalFormatting>
  <conditionalFormatting sqref="G5:G1584">
    <cfRule type="expression" dxfId="15" priority="2">
      <formula>AND(A5&lt;&gt;"",G5="")</formula>
    </cfRule>
    <cfRule type="cellIs" dxfId="14" priority="3" stopIfTrue="1" operator="between">
      <formula>0</formula>
      <formula>0</formula>
    </cfRule>
  </conditionalFormatting>
  <conditionalFormatting sqref="G1585:W1585">
    <cfRule type="cellIs" dxfId="13" priority="26" stopIfTrue="1" operator="between">
      <formula>0</formula>
      <formula>0</formula>
    </cfRule>
  </conditionalFormatting>
  <conditionalFormatting sqref="H5:J1584">
    <cfRule type="cellIs" dxfId="12" priority="12" operator="between">
      <formula>0</formula>
      <formula>0</formula>
    </cfRule>
    <cfRule type="cellIs" dxfId="11" priority="15" stopIfTrue="1" operator="greaterThanOrEqual">
      <formula>0</formula>
    </cfRule>
    <cfRule type="cellIs" dxfId="10" priority="16" stopIfTrue="1" operator="greaterThanOrEqual">
      <formula>0</formula>
    </cfRule>
    <cfRule type="cellIs" dxfId="9" priority="17" stopIfTrue="1" operator="greaterThanOrEqual">
      <formula>0</formula>
    </cfRule>
  </conditionalFormatting>
  <conditionalFormatting sqref="I5:J1584">
    <cfRule type="cellIs" dxfId="8" priority="13" stopIfTrue="1" operator="greaterThanOrEqual">
      <formula>0</formula>
    </cfRule>
    <cfRule type="cellIs" dxfId="7" priority="14" stopIfTrue="1" operator="greaterThanOrEqual">
      <formula>0</formula>
    </cfRule>
  </conditionalFormatting>
  <conditionalFormatting sqref="O5:P8">
    <cfRule type="cellIs" dxfId="6" priority="18" stopIfTrue="1" operator="between">
      <formula>0</formula>
      <formula>0</formula>
    </cfRule>
  </conditionalFormatting>
  <conditionalFormatting sqref="Q5:W5 Q6:T959 S960:T970">
    <cfRule type="cellIs" dxfId="5" priority="10" stopIfTrue="1" operator="between">
      <formula>0</formula>
      <formula>0</formula>
    </cfRule>
  </conditionalFormatting>
  <conditionalFormatting sqref="X5:X1585">
    <cfRule type="cellIs" dxfId="4" priority="1" stopIfTrue="1" operator="between">
      <formula>0</formula>
      <formula>0</formula>
    </cfRule>
  </conditionalFormatting>
  <conditionalFormatting sqref="Z3">
    <cfRule type="cellIs" dxfId="3" priority="22" stopIfTrue="1" operator="between">
      <formula>0</formula>
      <formula>0</formula>
    </cfRule>
  </conditionalFormatting>
  <conditionalFormatting sqref="AQ4 AS4">
    <cfRule type="cellIs" dxfId="2" priority="9" stopIfTrue="1" operator="between">
      <formula>0</formula>
      <formula>0</formula>
    </cfRule>
  </conditionalFormatting>
  <conditionalFormatting sqref="AQ1585:AR1585">
    <cfRule type="cellIs" dxfId="1" priority="25" stopIfTrue="1" operator="between">
      <formula>0</formula>
      <formula>0</formula>
    </cfRule>
  </conditionalFormatting>
  <conditionalFormatting sqref="AU4">
    <cfRule type="cellIs" dxfId="0" priority="11" stopIfTrue="1" operator="between">
      <formula>0</formula>
      <formula>0</formula>
    </cfRule>
  </conditionalFormatting>
  <dataValidations count="2">
    <dataValidation type="date" allowBlank="1" showInputMessage="1" showErrorMessage="1" sqref="C5:C195 C197:C1166 C1168:C1269 C1271:C1584" xr:uid="{51E76CFA-73E1-4BAF-8B2D-3B3671452405}">
      <formula1>46023</formula1>
      <formula2>46053</formula2>
    </dataValidation>
    <dataValidation type="list" allowBlank="1" showInputMessage="1" showErrorMessage="1" sqref="I1585" xr:uid="{93FE9D72-7C64-415F-AEBC-215DC2D35B65}">
      <formula1>INDIRECT(#REF!)</formula1>
    </dataValidation>
  </dataValidations>
  <printOptions verticalCentered="1"/>
  <pageMargins left="0" right="0" top="0" bottom="0" header="0" footer="0"/>
  <pageSetup paperSize="8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ARNON JUNTHASOM</dc:creator>
  <cp:lastModifiedBy>ARNON JUNTHASOM</cp:lastModifiedBy>
  <dcterms:created xsi:type="dcterms:W3CDTF">2026-02-28T03:45:25Z</dcterms:created>
  <dcterms:modified xsi:type="dcterms:W3CDTF">2026-09-16T06:00:57Z</dcterms:modified>
</cp:coreProperties>
</file>